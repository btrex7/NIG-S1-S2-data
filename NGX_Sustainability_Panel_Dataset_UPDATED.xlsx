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94db73b1f4fabc5/Desktop/MBA/Dataset/"/>
    </mc:Choice>
  </mc:AlternateContent>
  <xr:revisionPtr revIDLastSave="241" documentId="11_B20A02A412ECC4D463DC3B0244FA8A38EC01F74C" xr6:coauthVersionLast="47" xr6:coauthVersionMax="47" xr10:uidLastSave="{603AF585-4DD1-4A5D-987C-69E0370485C9}"/>
  <bookViews>
    <workbookView xWindow="-108" yWindow="-108" windowWidth="23256" windowHeight="13896" tabRatio="845" activeTab="6" xr2:uid="{00000000-000D-0000-FFFF-FFFF00000000}"/>
  </bookViews>
  <sheets>
    <sheet name="Coding Instrument" sheetId="2" r:id="rId1"/>
    <sheet name="Coding Sheet" sheetId="3" r:id="rId2"/>
    <sheet name="Firm Master" sheetId="4" r:id="rId3"/>
    <sheet name="Panel Data (Long Format)" sheetId="5" r:id="rId4"/>
    <sheet name="Usable Sample (WIP)" sheetId="6" r:id="rId5"/>
    <sheet name="Final Sample" sheetId="7" r:id="rId6"/>
    <sheet name="Data Sources" sheetId="8" r:id="rId7"/>
  </sheets>
  <definedNames>
    <definedName name="_xlnm._FilterDatabase" localSheetId="1" hidden="1">'Coding Sheet'!$A$1:$AU$731</definedName>
    <definedName name="_xlnm._FilterDatabase" localSheetId="5" hidden="1">'Final Sample'!$A$1:$Z$612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731" i="5" l="1"/>
  <c r="U731" i="5"/>
  <c r="V731" i="5" s="1"/>
  <c r="T731" i="5"/>
  <c r="S731" i="5"/>
  <c r="R731" i="5"/>
  <c r="M731" i="5"/>
  <c r="Q731" i="5" s="1"/>
  <c r="G731" i="5"/>
  <c r="X730" i="5"/>
  <c r="U730" i="5"/>
  <c r="V730" i="5" s="1"/>
  <c r="T730" i="5"/>
  <c r="S730" i="5"/>
  <c r="R730" i="5"/>
  <c r="M730" i="5"/>
  <c r="Q730" i="5" s="1"/>
  <c r="G730" i="5"/>
  <c r="X729" i="5"/>
  <c r="U729" i="5"/>
  <c r="V729" i="5" s="1"/>
  <c r="T729" i="5"/>
  <c r="S729" i="5"/>
  <c r="R729" i="5"/>
  <c r="M729" i="5"/>
  <c r="Q729" i="5" s="1"/>
  <c r="G729" i="5"/>
  <c r="X728" i="5"/>
  <c r="U728" i="5"/>
  <c r="V728" i="5" s="1"/>
  <c r="T728" i="5"/>
  <c r="S728" i="5"/>
  <c r="R728" i="5"/>
  <c r="M728" i="5"/>
  <c r="Q728" i="5" s="1"/>
  <c r="G728" i="5"/>
  <c r="X727" i="5"/>
  <c r="U727" i="5"/>
  <c r="V727" i="5" s="1"/>
  <c r="T727" i="5"/>
  <c r="S727" i="5"/>
  <c r="R727" i="5"/>
  <c r="M727" i="5"/>
  <c r="Q727" i="5" s="1"/>
  <c r="G727" i="5"/>
  <c r="X726" i="5"/>
  <c r="U726" i="5"/>
  <c r="V726" i="5" s="1"/>
  <c r="T726" i="5"/>
  <c r="S726" i="5"/>
  <c r="R726" i="5"/>
  <c r="M726" i="5"/>
  <c r="Q726" i="5" s="1"/>
  <c r="G726" i="5"/>
  <c r="X725" i="5"/>
  <c r="U725" i="5"/>
  <c r="V725" i="5" s="1"/>
  <c r="T725" i="5"/>
  <c r="S725" i="5"/>
  <c r="R725" i="5"/>
  <c r="M725" i="5"/>
  <c r="Q725" i="5" s="1"/>
  <c r="G725" i="5"/>
  <c r="X724" i="5"/>
  <c r="U724" i="5"/>
  <c r="V724" i="5" s="1"/>
  <c r="T724" i="5"/>
  <c r="S724" i="5"/>
  <c r="R724" i="5"/>
  <c r="M724" i="5"/>
  <c r="Q724" i="5" s="1"/>
  <c r="G724" i="5"/>
  <c r="X723" i="5"/>
  <c r="U723" i="5"/>
  <c r="V723" i="5" s="1"/>
  <c r="T723" i="5"/>
  <c r="S723" i="5"/>
  <c r="R723" i="5"/>
  <c r="M723" i="5"/>
  <c r="Q723" i="5" s="1"/>
  <c r="G723" i="5"/>
  <c r="X722" i="5"/>
  <c r="U722" i="5"/>
  <c r="V722" i="5" s="1"/>
  <c r="T722" i="5"/>
  <c r="S722" i="5"/>
  <c r="R722" i="5"/>
  <c r="M722" i="5"/>
  <c r="Q722" i="5" s="1"/>
  <c r="G722" i="5"/>
  <c r="X721" i="5"/>
  <c r="U721" i="5"/>
  <c r="V721" i="5" s="1"/>
  <c r="T721" i="5"/>
  <c r="S721" i="5"/>
  <c r="R721" i="5"/>
  <c r="M721" i="5"/>
  <c r="Q721" i="5" s="1"/>
  <c r="G721" i="5"/>
  <c r="X720" i="5"/>
  <c r="U720" i="5"/>
  <c r="V720" i="5" s="1"/>
  <c r="T720" i="5"/>
  <c r="S720" i="5"/>
  <c r="R720" i="5"/>
  <c r="M720" i="5"/>
  <c r="Q720" i="5" s="1"/>
  <c r="G720" i="5"/>
  <c r="X719" i="5"/>
  <c r="U719" i="5"/>
  <c r="V719" i="5" s="1"/>
  <c r="T719" i="5"/>
  <c r="S719" i="5"/>
  <c r="R719" i="5"/>
  <c r="M719" i="5"/>
  <c r="Q719" i="5" s="1"/>
  <c r="G719" i="5"/>
  <c r="X718" i="5"/>
  <c r="U718" i="5"/>
  <c r="V718" i="5" s="1"/>
  <c r="T718" i="5"/>
  <c r="S718" i="5"/>
  <c r="R718" i="5"/>
  <c r="M718" i="5"/>
  <c r="Q718" i="5" s="1"/>
  <c r="G718" i="5"/>
  <c r="X717" i="5"/>
  <c r="U717" i="5"/>
  <c r="V717" i="5" s="1"/>
  <c r="T717" i="5"/>
  <c r="S717" i="5"/>
  <c r="R717" i="5"/>
  <c r="M717" i="5"/>
  <c r="Q717" i="5" s="1"/>
  <c r="G717" i="5"/>
  <c r="X716" i="5"/>
  <c r="U716" i="5"/>
  <c r="V716" i="5" s="1"/>
  <c r="T716" i="5"/>
  <c r="S716" i="5"/>
  <c r="R716" i="5"/>
  <c r="M716" i="5"/>
  <c r="Q716" i="5" s="1"/>
  <c r="G716" i="5"/>
  <c r="X715" i="5"/>
  <c r="U715" i="5"/>
  <c r="V715" i="5" s="1"/>
  <c r="T715" i="5"/>
  <c r="S715" i="5"/>
  <c r="R715" i="5"/>
  <c r="M715" i="5"/>
  <c r="Q715" i="5" s="1"/>
  <c r="G715" i="5"/>
  <c r="X714" i="5"/>
  <c r="U714" i="5"/>
  <c r="V714" i="5" s="1"/>
  <c r="T714" i="5"/>
  <c r="S714" i="5"/>
  <c r="R714" i="5"/>
  <c r="M714" i="5"/>
  <c r="Q714" i="5" s="1"/>
  <c r="G714" i="5"/>
  <c r="X713" i="5"/>
  <c r="U713" i="5"/>
  <c r="V713" i="5" s="1"/>
  <c r="T713" i="5"/>
  <c r="S713" i="5"/>
  <c r="R713" i="5"/>
  <c r="M713" i="5"/>
  <c r="Q713" i="5" s="1"/>
  <c r="G713" i="5"/>
  <c r="X712" i="5"/>
  <c r="U712" i="5"/>
  <c r="V712" i="5" s="1"/>
  <c r="T712" i="5"/>
  <c r="S712" i="5"/>
  <c r="R712" i="5"/>
  <c r="M712" i="5"/>
  <c r="Q712" i="5" s="1"/>
  <c r="G712" i="5"/>
  <c r="X711" i="5"/>
  <c r="U711" i="5"/>
  <c r="V711" i="5" s="1"/>
  <c r="T711" i="5"/>
  <c r="S711" i="5"/>
  <c r="R711" i="5"/>
  <c r="M711" i="5"/>
  <c r="Q711" i="5" s="1"/>
  <c r="G711" i="5"/>
  <c r="X710" i="5"/>
  <c r="U710" i="5"/>
  <c r="V710" i="5" s="1"/>
  <c r="T710" i="5"/>
  <c r="S710" i="5"/>
  <c r="R710" i="5"/>
  <c r="M710" i="5"/>
  <c r="Q710" i="5" s="1"/>
  <c r="G710" i="5"/>
  <c r="X709" i="5"/>
  <c r="U709" i="5"/>
  <c r="V709" i="5" s="1"/>
  <c r="T709" i="5"/>
  <c r="S709" i="5"/>
  <c r="R709" i="5"/>
  <c r="M709" i="5"/>
  <c r="Q709" i="5" s="1"/>
  <c r="G709" i="5"/>
  <c r="X708" i="5"/>
  <c r="U708" i="5"/>
  <c r="V708" i="5" s="1"/>
  <c r="T708" i="5"/>
  <c r="S708" i="5"/>
  <c r="R708" i="5"/>
  <c r="M708" i="5"/>
  <c r="Q708" i="5" s="1"/>
  <c r="G708" i="5"/>
  <c r="X707" i="5"/>
  <c r="U707" i="5"/>
  <c r="V707" i="5" s="1"/>
  <c r="T707" i="5"/>
  <c r="S707" i="5"/>
  <c r="R707" i="5"/>
  <c r="M707" i="5"/>
  <c r="Q707" i="5" s="1"/>
  <c r="G707" i="5"/>
  <c r="X706" i="5"/>
  <c r="U706" i="5"/>
  <c r="V706" i="5" s="1"/>
  <c r="T706" i="5"/>
  <c r="S706" i="5"/>
  <c r="R706" i="5"/>
  <c r="M706" i="5"/>
  <c r="Q706" i="5" s="1"/>
  <c r="G706" i="5"/>
  <c r="X705" i="5"/>
  <c r="U705" i="5"/>
  <c r="V705" i="5" s="1"/>
  <c r="T705" i="5"/>
  <c r="S705" i="5"/>
  <c r="R705" i="5"/>
  <c r="M705" i="5"/>
  <c r="Q705" i="5" s="1"/>
  <c r="G705" i="5"/>
  <c r="X704" i="5"/>
  <c r="U704" i="5"/>
  <c r="V704" i="5" s="1"/>
  <c r="T704" i="5"/>
  <c r="S704" i="5"/>
  <c r="R704" i="5"/>
  <c r="M704" i="5"/>
  <c r="Q704" i="5" s="1"/>
  <c r="G704" i="5"/>
  <c r="X703" i="5"/>
  <c r="U703" i="5"/>
  <c r="V703" i="5" s="1"/>
  <c r="T703" i="5"/>
  <c r="S703" i="5"/>
  <c r="R703" i="5"/>
  <c r="M703" i="5"/>
  <c r="Q703" i="5" s="1"/>
  <c r="G703" i="5"/>
  <c r="X702" i="5"/>
  <c r="U702" i="5"/>
  <c r="V702" i="5" s="1"/>
  <c r="T702" i="5"/>
  <c r="S702" i="5"/>
  <c r="R702" i="5"/>
  <c r="M702" i="5"/>
  <c r="Q702" i="5" s="1"/>
  <c r="G702" i="5"/>
  <c r="X701" i="5"/>
  <c r="U701" i="5"/>
  <c r="V701" i="5" s="1"/>
  <c r="T701" i="5"/>
  <c r="S701" i="5"/>
  <c r="R701" i="5"/>
  <c r="M701" i="5"/>
  <c r="Q701" i="5" s="1"/>
  <c r="G701" i="5"/>
  <c r="X700" i="5"/>
  <c r="U700" i="5"/>
  <c r="V700" i="5" s="1"/>
  <c r="T700" i="5"/>
  <c r="S700" i="5"/>
  <c r="R700" i="5"/>
  <c r="M700" i="5"/>
  <c r="Q700" i="5" s="1"/>
  <c r="G700" i="5"/>
  <c r="X699" i="5"/>
  <c r="U699" i="5"/>
  <c r="V699" i="5" s="1"/>
  <c r="T699" i="5"/>
  <c r="S699" i="5"/>
  <c r="R699" i="5"/>
  <c r="M699" i="5"/>
  <c r="Q699" i="5" s="1"/>
  <c r="G699" i="5"/>
  <c r="X698" i="5"/>
  <c r="U698" i="5"/>
  <c r="V698" i="5" s="1"/>
  <c r="T698" i="5"/>
  <c r="S698" i="5"/>
  <c r="R698" i="5"/>
  <c r="M698" i="5"/>
  <c r="Q698" i="5" s="1"/>
  <c r="G698" i="5"/>
  <c r="X697" i="5"/>
  <c r="U697" i="5"/>
  <c r="V697" i="5" s="1"/>
  <c r="T697" i="5"/>
  <c r="S697" i="5"/>
  <c r="R697" i="5"/>
  <c r="M697" i="5"/>
  <c r="Q697" i="5" s="1"/>
  <c r="G697" i="5"/>
  <c r="X696" i="5"/>
  <c r="U696" i="5"/>
  <c r="V696" i="5" s="1"/>
  <c r="T696" i="5"/>
  <c r="S696" i="5"/>
  <c r="R696" i="5"/>
  <c r="M696" i="5"/>
  <c r="Q696" i="5" s="1"/>
  <c r="G696" i="5"/>
  <c r="X695" i="5"/>
  <c r="U695" i="5"/>
  <c r="V695" i="5" s="1"/>
  <c r="T695" i="5"/>
  <c r="S695" i="5"/>
  <c r="R695" i="5"/>
  <c r="M695" i="5"/>
  <c r="Q695" i="5" s="1"/>
  <c r="G695" i="5"/>
  <c r="X694" i="5"/>
  <c r="U694" i="5"/>
  <c r="V694" i="5" s="1"/>
  <c r="T694" i="5"/>
  <c r="S694" i="5"/>
  <c r="R694" i="5"/>
  <c r="M694" i="5"/>
  <c r="Q694" i="5" s="1"/>
  <c r="G694" i="5"/>
  <c r="X693" i="5"/>
  <c r="U693" i="5"/>
  <c r="V693" i="5" s="1"/>
  <c r="T693" i="5"/>
  <c r="S693" i="5"/>
  <c r="R693" i="5"/>
  <c r="M693" i="5"/>
  <c r="Q693" i="5" s="1"/>
  <c r="G693" i="5"/>
  <c r="X692" i="5"/>
  <c r="U692" i="5"/>
  <c r="V692" i="5" s="1"/>
  <c r="T692" i="5"/>
  <c r="S692" i="5"/>
  <c r="R692" i="5"/>
  <c r="M692" i="5"/>
  <c r="Q692" i="5" s="1"/>
  <c r="G692" i="5"/>
  <c r="X691" i="5"/>
  <c r="U691" i="5"/>
  <c r="V691" i="5" s="1"/>
  <c r="T691" i="5"/>
  <c r="S691" i="5"/>
  <c r="R691" i="5"/>
  <c r="M691" i="5"/>
  <c r="Q691" i="5" s="1"/>
  <c r="G691" i="5"/>
  <c r="X690" i="5"/>
  <c r="U690" i="5"/>
  <c r="V690" i="5" s="1"/>
  <c r="T690" i="5"/>
  <c r="S690" i="5"/>
  <c r="R690" i="5"/>
  <c r="M690" i="5"/>
  <c r="Q690" i="5" s="1"/>
  <c r="G690" i="5"/>
  <c r="X689" i="5"/>
  <c r="U689" i="5"/>
  <c r="V689" i="5" s="1"/>
  <c r="T689" i="5"/>
  <c r="S689" i="5"/>
  <c r="R689" i="5"/>
  <c r="M689" i="5"/>
  <c r="Q689" i="5" s="1"/>
  <c r="G689" i="5"/>
  <c r="X688" i="5"/>
  <c r="U688" i="5"/>
  <c r="V688" i="5" s="1"/>
  <c r="T688" i="5"/>
  <c r="S688" i="5"/>
  <c r="R688" i="5"/>
  <c r="M688" i="5"/>
  <c r="Q688" i="5" s="1"/>
  <c r="G688" i="5"/>
  <c r="X687" i="5"/>
  <c r="U687" i="5"/>
  <c r="V687" i="5" s="1"/>
  <c r="T687" i="5"/>
  <c r="S687" i="5"/>
  <c r="R687" i="5"/>
  <c r="M687" i="5"/>
  <c r="Q687" i="5" s="1"/>
  <c r="G687" i="5"/>
  <c r="X686" i="5"/>
  <c r="U686" i="5"/>
  <c r="V686" i="5" s="1"/>
  <c r="T686" i="5"/>
  <c r="S686" i="5"/>
  <c r="R686" i="5"/>
  <c r="M686" i="5"/>
  <c r="Q686" i="5" s="1"/>
  <c r="G686" i="5"/>
  <c r="X685" i="5"/>
  <c r="U685" i="5"/>
  <c r="V685" i="5" s="1"/>
  <c r="T685" i="5"/>
  <c r="S685" i="5"/>
  <c r="R685" i="5"/>
  <c r="M685" i="5"/>
  <c r="Q685" i="5" s="1"/>
  <c r="G685" i="5"/>
  <c r="X684" i="5"/>
  <c r="U684" i="5"/>
  <c r="V684" i="5" s="1"/>
  <c r="T684" i="5"/>
  <c r="S684" i="5"/>
  <c r="R684" i="5"/>
  <c r="M684" i="5"/>
  <c r="Q684" i="5" s="1"/>
  <c r="G684" i="5"/>
  <c r="X683" i="5"/>
  <c r="U683" i="5"/>
  <c r="V683" i="5" s="1"/>
  <c r="T683" i="5"/>
  <c r="S683" i="5"/>
  <c r="R683" i="5"/>
  <c r="M683" i="5"/>
  <c r="Q683" i="5" s="1"/>
  <c r="G683" i="5"/>
  <c r="X682" i="5"/>
  <c r="U682" i="5"/>
  <c r="V682" i="5" s="1"/>
  <c r="T682" i="5"/>
  <c r="S682" i="5"/>
  <c r="R682" i="5"/>
  <c r="M682" i="5"/>
  <c r="Q682" i="5" s="1"/>
  <c r="G682" i="5"/>
  <c r="X681" i="5"/>
  <c r="U681" i="5"/>
  <c r="V681" i="5" s="1"/>
  <c r="T681" i="5"/>
  <c r="S681" i="5"/>
  <c r="R681" i="5"/>
  <c r="M681" i="5"/>
  <c r="Q681" i="5" s="1"/>
  <c r="G681" i="5"/>
  <c r="X680" i="5"/>
  <c r="U680" i="5"/>
  <c r="V680" i="5" s="1"/>
  <c r="T680" i="5"/>
  <c r="S680" i="5"/>
  <c r="R680" i="5"/>
  <c r="M680" i="5"/>
  <c r="Q680" i="5" s="1"/>
  <c r="G680" i="5"/>
  <c r="X679" i="5"/>
  <c r="U679" i="5"/>
  <c r="V679" i="5" s="1"/>
  <c r="T679" i="5"/>
  <c r="S679" i="5"/>
  <c r="R679" i="5"/>
  <c r="M679" i="5"/>
  <c r="Q679" i="5" s="1"/>
  <c r="G679" i="5"/>
  <c r="X678" i="5"/>
  <c r="U678" i="5"/>
  <c r="V678" i="5" s="1"/>
  <c r="T678" i="5"/>
  <c r="S678" i="5"/>
  <c r="R678" i="5"/>
  <c r="M678" i="5"/>
  <c r="Q678" i="5" s="1"/>
  <c r="G678" i="5"/>
  <c r="X677" i="5"/>
  <c r="U677" i="5"/>
  <c r="V677" i="5" s="1"/>
  <c r="T677" i="5"/>
  <c r="S677" i="5"/>
  <c r="R677" i="5"/>
  <c r="M677" i="5"/>
  <c r="Q677" i="5" s="1"/>
  <c r="G677" i="5"/>
  <c r="X676" i="5"/>
  <c r="U676" i="5"/>
  <c r="V676" i="5" s="1"/>
  <c r="T676" i="5"/>
  <c r="S676" i="5"/>
  <c r="R676" i="5"/>
  <c r="M676" i="5"/>
  <c r="Q676" i="5" s="1"/>
  <c r="G676" i="5"/>
  <c r="X675" i="5"/>
  <c r="U675" i="5"/>
  <c r="V675" i="5" s="1"/>
  <c r="T675" i="5"/>
  <c r="S675" i="5"/>
  <c r="R675" i="5"/>
  <c r="M675" i="5"/>
  <c r="Q675" i="5" s="1"/>
  <c r="G675" i="5"/>
  <c r="X674" i="5"/>
  <c r="U674" i="5"/>
  <c r="V674" i="5" s="1"/>
  <c r="T674" i="5"/>
  <c r="S674" i="5"/>
  <c r="R674" i="5"/>
  <c r="M674" i="5"/>
  <c r="Q674" i="5" s="1"/>
  <c r="G674" i="5"/>
  <c r="X673" i="5"/>
  <c r="U673" i="5"/>
  <c r="V673" i="5" s="1"/>
  <c r="T673" i="5"/>
  <c r="S673" i="5"/>
  <c r="R673" i="5"/>
  <c r="M673" i="5"/>
  <c r="Q673" i="5" s="1"/>
  <c r="G673" i="5"/>
  <c r="X672" i="5"/>
  <c r="U672" i="5"/>
  <c r="V672" i="5" s="1"/>
  <c r="T672" i="5"/>
  <c r="S672" i="5"/>
  <c r="R672" i="5"/>
  <c r="M672" i="5"/>
  <c r="Q672" i="5" s="1"/>
  <c r="G672" i="5"/>
  <c r="X671" i="5"/>
  <c r="U671" i="5"/>
  <c r="V671" i="5" s="1"/>
  <c r="T671" i="5"/>
  <c r="S671" i="5"/>
  <c r="R671" i="5"/>
  <c r="M671" i="5"/>
  <c r="Q671" i="5" s="1"/>
  <c r="G671" i="5"/>
  <c r="X670" i="5"/>
  <c r="U670" i="5"/>
  <c r="V670" i="5" s="1"/>
  <c r="T670" i="5"/>
  <c r="S670" i="5"/>
  <c r="R670" i="5"/>
  <c r="M670" i="5"/>
  <c r="Q670" i="5" s="1"/>
  <c r="G670" i="5"/>
  <c r="X669" i="5"/>
  <c r="U669" i="5"/>
  <c r="V669" i="5" s="1"/>
  <c r="T669" i="5"/>
  <c r="S669" i="5"/>
  <c r="R669" i="5"/>
  <c r="M669" i="5"/>
  <c r="Q669" i="5" s="1"/>
  <c r="G669" i="5"/>
  <c r="X668" i="5"/>
  <c r="U668" i="5"/>
  <c r="V668" i="5" s="1"/>
  <c r="T668" i="5"/>
  <c r="S668" i="5"/>
  <c r="R668" i="5"/>
  <c r="M668" i="5"/>
  <c r="Q668" i="5" s="1"/>
  <c r="G668" i="5"/>
  <c r="X667" i="5"/>
  <c r="U667" i="5"/>
  <c r="V667" i="5" s="1"/>
  <c r="T667" i="5"/>
  <c r="S667" i="5"/>
  <c r="R667" i="5"/>
  <c r="M667" i="5"/>
  <c r="Q667" i="5" s="1"/>
  <c r="G667" i="5"/>
  <c r="X666" i="5"/>
  <c r="U666" i="5"/>
  <c r="V666" i="5" s="1"/>
  <c r="T666" i="5"/>
  <c r="S666" i="5"/>
  <c r="R666" i="5"/>
  <c r="M666" i="5"/>
  <c r="Q666" i="5" s="1"/>
  <c r="G666" i="5"/>
  <c r="X665" i="5"/>
  <c r="U665" i="5"/>
  <c r="V665" i="5" s="1"/>
  <c r="T665" i="5"/>
  <c r="S665" i="5"/>
  <c r="R665" i="5"/>
  <c r="M665" i="5"/>
  <c r="Q665" i="5" s="1"/>
  <c r="G665" i="5"/>
  <c r="X664" i="5"/>
  <c r="U664" i="5"/>
  <c r="V664" i="5" s="1"/>
  <c r="T664" i="5"/>
  <c r="S664" i="5"/>
  <c r="R664" i="5"/>
  <c r="M664" i="5"/>
  <c r="Q664" i="5" s="1"/>
  <c r="G664" i="5"/>
  <c r="X663" i="5"/>
  <c r="U663" i="5"/>
  <c r="V663" i="5" s="1"/>
  <c r="T663" i="5"/>
  <c r="S663" i="5"/>
  <c r="R663" i="5"/>
  <c r="M663" i="5"/>
  <c r="Q663" i="5" s="1"/>
  <c r="G663" i="5"/>
  <c r="X662" i="5"/>
  <c r="U662" i="5"/>
  <c r="V662" i="5" s="1"/>
  <c r="T662" i="5"/>
  <c r="S662" i="5"/>
  <c r="R662" i="5"/>
  <c r="M662" i="5"/>
  <c r="Q662" i="5" s="1"/>
  <c r="G662" i="5"/>
  <c r="X661" i="5"/>
  <c r="U661" i="5"/>
  <c r="V661" i="5" s="1"/>
  <c r="T661" i="5"/>
  <c r="S661" i="5"/>
  <c r="R661" i="5"/>
  <c r="M661" i="5"/>
  <c r="Q661" i="5" s="1"/>
  <c r="G661" i="5"/>
  <c r="X660" i="5"/>
  <c r="U660" i="5"/>
  <c r="V660" i="5" s="1"/>
  <c r="T660" i="5"/>
  <c r="S660" i="5"/>
  <c r="R660" i="5"/>
  <c r="M660" i="5"/>
  <c r="Q660" i="5" s="1"/>
  <c r="G660" i="5"/>
  <c r="X659" i="5"/>
  <c r="U659" i="5"/>
  <c r="V659" i="5" s="1"/>
  <c r="T659" i="5"/>
  <c r="S659" i="5"/>
  <c r="R659" i="5"/>
  <c r="M659" i="5"/>
  <c r="Q659" i="5" s="1"/>
  <c r="G659" i="5"/>
  <c r="X658" i="5"/>
  <c r="U658" i="5"/>
  <c r="V658" i="5" s="1"/>
  <c r="T658" i="5"/>
  <c r="S658" i="5"/>
  <c r="R658" i="5"/>
  <c r="M658" i="5"/>
  <c r="Q658" i="5" s="1"/>
  <c r="G658" i="5"/>
  <c r="X657" i="5"/>
  <c r="U657" i="5"/>
  <c r="V657" i="5" s="1"/>
  <c r="T657" i="5"/>
  <c r="S657" i="5"/>
  <c r="R657" i="5"/>
  <c r="M657" i="5"/>
  <c r="Q657" i="5" s="1"/>
  <c r="G657" i="5"/>
  <c r="X656" i="5"/>
  <c r="U656" i="5"/>
  <c r="V656" i="5" s="1"/>
  <c r="T656" i="5"/>
  <c r="S656" i="5"/>
  <c r="R656" i="5"/>
  <c r="M656" i="5"/>
  <c r="Q656" i="5" s="1"/>
  <c r="G656" i="5"/>
  <c r="X655" i="5"/>
  <c r="U655" i="5"/>
  <c r="V655" i="5" s="1"/>
  <c r="T655" i="5"/>
  <c r="S655" i="5"/>
  <c r="R655" i="5"/>
  <c r="M655" i="5"/>
  <c r="Q655" i="5" s="1"/>
  <c r="G655" i="5"/>
  <c r="X654" i="5"/>
  <c r="U654" i="5"/>
  <c r="V654" i="5" s="1"/>
  <c r="T654" i="5"/>
  <c r="S654" i="5"/>
  <c r="R654" i="5"/>
  <c r="M654" i="5"/>
  <c r="Q654" i="5" s="1"/>
  <c r="G654" i="5"/>
  <c r="X653" i="5"/>
  <c r="U653" i="5"/>
  <c r="V653" i="5" s="1"/>
  <c r="T653" i="5"/>
  <c r="S653" i="5"/>
  <c r="R653" i="5"/>
  <c r="M653" i="5"/>
  <c r="Q653" i="5" s="1"/>
  <c r="G653" i="5"/>
  <c r="X652" i="5"/>
  <c r="U652" i="5"/>
  <c r="V652" i="5" s="1"/>
  <c r="T652" i="5"/>
  <c r="S652" i="5"/>
  <c r="R652" i="5"/>
  <c r="M652" i="5"/>
  <c r="Q652" i="5" s="1"/>
  <c r="G652" i="5"/>
  <c r="X651" i="5"/>
  <c r="U651" i="5"/>
  <c r="V651" i="5" s="1"/>
  <c r="T651" i="5"/>
  <c r="S651" i="5"/>
  <c r="R651" i="5"/>
  <c r="M651" i="5"/>
  <c r="Q651" i="5" s="1"/>
  <c r="G651" i="5"/>
  <c r="X650" i="5"/>
  <c r="U650" i="5"/>
  <c r="V650" i="5" s="1"/>
  <c r="T650" i="5"/>
  <c r="S650" i="5"/>
  <c r="R650" i="5"/>
  <c r="M650" i="5"/>
  <c r="Q650" i="5" s="1"/>
  <c r="G650" i="5"/>
  <c r="X649" i="5"/>
  <c r="U649" i="5"/>
  <c r="V649" i="5" s="1"/>
  <c r="T649" i="5"/>
  <c r="S649" i="5"/>
  <c r="R649" i="5"/>
  <c r="M649" i="5"/>
  <c r="Q649" i="5" s="1"/>
  <c r="G649" i="5"/>
  <c r="X648" i="5"/>
  <c r="U648" i="5"/>
  <c r="V648" i="5" s="1"/>
  <c r="T648" i="5"/>
  <c r="S648" i="5"/>
  <c r="R648" i="5"/>
  <c r="M648" i="5"/>
  <c r="Q648" i="5" s="1"/>
  <c r="G648" i="5"/>
  <c r="X647" i="5"/>
  <c r="U647" i="5"/>
  <c r="V647" i="5" s="1"/>
  <c r="T647" i="5"/>
  <c r="S647" i="5"/>
  <c r="R647" i="5"/>
  <c r="M647" i="5"/>
  <c r="Q647" i="5" s="1"/>
  <c r="G647" i="5"/>
  <c r="X646" i="5"/>
  <c r="U646" i="5"/>
  <c r="V646" i="5" s="1"/>
  <c r="T646" i="5"/>
  <c r="S646" i="5"/>
  <c r="R646" i="5"/>
  <c r="M646" i="5"/>
  <c r="Q646" i="5" s="1"/>
  <c r="G646" i="5"/>
  <c r="X645" i="5"/>
  <c r="U645" i="5"/>
  <c r="V645" i="5" s="1"/>
  <c r="T645" i="5"/>
  <c r="S645" i="5"/>
  <c r="R645" i="5"/>
  <c r="M645" i="5"/>
  <c r="Q645" i="5" s="1"/>
  <c r="G645" i="5"/>
  <c r="X644" i="5"/>
  <c r="U644" i="5"/>
  <c r="V644" i="5" s="1"/>
  <c r="T644" i="5"/>
  <c r="S644" i="5"/>
  <c r="R644" i="5"/>
  <c r="M644" i="5"/>
  <c r="Q644" i="5" s="1"/>
  <c r="G644" i="5"/>
  <c r="X643" i="5"/>
  <c r="U643" i="5"/>
  <c r="V643" i="5" s="1"/>
  <c r="T643" i="5"/>
  <c r="S643" i="5"/>
  <c r="R643" i="5"/>
  <c r="M643" i="5"/>
  <c r="Q643" i="5" s="1"/>
  <c r="G643" i="5"/>
  <c r="X642" i="5"/>
  <c r="U642" i="5"/>
  <c r="V642" i="5" s="1"/>
  <c r="T642" i="5"/>
  <c r="S642" i="5"/>
  <c r="R642" i="5"/>
  <c r="M642" i="5"/>
  <c r="Q642" i="5" s="1"/>
  <c r="G642" i="5"/>
  <c r="X641" i="5"/>
  <c r="U641" i="5"/>
  <c r="V641" i="5" s="1"/>
  <c r="T641" i="5"/>
  <c r="S641" i="5"/>
  <c r="R641" i="5"/>
  <c r="M641" i="5"/>
  <c r="Q641" i="5" s="1"/>
  <c r="G641" i="5"/>
  <c r="X640" i="5"/>
  <c r="U640" i="5"/>
  <c r="V640" i="5" s="1"/>
  <c r="T640" i="5"/>
  <c r="S640" i="5"/>
  <c r="R640" i="5"/>
  <c r="M640" i="5"/>
  <c r="Q640" i="5" s="1"/>
  <c r="G640" i="5"/>
  <c r="X639" i="5"/>
  <c r="U639" i="5"/>
  <c r="V639" i="5" s="1"/>
  <c r="T639" i="5"/>
  <c r="S639" i="5"/>
  <c r="R639" i="5"/>
  <c r="M639" i="5"/>
  <c r="Q639" i="5" s="1"/>
  <c r="G639" i="5"/>
  <c r="X638" i="5"/>
  <c r="U638" i="5"/>
  <c r="V638" i="5" s="1"/>
  <c r="T638" i="5"/>
  <c r="S638" i="5"/>
  <c r="R638" i="5"/>
  <c r="M638" i="5"/>
  <c r="Q638" i="5" s="1"/>
  <c r="G638" i="5"/>
  <c r="X637" i="5"/>
  <c r="U637" i="5"/>
  <c r="V637" i="5" s="1"/>
  <c r="T637" i="5"/>
  <c r="S637" i="5"/>
  <c r="R637" i="5"/>
  <c r="M637" i="5"/>
  <c r="Q637" i="5" s="1"/>
  <c r="G637" i="5"/>
  <c r="X636" i="5"/>
  <c r="U636" i="5"/>
  <c r="V636" i="5" s="1"/>
  <c r="T636" i="5"/>
  <c r="S636" i="5"/>
  <c r="R636" i="5"/>
  <c r="M636" i="5"/>
  <c r="Q636" i="5" s="1"/>
  <c r="G636" i="5"/>
  <c r="X635" i="5"/>
  <c r="U635" i="5"/>
  <c r="V635" i="5" s="1"/>
  <c r="T635" i="5"/>
  <c r="S635" i="5"/>
  <c r="R635" i="5"/>
  <c r="M635" i="5"/>
  <c r="Q635" i="5" s="1"/>
  <c r="G635" i="5"/>
  <c r="X634" i="5"/>
  <c r="U634" i="5"/>
  <c r="V634" i="5" s="1"/>
  <c r="T634" i="5"/>
  <c r="S634" i="5"/>
  <c r="R634" i="5"/>
  <c r="M634" i="5"/>
  <c r="Q634" i="5" s="1"/>
  <c r="G634" i="5"/>
  <c r="X633" i="5"/>
  <c r="U633" i="5"/>
  <c r="V633" i="5" s="1"/>
  <c r="T633" i="5"/>
  <c r="S633" i="5"/>
  <c r="R633" i="5"/>
  <c r="M633" i="5"/>
  <c r="Q633" i="5" s="1"/>
  <c r="G633" i="5"/>
  <c r="X632" i="5"/>
  <c r="U632" i="5"/>
  <c r="V632" i="5" s="1"/>
  <c r="T632" i="5"/>
  <c r="S632" i="5"/>
  <c r="R632" i="5"/>
  <c r="M632" i="5"/>
  <c r="Q632" i="5" s="1"/>
  <c r="G632" i="5"/>
  <c r="X631" i="5"/>
  <c r="U631" i="5"/>
  <c r="V631" i="5" s="1"/>
  <c r="T631" i="5"/>
  <c r="S631" i="5"/>
  <c r="R631" i="5"/>
  <c r="M631" i="5"/>
  <c r="Q631" i="5" s="1"/>
  <c r="G631" i="5"/>
  <c r="X630" i="5"/>
  <c r="U630" i="5"/>
  <c r="V630" i="5" s="1"/>
  <c r="T630" i="5"/>
  <c r="S630" i="5"/>
  <c r="R630" i="5"/>
  <c r="M630" i="5"/>
  <c r="Q630" i="5" s="1"/>
  <c r="G630" i="5"/>
  <c r="X629" i="5"/>
  <c r="U629" i="5"/>
  <c r="V629" i="5" s="1"/>
  <c r="T629" i="5"/>
  <c r="S629" i="5"/>
  <c r="R629" i="5"/>
  <c r="M629" i="5"/>
  <c r="Q629" i="5" s="1"/>
  <c r="G629" i="5"/>
  <c r="X628" i="5"/>
  <c r="U628" i="5"/>
  <c r="V628" i="5" s="1"/>
  <c r="T628" i="5"/>
  <c r="S628" i="5"/>
  <c r="R628" i="5"/>
  <c r="M628" i="5"/>
  <c r="Q628" i="5" s="1"/>
  <c r="G628" i="5"/>
  <c r="X627" i="5"/>
  <c r="U627" i="5"/>
  <c r="V627" i="5" s="1"/>
  <c r="T627" i="5"/>
  <c r="S627" i="5"/>
  <c r="R627" i="5"/>
  <c r="M627" i="5"/>
  <c r="Q627" i="5" s="1"/>
  <c r="G627" i="5"/>
  <c r="X626" i="5"/>
  <c r="U626" i="5"/>
  <c r="V626" i="5" s="1"/>
  <c r="T626" i="5"/>
  <c r="S626" i="5"/>
  <c r="R626" i="5"/>
  <c r="M626" i="5"/>
  <c r="Q626" i="5" s="1"/>
  <c r="G626" i="5"/>
  <c r="X625" i="5"/>
  <c r="U625" i="5"/>
  <c r="V625" i="5" s="1"/>
  <c r="T625" i="5"/>
  <c r="S625" i="5"/>
  <c r="R625" i="5"/>
  <c r="M625" i="5"/>
  <c r="Q625" i="5" s="1"/>
  <c r="G625" i="5"/>
  <c r="X624" i="5"/>
  <c r="U624" i="5"/>
  <c r="V624" i="5" s="1"/>
  <c r="T624" i="5"/>
  <c r="S624" i="5"/>
  <c r="R624" i="5"/>
  <c r="M624" i="5"/>
  <c r="Q624" i="5" s="1"/>
  <c r="G624" i="5"/>
  <c r="X623" i="5"/>
  <c r="U623" i="5"/>
  <c r="V623" i="5" s="1"/>
  <c r="T623" i="5"/>
  <c r="S623" i="5"/>
  <c r="R623" i="5"/>
  <c r="M623" i="5"/>
  <c r="Q623" i="5" s="1"/>
  <c r="G623" i="5"/>
  <c r="X622" i="5"/>
  <c r="U622" i="5"/>
  <c r="V622" i="5" s="1"/>
  <c r="T622" i="5"/>
  <c r="S622" i="5"/>
  <c r="R622" i="5"/>
  <c r="M622" i="5"/>
  <c r="Q622" i="5" s="1"/>
  <c r="G622" i="5"/>
  <c r="X621" i="5"/>
  <c r="U621" i="5"/>
  <c r="V621" i="5" s="1"/>
  <c r="T621" i="5"/>
  <c r="S621" i="5"/>
  <c r="R621" i="5"/>
  <c r="M621" i="5"/>
  <c r="Q621" i="5" s="1"/>
  <c r="G621" i="5"/>
  <c r="X620" i="5"/>
  <c r="U620" i="5"/>
  <c r="V620" i="5" s="1"/>
  <c r="T620" i="5"/>
  <c r="S620" i="5"/>
  <c r="R620" i="5"/>
  <c r="M620" i="5"/>
  <c r="Q620" i="5" s="1"/>
  <c r="G620" i="5"/>
  <c r="X619" i="5"/>
  <c r="U619" i="5"/>
  <c r="V619" i="5" s="1"/>
  <c r="T619" i="5"/>
  <c r="S619" i="5"/>
  <c r="R619" i="5"/>
  <c r="M619" i="5"/>
  <c r="Q619" i="5" s="1"/>
  <c r="G619" i="5"/>
  <c r="X618" i="5"/>
  <c r="U618" i="5"/>
  <c r="V618" i="5" s="1"/>
  <c r="T618" i="5"/>
  <c r="S618" i="5"/>
  <c r="R618" i="5"/>
  <c r="M618" i="5"/>
  <c r="Q618" i="5" s="1"/>
  <c r="G618" i="5"/>
  <c r="X617" i="5"/>
  <c r="U617" i="5"/>
  <c r="V617" i="5" s="1"/>
  <c r="T617" i="5"/>
  <c r="S617" i="5"/>
  <c r="R617" i="5"/>
  <c r="M617" i="5"/>
  <c r="Q617" i="5" s="1"/>
  <c r="G617" i="5"/>
  <c r="X616" i="5"/>
  <c r="U616" i="5"/>
  <c r="V616" i="5" s="1"/>
  <c r="T616" i="5"/>
  <c r="S616" i="5"/>
  <c r="R616" i="5"/>
  <c r="M616" i="5"/>
  <c r="Q616" i="5" s="1"/>
  <c r="G616" i="5"/>
  <c r="X615" i="5"/>
  <c r="U615" i="5"/>
  <c r="V615" i="5" s="1"/>
  <c r="T615" i="5"/>
  <c r="S615" i="5"/>
  <c r="R615" i="5"/>
  <c r="M615" i="5"/>
  <c r="Q615" i="5" s="1"/>
  <c r="G615" i="5"/>
  <c r="X614" i="5"/>
  <c r="U614" i="5"/>
  <c r="V614" i="5" s="1"/>
  <c r="T614" i="5"/>
  <c r="S614" i="5"/>
  <c r="R614" i="5"/>
  <c r="M614" i="5"/>
  <c r="Q614" i="5" s="1"/>
  <c r="G614" i="5"/>
  <c r="X613" i="5"/>
  <c r="U613" i="5"/>
  <c r="V613" i="5" s="1"/>
  <c r="T613" i="5"/>
  <c r="S613" i="5"/>
  <c r="R613" i="5"/>
  <c r="M613" i="5"/>
  <c r="Q613" i="5" s="1"/>
  <c r="G613" i="5"/>
  <c r="X612" i="5"/>
  <c r="U612" i="5"/>
  <c r="V612" i="5" s="1"/>
  <c r="T612" i="5"/>
  <c r="S612" i="5"/>
  <c r="R612" i="5"/>
  <c r="M612" i="5"/>
  <c r="Q612" i="5" s="1"/>
  <c r="G612" i="5"/>
  <c r="X611" i="5"/>
  <c r="U611" i="5"/>
  <c r="V611" i="5" s="1"/>
  <c r="T611" i="5"/>
  <c r="S611" i="5"/>
  <c r="R611" i="5"/>
  <c r="M611" i="5"/>
  <c r="Q611" i="5" s="1"/>
  <c r="G611" i="5"/>
  <c r="X610" i="5"/>
  <c r="U610" i="5"/>
  <c r="V610" i="5" s="1"/>
  <c r="T610" i="5"/>
  <c r="S610" i="5"/>
  <c r="R610" i="5"/>
  <c r="M610" i="5"/>
  <c r="Q610" i="5" s="1"/>
  <c r="G610" i="5"/>
  <c r="X609" i="5"/>
  <c r="U609" i="5"/>
  <c r="V609" i="5" s="1"/>
  <c r="T609" i="5"/>
  <c r="S609" i="5"/>
  <c r="R609" i="5"/>
  <c r="M609" i="5"/>
  <c r="Q609" i="5" s="1"/>
  <c r="G609" i="5"/>
  <c r="X608" i="5"/>
  <c r="U608" i="5"/>
  <c r="V608" i="5" s="1"/>
  <c r="T608" i="5"/>
  <c r="S608" i="5"/>
  <c r="R608" i="5"/>
  <c r="M608" i="5"/>
  <c r="Q608" i="5" s="1"/>
  <c r="G608" i="5"/>
  <c r="X607" i="5"/>
  <c r="U607" i="5"/>
  <c r="V607" i="5" s="1"/>
  <c r="T607" i="5"/>
  <c r="S607" i="5"/>
  <c r="R607" i="5"/>
  <c r="M607" i="5"/>
  <c r="Q607" i="5" s="1"/>
  <c r="G607" i="5"/>
  <c r="X606" i="5"/>
  <c r="U606" i="5"/>
  <c r="V606" i="5" s="1"/>
  <c r="T606" i="5"/>
  <c r="S606" i="5"/>
  <c r="R606" i="5"/>
  <c r="M606" i="5"/>
  <c r="Q606" i="5" s="1"/>
  <c r="G606" i="5"/>
  <c r="X605" i="5"/>
  <c r="U605" i="5"/>
  <c r="V605" i="5" s="1"/>
  <c r="T605" i="5"/>
  <c r="S605" i="5"/>
  <c r="R605" i="5"/>
  <c r="M605" i="5"/>
  <c r="Q605" i="5" s="1"/>
  <c r="G605" i="5"/>
  <c r="X604" i="5"/>
  <c r="U604" i="5"/>
  <c r="V604" i="5" s="1"/>
  <c r="T604" i="5"/>
  <c r="S604" i="5"/>
  <c r="R604" i="5"/>
  <c r="M604" i="5"/>
  <c r="Q604" i="5" s="1"/>
  <c r="G604" i="5"/>
  <c r="X603" i="5"/>
  <c r="U603" i="5"/>
  <c r="V603" i="5" s="1"/>
  <c r="T603" i="5"/>
  <c r="S603" i="5"/>
  <c r="R603" i="5"/>
  <c r="M603" i="5"/>
  <c r="Q603" i="5" s="1"/>
  <c r="G603" i="5"/>
  <c r="X602" i="5"/>
  <c r="U602" i="5"/>
  <c r="V602" i="5" s="1"/>
  <c r="T602" i="5"/>
  <c r="S602" i="5"/>
  <c r="R602" i="5"/>
  <c r="M602" i="5"/>
  <c r="Q602" i="5" s="1"/>
  <c r="G602" i="5"/>
  <c r="X601" i="5"/>
  <c r="U601" i="5"/>
  <c r="V601" i="5" s="1"/>
  <c r="T601" i="5"/>
  <c r="S601" i="5"/>
  <c r="R601" i="5"/>
  <c r="M601" i="5"/>
  <c r="Q601" i="5" s="1"/>
  <c r="G601" i="5"/>
  <c r="X600" i="5"/>
  <c r="U600" i="5"/>
  <c r="V600" i="5" s="1"/>
  <c r="T600" i="5"/>
  <c r="S600" i="5"/>
  <c r="R600" i="5"/>
  <c r="M600" i="5"/>
  <c r="Q600" i="5" s="1"/>
  <c r="G600" i="5"/>
  <c r="X599" i="5"/>
  <c r="U599" i="5"/>
  <c r="V599" i="5" s="1"/>
  <c r="T599" i="5"/>
  <c r="S599" i="5"/>
  <c r="R599" i="5"/>
  <c r="M599" i="5"/>
  <c r="Q599" i="5" s="1"/>
  <c r="G599" i="5"/>
  <c r="X598" i="5"/>
  <c r="U598" i="5"/>
  <c r="V598" i="5" s="1"/>
  <c r="T598" i="5"/>
  <c r="S598" i="5"/>
  <c r="R598" i="5"/>
  <c r="M598" i="5"/>
  <c r="Q598" i="5" s="1"/>
  <c r="G598" i="5"/>
  <c r="X597" i="5"/>
  <c r="U597" i="5"/>
  <c r="V597" i="5" s="1"/>
  <c r="T597" i="5"/>
  <c r="S597" i="5"/>
  <c r="R597" i="5"/>
  <c r="M597" i="5"/>
  <c r="Q597" i="5" s="1"/>
  <c r="G597" i="5"/>
  <c r="X596" i="5"/>
  <c r="U596" i="5"/>
  <c r="V596" i="5" s="1"/>
  <c r="T596" i="5"/>
  <c r="S596" i="5"/>
  <c r="R596" i="5"/>
  <c r="M596" i="5"/>
  <c r="Q596" i="5" s="1"/>
  <c r="G596" i="5"/>
  <c r="X595" i="5"/>
  <c r="U595" i="5"/>
  <c r="V595" i="5" s="1"/>
  <c r="T595" i="5"/>
  <c r="S595" i="5"/>
  <c r="R595" i="5"/>
  <c r="M595" i="5"/>
  <c r="Q595" i="5" s="1"/>
  <c r="G595" i="5"/>
  <c r="X594" i="5"/>
  <c r="U594" i="5"/>
  <c r="V594" i="5" s="1"/>
  <c r="T594" i="5"/>
  <c r="S594" i="5"/>
  <c r="R594" i="5"/>
  <c r="M594" i="5"/>
  <c r="Q594" i="5" s="1"/>
  <c r="G594" i="5"/>
  <c r="X593" i="5"/>
  <c r="U593" i="5"/>
  <c r="V593" i="5" s="1"/>
  <c r="T593" i="5"/>
  <c r="S593" i="5"/>
  <c r="R593" i="5"/>
  <c r="M593" i="5"/>
  <c r="Q593" i="5" s="1"/>
  <c r="G593" i="5"/>
  <c r="X592" i="5"/>
  <c r="U592" i="5"/>
  <c r="V592" i="5" s="1"/>
  <c r="T592" i="5"/>
  <c r="S592" i="5"/>
  <c r="R592" i="5"/>
  <c r="M592" i="5"/>
  <c r="Q592" i="5" s="1"/>
  <c r="G592" i="5"/>
  <c r="X591" i="5"/>
  <c r="U591" i="5"/>
  <c r="V591" i="5" s="1"/>
  <c r="T591" i="5"/>
  <c r="S591" i="5"/>
  <c r="R591" i="5"/>
  <c r="M591" i="5"/>
  <c r="Q591" i="5" s="1"/>
  <c r="G591" i="5"/>
  <c r="X590" i="5"/>
  <c r="U590" i="5"/>
  <c r="V590" i="5" s="1"/>
  <c r="T590" i="5"/>
  <c r="S590" i="5"/>
  <c r="R590" i="5"/>
  <c r="M590" i="5"/>
  <c r="Q590" i="5" s="1"/>
  <c r="G590" i="5"/>
  <c r="X589" i="5"/>
  <c r="U589" i="5"/>
  <c r="V589" i="5" s="1"/>
  <c r="T589" i="5"/>
  <c r="S589" i="5"/>
  <c r="R589" i="5"/>
  <c r="M589" i="5"/>
  <c r="Q589" i="5" s="1"/>
  <c r="G589" i="5"/>
  <c r="X588" i="5"/>
  <c r="U588" i="5"/>
  <c r="V588" i="5" s="1"/>
  <c r="T588" i="5"/>
  <c r="S588" i="5"/>
  <c r="R588" i="5"/>
  <c r="M588" i="5"/>
  <c r="Q588" i="5" s="1"/>
  <c r="G588" i="5"/>
  <c r="X587" i="5"/>
  <c r="U587" i="5"/>
  <c r="V587" i="5" s="1"/>
  <c r="T587" i="5"/>
  <c r="S587" i="5"/>
  <c r="R587" i="5"/>
  <c r="M587" i="5"/>
  <c r="Q587" i="5" s="1"/>
  <c r="G587" i="5"/>
  <c r="X586" i="5"/>
  <c r="U586" i="5"/>
  <c r="V586" i="5" s="1"/>
  <c r="T586" i="5"/>
  <c r="S586" i="5"/>
  <c r="R586" i="5"/>
  <c r="M586" i="5"/>
  <c r="Q586" i="5" s="1"/>
  <c r="G586" i="5"/>
  <c r="X585" i="5"/>
  <c r="U585" i="5"/>
  <c r="V585" i="5" s="1"/>
  <c r="T585" i="5"/>
  <c r="S585" i="5"/>
  <c r="R585" i="5"/>
  <c r="M585" i="5"/>
  <c r="Q585" i="5" s="1"/>
  <c r="G585" i="5"/>
  <c r="X584" i="5"/>
  <c r="U584" i="5"/>
  <c r="V584" i="5" s="1"/>
  <c r="T584" i="5"/>
  <c r="S584" i="5"/>
  <c r="R584" i="5"/>
  <c r="M584" i="5"/>
  <c r="Q584" i="5" s="1"/>
  <c r="G584" i="5"/>
  <c r="X583" i="5"/>
  <c r="U583" i="5"/>
  <c r="V583" i="5" s="1"/>
  <c r="T583" i="5"/>
  <c r="S583" i="5"/>
  <c r="R583" i="5"/>
  <c r="M583" i="5"/>
  <c r="Q583" i="5" s="1"/>
  <c r="G583" i="5"/>
  <c r="X582" i="5"/>
  <c r="U582" i="5"/>
  <c r="V582" i="5" s="1"/>
  <c r="T582" i="5"/>
  <c r="S582" i="5"/>
  <c r="R582" i="5"/>
  <c r="M582" i="5"/>
  <c r="Q582" i="5" s="1"/>
  <c r="G582" i="5"/>
  <c r="X581" i="5"/>
  <c r="U581" i="5"/>
  <c r="V581" i="5" s="1"/>
  <c r="T581" i="5"/>
  <c r="S581" i="5"/>
  <c r="R581" i="5"/>
  <c r="M581" i="5"/>
  <c r="Q581" i="5" s="1"/>
  <c r="G581" i="5"/>
  <c r="X580" i="5"/>
  <c r="U580" i="5"/>
  <c r="V580" i="5" s="1"/>
  <c r="T580" i="5"/>
  <c r="S580" i="5"/>
  <c r="R580" i="5"/>
  <c r="M580" i="5"/>
  <c r="Q580" i="5" s="1"/>
  <c r="G580" i="5"/>
  <c r="X579" i="5"/>
  <c r="U579" i="5"/>
  <c r="V579" i="5" s="1"/>
  <c r="T579" i="5"/>
  <c r="S579" i="5"/>
  <c r="R579" i="5"/>
  <c r="M579" i="5"/>
  <c r="Q579" i="5" s="1"/>
  <c r="G579" i="5"/>
  <c r="X578" i="5"/>
  <c r="U578" i="5"/>
  <c r="V578" i="5" s="1"/>
  <c r="T578" i="5"/>
  <c r="S578" i="5"/>
  <c r="R578" i="5"/>
  <c r="M578" i="5"/>
  <c r="Q578" i="5" s="1"/>
  <c r="G578" i="5"/>
  <c r="X577" i="5"/>
  <c r="U577" i="5"/>
  <c r="V577" i="5" s="1"/>
  <c r="T577" i="5"/>
  <c r="S577" i="5"/>
  <c r="R577" i="5"/>
  <c r="M577" i="5"/>
  <c r="Q577" i="5" s="1"/>
  <c r="G577" i="5"/>
  <c r="X576" i="5"/>
  <c r="U576" i="5"/>
  <c r="V576" i="5" s="1"/>
  <c r="T576" i="5"/>
  <c r="S576" i="5"/>
  <c r="R576" i="5"/>
  <c r="M576" i="5"/>
  <c r="Q576" i="5" s="1"/>
  <c r="G576" i="5"/>
  <c r="X575" i="5"/>
  <c r="U575" i="5"/>
  <c r="V575" i="5" s="1"/>
  <c r="T575" i="5"/>
  <c r="S575" i="5"/>
  <c r="R575" i="5"/>
  <c r="M575" i="5"/>
  <c r="Q575" i="5" s="1"/>
  <c r="G575" i="5"/>
  <c r="X574" i="5"/>
  <c r="U574" i="5"/>
  <c r="V574" i="5" s="1"/>
  <c r="T574" i="5"/>
  <c r="S574" i="5"/>
  <c r="R574" i="5"/>
  <c r="M574" i="5"/>
  <c r="Q574" i="5" s="1"/>
  <c r="G574" i="5"/>
  <c r="X573" i="5"/>
  <c r="U573" i="5"/>
  <c r="V573" i="5" s="1"/>
  <c r="T573" i="5"/>
  <c r="S573" i="5"/>
  <c r="R573" i="5"/>
  <c r="M573" i="5"/>
  <c r="Q573" i="5" s="1"/>
  <c r="G573" i="5"/>
  <c r="X572" i="5"/>
  <c r="U572" i="5"/>
  <c r="V572" i="5" s="1"/>
  <c r="T572" i="5"/>
  <c r="S572" i="5"/>
  <c r="R572" i="5"/>
  <c r="M572" i="5"/>
  <c r="Q572" i="5" s="1"/>
  <c r="G572" i="5"/>
  <c r="X571" i="5"/>
  <c r="U571" i="5"/>
  <c r="V571" i="5" s="1"/>
  <c r="T571" i="5"/>
  <c r="S571" i="5"/>
  <c r="R571" i="5"/>
  <c r="M571" i="5"/>
  <c r="Q571" i="5" s="1"/>
  <c r="G571" i="5"/>
  <c r="X570" i="5"/>
  <c r="U570" i="5"/>
  <c r="V570" i="5" s="1"/>
  <c r="T570" i="5"/>
  <c r="S570" i="5"/>
  <c r="R570" i="5"/>
  <c r="M570" i="5"/>
  <c r="Q570" i="5" s="1"/>
  <c r="G570" i="5"/>
  <c r="X569" i="5"/>
  <c r="U569" i="5"/>
  <c r="V569" i="5" s="1"/>
  <c r="T569" i="5"/>
  <c r="S569" i="5"/>
  <c r="R569" i="5"/>
  <c r="M569" i="5"/>
  <c r="Q569" i="5" s="1"/>
  <c r="G569" i="5"/>
  <c r="X568" i="5"/>
  <c r="U568" i="5"/>
  <c r="V568" i="5" s="1"/>
  <c r="T568" i="5"/>
  <c r="S568" i="5"/>
  <c r="R568" i="5"/>
  <c r="M568" i="5"/>
  <c r="Q568" i="5" s="1"/>
  <c r="G568" i="5"/>
  <c r="X567" i="5"/>
  <c r="U567" i="5"/>
  <c r="V567" i="5" s="1"/>
  <c r="T567" i="5"/>
  <c r="S567" i="5"/>
  <c r="R567" i="5"/>
  <c r="M567" i="5"/>
  <c r="Q567" i="5" s="1"/>
  <c r="G567" i="5"/>
  <c r="X566" i="5"/>
  <c r="U566" i="5"/>
  <c r="V566" i="5" s="1"/>
  <c r="T566" i="5"/>
  <c r="S566" i="5"/>
  <c r="R566" i="5"/>
  <c r="M566" i="5"/>
  <c r="Q566" i="5" s="1"/>
  <c r="G566" i="5"/>
  <c r="X565" i="5"/>
  <c r="U565" i="5"/>
  <c r="V565" i="5" s="1"/>
  <c r="T565" i="5"/>
  <c r="S565" i="5"/>
  <c r="R565" i="5"/>
  <c r="M565" i="5"/>
  <c r="Q565" i="5" s="1"/>
  <c r="G565" i="5"/>
  <c r="X564" i="5"/>
  <c r="U564" i="5"/>
  <c r="V564" i="5" s="1"/>
  <c r="T564" i="5"/>
  <c r="S564" i="5"/>
  <c r="R564" i="5"/>
  <c r="M564" i="5"/>
  <c r="Q564" i="5" s="1"/>
  <c r="G564" i="5"/>
  <c r="X563" i="5"/>
  <c r="U563" i="5"/>
  <c r="V563" i="5" s="1"/>
  <c r="T563" i="5"/>
  <c r="S563" i="5"/>
  <c r="R563" i="5"/>
  <c r="M563" i="5"/>
  <c r="Q563" i="5" s="1"/>
  <c r="G563" i="5"/>
  <c r="X562" i="5"/>
  <c r="U562" i="5"/>
  <c r="V562" i="5" s="1"/>
  <c r="T562" i="5"/>
  <c r="S562" i="5"/>
  <c r="R562" i="5"/>
  <c r="M562" i="5"/>
  <c r="Q562" i="5" s="1"/>
  <c r="G562" i="5"/>
  <c r="X561" i="5"/>
  <c r="U561" i="5"/>
  <c r="V561" i="5" s="1"/>
  <c r="T561" i="5"/>
  <c r="S561" i="5"/>
  <c r="R561" i="5"/>
  <c r="M561" i="5"/>
  <c r="Q561" i="5" s="1"/>
  <c r="G561" i="5"/>
  <c r="X560" i="5"/>
  <c r="U560" i="5"/>
  <c r="V560" i="5" s="1"/>
  <c r="T560" i="5"/>
  <c r="S560" i="5"/>
  <c r="R560" i="5"/>
  <c r="M560" i="5"/>
  <c r="Q560" i="5" s="1"/>
  <c r="G560" i="5"/>
  <c r="X559" i="5"/>
  <c r="U559" i="5"/>
  <c r="V559" i="5" s="1"/>
  <c r="T559" i="5"/>
  <c r="S559" i="5"/>
  <c r="R559" i="5"/>
  <c r="M559" i="5"/>
  <c r="Q559" i="5" s="1"/>
  <c r="G559" i="5"/>
  <c r="X558" i="5"/>
  <c r="U558" i="5"/>
  <c r="V558" i="5" s="1"/>
  <c r="T558" i="5"/>
  <c r="S558" i="5"/>
  <c r="R558" i="5"/>
  <c r="M558" i="5"/>
  <c r="Q558" i="5" s="1"/>
  <c r="G558" i="5"/>
  <c r="X557" i="5"/>
  <c r="U557" i="5"/>
  <c r="V557" i="5" s="1"/>
  <c r="T557" i="5"/>
  <c r="S557" i="5"/>
  <c r="R557" i="5"/>
  <c r="M557" i="5"/>
  <c r="Q557" i="5" s="1"/>
  <c r="G557" i="5"/>
  <c r="X556" i="5"/>
  <c r="U556" i="5"/>
  <c r="V556" i="5" s="1"/>
  <c r="T556" i="5"/>
  <c r="S556" i="5"/>
  <c r="R556" i="5"/>
  <c r="M556" i="5"/>
  <c r="Q556" i="5" s="1"/>
  <c r="G556" i="5"/>
  <c r="X555" i="5"/>
  <c r="U555" i="5"/>
  <c r="V555" i="5" s="1"/>
  <c r="T555" i="5"/>
  <c r="S555" i="5"/>
  <c r="R555" i="5"/>
  <c r="M555" i="5"/>
  <c r="Q555" i="5" s="1"/>
  <c r="G555" i="5"/>
  <c r="X554" i="5"/>
  <c r="U554" i="5"/>
  <c r="V554" i="5" s="1"/>
  <c r="T554" i="5"/>
  <c r="S554" i="5"/>
  <c r="R554" i="5"/>
  <c r="M554" i="5"/>
  <c r="Q554" i="5" s="1"/>
  <c r="G554" i="5"/>
  <c r="X553" i="5"/>
  <c r="U553" i="5"/>
  <c r="V553" i="5" s="1"/>
  <c r="T553" i="5"/>
  <c r="S553" i="5"/>
  <c r="R553" i="5"/>
  <c r="M553" i="5"/>
  <c r="Q553" i="5" s="1"/>
  <c r="G553" i="5"/>
  <c r="X552" i="5"/>
  <c r="U552" i="5"/>
  <c r="V552" i="5" s="1"/>
  <c r="T552" i="5"/>
  <c r="S552" i="5"/>
  <c r="R552" i="5"/>
  <c r="M552" i="5"/>
  <c r="Q552" i="5" s="1"/>
  <c r="G552" i="5"/>
  <c r="X551" i="5"/>
  <c r="U551" i="5"/>
  <c r="V551" i="5" s="1"/>
  <c r="T551" i="5"/>
  <c r="S551" i="5"/>
  <c r="R551" i="5"/>
  <c r="M551" i="5"/>
  <c r="Q551" i="5" s="1"/>
  <c r="G551" i="5"/>
  <c r="X550" i="5"/>
  <c r="U550" i="5"/>
  <c r="V550" i="5" s="1"/>
  <c r="T550" i="5"/>
  <c r="S550" i="5"/>
  <c r="R550" i="5"/>
  <c r="M550" i="5"/>
  <c r="Q550" i="5" s="1"/>
  <c r="G550" i="5"/>
  <c r="X549" i="5"/>
  <c r="U549" i="5"/>
  <c r="V549" i="5" s="1"/>
  <c r="T549" i="5"/>
  <c r="S549" i="5"/>
  <c r="R549" i="5"/>
  <c r="M549" i="5"/>
  <c r="Q549" i="5" s="1"/>
  <c r="G549" i="5"/>
  <c r="X548" i="5"/>
  <c r="U548" i="5"/>
  <c r="V548" i="5" s="1"/>
  <c r="T548" i="5"/>
  <c r="S548" i="5"/>
  <c r="R548" i="5"/>
  <c r="M548" i="5"/>
  <c r="Q548" i="5" s="1"/>
  <c r="G548" i="5"/>
  <c r="X547" i="5"/>
  <c r="U547" i="5"/>
  <c r="V547" i="5" s="1"/>
  <c r="T547" i="5"/>
  <c r="S547" i="5"/>
  <c r="R547" i="5"/>
  <c r="M547" i="5"/>
  <c r="Q547" i="5" s="1"/>
  <c r="G547" i="5"/>
  <c r="X546" i="5"/>
  <c r="U546" i="5"/>
  <c r="V546" i="5" s="1"/>
  <c r="T546" i="5"/>
  <c r="S546" i="5"/>
  <c r="R546" i="5"/>
  <c r="M546" i="5"/>
  <c r="Q546" i="5" s="1"/>
  <c r="G546" i="5"/>
  <c r="X545" i="5"/>
  <c r="U545" i="5"/>
  <c r="V545" i="5" s="1"/>
  <c r="T545" i="5"/>
  <c r="S545" i="5"/>
  <c r="R545" i="5"/>
  <c r="M545" i="5"/>
  <c r="Q545" i="5" s="1"/>
  <c r="G545" i="5"/>
  <c r="X544" i="5"/>
  <c r="U544" i="5"/>
  <c r="V544" i="5" s="1"/>
  <c r="T544" i="5"/>
  <c r="S544" i="5"/>
  <c r="R544" i="5"/>
  <c r="M544" i="5"/>
  <c r="Q544" i="5" s="1"/>
  <c r="G544" i="5"/>
  <c r="X543" i="5"/>
  <c r="U543" i="5"/>
  <c r="V543" i="5" s="1"/>
  <c r="T543" i="5"/>
  <c r="S543" i="5"/>
  <c r="R543" i="5"/>
  <c r="M543" i="5"/>
  <c r="Q543" i="5" s="1"/>
  <c r="G543" i="5"/>
  <c r="X542" i="5"/>
  <c r="U542" i="5"/>
  <c r="V542" i="5" s="1"/>
  <c r="T542" i="5"/>
  <c r="S542" i="5"/>
  <c r="R542" i="5"/>
  <c r="M542" i="5"/>
  <c r="Q542" i="5" s="1"/>
  <c r="G542" i="5"/>
  <c r="X541" i="5"/>
  <c r="U541" i="5"/>
  <c r="V541" i="5" s="1"/>
  <c r="T541" i="5"/>
  <c r="S541" i="5"/>
  <c r="R541" i="5"/>
  <c r="M541" i="5"/>
  <c r="Q541" i="5" s="1"/>
  <c r="G541" i="5"/>
  <c r="X540" i="5"/>
  <c r="U540" i="5"/>
  <c r="V540" i="5" s="1"/>
  <c r="T540" i="5"/>
  <c r="S540" i="5"/>
  <c r="R540" i="5"/>
  <c r="M540" i="5"/>
  <c r="Q540" i="5" s="1"/>
  <c r="G540" i="5"/>
  <c r="X539" i="5"/>
  <c r="U539" i="5"/>
  <c r="V539" i="5" s="1"/>
  <c r="T539" i="5"/>
  <c r="S539" i="5"/>
  <c r="R539" i="5"/>
  <c r="M539" i="5"/>
  <c r="Q539" i="5" s="1"/>
  <c r="G539" i="5"/>
  <c r="X538" i="5"/>
  <c r="U538" i="5"/>
  <c r="V538" i="5" s="1"/>
  <c r="T538" i="5"/>
  <c r="S538" i="5"/>
  <c r="R538" i="5"/>
  <c r="M538" i="5"/>
  <c r="Q538" i="5" s="1"/>
  <c r="G538" i="5"/>
  <c r="X537" i="5"/>
  <c r="U537" i="5"/>
  <c r="V537" i="5" s="1"/>
  <c r="T537" i="5"/>
  <c r="S537" i="5"/>
  <c r="R537" i="5"/>
  <c r="M537" i="5"/>
  <c r="Q537" i="5" s="1"/>
  <c r="G537" i="5"/>
  <c r="X536" i="5"/>
  <c r="U536" i="5"/>
  <c r="V536" i="5" s="1"/>
  <c r="T536" i="5"/>
  <c r="S536" i="5"/>
  <c r="R536" i="5"/>
  <c r="M536" i="5"/>
  <c r="Q536" i="5" s="1"/>
  <c r="G536" i="5"/>
  <c r="X535" i="5"/>
  <c r="U535" i="5"/>
  <c r="V535" i="5" s="1"/>
  <c r="T535" i="5"/>
  <c r="S535" i="5"/>
  <c r="R535" i="5"/>
  <c r="M535" i="5"/>
  <c r="Q535" i="5" s="1"/>
  <c r="G535" i="5"/>
  <c r="X534" i="5"/>
  <c r="U534" i="5"/>
  <c r="V534" i="5" s="1"/>
  <c r="T534" i="5"/>
  <c r="S534" i="5"/>
  <c r="R534" i="5"/>
  <c r="M534" i="5"/>
  <c r="Q534" i="5" s="1"/>
  <c r="G534" i="5"/>
  <c r="X533" i="5"/>
  <c r="U533" i="5"/>
  <c r="V533" i="5" s="1"/>
  <c r="T533" i="5"/>
  <c r="S533" i="5"/>
  <c r="R533" i="5"/>
  <c r="M533" i="5"/>
  <c r="Q533" i="5" s="1"/>
  <c r="G533" i="5"/>
  <c r="X532" i="5"/>
  <c r="U532" i="5"/>
  <c r="V532" i="5" s="1"/>
  <c r="T532" i="5"/>
  <c r="S532" i="5"/>
  <c r="R532" i="5"/>
  <c r="M532" i="5"/>
  <c r="Q532" i="5" s="1"/>
  <c r="G532" i="5"/>
  <c r="X531" i="5"/>
  <c r="U531" i="5"/>
  <c r="V531" i="5" s="1"/>
  <c r="T531" i="5"/>
  <c r="S531" i="5"/>
  <c r="R531" i="5"/>
  <c r="M531" i="5"/>
  <c r="Q531" i="5" s="1"/>
  <c r="G531" i="5"/>
  <c r="X530" i="5"/>
  <c r="U530" i="5"/>
  <c r="V530" i="5" s="1"/>
  <c r="T530" i="5"/>
  <c r="S530" i="5"/>
  <c r="R530" i="5"/>
  <c r="M530" i="5"/>
  <c r="Q530" i="5" s="1"/>
  <c r="G530" i="5"/>
  <c r="X529" i="5"/>
  <c r="U529" i="5"/>
  <c r="V529" i="5" s="1"/>
  <c r="T529" i="5"/>
  <c r="S529" i="5"/>
  <c r="R529" i="5"/>
  <c r="M529" i="5"/>
  <c r="Q529" i="5" s="1"/>
  <c r="G529" i="5"/>
  <c r="X528" i="5"/>
  <c r="U528" i="5"/>
  <c r="V528" i="5" s="1"/>
  <c r="T528" i="5"/>
  <c r="S528" i="5"/>
  <c r="R528" i="5"/>
  <c r="M528" i="5"/>
  <c r="Q528" i="5" s="1"/>
  <c r="G528" i="5"/>
  <c r="X527" i="5"/>
  <c r="U527" i="5"/>
  <c r="V527" i="5" s="1"/>
  <c r="T527" i="5"/>
  <c r="S527" i="5"/>
  <c r="R527" i="5"/>
  <c r="M527" i="5"/>
  <c r="Q527" i="5" s="1"/>
  <c r="G527" i="5"/>
  <c r="X526" i="5"/>
  <c r="U526" i="5"/>
  <c r="V526" i="5" s="1"/>
  <c r="T526" i="5"/>
  <c r="S526" i="5"/>
  <c r="R526" i="5"/>
  <c r="M526" i="5"/>
  <c r="Q526" i="5" s="1"/>
  <c r="G526" i="5"/>
  <c r="X525" i="5"/>
  <c r="U525" i="5"/>
  <c r="V525" i="5" s="1"/>
  <c r="T525" i="5"/>
  <c r="S525" i="5"/>
  <c r="R525" i="5"/>
  <c r="M525" i="5"/>
  <c r="Q525" i="5" s="1"/>
  <c r="G525" i="5"/>
  <c r="X524" i="5"/>
  <c r="U524" i="5"/>
  <c r="V524" i="5" s="1"/>
  <c r="T524" i="5"/>
  <c r="S524" i="5"/>
  <c r="R524" i="5"/>
  <c r="M524" i="5"/>
  <c r="Q524" i="5" s="1"/>
  <c r="G524" i="5"/>
  <c r="X523" i="5"/>
  <c r="U523" i="5"/>
  <c r="V523" i="5" s="1"/>
  <c r="T523" i="5"/>
  <c r="S523" i="5"/>
  <c r="R523" i="5"/>
  <c r="M523" i="5"/>
  <c r="Q523" i="5" s="1"/>
  <c r="G523" i="5"/>
  <c r="X522" i="5"/>
  <c r="U522" i="5"/>
  <c r="V522" i="5" s="1"/>
  <c r="T522" i="5"/>
  <c r="S522" i="5"/>
  <c r="R522" i="5"/>
  <c r="M522" i="5"/>
  <c r="Q522" i="5" s="1"/>
  <c r="G522" i="5"/>
  <c r="X521" i="5"/>
  <c r="U521" i="5"/>
  <c r="V521" i="5" s="1"/>
  <c r="T521" i="5"/>
  <c r="S521" i="5"/>
  <c r="R521" i="5"/>
  <c r="M521" i="5"/>
  <c r="Q521" i="5" s="1"/>
  <c r="G521" i="5"/>
  <c r="X520" i="5"/>
  <c r="U520" i="5"/>
  <c r="V520" i="5" s="1"/>
  <c r="T520" i="5"/>
  <c r="S520" i="5"/>
  <c r="R520" i="5"/>
  <c r="M520" i="5"/>
  <c r="Q520" i="5" s="1"/>
  <c r="G520" i="5"/>
  <c r="X519" i="5"/>
  <c r="U519" i="5"/>
  <c r="V519" i="5" s="1"/>
  <c r="T519" i="5"/>
  <c r="S519" i="5"/>
  <c r="R519" i="5"/>
  <c r="M519" i="5"/>
  <c r="Q519" i="5" s="1"/>
  <c r="G519" i="5"/>
  <c r="X518" i="5"/>
  <c r="U518" i="5"/>
  <c r="V518" i="5" s="1"/>
  <c r="T518" i="5"/>
  <c r="S518" i="5"/>
  <c r="R518" i="5"/>
  <c r="M518" i="5"/>
  <c r="Q518" i="5" s="1"/>
  <c r="G518" i="5"/>
  <c r="X517" i="5"/>
  <c r="U517" i="5"/>
  <c r="V517" i="5" s="1"/>
  <c r="T517" i="5"/>
  <c r="S517" i="5"/>
  <c r="R517" i="5"/>
  <c r="M517" i="5"/>
  <c r="Q517" i="5" s="1"/>
  <c r="G517" i="5"/>
  <c r="X516" i="5"/>
  <c r="U516" i="5"/>
  <c r="V516" i="5" s="1"/>
  <c r="T516" i="5"/>
  <c r="S516" i="5"/>
  <c r="R516" i="5"/>
  <c r="M516" i="5"/>
  <c r="Q516" i="5" s="1"/>
  <c r="G516" i="5"/>
  <c r="X515" i="5"/>
  <c r="U515" i="5"/>
  <c r="V515" i="5" s="1"/>
  <c r="T515" i="5"/>
  <c r="S515" i="5"/>
  <c r="R515" i="5"/>
  <c r="M515" i="5"/>
  <c r="Q515" i="5" s="1"/>
  <c r="G515" i="5"/>
  <c r="X514" i="5"/>
  <c r="U514" i="5"/>
  <c r="V514" i="5" s="1"/>
  <c r="T514" i="5"/>
  <c r="S514" i="5"/>
  <c r="R514" i="5"/>
  <c r="M514" i="5"/>
  <c r="Q514" i="5" s="1"/>
  <c r="G514" i="5"/>
  <c r="X513" i="5"/>
  <c r="U513" i="5"/>
  <c r="V513" i="5" s="1"/>
  <c r="T513" i="5"/>
  <c r="S513" i="5"/>
  <c r="R513" i="5"/>
  <c r="M513" i="5"/>
  <c r="Q513" i="5" s="1"/>
  <c r="G513" i="5"/>
  <c r="X512" i="5"/>
  <c r="U512" i="5"/>
  <c r="V512" i="5" s="1"/>
  <c r="T512" i="5"/>
  <c r="S512" i="5"/>
  <c r="R512" i="5"/>
  <c r="M512" i="5"/>
  <c r="Q512" i="5" s="1"/>
  <c r="G512" i="5"/>
  <c r="X511" i="5"/>
  <c r="U511" i="5"/>
  <c r="V511" i="5" s="1"/>
  <c r="T511" i="5"/>
  <c r="S511" i="5"/>
  <c r="R511" i="5"/>
  <c r="M511" i="5"/>
  <c r="Q511" i="5" s="1"/>
  <c r="G511" i="5"/>
  <c r="X510" i="5"/>
  <c r="U510" i="5"/>
  <c r="V510" i="5" s="1"/>
  <c r="T510" i="5"/>
  <c r="S510" i="5"/>
  <c r="R510" i="5"/>
  <c r="M510" i="5"/>
  <c r="Q510" i="5" s="1"/>
  <c r="G510" i="5"/>
  <c r="X509" i="5"/>
  <c r="U509" i="5"/>
  <c r="V509" i="5" s="1"/>
  <c r="T509" i="5"/>
  <c r="S509" i="5"/>
  <c r="R509" i="5"/>
  <c r="M509" i="5"/>
  <c r="Q509" i="5" s="1"/>
  <c r="G509" i="5"/>
  <c r="X508" i="5"/>
  <c r="U508" i="5"/>
  <c r="V508" i="5" s="1"/>
  <c r="T508" i="5"/>
  <c r="S508" i="5"/>
  <c r="R508" i="5"/>
  <c r="M508" i="5"/>
  <c r="Q508" i="5" s="1"/>
  <c r="G508" i="5"/>
  <c r="X507" i="5"/>
  <c r="U507" i="5"/>
  <c r="V507" i="5" s="1"/>
  <c r="T507" i="5"/>
  <c r="S507" i="5"/>
  <c r="R507" i="5"/>
  <c r="M507" i="5"/>
  <c r="Q507" i="5" s="1"/>
  <c r="G507" i="5"/>
  <c r="X506" i="5"/>
  <c r="U506" i="5"/>
  <c r="V506" i="5" s="1"/>
  <c r="T506" i="5"/>
  <c r="S506" i="5"/>
  <c r="R506" i="5"/>
  <c r="M506" i="5"/>
  <c r="Q506" i="5" s="1"/>
  <c r="G506" i="5"/>
  <c r="X505" i="5"/>
  <c r="U505" i="5"/>
  <c r="V505" i="5" s="1"/>
  <c r="T505" i="5"/>
  <c r="S505" i="5"/>
  <c r="R505" i="5"/>
  <c r="M505" i="5"/>
  <c r="Q505" i="5" s="1"/>
  <c r="G505" i="5"/>
  <c r="X504" i="5"/>
  <c r="U504" i="5"/>
  <c r="V504" i="5" s="1"/>
  <c r="T504" i="5"/>
  <c r="S504" i="5"/>
  <c r="R504" i="5"/>
  <c r="M504" i="5"/>
  <c r="Q504" i="5" s="1"/>
  <c r="G504" i="5"/>
  <c r="X503" i="5"/>
  <c r="U503" i="5"/>
  <c r="V503" i="5" s="1"/>
  <c r="T503" i="5"/>
  <c r="S503" i="5"/>
  <c r="R503" i="5"/>
  <c r="M503" i="5"/>
  <c r="Q503" i="5" s="1"/>
  <c r="G503" i="5"/>
  <c r="X502" i="5"/>
  <c r="U502" i="5"/>
  <c r="V502" i="5" s="1"/>
  <c r="T502" i="5"/>
  <c r="S502" i="5"/>
  <c r="R502" i="5"/>
  <c r="M502" i="5"/>
  <c r="Q502" i="5" s="1"/>
  <c r="G502" i="5"/>
  <c r="X501" i="5"/>
  <c r="U501" i="5"/>
  <c r="V501" i="5" s="1"/>
  <c r="T501" i="5"/>
  <c r="S501" i="5"/>
  <c r="R501" i="5"/>
  <c r="M501" i="5"/>
  <c r="Q501" i="5" s="1"/>
  <c r="G501" i="5"/>
  <c r="X500" i="5"/>
  <c r="U500" i="5"/>
  <c r="V500" i="5" s="1"/>
  <c r="T500" i="5"/>
  <c r="S500" i="5"/>
  <c r="R500" i="5"/>
  <c r="M500" i="5"/>
  <c r="Q500" i="5" s="1"/>
  <c r="G500" i="5"/>
  <c r="X499" i="5"/>
  <c r="U499" i="5"/>
  <c r="V499" i="5" s="1"/>
  <c r="T499" i="5"/>
  <c r="S499" i="5"/>
  <c r="R499" i="5"/>
  <c r="M499" i="5"/>
  <c r="Q499" i="5" s="1"/>
  <c r="G499" i="5"/>
  <c r="X498" i="5"/>
  <c r="U498" i="5"/>
  <c r="V498" i="5" s="1"/>
  <c r="T498" i="5"/>
  <c r="S498" i="5"/>
  <c r="R498" i="5"/>
  <c r="M498" i="5"/>
  <c r="Q498" i="5" s="1"/>
  <c r="G498" i="5"/>
  <c r="X497" i="5"/>
  <c r="U497" i="5"/>
  <c r="V497" i="5" s="1"/>
  <c r="T497" i="5"/>
  <c r="S497" i="5"/>
  <c r="R497" i="5"/>
  <c r="M497" i="5"/>
  <c r="Q497" i="5" s="1"/>
  <c r="G497" i="5"/>
  <c r="X496" i="5"/>
  <c r="U496" i="5"/>
  <c r="V496" i="5" s="1"/>
  <c r="T496" i="5"/>
  <c r="S496" i="5"/>
  <c r="R496" i="5"/>
  <c r="M496" i="5"/>
  <c r="Q496" i="5" s="1"/>
  <c r="G496" i="5"/>
  <c r="X495" i="5"/>
  <c r="U495" i="5"/>
  <c r="V495" i="5" s="1"/>
  <c r="T495" i="5"/>
  <c r="S495" i="5"/>
  <c r="R495" i="5"/>
  <c r="M495" i="5"/>
  <c r="Q495" i="5" s="1"/>
  <c r="G495" i="5"/>
  <c r="X494" i="5"/>
  <c r="U494" i="5"/>
  <c r="V494" i="5" s="1"/>
  <c r="T494" i="5"/>
  <c r="S494" i="5"/>
  <c r="R494" i="5"/>
  <c r="M494" i="5"/>
  <c r="Q494" i="5" s="1"/>
  <c r="G494" i="5"/>
  <c r="X493" i="5"/>
  <c r="U493" i="5"/>
  <c r="V493" i="5" s="1"/>
  <c r="T493" i="5"/>
  <c r="S493" i="5"/>
  <c r="R493" i="5"/>
  <c r="M493" i="5"/>
  <c r="Q493" i="5" s="1"/>
  <c r="G493" i="5"/>
  <c r="X492" i="5"/>
  <c r="U492" i="5"/>
  <c r="V492" i="5" s="1"/>
  <c r="T492" i="5"/>
  <c r="S492" i="5"/>
  <c r="R492" i="5"/>
  <c r="M492" i="5"/>
  <c r="Q492" i="5" s="1"/>
  <c r="G492" i="5"/>
  <c r="X491" i="5"/>
  <c r="U491" i="5"/>
  <c r="V491" i="5" s="1"/>
  <c r="T491" i="5"/>
  <c r="S491" i="5"/>
  <c r="R491" i="5"/>
  <c r="M491" i="5"/>
  <c r="Q491" i="5" s="1"/>
  <c r="G491" i="5"/>
  <c r="X490" i="5"/>
  <c r="U490" i="5"/>
  <c r="V490" i="5" s="1"/>
  <c r="T490" i="5"/>
  <c r="S490" i="5"/>
  <c r="R490" i="5"/>
  <c r="M490" i="5"/>
  <c r="Q490" i="5" s="1"/>
  <c r="G490" i="5"/>
  <c r="X489" i="5"/>
  <c r="U489" i="5"/>
  <c r="V489" i="5" s="1"/>
  <c r="T489" i="5"/>
  <c r="S489" i="5"/>
  <c r="R489" i="5"/>
  <c r="M489" i="5"/>
  <c r="Q489" i="5" s="1"/>
  <c r="G489" i="5"/>
  <c r="X488" i="5"/>
  <c r="U488" i="5"/>
  <c r="V488" i="5" s="1"/>
  <c r="T488" i="5"/>
  <c r="S488" i="5"/>
  <c r="R488" i="5"/>
  <c r="M488" i="5"/>
  <c r="Q488" i="5" s="1"/>
  <c r="G488" i="5"/>
  <c r="X487" i="5"/>
  <c r="U487" i="5"/>
  <c r="V487" i="5" s="1"/>
  <c r="T487" i="5"/>
  <c r="S487" i="5"/>
  <c r="R487" i="5"/>
  <c r="M487" i="5"/>
  <c r="Q487" i="5" s="1"/>
  <c r="G487" i="5"/>
  <c r="X486" i="5"/>
  <c r="U486" i="5"/>
  <c r="V486" i="5" s="1"/>
  <c r="T486" i="5"/>
  <c r="S486" i="5"/>
  <c r="R486" i="5"/>
  <c r="M486" i="5"/>
  <c r="Q486" i="5" s="1"/>
  <c r="G486" i="5"/>
  <c r="X485" i="5"/>
  <c r="U485" i="5"/>
  <c r="V485" i="5" s="1"/>
  <c r="T485" i="5"/>
  <c r="S485" i="5"/>
  <c r="R485" i="5"/>
  <c r="M485" i="5"/>
  <c r="Q485" i="5" s="1"/>
  <c r="G485" i="5"/>
  <c r="X484" i="5"/>
  <c r="U484" i="5"/>
  <c r="V484" i="5" s="1"/>
  <c r="T484" i="5"/>
  <c r="S484" i="5"/>
  <c r="R484" i="5"/>
  <c r="M484" i="5"/>
  <c r="Q484" i="5" s="1"/>
  <c r="G484" i="5"/>
  <c r="X483" i="5"/>
  <c r="U483" i="5"/>
  <c r="V483" i="5" s="1"/>
  <c r="T483" i="5"/>
  <c r="S483" i="5"/>
  <c r="R483" i="5"/>
  <c r="M483" i="5"/>
  <c r="Q483" i="5" s="1"/>
  <c r="G483" i="5"/>
  <c r="X482" i="5"/>
  <c r="U482" i="5"/>
  <c r="V482" i="5" s="1"/>
  <c r="T482" i="5"/>
  <c r="S482" i="5"/>
  <c r="R482" i="5"/>
  <c r="M482" i="5"/>
  <c r="Q482" i="5" s="1"/>
  <c r="G482" i="5"/>
  <c r="X481" i="5"/>
  <c r="U481" i="5"/>
  <c r="V481" i="5" s="1"/>
  <c r="T481" i="5"/>
  <c r="S481" i="5"/>
  <c r="R481" i="5"/>
  <c r="M481" i="5"/>
  <c r="Q481" i="5" s="1"/>
  <c r="G481" i="5"/>
  <c r="X480" i="5"/>
  <c r="U480" i="5"/>
  <c r="V480" i="5" s="1"/>
  <c r="T480" i="5"/>
  <c r="S480" i="5"/>
  <c r="R480" i="5"/>
  <c r="M480" i="5"/>
  <c r="Q480" i="5" s="1"/>
  <c r="G480" i="5"/>
  <c r="X479" i="5"/>
  <c r="U479" i="5"/>
  <c r="V479" i="5" s="1"/>
  <c r="T479" i="5"/>
  <c r="S479" i="5"/>
  <c r="R479" i="5"/>
  <c r="M479" i="5"/>
  <c r="Q479" i="5" s="1"/>
  <c r="G479" i="5"/>
  <c r="X478" i="5"/>
  <c r="U478" i="5"/>
  <c r="V478" i="5" s="1"/>
  <c r="T478" i="5"/>
  <c r="S478" i="5"/>
  <c r="R478" i="5"/>
  <c r="M478" i="5"/>
  <c r="Q478" i="5" s="1"/>
  <c r="G478" i="5"/>
  <c r="X477" i="5"/>
  <c r="U477" i="5"/>
  <c r="V477" i="5" s="1"/>
  <c r="T477" i="5"/>
  <c r="S477" i="5"/>
  <c r="R477" i="5"/>
  <c r="M477" i="5"/>
  <c r="Q477" i="5" s="1"/>
  <c r="G477" i="5"/>
  <c r="X476" i="5"/>
  <c r="U476" i="5"/>
  <c r="V476" i="5" s="1"/>
  <c r="T476" i="5"/>
  <c r="S476" i="5"/>
  <c r="R476" i="5"/>
  <c r="M476" i="5"/>
  <c r="Q476" i="5" s="1"/>
  <c r="G476" i="5"/>
  <c r="X475" i="5"/>
  <c r="U475" i="5"/>
  <c r="V475" i="5" s="1"/>
  <c r="T475" i="5"/>
  <c r="S475" i="5"/>
  <c r="R475" i="5"/>
  <c r="M475" i="5"/>
  <c r="Q475" i="5" s="1"/>
  <c r="G475" i="5"/>
  <c r="X474" i="5"/>
  <c r="U474" i="5"/>
  <c r="V474" i="5" s="1"/>
  <c r="T474" i="5"/>
  <c r="S474" i="5"/>
  <c r="R474" i="5"/>
  <c r="M474" i="5"/>
  <c r="Q474" i="5" s="1"/>
  <c r="G474" i="5"/>
  <c r="X473" i="5"/>
  <c r="U473" i="5"/>
  <c r="V473" i="5" s="1"/>
  <c r="T473" i="5"/>
  <c r="S473" i="5"/>
  <c r="R473" i="5"/>
  <c r="M473" i="5"/>
  <c r="Q473" i="5" s="1"/>
  <c r="G473" i="5"/>
  <c r="X472" i="5"/>
  <c r="U472" i="5"/>
  <c r="V472" i="5" s="1"/>
  <c r="T472" i="5"/>
  <c r="S472" i="5"/>
  <c r="R472" i="5"/>
  <c r="M472" i="5"/>
  <c r="Q472" i="5" s="1"/>
  <c r="G472" i="5"/>
  <c r="X471" i="5"/>
  <c r="U471" i="5"/>
  <c r="V471" i="5" s="1"/>
  <c r="T471" i="5"/>
  <c r="S471" i="5"/>
  <c r="R471" i="5"/>
  <c r="M471" i="5"/>
  <c r="Q471" i="5" s="1"/>
  <c r="G471" i="5"/>
  <c r="X470" i="5"/>
  <c r="U470" i="5"/>
  <c r="V470" i="5" s="1"/>
  <c r="T470" i="5"/>
  <c r="S470" i="5"/>
  <c r="R470" i="5"/>
  <c r="M470" i="5"/>
  <c r="Q470" i="5" s="1"/>
  <c r="G470" i="5"/>
  <c r="X469" i="5"/>
  <c r="U469" i="5"/>
  <c r="V469" i="5" s="1"/>
  <c r="T469" i="5"/>
  <c r="S469" i="5"/>
  <c r="R469" i="5"/>
  <c r="M469" i="5"/>
  <c r="Q469" i="5" s="1"/>
  <c r="G469" i="5"/>
  <c r="X468" i="5"/>
  <c r="U468" i="5"/>
  <c r="V468" i="5" s="1"/>
  <c r="T468" i="5"/>
  <c r="S468" i="5"/>
  <c r="R468" i="5"/>
  <c r="M468" i="5"/>
  <c r="Q468" i="5" s="1"/>
  <c r="G468" i="5"/>
  <c r="X467" i="5"/>
  <c r="U467" i="5"/>
  <c r="V467" i="5" s="1"/>
  <c r="T467" i="5"/>
  <c r="S467" i="5"/>
  <c r="R467" i="5"/>
  <c r="M467" i="5"/>
  <c r="Q467" i="5" s="1"/>
  <c r="G467" i="5"/>
  <c r="X466" i="5"/>
  <c r="U466" i="5"/>
  <c r="V466" i="5" s="1"/>
  <c r="T466" i="5"/>
  <c r="S466" i="5"/>
  <c r="R466" i="5"/>
  <c r="M466" i="5"/>
  <c r="Q466" i="5" s="1"/>
  <c r="G466" i="5"/>
  <c r="X465" i="5"/>
  <c r="U465" i="5"/>
  <c r="V465" i="5" s="1"/>
  <c r="T465" i="5"/>
  <c r="S465" i="5"/>
  <c r="R465" i="5"/>
  <c r="M465" i="5"/>
  <c r="Q465" i="5" s="1"/>
  <c r="G465" i="5"/>
  <c r="X464" i="5"/>
  <c r="U464" i="5"/>
  <c r="V464" i="5" s="1"/>
  <c r="T464" i="5"/>
  <c r="S464" i="5"/>
  <c r="R464" i="5"/>
  <c r="M464" i="5"/>
  <c r="Q464" i="5" s="1"/>
  <c r="G464" i="5"/>
  <c r="X463" i="5"/>
  <c r="U463" i="5"/>
  <c r="V463" i="5" s="1"/>
  <c r="T463" i="5"/>
  <c r="S463" i="5"/>
  <c r="R463" i="5"/>
  <c r="M463" i="5"/>
  <c r="Q463" i="5" s="1"/>
  <c r="G463" i="5"/>
  <c r="X462" i="5"/>
  <c r="U462" i="5"/>
  <c r="V462" i="5" s="1"/>
  <c r="T462" i="5"/>
  <c r="S462" i="5"/>
  <c r="R462" i="5"/>
  <c r="M462" i="5"/>
  <c r="Q462" i="5" s="1"/>
  <c r="G462" i="5"/>
  <c r="X461" i="5"/>
  <c r="U461" i="5"/>
  <c r="V461" i="5" s="1"/>
  <c r="T461" i="5"/>
  <c r="S461" i="5"/>
  <c r="R461" i="5"/>
  <c r="M461" i="5"/>
  <c r="Q461" i="5" s="1"/>
  <c r="G461" i="5"/>
  <c r="X460" i="5"/>
  <c r="U460" i="5"/>
  <c r="V460" i="5" s="1"/>
  <c r="T460" i="5"/>
  <c r="S460" i="5"/>
  <c r="R460" i="5"/>
  <c r="M460" i="5"/>
  <c r="Q460" i="5" s="1"/>
  <c r="G460" i="5"/>
  <c r="X459" i="5"/>
  <c r="U459" i="5"/>
  <c r="V459" i="5" s="1"/>
  <c r="T459" i="5"/>
  <c r="S459" i="5"/>
  <c r="R459" i="5"/>
  <c r="M459" i="5"/>
  <c r="Q459" i="5" s="1"/>
  <c r="G459" i="5"/>
  <c r="X458" i="5"/>
  <c r="U458" i="5"/>
  <c r="V458" i="5" s="1"/>
  <c r="T458" i="5"/>
  <c r="S458" i="5"/>
  <c r="R458" i="5"/>
  <c r="M458" i="5"/>
  <c r="Q458" i="5" s="1"/>
  <c r="G458" i="5"/>
  <c r="X457" i="5"/>
  <c r="U457" i="5"/>
  <c r="V457" i="5" s="1"/>
  <c r="T457" i="5"/>
  <c r="S457" i="5"/>
  <c r="R457" i="5"/>
  <c r="M457" i="5"/>
  <c r="Q457" i="5" s="1"/>
  <c r="G457" i="5"/>
  <c r="X456" i="5"/>
  <c r="U456" i="5"/>
  <c r="V456" i="5" s="1"/>
  <c r="T456" i="5"/>
  <c r="S456" i="5"/>
  <c r="R456" i="5"/>
  <c r="M456" i="5"/>
  <c r="Q456" i="5" s="1"/>
  <c r="G456" i="5"/>
  <c r="X455" i="5"/>
  <c r="U455" i="5"/>
  <c r="V455" i="5" s="1"/>
  <c r="T455" i="5"/>
  <c r="S455" i="5"/>
  <c r="R455" i="5"/>
  <c r="M455" i="5"/>
  <c r="Q455" i="5" s="1"/>
  <c r="G455" i="5"/>
  <c r="X454" i="5"/>
  <c r="U454" i="5"/>
  <c r="V454" i="5" s="1"/>
  <c r="T454" i="5"/>
  <c r="S454" i="5"/>
  <c r="R454" i="5"/>
  <c r="M454" i="5"/>
  <c r="Q454" i="5" s="1"/>
  <c r="G454" i="5"/>
  <c r="X453" i="5"/>
  <c r="U453" i="5"/>
  <c r="V453" i="5" s="1"/>
  <c r="T453" i="5"/>
  <c r="S453" i="5"/>
  <c r="R453" i="5"/>
  <c r="M453" i="5"/>
  <c r="Q453" i="5" s="1"/>
  <c r="G453" i="5"/>
  <c r="X452" i="5"/>
  <c r="U452" i="5"/>
  <c r="V452" i="5" s="1"/>
  <c r="T452" i="5"/>
  <c r="S452" i="5"/>
  <c r="R452" i="5"/>
  <c r="M452" i="5"/>
  <c r="Q452" i="5" s="1"/>
  <c r="G452" i="5"/>
  <c r="X451" i="5"/>
  <c r="U451" i="5"/>
  <c r="V451" i="5" s="1"/>
  <c r="T451" i="5"/>
  <c r="S451" i="5"/>
  <c r="R451" i="5"/>
  <c r="M451" i="5"/>
  <c r="Q451" i="5" s="1"/>
  <c r="G451" i="5"/>
  <c r="X450" i="5"/>
  <c r="U450" i="5"/>
  <c r="V450" i="5" s="1"/>
  <c r="T450" i="5"/>
  <c r="S450" i="5"/>
  <c r="R450" i="5"/>
  <c r="M450" i="5"/>
  <c r="Q450" i="5" s="1"/>
  <c r="G450" i="5"/>
  <c r="X449" i="5"/>
  <c r="U449" i="5"/>
  <c r="V449" i="5" s="1"/>
  <c r="T449" i="5"/>
  <c r="S449" i="5"/>
  <c r="R449" i="5"/>
  <c r="M449" i="5"/>
  <c r="Q449" i="5" s="1"/>
  <c r="G449" i="5"/>
  <c r="X448" i="5"/>
  <c r="U448" i="5"/>
  <c r="V448" i="5" s="1"/>
  <c r="T448" i="5"/>
  <c r="S448" i="5"/>
  <c r="R448" i="5"/>
  <c r="M448" i="5"/>
  <c r="Q448" i="5" s="1"/>
  <c r="G448" i="5"/>
  <c r="X447" i="5"/>
  <c r="U447" i="5"/>
  <c r="V447" i="5" s="1"/>
  <c r="T447" i="5"/>
  <c r="S447" i="5"/>
  <c r="R447" i="5"/>
  <c r="M447" i="5"/>
  <c r="Q447" i="5" s="1"/>
  <c r="G447" i="5"/>
  <c r="X446" i="5"/>
  <c r="U446" i="5"/>
  <c r="V446" i="5" s="1"/>
  <c r="T446" i="5"/>
  <c r="S446" i="5"/>
  <c r="R446" i="5"/>
  <c r="M446" i="5"/>
  <c r="Q446" i="5" s="1"/>
  <c r="G446" i="5"/>
  <c r="X445" i="5"/>
  <c r="U445" i="5"/>
  <c r="V445" i="5" s="1"/>
  <c r="T445" i="5"/>
  <c r="S445" i="5"/>
  <c r="R445" i="5"/>
  <c r="M445" i="5"/>
  <c r="Q445" i="5" s="1"/>
  <c r="G445" i="5"/>
  <c r="X444" i="5"/>
  <c r="U444" i="5"/>
  <c r="V444" i="5" s="1"/>
  <c r="T444" i="5"/>
  <c r="S444" i="5"/>
  <c r="R444" i="5"/>
  <c r="M444" i="5"/>
  <c r="Q444" i="5" s="1"/>
  <c r="G444" i="5"/>
  <c r="X443" i="5"/>
  <c r="U443" i="5"/>
  <c r="V443" i="5" s="1"/>
  <c r="T443" i="5"/>
  <c r="S443" i="5"/>
  <c r="R443" i="5"/>
  <c r="M443" i="5"/>
  <c r="Q443" i="5" s="1"/>
  <c r="G443" i="5"/>
  <c r="X442" i="5"/>
  <c r="U442" i="5"/>
  <c r="V442" i="5" s="1"/>
  <c r="T442" i="5"/>
  <c r="S442" i="5"/>
  <c r="R442" i="5"/>
  <c r="M442" i="5"/>
  <c r="Q442" i="5" s="1"/>
  <c r="G442" i="5"/>
  <c r="X441" i="5"/>
  <c r="U441" i="5"/>
  <c r="V441" i="5" s="1"/>
  <c r="T441" i="5"/>
  <c r="S441" i="5"/>
  <c r="R441" i="5"/>
  <c r="M441" i="5"/>
  <c r="Q441" i="5" s="1"/>
  <c r="G441" i="5"/>
  <c r="X440" i="5"/>
  <c r="U440" i="5"/>
  <c r="V440" i="5" s="1"/>
  <c r="T440" i="5"/>
  <c r="S440" i="5"/>
  <c r="R440" i="5"/>
  <c r="M440" i="5"/>
  <c r="Q440" i="5" s="1"/>
  <c r="G440" i="5"/>
  <c r="X439" i="5"/>
  <c r="U439" i="5"/>
  <c r="V439" i="5" s="1"/>
  <c r="T439" i="5"/>
  <c r="S439" i="5"/>
  <c r="R439" i="5"/>
  <c r="M439" i="5"/>
  <c r="Q439" i="5" s="1"/>
  <c r="G439" i="5"/>
  <c r="X438" i="5"/>
  <c r="U438" i="5"/>
  <c r="V438" i="5" s="1"/>
  <c r="T438" i="5"/>
  <c r="S438" i="5"/>
  <c r="R438" i="5"/>
  <c r="M438" i="5"/>
  <c r="Q438" i="5" s="1"/>
  <c r="G438" i="5"/>
  <c r="X437" i="5"/>
  <c r="U437" i="5"/>
  <c r="V437" i="5" s="1"/>
  <c r="T437" i="5"/>
  <c r="S437" i="5"/>
  <c r="R437" i="5"/>
  <c r="M437" i="5"/>
  <c r="Q437" i="5" s="1"/>
  <c r="G437" i="5"/>
  <c r="X436" i="5"/>
  <c r="U436" i="5"/>
  <c r="V436" i="5" s="1"/>
  <c r="T436" i="5"/>
  <c r="S436" i="5"/>
  <c r="R436" i="5"/>
  <c r="M436" i="5"/>
  <c r="Q436" i="5" s="1"/>
  <c r="G436" i="5"/>
  <c r="X435" i="5"/>
  <c r="U435" i="5"/>
  <c r="V435" i="5" s="1"/>
  <c r="T435" i="5"/>
  <c r="S435" i="5"/>
  <c r="R435" i="5"/>
  <c r="M435" i="5"/>
  <c r="Q435" i="5" s="1"/>
  <c r="G435" i="5"/>
  <c r="X434" i="5"/>
  <c r="U434" i="5"/>
  <c r="V434" i="5" s="1"/>
  <c r="T434" i="5"/>
  <c r="S434" i="5"/>
  <c r="R434" i="5"/>
  <c r="M434" i="5"/>
  <c r="Q434" i="5" s="1"/>
  <c r="G434" i="5"/>
  <c r="X433" i="5"/>
  <c r="U433" i="5"/>
  <c r="V433" i="5" s="1"/>
  <c r="T433" i="5"/>
  <c r="S433" i="5"/>
  <c r="R433" i="5"/>
  <c r="M433" i="5"/>
  <c r="Q433" i="5" s="1"/>
  <c r="G433" i="5"/>
  <c r="X432" i="5"/>
  <c r="U432" i="5"/>
  <c r="V432" i="5" s="1"/>
  <c r="T432" i="5"/>
  <c r="S432" i="5"/>
  <c r="R432" i="5"/>
  <c r="M432" i="5"/>
  <c r="Q432" i="5" s="1"/>
  <c r="G432" i="5"/>
  <c r="X431" i="5"/>
  <c r="U431" i="5"/>
  <c r="V431" i="5" s="1"/>
  <c r="T431" i="5"/>
  <c r="S431" i="5"/>
  <c r="R431" i="5"/>
  <c r="M431" i="5"/>
  <c r="Q431" i="5" s="1"/>
  <c r="G431" i="5"/>
  <c r="X430" i="5"/>
  <c r="U430" i="5"/>
  <c r="V430" i="5" s="1"/>
  <c r="T430" i="5"/>
  <c r="S430" i="5"/>
  <c r="R430" i="5"/>
  <c r="M430" i="5"/>
  <c r="Q430" i="5" s="1"/>
  <c r="G430" i="5"/>
  <c r="X429" i="5"/>
  <c r="U429" i="5"/>
  <c r="V429" i="5" s="1"/>
  <c r="T429" i="5"/>
  <c r="S429" i="5"/>
  <c r="R429" i="5"/>
  <c r="M429" i="5"/>
  <c r="Q429" i="5" s="1"/>
  <c r="G429" i="5"/>
  <c r="X428" i="5"/>
  <c r="U428" i="5"/>
  <c r="V428" i="5" s="1"/>
  <c r="T428" i="5"/>
  <c r="S428" i="5"/>
  <c r="R428" i="5"/>
  <c r="M428" i="5"/>
  <c r="Q428" i="5" s="1"/>
  <c r="G428" i="5"/>
  <c r="X427" i="5"/>
  <c r="U427" i="5"/>
  <c r="V427" i="5" s="1"/>
  <c r="T427" i="5"/>
  <c r="S427" i="5"/>
  <c r="R427" i="5"/>
  <c r="M427" i="5"/>
  <c r="Q427" i="5" s="1"/>
  <c r="G427" i="5"/>
  <c r="X426" i="5"/>
  <c r="U426" i="5"/>
  <c r="V426" i="5" s="1"/>
  <c r="T426" i="5"/>
  <c r="S426" i="5"/>
  <c r="R426" i="5"/>
  <c r="M426" i="5"/>
  <c r="Q426" i="5" s="1"/>
  <c r="G426" i="5"/>
  <c r="X425" i="5"/>
  <c r="U425" i="5"/>
  <c r="V425" i="5" s="1"/>
  <c r="T425" i="5"/>
  <c r="S425" i="5"/>
  <c r="R425" i="5"/>
  <c r="M425" i="5"/>
  <c r="Q425" i="5" s="1"/>
  <c r="G425" i="5"/>
  <c r="X424" i="5"/>
  <c r="U424" i="5"/>
  <c r="V424" i="5" s="1"/>
  <c r="T424" i="5"/>
  <c r="S424" i="5"/>
  <c r="R424" i="5"/>
  <c r="M424" i="5"/>
  <c r="Q424" i="5" s="1"/>
  <c r="G424" i="5"/>
  <c r="X423" i="5"/>
  <c r="U423" i="5"/>
  <c r="V423" i="5" s="1"/>
  <c r="T423" i="5"/>
  <c r="S423" i="5"/>
  <c r="R423" i="5"/>
  <c r="M423" i="5"/>
  <c r="Q423" i="5" s="1"/>
  <c r="G423" i="5"/>
  <c r="X422" i="5"/>
  <c r="U422" i="5"/>
  <c r="V422" i="5" s="1"/>
  <c r="T422" i="5"/>
  <c r="S422" i="5"/>
  <c r="R422" i="5"/>
  <c r="M422" i="5"/>
  <c r="Q422" i="5" s="1"/>
  <c r="G422" i="5"/>
  <c r="X421" i="5"/>
  <c r="U421" i="5"/>
  <c r="V421" i="5" s="1"/>
  <c r="T421" i="5"/>
  <c r="S421" i="5"/>
  <c r="R421" i="5"/>
  <c r="M421" i="5"/>
  <c r="Q421" i="5" s="1"/>
  <c r="G421" i="5"/>
  <c r="X420" i="5"/>
  <c r="U420" i="5"/>
  <c r="V420" i="5" s="1"/>
  <c r="T420" i="5"/>
  <c r="S420" i="5"/>
  <c r="R420" i="5"/>
  <c r="M420" i="5"/>
  <c r="Q420" i="5" s="1"/>
  <c r="G420" i="5"/>
  <c r="X419" i="5"/>
  <c r="U419" i="5"/>
  <c r="V419" i="5" s="1"/>
  <c r="T419" i="5"/>
  <c r="S419" i="5"/>
  <c r="R419" i="5"/>
  <c r="M419" i="5"/>
  <c r="Q419" i="5" s="1"/>
  <c r="G419" i="5"/>
  <c r="X418" i="5"/>
  <c r="U418" i="5"/>
  <c r="V418" i="5" s="1"/>
  <c r="T418" i="5"/>
  <c r="S418" i="5"/>
  <c r="R418" i="5"/>
  <c r="M418" i="5"/>
  <c r="Q418" i="5" s="1"/>
  <c r="G418" i="5"/>
  <c r="X417" i="5"/>
  <c r="U417" i="5"/>
  <c r="V417" i="5" s="1"/>
  <c r="T417" i="5"/>
  <c r="S417" i="5"/>
  <c r="R417" i="5"/>
  <c r="M417" i="5"/>
  <c r="Q417" i="5" s="1"/>
  <c r="G417" i="5"/>
  <c r="X416" i="5"/>
  <c r="U416" i="5"/>
  <c r="V416" i="5" s="1"/>
  <c r="T416" i="5"/>
  <c r="S416" i="5"/>
  <c r="R416" i="5"/>
  <c r="M416" i="5"/>
  <c r="Q416" i="5" s="1"/>
  <c r="G416" i="5"/>
  <c r="X415" i="5"/>
  <c r="U415" i="5"/>
  <c r="V415" i="5" s="1"/>
  <c r="T415" i="5"/>
  <c r="S415" i="5"/>
  <c r="R415" i="5"/>
  <c r="M415" i="5"/>
  <c r="Q415" i="5" s="1"/>
  <c r="G415" i="5"/>
  <c r="X414" i="5"/>
  <c r="U414" i="5"/>
  <c r="V414" i="5" s="1"/>
  <c r="T414" i="5"/>
  <c r="S414" i="5"/>
  <c r="R414" i="5"/>
  <c r="M414" i="5"/>
  <c r="Q414" i="5" s="1"/>
  <c r="G414" i="5"/>
  <c r="X413" i="5"/>
  <c r="U413" i="5"/>
  <c r="V413" i="5" s="1"/>
  <c r="T413" i="5"/>
  <c r="S413" i="5"/>
  <c r="R413" i="5"/>
  <c r="M413" i="5"/>
  <c r="Q413" i="5" s="1"/>
  <c r="G413" i="5"/>
  <c r="X412" i="5"/>
  <c r="U412" i="5"/>
  <c r="V412" i="5" s="1"/>
  <c r="T412" i="5"/>
  <c r="S412" i="5"/>
  <c r="R412" i="5"/>
  <c r="M412" i="5"/>
  <c r="Q412" i="5" s="1"/>
  <c r="G412" i="5"/>
  <c r="X411" i="5"/>
  <c r="U411" i="5"/>
  <c r="V411" i="5" s="1"/>
  <c r="T411" i="5"/>
  <c r="S411" i="5"/>
  <c r="R411" i="5"/>
  <c r="M411" i="5"/>
  <c r="Q411" i="5" s="1"/>
  <c r="G411" i="5"/>
  <c r="X410" i="5"/>
  <c r="U410" i="5"/>
  <c r="V410" i="5" s="1"/>
  <c r="T410" i="5"/>
  <c r="S410" i="5"/>
  <c r="R410" i="5"/>
  <c r="M410" i="5"/>
  <c r="Q410" i="5" s="1"/>
  <c r="G410" i="5"/>
  <c r="X409" i="5"/>
  <c r="U409" i="5"/>
  <c r="V409" i="5" s="1"/>
  <c r="T409" i="5"/>
  <c r="S409" i="5"/>
  <c r="R409" i="5"/>
  <c r="M409" i="5"/>
  <c r="Q409" i="5" s="1"/>
  <c r="G409" i="5"/>
  <c r="X408" i="5"/>
  <c r="U408" i="5"/>
  <c r="V408" i="5" s="1"/>
  <c r="T408" i="5"/>
  <c r="S408" i="5"/>
  <c r="R408" i="5"/>
  <c r="M408" i="5"/>
  <c r="Q408" i="5" s="1"/>
  <c r="G408" i="5"/>
  <c r="X407" i="5"/>
  <c r="U407" i="5"/>
  <c r="V407" i="5" s="1"/>
  <c r="T407" i="5"/>
  <c r="S407" i="5"/>
  <c r="R407" i="5"/>
  <c r="M407" i="5"/>
  <c r="Q407" i="5" s="1"/>
  <c r="G407" i="5"/>
  <c r="X406" i="5"/>
  <c r="U406" i="5"/>
  <c r="V406" i="5" s="1"/>
  <c r="T406" i="5"/>
  <c r="S406" i="5"/>
  <c r="R406" i="5"/>
  <c r="M406" i="5"/>
  <c r="Q406" i="5" s="1"/>
  <c r="G406" i="5"/>
  <c r="X405" i="5"/>
  <c r="U405" i="5"/>
  <c r="V405" i="5" s="1"/>
  <c r="T405" i="5"/>
  <c r="S405" i="5"/>
  <c r="R405" i="5"/>
  <c r="M405" i="5"/>
  <c r="Q405" i="5" s="1"/>
  <c r="G405" i="5"/>
  <c r="X404" i="5"/>
  <c r="U404" i="5"/>
  <c r="V404" i="5" s="1"/>
  <c r="T404" i="5"/>
  <c r="S404" i="5"/>
  <c r="R404" i="5"/>
  <c r="M404" i="5"/>
  <c r="Q404" i="5" s="1"/>
  <c r="G404" i="5"/>
  <c r="X403" i="5"/>
  <c r="U403" i="5"/>
  <c r="V403" i="5" s="1"/>
  <c r="T403" i="5"/>
  <c r="S403" i="5"/>
  <c r="R403" i="5"/>
  <c r="M403" i="5"/>
  <c r="Q403" i="5" s="1"/>
  <c r="G403" i="5"/>
  <c r="X402" i="5"/>
  <c r="U402" i="5"/>
  <c r="V402" i="5" s="1"/>
  <c r="T402" i="5"/>
  <c r="S402" i="5"/>
  <c r="R402" i="5"/>
  <c r="M402" i="5"/>
  <c r="Q402" i="5" s="1"/>
  <c r="G402" i="5"/>
  <c r="X401" i="5"/>
  <c r="U401" i="5"/>
  <c r="V401" i="5" s="1"/>
  <c r="T401" i="5"/>
  <c r="S401" i="5"/>
  <c r="R401" i="5"/>
  <c r="M401" i="5"/>
  <c r="Q401" i="5" s="1"/>
  <c r="G401" i="5"/>
  <c r="X400" i="5"/>
  <c r="U400" i="5"/>
  <c r="V400" i="5" s="1"/>
  <c r="T400" i="5"/>
  <c r="S400" i="5"/>
  <c r="R400" i="5"/>
  <c r="M400" i="5"/>
  <c r="Q400" i="5" s="1"/>
  <c r="G400" i="5"/>
  <c r="X399" i="5"/>
  <c r="U399" i="5"/>
  <c r="V399" i="5" s="1"/>
  <c r="T399" i="5"/>
  <c r="S399" i="5"/>
  <c r="R399" i="5"/>
  <c r="M399" i="5"/>
  <c r="Q399" i="5" s="1"/>
  <c r="G399" i="5"/>
  <c r="X398" i="5"/>
  <c r="U398" i="5"/>
  <c r="V398" i="5" s="1"/>
  <c r="T398" i="5"/>
  <c r="S398" i="5"/>
  <c r="R398" i="5"/>
  <c r="M398" i="5"/>
  <c r="Q398" i="5" s="1"/>
  <c r="G398" i="5"/>
  <c r="X397" i="5"/>
  <c r="U397" i="5"/>
  <c r="V397" i="5" s="1"/>
  <c r="T397" i="5"/>
  <c r="S397" i="5"/>
  <c r="R397" i="5"/>
  <c r="M397" i="5"/>
  <c r="Q397" i="5" s="1"/>
  <c r="G397" i="5"/>
  <c r="X396" i="5"/>
  <c r="U396" i="5"/>
  <c r="V396" i="5" s="1"/>
  <c r="T396" i="5"/>
  <c r="S396" i="5"/>
  <c r="R396" i="5"/>
  <c r="M396" i="5"/>
  <c r="Q396" i="5" s="1"/>
  <c r="G396" i="5"/>
  <c r="X395" i="5"/>
  <c r="U395" i="5"/>
  <c r="V395" i="5" s="1"/>
  <c r="T395" i="5"/>
  <c r="S395" i="5"/>
  <c r="R395" i="5"/>
  <c r="M395" i="5"/>
  <c r="Q395" i="5" s="1"/>
  <c r="G395" i="5"/>
  <c r="X394" i="5"/>
  <c r="U394" i="5"/>
  <c r="V394" i="5" s="1"/>
  <c r="T394" i="5"/>
  <c r="S394" i="5"/>
  <c r="R394" i="5"/>
  <c r="M394" i="5"/>
  <c r="Q394" i="5" s="1"/>
  <c r="G394" i="5"/>
  <c r="X393" i="5"/>
  <c r="U393" i="5"/>
  <c r="V393" i="5" s="1"/>
  <c r="T393" i="5"/>
  <c r="S393" i="5"/>
  <c r="R393" i="5"/>
  <c r="M393" i="5"/>
  <c r="Q393" i="5" s="1"/>
  <c r="G393" i="5"/>
  <c r="X392" i="5"/>
  <c r="U392" i="5"/>
  <c r="V392" i="5" s="1"/>
  <c r="T392" i="5"/>
  <c r="S392" i="5"/>
  <c r="R392" i="5"/>
  <c r="M392" i="5"/>
  <c r="Q392" i="5" s="1"/>
  <c r="G392" i="5"/>
  <c r="X391" i="5"/>
  <c r="U391" i="5"/>
  <c r="V391" i="5" s="1"/>
  <c r="T391" i="5"/>
  <c r="S391" i="5"/>
  <c r="R391" i="5"/>
  <c r="M391" i="5"/>
  <c r="Q391" i="5" s="1"/>
  <c r="G391" i="5"/>
  <c r="X390" i="5"/>
  <c r="U390" i="5"/>
  <c r="V390" i="5" s="1"/>
  <c r="T390" i="5"/>
  <c r="S390" i="5"/>
  <c r="R390" i="5"/>
  <c r="M390" i="5"/>
  <c r="Q390" i="5" s="1"/>
  <c r="G390" i="5"/>
  <c r="X389" i="5"/>
  <c r="U389" i="5"/>
  <c r="V389" i="5" s="1"/>
  <c r="T389" i="5"/>
  <c r="S389" i="5"/>
  <c r="R389" i="5"/>
  <c r="M389" i="5"/>
  <c r="Q389" i="5" s="1"/>
  <c r="G389" i="5"/>
  <c r="X388" i="5"/>
  <c r="U388" i="5"/>
  <c r="V388" i="5" s="1"/>
  <c r="T388" i="5"/>
  <c r="S388" i="5"/>
  <c r="R388" i="5"/>
  <c r="M388" i="5"/>
  <c r="Q388" i="5" s="1"/>
  <c r="G388" i="5"/>
  <c r="X387" i="5"/>
  <c r="U387" i="5"/>
  <c r="V387" i="5" s="1"/>
  <c r="T387" i="5"/>
  <c r="S387" i="5"/>
  <c r="R387" i="5"/>
  <c r="M387" i="5"/>
  <c r="Q387" i="5" s="1"/>
  <c r="G387" i="5"/>
  <c r="X386" i="5"/>
  <c r="U386" i="5"/>
  <c r="V386" i="5" s="1"/>
  <c r="T386" i="5"/>
  <c r="S386" i="5"/>
  <c r="R386" i="5"/>
  <c r="M386" i="5"/>
  <c r="Q386" i="5" s="1"/>
  <c r="G386" i="5"/>
  <c r="X385" i="5"/>
  <c r="U385" i="5"/>
  <c r="V385" i="5" s="1"/>
  <c r="T385" i="5"/>
  <c r="S385" i="5"/>
  <c r="R385" i="5"/>
  <c r="M385" i="5"/>
  <c r="Q385" i="5" s="1"/>
  <c r="G385" i="5"/>
  <c r="X384" i="5"/>
  <c r="U384" i="5"/>
  <c r="V384" i="5" s="1"/>
  <c r="T384" i="5"/>
  <c r="S384" i="5"/>
  <c r="R384" i="5"/>
  <c r="M384" i="5"/>
  <c r="Q384" i="5" s="1"/>
  <c r="G384" i="5"/>
  <c r="X383" i="5"/>
  <c r="U383" i="5"/>
  <c r="V383" i="5" s="1"/>
  <c r="T383" i="5"/>
  <c r="S383" i="5"/>
  <c r="R383" i="5"/>
  <c r="M383" i="5"/>
  <c r="Q383" i="5" s="1"/>
  <c r="G383" i="5"/>
  <c r="X382" i="5"/>
  <c r="U382" i="5"/>
  <c r="V382" i="5" s="1"/>
  <c r="T382" i="5"/>
  <c r="S382" i="5"/>
  <c r="R382" i="5"/>
  <c r="M382" i="5"/>
  <c r="Q382" i="5" s="1"/>
  <c r="G382" i="5"/>
  <c r="X381" i="5"/>
  <c r="U381" i="5"/>
  <c r="V381" i="5" s="1"/>
  <c r="T381" i="5"/>
  <c r="S381" i="5"/>
  <c r="R381" i="5"/>
  <c r="M381" i="5"/>
  <c r="Q381" i="5" s="1"/>
  <c r="G381" i="5"/>
  <c r="X380" i="5"/>
  <c r="U380" i="5"/>
  <c r="V380" i="5" s="1"/>
  <c r="T380" i="5"/>
  <c r="S380" i="5"/>
  <c r="R380" i="5"/>
  <c r="M380" i="5"/>
  <c r="Q380" i="5" s="1"/>
  <c r="G380" i="5"/>
  <c r="X379" i="5"/>
  <c r="U379" i="5"/>
  <c r="V379" i="5" s="1"/>
  <c r="T379" i="5"/>
  <c r="S379" i="5"/>
  <c r="R379" i="5"/>
  <c r="M379" i="5"/>
  <c r="Q379" i="5" s="1"/>
  <c r="G379" i="5"/>
  <c r="X378" i="5"/>
  <c r="U378" i="5"/>
  <c r="V378" i="5" s="1"/>
  <c r="T378" i="5"/>
  <c r="S378" i="5"/>
  <c r="R378" i="5"/>
  <c r="M378" i="5"/>
  <c r="Q378" i="5" s="1"/>
  <c r="G378" i="5"/>
  <c r="X377" i="5"/>
  <c r="U377" i="5"/>
  <c r="V377" i="5" s="1"/>
  <c r="T377" i="5"/>
  <c r="S377" i="5"/>
  <c r="R377" i="5"/>
  <c r="M377" i="5"/>
  <c r="Q377" i="5" s="1"/>
  <c r="G377" i="5"/>
  <c r="X376" i="5"/>
  <c r="U376" i="5"/>
  <c r="V376" i="5" s="1"/>
  <c r="T376" i="5"/>
  <c r="S376" i="5"/>
  <c r="R376" i="5"/>
  <c r="M376" i="5"/>
  <c r="Q376" i="5" s="1"/>
  <c r="G376" i="5"/>
  <c r="X375" i="5"/>
  <c r="U375" i="5"/>
  <c r="V375" i="5" s="1"/>
  <c r="T375" i="5"/>
  <c r="S375" i="5"/>
  <c r="R375" i="5"/>
  <c r="M375" i="5"/>
  <c r="Q375" i="5" s="1"/>
  <c r="G375" i="5"/>
  <c r="X374" i="5"/>
  <c r="U374" i="5"/>
  <c r="V374" i="5" s="1"/>
  <c r="T374" i="5"/>
  <c r="S374" i="5"/>
  <c r="R374" i="5"/>
  <c r="M374" i="5"/>
  <c r="Q374" i="5" s="1"/>
  <c r="G374" i="5"/>
  <c r="X373" i="5"/>
  <c r="U373" i="5"/>
  <c r="V373" i="5" s="1"/>
  <c r="T373" i="5"/>
  <c r="S373" i="5"/>
  <c r="R373" i="5"/>
  <c r="M373" i="5"/>
  <c r="Q373" i="5" s="1"/>
  <c r="G373" i="5"/>
  <c r="X372" i="5"/>
  <c r="U372" i="5"/>
  <c r="V372" i="5" s="1"/>
  <c r="T372" i="5"/>
  <c r="S372" i="5"/>
  <c r="R372" i="5"/>
  <c r="M372" i="5"/>
  <c r="Q372" i="5" s="1"/>
  <c r="G372" i="5"/>
  <c r="X371" i="5"/>
  <c r="U371" i="5"/>
  <c r="V371" i="5" s="1"/>
  <c r="T371" i="5"/>
  <c r="S371" i="5"/>
  <c r="R371" i="5"/>
  <c r="M371" i="5"/>
  <c r="Q371" i="5" s="1"/>
  <c r="G371" i="5"/>
  <c r="X370" i="5"/>
  <c r="U370" i="5"/>
  <c r="V370" i="5" s="1"/>
  <c r="T370" i="5"/>
  <c r="S370" i="5"/>
  <c r="R370" i="5"/>
  <c r="M370" i="5"/>
  <c r="Q370" i="5" s="1"/>
  <c r="G370" i="5"/>
  <c r="X369" i="5"/>
  <c r="U369" i="5"/>
  <c r="V369" i="5" s="1"/>
  <c r="T369" i="5"/>
  <c r="S369" i="5"/>
  <c r="R369" i="5"/>
  <c r="M369" i="5"/>
  <c r="Q369" i="5" s="1"/>
  <c r="G369" i="5"/>
  <c r="X368" i="5"/>
  <c r="U368" i="5"/>
  <c r="V368" i="5" s="1"/>
  <c r="T368" i="5"/>
  <c r="S368" i="5"/>
  <c r="R368" i="5"/>
  <c r="M368" i="5"/>
  <c r="Q368" i="5" s="1"/>
  <c r="G368" i="5"/>
  <c r="X367" i="5"/>
  <c r="U367" i="5"/>
  <c r="V367" i="5" s="1"/>
  <c r="T367" i="5"/>
  <c r="S367" i="5"/>
  <c r="R367" i="5"/>
  <c r="M367" i="5"/>
  <c r="Q367" i="5" s="1"/>
  <c r="G367" i="5"/>
  <c r="X366" i="5"/>
  <c r="U366" i="5"/>
  <c r="V366" i="5" s="1"/>
  <c r="T366" i="5"/>
  <c r="S366" i="5"/>
  <c r="R366" i="5"/>
  <c r="M366" i="5"/>
  <c r="Q366" i="5" s="1"/>
  <c r="G366" i="5"/>
  <c r="X365" i="5"/>
  <c r="U365" i="5"/>
  <c r="V365" i="5" s="1"/>
  <c r="T365" i="5"/>
  <c r="S365" i="5"/>
  <c r="R365" i="5"/>
  <c r="M365" i="5"/>
  <c r="Q365" i="5" s="1"/>
  <c r="G365" i="5"/>
  <c r="X364" i="5"/>
  <c r="U364" i="5"/>
  <c r="V364" i="5" s="1"/>
  <c r="T364" i="5"/>
  <c r="S364" i="5"/>
  <c r="R364" i="5"/>
  <c r="M364" i="5"/>
  <c r="Q364" i="5" s="1"/>
  <c r="G364" i="5"/>
  <c r="X363" i="5"/>
  <c r="U363" i="5"/>
  <c r="V363" i="5" s="1"/>
  <c r="T363" i="5"/>
  <c r="S363" i="5"/>
  <c r="R363" i="5"/>
  <c r="M363" i="5"/>
  <c r="Q363" i="5" s="1"/>
  <c r="G363" i="5"/>
  <c r="X362" i="5"/>
  <c r="U362" i="5"/>
  <c r="V362" i="5" s="1"/>
  <c r="T362" i="5"/>
  <c r="S362" i="5"/>
  <c r="R362" i="5"/>
  <c r="M362" i="5"/>
  <c r="Q362" i="5" s="1"/>
  <c r="G362" i="5"/>
  <c r="X361" i="5"/>
  <c r="U361" i="5"/>
  <c r="V361" i="5" s="1"/>
  <c r="T361" i="5"/>
  <c r="S361" i="5"/>
  <c r="R361" i="5"/>
  <c r="M361" i="5"/>
  <c r="Q361" i="5" s="1"/>
  <c r="G361" i="5"/>
  <c r="X360" i="5"/>
  <c r="U360" i="5"/>
  <c r="V360" i="5" s="1"/>
  <c r="T360" i="5"/>
  <c r="S360" i="5"/>
  <c r="R360" i="5"/>
  <c r="M360" i="5"/>
  <c r="Q360" i="5" s="1"/>
  <c r="G360" i="5"/>
  <c r="X359" i="5"/>
  <c r="U359" i="5"/>
  <c r="V359" i="5" s="1"/>
  <c r="T359" i="5"/>
  <c r="S359" i="5"/>
  <c r="R359" i="5"/>
  <c r="M359" i="5"/>
  <c r="Q359" i="5" s="1"/>
  <c r="G359" i="5"/>
  <c r="X358" i="5"/>
  <c r="U358" i="5"/>
  <c r="V358" i="5" s="1"/>
  <c r="T358" i="5"/>
  <c r="S358" i="5"/>
  <c r="R358" i="5"/>
  <c r="M358" i="5"/>
  <c r="Q358" i="5" s="1"/>
  <c r="G358" i="5"/>
  <c r="X357" i="5"/>
  <c r="U357" i="5"/>
  <c r="V357" i="5" s="1"/>
  <c r="T357" i="5"/>
  <c r="S357" i="5"/>
  <c r="R357" i="5"/>
  <c r="M357" i="5"/>
  <c r="Q357" i="5" s="1"/>
  <c r="G357" i="5"/>
  <c r="X356" i="5"/>
  <c r="U356" i="5"/>
  <c r="V356" i="5" s="1"/>
  <c r="T356" i="5"/>
  <c r="S356" i="5"/>
  <c r="R356" i="5"/>
  <c r="M356" i="5"/>
  <c r="Q356" i="5" s="1"/>
  <c r="G356" i="5"/>
  <c r="X355" i="5"/>
  <c r="U355" i="5"/>
  <c r="V355" i="5" s="1"/>
  <c r="T355" i="5"/>
  <c r="S355" i="5"/>
  <c r="R355" i="5"/>
  <c r="M355" i="5"/>
  <c r="Q355" i="5" s="1"/>
  <c r="G355" i="5"/>
  <c r="X354" i="5"/>
  <c r="U354" i="5"/>
  <c r="V354" i="5" s="1"/>
  <c r="T354" i="5"/>
  <c r="S354" i="5"/>
  <c r="R354" i="5"/>
  <c r="M354" i="5"/>
  <c r="Q354" i="5" s="1"/>
  <c r="G354" i="5"/>
  <c r="X353" i="5"/>
  <c r="U353" i="5"/>
  <c r="V353" i="5" s="1"/>
  <c r="T353" i="5"/>
  <c r="S353" i="5"/>
  <c r="R353" i="5"/>
  <c r="M353" i="5"/>
  <c r="Q353" i="5" s="1"/>
  <c r="G353" i="5"/>
  <c r="X352" i="5"/>
  <c r="U352" i="5"/>
  <c r="V352" i="5" s="1"/>
  <c r="T352" i="5"/>
  <c r="S352" i="5"/>
  <c r="R352" i="5"/>
  <c r="M352" i="5"/>
  <c r="Q352" i="5" s="1"/>
  <c r="G352" i="5"/>
  <c r="X351" i="5"/>
  <c r="U351" i="5"/>
  <c r="V351" i="5" s="1"/>
  <c r="T351" i="5"/>
  <c r="S351" i="5"/>
  <c r="R351" i="5"/>
  <c r="M351" i="5"/>
  <c r="Q351" i="5" s="1"/>
  <c r="G351" i="5"/>
  <c r="X350" i="5"/>
  <c r="U350" i="5"/>
  <c r="V350" i="5" s="1"/>
  <c r="T350" i="5"/>
  <c r="S350" i="5"/>
  <c r="R350" i="5"/>
  <c r="M350" i="5"/>
  <c r="Q350" i="5" s="1"/>
  <c r="G350" i="5"/>
  <c r="X349" i="5"/>
  <c r="U349" i="5"/>
  <c r="V349" i="5" s="1"/>
  <c r="T349" i="5"/>
  <c r="S349" i="5"/>
  <c r="R349" i="5"/>
  <c r="M349" i="5"/>
  <c r="Q349" i="5" s="1"/>
  <c r="G349" i="5"/>
  <c r="X348" i="5"/>
  <c r="U348" i="5"/>
  <c r="V348" i="5" s="1"/>
  <c r="T348" i="5"/>
  <c r="S348" i="5"/>
  <c r="R348" i="5"/>
  <c r="M348" i="5"/>
  <c r="Q348" i="5" s="1"/>
  <c r="G348" i="5"/>
  <c r="X347" i="5"/>
  <c r="U347" i="5"/>
  <c r="V347" i="5" s="1"/>
  <c r="T347" i="5"/>
  <c r="S347" i="5"/>
  <c r="R347" i="5"/>
  <c r="M347" i="5"/>
  <c r="Q347" i="5" s="1"/>
  <c r="G347" i="5"/>
  <c r="X346" i="5"/>
  <c r="U346" i="5"/>
  <c r="V346" i="5" s="1"/>
  <c r="T346" i="5"/>
  <c r="S346" i="5"/>
  <c r="R346" i="5"/>
  <c r="M346" i="5"/>
  <c r="Q346" i="5" s="1"/>
  <c r="G346" i="5"/>
  <c r="X345" i="5"/>
  <c r="U345" i="5"/>
  <c r="V345" i="5" s="1"/>
  <c r="T345" i="5"/>
  <c r="S345" i="5"/>
  <c r="R345" i="5"/>
  <c r="M345" i="5"/>
  <c r="Q345" i="5" s="1"/>
  <c r="G345" i="5"/>
  <c r="X344" i="5"/>
  <c r="U344" i="5"/>
  <c r="V344" i="5" s="1"/>
  <c r="T344" i="5"/>
  <c r="S344" i="5"/>
  <c r="R344" i="5"/>
  <c r="M344" i="5"/>
  <c r="Q344" i="5" s="1"/>
  <c r="G344" i="5"/>
  <c r="X343" i="5"/>
  <c r="U343" i="5"/>
  <c r="V343" i="5" s="1"/>
  <c r="T343" i="5"/>
  <c r="S343" i="5"/>
  <c r="R343" i="5"/>
  <c r="M343" i="5"/>
  <c r="Q343" i="5" s="1"/>
  <c r="G343" i="5"/>
  <c r="X342" i="5"/>
  <c r="U342" i="5"/>
  <c r="V342" i="5" s="1"/>
  <c r="T342" i="5"/>
  <c r="S342" i="5"/>
  <c r="R342" i="5"/>
  <c r="M342" i="5"/>
  <c r="Q342" i="5" s="1"/>
  <c r="G342" i="5"/>
  <c r="X341" i="5"/>
  <c r="U341" i="5"/>
  <c r="V341" i="5" s="1"/>
  <c r="T341" i="5"/>
  <c r="S341" i="5"/>
  <c r="R341" i="5"/>
  <c r="M341" i="5"/>
  <c r="Q341" i="5" s="1"/>
  <c r="G341" i="5"/>
  <c r="X340" i="5"/>
  <c r="U340" i="5"/>
  <c r="V340" i="5" s="1"/>
  <c r="T340" i="5"/>
  <c r="S340" i="5"/>
  <c r="R340" i="5"/>
  <c r="M340" i="5"/>
  <c r="Q340" i="5" s="1"/>
  <c r="G340" i="5"/>
  <c r="X339" i="5"/>
  <c r="U339" i="5"/>
  <c r="V339" i="5" s="1"/>
  <c r="T339" i="5"/>
  <c r="S339" i="5"/>
  <c r="R339" i="5"/>
  <c r="M339" i="5"/>
  <c r="Q339" i="5" s="1"/>
  <c r="G339" i="5"/>
  <c r="X338" i="5"/>
  <c r="U338" i="5"/>
  <c r="V338" i="5" s="1"/>
  <c r="T338" i="5"/>
  <c r="S338" i="5"/>
  <c r="R338" i="5"/>
  <c r="M338" i="5"/>
  <c r="Q338" i="5" s="1"/>
  <c r="G338" i="5"/>
  <c r="X337" i="5"/>
  <c r="U337" i="5"/>
  <c r="V337" i="5" s="1"/>
  <c r="T337" i="5"/>
  <c r="S337" i="5"/>
  <c r="R337" i="5"/>
  <c r="M337" i="5"/>
  <c r="Q337" i="5" s="1"/>
  <c r="G337" i="5"/>
  <c r="X336" i="5"/>
  <c r="U336" i="5"/>
  <c r="V336" i="5" s="1"/>
  <c r="T336" i="5"/>
  <c r="S336" i="5"/>
  <c r="R336" i="5"/>
  <c r="M336" i="5"/>
  <c r="Q336" i="5" s="1"/>
  <c r="G336" i="5"/>
  <c r="X335" i="5"/>
  <c r="U335" i="5"/>
  <c r="V335" i="5" s="1"/>
  <c r="T335" i="5"/>
  <c r="S335" i="5"/>
  <c r="R335" i="5"/>
  <c r="M335" i="5"/>
  <c r="Q335" i="5" s="1"/>
  <c r="G335" i="5"/>
  <c r="X334" i="5"/>
  <c r="U334" i="5"/>
  <c r="V334" i="5" s="1"/>
  <c r="T334" i="5"/>
  <c r="S334" i="5"/>
  <c r="R334" i="5"/>
  <c r="M334" i="5"/>
  <c r="Q334" i="5" s="1"/>
  <c r="G334" i="5"/>
  <c r="X333" i="5"/>
  <c r="U333" i="5"/>
  <c r="V333" i="5" s="1"/>
  <c r="T333" i="5"/>
  <c r="S333" i="5"/>
  <c r="R333" i="5"/>
  <c r="M333" i="5"/>
  <c r="Q333" i="5" s="1"/>
  <c r="G333" i="5"/>
  <c r="X332" i="5"/>
  <c r="U332" i="5"/>
  <c r="V332" i="5" s="1"/>
  <c r="T332" i="5"/>
  <c r="S332" i="5"/>
  <c r="R332" i="5"/>
  <c r="M332" i="5"/>
  <c r="Q332" i="5" s="1"/>
  <c r="G332" i="5"/>
  <c r="X331" i="5"/>
  <c r="U331" i="5"/>
  <c r="V331" i="5" s="1"/>
  <c r="T331" i="5"/>
  <c r="S331" i="5"/>
  <c r="R331" i="5"/>
  <c r="M331" i="5"/>
  <c r="Q331" i="5" s="1"/>
  <c r="G331" i="5"/>
  <c r="X330" i="5"/>
  <c r="U330" i="5"/>
  <c r="V330" i="5" s="1"/>
  <c r="T330" i="5"/>
  <c r="S330" i="5"/>
  <c r="R330" i="5"/>
  <c r="M330" i="5"/>
  <c r="Q330" i="5" s="1"/>
  <c r="G330" i="5"/>
  <c r="X329" i="5"/>
  <c r="U329" i="5"/>
  <c r="V329" i="5" s="1"/>
  <c r="T329" i="5"/>
  <c r="S329" i="5"/>
  <c r="R329" i="5"/>
  <c r="M329" i="5"/>
  <c r="Q329" i="5" s="1"/>
  <c r="G329" i="5"/>
  <c r="X328" i="5"/>
  <c r="U328" i="5"/>
  <c r="V328" i="5" s="1"/>
  <c r="T328" i="5"/>
  <c r="S328" i="5"/>
  <c r="R328" i="5"/>
  <c r="M328" i="5"/>
  <c r="Q328" i="5" s="1"/>
  <c r="G328" i="5"/>
  <c r="X327" i="5"/>
  <c r="U327" i="5"/>
  <c r="V327" i="5" s="1"/>
  <c r="T327" i="5"/>
  <c r="S327" i="5"/>
  <c r="R327" i="5"/>
  <c r="M327" i="5"/>
  <c r="Q327" i="5" s="1"/>
  <c r="G327" i="5"/>
  <c r="X326" i="5"/>
  <c r="U326" i="5"/>
  <c r="V326" i="5" s="1"/>
  <c r="T326" i="5"/>
  <c r="S326" i="5"/>
  <c r="R326" i="5"/>
  <c r="M326" i="5"/>
  <c r="Q326" i="5" s="1"/>
  <c r="G326" i="5"/>
  <c r="X325" i="5"/>
  <c r="U325" i="5"/>
  <c r="V325" i="5" s="1"/>
  <c r="T325" i="5"/>
  <c r="S325" i="5"/>
  <c r="R325" i="5"/>
  <c r="M325" i="5"/>
  <c r="Q325" i="5" s="1"/>
  <c r="G325" i="5"/>
  <c r="X324" i="5"/>
  <c r="U324" i="5"/>
  <c r="V324" i="5" s="1"/>
  <c r="T324" i="5"/>
  <c r="S324" i="5"/>
  <c r="R324" i="5"/>
  <c r="M324" i="5"/>
  <c r="Q324" i="5" s="1"/>
  <c r="G324" i="5"/>
  <c r="X323" i="5"/>
  <c r="U323" i="5"/>
  <c r="V323" i="5" s="1"/>
  <c r="T323" i="5"/>
  <c r="S323" i="5"/>
  <c r="R323" i="5"/>
  <c r="M323" i="5"/>
  <c r="Q323" i="5" s="1"/>
  <c r="G323" i="5"/>
  <c r="X322" i="5"/>
  <c r="U322" i="5"/>
  <c r="V322" i="5" s="1"/>
  <c r="T322" i="5"/>
  <c r="S322" i="5"/>
  <c r="R322" i="5"/>
  <c r="M322" i="5"/>
  <c r="Q322" i="5" s="1"/>
  <c r="G322" i="5"/>
  <c r="X321" i="5"/>
  <c r="U321" i="5"/>
  <c r="V321" i="5" s="1"/>
  <c r="T321" i="5"/>
  <c r="S321" i="5"/>
  <c r="R321" i="5"/>
  <c r="M321" i="5"/>
  <c r="Q321" i="5" s="1"/>
  <c r="G321" i="5"/>
  <c r="X320" i="5"/>
  <c r="U320" i="5"/>
  <c r="V320" i="5" s="1"/>
  <c r="T320" i="5"/>
  <c r="S320" i="5"/>
  <c r="R320" i="5"/>
  <c r="M320" i="5"/>
  <c r="Q320" i="5" s="1"/>
  <c r="G320" i="5"/>
  <c r="X319" i="5"/>
  <c r="U319" i="5"/>
  <c r="V319" i="5" s="1"/>
  <c r="T319" i="5"/>
  <c r="S319" i="5"/>
  <c r="R319" i="5"/>
  <c r="M319" i="5"/>
  <c r="Q319" i="5" s="1"/>
  <c r="G319" i="5"/>
  <c r="X318" i="5"/>
  <c r="U318" i="5"/>
  <c r="V318" i="5" s="1"/>
  <c r="T318" i="5"/>
  <c r="S318" i="5"/>
  <c r="R318" i="5"/>
  <c r="M318" i="5"/>
  <c r="Q318" i="5" s="1"/>
  <c r="G318" i="5"/>
  <c r="X317" i="5"/>
  <c r="U317" i="5"/>
  <c r="V317" i="5" s="1"/>
  <c r="T317" i="5"/>
  <c r="S317" i="5"/>
  <c r="R317" i="5"/>
  <c r="M317" i="5"/>
  <c r="Q317" i="5" s="1"/>
  <c r="G317" i="5"/>
  <c r="X316" i="5"/>
  <c r="U316" i="5"/>
  <c r="V316" i="5" s="1"/>
  <c r="T316" i="5"/>
  <c r="S316" i="5"/>
  <c r="R316" i="5"/>
  <c r="M316" i="5"/>
  <c r="Q316" i="5" s="1"/>
  <c r="G316" i="5"/>
  <c r="X315" i="5"/>
  <c r="U315" i="5"/>
  <c r="V315" i="5" s="1"/>
  <c r="T315" i="5"/>
  <c r="S315" i="5"/>
  <c r="R315" i="5"/>
  <c r="M315" i="5"/>
  <c r="Q315" i="5" s="1"/>
  <c r="G315" i="5"/>
  <c r="X314" i="5"/>
  <c r="U314" i="5"/>
  <c r="V314" i="5" s="1"/>
  <c r="T314" i="5"/>
  <c r="S314" i="5"/>
  <c r="R314" i="5"/>
  <c r="M314" i="5"/>
  <c r="Q314" i="5" s="1"/>
  <c r="G314" i="5"/>
  <c r="X313" i="5"/>
  <c r="U313" i="5"/>
  <c r="V313" i="5" s="1"/>
  <c r="T313" i="5"/>
  <c r="S313" i="5"/>
  <c r="R313" i="5"/>
  <c r="M313" i="5"/>
  <c r="Q313" i="5" s="1"/>
  <c r="G313" i="5"/>
  <c r="X312" i="5"/>
  <c r="U312" i="5"/>
  <c r="V312" i="5" s="1"/>
  <c r="T312" i="5"/>
  <c r="S312" i="5"/>
  <c r="R312" i="5"/>
  <c r="M312" i="5"/>
  <c r="Q312" i="5" s="1"/>
  <c r="G312" i="5"/>
  <c r="X311" i="5"/>
  <c r="U311" i="5"/>
  <c r="V311" i="5" s="1"/>
  <c r="T311" i="5"/>
  <c r="S311" i="5"/>
  <c r="R311" i="5"/>
  <c r="M311" i="5"/>
  <c r="Q311" i="5" s="1"/>
  <c r="G311" i="5"/>
  <c r="X310" i="5"/>
  <c r="U310" i="5"/>
  <c r="V310" i="5" s="1"/>
  <c r="T310" i="5"/>
  <c r="S310" i="5"/>
  <c r="R310" i="5"/>
  <c r="M310" i="5"/>
  <c r="Q310" i="5" s="1"/>
  <c r="G310" i="5"/>
  <c r="X309" i="5"/>
  <c r="U309" i="5"/>
  <c r="V309" i="5" s="1"/>
  <c r="T309" i="5"/>
  <c r="S309" i="5"/>
  <c r="R309" i="5"/>
  <c r="M309" i="5"/>
  <c r="Q309" i="5" s="1"/>
  <c r="G309" i="5"/>
  <c r="X308" i="5"/>
  <c r="U308" i="5"/>
  <c r="V308" i="5" s="1"/>
  <c r="T308" i="5"/>
  <c r="S308" i="5"/>
  <c r="R308" i="5"/>
  <c r="M308" i="5"/>
  <c r="Q308" i="5" s="1"/>
  <c r="G308" i="5"/>
  <c r="X307" i="5"/>
  <c r="U307" i="5"/>
  <c r="V307" i="5" s="1"/>
  <c r="T307" i="5"/>
  <c r="S307" i="5"/>
  <c r="R307" i="5"/>
  <c r="M307" i="5"/>
  <c r="Q307" i="5" s="1"/>
  <c r="G307" i="5"/>
  <c r="X306" i="5"/>
  <c r="U306" i="5"/>
  <c r="V306" i="5" s="1"/>
  <c r="T306" i="5"/>
  <c r="S306" i="5"/>
  <c r="R306" i="5"/>
  <c r="M306" i="5"/>
  <c r="Q306" i="5" s="1"/>
  <c r="G306" i="5"/>
  <c r="X305" i="5"/>
  <c r="U305" i="5"/>
  <c r="V305" i="5" s="1"/>
  <c r="T305" i="5"/>
  <c r="S305" i="5"/>
  <c r="R305" i="5"/>
  <c r="M305" i="5"/>
  <c r="Q305" i="5" s="1"/>
  <c r="G305" i="5"/>
  <c r="X304" i="5"/>
  <c r="U304" i="5"/>
  <c r="V304" i="5" s="1"/>
  <c r="T304" i="5"/>
  <c r="S304" i="5"/>
  <c r="R304" i="5"/>
  <c r="M304" i="5"/>
  <c r="Q304" i="5" s="1"/>
  <c r="G304" i="5"/>
  <c r="X303" i="5"/>
  <c r="U303" i="5"/>
  <c r="V303" i="5" s="1"/>
  <c r="T303" i="5"/>
  <c r="S303" i="5"/>
  <c r="R303" i="5"/>
  <c r="M303" i="5"/>
  <c r="Q303" i="5" s="1"/>
  <c r="G303" i="5"/>
  <c r="X302" i="5"/>
  <c r="U302" i="5"/>
  <c r="V302" i="5" s="1"/>
  <c r="T302" i="5"/>
  <c r="S302" i="5"/>
  <c r="R302" i="5"/>
  <c r="M302" i="5"/>
  <c r="Q302" i="5" s="1"/>
  <c r="G302" i="5"/>
  <c r="X301" i="5"/>
  <c r="U301" i="5"/>
  <c r="V301" i="5" s="1"/>
  <c r="T301" i="5"/>
  <c r="S301" i="5"/>
  <c r="R301" i="5"/>
  <c r="M301" i="5"/>
  <c r="Q301" i="5" s="1"/>
  <c r="G301" i="5"/>
  <c r="X300" i="5"/>
  <c r="U300" i="5"/>
  <c r="V300" i="5" s="1"/>
  <c r="T300" i="5"/>
  <c r="S300" i="5"/>
  <c r="R300" i="5"/>
  <c r="M300" i="5"/>
  <c r="Q300" i="5" s="1"/>
  <c r="G300" i="5"/>
  <c r="X299" i="5"/>
  <c r="U299" i="5"/>
  <c r="V299" i="5" s="1"/>
  <c r="T299" i="5"/>
  <c r="S299" i="5"/>
  <c r="R299" i="5"/>
  <c r="M299" i="5"/>
  <c r="Q299" i="5" s="1"/>
  <c r="G299" i="5"/>
  <c r="X298" i="5"/>
  <c r="U298" i="5"/>
  <c r="V298" i="5" s="1"/>
  <c r="T298" i="5"/>
  <c r="S298" i="5"/>
  <c r="R298" i="5"/>
  <c r="M298" i="5"/>
  <c r="Q298" i="5" s="1"/>
  <c r="G298" i="5"/>
  <c r="X297" i="5"/>
  <c r="U297" i="5"/>
  <c r="V297" i="5" s="1"/>
  <c r="T297" i="5"/>
  <c r="S297" i="5"/>
  <c r="R297" i="5"/>
  <c r="M297" i="5"/>
  <c r="Q297" i="5" s="1"/>
  <c r="G297" i="5"/>
  <c r="X296" i="5"/>
  <c r="U296" i="5"/>
  <c r="V296" i="5" s="1"/>
  <c r="T296" i="5"/>
  <c r="S296" i="5"/>
  <c r="R296" i="5"/>
  <c r="M296" i="5"/>
  <c r="Q296" i="5" s="1"/>
  <c r="G296" i="5"/>
  <c r="X295" i="5"/>
  <c r="U295" i="5"/>
  <c r="V295" i="5" s="1"/>
  <c r="T295" i="5"/>
  <c r="S295" i="5"/>
  <c r="R295" i="5"/>
  <c r="M295" i="5"/>
  <c r="Q295" i="5" s="1"/>
  <c r="G295" i="5"/>
  <c r="X294" i="5"/>
  <c r="U294" i="5"/>
  <c r="V294" i="5" s="1"/>
  <c r="T294" i="5"/>
  <c r="S294" i="5"/>
  <c r="R294" i="5"/>
  <c r="M294" i="5"/>
  <c r="Q294" i="5" s="1"/>
  <c r="G294" i="5"/>
  <c r="X293" i="5"/>
  <c r="U293" i="5"/>
  <c r="V293" i="5" s="1"/>
  <c r="T293" i="5"/>
  <c r="S293" i="5"/>
  <c r="R293" i="5"/>
  <c r="M293" i="5"/>
  <c r="Q293" i="5" s="1"/>
  <c r="G293" i="5"/>
  <c r="X292" i="5"/>
  <c r="U292" i="5"/>
  <c r="V292" i="5" s="1"/>
  <c r="T292" i="5"/>
  <c r="S292" i="5"/>
  <c r="R292" i="5"/>
  <c r="M292" i="5"/>
  <c r="Q292" i="5" s="1"/>
  <c r="G292" i="5"/>
  <c r="X291" i="5"/>
  <c r="U291" i="5"/>
  <c r="V291" i="5" s="1"/>
  <c r="T291" i="5"/>
  <c r="S291" i="5"/>
  <c r="R291" i="5"/>
  <c r="M291" i="5"/>
  <c r="Q291" i="5" s="1"/>
  <c r="G291" i="5"/>
  <c r="X290" i="5"/>
  <c r="U290" i="5"/>
  <c r="V290" i="5" s="1"/>
  <c r="T290" i="5"/>
  <c r="S290" i="5"/>
  <c r="R290" i="5"/>
  <c r="M290" i="5"/>
  <c r="Q290" i="5" s="1"/>
  <c r="G290" i="5"/>
  <c r="X289" i="5"/>
  <c r="U289" i="5"/>
  <c r="V289" i="5" s="1"/>
  <c r="T289" i="5"/>
  <c r="S289" i="5"/>
  <c r="R289" i="5"/>
  <c r="M289" i="5"/>
  <c r="Q289" i="5" s="1"/>
  <c r="G289" i="5"/>
  <c r="X288" i="5"/>
  <c r="U288" i="5"/>
  <c r="V288" i="5" s="1"/>
  <c r="T288" i="5"/>
  <c r="S288" i="5"/>
  <c r="R288" i="5"/>
  <c r="M288" i="5"/>
  <c r="Q288" i="5" s="1"/>
  <c r="G288" i="5"/>
  <c r="X287" i="5"/>
  <c r="U287" i="5"/>
  <c r="V287" i="5" s="1"/>
  <c r="T287" i="5"/>
  <c r="S287" i="5"/>
  <c r="R287" i="5"/>
  <c r="M287" i="5"/>
  <c r="Q287" i="5" s="1"/>
  <c r="G287" i="5"/>
  <c r="X286" i="5"/>
  <c r="U286" i="5"/>
  <c r="V286" i="5" s="1"/>
  <c r="T286" i="5"/>
  <c r="S286" i="5"/>
  <c r="R286" i="5"/>
  <c r="M286" i="5"/>
  <c r="Q286" i="5" s="1"/>
  <c r="G286" i="5"/>
  <c r="X285" i="5"/>
  <c r="U285" i="5"/>
  <c r="V285" i="5" s="1"/>
  <c r="T285" i="5"/>
  <c r="S285" i="5"/>
  <c r="R285" i="5"/>
  <c r="M285" i="5"/>
  <c r="Q285" i="5" s="1"/>
  <c r="G285" i="5"/>
  <c r="X284" i="5"/>
  <c r="U284" i="5"/>
  <c r="V284" i="5" s="1"/>
  <c r="T284" i="5"/>
  <c r="S284" i="5"/>
  <c r="R284" i="5"/>
  <c r="M284" i="5"/>
  <c r="Q284" i="5" s="1"/>
  <c r="G284" i="5"/>
  <c r="X283" i="5"/>
  <c r="U283" i="5"/>
  <c r="V283" i="5" s="1"/>
  <c r="T283" i="5"/>
  <c r="S283" i="5"/>
  <c r="R283" i="5"/>
  <c r="M283" i="5"/>
  <c r="Q283" i="5" s="1"/>
  <c r="G283" i="5"/>
  <c r="X282" i="5"/>
  <c r="U282" i="5"/>
  <c r="V282" i="5" s="1"/>
  <c r="T282" i="5"/>
  <c r="S282" i="5"/>
  <c r="R282" i="5"/>
  <c r="M282" i="5"/>
  <c r="Q282" i="5" s="1"/>
  <c r="G282" i="5"/>
  <c r="X281" i="5"/>
  <c r="U281" i="5"/>
  <c r="V281" i="5" s="1"/>
  <c r="T281" i="5"/>
  <c r="S281" i="5"/>
  <c r="R281" i="5"/>
  <c r="M281" i="5"/>
  <c r="Q281" i="5" s="1"/>
  <c r="G281" i="5"/>
  <c r="X280" i="5"/>
  <c r="U280" i="5"/>
  <c r="V280" i="5" s="1"/>
  <c r="T280" i="5"/>
  <c r="S280" i="5"/>
  <c r="R280" i="5"/>
  <c r="M280" i="5"/>
  <c r="Q280" i="5" s="1"/>
  <c r="G280" i="5"/>
  <c r="X279" i="5"/>
  <c r="U279" i="5"/>
  <c r="V279" i="5" s="1"/>
  <c r="T279" i="5"/>
  <c r="S279" i="5"/>
  <c r="R279" i="5"/>
  <c r="M279" i="5"/>
  <c r="Q279" i="5" s="1"/>
  <c r="G279" i="5"/>
  <c r="X278" i="5"/>
  <c r="U278" i="5"/>
  <c r="V278" i="5" s="1"/>
  <c r="T278" i="5"/>
  <c r="S278" i="5"/>
  <c r="R278" i="5"/>
  <c r="M278" i="5"/>
  <c r="Q278" i="5" s="1"/>
  <c r="G278" i="5"/>
  <c r="X277" i="5"/>
  <c r="U277" i="5"/>
  <c r="V277" i="5" s="1"/>
  <c r="T277" i="5"/>
  <c r="S277" i="5"/>
  <c r="R277" i="5"/>
  <c r="M277" i="5"/>
  <c r="Q277" i="5" s="1"/>
  <c r="G277" i="5"/>
  <c r="X276" i="5"/>
  <c r="U276" i="5"/>
  <c r="V276" i="5" s="1"/>
  <c r="T276" i="5"/>
  <c r="S276" i="5"/>
  <c r="R276" i="5"/>
  <c r="M276" i="5"/>
  <c r="Q276" i="5" s="1"/>
  <c r="G276" i="5"/>
  <c r="X275" i="5"/>
  <c r="U275" i="5"/>
  <c r="V275" i="5" s="1"/>
  <c r="T275" i="5"/>
  <c r="S275" i="5"/>
  <c r="R275" i="5"/>
  <c r="M275" i="5"/>
  <c r="Q275" i="5" s="1"/>
  <c r="G275" i="5"/>
  <c r="X274" i="5"/>
  <c r="U274" i="5"/>
  <c r="V274" i="5" s="1"/>
  <c r="T274" i="5"/>
  <c r="S274" i="5"/>
  <c r="R274" i="5"/>
  <c r="M274" i="5"/>
  <c r="Q274" i="5" s="1"/>
  <c r="G274" i="5"/>
  <c r="X273" i="5"/>
  <c r="U273" i="5"/>
  <c r="V273" i="5" s="1"/>
  <c r="T273" i="5"/>
  <c r="S273" i="5"/>
  <c r="R273" i="5"/>
  <c r="M273" i="5"/>
  <c r="Q273" i="5" s="1"/>
  <c r="G273" i="5"/>
  <c r="X272" i="5"/>
  <c r="U272" i="5"/>
  <c r="V272" i="5" s="1"/>
  <c r="T272" i="5"/>
  <c r="S272" i="5"/>
  <c r="R272" i="5"/>
  <c r="M272" i="5"/>
  <c r="Q272" i="5" s="1"/>
  <c r="G272" i="5"/>
  <c r="X271" i="5"/>
  <c r="U271" i="5"/>
  <c r="V271" i="5" s="1"/>
  <c r="T271" i="5"/>
  <c r="S271" i="5"/>
  <c r="R271" i="5"/>
  <c r="M271" i="5"/>
  <c r="Q271" i="5" s="1"/>
  <c r="G271" i="5"/>
  <c r="X270" i="5"/>
  <c r="U270" i="5"/>
  <c r="V270" i="5" s="1"/>
  <c r="T270" i="5"/>
  <c r="S270" i="5"/>
  <c r="R270" i="5"/>
  <c r="M270" i="5"/>
  <c r="Q270" i="5" s="1"/>
  <c r="G270" i="5"/>
  <c r="X269" i="5"/>
  <c r="U269" i="5"/>
  <c r="V269" i="5" s="1"/>
  <c r="T269" i="5"/>
  <c r="S269" i="5"/>
  <c r="R269" i="5"/>
  <c r="M269" i="5"/>
  <c r="Q269" i="5" s="1"/>
  <c r="G269" i="5"/>
  <c r="X268" i="5"/>
  <c r="U268" i="5"/>
  <c r="V268" i="5" s="1"/>
  <c r="T268" i="5"/>
  <c r="S268" i="5"/>
  <c r="R268" i="5"/>
  <c r="M268" i="5"/>
  <c r="Q268" i="5" s="1"/>
  <c r="G268" i="5"/>
  <c r="X267" i="5"/>
  <c r="U267" i="5"/>
  <c r="V267" i="5" s="1"/>
  <c r="T267" i="5"/>
  <c r="S267" i="5"/>
  <c r="R267" i="5"/>
  <c r="M267" i="5"/>
  <c r="Q267" i="5" s="1"/>
  <c r="G267" i="5"/>
  <c r="X266" i="5"/>
  <c r="U266" i="5"/>
  <c r="V266" i="5" s="1"/>
  <c r="T266" i="5"/>
  <c r="S266" i="5"/>
  <c r="R266" i="5"/>
  <c r="M266" i="5"/>
  <c r="Q266" i="5" s="1"/>
  <c r="G266" i="5"/>
  <c r="X265" i="5"/>
  <c r="U265" i="5"/>
  <c r="V265" i="5" s="1"/>
  <c r="T265" i="5"/>
  <c r="S265" i="5"/>
  <c r="R265" i="5"/>
  <c r="M265" i="5"/>
  <c r="Q265" i="5" s="1"/>
  <c r="G265" i="5"/>
  <c r="X264" i="5"/>
  <c r="U264" i="5"/>
  <c r="V264" i="5" s="1"/>
  <c r="T264" i="5"/>
  <c r="S264" i="5"/>
  <c r="R264" i="5"/>
  <c r="M264" i="5"/>
  <c r="Q264" i="5" s="1"/>
  <c r="G264" i="5"/>
  <c r="X263" i="5"/>
  <c r="U263" i="5"/>
  <c r="V263" i="5" s="1"/>
  <c r="T263" i="5"/>
  <c r="S263" i="5"/>
  <c r="R263" i="5"/>
  <c r="M263" i="5"/>
  <c r="Q263" i="5" s="1"/>
  <c r="G263" i="5"/>
  <c r="X262" i="5"/>
  <c r="U262" i="5"/>
  <c r="V262" i="5" s="1"/>
  <c r="T262" i="5"/>
  <c r="S262" i="5"/>
  <c r="R262" i="5"/>
  <c r="M262" i="5"/>
  <c r="Q262" i="5" s="1"/>
  <c r="G262" i="5"/>
  <c r="X261" i="5"/>
  <c r="U261" i="5"/>
  <c r="V261" i="5" s="1"/>
  <c r="T261" i="5"/>
  <c r="S261" i="5"/>
  <c r="R261" i="5"/>
  <c r="M261" i="5"/>
  <c r="Q261" i="5" s="1"/>
  <c r="G261" i="5"/>
  <c r="X260" i="5"/>
  <c r="U260" i="5"/>
  <c r="V260" i="5" s="1"/>
  <c r="T260" i="5"/>
  <c r="S260" i="5"/>
  <c r="R260" i="5"/>
  <c r="M260" i="5"/>
  <c r="Q260" i="5" s="1"/>
  <c r="G260" i="5"/>
  <c r="X259" i="5"/>
  <c r="U259" i="5"/>
  <c r="V259" i="5" s="1"/>
  <c r="T259" i="5"/>
  <c r="S259" i="5"/>
  <c r="R259" i="5"/>
  <c r="M259" i="5"/>
  <c r="Q259" i="5" s="1"/>
  <c r="G259" i="5"/>
  <c r="X258" i="5"/>
  <c r="U258" i="5"/>
  <c r="V258" i="5" s="1"/>
  <c r="T258" i="5"/>
  <c r="S258" i="5"/>
  <c r="R258" i="5"/>
  <c r="M258" i="5"/>
  <c r="Q258" i="5" s="1"/>
  <c r="G258" i="5"/>
  <c r="X257" i="5"/>
  <c r="U257" i="5"/>
  <c r="V257" i="5" s="1"/>
  <c r="T257" i="5"/>
  <c r="S257" i="5"/>
  <c r="R257" i="5"/>
  <c r="M257" i="5"/>
  <c r="Q257" i="5" s="1"/>
  <c r="G257" i="5"/>
  <c r="X256" i="5"/>
  <c r="U256" i="5"/>
  <c r="V256" i="5" s="1"/>
  <c r="T256" i="5"/>
  <c r="S256" i="5"/>
  <c r="R256" i="5"/>
  <c r="M256" i="5"/>
  <c r="Q256" i="5" s="1"/>
  <c r="G256" i="5"/>
  <c r="X255" i="5"/>
  <c r="U255" i="5"/>
  <c r="V255" i="5" s="1"/>
  <c r="T255" i="5"/>
  <c r="S255" i="5"/>
  <c r="R255" i="5"/>
  <c r="M255" i="5"/>
  <c r="Q255" i="5" s="1"/>
  <c r="G255" i="5"/>
  <c r="X254" i="5"/>
  <c r="U254" i="5"/>
  <c r="V254" i="5" s="1"/>
  <c r="T254" i="5"/>
  <c r="S254" i="5"/>
  <c r="R254" i="5"/>
  <c r="M254" i="5"/>
  <c r="Q254" i="5" s="1"/>
  <c r="G254" i="5"/>
  <c r="X253" i="5"/>
  <c r="U253" i="5"/>
  <c r="V253" i="5" s="1"/>
  <c r="T253" i="5"/>
  <c r="S253" i="5"/>
  <c r="R253" i="5"/>
  <c r="M253" i="5"/>
  <c r="Q253" i="5" s="1"/>
  <c r="G253" i="5"/>
  <c r="X252" i="5"/>
  <c r="U252" i="5"/>
  <c r="V252" i="5" s="1"/>
  <c r="T252" i="5"/>
  <c r="S252" i="5"/>
  <c r="R252" i="5"/>
  <c r="M252" i="5"/>
  <c r="Q252" i="5" s="1"/>
  <c r="G252" i="5"/>
  <c r="X251" i="5"/>
  <c r="U251" i="5"/>
  <c r="V251" i="5" s="1"/>
  <c r="T251" i="5"/>
  <c r="S251" i="5"/>
  <c r="R251" i="5"/>
  <c r="M251" i="5"/>
  <c r="Q251" i="5" s="1"/>
  <c r="G251" i="5"/>
  <c r="X250" i="5"/>
  <c r="U250" i="5"/>
  <c r="V250" i="5" s="1"/>
  <c r="T250" i="5"/>
  <c r="S250" i="5"/>
  <c r="R250" i="5"/>
  <c r="M250" i="5"/>
  <c r="Q250" i="5" s="1"/>
  <c r="G250" i="5"/>
  <c r="X249" i="5"/>
  <c r="U249" i="5"/>
  <c r="V249" i="5" s="1"/>
  <c r="T249" i="5"/>
  <c r="S249" i="5"/>
  <c r="R249" i="5"/>
  <c r="M249" i="5"/>
  <c r="Q249" i="5" s="1"/>
  <c r="G249" i="5"/>
  <c r="X248" i="5"/>
  <c r="U248" i="5"/>
  <c r="V248" i="5" s="1"/>
  <c r="T248" i="5"/>
  <c r="S248" i="5"/>
  <c r="R248" i="5"/>
  <c r="M248" i="5"/>
  <c r="Q248" i="5" s="1"/>
  <c r="G248" i="5"/>
  <c r="X247" i="5"/>
  <c r="U247" i="5"/>
  <c r="V247" i="5" s="1"/>
  <c r="T247" i="5"/>
  <c r="S247" i="5"/>
  <c r="R247" i="5"/>
  <c r="M247" i="5"/>
  <c r="Q247" i="5" s="1"/>
  <c r="G247" i="5"/>
  <c r="X246" i="5"/>
  <c r="U246" i="5"/>
  <c r="V246" i="5" s="1"/>
  <c r="T246" i="5"/>
  <c r="S246" i="5"/>
  <c r="R246" i="5"/>
  <c r="M246" i="5"/>
  <c r="Q246" i="5" s="1"/>
  <c r="G246" i="5"/>
  <c r="X245" i="5"/>
  <c r="U245" i="5"/>
  <c r="V245" i="5" s="1"/>
  <c r="T245" i="5"/>
  <c r="S245" i="5"/>
  <c r="R245" i="5"/>
  <c r="M245" i="5"/>
  <c r="Q245" i="5" s="1"/>
  <c r="G245" i="5"/>
  <c r="X244" i="5"/>
  <c r="U244" i="5"/>
  <c r="V244" i="5" s="1"/>
  <c r="T244" i="5"/>
  <c r="S244" i="5"/>
  <c r="R244" i="5"/>
  <c r="M244" i="5"/>
  <c r="Q244" i="5" s="1"/>
  <c r="G244" i="5"/>
  <c r="X243" i="5"/>
  <c r="U243" i="5"/>
  <c r="V243" i="5" s="1"/>
  <c r="T243" i="5"/>
  <c r="S243" i="5"/>
  <c r="R243" i="5"/>
  <c r="M243" i="5"/>
  <c r="Q243" i="5" s="1"/>
  <c r="G243" i="5"/>
  <c r="X242" i="5"/>
  <c r="U242" i="5"/>
  <c r="V242" i="5" s="1"/>
  <c r="T242" i="5"/>
  <c r="S242" i="5"/>
  <c r="R242" i="5"/>
  <c r="M242" i="5"/>
  <c r="Q242" i="5" s="1"/>
  <c r="G242" i="5"/>
  <c r="X241" i="5"/>
  <c r="U241" i="5"/>
  <c r="V241" i="5" s="1"/>
  <c r="T241" i="5"/>
  <c r="S241" i="5"/>
  <c r="R241" i="5"/>
  <c r="M241" i="5"/>
  <c r="Q241" i="5" s="1"/>
  <c r="G241" i="5"/>
  <c r="X240" i="5"/>
  <c r="U240" i="5"/>
  <c r="V240" i="5" s="1"/>
  <c r="T240" i="5"/>
  <c r="S240" i="5"/>
  <c r="R240" i="5"/>
  <c r="M240" i="5"/>
  <c r="Q240" i="5" s="1"/>
  <c r="G240" i="5"/>
  <c r="X239" i="5"/>
  <c r="U239" i="5"/>
  <c r="V239" i="5" s="1"/>
  <c r="T239" i="5"/>
  <c r="S239" i="5"/>
  <c r="R239" i="5"/>
  <c r="M239" i="5"/>
  <c r="Q239" i="5" s="1"/>
  <c r="G239" i="5"/>
  <c r="X238" i="5"/>
  <c r="U238" i="5"/>
  <c r="V238" i="5" s="1"/>
  <c r="T238" i="5"/>
  <c r="S238" i="5"/>
  <c r="R238" i="5"/>
  <c r="M238" i="5"/>
  <c r="Q238" i="5" s="1"/>
  <c r="G238" i="5"/>
  <c r="X237" i="5"/>
  <c r="U237" i="5"/>
  <c r="V237" i="5" s="1"/>
  <c r="T237" i="5"/>
  <c r="S237" i="5"/>
  <c r="R237" i="5"/>
  <c r="M237" i="5"/>
  <c r="Q237" i="5" s="1"/>
  <c r="G237" i="5"/>
  <c r="X236" i="5"/>
  <c r="U236" i="5"/>
  <c r="V236" i="5" s="1"/>
  <c r="T236" i="5"/>
  <c r="S236" i="5"/>
  <c r="R236" i="5"/>
  <c r="M236" i="5"/>
  <c r="Q236" i="5" s="1"/>
  <c r="G236" i="5"/>
  <c r="X235" i="5"/>
  <c r="U235" i="5"/>
  <c r="V235" i="5" s="1"/>
  <c r="T235" i="5"/>
  <c r="S235" i="5"/>
  <c r="R235" i="5"/>
  <c r="M235" i="5"/>
  <c r="Q235" i="5" s="1"/>
  <c r="G235" i="5"/>
  <c r="X234" i="5"/>
  <c r="U234" i="5"/>
  <c r="V234" i="5" s="1"/>
  <c r="T234" i="5"/>
  <c r="S234" i="5"/>
  <c r="R234" i="5"/>
  <c r="M234" i="5"/>
  <c r="Q234" i="5" s="1"/>
  <c r="G234" i="5"/>
  <c r="X233" i="5"/>
  <c r="U233" i="5"/>
  <c r="V233" i="5" s="1"/>
  <c r="T233" i="5"/>
  <c r="S233" i="5"/>
  <c r="R233" i="5"/>
  <c r="M233" i="5"/>
  <c r="Q233" i="5" s="1"/>
  <c r="G233" i="5"/>
  <c r="X232" i="5"/>
  <c r="U232" i="5"/>
  <c r="V232" i="5" s="1"/>
  <c r="T232" i="5"/>
  <c r="S232" i="5"/>
  <c r="R232" i="5"/>
  <c r="M232" i="5"/>
  <c r="Q232" i="5" s="1"/>
  <c r="G232" i="5"/>
  <c r="X231" i="5"/>
  <c r="U231" i="5"/>
  <c r="V231" i="5" s="1"/>
  <c r="T231" i="5"/>
  <c r="S231" i="5"/>
  <c r="R231" i="5"/>
  <c r="M231" i="5"/>
  <c r="Q231" i="5" s="1"/>
  <c r="G231" i="5"/>
  <c r="X230" i="5"/>
  <c r="U230" i="5"/>
  <c r="V230" i="5" s="1"/>
  <c r="T230" i="5"/>
  <c r="S230" i="5"/>
  <c r="R230" i="5"/>
  <c r="M230" i="5"/>
  <c r="Q230" i="5" s="1"/>
  <c r="G230" i="5"/>
  <c r="X229" i="5"/>
  <c r="U229" i="5"/>
  <c r="V229" i="5" s="1"/>
  <c r="T229" i="5"/>
  <c r="S229" i="5"/>
  <c r="R229" i="5"/>
  <c r="M229" i="5"/>
  <c r="Q229" i="5" s="1"/>
  <c r="G229" i="5"/>
  <c r="X228" i="5"/>
  <c r="U228" i="5"/>
  <c r="V228" i="5" s="1"/>
  <c r="T228" i="5"/>
  <c r="S228" i="5"/>
  <c r="R228" i="5"/>
  <c r="M228" i="5"/>
  <c r="Q228" i="5" s="1"/>
  <c r="G228" i="5"/>
  <c r="X227" i="5"/>
  <c r="U227" i="5"/>
  <c r="V227" i="5" s="1"/>
  <c r="T227" i="5"/>
  <c r="S227" i="5"/>
  <c r="R227" i="5"/>
  <c r="M227" i="5"/>
  <c r="Q227" i="5" s="1"/>
  <c r="G227" i="5"/>
  <c r="X226" i="5"/>
  <c r="U226" i="5"/>
  <c r="V226" i="5" s="1"/>
  <c r="T226" i="5"/>
  <c r="S226" i="5"/>
  <c r="R226" i="5"/>
  <c r="M226" i="5"/>
  <c r="Q226" i="5" s="1"/>
  <c r="G226" i="5"/>
  <c r="X225" i="5"/>
  <c r="U225" i="5"/>
  <c r="V225" i="5" s="1"/>
  <c r="T225" i="5"/>
  <c r="S225" i="5"/>
  <c r="R225" i="5"/>
  <c r="M225" i="5"/>
  <c r="Q225" i="5" s="1"/>
  <c r="G225" i="5"/>
  <c r="X224" i="5"/>
  <c r="U224" i="5"/>
  <c r="V224" i="5" s="1"/>
  <c r="T224" i="5"/>
  <c r="S224" i="5"/>
  <c r="R224" i="5"/>
  <c r="M224" i="5"/>
  <c r="Q224" i="5" s="1"/>
  <c r="G224" i="5"/>
  <c r="X223" i="5"/>
  <c r="U223" i="5"/>
  <c r="V223" i="5" s="1"/>
  <c r="T223" i="5"/>
  <c r="S223" i="5"/>
  <c r="R223" i="5"/>
  <c r="M223" i="5"/>
  <c r="Q223" i="5" s="1"/>
  <c r="G223" i="5"/>
  <c r="X222" i="5"/>
  <c r="U222" i="5"/>
  <c r="V222" i="5" s="1"/>
  <c r="T222" i="5"/>
  <c r="S222" i="5"/>
  <c r="R222" i="5"/>
  <c r="M222" i="5"/>
  <c r="Q222" i="5" s="1"/>
  <c r="G222" i="5"/>
  <c r="X221" i="5"/>
  <c r="U221" i="5"/>
  <c r="V221" i="5" s="1"/>
  <c r="T221" i="5"/>
  <c r="S221" i="5"/>
  <c r="R221" i="5"/>
  <c r="M221" i="5"/>
  <c r="Q221" i="5" s="1"/>
  <c r="G221" i="5"/>
  <c r="X220" i="5"/>
  <c r="U220" i="5"/>
  <c r="V220" i="5" s="1"/>
  <c r="T220" i="5"/>
  <c r="S220" i="5"/>
  <c r="R220" i="5"/>
  <c r="M220" i="5"/>
  <c r="Q220" i="5" s="1"/>
  <c r="G220" i="5"/>
  <c r="X219" i="5"/>
  <c r="U219" i="5"/>
  <c r="V219" i="5" s="1"/>
  <c r="T219" i="5"/>
  <c r="S219" i="5"/>
  <c r="R219" i="5"/>
  <c r="M219" i="5"/>
  <c r="Q219" i="5" s="1"/>
  <c r="G219" i="5"/>
  <c r="X218" i="5"/>
  <c r="U218" i="5"/>
  <c r="V218" i="5" s="1"/>
  <c r="T218" i="5"/>
  <c r="S218" i="5"/>
  <c r="R218" i="5"/>
  <c r="M218" i="5"/>
  <c r="Q218" i="5" s="1"/>
  <c r="G218" i="5"/>
  <c r="X217" i="5"/>
  <c r="U217" i="5"/>
  <c r="V217" i="5" s="1"/>
  <c r="T217" i="5"/>
  <c r="S217" i="5"/>
  <c r="R217" i="5"/>
  <c r="M217" i="5"/>
  <c r="Q217" i="5" s="1"/>
  <c r="G217" i="5"/>
  <c r="X216" i="5"/>
  <c r="U216" i="5"/>
  <c r="V216" i="5" s="1"/>
  <c r="T216" i="5"/>
  <c r="S216" i="5"/>
  <c r="R216" i="5"/>
  <c r="M216" i="5"/>
  <c r="Q216" i="5" s="1"/>
  <c r="G216" i="5"/>
  <c r="X215" i="5"/>
  <c r="U215" i="5"/>
  <c r="V215" i="5" s="1"/>
  <c r="T215" i="5"/>
  <c r="S215" i="5"/>
  <c r="R215" i="5"/>
  <c r="M215" i="5"/>
  <c r="Q215" i="5" s="1"/>
  <c r="G215" i="5"/>
  <c r="X214" i="5"/>
  <c r="U214" i="5"/>
  <c r="V214" i="5" s="1"/>
  <c r="T214" i="5"/>
  <c r="S214" i="5"/>
  <c r="R214" i="5"/>
  <c r="M214" i="5"/>
  <c r="Q214" i="5" s="1"/>
  <c r="G214" i="5"/>
  <c r="X213" i="5"/>
  <c r="U213" i="5"/>
  <c r="V213" i="5" s="1"/>
  <c r="T213" i="5"/>
  <c r="S213" i="5"/>
  <c r="R213" i="5"/>
  <c r="M213" i="5"/>
  <c r="Q213" i="5" s="1"/>
  <c r="G213" i="5"/>
  <c r="X212" i="5"/>
  <c r="U212" i="5"/>
  <c r="V212" i="5" s="1"/>
  <c r="T212" i="5"/>
  <c r="S212" i="5"/>
  <c r="R212" i="5"/>
  <c r="M212" i="5"/>
  <c r="Q212" i="5" s="1"/>
  <c r="G212" i="5"/>
  <c r="X211" i="5"/>
  <c r="U211" i="5"/>
  <c r="V211" i="5" s="1"/>
  <c r="T211" i="5"/>
  <c r="S211" i="5"/>
  <c r="R211" i="5"/>
  <c r="M211" i="5"/>
  <c r="Q211" i="5" s="1"/>
  <c r="G211" i="5"/>
  <c r="X210" i="5"/>
  <c r="U210" i="5"/>
  <c r="V210" i="5" s="1"/>
  <c r="T210" i="5"/>
  <c r="S210" i="5"/>
  <c r="R210" i="5"/>
  <c r="M210" i="5"/>
  <c r="Q210" i="5" s="1"/>
  <c r="G210" i="5"/>
  <c r="X209" i="5"/>
  <c r="U209" i="5"/>
  <c r="V209" i="5" s="1"/>
  <c r="T209" i="5"/>
  <c r="S209" i="5"/>
  <c r="R209" i="5"/>
  <c r="M209" i="5"/>
  <c r="Q209" i="5" s="1"/>
  <c r="G209" i="5"/>
  <c r="X208" i="5"/>
  <c r="U208" i="5"/>
  <c r="V208" i="5" s="1"/>
  <c r="T208" i="5"/>
  <c r="S208" i="5"/>
  <c r="R208" i="5"/>
  <c r="M208" i="5"/>
  <c r="Q208" i="5" s="1"/>
  <c r="G208" i="5"/>
  <c r="X207" i="5"/>
  <c r="U207" i="5"/>
  <c r="V207" i="5" s="1"/>
  <c r="T207" i="5"/>
  <c r="S207" i="5"/>
  <c r="R207" i="5"/>
  <c r="M207" i="5"/>
  <c r="Q207" i="5" s="1"/>
  <c r="G207" i="5"/>
  <c r="X206" i="5"/>
  <c r="U206" i="5"/>
  <c r="V206" i="5" s="1"/>
  <c r="T206" i="5"/>
  <c r="S206" i="5"/>
  <c r="R206" i="5"/>
  <c r="M206" i="5"/>
  <c r="Q206" i="5" s="1"/>
  <c r="G206" i="5"/>
  <c r="X205" i="5"/>
  <c r="U205" i="5"/>
  <c r="V205" i="5" s="1"/>
  <c r="T205" i="5"/>
  <c r="S205" i="5"/>
  <c r="R205" i="5"/>
  <c r="M205" i="5"/>
  <c r="Q205" i="5" s="1"/>
  <c r="G205" i="5"/>
  <c r="X204" i="5"/>
  <c r="U204" i="5"/>
  <c r="V204" i="5" s="1"/>
  <c r="T204" i="5"/>
  <c r="S204" i="5"/>
  <c r="R204" i="5"/>
  <c r="M204" i="5"/>
  <c r="Q204" i="5" s="1"/>
  <c r="G204" i="5"/>
  <c r="X203" i="5"/>
  <c r="U203" i="5"/>
  <c r="V203" i="5" s="1"/>
  <c r="T203" i="5"/>
  <c r="S203" i="5"/>
  <c r="R203" i="5"/>
  <c r="M203" i="5"/>
  <c r="Q203" i="5" s="1"/>
  <c r="G203" i="5"/>
  <c r="X202" i="5"/>
  <c r="U202" i="5"/>
  <c r="V202" i="5" s="1"/>
  <c r="T202" i="5"/>
  <c r="S202" i="5"/>
  <c r="R202" i="5"/>
  <c r="M202" i="5"/>
  <c r="Q202" i="5" s="1"/>
  <c r="G202" i="5"/>
  <c r="X201" i="5"/>
  <c r="V201" i="5"/>
  <c r="T201" i="5"/>
  <c r="S201" i="5"/>
  <c r="R201" i="5"/>
  <c r="M201" i="5"/>
  <c r="Q201" i="5" s="1"/>
  <c r="G201" i="5"/>
  <c r="X200" i="5"/>
  <c r="V200" i="5"/>
  <c r="T200" i="5"/>
  <c r="S200" i="5"/>
  <c r="R200" i="5"/>
  <c r="M200" i="5"/>
  <c r="Q200" i="5" s="1"/>
  <c r="G200" i="5"/>
  <c r="X199" i="5"/>
  <c r="V199" i="5"/>
  <c r="T199" i="5"/>
  <c r="S199" i="5"/>
  <c r="R199" i="5"/>
  <c r="M199" i="5"/>
  <c r="Q199" i="5" s="1"/>
  <c r="G199" i="5"/>
  <c r="X198" i="5"/>
  <c r="V198" i="5"/>
  <c r="T198" i="5"/>
  <c r="S198" i="5"/>
  <c r="R198" i="5"/>
  <c r="M198" i="5"/>
  <c r="Q198" i="5" s="1"/>
  <c r="G198" i="5"/>
  <c r="X197" i="5"/>
  <c r="V197" i="5"/>
  <c r="T197" i="5"/>
  <c r="S197" i="5"/>
  <c r="R197" i="5"/>
  <c r="M197" i="5"/>
  <c r="Q197" i="5" s="1"/>
  <c r="G197" i="5"/>
  <c r="X196" i="5"/>
  <c r="U196" i="5"/>
  <c r="V196" i="5" s="1"/>
  <c r="T196" i="5"/>
  <c r="S196" i="5"/>
  <c r="R196" i="5"/>
  <c r="M196" i="5"/>
  <c r="Q196" i="5" s="1"/>
  <c r="G196" i="5"/>
  <c r="X195" i="5"/>
  <c r="U195" i="5"/>
  <c r="V195" i="5" s="1"/>
  <c r="T195" i="5"/>
  <c r="S195" i="5"/>
  <c r="R195" i="5"/>
  <c r="M195" i="5"/>
  <c r="Q195" i="5" s="1"/>
  <c r="G195" i="5"/>
  <c r="X194" i="5"/>
  <c r="U194" i="5"/>
  <c r="V194" i="5" s="1"/>
  <c r="T194" i="5"/>
  <c r="S194" i="5"/>
  <c r="R194" i="5"/>
  <c r="M194" i="5"/>
  <c r="Q194" i="5" s="1"/>
  <c r="G194" i="5"/>
  <c r="X193" i="5"/>
  <c r="U193" i="5"/>
  <c r="V193" i="5" s="1"/>
  <c r="T193" i="5"/>
  <c r="S193" i="5"/>
  <c r="R193" i="5"/>
  <c r="M193" i="5"/>
  <c r="Q193" i="5" s="1"/>
  <c r="G193" i="5"/>
  <c r="X192" i="5"/>
  <c r="U192" i="5"/>
  <c r="V192" i="5" s="1"/>
  <c r="T192" i="5"/>
  <c r="S192" i="5"/>
  <c r="R192" i="5"/>
  <c r="M192" i="5"/>
  <c r="Q192" i="5" s="1"/>
  <c r="G192" i="5"/>
  <c r="X191" i="5"/>
  <c r="U191" i="5"/>
  <c r="V191" i="5" s="1"/>
  <c r="T191" i="5"/>
  <c r="S191" i="5"/>
  <c r="R191" i="5"/>
  <c r="M191" i="5"/>
  <c r="Q191" i="5" s="1"/>
  <c r="G191" i="5"/>
  <c r="X190" i="5"/>
  <c r="U190" i="5"/>
  <c r="V190" i="5" s="1"/>
  <c r="T190" i="5"/>
  <c r="S190" i="5"/>
  <c r="R190" i="5"/>
  <c r="M190" i="5"/>
  <c r="Q190" i="5" s="1"/>
  <c r="G190" i="5"/>
  <c r="X189" i="5"/>
  <c r="U189" i="5"/>
  <c r="V189" i="5" s="1"/>
  <c r="T189" i="5"/>
  <c r="S189" i="5"/>
  <c r="R189" i="5"/>
  <c r="M189" i="5"/>
  <c r="Q189" i="5" s="1"/>
  <c r="G189" i="5"/>
  <c r="X188" i="5"/>
  <c r="U188" i="5"/>
  <c r="V188" i="5" s="1"/>
  <c r="T188" i="5"/>
  <c r="S188" i="5"/>
  <c r="R188" i="5"/>
  <c r="M188" i="5"/>
  <c r="Q188" i="5" s="1"/>
  <c r="G188" i="5"/>
  <c r="X187" i="5"/>
  <c r="U187" i="5"/>
  <c r="V187" i="5" s="1"/>
  <c r="T187" i="5"/>
  <c r="S187" i="5"/>
  <c r="R187" i="5"/>
  <c r="M187" i="5"/>
  <c r="Q187" i="5" s="1"/>
  <c r="G187" i="5"/>
  <c r="X186" i="5"/>
  <c r="U186" i="5"/>
  <c r="V186" i="5" s="1"/>
  <c r="T186" i="5"/>
  <c r="S186" i="5"/>
  <c r="R186" i="5"/>
  <c r="M186" i="5"/>
  <c r="Q186" i="5" s="1"/>
  <c r="G186" i="5"/>
  <c r="X185" i="5"/>
  <c r="U185" i="5"/>
  <c r="V185" i="5" s="1"/>
  <c r="T185" i="5"/>
  <c r="S185" i="5"/>
  <c r="R185" i="5"/>
  <c r="M185" i="5"/>
  <c r="Q185" i="5" s="1"/>
  <c r="G185" i="5"/>
  <c r="X184" i="5"/>
  <c r="U184" i="5"/>
  <c r="V184" i="5" s="1"/>
  <c r="T184" i="5"/>
  <c r="S184" i="5"/>
  <c r="R184" i="5"/>
  <c r="M184" i="5"/>
  <c r="Q184" i="5" s="1"/>
  <c r="G184" i="5"/>
  <c r="X183" i="5"/>
  <c r="U183" i="5"/>
  <c r="V183" i="5" s="1"/>
  <c r="T183" i="5"/>
  <c r="S183" i="5"/>
  <c r="R183" i="5"/>
  <c r="M183" i="5"/>
  <c r="Q183" i="5" s="1"/>
  <c r="G183" i="5"/>
  <c r="X182" i="5"/>
  <c r="U182" i="5"/>
  <c r="V182" i="5" s="1"/>
  <c r="T182" i="5"/>
  <c r="S182" i="5"/>
  <c r="R182" i="5"/>
  <c r="M182" i="5"/>
  <c r="Q182" i="5" s="1"/>
  <c r="G182" i="5"/>
  <c r="X181" i="5"/>
  <c r="U181" i="5"/>
  <c r="V181" i="5" s="1"/>
  <c r="T181" i="5"/>
  <c r="S181" i="5"/>
  <c r="R181" i="5"/>
  <c r="M181" i="5"/>
  <c r="Q181" i="5" s="1"/>
  <c r="G181" i="5"/>
  <c r="X180" i="5"/>
  <c r="U180" i="5"/>
  <c r="V180" i="5" s="1"/>
  <c r="T180" i="5"/>
  <c r="S180" i="5"/>
  <c r="R180" i="5"/>
  <c r="M180" i="5"/>
  <c r="Q180" i="5" s="1"/>
  <c r="G180" i="5"/>
  <c r="X179" i="5"/>
  <c r="U179" i="5"/>
  <c r="V179" i="5" s="1"/>
  <c r="T179" i="5"/>
  <c r="S179" i="5"/>
  <c r="R179" i="5"/>
  <c r="M179" i="5"/>
  <c r="Q179" i="5" s="1"/>
  <c r="G179" i="5"/>
  <c r="X178" i="5"/>
  <c r="U178" i="5"/>
  <c r="V178" i="5" s="1"/>
  <c r="T178" i="5"/>
  <c r="S178" i="5"/>
  <c r="R178" i="5"/>
  <c r="M178" i="5"/>
  <c r="Q178" i="5" s="1"/>
  <c r="G178" i="5"/>
  <c r="X177" i="5"/>
  <c r="U177" i="5"/>
  <c r="V177" i="5" s="1"/>
  <c r="T177" i="5"/>
  <c r="S177" i="5"/>
  <c r="R177" i="5"/>
  <c r="M177" i="5"/>
  <c r="Q177" i="5" s="1"/>
  <c r="G177" i="5"/>
  <c r="X176" i="5"/>
  <c r="U176" i="5"/>
  <c r="V176" i="5" s="1"/>
  <c r="T176" i="5"/>
  <c r="S176" i="5"/>
  <c r="R176" i="5"/>
  <c r="M176" i="5"/>
  <c r="Q176" i="5" s="1"/>
  <c r="G176" i="5"/>
  <c r="X175" i="5"/>
  <c r="U175" i="5"/>
  <c r="V175" i="5" s="1"/>
  <c r="T175" i="5"/>
  <c r="S175" i="5"/>
  <c r="R175" i="5"/>
  <c r="M175" i="5"/>
  <c r="Q175" i="5" s="1"/>
  <c r="G175" i="5"/>
  <c r="X174" i="5"/>
  <c r="U174" i="5"/>
  <c r="V174" i="5" s="1"/>
  <c r="T174" i="5"/>
  <c r="S174" i="5"/>
  <c r="R174" i="5"/>
  <c r="M174" i="5"/>
  <c r="Q174" i="5" s="1"/>
  <c r="G174" i="5"/>
  <c r="X173" i="5"/>
  <c r="U173" i="5"/>
  <c r="V173" i="5" s="1"/>
  <c r="T173" i="5"/>
  <c r="S173" i="5"/>
  <c r="R173" i="5"/>
  <c r="M173" i="5"/>
  <c r="Q173" i="5" s="1"/>
  <c r="G173" i="5"/>
  <c r="X172" i="5"/>
  <c r="U172" i="5"/>
  <c r="V172" i="5" s="1"/>
  <c r="T172" i="5"/>
  <c r="S172" i="5"/>
  <c r="R172" i="5"/>
  <c r="M172" i="5"/>
  <c r="Q172" i="5" s="1"/>
  <c r="G172" i="5"/>
  <c r="X171" i="5"/>
  <c r="U171" i="5"/>
  <c r="V171" i="5" s="1"/>
  <c r="T171" i="5"/>
  <c r="S171" i="5"/>
  <c r="R171" i="5"/>
  <c r="M171" i="5"/>
  <c r="Q171" i="5" s="1"/>
  <c r="G171" i="5"/>
  <c r="X170" i="5"/>
  <c r="U170" i="5"/>
  <c r="V170" i="5" s="1"/>
  <c r="T170" i="5"/>
  <c r="S170" i="5"/>
  <c r="R170" i="5"/>
  <c r="M170" i="5"/>
  <c r="Q170" i="5" s="1"/>
  <c r="G170" i="5"/>
  <c r="X169" i="5"/>
  <c r="U169" i="5"/>
  <c r="V169" i="5" s="1"/>
  <c r="T169" i="5"/>
  <c r="S169" i="5"/>
  <c r="R169" i="5"/>
  <c r="M169" i="5"/>
  <c r="Q169" i="5" s="1"/>
  <c r="G169" i="5"/>
  <c r="X168" i="5"/>
  <c r="U168" i="5"/>
  <c r="V168" i="5" s="1"/>
  <c r="T168" i="5"/>
  <c r="S168" i="5"/>
  <c r="R168" i="5"/>
  <c r="M168" i="5"/>
  <c r="Q168" i="5" s="1"/>
  <c r="G168" i="5"/>
  <c r="X167" i="5"/>
  <c r="U167" i="5"/>
  <c r="V167" i="5" s="1"/>
  <c r="T167" i="5"/>
  <c r="S167" i="5"/>
  <c r="R167" i="5"/>
  <c r="M167" i="5"/>
  <c r="Q167" i="5" s="1"/>
  <c r="G167" i="5"/>
  <c r="X166" i="5"/>
  <c r="U166" i="5"/>
  <c r="V166" i="5" s="1"/>
  <c r="T166" i="5"/>
  <c r="S166" i="5"/>
  <c r="R166" i="5"/>
  <c r="M166" i="5"/>
  <c r="Q166" i="5" s="1"/>
  <c r="G166" i="5"/>
  <c r="X165" i="5"/>
  <c r="U165" i="5"/>
  <c r="V165" i="5" s="1"/>
  <c r="T165" i="5"/>
  <c r="S165" i="5"/>
  <c r="R165" i="5"/>
  <c r="M165" i="5"/>
  <c r="Q165" i="5" s="1"/>
  <c r="G165" i="5"/>
  <c r="X164" i="5"/>
  <c r="U164" i="5"/>
  <c r="V164" i="5" s="1"/>
  <c r="T164" i="5"/>
  <c r="S164" i="5"/>
  <c r="R164" i="5"/>
  <c r="M164" i="5"/>
  <c r="Q164" i="5" s="1"/>
  <c r="G164" i="5"/>
  <c r="X163" i="5"/>
  <c r="U163" i="5"/>
  <c r="V163" i="5" s="1"/>
  <c r="T163" i="5"/>
  <c r="S163" i="5"/>
  <c r="R163" i="5"/>
  <c r="M163" i="5"/>
  <c r="Q163" i="5" s="1"/>
  <c r="G163" i="5"/>
  <c r="X162" i="5"/>
  <c r="U162" i="5"/>
  <c r="V162" i="5" s="1"/>
  <c r="T162" i="5"/>
  <c r="S162" i="5"/>
  <c r="R162" i="5"/>
  <c r="M162" i="5"/>
  <c r="Q162" i="5" s="1"/>
  <c r="G162" i="5"/>
  <c r="X161" i="5"/>
  <c r="U161" i="5"/>
  <c r="V161" i="5" s="1"/>
  <c r="T161" i="5"/>
  <c r="S161" i="5"/>
  <c r="R161" i="5"/>
  <c r="M161" i="5"/>
  <c r="Q161" i="5" s="1"/>
  <c r="G161" i="5"/>
  <c r="X160" i="5"/>
  <c r="U160" i="5"/>
  <c r="V160" i="5" s="1"/>
  <c r="T160" i="5"/>
  <c r="S160" i="5"/>
  <c r="R160" i="5"/>
  <c r="M160" i="5"/>
  <c r="Q160" i="5" s="1"/>
  <c r="G160" i="5"/>
  <c r="X159" i="5"/>
  <c r="U159" i="5"/>
  <c r="V159" i="5" s="1"/>
  <c r="T159" i="5"/>
  <c r="S159" i="5"/>
  <c r="R159" i="5"/>
  <c r="M159" i="5"/>
  <c r="Q159" i="5" s="1"/>
  <c r="G159" i="5"/>
  <c r="X158" i="5"/>
  <c r="U158" i="5"/>
  <c r="V158" i="5" s="1"/>
  <c r="T158" i="5"/>
  <c r="S158" i="5"/>
  <c r="R158" i="5"/>
  <c r="M158" i="5"/>
  <c r="Q158" i="5" s="1"/>
  <c r="G158" i="5"/>
  <c r="X157" i="5"/>
  <c r="U157" i="5"/>
  <c r="V157" i="5" s="1"/>
  <c r="T157" i="5"/>
  <c r="S157" i="5"/>
  <c r="R157" i="5"/>
  <c r="M157" i="5"/>
  <c r="Q157" i="5" s="1"/>
  <c r="G157" i="5"/>
  <c r="X156" i="5"/>
  <c r="U156" i="5"/>
  <c r="V156" i="5" s="1"/>
  <c r="T156" i="5"/>
  <c r="S156" i="5"/>
  <c r="R156" i="5"/>
  <c r="M156" i="5"/>
  <c r="Q156" i="5" s="1"/>
  <c r="G156" i="5"/>
  <c r="X155" i="5"/>
  <c r="U155" i="5"/>
  <c r="V155" i="5" s="1"/>
  <c r="T155" i="5"/>
  <c r="S155" i="5"/>
  <c r="R155" i="5"/>
  <c r="M155" i="5"/>
  <c r="Q155" i="5" s="1"/>
  <c r="G155" i="5"/>
  <c r="X154" i="5"/>
  <c r="U154" i="5"/>
  <c r="V154" i="5" s="1"/>
  <c r="T154" i="5"/>
  <c r="S154" i="5"/>
  <c r="R154" i="5"/>
  <c r="M154" i="5"/>
  <c r="Q154" i="5" s="1"/>
  <c r="G154" i="5"/>
  <c r="X153" i="5"/>
  <c r="U153" i="5"/>
  <c r="V153" i="5" s="1"/>
  <c r="T153" i="5"/>
  <c r="S153" i="5"/>
  <c r="R153" i="5"/>
  <c r="M153" i="5"/>
  <c r="Q153" i="5" s="1"/>
  <c r="G153" i="5"/>
  <c r="X152" i="5"/>
  <c r="U152" i="5"/>
  <c r="V152" i="5" s="1"/>
  <c r="T152" i="5"/>
  <c r="S152" i="5"/>
  <c r="R152" i="5"/>
  <c r="M152" i="5"/>
  <c r="Q152" i="5" s="1"/>
  <c r="G152" i="5"/>
  <c r="X151" i="5"/>
  <c r="U151" i="5"/>
  <c r="V151" i="5" s="1"/>
  <c r="T151" i="5"/>
  <c r="S151" i="5"/>
  <c r="R151" i="5"/>
  <c r="M151" i="5"/>
  <c r="Q151" i="5" s="1"/>
  <c r="G151" i="5"/>
  <c r="X150" i="5"/>
  <c r="U150" i="5"/>
  <c r="V150" i="5" s="1"/>
  <c r="T150" i="5"/>
  <c r="S150" i="5"/>
  <c r="R150" i="5"/>
  <c r="M150" i="5"/>
  <c r="Q150" i="5" s="1"/>
  <c r="G150" i="5"/>
  <c r="X149" i="5"/>
  <c r="U149" i="5"/>
  <c r="V149" i="5" s="1"/>
  <c r="T149" i="5"/>
  <c r="S149" i="5"/>
  <c r="R149" i="5"/>
  <c r="M149" i="5"/>
  <c r="Q149" i="5" s="1"/>
  <c r="G149" i="5"/>
  <c r="X148" i="5"/>
  <c r="U148" i="5"/>
  <c r="V148" i="5" s="1"/>
  <c r="T148" i="5"/>
  <c r="S148" i="5"/>
  <c r="R148" i="5"/>
  <c r="M148" i="5"/>
  <c r="Q148" i="5" s="1"/>
  <c r="G148" i="5"/>
  <c r="X147" i="5"/>
  <c r="U147" i="5"/>
  <c r="V147" i="5" s="1"/>
  <c r="T147" i="5"/>
  <c r="S147" i="5"/>
  <c r="R147" i="5"/>
  <c r="M147" i="5"/>
  <c r="Q147" i="5" s="1"/>
  <c r="G147" i="5"/>
  <c r="X146" i="5"/>
  <c r="U146" i="5"/>
  <c r="V146" i="5" s="1"/>
  <c r="T146" i="5"/>
  <c r="S146" i="5"/>
  <c r="R146" i="5"/>
  <c r="M146" i="5"/>
  <c r="Q146" i="5" s="1"/>
  <c r="G146" i="5"/>
  <c r="X145" i="5"/>
  <c r="U145" i="5"/>
  <c r="V145" i="5" s="1"/>
  <c r="T145" i="5"/>
  <c r="S145" i="5"/>
  <c r="R145" i="5"/>
  <c r="M145" i="5"/>
  <c r="Q145" i="5" s="1"/>
  <c r="G145" i="5"/>
  <c r="X144" i="5"/>
  <c r="U144" i="5"/>
  <c r="V144" i="5" s="1"/>
  <c r="T144" i="5"/>
  <c r="S144" i="5"/>
  <c r="R144" i="5"/>
  <c r="M144" i="5"/>
  <c r="Q144" i="5" s="1"/>
  <c r="G144" i="5"/>
  <c r="X143" i="5"/>
  <c r="U143" i="5"/>
  <c r="V143" i="5" s="1"/>
  <c r="T143" i="5"/>
  <c r="S143" i="5"/>
  <c r="R143" i="5"/>
  <c r="M143" i="5"/>
  <c r="Q143" i="5" s="1"/>
  <c r="G143" i="5"/>
  <c r="X142" i="5"/>
  <c r="U142" i="5"/>
  <c r="V142" i="5" s="1"/>
  <c r="T142" i="5"/>
  <c r="S142" i="5"/>
  <c r="R142" i="5"/>
  <c r="M142" i="5"/>
  <c r="Q142" i="5" s="1"/>
  <c r="G142" i="5"/>
  <c r="X141" i="5"/>
  <c r="U141" i="5"/>
  <c r="V141" i="5" s="1"/>
  <c r="T141" i="5"/>
  <c r="S141" i="5"/>
  <c r="R141" i="5"/>
  <c r="M141" i="5"/>
  <c r="Q141" i="5" s="1"/>
  <c r="G141" i="5"/>
  <c r="X140" i="5"/>
  <c r="U140" i="5"/>
  <c r="V140" i="5" s="1"/>
  <c r="T140" i="5"/>
  <c r="S140" i="5"/>
  <c r="R140" i="5"/>
  <c r="M140" i="5"/>
  <c r="Q140" i="5" s="1"/>
  <c r="G140" i="5"/>
  <c r="X139" i="5"/>
  <c r="U139" i="5"/>
  <c r="V139" i="5" s="1"/>
  <c r="T139" i="5"/>
  <c r="S139" i="5"/>
  <c r="R139" i="5"/>
  <c r="M139" i="5"/>
  <c r="Q139" i="5" s="1"/>
  <c r="G139" i="5"/>
  <c r="X138" i="5"/>
  <c r="U138" i="5"/>
  <c r="V138" i="5" s="1"/>
  <c r="T138" i="5"/>
  <c r="S138" i="5"/>
  <c r="R138" i="5"/>
  <c r="M138" i="5"/>
  <c r="Q138" i="5" s="1"/>
  <c r="G138" i="5"/>
  <c r="X137" i="5"/>
  <c r="U137" i="5"/>
  <c r="V137" i="5" s="1"/>
  <c r="T137" i="5"/>
  <c r="S137" i="5"/>
  <c r="R137" i="5"/>
  <c r="M137" i="5"/>
  <c r="Q137" i="5" s="1"/>
  <c r="G137" i="5"/>
  <c r="X136" i="5"/>
  <c r="U136" i="5"/>
  <c r="V136" i="5" s="1"/>
  <c r="T136" i="5"/>
  <c r="S136" i="5"/>
  <c r="R136" i="5"/>
  <c r="M136" i="5"/>
  <c r="Q136" i="5" s="1"/>
  <c r="G136" i="5"/>
  <c r="X135" i="5"/>
  <c r="U135" i="5"/>
  <c r="V135" i="5" s="1"/>
  <c r="T135" i="5"/>
  <c r="S135" i="5"/>
  <c r="R135" i="5"/>
  <c r="M135" i="5"/>
  <c r="Q135" i="5" s="1"/>
  <c r="G135" i="5"/>
  <c r="X134" i="5"/>
  <c r="U134" i="5"/>
  <c r="V134" i="5" s="1"/>
  <c r="T134" i="5"/>
  <c r="S134" i="5"/>
  <c r="R134" i="5"/>
  <c r="M134" i="5"/>
  <c r="Q134" i="5" s="1"/>
  <c r="G134" i="5"/>
  <c r="X133" i="5"/>
  <c r="U133" i="5"/>
  <c r="V133" i="5" s="1"/>
  <c r="T133" i="5"/>
  <c r="S133" i="5"/>
  <c r="R133" i="5"/>
  <c r="M133" i="5"/>
  <c r="Q133" i="5" s="1"/>
  <c r="G133" i="5"/>
  <c r="X132" i="5"/>
  <c r="U132" i="5"/>
  <c r="V132" i="5" s="1"/>
  <c r="T132" i="5"/>
  <c r="S132" i="5"/>
  <c r="R132" i="5"/>
  <c r="M132" i="5"/>
  <c r="Q132" i="5" s="1"/>
  <c r="G132" i="5"/>
  <c r="X131" i="5"/>
  <c r="U131" i="5"/>
  <c r="V131" i="5" s="1"/>
  <c r="T131" i="5"/>
  <c r="S131" i="5"/>
  <c r="R131" i="5"/>
  <c r="M131" i="5"/>
  <c r="Q131" i="5" s="1"/>
  <c r="G131" i="5"/>
  <c r="X130" i="5"/>
  <c r="U130" i="5"/>
  <c r="V130" i="5" s="1"/>
  <c r="T130" i="5"/>
  <c r="S130" i="5"/>
  <c r="R130" i="5"/>
  <c r="M130" i="5"/>
  <c r="Q130" i="5" s="1"/>
  <c r="G130" i="5"/>
  <c r="X129" i="5"/>
  <c r="U129" i="5"/>
  <c r="V129" i="5" s="1"/>
  <c r="T129" i="5"/>
  <c r="S129" i="5"/>
  <c r="R129" i="5"/>
  <c r="M129" i="5"/>
  <c r="Q129" i="5" s="1"/>
  <c r="G129" i="5"/>
  <c r="X128" i="5"/>
  <c r="U128" i="5"/>
  <c r="V128" i="5" s="1"/>
  <c r="T128" i="5"/>
  <c r="S128" i="5"/>
  <c r="R128" i="5"/>
  <c r="M128" i="5"/>
  <c r="Q128" i="5" s="1"/>
  <c r="G128" i="5"/>
  <c r="X127" i="5"/>
  <c r="U127" i="5"/>
  <c r="V127" i="5" s="1"/>
  <c r="T127" i="5"/>
  <c r="S127" i="5"/>
  <c r="R127" i="5"/>
  <c r="M127" i="5"/>
  <c r="Q127" i="5" s="1"/>
  <c r="G127" i="5"/>
  <c r="X126" i="5"/>
  <c r="U126" i="5"/>
  <c r="V126" i="5" s="1"/>
  <c r="T126" i="5"/>
  <c r="S126" i="5"/>
  <c r="R126" i="5"/>
  <c r="M126" i="5"/>
  <c r="Q126" i="5" s="1"/>
  <c r="G126" i="5"/>
  <c r="X125" i="5"/>
  <c r="U125" i="5"/>
  <c r="V125" i="5" s="1"/>
  <c r="T125" i="5"/>
  <c r="S125" i="5"/>
  <c r="R125" i="5"/>
  <c r="M125" i="5"/>
  <c r="Q125" i="5" s="1"/>
  <c r="G125" i="5"/>
  <c r="X124" i="5"/>
  <c r="U124" i="5"/>
  <c r="V124" i="5" s="1"/>
  <c r="T124" i="5"/>
  <c r="S124" i="5"/>
  <c r="R124" i="5"/>
  <c r="M124" i="5"/>
  <c r="Q124" i="5" s="1"/>
  <c r="G124" i="5"/>
  <c r="X123" i="5"/>
  <c r="U123" i="5"/>
  <c r="V123" i="5" s="1"/>
  <c r="T123" i="5"/>
  <c r="S123" i="5"/>
  <c r="R123" i="5"/>
  <c r="M123" i="5"/>
  <c r="Q123" i="5" s="1"/>
  <c r="G123" i="5"/>
  <c r="X122" i="5"/>
  <c r="U122" i="5"/>
  <c r="V122" i="5" s="1"/>
  <c r="T122" i="5"/>
  <c r="S122" i="5"/>
  <c r="R122" i="5"/>
  <c r="M122" i="5"/>
  <c r="Q122" i="5" s="1"/>
  <c r="G122" i="5"/>
  <c r="X121" i="5"/>
  <c r="U121" i="5"/>
  <c r="V121" i="5" s="1"/>
  <c r="T121" i="5"/>
  <c r="S121" i="5"/>
  <c r="R121" i="5"/>
  <c r="M121" i="5"/>
  <c r="Q121" i="5" s="1"/>
  <c r="G121" i="5"/>
  <c r="X120" i="5"/>
  <c r="U120" i="5"/>
  <c r="V120" i="5" s="1"/>
  <c r="T120" i="5"/>
  <c r="S120" i="5"/>
  <c r="R120" i="5"/>
  <c r="M120" i="5"/>
  <c r="Q120" i="5" s="1"/>
  <c r="G120" i="5"/>
  <c r="X119" i="5"/>
  <c r="U119" i="5"/>
  <c r="V119" i="5" s="1"/>
  <c r="T119" i="5"/>
  <c r="S119" i="5"/>
  <c r="R119" i="5"/>
  <c r="M119" i="5"/>
  <c r="Q119" i="5" s="1"/>
  <c r="G119" i="5"/>
  <c r="X118" i="5"/>
  <c r="U118" i="5"/>
  <c r="V118" i="5" s="1"/>
  <c r="T118" i="5"/>
  <c r="S118" i="5"/>
  <c r="R118" i="5"/>
  <c r="M118" i="5"/>
  <c r="Q118" i="5" s="1"/>
  <c r="G118" i="5"/>
  <c r="X117" i="5"/>
  <c r="U117" i="5"/>
  <c r="V117" i="5" s="1"/>
  <c r="T117" i="5"/>
  <c r="S117" i="5"/>
  <c r="R117" i="5"/>
  <c r="M117" i="5"/>
  <c r="Q117" i="5" s="1"/>
  <c r="G117" i="5"/>
  <c r="X116" i="5"/>
  <c r="U116" i="5"/>
  <c r="V116" i="5" s="1"/>
  <c r="T116" i="5"/>
  <c r="S116" i="5"/>
  <c r="R116" i="5"/>
  <c r="M116" i="5"/>
  <c r="Q116" i="5" s="1"/>
  <c r="G116" i="5"/>
  <c r="X115" i="5"/>
  <c r="U115" i="5"/>
  <c r="V115" i="5" s="1"/>
  <c r="T115" i="5"/>
  <c r="S115" i="5"/>
  <c r="R115" i="5"/>
  <c r="M115" i="5"/>
  <c r="Q115" i="5" s="1"/>
  <c r="G115" i="5"/>
  <c r="X114" i="5"/>
  <c r="U114" i="5"/>
  <c r="V114" i="5" s="1"/>
  <c r="T114" i="5"/>
  <c r="S114" i="5"/>
  <c r="R114" i="5"/>
  <c r="M114" i="5"/>
  <c r="Q114" i="5" s="1"/>
  <c r="G114" i="5"/>
  <c r="X113" i="5"/>
  <c r="U113" i="5"/>
  <c r="V113" i="5" s="1"/>
  <c r="T113" i="5"/>
  <c r="S113" i="5"/>
  <c r="R113" i="5"/>
  <c r="M113" i="5"/>
  <c r="Q113" i="5" s="1"/>
  <c r="G113" i="5"/>
  <c r="X112" i="5"/>
  <c r="U112" i="5"/>
  <c r="V112" i="5" s="1"/>
  <c r="T112" i="5"/>
  <c r="S112" i="5"/>
  <c r="R112" i="5"/>
  <c r="M112" i="5"/>
  <c r="Q112" i="5" s="1"/>
  <c r="G112" i="5"/>
  <c r="X111" i="5"/>
  <c r="U111" i="5"/>
  <c r="V111" i="5" s="1"/>
  <c r="T111" i="5"/>
  <c r="S111" i="5"/>
  <c r="R111" i="5"/>
  <c r="M111" i="5"/>
  <c r="Q111" i="5" s="1"/>
  <c r="G111" i="5"/>
  <c r="X110" i="5"/>
  <c r="U110" i="5"/>
  <c r="V110" i="5" s="1"/>
  <c r="T110" i="5"/>
  <c r="S110" i="5"/>
  <c r="R110" i="5"/>
  <c r="M110" i="5"/>
  <c r="Q110" i="5" s="1"/>
  <c r="G110" i="5"/>
  <c r="X109" i="5"/>
  <c r="U109" i="5"/>
  <c r="V109" i="5" s="1"/>
  <c r="T109" i="5"/>
  <c r="S109" i="5"/>
  <c r="R109" i="5"/>
  <c r="M109" i="5"/>
  <c r="Q109" i="5" s="1"/>
  <c r="G109" i="5"/>
  <c r="X108" i="5"/>
  <c r="U108" i="5"/>
  <c r="V108" i="5" s="1"/>
  <c r="T108" i="5"/>
  <c r="S108" i="5"/>
  <c r="R108" i="5"/>
  <c r="M108" i="5"/>
  <c r="Q108" i="5" s="1"/>
  <c r="G108" i="5"/>
  <c r="X107" i="5"/>
  <c r="U107" i="5"/>
  <c r="V107" i="5" s="1"/>
  <c r="T107" i="5"/>
  <c r="S107" i="5"/>
  <c r="R107" i="5"/>
  <c r="M107" i="5"/>
  <c r="Q107" i="5" s="1"/>
  <c r="G107" i="5"/>
  <c r="X106" i="5"/>
  <c r="U106" i="5"/>
  <c r="V106" i="5" s="1"/>
  <c r="T106" i="5"/>
  <c r="S106" i="5"/>
  <c r="R106" i="5"/>
  <c r="M106" i="5"/>
  <c r="Q106" i="5" s="1"/>
  <c r="G106" i="5"/>
  <c r="X105" i="5"/>
  <c r="U105" i="5"/>
  <c r="V105" i="5" s="1"/>
  <c r="T105" i="5"/>
  <c r="S105" i="5"/>
  <c r="R105" i="5"/>
  <c r="M105" i="5"/>
  <c r="Q105" i="5" s="1"/>
  <c r="G105" i="5"/>
  <c r="X104" i="5"/>
  <c r="U104" i="5"/>
  <c r="V104" i="5" s="1"/>
  <c r="T104" i="5"/>
  <c r="S104" i="5"/>
  <c r="R104" i="5"/>
  <c r="M104" i="5"/>
  <c r="Q104" i="5" s="1"/>
  <c r="G104" i="5"/>
  <c r="X103" i="5"/>
  <c r="U103" i="5"/>
  <c r="V103" i="5" s="1"/>
  <c r="T103" i="5"/>
  <c r="S103" i="5"/>
  <c r="R103" i="5"/>
  <c r="M103" i="5"/>
  <c r="Q103" i="5" s="1"/>
  <c r="G103" i="5"/>
  <c r="X102" i="5"/>
  <c r="U102" i="5"/>
  <c r="V102" i="5" s="1"/>
  <c r="T102" i="5"/>
  <c r="S102" i="5"/>
  <c r="R102" i="5"/>
  <c r="M102" i="5"/>
  <c r="Q102" i="5" s="1"/>
  <c r="G102" i="5"/>
  <c r="X101" i="5"/>
  <c r="U101" i="5"/>
  <c r="V101" i="5" s="1"/>
  <c r="T101" i="5"/>
  <c r="S101" i="5"/>
  <c r="R101" i="5"/>
  <c r="M101" i="5"/>
  <c r="Q101" i="5" s="1"/>
  <c r="G101" i="5"/>
  <c r="X100" i="5"/>
  <c r="U100" i="5"/>
  <c r="V100" i="5" s="1"/>
  <c r="T100" i="5"/>
  <c r="S100" i="5"/>
  <c r="R100" i="5"/>
  <c r="M100" i="5"/>
  <c r="Q100" i="5" s="1"/>
  <c r="G100" i="5"/>
  <c r="X99" i="5"/>
  <c r="U99" i="5"/>
  <c r="V99" i="5" s="1"/>
  <c r="T99" i="5"/>
  <c r="S99" i="5"/>
  <c r="R99" i="5"/>
  <c r="M99" i="5"/>
  <c r="Q99" i="5" s="1"/>
  <c r="G99" i="5"/>
  <c r="X98" i="5"/>
  <c r="U98" i="5"/>
  <c r="V98" i="5" s="1"/>
  <c r="T98" i="5"/>
  <c r="S98" i="5"/>
  <c r="R98" i="5"/>
  <c r="M98" i="5"/>
  <c r="Q98" i="5" s="1"/>
  <c r="G98" i="5"/>
  <c r="X97" i="5"/>
  <c r="U97" i="5"/>
  <c r="V97" i="5" s="1"/>
  <c r="T97" i="5"/>
  <c r="S97" i="5"/>
  <c r="R97" i="5"/>
  <c r="M97" i="5"/>
  <c r="Q97" i="5" s="1"/>
  <c r="G97" i="5"/>
  <c r="X96" i="5"/>
  <c r="U96" i="5"/>
  <c r="V96" i="5" s="1"/>
  <c r="T96" i="5"/>
  <c r="S96" i="5"/>
  <c r="R96" i="5"/>
  <c r="M96" i="5"/>
  <c r="Q96" i="5" s="1"/>
  <c r="G96" i="5"/>
  <c r="X95" i="5"/>
  <c r="U95" i="5"/>
  <c r="V95" i="5" s="1"/>
  <c r="T95" i="5"/>
  <c r="S95" i="5"/>
  <c r="R95" i="5"/>
  <c r="M95" i="5"/>
  <c r="Q95" i="5" s="1"/>
  <c r="G95" i="5"/>
  <c r="X94" i="5"/>
  <c r="U94" i="5"/>
  <c r="V94" i="5" s="1"/>
  <c r="T94" i="5"/>
  <c r="S94" i="5"/>
  <c r="R94" i="5"/>
  <c r="M94" i="5"/>
  <c r="Q94" i="5" s="1"/>
  <c r="G94" i="5"/>
  <c r="X93" i="5"/>
  <c r="U93" i="5"/>
  <c r="V93" i="5" s="1"/>
  <c r="T93" i="5"/>
  <c r="S93" i="5"/>
  <c r="R93" i="5"/>
  <c r="M93" i="5"/>
  <c r="Q93" i="5" s="1"/>
  <c r="G93" i="5"/>
  <c r="X92" i="5"/>
  <c r="U92" i="5"/>
  <c r="V92" i="5" s="1"/>
  <c r="T92" i="5"/>
  <c r="S92" i="5"/>
  <c r="R92" i="5"/>
  <c r="M92" i="5"/>
  <c r="Q92" i="5" s="1"/>
  <c r="G92" i="5"/>
  <c r="X91" i="5"/>
  <c r="U91" i="5"/>
  <c r="V91" i="5" s="1"/>
  <c r="T91" i="5"/>
  <c r="S91" i="5"/>
  <c r="R91" i="5"/>
  <c r="M91" i="5"/>
  <c r="Q91" i="5" s="1"/>
  <c r="G91" i="5"/>
  <c r="X90" i="5"/>
  <c r="U90" i="5"/>
  <c r="V90" i="5" s="1"/>
  <c r="T90" i="5"/>
  <c r="S90" i="5"/>
  <c r="R90" i="5"/>
  <c r="M90" i="5"/>
  <c r="Q90" i="5" s="1"/>
  <c r="G90" i="5"/>
  <c r="X89" i="5"/>
  <c r="U89" i="5"/>
  <c r="V89" i="5" s="1"/>
  <c r="T89" i="5"/>
  <c r="S89" i="5"/>
  <c r="R89" i="5"/>
  <c r="M89" i="5"/>
  <c r="Q89" i="5" s="1"/>
  <c r="G89" i="5"/>
  <c r="X88" i="5"/>
  <c r="U88" i="5"/>
  <c r="V88" i="5" s="1"/>
  <c r="T88" i="5"/>
  <c r="S88" i="5"/>
  <c r="R88" i="5"/>
  <c r="M88" i="5"/>
  <c r="Q88" i="5" s="1"/>
  <c r="G88" i="5"/>
  <c r="X87" i="5"/>
  <c r="U87" i="5"/>
  <c r="V87" i="5" s="1"/>
  <c r="T87" i="5"/>
  <c r="S87" i="5"/>
  <c r="R87" i="5"/>
  <c r="M87" i="5"/>
  <c r="Q87" i="5" s="1"/>
  <c r="G87" i="5"/>
  <c r="X86" i="5"/>
  <c r="U86" i="5"/>
  <c r="V86" i="5" s="1"/>
  <c r="T86" i="5"/>
  <c r="S86" i="5"/>
  <c r="R86" i="5"/>
  <c r="M86" i="5"/>
  <c r="Q86" i="5" s="1"/>
  <c r="G86" i="5"/>
  <c r="X85" i="5"/>
  <c r="U85" i="5"/>
  <c r="V85" i="5" s="1"/>
  <c r="T85" i="5"/>
  <c r="S85" i="5"/>
  <c r="R85" i="5"/>
  <c r="M85" i="5"/>
  <c r="Q85" i="5" s="1"/>
  <c r="G85" i="5"/>
  <c r="X84" i="5"/>
  <c r="U84" i="5"/>
  <c r="V84" i="5" s="1"/>
  <c r="T84" i="5"/>
  <c r="S84" i="5"/>
  <c r="R84" i="5"/>
  <c r="M84" i="5"/>
  <c r="Q84" i="5" s="1"/>
  <c r="G84" i="5"/>
  <c r="X83" i="5"/>
  <c r="U83" i="5"/>
  <c r="V83" i="5" s="1"/>
  <c r="T83" i="5"/>
  <c r="S83" i="5"/>
  <c r="R83" i="5"/>
  <c r="M83" i="5"/>
  <c r="Q83" i="5" s="1"/>
  <c r="G83" i="5"/>
  <c r="X82" i="5"/>
  <c r="U82" i="5"/>
  <c r="V82" i="5" s="1"/>
  <c r="T82" i="5"/>
  <c r="S82" i="5"/>
  <c r="R82" i="5"/>
  <c r="M82" i="5"/>
  <c r="Q82" i="5" s="1"/>
  <c r="G82" i="5"/>
  <c r="X81" i="5"/>
  <c r="U81" i="5"/>
  <c r="V81" i="5" s="1"/>
  <c r="T81" i="5"/>
  <c r="S81" i="5"/>
  <c r="R81" i="5"/>
  <c r="M81" i="5"/>
  <c r="Q81" i="5" s="1"/>
  <c r="G81" i="5"/>
  <c r="X80" i="5"/>
  <c r="U80" i="5"/>
  <c r="V80" i="5" s="1"/>
  <c r="T80" i="5"/>
  <c r="S80" i="5"/>
  <c r="R80" i="5"/>
  <c r="M80" i="5"/>
  <c r="Q80" i="5" s="1"/>
  <c r="G80" i="5"/>
  <c r="X79" i="5"/>
  <c r="U79" i="5"/>
  <c r="V79" i="5" s="1"/>
  <c r="T79" i="5"/>
  <c r="S79" i="5"/>
  <c r="R79" i="5"/>
  <c r="M79" i="5"/>
  <c r="Q79" i="5" s="1"/>
  <c r="G79" i="5"/>
  <c r="X78" i="5"/>
  <c r="U78" i="5"/>
  <c r="V78" i="5" s="1"/>
  <c r="T78" i="5"/>
  <c r="S78" i="5"/>
  <c r="R78" i="5"/>
  <c r="M78" i="5"/>
  <c r="Q78" i="5" s="1"/>
  <c r="G78" i="5"/>
  <c r="X77" i="5"/>
  <c r="U77" i="5"/>
  <c r="V77" i="5" s="1"/>
  <c r="T77" i="5"/>
  <c r="S77" i="5"/>
  <c r="R77" i="5"/>
  <c r="M77" i="5"/>
  <c r="Q77" i="5" s="1"/>
  <c r="G77" i="5"/>
  <c r="X76" i="5"/>
  <c r="U76" i="5"/>
  <c r="V76" i="5" s="1"/>
  <c r="T76" i="5"/>
  <c r="S76" i="5"/>
  <c r="R76" i="5"/>
  <c r="M76" i="5"/>
  <c r="Q76" i="5" s="1"/>
  <c r="G76" i="5"/>
  <c r="X75" i="5"/>
  <c r="U75" i="5"/>
  <c r="V75" i="5" s="1"/>
  <c r="T75" i="5"/>
  <c r="S75" i="5"/>
  <c r="R75" i="5"/>
  <c r="M75" i="5"/>
  <c r="Q75" i="5" s="1"/>
  <c r="G75" i="5"/>
  <c r="X74" i="5"/>
  <c r="U74" i="5"/>
  <c r="V74" i="5" s="1"/>
  <c r="T74" i="5"/>
  <c r="S74" i="5"/>
  <c r="R74" i="5"/>
  <c r="M74" i="5"/>
  <c r="Q74" i="5" s="1"/>
  <c r="G74" i="5"/>
  <c r="X73" i="5"/>
  <c r="U73" i="5"/>
  <c r="V73" i="5" s="1"/>
  <c r="T73" i="5"/>
  <c r="S73" i="5"/>
  <c r="R73" i="5"/>
  <c r="M73" i="5"/>
  <c r="Q73" i="5" s="1"/>
  <c r="G73" i="5"/>
  <c r="X72" i="5"/>
  <c r="U72" i="5"/>
  <c r="V72" i="5" s="1"/>
  <c r="T72" i="5"/>
  <c r="S72" i="5"/>
  <c r="R72" i="5"/>
  <c r="M72" i="5"/>
  <c r="Q72" i="5" s="1"/>
  <c r="G72" i="5"/>
  <c r="X71" i="5"/>
  <c r="U71" i="5"/>
  <c r="V71" i="5" s="1"/>
  <c r="T71" i="5"/>
  <c r="S71" i="5"/>
  <c r="R71" i="5"/>
  <c r="M71" i="5"/>
  <c r="Q71" i="5" s="1"/>
  <c r="G71" i="5"/>
  <c r="X70" i="5"/>
  <c r="U70" i="5"/>
  <c r="V70" i="5" s="1"/>
  <c r="T70" i="5"/>
  <c r="S70" i="5"/>
  <c r="R70" i="5"/>
  <c r="M70" i="5"/>
  <c r="Q70" i="5" s="1"/>
  <c r="G70" i="5"/>
  <c r="X69" i="5"/>
  <c r="U69" i="5"/>
  <c r="V69" i="5" s="1"/>
  <c r="T69" i="5"/>
  <c r="S69" i="5"/>
  <c r="R69" i="5"/>
  <c r="M69" i="5"/>
  <c r="Q69" i="5" s="1"/>
  <c r="G69" i="5"/>
  <c r="X68" i="5"/>
  <c r="U68" i="5"/>
  <c r="V68" i="5" s="1"/>
  <c r="T68" i="5"/>
  <c r="S68" i="5"/>
  <c r="R68" i="5"/>
  <c r="M68" i="5"/>
  <c r="Q68" i="5" s="1"/>
  <c r="G68" i="5"/>
  <c r="X67" i="5"/>
  <c r="U67" i="5"/>
  <c r="V67" i="5" s="1"/>
  <c r="T67" i="5"/>
  <c r="S67" i="5"/>
  <c r="R67" i="5"/>
  <c r="M67" i="5"/>
  <c r="Q67" i="5" s="1"/>
  <c r="G67" i="5"/>
  <c r="X66" i="5"/>
  <c r="U66" i="5"/>
  <c r="V66" i="5" s="1"/>
  <c r="T66" i="5"/>
  <c r="S66" i="5"/>
  <c r="R66" i="5"/>
  <c r="M66" i="5"/>
  <c r="Q66" i="5" s="1"/>
  <c r="G66" i="5"/>
  <c r="X65" i="5"/>
  <c r="U65" i="5"/>
  <c r="V65" i="5" s="1"/>
  <c r="T65" i="5"/>
  <c r="S65" i="5"/>
  <c r="R65" i="5"/>
  <c r="M65" i="5"/>
  <c r="Q65" i="5" s="1"/>
  <c r="G65" i="5"/>
  <c r="X64" i="5"/>
  <c r="U64" i="5"/>
  <c r="V64" i="5" s="1"/>
  <c r="T64" i="5"/>
  <c r="S64" i="5"/>
  <c r="R64" i="5"/>
  <c r="M64" i="5"/>
  <c r="Q64" i="5" s="1"/>
  <c r="G64" i="5"/>
  <c r="X63" i="5"/>
  <c r="U63" i="5"/>
  <c r="V63" i="5" s="1"/>
  <c r="T63" i="5"/>
  <c r="S63" i="5"/>
  <c r="R63" i="5"/>
  <c r="M63" i="5"/>
  <c r="Q63" i="5" s="1"/>
  <c r="G63" i="5"/>
  <c r="X62" i="5"/>
  <c r="U62" i="5"/>
  <c r="V62" i="5" s="1"/>
  <c r="T62" i="5"/>
  <c r="S62" i="5"/>
  <c r="R62" i="5"/>
  <c r="M62" i="5"/>
  <c r="Q62" i="5" s="1"/>
  <c r="G62" i="5"/>
  <c r="X61" i="5"/>
  <c r="U61" i="5"/>
  <c r="V61" i="5" s="1"/>
  <c r="T61" i="5"/>
  <c r="S61" i="5"/>
  <c r="R61" i="5"/>
  <c r="M61" i="5"/>
  <c r="Q61" i="5" s="1"/>
  <c r="G61" i="5"/>
  <c r="X60" i="5"/>
  <c r="U60" i="5"/>
  <c r="V60" i="5" s="1"/>
  <c r="T60" i="5"/>
  <c r="S60" i="5"/>
  <c r="R60" i="5"/>
  <c r="M60" i="5"/>
  <c r="Q60" i="5" s="1"/>
  <c r="G60" i="5"/>
  <c r="X59" i="5"/>
  <c r="U59" i="5"/>
  <c r="V59" i="5" s="1"/>
  <c r="T59" i="5"/>
  <c r="S59" i="5"/>
  <c r="R59" i="5"/>
  <c r="M59" i="5"/>
  <c r="Q59" i="5" s="1"/>
  <c r="G59" i="5"/>
  <c r="X58" i="5"/>
  <c r="U58" i="5"/>
  <c r="V58" i="5" s="1"/>
  <c r="T58" i="5"/>
  <c r="S58" i="5"/>
  <c r="R58" i="5"/>
  <c r="M58" i="5"/>
  <c r="Q58" i="5" s="1"/>
  <c r="G58" i="5"/>
  <c r="X57" i="5"/>
  <c r="U57" i="5"/>
  <c r="V57" i="5" s="1"/>
  <c r="T57" i="5"/>
  <c r="S57" i="5"/>
  <c r="R57" i="5"/>
  <c r="M57" i="5"/>
  <c r="Q57" i="5" s="1"/>
  <c r="G57" i="5"/>
  <c r="X56" i="5"/>
  <c r="U56" i="5"/>
  <c r="V56" i="5" s="1"/>
  <c r="T56" i="5"/>
  <c r="S56" i="5"/>
  <c r="R56" i="5"/>
  <c r="M56" i="5"/>
  <c r="Q56" i="5" s="1"/>
  <c r="G56" i="5"/>
  <c r="X55" i="5"/>
  <c r="U55" i="5"/>
  <c r="V55" i="5" s="1"/>
  <c r="T55" i="5"/>
  <c r="S55" i="5"/>
  <c r="R55" i="5"/>
  <c r="M55" i="5"/>
  <c r="Q55" i="5" s="1"/>
  <c r="G55" i="5"/>
  <c r="X54" i="5"/>
  <c r="U54" i="5"/>
  <c r="V54" i="5" s="1"/>
  <c r="T54" i="5"/>
  <c r="S54" i="5"/>
  <c r="R54" i="5"/>
  <c r="M54" i="5"/>
  <c r="Q54" i="5" s="1"/>
  <c r="G54" i="5"/>
  <c r="X53" i="5"/>
  <c r="U53" i="5"/>
  <c r="V53" i="5" s="1"/>
  <c r="T53" i="5"/>
  <c r="S53" i="5"/>
  <c r="R53" i="5"/>
  <c r="M53" i="5"/>
  <c r="Q53" i="5" s="1"/>
  <c r="G53" i="5"/>
  <c r="X52" i="5"/>
  <c r="U52" i="5"/>
  <c r="V52" i="5" s="1"/>
  <c r="T52" i="5"/>
  <c r="S52" i="5"/>
  <c r="R52" i="5"/>
  <c r="M52" i="5"/>
  <c r="Q52" i="5" s="1"/>
  <c r="G52" i="5"/>
  <c r="X51" i="5"/>
  <c r="U51" i="5"/>
  <c r="V51" i="5" s="1"/>
  <c r="T51" i="5"/>
  <c r="S51" i="5"/>
  <c r="R51" i="5"/>
  <c r="M51" i="5"/>
  <c r="Q51" i="5" s="1"/>
  <c r="G51" i="5"/>
  <c r="X50" i="5"/>
  <c r="U50" i="5"/>
  <c r="V50" i="5" s="1"/>
  <c r="T50" i="5"/>
  <c r="S50" i="5"/>
  <c r="R50" i="5"/>
  <c r="M50" i="5"/>
  <c r="Q50" i="5" s="1"/>
  <c r="G50" i="5"/>
  <c r="X49" i="5"/>
  <c r="U49" i="5"/>
  <c r="V49" i="5" s="1"/>
  <c r="T49" i="5"/>
  <c r="S49" i="5"/>
  <c r="R49" i="5"/>
  <c r="M49" i="5"/>
  <c r="Q49" i="5" s="1"/>
  <c r="G49" i="5"/>
  <c r="X48" i="5"/>
  <c r="U48" i="5"/>
  <c r="V48" i="5" s="1"/>
  <c r="T48" i="5"/>
  <c r="S48" i="5"/>
  <c r="R48" i="5"/>
  <c r="M48" i="5"/>
  <c r="Q48" i="5" s="1"/>
  <c r="G48" i="5"/>
  <c r="X47" i="5"/>
  <c r="U47" i="5"/>
  <c r="V47" i="5" s="1"/>
  <c r="T47" i="5"/>
  <c r="S47" i="5"/>
  <c r="R47" i="5"/>
  <c r="M47" i="5"/>
  <c r="Q47" i="5" s="1"/>
  <c r="G47" i="5"/>
  <c r="X46" i="5"/>
  <c r="U46" i="5"/>
  <c r="V46" i="5" s="1"/>
  <c r="T46" i="5"/>
  <c r="S46" i="5"/>
  <c r="R46" i="5"/>
  <c r="M46" i="5"/>
  <c r="Q46" i="5" s="1"/>
  <c r="G46" i="5"/>
  <c r="X45" i="5"/>
  <c r="U45" i="5"/>
  <c r="V45" i="5" s="1"/>
  <c r="T45" i="5"/>
  <c r="S45" i="5"/>
  <c r="R45" i="5"/>
  <c r="M45" i="5"/>
  <c r="Q45" i="5" s="1"/>
  <c r="G45" i="5"/>
  <c r="X44" i="5"/>
  <c r="U44" i="5"/>
  <c r="V44" i="5" s="1"/>
  <c r="T44" i="5"/>
  <c r="S44" i="5"/>
  <c r="R44" i="5"/>
  <c r="M44" i="5"/>
  <c r="Q44" i="5" s="1"/>
  <c r="G44" i="5"/>
  <c r="X43" i="5"/>
  <c r="U43" i="5"/>
  <c r="V43" i="5" s="1"/>
  <c r="T43" i="5"/>
  <c r="S43" i="5"/>
  <c r="R43" i="5"/>
  <c r="M43" i="5"/>
  <c r="Q43" i="5" s="1"/>
  <c r="G43" i="5"/>
  <c r="X42" i="5"/>
  <c r="U42" i="5"/>
  <c r="V42" i="5" s="1"/>
  <c r="T42" i="5"/>
  <c r="S42" i="5"/>
  <c r="R42" i="5"/>
  <c r="M42" i="5"/>
  <c r="Q42" i="5" s="1"/>
  <c r="G42" i="5"/>
  <c r="X41" i="5"/>
  <c r="U41" i="5"/>
  <c r="V41" i="5" s="1"/>
  <c r="T41" i="5"/>
  <c r="S41" i="5"/>
  <c r="R41" i="5"/>
  <c r="M41" i="5"/>
  <c r="Q41" i="5" s="1"/>
  <c r="G41" i="5"/>
  <c r="X40" i="5"/>
  <c r="U40" i="5"/>
  <c r="V40" i="5" s="1"/>
  <c r="T40" i="5"/>
  <c r="S40" i="5"/>
  <c r="R40" i="5"/>
  <c r="M40" i="5"/>
  <c r="Q40" i="5" s="1"/>
  <c r="G40" i="5"/>
  <c r="X39" i="5"/>
  <c r="U39" i="5"/>
  <c r="V39" i="5" s="1"/>
  <c r="T39" i="5"/>
  <c r="S39" i="5"/>
  <c r="R39" i="5"/>
  <c r="M39" i="5"/>
  <c r="Q39" i="5" s="1"/>
  <c r="G39" i="5"/>
  <c r="X38" i="5"/>
  <c r="U38" i="5"/>
  <c r="V38" i="5" s="1"/>
  <c r="T38" i="5"/>
  <c r="S38" i="5"/>
  <c r="R38" i="5"/>
  <c r="M38" i="5"/>
  <c r="Q38" i="5" s="1"/>
  <c r="G38" i="5"/>
  <c r="X37" i="5"/>
  <c r="U37" i="5"/>
  <c r="V37" i="5" s="1"/>
  <c r="T37" i="5"/>
  <c r="S37" i="5"/>
  <c r="R37" i="5"/>
  <c r="M37" i="5"/>
  <c r="Q37" i="5" s="1"/>
  <c r="G37" i="5"/>
  <c r="X36" i="5"/>
  <c r="U36" i="5"/>
  <c r="V36" i="5" s="1"/>
  <c r="T36" i="5"/>
  <c r="S36" i="5"/>
  <c r="R36" i="5"/>
  <c r="M36" i="5"/>
  <c r="Q36" i="5" s="1"/>
  <c r="G36" i="5"/>
  <c r="X35" i="5"/>
  <c r="U35" i="5"/>
  <c r="V35" i="5" s="1"/>
  <c r="T35" i="5"/>
  <c r="S35" i="5"/>
  <c r="R35" i="5"/>
  <c r="M35" i="5"/>
  <c r="Q35" i="5" s="1"/>
  <c r="G35" i="5"/>
  <c r="X34" i="5"/>
  <c r="U34" i="5"/>
  <c r="V34" i="5" s="1"/>
  <c r="T34" i="5"/>
  <c r="S34" i="5"/>
  <c r="R34" i="5"/>
  <c r="M34" i="5"/>
  <c r="Q34" i="5" s="1"/>
  <c r="G34" i="5"/>
  <c r="X33" i="5"/>
  <c r="U33" i="5"/>
  <c r="V33" i="5" s="1"/>
  <c r="T33" i="5"/>
  <c r="S33" i="5"/>
  <c r="R33" i="5"/>
  <c r="M33" i="5"/>
  <c r="Q33" i="5" s="1"/>
  <c r="G33" i="5"/>
  <c r="X32" i="5"/>
  <c r="U32" i="5"/>
  <c r="V32" i="5" s="1"/>
  <c r="T32" i="5"/>
  <c r="S32" i="5"/>
  <c r="R32" i="5"/>
  <c r="M32" i="5"/>
  <c r="Q32" i="5" s="1"/>
  <c r="G32" i="5"/>
  <c r="X31" i="5"/>
  <c r="U31" i="5"/>
  <c r="V31" i="5" s="1"/>
  <c r="T31" i="5"/>
  <c r="S31" i="5"/>
  <c r="R31" i="5"/>
  <c r="M31" i="5"/>
  <c r="Q31" i="5" s="1"/>
  <c r="G31" i="5"/>
  <c r="X30" i="5"/>
  <c r="U30" i="5"/>
  <c r="V30" i="5" s="1"/>
  <c r="T30" i="5"/>
  <c r="S30" i="5"/>
  <c r="R30" i="5"/>
  <c r="M30" i="5"/>
  <c r="Q30" i="5" s="1"/>
  <c r="G30" i="5"/>
  <c r="X29" i="5"/>
  <c r="U29" i="5"/>
  <c r="V29" i="5" s="1"/>
  <c r="T29" i="5"/>
  <c r="S29" i="5"/>
  <c r="R29" i="5"/>
  <c r="M29" i="5"/>
  <c r="Q29" i="5" s="1"/>
  <c r="G29" i="5"/>
  <c r="X28" i="5"/>
  <c r="U28" i="5"/>
  <c r="V28" i="5" s="1"/>
  <c r="T28" i="5"/>
  <c r="S28" i="5"/>
  <c r="R28" i="5"/>
  <c r="M28" i="5"/>
  <c r="Q28" i="5" s="1"/>
  <c r="G28" i="5"/>
  <c r="X27" i="5"/>
  <c r="U27" i="5"/>
  <c r="V27" i="5" s="1"/>
  <c r="T27" i="5"/>
  <c r="S27" i="5"/>
  <c r="R27" i="5"/>
  <c r="M27" i="5"/>
  <c r="Q27" i="5" s="1"/>
  <c r="G27" i="5"/>
  <c r="X26" i="5"/>
  <c r="U26" i="5"/>
  <c r="V26" i="5" s="1"/>
  <c r="T26" i="5"/>
  <c r="S26" i="5"/>
  <c r="R26" i="5"/>
  <c r="M26" i="5"/>
  <c r="Q26" i="5" s="1"/>
  <c r="G26" i="5"/>
  <c r="X25" i="5"/>
  <c r="U25" i="5"/>
  <c r="V25" i="5" s="1"/>
  <c r="T25" i="5"/>
  <c r="S25" i="5"/>
  <c r="R25" i="5"/>
  <c r="M25" i="5"/>
  <c r="Q25" i="5" s="1"/>
  <c r="G25" i="5"/>
  <c r="X24" i="5"/>
  <c r="U24" i="5"/>
  <c r="V24" i="5" s="1"/>
  <c r="T24" i="5"/>
  <c r="S24" i="5"/>
  <c r="R24" i="5"/>
  <c r="M24" i="5"/>
  <c r="Q24" i="5" s="1"/>
  <c r="G24" i="5"/>
  <c r="X23" i="5"/>
  <c r="U23" i="5"/>
  <c r="V23" i="5" s="1"/>
  <c r="T23" i="5"/>
  <c r="S23" i="5"/>
  <c r="R23" i="5"/>
  <c r="M23" i="5"/>
  <c r="Q23" i="5" s="1"/>
  <c r="G23" i="5"/>
  <c r="X22" i="5"/>
  <c r="U22" i="5"/>
  <c r="V22" i="5" s="1"/>
  <c r="T22" i="5"/>
  <c r="S22" i="5"/>
  <c r="R22" i="5"/>
  <c r="M22" i="5"/>
  <c r="Q22" i="5" s="1"/>
  <c r="G22" i="5"/>
  <c r="X21" i="5"/>
  <c r="U21" i="5"/>
  <c r="V21" i="5" s="1"/>
  <c r="T21" i="5"/>
  <c r="S21" i="5"/>
  <c r="R21" i="5"/>
  <c r="M21" i="5"/>
  <c r="Q21" i="5" s="1"/>
  <c r="G21" i="5"/>
  <c r="X20" i="5"/>
  <c r="U20" i="5"/>
  <c r="V20" i="5" s="1"/>
  <c r="T20" i="5"/>
  <c r="S20" i="5"/>
  <c r="R20" i="5"/>
  <c r="M20" i="5"/>
  <c r="Q20" i="5" s="1"/>
  <c r="G20" i="5"/>
  <c r="X19" i="5"/>
  <c r="U19" i="5"/>
  <c r="V19" i="5" s="1"/>
  <c r="T19" i="5"/>
  <c r="S19" i="5"/>
  <c r="R19" i="5"/>
  <c r="M19" i="5"/>
  <c r="Q19" i="5" s="1"/>
  <c r="G19" i="5"/>
  <c r="X18" i="5"/>
  <c r="U18" i="5"/>
  <c r="V18" i="5" s="1"/>
  <c r="T18" i="5"/>
  <c r="S18" i="5"/>
  <c r="R18" i="5"/>
  <c r="M18" i="5"/>
  <c r="Q18" i="5" s="1"/>
  <c r="G18" i="5"/>
  <c r="X17" i="5"/>
  <c r="U17" i="5"/>
  <c r="V17" i="5" s="1"/>
  <c r="T17" i="5"/>
  <c r="S17" i="5"/>
  <c r="R17" i="5"/>
  <c r="M17" i="5"/>
  <c r="Q17" i="5" s="1"/>
  <c r="G17" i="5"/>
  <c r="X16" i="5"/>
  <c r="U16" i="5"/>
  <c r="V16" i="5" s="1"/>
  <c r="T16" i="5"/>
  <c r="S16" i="5"/>
  <c r="R16" i="5"/>
  <c r="M16" i="5"/>
  <c r="Q16" i="5" s="1"/>
  <c r="G16" i="5"/>
  <c r="X15" i="5"/>
  <c r="U15" i="5"/>
  <c r="V15" i="5" s="1"/>
  <c r="T15" i="5"/>
  <c r="S15" i="5"/>
  <c r="R15" i="5"/>
  <c r="M15" i="5"/>
  <c r="Q15" i="5" s="1"/>
  <c r="G15" i="5"/>
  <c r="X14" i="5"/>
  <c r="U14" i="5"/>
  <c r="V14" i="5" s="1"/>
  <c r="T14" i="5"/>
  <c r="S14" i="5"/>
  <c r="R14" i="5"/>
  <c r="M14" i="5"/>
  <c r="Q14" i="5" s="1"/>
  <c r="G14" i="5"/>
  <c r="X13" i="5"/>
  <c r="U13" i="5"/>
  <c r="V13" i="5" s="1"/>
  <c r="T13" i="5"/>
  <c r="S13" i="5"/>
  <c r="R13" i="5"/>
  <c r="M13" i="5"/>
  <c r="Q13" i="5" s="1"/>
  <c r="G13" i="5"/>
  <c r="X12" i="5"/>
  <c r="U12" i="5"/>
  <c r="V12" i="5" s="1"/>
  <c r="T12" i="5"/>
  <c r="S12" i="5"/>
  <c r="R12" i="5"/>
  <c r="M12" i="5"/>
  <c r="Q12" i="5" s="1"/>
  <c r="G12" i="5"/>
  <c r="X11" i="5"/>
  <c r="U11" i="5"/>
  <c r="V11" i="5" s="1"/>
  <c r="T11" i="5"/>
  <c r="S11" i="5"/>
  <c r="R11" i="5"/>
  <c r="M11" i="5"/>
  <c r="Q11" i="5" s="1"/>
  <c r="G11" i="5"/>
  <c r="X10" i="5"/>
  <c r="U10" i="5"/>
  <c r="V10" i="5" s="1"/>
  <c r="T10" i="5"/>
  <c r="S10" i="5"/>
  <c r="R10" i="5"/>
  <c r="M10" i="5"/>
  <c r="Q10" i="5" s="1"/>
  <c r="G10" i="5"/>
  <c r="X9" i="5"/>
  <c r="U9" i="5"/>
  <c r="V9" i="5" s="1"/>
  <c r="T9" i="5"/>
  <c r="S9" i="5"/>
  <c r="R9" i="5"/>
  <c r="M9" i="5"/>
  <c r="Q9" i="5" s="1"/>
  <c r="G9" i="5"/>
  <c r="X8" i="5"/>
  <c r="U8" i="5"/>
  <c r="V8" i="5" s="1"/>
  <c r="T8" i="5"/>
  <c r="S8" i="5"/>
  <c r="R8" i="5"/>
  <c r="M8" i="5"/>
  <c r="Q8" i="5" s="1"/>
  <c r="G8" i="5"/>
  <c r="X7" i="5"/>
  <c r="U7" i="5"/>
  <c r="V7" i="5" s="1"/>
  <c r="T7" i="5"/>
  <c r="S7" i="5"/>
  <c r="R7" i="5"/>
  <c r="M7" i="5"/>
  <c r="Q7" i="5" s="1"/>
  <c r="G7" i="5"/>
  <c r="X6" i="5"/>
  <c r="U6" i="5"/>
  <c r="V6" i="5" s="1"/>
  <c r="T6" i="5"/>
  <c r="S6" i="5"/>
  <c r="R6" i="5"/>
  <c r="M6" i="5"/>
  <c r="Q6" i="5" s="1"/>
  <c r="G6" i="5"/>
  <c r="X5" i="5"/>
  <c r="U5" i="5"/>
  <c r="V5" i="5" s="1"/>
  <c r="T5" i="5"/>
  <c r="S5" i="5"/>
  <c r="R5" i="5"/>
  <c r="M5" i="5"/>
  <c r="Q5" i="5" s="1"/>
  <c r="G5" i="5"/>
  <c r="X4" i="5"/>
  <c r="U4" i="5"/>
  <c r="V4" i="5" s="1"/>
  <c r="T4" i="5"/>
  <c r="S4" i="5"/>
  <c r="R4" i="5"/>
  <c r="M4" i="5"/>
  <c r="Q4" i="5" s="1"/>
  <c r="G4" i="5"/>
  <c r="X3" i="5"/>
  <c r="U3" i="5"/>
  <c r="V3" i="5" s="1"/>
  <c r="T3" i="5"/>
  <c r="S3" i="5"/>
  <c r="R3" i="5"/>
  <c r="M3" i="5"/>
  <c r="Q3" i="5" s="1"/>
  <c r="G3" i="5"/>
  <c r="X2" i="5"/>
  <c r="U2" i="5"/>
  <c r="V2" i="5" s="1"/>
  <c r="T2" i="5"/>
  <c r="S2" i="5"/>
  <c r="R2" i="5"/>
  <c r="M2" i="5"/>
  <c r="Q2" i="5" s="1"/>
  <c r="G2" i="5"/>
  <c r="AS731" i="3"/>
  <c r="AT731" i="3" s="1"/>
  <c r="AB731" i="3"/>
  <c r="AC731" i="3" s="1"/>
  <c r="G731" i="3"/>
  <c r="F731" i="3"/>
  <c r="E731" i="3"/>
  <c r="D731" i="3"/>
  <c r="C731" i="3"/>
  <c r="A731" i="3"/>
  <c r="AS730" i="3"/>
  <c r="AT730" i="3" s="1"/>
  <c r="AB730" i="3"/>
  <c r="AC730" i="3" s="1"/>
  <c r="G730" i="3"/>
  <c r="F730" i="3"/>
  <c r="E730" i="3"/>
  <c r="D730" i="3"/>
  <c r="C730" i="3"/>
  <c r="A730" i="3" s="1"/>
  <c r="AS729" i="3"/>
  <c r="AT729" i="3" s="1"/>
  <c r="AB729" i="3"/>
  <c r="AC729" i="3" s="1"/>
  <c r="G729" i="3"/>
  <c r="F729" i="3"/>
  <c r="E729" i="3"/>
  <c r="D729" i="3"/>
  <c r="C729" i="3"/>
  <c r="A729" i="3"/>
  <c r="AS728" i="3"/>
  <c r="AT728" i="3" s="1"/>
  <c r="AB728" i="3"/>
  <c r="AC728" i="3" s="1"/>
  <c r="G728" i="3"/>
  <c r="F728" i="3"/>
  <c r="E728" i="3"/>
  <c r="D728" i="3"/>
  <c r="C728" i="3"/>
  <c r="A728" i="3" s="1"/>
  <c r="AS727" i="3"/>
  <c r="AT727" i="3" s="1"/>
  <c r="AB727" i="3"/>
  <c r="AC727" i="3" s="1"/>
  <c r="G727" i="3"/>
  <c r="F727" i="3"/>
  <c r="E727" i="3"/>
  <c r="D727" i="3"/>
  <c r="C727" i="3"/>
  <c r="AS726" i="3"/>
  <c r="AT726" i="3" s="1"/>
  <c r="AB726" i="3"/>
  <c r="AC726" i="3" s="1"/>
  <c r="G726" i="3"/>
  <c r="F726" i="3"/>
  <c r="E726" i="3"/>
  <c r="D726" i="3"/>
  <c r="C726" i="3"/>
  <c r="A726" i="3"/>
  <c r="AS725" i="3"/>
  <c r="AT725" i="3" s="1"/>
  <c r="AB725" i="3"/>
  <c r="AC725" i="3" s="1"/>
  <c r="G725" i="3"/>
  <c r="F725" i="3"/>
  <c r="E725" i="3"/>
  <c r="D725" i="3"/>
  <c r="C725" i="3"/>
  <c r="A725" i="3"/>
  <c r="AS724" i="3"/>
  <c r="AT724" i="3" s="1"/>
  <c r="AB724" i="3"/>
  <c r="AC724" i="3" s="1"/>
  <c r="G724" i="3"/>
  <c r="F724" i="3"/>
  <c r="E724" i="3"/>
  <c r="D724" i="3"/>
  <c r="C724" i="3"/>
  <c r="A724" i="3" s="1"/>
  <c r="AS723" i="3"/>
  <c r="AT723" i="3" s="1"/>
  <c r="AB723" i="3"/>
  <c r="AC723" i="3" s="1"/>
  <c r="G723" i="3"/>
  <c r="F723" i="3"/>
  <c r="E723" i="3"/>
  <c r="D723" i="3"/>
  <c r="C723" i="3"/>
  <c r="A723" i="3" s="1"/>
  <c r="AS722" i="3"/>
  <c r="AT722" i="3" s="1"/>
  <c r="AB722" i="3"/>
  <c r="AC722" i="3" s="1"/>
  <c r="G722" i="3"/>
  <c r="F722" i="3"/>
  <c r="E722" i="3"/>
  <c r="D722" i="3"/>
  <c r="C722" i="3"/>
  <c r="A722" i="3" s="1"/>
  <c r="AS721" i="3"/>
  <c r="AT721" i="3" s="1"/>
  <c r="AB721" i="3"/>
  <c r="AC721" i="3" s="1"/>
  <c r="G721" i="3"/>
  <c r="F721" i="3"/>
  <c r="E721" i="3"/>
  <c r="D721" i="3"/>
  <c r="C721" i="3"/>
  <c r="A721" i="3"/>
  <c r="AS720" i="3"/>
  <c r="AT720" i="3" s="1"/>
  <c r="AB720" i="3"/>
  <c r="AC720" i="3" s="1"/>
  <c r="G720" i="3"/>
  <c r="F720" i="3"/>
  <c r="E720" i="3"/>
  <c r="D720" i="3"/>
  <c r="C720" i="3"/>
  <c r="A720" i="3"/>
  <c r="AS719" i="3"/>
  <c r="AT719" i="3" s="1"/>
  <c r="AB719" i="3"/>
  <c r="AC719" i="3" s="1"/>
  <c r="G719" i="3"/>
  <c r="F719" i="3"/>
  <c r="E719" i="3"/>
  <c r="D719" i="3"/>
  <c r="C719" i="3"/>
  <c r="A719" i="3"/>
  <c r="AS718" i="3"/>
  <c r="AT718" i="3" s="1"/>
  <c r="AB718" i="3"/>
  <c r="AC718" i="3" s="1"/>
  <c r="G718" i="3"/>
  <c r="F718" i="3"/>
  <c r="E718" i="3"/>
  <c r="D718" i="3"/>
  <c r="C718" i="3"/>
  <c r="A718" i="3"/>
  <c r="AS717" i="3"/>
  <c r="AT717" i="3" s="1"/>
  <c r="AB717" i="3"/>
  <c r="AC717" i="3" s="1"/>
  <c r="G717" i="3"/>
  <c r="F717" i="3"/>
  <c r="E717" i="3"/>
  <c r="D717" i="3"/>
  <c r="C717" i="3"/>
  <c r="A717" i="3"/>
  <c r="AS716" i="3"/>
  <c r="AT716" i="3" s="1"/>
  <c r="AB716" i="3"/>
  <c r="AC716" i="3" s="1"/>
  <c r="G716" i="3"/>
  <c r="F716" i="3"/>
  <c r="E716" i="3"/>
  <c r="D716" i="3"/>
  <c r="C716" i="3"/>
  <c r="A716" i="3"/>
  <c r="AS715" i="3"/>
  <c r="AT715" i="3" s="1"/>
  <c r="AB715" i="3"/>
  <c r="AC715" i="3" s="1"/>
  <c r="G715" i="3"/>
  <c r="F715" i="3"/>
  <c r="E715" i="3"/>
  <c r="D715" i="3"/>
  <c r="C715" i="3"/>
  <c r="A715" i="3"/>
  <c r="AS714" i="3"/>
  <c r="AT714" i="3" s="1"/>
  <c r="AB714" i="3"/>
  <c r="AC714" i="3" s="1"/>
  <c r="G714" i="3"/>
  <c r="F714" i="3"/>
  <c r="E714" i="3"/>
  <c r="D714" i="3"/>
  <c r="C714" i="3"/>
  <c r="A714" i="3"/>
  <c r="AS713" i="3"/>
  <c r="AT713" i="3" s="1"/>
  <c r="AB713" i="3"/>
  <c r="AC713" i="3" s="1"/>
  <c r="G713" i="3"/>
  <c r="F713" i="3"/>
  <c r="E713" i="3"/>
  <c r="D713" i="3"/>
  <c r="C713" i="3"/>
  <c r="A713" i="3"/>
  <c r="AS712" i="3"/>
  <c r="AT712" i="3" s="1"/>
  <c r="AB712" i="3"/>
  <c r="AC712" i="3" s="1"/>
  <c r="G712" i="3"/>
  <c r="F712" i="3"/>
  <c r="E712" i="3"/>
  <c r="D712" i="3"/>
  <c r="C712" i="3"/>
  <c r="A712" i="3" s="1"/>
  <c r="AS711" i="3"/>
  <c r="AT711" i="3" s="1"/>
  <c r="AB711" i="3"/>
  <c r="AC711" i="3" s="1"/>
  <c r="G711" i="3"/>
  <c r="F711" i="3"/>
  <c r="E711" i="3"/>
  <c r="D711" i="3"/>
  <c r="C711" i="3"/>
  <c r="A711" i="3"/>
  <c r="AS710" i="3"/>
  <c r="AT710" i="3" s="1"/>
  <c r="AB710" i="3"/>
  <c r="AC710" i="3" s="1"/>
  <c r="G710" i="3"/>
  <c r="F710" i="3"/>
  <c r="E710" i="3"/>
  <c r="D710" i="3"/>
  <c r="C710" i="3"/>
  <c r="A710" i="3"/>
  <c r="AS709" i="3"/>
  <c r="AT709" i="3" s="1"/>
  <c r="AB709" i="3"/>
  <c r="AC709" i="3" s="1"/>
  <c r="G709" i="3"/>
  <c r="F709" i="3"/>
  <c r="E709" i="3"/>
  <c r="D709" i="3"/>
  <c r="C709" i="3"/>
  <c r="A709" i="3" s="1"/>
  <c r="AS708" i="3"/>
  <c r="AT708" i="3" s="1"/>
  <c r="AB708" i="3"/>
  <c r="AC708" i="3" s="1"/>
  <c r="G708" i="3"/>
  <c r="F708" i="3"/>
  <c r="E708" i="3"/>
  <c r="D708" i="3"/>
  <c r="C708" i="3"/>
  <c r="A708" i="3"/>
  <c r="AS707" i="3"/>
  <c r="AT707" i="3" s="1"/>
  <c r="AB707" i="3"/>
  <c r="AC707" i="3" s="1"/>
  <c r="G707" i="3"/>
  <c r="F707" i="3"/>
  <c r="E707" i="3"/>
  <c r="D707" i="3"/>
  <c r="C707" i="3"/>
  <c r="A707" i="3" s="1"/>
  <c r="AS706" i="3"/>
  <c r="AT706" i="3" s="1"/>
  <c r="AB706" i="3"/>
  <c r="AC706" i="3" s="1"/>
  <c r="G706" i="3"/>
  <c r="F706" i="3"/>
  <c r="E706" i="3"/>
  <c r="D706" i="3"/>
  <c r="C706" i="3"/>
  <c r="A706" i="3" s="1"/>
  <c r="AS705" i="3"/>
  <c r="AT705" i="3" s="1"/>
  <c r="AB705" i="3"/>
  <c r="AC705" i="3" s="1"/>
  <c r="G705" i="3"/>
  <c r="F705" i="3"/>
  <c r="E705" i="3"/>
  <c r="D705" i="3"/>
  <c r="C705" i="3"/>
  <c r="A705" i="3"/>
  <c r="AS704" i="3"/>
  <c r="AT704" i="3" s="1"/>
  <c r="AB704" i="3"/>
  <c r="AC704" i="3" s="1"/>
  <c r="G704" i="3"/>
  <c r="F704" i="3"/>
  <c r="E704" i="3"/>
  <c r="D704" i="3"/>
  <c r="C704" i="3"/>
  <c r="A704" i="3" s="1"/>
  <c r="AS703" i="3"/>
  <c r="AT703" i="3" s="1"/>
  <c r="AB703" i="3"/>
  <c r="AC703" i="3" s="1"/>
  <c r="G703" i="3"/>
  <c r="F703" i="3"/>
  <c r="E703" i="3"/>
  <c r="D703" i="3"/>
  <c r="C703" i="3"/>
  <c r="A703" i="3"/>
  <c r="AS702" i="3"/>
  <c r="AT702" i="3" s="1"/>
  <c r="AB702" i="3"/>
  <c r="AC702" i="3" s="1"/>
  <c r="G702" i="3"/>
  <c r="F702" i="3"/>
  <c r="E702" i="3"/>
  <c r="D702" i="3"/>
  <c r="C702" i="3"/>
  <c r="A702" i="3"/>
  <c r="AS701" i="3"/>
  <c r="AT701" i="3" s="1"/>
  <c r="AB701" i="3"/>
  <c r="AC701" i="3" s="1"/>
  <c r="G701" i="3"/>
  <c r="F701" i="3"/>
  <c r="E701" i="3"/>
  <c r="D701" i="3"/>
  <c r="C701" i="3"/>
  <c r="A701" i="3"/>
  <c r="AS700" i="3"/>
  <c r="AT700" i="3" s="1"/>
  <c r="AB700" i="3"/>
  <c r="AC700" i="3" s="1"/>
  <c r="G700" i="3"/>
  <c r="F700" i="3"/>
  <c r="E700" i="3"/>
  <c r="D700" i="3"/>
  <c r="C700" i="3"/>
  <c r="A700" i="3" s="1"/>
  <c r="AS699" i="3"/>
  <c r="AT699" i="3" s="1"/>
  <c r="AB699" i="3"/>
  <c r="AC699" i="3" s="1"/>
  <c r="G699" i="3"/>
  <c r="F699" i="3"/>
  <c r="E699" i="3"/>
  <c r="D699" i="3"/>
  <c r="C699" i="3"/>
  <c r="A699" i="3" s="1"/>
  <c r="AS698" i="3"/>
  <c r="AT698" i="3" s="1"/>
  <c r="AB698" i="3"/>
  <c r="AC698" i="3" s="1"/>
  <c r="G698" i="3"/>
  <c r="F698" i="3"/>
  <c r="E698" i="3"/>
  <c r="D698" i="3"/>
  <c r="C698" i="3"/>
  <c r="A698" i="3" s="1"/>
  <c r="AS697" i="3"/>
  <c r="AT697" i="3" s="1"/>
  <c r="AB697" i="3"/>
  <c r="AC697" i="3" s="1"/>
  <c r="G697" i="3"/>
  <c r="F697" i="3"/>
  <c r="E697" i="3"/>
  <c r="D697" i="3"/>
  <c r="C697" i="3"/>
  <c r="A697" i="3"/>
  <c r="AS696" i="3"/>
  <c r="AT696" i="3" s="1"/>
  <c r="AB696" i="3"/>
  <c r="AC696" i="3" s="1"/>
  <c r="G696" i="3"/>
  <c r="F696" i="3"/>
  <c r="E696" i="3"/>
  <c r="D696" i="3"/>
  <c r="C696" i="3"/>
  <c r="A696" i="3" s="1"/>
  <c r="AS695" i="3"/>
  <c r="AT695" i="3" s="1"/>
  <c r="AB695" i="3"/>
  <c r="AC695" i="3" s="1"/>
  <c r="G695" i="3"/>
  <c r="F695" i="3"/>
  <c r="E695" i="3"/>
  <c r="D695" i="3"/>
  <c r="C695" i="3"/>
  <c r="A695" i="3" s="1"/>
  <c r="AS694" i="3"/>
  <c r="AT694" i="3" s="1"/>
  <c r="AB694" i="3"/>
  <c r="AC694" i="3" s="1"/>
  <c r="G694" i="3"/>
  <c r="F694" i="3"/>
  <c r="E694" i="3"/>
  <c r="D694" i="3"/>
  <c r="C694" i="3"/>
  <c r="A694" i="3"/>
  <c r="AS693" i="3"/>
  <c r="AT693" i="3" s="1"/>
  <c r="AB693" i="3"/>
  <c r="AC693" i="3" s="1"/>
  <c r="G693" i="3"/>
  <c r="F693" i="3"/>
  <c r="E693" i="3"/>
  <c r="D693" i="3"/>
  <c r="C693" i="3"/>
  <c r="A693" i="3" s="1"/>
  <c r="AS692" i="3"/>
  <c r="AT692" i="3" s="1"/>
  <c r="AB692" i="3"/>
  <c r="AC692" i="3" s="1"/>
  <c r="G692" i="3"/>
  <c r="F692" i="3"/>
  <c r="E692" i="3"/>
  <c r="D692" i="3"/>
  <c r="C692" i="3"/>
  <c r="A692" i="3" s="1"/>
  <c r="AS691" i="3"/>
  <c r="AT691" i="3" s="1"/>
  <c r="AB691" i="3"/>
  <c r="AC691" i="3" s="1"/>
  <c r="G691" i="3"/>
  <c r="F691" i="3"/>
  <c r="E691" i="3"/>
  <c r="D691" i="3"/>
  <c r="C691" i="3"/>
  <c r="A691" i="3" s="1"/>
  <c r="AS690" i="3"/>
  <c r="AT690" i="3" s="1"/>
  <c r="AB690" i="3"/>
  <c r="AC690" i="3" s="1"/>
  <c r="G690" i="3"/>
  <c r="F690" i="3"/>
  <c r="E690" i="3"/>
  <c r="D690" i="3"/>
  <c r="C690" i="3"/>
  <c r="A690" i="3"/>
  <c r="AS689" i="3"/>
  <c r="AT689" i="3" s="1"/>
  <c r="AB689" i="3"/>
  <c r="AC689" i="3" s="1"/>
  <c r="G689" i="3"/>
  <c r="F689" i="3"/>
  <c r="E689" i="3"/>
  <c r="D689" i="3"/>
  <c r="C689" i="3"/>
  <c r="A689" i="3" s="1"/>
  <c r="AS688" i="3"/>
  <c r="AT688" i="3" s="1"/>
  <c r="AB688" i="3"/>
  <c r="AC688" i="3" s="1"/>
  <c r="G688" i="3"/>
  <c r="F688" i="3"/>
  <c r="E688" i="3"/>
  <c r="D688" i="3"/>
  <c r="C688" i="3"/>
  <c r="A688" i="3" s="1"/>
  <c r="AS687" i="3"/>
  <c r="AT687" i="3" s="1"/>
  <c r="AB687" i="3"/>
  <c r="AC687" i="3" s="1"/>
  <c r="G687" i="3"/>
  <c r="F687" i="3"/>
  <c r="E687" i="3"/>
  <c r="D687" i="3"/>
  <c r="C687" i="3"/>
  <c r="A687" i="3"/>
  <c r="AS686" i="3"/>
  <c r="AT686" i="3" s="1"/>
  <c r="AB686" i="3"/>
  <c r="AC686" i="3" s="1"/>
  <c r="G686" i="3"/>
  <c r="F686" i="3"/>
  <c r="E686" i="3"/>
  <c r="D686" i="3"/>
  <c r="C686" i="3"/>
  <c r="A686" i="3" s="1"/>
  <c r="AS685" i="3"/>
  <c r="AT685" i="3" s="1"/>
  <c r="AB685" i="3"/>
  <c r="AC685" i="3" s="1"/>
  <c r="G685" i="3"/>
  <c r="F685" i="3"/>
  <c r="E685" i="3"/>
  <c r="D685" i="3"/>
  <c r="C685" i="3"/>
  <c r="A685" i="3"/>
  <c r="AS684" i="3"/>
  <c r="AT684" i="3" s="1"/>
  <c r="AB684" i="3"/>
  <c r="AC684" i="3" s="1"/>
  <c r="G684" i="3"/>
  <c r="F684" i="3"/>
  <c r="E684" i="3"/>
  <c r="D684" i="3"/>
  <c r="C684" i="3"/>
  <c r="A684" i="3" s="1"/>
  <c r="AS683" i="3"/>
  <c r="AT683" i="3" s="1"/>
  <c r="AB683" i="3"/>
  <c r="AC683" i="3" s="1"/>
  <c r="G683" i="3"/>
  <c r="F683" i="3"/>
  <c r="E683" i="3"/>
  <c r="D683" i="3"/>
  <c r="C683" i="3"/>
  <c r="A683" i="3"/>
  <c r="AS682" i="3"/>
  <c r="AT682" i="3" s="1"/>
  <c r="AB682" i="3"/>
  <c r="AC682" i="3" s="1"/>
  <c r="G682" i="3"/>
  <c r="F682" i="3"/>
  <c r="E682" i="3"/>
  <c r="D682" i="3"/>
  <c r="C682" i="3"/>
  <c r="A682" i="3"/>
  <c r="AS681" i="3"/>
  <c r="AT681" i="3" s="1"/>
  <c r="AB681" i="3"/>
  <c r="AC681" i="3" s="1"/>
  <c r="G681" i="3"/>
  <c r="F681" i="3"/>
  <c r="E681" i="3"/>
  <c r="D681" i="3"/>
  <c r="C681" i="3"/>
  <c r="A681" i="3"/>
  <c r="AS680" i="3"/>
  <c r="AT680" i="3" s="1"/>
  <c r="AB680" i="3"/>
  <c r="AC680" i="3" s="1"/>
  <c r="G680" i="3"/>
  <c r="F680" i="3"/>
  <c r="E680" i="3"/>
  <c r="D680" i="3"/>
  <c r="C680" i="3"/>
  <c r="A680" i="3" s="1"/>
  <c r="AS679" i="3"/>
  <c r="AT679" i="3" s="1"/>
  <c r="AB679" i="3"/>
  <c r="AC679" i="3" s="1"/>
  <c r="G679" i="3"/>
  <c r="F679" i="3"/>
  <c r="E679" i="3"/>
  <c r="D679" i="3"/>
  <c r="C679" i="3"/>
  <c r="A679" i="3"/>
  <c r="AS678" i="3"/>
  <c r="AT678" i="3" s="1"/>
  <c r="AB678" i="3"/>
  <c r="AC678" i="3" s="1"/>
  <c r="G678" i="3"/>
  <c r="F678" i="3"/>
  <c r="E678" i="3"/>
  <c r="D678" i="3"/>
  <c r="C678" i="3"/>
  <c r="A678" i="3"/>
  <c r="AS677" i="3"/>
  <c r="AT677" i="3" s="1"/>
  <c r="AB677" i="3"/>
  <c r="AC677" i="3" s="1"/>
  <c r="G677" i="3"/>
  <c r="F677" i="3"/>
  <c r="E677" i="3"/>
  <c r="D677" i="3"/>
  <c r="C677" i="3"/>
  <c r="A677" i="3" s="1"/>
  <c r="AS676" i="3"/>
  <c r="AT676" i="3" s="1"/>
  <c r="AB676" i="3"/>
  <c r="AC676" i="3" s="1"/>
  <c r="G676" i="3"/>
  <c r="F676" i="3"/>
  <c r="E676" i="3"/>
  <c r="D676" i="3"/>
  <c r="C676" i="3"/>
  <c r="A676" i="3" s="1"/>
  <c r="AS675" i="3"/>
  <c r="AT675" i="3" s="1"/>
  <c r="AB675" i="3"/>
  <c r="AC675" i="3" s="1"/>
  <c r="G675" i="3"/>
  <c r="F675" i="3"/>
  <c r="E675" i="3"/>
  <c r="D675" i="3"/>
  <c r="C675" i="3"/>
  <c r="A675" i="3"/>
  <c r="AS674" i="3"/>
  <c r="AT674" i="3" s="1"/>
  <c r="AB674" i="3"/>
  <c r="AC674" i="3" s="1"/>
  <c r="G674" i="3"/>
  <c r="F674" i="3"/>
  <c r="E674" i="3"/>
  <c r="D674" i="3"/>
  <c r="C674" i="3"/>
  <c r="A674" i="3"/>
  <c r="AS673" i="3"/>
  <c r="AT673" i="3" s="1"/>
  <c r="AB673" i="3"/>
  <c r="AC673" i="3" s="1"/>
  <c r="G673" i="3"/>
  <c r="F673" i="3"/>
  <c r="E673" i="3"/>
  <c r="D673" i="3"/>
  <c r="C673" i="3"/>
  <c r="A673" i="3" s="1"/>
  <c r="AS672" i="3"/>
  <c r="AT672" i="3" s="1"/>
  <c r="AB672" i="3"/>
  <c r="AC672" i="3" s="1"/>
  <c r="G672" i="3"/>
  <c r="F672" i="3"/>
  <c r="E672" i="3"/>
  <c r="D672" i="3"/>
  <c r="C672" i="3"/>
  <c r="A672" i="3"/>
  <c r="AS671" i="3"/>
  <c r="AT671" i="3" s="1"/>
  <c r="AB671" i="3"/>
  <c r="AC671" i="3" s="1"/>
  <c r="G671" i="3"/>
  <c r="F671" i="3"/>
  <c r="E671" i="3"/>
  <c r="D671" i="3"/>
  <c r="C671" i="3"/>
  <c r="A671" i="3"/>
  <c r="AS670" i="3"/>
  <c r="AT670" i="3" s="1"/>
  <c r="AB670" i="3"/>
  <c r="AC670" i="3" s="1"/>
  <c r="G670" i="3"/>
  <c r="F670" i="3"/>
  <c r="E670" i="3"/>
  <c r="D670" i="3"/>
  <c r="C670" i="3"/>
  <c r="A670" i="3" s="1"/>
  <c r="AS669" i="3"/>
  <c r="AT669" i="3" s="1"/>
  <c r="AB669" i="3"/>
  <c r="AC669" i="3" s="1"/>
  <c r="G669" i="3"/>
  <c r="F669" i="3"/>
  <c r="E669" i="3"/>
  <c r="D669" i="3"/>
  <c r="C669" i="3"/>
  <c r="A669" i="3" s="1"/>
  <c r="AS668" i="3"/>
  <c r="AT668" i="3" s="1"/>
  <c r="AB668" i="3"/>
  <c r="AC668" i="3" s="1"/>
  <c r="G668" i="3"/>
  <c r="F668" i="3"/>
  <c r="E668" i="3"/>
  <c r="D668" i="3"/>
  <c r="C668" i="3"/>
  <c r="A668" i="3" s="1"/>
  <c r="AS667" i="3"/>
  <c r="AT667" i="3" s="1"/>
  <c r="AB667" i="3"/>
  <c r="AC667" i="3" s="1"/>
  <c r="G667" i="3"/>
  <c r="F667" i="3"/>
  <c r="E667" i="3"/>
  <c r="D667" i="3"/>
  <c r="C667" i="3"/>
  <c r="A667" i="3" s="1"/>
  <c r="AS666" i="3"/>
  <c r="AT666" i="3" s="1"/>
  <c r="AB666" i="3"/>
  <c r="AC666" i="3" s="1"/>
  <c r="G666" i="3"/>
  <c r="F666" i="3"/>
  <c r="E666" i="3"/>
  <c r="D666" i="3"/>
  <c r="C666" i="3"/>
  <c r="A666" i="3" s="1"/>
  <c r="AS665" i="3"/>
  <c r="AT665" i="3" s="1"/>
  <c r="AB665" i="3"/>
  <c r="AC665" i="3" s="1"/>
  <c r="G665" i="3"/>
  <c r="F665" i="3"/>
  <c r="E665" i="3"/>
  <c r="D665" i="3"/>
  <c r="C665" i="3"/>
  <c r="A665" i="3"/>
  <c r="AS664" i="3"/>
  <c r="AT664" i="3" s="1"/>
  <c r="AB664" i="3"/>
  <c r="AC664" i="3" s="1"/>
  <c r="G664" i="3"/>
  <c r="F664" i="3"/>
  <c r="E664" i="3"/>
  <c r="D664" i="3"/>
  <c r="C664" i="3"/>
  <c r="A664" i="3"/>
  <c r="AS663" i="3"/>
  <c r="AT663" i="3" s="1"/>
  <c r="AB663" i="3"/>
  <c r="AC663" i="3" s="1"/>
  <c r="G663" i="3"/>
  <c r="F663" i="3"/>
  <c r="E663" i="3"/>
  <c r="D663" i="3"/>
  <c r="C663" i="3"/>
  <c r="A663" i="3" s="1"/>
  <c r="AS662" i="3"/>
  <c r="AT662" i="3" s="1"/>
  <c r="AB662" i="3"/>
  <c r="AC662" i="3" s="1"/>
  <c r="G662" i="3"/>
  <c r="F662" i="3"/>
  <c r="E662" i="3"/>
  <c r="D662" i="3"/>
  <c r="C662" i="3"/>
  <c r="A662" i="3" s="1"/>
  <c r="AS661" i="3"/>
  <c r="AT661" i="3" s="1"/>
  <c r="AB661" i="3"/>
  <c r="AC661" i="3" s="1"/>
  <c r="G661" i="3"/>
  <c r="F661" i="3"/>
  <c r="E661" i="3"/>
  <c r="D661" i="3"/>
  <c r="C661" i="3"/>
  <c r="A661" i="3"/>
  <c r="AS660" i="3"/>
  <c r="AT660" i="3" s="1"/>
  <c r="AB660" i="3"/>
  <c r="AC660" i="3" s="1"/>
  <c r="G660" i="3"/>
  <c r="F660" i="3"/>
  <c r="E660" i="3"/>
  <c r="D660" i="3"/>
  <c r="C660" i="3"/>
  <c r="A660" i="3"/>
  <c r="AS659" i="3"/>
  <c r="AT659" i="3" s="1"/>
  <c r="AB659" i="3"/>
  <c r="AC659" i="3" s="1"/>
  <c r="G659" i="3"/>
  <c r="F659" i="3"/>
  <c r="E659" i="3"/>
  <c r="D659" i="3"/>
  <c r="C659" i="3"/>
  <c r="A659" i="3"/>
  <c r="AS658" i="3"/>
  <c r="AT658" i="3" s="1"/>
  <c r="AB658" i="3"/>
  <c r="AC658" i="3" s="1"/>
  <c r="G658" i="3"/>
  <c r="F658" i="3"/>
  <c r="E658" i="3"/>
  <c r="D658" i="3"/>
  <c r="C658" i="3"/>
  <c r="A658" i="3" s="1"/>
  <c r="AS657" i="3"/>
  <c r="AT657" i="3" s="1"/>
  <c r="AB657" i="3"/>
  <c r="AC657" i="3" s="1"/>
  <c r="G657" i="3"/>
  <c r="F657" i="3"/>
  <c r="E657" i="3"/>
  <c r="D657" i="3"/>
  <c r="C657" i="3"/>
  <c r="A657" i="3"/>
  <c r="AS656" i="3"/>
  <c r="AT656" i="3" s="1"/>
  <c r="AB656" i="3"/>
  <c r="AC656" i="3" s="1"/>
  <c r="G656" i="3"/>
  <c r="F656" i="3"/>
  <c r="E656" i="3"/>
  <c r="D656" i="3"/>
  <c r="C656" i="3"/>
  <c r="A656" i="3" s="1"/>
  <c r="AS655" i="3"/>
  <c r="AT655" i="3" s="1"/>
  <c r="AB655" i="3"/>
  <c r="AC655" i="3" s="1"/>
  <c r="G655" i="3"/>
  <c r="F655" i="3"/>
  <c r="E655" i="3"/>
  <c r="D655" i="3"/>
  <c r="C655" i="3"/>
  <c r="A655" i="3"/>
  <c r="AS654" i="3"/>
  <c r="AT654" i="3" s="1"/>
  <c r="AB654" i="3"/>
  <c r="AC654" i="3" s="1"/>
  <c r="G654" i="3"/>
  <c r="F654" i="3"/>
  <c r="E654" i="3"/>
  <c r="D654" i="3"/>
  <c r="C654" i="3"/>
  <c r="A654" i="3" s="1"/>
  <c r="AS653" i="3"/>
  <c r="AT653" i="3" s="1"/>
  <c r="AB653" i="3"/>
  <c r="AC653" i="3" s="1"/>
  <c r="G653" i="3"/>
  <c r="F653" i="3"/>
  <c r="E653" i="3"/>
  <c r="D653" i="3"/>
  <c r="C653" i="3"/>
  <c r="A653" i="3"/>
  <c r="AS652" i="3"/>
  <c r="AT652" i="3" s="1"/>
  <c r="AB652" i="3"/>
  <c r="AC652" i="3" s="1"/>
  <c r="G652" i="3"/>
  <c r="F652" i="3"/>
  <c r="E652" i="3"/>
  <c r="D652" i="3"/>
  <c r="C652" i="3"/>
  <c r="A652" i="3" s="1"/>
  <c r="AS651" i="3"/>
  <c r="AT651" i="3" s="1"/>
  <c r="AB651" i="3"/>
  <c r="AC651" i="3" s="1"/>
  <c r="G651" i="3"/>
  <c r="F651" i="3"/>
  <c r="E651" i="3"/>
  <c r="D651" i="3"/>
  <c r="C651" i="3"/>
  <c r="A651" i="3"/>
  <c r="AS650" i="3"/>
  <c r="AT650" i="3" s="1"/>
  <c r="AB650" i="3"/>
  <c r="AC650" i="3" s="1"/>
  <c r="G650" i="3"/>
  <c r="F650" i="3"/>
  <c r="E650" i="3"/>
  <c r="D650" i="3"/>
  <c r="C650" i="3"/>
  <c r="A650" i="3" s="1"/>
  <c r="AS649" i="3"/>
  <c r="AT649" i="3" s="1"/>
  <c r="AB649" i="3"/>
  <c r="AC649" i="3" s="1"/>
  <c r="G649" i="3"/>
  <c r="F649" i="3"/>
  <c r="E649" i="3"/>
  <c r="D649" i="3"/>
  <c r="C649" i="3"/>
  <c r="AS648" i="3"/>
  <c r="AT648" i="3" s="1"/>
  <c r="AB648" i="3"/>
  <c r="AC648" i="3" s="1"/>
  <c r="G648" i="3"/>
  <c r="F648" i="3"/>
  <c r="E648" i="3"/>
  <c r="D648" i="3"/>
  <c r="C648" i="3"/>
  <c r="A648" i="3"/>
  <c r="AS647" i="3"/>
  <c r="AT647" i="3" s="1"/>
  <c r="AB647" i="3"/>
  <c r="AC647" i="3" s="1"/>
  <c r="G647" i="3"/>
  <c r="F647" i="3"/>
  <c r="E647" i="3"/>
  <c r="D647" i="3"/>
  <c r="C647" i="3"/>
  <c r="A647" i="3"/>
  <c r="AS646" i="3"/>
  <c r="AT646" i="3" s="1"/>
  <c r="AB646" i="3"/>
  <c r="AC646" i="3" s="1"/>
  <c r="G646" i="3"/>
  <c r="F646" i="3"/>
  <c r="E646" i="3"/>
  <c r="D646" i="3"/>
  <c r="C646" i="3"/>
  <c r="A646" i="3"/>
  <c r="AS645" i="3"/>
  <c r="AT645" i="3" s="1"/>
  <c r="AB645" i="3"/>
  <c r="AC645" i="3" s="1"/>
  <c r="G645" i="3"/>
  <c r="F645" i="3"/>
  <c r="E645" i="3"/>
  <c r="D645" i="3"/>
  <c r="C645" i="3"/>
  <c r="A645" i="3"/>
  <c r="AS644" i="3"/>
  <c r="AT644" i="3" s="1"/>
  <c r="AB644" i="3"/>
  <c r="AC644" i="3" s="1"/>
  <c r="G644" i="3"/>
  <c r="F644" i="3"/>
  <c r="E644" i="3"/>
  <c r="D644" i="3"/>
  <c r="C644" i="3"/>
  <c r="A644" i="3" s="1"/>
  <c r="AS643" i="3"/>
  <c r="AT643" i="3" s="1"/>
  <c r="AB643" i="3"/>
  <c r="AC643" i="3" s="1"/>
  <c r="G643" i="3"/>
  <c r="F643" i="3"/>
  <c r="E643" i="3"/>
  <c r="D643" i="3"/>
  <c r="C643" i="3"/>
  <c r="A643" i="3"/>
  <c r="AS642" i="3"/>
  <c r="AT642" i="3" s="1"/>
  <c r="AB642" i="3"/>
  <c r="AC642" i="3" s="1"/>
  <c r="G642" i="3"/>
  <c r="F642" i="3"/>
  <c r="E642" i="3"/>
  <c r="D642" i="3"/>
  <c r="C642" i="3"/>
  <c r="A642" i="3"/>
  <c r="AS641" i="3"/>
  <c r="AT641" i="3" s="1"/>
  <c r="AB641" i="3"/>
  <c r="AC641" i="3" s="1"/>
  <c r="G641" i="3"/>
  <c r="F641" i="3"/>
  <c r="E641" i="3"/>
  <c r="D641" i="3"/>
  <c r="C641" i="3"/>
  <c r="A641" i="3"/>
  <c r="AS640" i="3"/>
  <c r="AT640" i="3" s="1"/>
  <c r="AB640" i="3"/>
  <c r="AC640" i="3" s="1"/>
  <c r="G640" i="3"/>
  <c r="F640" i="3"/>
  <c r="E640" i="3"/>
  <c r="D640" i="3"/>
  <c r="C640" i="3"/>
  <c r="A640" i="3"/>
  <c r="AS639" i="3"/>
  <c r="AT639" i="3" s="1"/>
  <c r="AB639" i="3"/>
  <c r="AC639" i="3" s="1"/>
  <c r="G639" i="3"/>
  <c r="F639" i="3"/>
  <c r="E639" i="3"/>
  <c r="D639" i="3"/>
  <c r="C639" i="3"/>
  <c r="A639" i="3"/>
  <c r="AS638" i="3"/>
  <c r="AT638" i="3" s="1"/>
  <c r="AB638" i="3"/>
  <c r="AC638" i="3" s="1"/>
  <c r="G638" i="3"/>
  <c r="F638" i="3"/>
  <c r="E638" i="3"/>
  <c r="D638" i="3"/>
  <c r="C638" i="3"/>
  <c r="A638" i="3"/>
  <c r="AS637" i="3"/>
  <c r="AT637" i="3" s="1"/>
  <c r="AB637" i="3"/>
  <c r="AC637" i="3" s="1"/>
  <c r="G637" i="3"/>
  <c r="F637" i="3"/>
  <c r="E637" i="3"/>
  <c r="D637" i="3"/>
  <c r="C637" i="3"/>
  <c r="A637" i="3"/>
  <c r="AS636" i="3"/>
  <c r="AT636" i="3" s="1"/>
  <c r="AB636" i="3"/>
  <c r="AC636" i="3" s="1"/>
  <c r="G636" i="3"/>
  <c r="F636" i="3"/>
  <c r="E636" i="3"/>
  <c r="D636" i="3"/>
  <c r="C636" i="3"/>
  <c r="A636" i="3" s="1"/>
  <c r="AS635" i="3"/>
  <c r="AT635" i="3" s="1"/>
  <c r="AB635" i="3"/>
  <c r="AC635" i="3" s="1"/>
  <c r="G635" i="3"/>
  <c r="F635" i="3"/>
  <c r="E635" i="3"/>
  <c r="D635" i="3"/>
  <c r="C635" i="3"/>
  <c r="A635" i="3" s="1"/>
  <c r="AS634" i="3"/>
  <c r="AT634" i="3" s="1"/>
  <c r="AB634" i="3"/>
  <c r="AC634" i="3" s="1"/>
  <c r="G634" i="3"/>
  <c r="F634" i="3"/>
  <c r="E634" i="3"/>
  <c r="D634" i="3"/>
  <c r="C634" i="3"/>
  <c r="A634" i="3"/>
  <c r="AS633" i="3"/>
  <c r="AT633" i="3" s="1"/>
  <c r="AB633" i="3"/>
  <c r="AC633" i="3" s="1"/>
  <c r="G633" i="3"/>
  <c r="F633" i="3"/>
  <c r="E633" i="3"/>
  <c r="D633" i="3"/>
  <c r="C633" i="3"/>
  <c r="A633" i="3"/>
  <c r="AS632" i="3"/>
  <c r="AT632" i="3" s="1"/>
  <c r="AB632" i="3"/>
  <c r="AC632" i="3" s="1"/>
  <c r="G632" i="3"/>
  <c r="F632" i="3"/>
  <c r="E632" i="3"/>
  <c r="D632" i="3"/>
  <c r="C632" i="3"/>
  <c r="A632" i="3"/>
  <c r="AS631" i="3"/>
  <c r="AT631" i="3" s="1"/>
  <c r="AB631" i="3"/>
  <c r="AC631" i="3" s="1"/>
  <c r="G631" i="3"/>
  <c r="F631" i="3"/>
  <c r="E631" i="3"/>
  <c r="D631" i="3"/>
  <c r="C631" i="3"/>
  <c r="A631" i="3"/>
  <c r="AS630" i="3"/>
  <c r="AT630" i="3" s="1"/>
  <c r="AB630" i="3"/>
  <c r="AC630" i="3" s="1"/>
  <c r="G630" i="3"/>
  <c r="F630" i="3"/>
  <c r="E630" i="3"/>
  <c r="D630" i="3"/>
  <c r="C630" i="3"/>
  <c r="A630" i="3"/>
  <c r="AS629" i="3"/>
  <c r="AT629" i="3" s="1"/>
  <c r="AB629" i="3"/>
  <c r="AC629" i="3" s="1"/>
  <c r="G629" i="3"/>
  <c r="F629" i="3"/>
  <c r="E629" i="3"/>
  <c r="D629" i="3"/>
  <c r="C629" i="3"/>
  <c r="A629" i="3"/>
  <c r="AS628" i="3"/>
  <c r="AT628" i="3" s="1"/>
  <c r="AB628" i="3"/>
  <c r="AC628" i="3" s="1"/>
  <c r="G628" i="3"/>
  <c r="F628" i="3"/>
  <c r="E628" i="3"/>
  <c r="D628" i="3"/>
  <c r="C628" i="3"/>
  <c r="A628" i="3"/>
  <c r="AS627" i="3"/>
  <c r="AT627" i="3" s="1"/>
  <c r="AB627" i="3"/>
  <c r="AC627" i="3" s="1"/>
  <c r="G627" i="3"/>
  <c r="F627" i="3"/>
  <c r="E627" i="3"/>
  <c r="D627" i="3"/>
  <c r="C627" i="3"/>
  <c r="A627" i="3"/>
  <c r="AS626" i="3"/>
  <c r="AT626" i="3" s="1"/>
  <c r="AB626" i="3"/>
  <c r="AC626" i="3" s="1"/>
  <c r="G626" i="3"/>
  <c r="F626" i="3"/>
  <c r="E626" i="3"/>
  <c r="D626" i="3"/>
  <c r="C626" i="3"/>
  <c r="A626" i="3"/>
  <c r="AS625" i="3"/>
  <c r="AT625" i="3" s="1"/>
  <c r="AB625" i="3"/>
  <c r="AC625" i="3" s="1"/>
  <c r="G625" i="3"/>
  <c r="F625" i="3"/>
  <c r="E625" i="3"/>
  <c r="D625" i="3"/>
  <c r="C625" i="3"/>
  <c r="A625" i="3"/>
  <c r="AS624" i="3"/>
  <c r="AT624" i="3" s="1"/>
  <c r="AB624" i="3"/>
  <c r="AC624" i="3" s="1"/>
  <c r="G624" i="3"/>
  <c r="F624" i="3"/>
  <c r="E624" i="3"/>
  <c r="D624" i="3"/>
  <c r="C624" i="3"/>
  <c r="A624" i="3"/>
  <c r="AS623" i="3"/>
  <c r="AT623" i="3" s="1"/>
  <c r="AB623" i="3"/>
  <c r="AC623" i="3" s="1"/>
  <c r="G623" i="3"/>
  <c r="F623" i="3"/>
  <c r="E623" i="3"/>
  <c r="D623" i="3"/>
  <c r="C623" i="3"/>
  <c r="A623" i="3"/>
  <c r="AS622" i="3"/>
  <c r="AT622" i="3" s="1"/>
  <c r="AB622" i="3"/>
  <c r="AC622" i="3" s="1"/>
  <c r="G622" i="3"/>
  <c r="F622" i="3"/>
  <c r="E622" i="3"/>
  <c r="D622" i="3"/>
  <c r="C622" i="3"/>
  <c r="A622" i="3" s="1"/>
  <c r="AS621" i="3"/>
  <c r="AT621" i="3" s="1"/>
  <c r="AB621" i="3"/>
  <c r="AC621" i="3" s="1"/>
  <c r="G621" i="3"/>
  <c r="F621" i="3"/>
  <c r="E621" i="3"/>
  <c r="D621" i="3"/>
  <c r="C621" i="3"/>
  <c r="A621" i="3"/>
  <c r="AS620" i="3"/>
  <c r="AT620" i="3" s="1"/>
  <c r="AB620" i="3"/>
  <c r="AC620" i="3" s="1"/>
  <c r="G620" i="3"/>
  <c r="F620" i="3"/>
  <c r="E620" i="3"/>
  <c r="D620" i="3"/>
  <c r="C620" i="3"/>
  <c r="A620" i="3"/>
  <c r="AS619" i="3"/>
  <c r="AT619" i="3" s="1"/>
  <c r="AB619" i="3"/>
  <c r="AC619" i="3" s="1"/>
  <c r="G619" i="3"/>
  <c r="F619" i="3"/>
  <c r="E619" i="3"/>
  <c r="D619" i="3"/>
  <c r="C619" i="3"/>
  <c r="A619" i="3"/>
  <c r="AS618" i="3"/>
  <c r="AT618" i="3" s="1"/>
  <c r="AB618" i="3"/>
  <c r="AC618" i="3" s="1"/>
  <c r="G618" i="3"/>
  <c r="F618" i="3"/>
  <c r="E618" i="3"/>
  <c r="D618" i="3"/>
  <c r="C618" i="3"/>
  <c r="A618" i="3" s="1"/>
  <c r="AS617" i="3"/>
  <c r="AT617" i="3" s="1"/>
  <c r="AB617" i="3"/>
  <c r="AC617" i="3" s="1"/>
  <c r="G617" i="3"/>
  <c r="F617" i="3"/>
  <c r="E617" i="3"/>
  <c r="D617" i="3"/>
  <c r="C617" i="3"/>
  <c r="A617" i="3" s="1"/>
  <c r="AS616" i="3"/>
  <c r="AT616" i="3" s="1"/>
  <c r="AB616" i="3"/>
  <c r="AC616" i="3" s="1"/>
  <c r="G616" i="3"/>
  <c r="F616" i="3"/>
  <c r="E616" i="3"/>
  <c r="D616" i="3"/>
  <c r="C616" i="3"/>
  <c r="A616" i="3"/>
  <c r="AS615" i="3"/>
  <c r="AT615" i="3" s="1"/>
  <c r="AB615" i="3"/>
  <c r="AC615" i="3" s="1"/>
  <c r="G615" i="3"/>
  <c r="F615" i="3"/>
  <c r="E615" i="3"/>
  <c r="D615" i="3"/>
  <c r="C615" i="3"/>
  <c r="A615" i="3"/>
  <c r="AS614" i="3"/>
  <c r="AT614" i="3" s="1"/>
  <c r="AB614" i="3"/>
  <c r="AC614" i="3" s="1"/>
  <c r="G614" i="3"/>
  <c r="F614" i="3"/>
  <c r="E614" i="3"/>
  <c r="D614" i="3"/>
  <c r="C614" i="3"/>
  <c r="A614" i="3"/>
  <c r="AS613" i="3"/>
  <c r="AT613" i="3" s="1"/>
  <c r="AB613" i="3"/>
  <c r="AC613" i="3" s="1"/>
  <c r="G613" i="3"/>
  <c r="F613" i="3"/>
  <c r="E613" i="3"/>
  <c r="D613" i="3"/>
  <c r="C613" i="3"/>
  <c r="A613" i="3"/>
  <c r="AS612" i="3"/>
  <c r="AT612" i="3" s="1"/>
  <c r="AB612" i="3"/>
  <c r="AC612" i="3" s="1"/>
  <c r="G612" i="3"/>
  <c r="F612" i="3"/>
  <c r="E612" i="3"/>
  <c r="D612" i="3"/>
  <c r="C612" i="3"/>
  <c r="A612" i="3" s="1"/>
  <c r="AS611" i="3"/>
  <c r="AT611" i="3" s="1"/>
  <c r="AB611" i="3"/>
  <c r="AC611" i="3" s="1"/>
  <c r="G611" i="3"/>
  <c r="F611" i="3"/>
  <c r="E611" i="3"/>
  <c r="D611" i="3"/>
  <c r="C611" i="3"/>
  <c r="A611" i="3"/>
  <c r="AS610" i="3"/>
  <c r="AT610" i="3" s="1"/>
  <c r="AB610" i="3"/>
  <c r="AC610" i="3" s="1"/>
  <c r="G610" i="3"/>
  <c r="F610" i="3"/>
  <c r="E610" i="3"/>
  <c r="D610" i="3"/>
  <c r="C610" i="3"/>
  <c r="A610" i="3" s="1"/>
  <c r="AS609" i="3"/>
  <c r="AT609" i="3" s="1"/>
  <c r="AB609" i="3"/>
  <c r="AC609" i="3" s="1"/>
  <c r="G609" i="3"/>
  <c r="F609" i="3"/>
  <c r="E609" i="3"/>
  <c r="D609" i="3"/>
  <c r="C609" i="3"/>
  <c r="A609" i="3"/>
  <c r="AS608" i="3"/>
  <c r="AT608" i="3" s="1"/>
  <c r="AB608" i="3"/>
  <c r="AC608" i="3" s="1"/>
  <c r="G608" i="3"/>
  <c r="F608" i="3"/>
  <c r="E608" i="3"/>
  <c r="D608" i="3"/>
  <c r="C608" i="3"/>
  <c r="A608" i="3"/>
  <c r="AS607" i="3"/>
  <c r="AT607" i="3" s="1"/>
  <c r="AB607" i="3"/>
  <c r="AC607" i="3" s="1"/>
  <c r="G607" i="3"/>
  <c r="F607" i="3"/>
  <c r="E607" i="3"/>
  <c r="D607" i="3"/>
  <c r="C607" i="3"/>
  <c r="A607" i="3"/>
  <c r="AS606" i="3"/>
  <c r="AT606" i="3" s="1"/>
  <c r="AB606" i="3"/>
  <c r="AC606" i="3" s="1"/>
  <c r="G606" i="3"/>
  <c r="F606" i="3"/>
  <c r="E606" i="3"/>
  <c r="D606" i="3"/>
  <c r="C606" i="3"/>
  <c r="A606" i="3"/>
  <c r="AS605" i="3"/>
  <c r="AT605" i="3" s="1"/>
  <c r="AB605" i="3"/>
  <c r="AC605" i="3" s="1"/>
  <c r="G605" i="3"/>
  <c r="F605" i="3"/>
  <c r="E605" i="3"/>
  <c r="D605" i="3"/>
  <c r="C605" i="3"/>
  <c r="A605" i="3"/>
  <c r="AS604" i="3"/>
  <c r="AT604" i="3" s="1"/>
  <c r="AB604" i="3"/>
  <c r="AC604" i="3" s="1"/>
  <c r="G604" i="3"/>
  <c r="F604" i="3"/>
  <c r="E604" i="3"/>
  <c r="D604" i="3"/>
  <c r="C604" i="3"/>
  <c r="A604" i="3" s="1"/>
  <c r="AS603" i="3"/>
  <c r="AT603" i="3" s="1"/>
  <c r="AB603" i="3"/>
  <c r="AC603" i="3" s="1"/>
  <c r="G603" i="3"/>
  <c r="F603" i="3"/>
  <c r="E603" i="3"/>
  <c r="D603" i="3"/>
  <c r="C603" i="3"/>
  <c r="A603" i="3"/>
  <c r="AS602" i="3"/>
  <c r="AT602" i="3" s="1"/>
  <c r="AB602" i="3"/>
  <c r="AC602" i="3" s="1"/>
  <c r="G602" i="3"/>
  <c r="F602" i="3"/>
  <c r="E602" i="3"/>
  <c r="D602" i="3"/>
  <c r="C602" i="3"/>
  <c r="A602" i="3"/>
  <c r="AS601" i="3"/>
  <c r="AT601" i="3" s="1"/>
  <c r="AB601" i="3"/>
  <c r="AC601" i="3" s="1"/>
  <c r="G601" i="3"/>
  <c r="F601" i="3"/>
  <c r="E601" i="3"/>
  <c r="D601" i="3"/>
  <c r="C601" i="3"/>
  <c r="A601" i="3"/>
  <c r="AS600" i="3"/>
  <c r="AT600" i="3" s="1"/>
  <c r="AB600" i="3"/>
  <c r="AC600" i="3" s="1"/>
  <c r="G600" i="3"/>
  <c r="F600" i="3"/>
  <c r="E600" i="3"/>
  <c r="D600" i="3"/>
  <c r="C600" i="3"/>
  <c r="A600" i="3"/>
  <c r="AS599" i="3"/>
  <c r="AT599" i="3" s="1"/>
  <c r="AB599" i="3"/>
  <c r="AC599" i="3" s="1"/>
  <c r="G599" i="3"/>
  <c r="F599" i="3"/>
  <c r="E599" i="3"/>
  <c r="D599" i="3"/>
  <c r="C599" i="3"/>
  <c r="A599" i="3"/>
  <c r="AS598" i="3"/>
  <c r="AT598" i="3" s="1"/>
  <c r="AB598" i="3"/>
  <c r="AC598" i="3" s="1"/>
  <c r="G598" i="3"/>
  <c r="F598" i="3"/>
  <c r="E598" i="3"/>
  <c r="D598" i="3"/>
  <c r="C598" i="3"/>
  <c r="A598" i="3"/>
  <c r="AS597" i="3"/>
  <c r="AT597" i="3" s="1"/>
  <c r="AB597" i="3"/>
  <c r="AC597" i="3" s="1"/>
  <c r="G597" i="3"/>
  <c r="F597" i="3"/>
  <c r="E597" i="3"/>
  <c r="D597" i="3"/>
  <c r="C597" i="3"/>
  <c r="A597" i="3"/>
  <c r="AS596" i="3"/>
  <c r="AT596" i="3" s="1"/>
  <c r="AB596" i="3"/>
  <c r="AC596" i="3" s="1"/>
  <c r="G596" i="3"/>
  <c r="F596" i="3"/>
  <c r="E596" i="3"/>
  <c r="D596" i="3"/>
  <c r="C596" i="3"/>
  <c r="A596" i="3" s="1"/>
  <c r="AS595" i="3"/>
  <c r="AT595" i="3" s="1"/>
  <c r="AB595" i="3"/>
  <c r="AC595" i="3" s="1"/>
  <c r="G595" i="3"/>
  <c r="F595" i="3"/>
  <c r="E595" i="3"/>
  <c r="D595" i="3"/>
  <c r="C595" i="3"/>
  <c r="A595" i="3"/>
  <c r="AS594" i="3"/>
  <c r="AT594" i="3" s="1"/>
  <c r="AB594" i="3"/>
  <c r="AC594" i="3" s="1"/>
  <c r="G594" i="3"/>
  <c r="F594" i="3"/>
  <c r="E594" i="3"/>
  <c r="D594" i="3"/>
  <c r="C594" i="3"/>
  <c r="A594" i="3"/>
  <c r="AS593" i="3"/>
  <c r="AT593" i="3" s="1"/>
  <c r="AB593" i="3"/>
  <c r="AC593" i="3" s="1"/>
  <c r="G593" i="3"/>
  <c r="F593" i="3"/>
  <c r="E593" i="3"/>
  <c r="D593" i="3"/>
  <c r="C593" i="3"/>
  <c r="A593" i="3" s="1"/>
  <c r="AS592" i="3"/>
  <c r="AT592" i="3" s="1"/>
  <c r="AB592" i="3"/>
  <c r="AC592" i="3" s="1"/>
  <c r="G592" i="3"/>
  <c r="F592" i="3"/>
  <c r="E592" i="3"/>
  <c r="D592" i="3"/>
  <c r="C592" i="3"/>
  <c r="A592" i="3"/>
  <c r="AS591" i="3"/>
  <c r="AT591" i="3" s="1"/>
  <c r="AB591" i="3"/>
  <c r="AC591" i="3" s="1"/>
  <c r="G591" i="3"/>
  <c r="F591" i="3"/>
  <c r="E591" i="3"/>
  <c r="D591" i="3"/>
  <c r="C591" i="3"/>
  <c r="A591" i="3"/>
  <c r="AS590" i="3"/>
  <c r="AT590" i="3" s="1"/>
  <c r="AB590" i="3"/>
  <c r="AC590" i="3" s="1"/>
  <c r="G590" i="3"/>
  <c r="F590" i="3"/>
  <c r="E590" i="3"/>
  <c r="D590" i="3"/>
  <c r="C590" i="3"/>
  <c r="A590" i="3"/>
  <c r="AS589" i="3"/>
  <c r="AT589" i="3" s="1"/>
  <c r="AB589" i="3"/>
  <c r="AC589" i="3" s="1"/>
  <c r="G589" i="3"/>
  <c r="F589" i="3"/>
  <c r="E589" i="3"/>
  <c r="D589" i="3"/>
  <c r="C589" i="3"/>
  <c r="A589" i="3" s="1"/>
  <c r="AS588" i="3"/>
  <c r="AT588" i="3" s="1"/>
  <c r="AB588" i="3"/>
  <c r="AC588" i="3" s="1"/>
  <c r="G588" i="3"/>
  <c r="F588" i="3"/>
  <c r="E588" i="3"/>
  <c r="D588" i="3"/>
  <c r="C588" i="3"/>
  <c r="A588" i="3" s="1"/>
  <c r="AS587" i="3"/>
  <c r="AT587" i="3" s="1"/>
  <c r="AB587" i="3"/>
  <c r="AC587" i="3" s="1"/>
  <c r="G587" i="3"/>
  <c r="F587" i="3"/>
  <c r="E587" i="3"/>
  <c r="D587" i="3"/>
  <c r="C587" i="3"/>
  <c r="A587" i="3" s="1"/>
  <c r="AS586" i="3"/>
  <c r="AT586" i="3" s="1"/>
  <c r="AB586" i="3"/>
  <c r="AC586" i="3" s="1"/>
  <c r="G586" i="3"/>
  <c r="F586" i="3"/>
  <c r="E586" i="3"/>
  <c r="D586" i="3"/>
  <c r="C586" i="3"/>
  <c r="A586" i="3" s="1"/>
  <c r="AS585" i="3"/>
  <c r="AT585" i="3" s="1"/>
  <c r="AB585" i="3"/>
  <c r="AC585" i="3" s="1"/>
  <c r="G585" i="3"/>
  <c r="F585" i="3"/>
  <c r="E585" i="3"/>
  <c r="D585" i="3"/>
  <c r="C585" i="3"/>
  <c r="A585" i="3"/>
  <c r="AS584" i="3"/>
  <c r="AT584" i="3" s="1"/>
  <c r="AB584" i="3"/>
  <c r="AC584" i="3" s="1"/>
  <c r="G584" i="3"/>
  <c r="F584" i="3"/>
  <c r="E584" i="3"/>
  <c r="D584" i="3"/>
  <c r="C584" i="3"/>
  <c r="A584" i="3"/>
  <c r="AS583" i="3"/>
  <c r="AT583" i="3" s="1"/>
  <c r="AB583" i="3"/>
  <c r="AC583" i="3" s="1"/>
  <c r="G583" i="3"/>
  <c r="F583" i="3"/>
  <c r="E583" i="3"/>
  <c r="D583" i="3"/>
  <c r="C583" i="3"/>
  <c r="A583" i="3"/>
  <c r="AS582" i="3"/>
  <c r="AT582" i="3" s="1"/>
  <c r="AB582" i="3"/>
  <c r="AC582" i="3" s="1"/>
  <c r="G582" i="3"/>
  <c r="F582" i="3"/>
  <c r="E582" i="3"/>
  <c r="D582" i="3"/>
  <c r="C582" i="3"/>
  <c r="A582" i="3"/>
  <c r="AS581" i="3"/>
  <c r="AT581" i="3" s="1"/>
  <c r="AB581" i="3"/>
  <c r="AC581" i="3" s="1"/>
  <c r="G581" i="3"/>
  <c r="F581" i="3"/>
  <c r="E581" i="3"/>
  <c r="D581" i="3"/>
  <c r="C581" i="3"/>
  <c r="A581" i="3"/>
  <c r="AS580" i="3"/>
  <c r="AT580" i="3" s="1"/>
  <c r="AB580" i="3"/>
  <c r="AC580" i="3" s="1"/>
  <c r="G580" i="3"/>
  <c r="F580" i="3"/>
  <c r="E580" i="3"/>
  <c r="D580" i="3"/>
  <c r="C580" i="3"/>
  <c r="A580" i="3"/>
  <c r="AS579" i="3"/>
  <c r="AT579" i="3" s="1"/>
  <c r="AB579" i="3"/>
  <c r="AC579" i="3" s="1"/>
  <c r="G579" i="3"/>
  <c r="F579" i="3"/>
  <c r="E579" i="3"/>
  <c r="D579" i="3"/>
  <c r="C579" i="3"/>
  <c r="A579" i="3"/>
  <c r="AS578" i="3"/>
  <c r="AT578" i="3" s="1"/>
  <c r="AB578" i="3"/>
  <c r="AC578" i="3" s="1"/>
  <c r="G578" i="3"/>
  <c r="F578" i="3"/>
  <c r="E578" i="3"/>
  <c r="D578" i="3"/>
  <c r="C578" i="3"/>
  <c r="A578" i="3"/>
  <c r="AS577" i="3"/>
  <c r="AT577" i="3" s="1"/>
  <c r="AB577" i="3"/>
  <c r="AC577" i="3" s="1"/>
  <c r="G577" i="3"/>
  <c r="F577" i="3"/>
  <c r="E577" i="3"/>
  <c r="D577" i="3"/>
  <c r="C577" i="3"/>
  <c r="A577" i="3"/>
  <c r="AS576" i="3"/>
  <c r="AT576" i="3" s="1"/>
  <c r="AB576" i="3"/>
  <c r="AC576" i="3" s="1"/>
  <c r="G576" i="3"/>
  <c r="F576" i="3"/>
  <c r="E576" i="3"/>
  <c r="D576" i="3"/>
  <c r="C576" i="3"/>
  <c r="A576" i="3"/>
  <c r="AS575" i="3"/>
  <c r="AT575" i="3" s="1"/>
  <c r="AB575" i="3"/>
  <c r="AC575" i="3" s="1"/>
  <c r="G575" i="3"/>
  <c r="F575" i="3"/>
  <c r="E575" i="3"/>
  <c r="D575" i="3"/>
  <c r="C575" i="3"/>
  <c r="A575" i="3"/>
  <c r="AS574" i="3"/>
  <c r="AT574" i="3" s="1"/>
  <c r="AB574" i="3"/>
  <c r="AC574" i="3" s="1"/>
  <c r="G574" i="3"/>
  <c r="F574" i="3"/>
  <c r="E574" i="3"/>
  <c r="D574" i="3"/>
  <c r="C574" i="3"/>
  <c r="A574" i="3"/>
  <c r="AS573" i="3"/>
  <c r="AT573" i="3" s="1"/>
  <c r="AB573" i="3"/>
  <c r="AC573" i="3" s="1"/>
  <c r="G573" i="3"/>
  <c r="F573" i="3"/>
  <c r="E573" i="3"/>
  <c r="D573" i="3"/>
  <c r="C573" i="3"/>
  <c r="A573" i="3"/>
  <c r="AS572" i="3"/>
  <c r="AT572" i="3" s="1"/>
  <c r="AB572" i="3"/>
  <c r="AC572" i="3" s="1"/>
  <c r="G572" i="3"/>
  <c r="F572" i="3"/>
  <c r="E572" i="3"/>
  <c r="D572" i="3"/>
  <c r="C572" i="3"/>
  <c r="A572" i="3"/>
  <c r="AS571" i="3"/>
  <c r="AT571" i="3" s="1"/>
  <c r="AB571" i="3"/>
  <c r="AC571" i="3" s="1"/>
  <c r="G571" i="3"/>
  <c r="F571" i="3"/>
  <c r="E571" i="3"/>
  <c r="D571" i="3"/>
  <c r="C571" i="3"/>
  <c r="A571" i="3"/>
  <c r="AS570" i="3"/>
  <c r="AT570" i="3" s="1"/>
  <c r="AB570" i="3"/>
  <c r="AC570" i="3" s="1"/>
  <c r="G570" i="3"/>
  <c r="F570" i="3"/>
  <c r="E570" i="3"/>
  <c r="D570" i="3"/>
  <c r="C570" i="3"/>
  <c r="A570" i="3"/>
  <c r="AS569" i="3"/>
  <c r="AT569" i="3" s="1"/>
  <c r="AB569" i="3"/>
  <c r="AC569" i="3" s="1"/>
  <c r="G569" i="3"/>
  <c r="F569" i="3"/>
  <c r="E569" i="3"/>
  <c r="D569" i="3"/>
  <c r="C569" i="3"/>
  <c r="A569" i="3"/>
  <c r="AS568" i="3"/>
  <c r="AT568" i="3" s="1"/>
  <c r="AB568" i="3"/>
  <c r="AC568" i="3" s="1"/>
  <c r="G568" i="3"/>
  <c r="F568" i="3"/>
  <c r="E568" i="3"/>
  <c r="D568" i="3"/>
  <c r="C568" i="3"/>
  <c r="A568" i="3"/>
  <c r="AS567" i="3"/>
  <c r="AT567" i="3" s="1"/>
  <c r="AB567" i="3"/>
  <c r="AC567" i="3" s="1"/>
  <c r="G567" i="3"/>
  <c r="F567" i="3"/>
  <c r="E567" i="3"/>
  <c r="D567" i="3"/>
  <c r="C567" i="3"/>
  <c r="A567" i="3" s="1"/>
  <c r="AS566" i="3"/>
  <c r="AT566" i="3" s="1"/>
  <c r="AB566" i="3"/>
  <c r="AC566" i="3" s="1"/>
  <c r="G566" i="3"/>
  <c r="F566" i="3"/>
  <c r="E566" i="3"/>
  <c r="D566" i="3"/>
  <c r="C566" i="3"/>
  <c r="A566" i="3"/>
  <c r="AS565" i="3"/>
  <c r="AT565" i="3" s="1"/>
  <c r="AB565" i="3"/>
  <c r="AC565" i="3" s="1"/>
  <c r="G565" i="3"/>
  <c r="F565" i="3"/>
  <c r="E565" i="3"/>
  <c r="D565" i="3"/>
  <c r="C565" i="3"/>
  <c r="A565" i="3" s="1"/>
  <c r="AS564" i="3"/>
  <c r="AT564" i="3" s="1"/>
  <c r="AB564" i="3"/>
  <c r="AC564" i="3" s="1"/>
  <c r="G564" i="3"/>
  <c r="F564" i="3"/>
  <c r="E564" i="3"/>
  <c r="D564" i="3"/>
  <c r="C564" i="3"/>
  <c r="A564" i="3"/>
  <c r="AS563" i="3"/>
  <c r="AT563" i="3" s="1"/>
  <c r="AB563" i="3"/>
  <c r="AC563" i="3" s="1"/>
  <c r="G563" i="3"/>
  <c r="F563" i="3"/>
  <c r="E563" i="3"/>
  <c r="D563" i="3"/>
  <c r="C563" i="3"/>
  <c r="A563" i="3"/>
  <c r="AS562" i="3"/>
  <c r="AT562" i="3" s="1"/>
  <c r="AB562" i="3"/>
  <c r="AC562" i="3" s="1"/>
  <c r="G562" i="3"/>
  <c r="F562" i="3"/>
  <c r="E562" i="3"/>
  <c r="D562" i="3"/>
  <c r="C562" i="3"/>
  <c r="A562" i="3"/>
  <c r="AS561" i="3"/>
  <c r="AT561" i="3" s="1"/>
  <c r="AB561" i="3"/>
  <c r="AC561" i="3" s="1"/>
  <c r="G561" i="3"/>
  <c r="F561" i="3"/>
  <c r="E561" i="3"/>
  <c r="D561" i="3"/>
  <c r="C561" i="3"/>
  <c r="A561" i="3"/>
  <c r="AS560" i="3"/>
  <c r="AT560" i="3" s="1"/>
  <c r="AB560" i="3"/>
  <c r="AC560" i="3" s="1"/>
  <c r="G560" i="3"/>
  <c r="F560" i="3"/>
  <c r="E560" i="3"/>
  <c r="D560" i="3"/>
  <c r="C560" i="3"/>
  <c r="A560" i="3"/>
  <c r="AS559" i="3"/>
  <c r="AT559" i="3" s="1"/>
  <c r="AB559" i="3"/>
  <c r="AC559" i="3" s="1"/>
  <c r="G559" i="3"/>
  <c r="F559" i="3"/>
  <c r="E559" i="3"/>
  <c r="D559" i="3"/>
  <c r="C559" i="3"/>
  <c r="A559" i="3"/>
  <c r="AS558" i="3"/>
  <c r="AT558" i="3" s="1"/>
  <c r="AB558" i="3"/>
  <c r="AC558" i="3" s="1"/>
  <c r="G558" i="3"/>
  <c r="A558" i="3" s="1"/>
  <c r="F558" i="3"/>
  <c r="E558" i="3"/>
  <c r="D558" i="3"/>
  <c r="C558" i="3"/>
  <c r="AS557" i="3"/>
  <c r="AT557" i="3" s="1"/>
  <c r="AB557" i="3"/>
  <c r="AC557" i="3" s="1"/>
  <c r="G557" i="3"/>
  <c r="F557" i="3"/>
  <c r="E557" i="3"/>
  <c r="D557" i="3"/>
  <c r="C557" i="3"/>
  <c r="A557" i="3"/>
  <c r="AS556" i="3"/>
  <c r="AT556" i="3" s="1"/>
  <c r="AB556" i="3"/>
  <c r="AC556" i="3" s="1"/>
  <c r="G556" i="3"/>
  <c r="F556" i="3"/>
  <c r="E556" i="3"/>
  <c r="D556" i="3"/>
  <c r="C556" i="3"/>
  <c r="A556" i="3"/>
  <c r="AS555" i="3"/>
  <c r="AT555" i="3" s="1"/>
  <c r="AB555" i="3"/>
  <c r="AC555" i="3" s="1"/>
  <c r="G555" i="3"/>
  <c r="F555" i="3"/>
  <c r="E555" i="3"/>
  <c r="D555" i="3"/>
  <c r="C555" i="3"/>
  <c r="A555" i="3"/>
  <c r="AS554" i="3"/>
  <c r="AT554" i="3" s="1"/>
  <c r="AB554" i="3"/>
  <c r="AC554" i="3" s="1"/>
  <c r="G554" i="3"/>
  <c r="F554" i="3"/>
  <c r="E554" i="3"/>
  <c r="D554" i="3"/>
  <c r="C554" i="3"/>
  <c r="A554" i="3" s="1"/>
  <c r="AS553" i="3"/>
  <c r="AT553" i="3" s="1"/>
  <c r="AB553" i="3"/>
  <c r="AC553" i="3" s="1"/>
  <c r="G553" i="3"/>
  <c r="F553" i="3"/>
  <c r="E553" i="3"/>
  <c r="D553" i="3"/>
  <c r="C553" i="3"/>
  <c r="A553" i="3"/>
  <c r="AS552" i="3"/>
  <c r="AT552" i="3" s="1"/>
  <c r="AB552" i="3"/>
  <c r="AC552" i="3" s="1"/>
  <c r="G552" i="3"/>
  <c r="F552" i="3"/>
  <c r="E552" i="3"/>
  <c r="D552" i="3"/>
  <c r="C552" i="3"/>
  <c r="A552" i="3"/>
  <c r="AS551" i="3"/>
  <c r="AT551" i="3" s="1"/>
  <c r="AB551" i="3"/>
  <c r="AC551" i="3" s="1"/>
  <c r="G551" i="3"/>
  <c r="F551" i="3"/>
  <c r="E551" i="3"/>
  <c r="D551" i="3"/>
  <c r="C551" i="3"/>
  <c r="A551" i="3" s="1"/>
  <c r="AS550" i="3"/>
  <c r="AT550" i="3" s="1"/>
  <c r="AB550" i="3"/>
  <c r="AC550" i="3" s="1"/>
  <c r="G550" i="3"/>
  <c r="F550" i="3"/>
  <c r="E550" i="3"/>
  <c r="D550" i="3"/>
  <c r="C550" i="3"/>
  <c r="A550" i="3"/>
  <c r="AS549" i="3"/>
  <c r="AT549" i="3" s="1"/>
  <c r="AB549" i="3"/>
  <c r="AC549" i="3" s="1"/>
  <c r="G549" i="3"/>
  <c r="F549" i="3"/>
  <c r="E549" i="3"/>
  <c r="D549" i="3"/>
  <c r="C549" i="3"/>
  <c r="A549" i="3"/>
  <c r="AS548" i="3"/>
  <c r="AT548" i="3" s="1"/>
  <c r="AB548" i="3"/>
  <c r="AC548" i="3" s="1"/>
  <c r="G548" i="3"/>
  <c r="F548" i="3"/>
  <c r="E548" i="3"/>
  <c r="D548" i="3"/>
  <c r="C548" i="3"/>
  <c r="A548" i="3" s="1"/>
  <c r="AS547" i="3"/>
  <c r="AT547" i="3" s="1"/>
  <c r="AB547" i="3"/>
  <c r="AC547" i="3" s="1"/>
  <c r="G547" i="3"/>
  <c r="F547" i="3"/>
  <c r="E547" i="3"/>
  <c r="D547" i="3"/>
  <c r="C547" i="3"/>
  <c r="A547" i="3"/>
  <c r="AS546" i="3"/>
  <c r="AT546" i="3" s="1"/>
  <c r="AB546" i="3"/>
  <c r="AC546" i="3" s="1"/>
  <c r="G546" i="3"/>
  <c r="F546" i="3"/>
  <c r="E546" i="3"/>
  <c r="D546" i="3"/>
  <c r="C546" i="3"/>
  <c r="A546" i="3" s="1"/>
  <c r="AS545" i="3"/>
  <c r="AT545" i="3" s="1"/>
  <c r="AB545" i="3"/>
  <c r="AC545" i="3" s="1"/>
  <c r="G545" i="3"/>
  <c r="F545" i="3"/>
  <c r="E545" i="3"/>
  <c r="D545" i="3"/>
  <c r="C545" i="3"/>
  <c r="A545" i="3" s="1"/>
  <c r="AS544" i="3"/>
  <c r="AT544" i="3" s="1"/>
  <c r="AB544" i="3"/>
  <c r="AC544" i="3" s="1"/>
  <c r="G544" i="3"/>
  <c r="F544" i="3"/>
  <c r="E544" i="3"/>
  <c r="D544" i="3"/>
  <c r="C544" i="3"/>
  <c r="A544" i="3" s="1"/>
  <c r="AS543" i="3"/>
  <c r="AT543" i="3" s="1"/>
  <c r="AB543" i="3"/>
  <c r="AC543" i="3" s="1"/>
  <c r="G543" i="3"/>
  <c r="F543" i="3"/>
  <c r="E543" i="3"/>
  <c r="D543" i="3"/>
  <c r="C543" i="3"/>
  <c r="A543" i="3"/>
  <c r="AS542" i="3"/>
  <c r="AT542" i="3" s="1"/>
  <c r="AB542" i="3"/>
  <c r="AC542" i="3" s="1"/>
  <c r="G542" i="3"/>
  <c r="F542" i="3"/>
  <c r="E542" i="3"/>
  <c r="D542" i="3"/>
  <c r="C542" i="3"/>
  <c r="A542" i="3"/>
  <c r="AS541" i="3"/>
  <c r="AT541" i="3" s="1"/>
  <c r="AB541" i="3"/>
  <c r="AC541" i="3" s="1"/>
  <c r="G541" i="3"/>
  <c r="F541" i="3"/>
  <c r="E541" i="3"/>
  <c r="D541" i="3"/>
  <c r="C541" i="3"/>
  <c r="A541" i="3"/>
  <c r="AS540" i="3"/>
  <c r="AT540" i="3" s="1"/>
  <c r="AB540" i="3"/>
  <c r="AC540" i="3" s="1"/>
  <c r="G540" i="3"/>
  <c r="F540" i="3"/>
  <c r="E540" i="3"/>
  <c r="D540" i="3"/>
  <c r="C540" i="3"/>
  <c r="A540" i="3" s="1"/>
  <c r="AS539" i="3"/>
  <c r="AT539" i="3" s="1"/>
  <c r="AB539" i="3"/>
  <c r="AC539" i="3" s="1"/>
  <c r="G539" i="3"/>
  <c r="F539" i="3"/>
  <c r="E539" i="3"/>
  <c r="D539" i="3"/>
  <c r="C539" i="3"/>
  <c r="A539" i="3" s="1"/>
  <c r="AS538" i="3"/>
  <c r="AT538" i="3" s="1"/>
  <c r="AB538" i="3"/>
  <c r="AC538" i="3" s="1"/>
  <c r="G538" i="3"/>
  <c r="F538" i="3"/>
  <c r="E538" i="3"/>
  <c r="D538" i="3"/>
  <c r="C538" i="3"/>
  <c r="A538" i="3"/>
  <c r="AS537" i="3"/>
  <c r="AT537" i="3" s="1"/>
  <c r="AB537" i="3"/>
  <c r="AC537" i="3" s="1"/>
  <c r="G537" i="3"/>
  <c r="F537" i="3"/>
  <c r="E537" i="3"/>
  <c r="D537" i="3"/>
  <c r="C537" i="3"/>
  <c r="A537" i="3"/>
  <c r="AS536" i="3"/>
  <c r="AT536" i="3" s="1"/>
  <c r="AB536" i="3"/>
  <c r="AC536" i="3" s="1"/>
  <c r="G536" i="3"/>
  <c r="F536" i="3"/>
  <c r="E536" i="3"/>
  <c r="D536" i="3"/>
  <c r="C536" i="3"/>
  <c r="A536" i="3"/>
  <c r="AS535" i="3"/>
  <c r="AT535" i="3" s="1"/>
  <c r="AB535" i="3"/>
  <c r="AC535" i="3" s="1"/>
  <c r="G535" i="3"/>
  <c r="F535" i="3"/>
  <c r="E535" i="3"/>
  <c r="D535" i="3"/>
  <c r="C535" i="3"/>
  <c r="A535" i="3"/>
  <c r="AS534" i="3"/>
  <c r="AT534" i="3" s="1"/>
  <c r="AB534" i="3"/>
  <c r="AC534" i="3" s="1"/>
  <c r="G534" i="3"/>
  <c r="F534" i="3"/>
  <c r="E534" i="3"/>
  <c r="D534" i="3"/>
  <c r="C534" i="3"/>
  <c r="A534" i="3"/>
  <c r="AS533" i="3"/>
  <c r="AT533" i="3" s="1"/>
  <c r="AB533" i="3"/>
  <c r="AC533" i="3" s="1"/>
  <c r="G533" i="3"/>
  <c r="F533" i="3"/>
  <c r="E533" i="3"/>
  <c r="D533" i="3"/>
  <c r="C533" i="3"/>
  <c r="A533" i="3"/>
  <c r="AS532" i="3"/>
  <c r="AT532" i="3" s="1"/>
  <c r="AB532" i="3"/>
  <c r="AC532" i="3" s="1"/>
  <c r="G532" i="3"/>
  <c r="F532" i="3"/>
  <c r="E532" i="3"/>
  <c r="D532" i="3"/>
  <c r="C532" i="3"/>
  <c r="A532" i="3"/>
  <c r="AS531" i="3"/>
  <c r="AT531" i="3" s="1"/>
  <c r="AB531" i="3"/>
  <c r="AC531" i="3" s="1"/>
  <c r="G531" i="3"/>
  <c r="F531" i="3"/>
  <c r="E531" i="3"/>
  <c r="D531" i="3"/>
  <c r="C531" i="3"/>
  <c r="A531" i="3"/>
  <c r="AS530" i="3"/>
  <c r="AT530" i="3" s="1"/>
  <c r="AB530" i="3"/>
  <c r="AC530" i="3" s="1"/>
  <c r="G530" i="3"/>
  <c r="F530" i="3"/>
  <c r="E530" i="3"/>
  <c r="D530" i="3"/>
  <c r="C530" i="3"/>
  <c r="A530" i="3"/>
  <c r="AS529" i="3"/>
  <c r="AT529" i="3" s="1"/>
  <c r="AB529" i="3"/>
  <c r="AC529" i="3" s="1"/>
  <c r="G529" i="3"/>
  <c r="F529" i="3"/>
  <c r="E529" i="3"/>
  <c r="D529" i="3"/>
  <c r="C529" i="3"/>
  <c r="A529" i="3" s="1"/>
  <c r="AS528" i="3"/>
  <c r="AT528" i="3" s="1"/>
  <c r="AB528" i="3"/>
  <c r="AC528" i="3" s="1"/>
  <c r="G528" i="3"/>
  <c r="F528" i="3"/>
  <c r="E528" i="3"/>
  <c r="D528" i="3"/>
  <c r="C528" i="3"/>
  <c r="A528" i="3"/>
  <c r="AS527" i="3"/>
  <c r="AT527" i="3" s="1"/>
  <c r="AB527" i="3"/>
  <c r="AC527" i="3" s="1"/>
  <c r="G527" i="3"/>
  <c r="F527" i="3"/>
  <c r="E527" i="3"/>
  <c r="D527" i="3"/>
  <c r="C527" i="3"/>
  <c r="A527" i="3" s="1"/>
  <c r="AS526" i="3"/>
  <c r="AT526" i="3" s="1"/>
  <c r="AB526" i="3"/>
  <c r="AC526" i="3" s="1"/>
  <c r="G526" i="3"/>
  <c r="F526" i="3"/>
  <c r="E526" i="3"/>
  <c r="D526" i="3"/>
  <c r="C526" i="3"/>
  <c r="A526" i="3"/>
  <c r="AS525" i="3"/>
  <c r="AT525" i="3" s="1"/>
  <c r="AB525" i="3"/>
  <c r="AC525" i="3" s="1"/>
  <c r="G525" i="3"/>
  <c r="F525" i="3"/>
  <c r="E525" i="3"/>
  <c r="D525" i="3"/>
  <c r="C525" i="3"/>
  <c r="A525" i="3"/>
  <c r="AS524" i="3"/>
  <c r="AT524" i="3" s="1"/>
  <c r="AB524" i="3"/>
  <c r="AC524" i="3" s="1"/>
  <c r="G524" i="3"/>
  <c r="F524" i="3"/>
  <c r="E524" i="3"/>
  <c r="D524" i="3"/>
  <c r="C524" i="3"/>
  <c r="A524" i="3"/>
  <c r="AS523" i="3"/>
  <c r="AT523" i="3" s="1"/>
  <c r="AB523" i="3"/>
  <c r="AC523" i="3" s="1"/>
  <c r="G523" i="3"/>
  <c r="F523" i="3"/>
  <c r="E523" i="3"/>
  <c r="D523" i="3"/>
  <c r="C523" i="3"/>
  <c r="A523" i="3"/>
  <c r="AS522" i="3"/>
  <c r="AT522" i="3" s="1"/>
  <c r="AB522" i="3"/>
  <c r="AC522" i="3" s="1"/>
  <c r="G522" i="3"/>
  <c r="F522" i="3"/>
  <c r="E522" i="3"/>
  <c r="D522" i="3"/>
  <c r="C522" i="3"/>
  <c r="A522" i="3"/>
  <c r="AS521" i="3"/>
  <c r="AT521" i="3" s="1"/>
  <c r="AB521" i="3"/>
  <c r="AC521" i="3" s="1"/>
  <c r="G521" i="3"/>
  <c r="F521" i="3"/>
  <c r="E521" i="3"/>
  <c r="D521" i="3"/>
  <c r="C521" i="3"/>
  <c r="A521" i="3"/>
  <c r="AS520" i="3"/>
  <c r="AT520" i="3" s="1"/>
  <c r="AB520" i="3"/>
  <c r="AC520" i="3" s="1"/>
  <c r="G520" i="3"/>
  <c r="F520" i="3"/>
  <c r="E520" i="3"/>
  <c r="D520" i="3"/>
  <c r="C520" i="3"/>
  <c r="A520" i="3"/>
  <c r="AS519" i="3"/>
  <c r="AT519" i="3" s="1"/>
  <c r="AB519" i="3"/>
  <c r="AC519" i="3" s="1"/>
  <c r="G519" i="3"/>
  <c r="F519" i="3"/>
  <c r="E519" i="3"/>
  <c r="D519" i="3"/>
  <c r="C519" i="3"/>
  <c r="A519" i="3"/>
  <c r="AS518" i="3"/>
  <c r="AT518" i="3" s="1"/>
  <c r="AB518" i="3"/>
  <c r="AC518" i="3" s="1"/>
  <c r="G518" i="3"/>
  <c r="F518" i="3"/>
  <c r="E518" i="3"/>
  <c r="D518" i="3"/>
  <c r="C518" i="3"/>
  <c r="A518" i="3"/>
  <c r="AS517" i="3"/>
  <c r="AT517" i="3" s="1"/>
  <c r="AB517" i="3"/>
  <c r="AC517" i="3" s="1"/>
  <c r="G517" i="3"/>
  <c r="F517" i="3"/>
  <c r="E517" i="3"/>
  <c r="D517" i="3"/>
  <c r="C517" i="3"/>
  <c r="A517" i="3" s="1"/>
  <c r="AS516" i="3"/>
  <c r="AT516" i="3" s="1"/>
  <c r="AB516" i="3"/>
  <c r="AC516" i="3" s="1"/>
  <c r="G516" i="3"/>
  <c r="F516" i="3"/>
  <c r="E516" i="3"/>
  <c r="D516" i="3"/>
  <c r="C516" i="3"/>
  <c r="A516" i="3" s="1"/>
  <c r="AS515" i="3"/>
  <c r="AT515" i="3" s="1"/>
  <c r="AB515" i="3"/>
  <c r="AC515" i="3" s="1"/>
  <c r="G515" i="3"/>
  <c r="F515" i="3"/>
  <c r="E515" i="3"/>
  <c r="D515" i="3"/>
  <c r="C515" i="3"/>
  <c r="A515" i="3"/>
  <c r="AS514" i="3"/>
  <c r="AT514" i="3" s="1"/>
  <c r="AB514" i="3"/>
  <c r="AC514" i="3" s="1"/>
  <c r="G514" i="3"/>
  <c r="F514" i="3"/>
  <c r="E514" i="3"/>
  <c r="D514" i="3"/>
  <c r="C514" i="3"/>
  <c r="A514" i="3" s="1"/>
  <c r="AS513" i="3"/>
  <c r="AT513" i="3" s="1"/>
  <c r="AB513" i="3"/>
  <c r="AC513" i="3" s="1"/>
  <c r="G513" i="3"/>
  <c r="F513" i="3"/>
  <c r="E513" i="3"/>
  <c r="D513" i="3"/>
  <c r="C513" i="3"/>
  <c r="A513" i="3"/>
  <c r="AS512" i="3"/>
  <c r="AT512" i="3" s="1"/>
  <c r="AB512" i="3"/>
  <c r="AC512" i="3" s="1"/>
  <c r="G512" i="3"/>
  <c r="F512" i="3"/>
  <c r="E512" i="3"/>
  <c r="D512" i="3"/>
  <c r="C512" i="3"/>
  <c r="A512" i="3"/>
  <c r="AS511" i="3"/>
  <c r="AT511" i="3" s="1"/>
  <c r="AB511" i="3"/>
  <c r="AC511" i="3" s="1"/>
  <c r="G511" i="3"/>
  <c r="F511" i="3"/>
  <c r="E511" i="3"/>
  <c r="D511" i="3"/>
  <c r="C511" i="3"/>
  <c r="A511" i="3"/>
  <c r="AS510" i="3"/>
  <c r="AT510" i="3" s="1"/>
  <c r="AB510" i="3"/>
  <c r="AC510" i="3" s="1"/>
  <c r="G510" i="3"/>
  <c r="F510" i="3"/>
  <c r="E510" i="3"/>
  <c r="D510" i="3"/>
  <c r="C510" i="3"/>
  <c r="A510" i="3" s="1"/>
  <c r="AS509" i="3"/>
  <c r="AT509" i="3" s="1"/>
  <c r="AB509" i="3"/>
  <c r="AC509" i="3" s="1"/>
  <c r="G509" i="3"/>
  <c r="F509" i="3"/>
  <c r="E509" i="3"/>
  <c r="D509" i="3"/>
  <c r="C509" i="3"/>
  <c r="A509" i="3"/>
  <c r="AS508" i="3"/>
  <c r="AT508" i="3" s="1"/>
  <c r="AB508" i="3"/>
  <c r="AC508" i="3" s="1"/>
  <c r="G508" i="3"/>
  <c r="F508" i="3"/>
  <c r="E508" i="3"/>
  <c r="D508" i="3"/>
  <c r="C508" i="3"/>
  <c r="A508" i="3"/>
  <c r="AS507" i="3"/>
  <c r="AT507" i="3" s="1"/>
  <c r="AB507" i="3"/>
  <c r="AC507" i="3" s="1"/>
  <c r="G507" i="3"/>
  <c r="F507" i="3"/>
  <c r="E507" i="3"/>
  <c r="D507" i="3"/>
  <c r="C507" i="3"/>
  <c r="A507" i="3"/>
  <c r="AS506" i="3"/>
  <c r="AT506" i="3" s="1"/>
  <c r="AB506" i="3"/>
  <c r="AC506" i="3" s="1"/>
  <c r="G506" i="3"/>
  <c r="F506" i="3"/>
  <c r="E506" i="3"/>
  <c r="D506" i="3"/>
  <c r="C506" i="3"/>
  <c r="A506" i="3"/>
  <c r="AS505" i="3"/>
  <c r="AT505" i="3" s="1"/>
  <c r="AB505" i="3"/>
  <c r="AC505" i="3" s="1"/>
  <c r="G505" i="3"/>
  <c r="F505" i="3"/>
  <c r="E505" i="3"/>
  <c r="D505" i="3"/>
  <c r="C505" i="3"/>
  <c r="A505" i="3"/>
  <c r="AS504" i="3"/>
  <c r="AT504" i="3" s="1"/>
  <c r="AB504" i="3"/>
  <c r="AC504" i="3" s="1"/>
  <c r="G504" i="3"/>
  <c r="F504" i="3"/>
  <c r="E504" i="3"/>
  <c r="D504" i="3"/>
  <c r="C504" i="3"/>
  <c r="A504" i="3"/>
  <c r="AS503" i="3"/>
  <c r="AT503" i="3" s="1"/>
  <c r="AB503" i="3"/>
  <c r="AC503" i="3" s="1"/>
  <c r="G503" i="3"/>
  <c r="F503" i="3"/>
  <c r="E503" i="3"/>
  <c r="D503" i="3"/>
  <c r="C503" i="3"/>
  <c r="A503" i="3"/>
  <c r="AS502" i="3"/>
  <c r="AT502" i="3" s="1"/>
  <c r="AB502" i="3"/>
  <c r="AC502" i="3" s="1"/>
  <c r="G502" i="3"/>
  <c r="F502" i="3"/>
  <c r="E502" i="3"/>
  <c r="D502" i="3"/>
  <c r="C502" i="3"/>
  <c r="A502" i="3"/>
  <c r="AS501" i="3"/>
  <c r="AT501" i="3" s="1"/>
  <c r="AB501" i="3"/>
  <c r="AC501" i="3" s="1"/>
  <c r="G501" i="3"/>
  <c r="F501" i="3"/>
  <c r="E501" i="3"/>
  <c r="D501" i="3"/>
  <c r="C501" i="3"/>
  <c r="A501" i="3"/>
  <c r="AS500" i="3"/>
  <c r="AT500" i="3" s="1"/>
  <c r="AB500" i="3"/>
  <c r="AC500" i="3" s="1"/>
  <c r="G500" i="3"/>
  <c r="F500" i="3"/>
  <c r="E500" i="3"/>
  <c r="D500" i="3"/>
  <c r="C500" i="3"/>
  <c r="A500" i="3"/>
  <c r="AS499" i="3"/>
  <c r="AT499" i="3" s="1"/>
  <c r="AB499" i="3"/>
  <c r="AC499" i="3" s="1"/>
  <c r="G499" i="3"/>
  <c r="F499" i="3"/>
  <c r="E499" i="3"/>
  <c r="D499" i="3"/>
  <c r="C499" i="3"/>
  <c r="A499" i="3"/>
  <c r="AS498" i="3"/>
  <c r="AT498" i="3" s="1"/>
  <c r="AB498" i="3"/>
  <c r="AC498" i="3" s="1"/>
  <c r="G498" i="3"/>
  <c r="F498" i="3"/>
  <c r="E498" i="3"/>
  <c r="D498" i="3"/>
  <c r="C498" i="3"/>
  <c r="A498" i="3"/>
  <c r="AS497" i="3"/>
  <c r="AT497" i="3" s="1"/>
  <c r="AB497" i="3"/>
  <c r="AC497" i="3" s="1"/>
  <c r="G497" i="3"/>
  <c r="F497" i="3"/>
  <c r="E497" i="3"/>
  <c r="D497" i="3"/>
  <c r="C497" i="3"/>
  <c r="A497" i="3" s="1"/>
  <c r="AS496" i="3"/>
  <c r="AT496" i="3" s="1"/>
  <c r="AB496" i="3"/>
  <c r="AC496" i="3" s="1"/>
  <c r="G496" i="3"/>
  <c r="F496" i="3"/>
  <c r="E496" i="3"/>
  <c r="D496" i="3"/>
  <c r="C496" i="3"/>
  <c r="A496" i="3"/>
  <c r="AS495" i="3"/>
  <c r="AT495" i="3" s="1"/>
  <c r="AB495" i="3"/>
  <c r="AC495" i="3" s="1"/>
  <c r="G495" i="3"/>
  <c r="F495" i="3"/>
  <c r="E495" i="3"/>
  <c r="D495" i="3"/>
  <c r="C495" i="3"/>
  <c r="A495" i="3"/>
  <c r="AS494" i="3"/>
  <c r="AT494" i="3" s="1"/>
  <c r="AB494" i="3"/>
  <c r="AC494" i="3" s="1"/>
  <c r="G494" i="3"/>
  <c r="F494" i="3"/>
  <c r="E494" i="3"/>
  <c r="D494" i="3"/>
  <c r="C494" i="3"/>
  <c r="A494" i="3"/>
  <c r="AS493" i="3"/>
  <c r="AT493" i="3" s="1"/>
  <c r="AB493" i="3"/>
  <c r="AC493" i="3" s="1"/>
  <c r="G493" i="3"/>
  <c r="F493" i="3"/>
  <c r="E493" i="3"/>
  <c r="D493" i="3"/>
  <c r="C493" i="3"/>
  <c r="A493" i="3"/>
  <c r="AS492" i="3"/>
  <c r="AT492" i="3" s="1"/>
  <c r="AB492" i="3"/>
  <c r="AC492" i="3" s="1"/>
  <c r="G492" i="3"/>
  <c r="F492" i="3"/>
  <c r="E492" i="3"/>
  <c r="D492" i="3"/>
  <c r="C492" i="3"/>
  <c r="A492" i="3" s="1"/>
  <c r="AS491" i="3"/>
  <c r="AT491" i="3" s="1"/>
  <c r="AB491" i="3"/>
  <c r="AC491" i="3" s="1"/>
  <c r="G491" i="3"/>
  <c r="F491" i="3"/>
  <c r="E491" i="3"/>
  <c r="D491" i="3"/>
  <c r="C491" i="3"/>
  <c r="A491" i="3"/>
  <c r="AS490" i="3"/>
  <c r="AT490" i="3" s="1"/>
  <c r="AB490" i="3"/>
  <c r="AC490" i="3" s="1"/>
  <c r="G490" i="3"/>
  <c r="F490" i="3"/>
  <c r="E490" i="3"/>
  <c r="D490" i="3"/>
  <c r="C490" i="3"/>
  <c r="A490" i="3"/>
  <c r="AS489" i="3"/>
  <c r="AT489" i="3" s="1"/>
  <c r="AB489" i="3"/>
  <c r="AC489" i="3" s="1"/>
  <c r="G489" i="3"/>
  <c r="F489" i="3"/>
  <c r="E489" i="3"/>
  <c r="D489" i="3"/>
  <c r="C489" i="3"/>
  <c r="A489" i="3"/>
  <c r="AS488" i="3"/>
  <c r="AT488" i="3" s="1"/>
  <c r="AB488" i="3"/>
  <c r="AC488" i="3" s="1"/>
  <c r="G488" i="3"/>
  <c r="F488" i="3"/>
  <c r="E488" i="3"/>
  <c r="D488" i="3"/>
  <c r="C488" i="3"/>
  <c r="A488" i="3" s="1"/>
  <c r="AS487" i="3"/>
  <c r="AT487" i="3" s="1"/>
  <c r="AB487" i="3"/>
  <c r="AC487" i="3" s="1"/>
  <c r="G487" i="3"/>
  <c r="F487" i="3"/>
  <c r="E487" i="3"/>
  <c r="D487" i="3"/>
  <c r="C487" i="3"/>
  <c r="A487" i="3"/>
  <c r="AS486" i="3"/>
  <c r="AT486" i="3" s="1"/>
  <c r="AB486" i="3"/>
  <c r="AC486" i="3" s="1"/>
  <c r="G486" i="3"/>
  <c r="F486" i="3"/>
  <c r="E486" i="3"/>
  <c r="D486" i="3"/>
  <c r="C486" i="3"/>
  <c r="A486" i="3"/>
  <c r="AS485" i="3"/>
  <c r="AT485" i="3" s="1"/>
  <c r="AB485" i="3"/>
  <c r="AC485" i="3" s="1"/>
  <c r="G485" i="3"/>
  <c r="F485" i="3"/>
  <c r="E485" i="3"/>
  <c r="D485" i="3"/>
  <c r="C485" i="3"/>
  <c r="A485" i="3"/>
  <c r="AS484" i="3"/>
  <c r="AT484" i="3" s="1"/>
  <c r="AB484" i="3"/>
  <c r="AC484" i="3" s="1"/>
  <c r="G484" i="3"/>
  <c r="F484" i="3"/>
  <c r="E484" i="3"/>
  <c r="D484" i="3"/>
  <c r="C484" i="3"/>
  <c r="A484" i="3" s="1"/>
  <c r="AS483" i="3"/>
  <c r="AT483" i="3" s="1"/>
  <c r="AB483" i="3"/>
  <c r="AC483" i="3" s="1"/>
  <c r="G483" i="3"/>
  <c r="F483" i="3"/>
  <c r="E483" i="3"/>
  <c r="D483" i="3"/>
  <c r="C483" i="3"/>
  <c r="A483" i="3"/>
  <c r="AS482" i="3"/>
  <c r="AT482" i="3" s="1"/>
  <c r="AB482" i="3"/>
  <c r="AC482" i="3" s="1"/>
  <c r="G482" i="3"/>
  <c r="F482" i="3"/>
  <c r="E482" i="3"/>
  <c r="D482" i="3"/>
  <c r="C482" i="3"/>
  <c r="A482" i="3"/>
  <c r="AS481" i="3"/>
  <c r="AT481" i="3" s="1"/>
  <c r="AB481" i="3"/>
  <c r="AC481" i="3" s="1"/>
  <c r="G481" i="3"/>
  <c r="F481" i="3"/>
  <c r="E481" i="3"/>
  <c r="D481" i="3"/>
  <c r="C481" i="3"/>
  <c r="A481" i="3"/>
  <c r="AS480" i="3"/>
  <c r="AT480" i="3" s="1"/>
  <c r="AB480" i="3"/>
  <c r="AC480" i="3" s="1"/>
  <c r="G480" i="3"/>
  <c r="F480" i="3"/>
  <c r="E480" i="3"/>
  <c r="D480" i="3"/>
  <c r="C480" i="3"/>
  <c r="A480" i="3"/>
  <c r="AS479" i="3"/>
  <c r="AT479" i="3" s="1"/>
  <c r="AB479" i="3"/>
  <c r="AC479" i="3" s="1"/>
  <c r="G479" i="3"/>
  <c r="F479" i="3"/>
  <c r="E479" i="3"/>
  <c r="D479" i="3"/>
  <c r="C479" i="3"/>
  <c r="A479" i="3"/>
  <c r="AS478" i="3"/>
  <c r="AT478" i="3" s="1"/>
  <c r="AB478" i="3"/>
  <c r="AC478" i="3" s="1"/>
  <c r="G478" i="3"/>
  <c r="F478" i="3"/>
  <c r="E478" i="3"/>
  <c r="D478" i="3"/>
  <c r="C478" i="3"/>
  <c r="A478" i="3"/>
  <c r="AS477" i="3"/>
  <c r="AT477" i="3" s="1"/>
  <c r="AB477" i="3"/>
  <c r="AC477" i="3" s="1"/>
  <c r="G477" i="3"/>
  <c r="F477" i="3"/>
  <c r="E477" i="3"/>
  <c r="D477" i="3"/>
  <c r="C477" i="3"/>
  <c r="A477" i="3"/>
  <c r="AS476" i="3"/>
  <c r="AT476" i="3" s="1"/>
  <c r="AB476" i="3"/>
  <c r="AC476" i="3" s="1"/>
  <c r="G476" i="3"/>
  <c r="F476" i="3"/>
  <c r="E476" i="3"/>
  <c r="D476" i="3"/>
  <c r="C476" i="3"/>
  <c r="A476" i="3"/>
  <c r="AS475" i="3"/>
  <c r="AT475" i="3" s="1"/>
  <c r="AB475" i="3"/>
  <c r="AC475" i="3" s="1"/>
  <c r="G475" i="3"/>
  <c r="F475" i="3"/>
  <c r="E475" i="3"/>
  <c r="D475" i="3"/>
  <c r="C475" i="3"/>
  <c r="A475" i="3"/>
  <c r="AS474" i="3"/>
  <c r="AT474" i="3" s="1"/>
  <c r="AB474" i="3"/>
  <c r="AC474" i="3" s="1"/>
  <c r="G474" i="3"/>
  <c r="F474" i="3"/>
  <c r="E474" i="3"/>
  <c r="D474" i="3"/>
  <c r="C474" i="3"/>
  <c r="A474" i="3"/>
  <c r="AS473" i="3"/>
  <c r="AT473" i="3" s="1"/>
  <c r="AB473" i="3"/>
  <c r="AC473" i="3" s="1"/>
  <c r="G473" i="3"/>
  <c r="F473" i="3"/>
  <c r="E473" i="3"/>
  <c r="D473" i="3"/>
  <c r="C473" i="3"/>
  <c r="A473" i="3"/>
  <c r="AS472" i="3"/>
  <c r="AT472" i="3" s="1"/>
  <c r="AB472" i="3"/>
  <c r="AC472" i="3" s="1"/>
  <c r="G472" i="3"/>
  <c r="F472" i="3"/>
  <c r="E472" i="3"/>
  <c r="D472" i="3"/>
  <c r="C472" i="3"/>
  <c r="A472" i="3"/>
  <c r="AS471" i="3"/>
  <c r="AT471" i="3" s="1"/>
  <c r="AB471" i="3"/>
  <c r="AC471" i="3" s="1"/>
  <c r="G471" i="3"/>
  <c r="F471" i="3"/>
  <c r="E471" i="3"/>
  <c r="D471" i="3"/>
  <c r="C471" i="3"/>
  <c r="A471" i="3"/>
  <c r="AS470" i="3"/>
  <c r="AT470" i="3" s="1"/>
  <c r="AB470" i="3"/>
  <c r="AC470" i="3" s="1"/>
  <c r="G470" i="3"/>
  <c r="F470" i="3"/>
  <c r="E470" i="3"/>
  <c r="D470" i="3"/>
  <c r="C470" i="3"/>
  <c r="A470" i="3"/>
  <c r="AS469" i="3"/>
  <c r="AT469" i="3" s="1"/>
  <c r="AB469" i="3"/>
  <c r="AC469" i="3" s="1"/>
  <c r="G469" i="3"/>
  <c r="F469" i="3"/>
  <c r="E469" i="3"/>
  <c r="D469" i="3"/>
  <c r="C469" i="3"/>
  <c r="A469" i="3"/>
  <c r="AS468" i="3"/>
  <c r="AT468" i="3" s="1"/>
  <c r="AB468" i="3"/>
  <c r="AC468" i="3" s="1"/>
  <c r="G468" i="3"/>
  <c r="F468" i="3"/>
  <c r="E468" i="3"/>
  <c r="D468" i="3"/>
  <c r="C468" i="3"/>
  <c r="A468" i="3"/>
  <c r="AS467" i="3"/>
  <c r="AT467" i="3" s="1"/>
  <c r="AB467" i="3"/>
  <c r="AC467" i="3" s="1"/>
  <c r="G467" i="3"/>
  <c r="F467" i="3"/>
  <c r="E467" i="3"/>
  <c r="D467" i="3"/>
  <c r="C467" i="3"/>
  <c r="A467" i="3"/>
  <c r="AS466" i="3"/>
  <c r="AT466" i="3" s="1"/>
  <c r="AB466" i="3"/>
  <c r="AC466" i="3" s="1"/>
  <c r="G466" i="3"/>
  <c r="F466" i="3"/>
  <c r="E466" i="3"/>
  <c r="D466" i="3"/>
  <c r="C466" i="3"/>
  <c r="A466" i="3"/>
  <c r="AS465" i="3"/>
  <c r="AT465" i="3" s="1"/>
  <c r="AB465" i="3"/>
  <c r="AC465" i="3" s="1"/>
  <c r="G465" i="3"/>
  <c r="F465" i="3"/>
  <c r="E465" i="3"/>
  <c r="D465" i="3"/>
  <c r="C465" i="3"/>
  <c r="A465" i="3"/>
  <c r="AS464" i="3"/>
  <c r="AT464" i="3" s="1"/>
  <c r="AB464" i="3"/>
  <c r="AC464" i="3" s="1"/>
  <c r="G464" i="3"/>
  <c r="F464" i="3"/>
  <c r="E464" i="3"/>
  <c r="D464" i="3"/>
  <c r="C464" i="3"/>
  <c r="A464" i="3"/>
  <c r="AS463" i="3"/>
  <c r="AT463" i="3" s="1"/>
  <c r="AB463" i="3"/>
  <c r="AC463" i="3" s="1"/>
  <c r="G463" i="3"/>
  <c r="F463" i="3"/>
  <c r="E463" i="3"/>
  <c r="D463" i="3"/>
  <c r="C463" i="3"/>
  <c r="A463" i="3"/>
  <c r="AS462" i="3"/>
  <c r="AT462" i="3" s="1"/>
  <c r="AB462" i="3"/>
  <c r="AC462" i="3" s="1"/>
  <c r="G462" i="3"/>
  <c r="F462" i="3"/>
  <c r="E462" i="3"/>
  <c r="D462" i="3"/>
  <c r="C462" i="3"/>
  <c r="A462" i="3"/>
  <c r="AS461" i="3"/>
  <c r="AT461" i="3" s="1"/>
  <c r="AB461" i="3"/>
  <c r="AC461" i="3" s="1"/>
  <c r="G461" i="3"/>
  <c r="F461" i="3"/>
  <c r="E461" i="3"/>
  <c r="D461" i="3"/>
  <c r="C461" i="3"/>
  <c r="A461" i="3"/>
  <c r="AS460" i="3"/>
  <c r="AT460" i="3" s="1"/>
  <c r="AB460" i="3"/>
  <c r="AC460" i="3" s="1"/>
  <c r="G460" i="3"/>
  <c r="F460" i="3"/>
  <c r="E460" i="3"/>
  <c r="D460" i="3"/>
  <c r="C460" i="3"/>
  <c r="A460" i="3" s="1"/>
  <c r="AS459" i="3"/>
  <c r="AT459" i="3" s="1"/>
  <c r="AB459" i="3"/>
  <c r="AC459" i="3" s="1"/>
  <c r="G459" i="3"/>
  <c r="F459" i="3"/>
  <c r="E459" i="3"/>
  <c r="D459" i="3"/>
  <c r="C459" i="3"/>
  <c r="A459" i="3" s="1"/>
  <c r="AS458" i="3"/>
  <c r="AT458" i="3" s="1"/>
  <c r="AB458" i="3"/>
  <c r="AC458" i="3" s="1"/>
  <c r="G458" i="3"/>
  <c r="F458" i="3"/>
  <c r="E458" i="3"/>
  <c r="D458" i="3"/>
  <c r="C458" i="3"/>
  <c r="A458" i="3"/>
  <c r="AS457" i="3"/>
  <c r="AT457" i="3" s="1"/>
  <c r="AB457" i="3"/>
  <c r="AC457" i="3" s="1"/>
  <c r="G457" i="3"/>
  <c r="F457" i="3"/>
  <c r="E457" i="3"/>
  <c r="D457" i="3"/>
  <c r="C457" i="3"/>
  <c r="A457" i="3"/>
  <c r="AS456" i="3"/>
  <c r="AT456" i="3" s="1"/>
  <c r="AB456" i="3"/>
  <c r="AC456" i="3" s="1"/>
  <c r="G456" i="3"/>
  <c r="F456" i="3"/>
  <c r="E456" i="3"/>
  <c r="D456" i="3"/>
  <c r="C456" i="3"/>
  <c r="A456" i="3"/>
  <c r="AS455" i="3"/>
  <c r="AT455" i="3" s="1"/>
  <c r="AB455" i="3"/>
  <c r="AC455" i="3" s="1"/>
  <c r="G455" i="3"/>
  <c r="F455" i="3"/>
  <c r="E455" i="3"/>
  <c r="D455" i="3"/>
  <c r="C455" i="3"/>
  <c r="A455" i="3"/>
  <c r="AS454" i="3"/>
  <c r="AT454" i="3" s="1"/>
  <c r="AB454" i="3"/>
  <c r="AC454" i="3" s="1"/>
  <c r="G454" i="3"/>
  <c r="F454" i="3"/>
  <c r="E454" i="3"/>
  <c r="D454" i="3"/>
  <c r="C454" i="3"/>
  <c r="A454" i="3"/>
  <c r="AS453" i="3"/>
  <c r="AT453" i="3" s="1"/>
  <c r="AB453" i="3"/>
  <c r="AC453" i="3" s="1"/>
  <c r="G453" i="3"/>
  <c r="F453" i="3"/>
  <c r="E453" i="3"/>
  <c r="D453" i="3"/>
  <c r="C453" i="3"/>
  <c r="A453" i="3" s="1"/>
  <c r="AS452" i="3"/>
  <c r="AT452" i="3" s="1"/>
  <c r="AB452" i="3"/>
  <c r="AC452" i="3" s="1"/>
  <c r="G452" i="3"/>
  <c r="F452" i="3"/>
  <c r="E452" i="3"/>
  <c r="D452" i="3"/>
  <c r="C452" i="3"/>
  <c r="A452" i="3"/>
  <c r="AS451" i="3"/>
  <c r="AT451" i="3" s="1"/>
  <c r="AB451" i="3"/>
  <c r="AC451" i="3" s="1"/>
  <c r="G451" i="3"/>
  <c r="F451" i="3"/>
  <c r="E451" i="3"/>
  <c r="D451" i="3"/>
  <c r="C451" i="3"/>
  <c r="A451" i="3"/>
  <c r="AS450" i="3"/>
  <c r="AT450" i="3" s="1"/>
  <c r="AB450" i="3"/>
  <c r="AC450" i="3" s="1"/>
  <c r="G450" i="3"/>
  <c r="F450" i="3"/>
  <c r="E450" i="3"/>
  <c r="D450" i="3"/>
  <c r="C450" i="3"/>
  <c r="A450" i="3"/>
  <c r="AS449" i="3"/>
  <c r="AT449" i="3" s="1"/>
  <c r="AB449" i="3"/>
  <c r="AC449" i="3" s="1"/>
  <c r="G449" i="3"/>
  <c r="F449" i="3"/>
  <c r="E449" i="3"/>
  <c r="D449" i="3"/>
  <c r="C449" i="3"/>
  <c r="A449" i="3"/>
  <c r="AS448" i="3"/>
  <c r="AT448" i="3" s="1"/>
  <c r="AB448" i="3"/>
  <c r="AC448" i="3" s="1"/>
  <c r="G448" i="3"/>
  <c r="F448" i="3"/>
  <c r="E448" i="3"/>
  <c r="D448" i="3"/>
  <c r="C448" i="3"/>
  <c r="A448" i="3"/>
  <c r="AS447" i="3"/>
  <c r="AT447" i="3" s="1"/>
  <c r="AB447" i="3"/>
  <c r="AC447" i="3" s="1"/>
  <c r="G447" i="3"/>
  <c r="F447" i="3"/>
  <c r="E447" i="3"/>
  <c r="D447" i="3"/>
  <c r="C447" i="3"/>
  <c r="A447" i="3"/>
  <c r="AS446" i="3"/>
  <c r="AT446" i="3" s="1"/>
  <c r="AB446" i="3"/>
  <c r="AC446" i="3" s="1"/>
  <c r="G446" i="3"/>
  <c r="F446" i="3"/>
  <c r="E446" i="3"/>
  <c r="D446" i="3"/>
  <c r="C446" i="3"/>
  <c r="A446" i="3"/>
  <c r="AS445" i="3"/>
  <c r="AT445" i="3" s="1"/>
  <c r="AB445" i="3"/>
  <c r="AC445" i="3" s="1"/>
  <c r="G445" i="3"/>
  <c r="F445" i="3"/>
  <c r="E445" i="3"/>
  <c r="D445" i="3"/>
  <c r="C445" i="3"/>
  <c r="A445" i="3" s="1"/>
  <c r="AS444" i="3"/>
  <c r="AT444" i="3" s="1"/>
  <c r="AB444" i="3"/>
  <c r="AC444" i="3" s="1"/>
  <c r="G444" i="3"/>
  <c r="F444" i="3"/>
  <c r="E444" i="3"/>
  <c r="D444" i="3"/>
  <c r="C444" i="3"/>
  <c r="A444" i="3"/>
  <c r="AS443" i="3"/>
  <c r="AT443" i="3" s="1"/>
  <c r="AB443" i="3"/>
  <c r="AC443" i="3" s="1"/>
  <c r="G443" i="3"/>
  <c r="F443" i="3"/>
  <c r="E443" i="3"/>
  <c r="D443" i="3"/>
  <c r="C443" i="3"/>
  <c r="A443" i="3"/>
  <c r="AS442" i="3"/>
  <c r="AT442" i="3" s="1"/>
  <c r="AB442" i="3"/>
  <c r="AC442" i="3" s="1"/>
  <c r="G442" i="3"/>
  <c r="F442" i="3"/>
  <c r="E442" i="3"/>
  <c r="D442" i="3"/>
  <c r="C442" i="3"/>
  <c r="A442" i="3"/>
  <c r="AS441" i="3"/>
  <c r="AT441" i="3" s="1"/>
  <c r="AB441" i="3"/>
  <c r="AC441" i="3" s="1"/>
  <c r="G441" i="3"/>
  <c r="F441" i="3"/>
  <c r="E441" i="3"/>
  <c r="D441" i="3"/>
  <c r="C441" i="3"/>
  <c r="A441" i="3"/>
  <c r="AS440" i="3"/>
  <c r="AT440" i="3" s="1"/>
  <c r="AB440" i="3"/>
  <c r="AC440" i="3" s="1"/>
  <c r="G440" i="3"/>
  <c r="F440" i="3"/>
  <c r="E440" i="3"/>
  <c r="D440" i="3"/>
  <c r="C440" i="3"/>
  <c r="A440" i="3"/>
  <c r="AS439" i="3"/>
  <c r="AT439" i="3" s="1"/>
  <c r="AB439" i="3"/>
  <c r="AC439" i="3" s="1"/>
  <c r="G439" i="3"/>
  <c r="F439" i="3"/>
  <c r="E439" i="3"/>
  <c r="D439" i="3"/>
  <c r="C439" i="3"/>
  <c r="A439" i="3"/>
  <c r="AS438" i="3"/>
  <c r="AT438" i="3" s="1"/>
  <c r="AB438" i="3"/>
  <c r="AC438" i="3" s="1"/>
  <c r="G438" i="3"/>
  <c r="F438" i="3"/>
  <c r="E438" i="3"/>
  <c r="D438" i="3"/>
  <c r="C438" i="3"/>
  <c r="A438" i="3"/>
  <c r="AS437" i="3"/>
  <c r="AT437" i="3" s="1"/>
  <c r="AB437" i="3"/>
  <c r="AC437" i="3" s="1"/>
  <c r="G437" i="3"/>
  <c r="F437" i="3"/>
  <c r="E437" i="3"/>
  <c r="D437" i="3"/>
  <c r="C437" i="3"/>
  <c r="A437" i="3"/>
  <c r="AS436" i="3"/>
  <c r="AT436" i="3" s="1"/>
  <c r="AB436" i="3"/>
  <c r="AC436" i="3" s="1"/>
  <c r="G436" i="3"/>
  <c r="F436" i="3"/>
  <c r="E436" i="3"/>
  <c r="D436" i="3"/>
  <c r="C436" i="3"/>
  <c r="A436" i="3"/>
  <c r="AS435" i="3"/>
  <c r="AT435" i="3" s="1"/>
  <c r="AB435" i="3"/>
  <c r="AC435" i="3" s="1"/>
  <c r="G435" i="3"/>
  <c r="F435" i="3"/>
  <c r="E435" i="3"/>
  <c r="D435" i="3"/>
  <c r="C435" i="3"/>
  <c r="A435" i="3"/>
  <c r="AS434" i="3"/>
  <c r="AT434" i="3" s="1"/>
  <c r="AB434" i="3"/>
  <c r="AC434" i="3" s="1"/>
  <c r="G434" i="3"/>
  <c r="F434" i="3"/>
  <c r="E434" i="3"/>
  <c r="D434" i="3"/>
  <c r="C434" i="3"/>
  <c r="A434" i="3"/>
  <c r="AS433" i="3"/>
  <c r="AT433" i="3" s="1"/>
  <c r="AB433" i="3"/>
  <c r="AC433" i="3" s="1"/>
  <c r="G433" i="3"/>
  <c r="F433" i="3"/>
  <c r="E433" i="3"/>
  <c r="D433" i="3"/>
  <c r="C433" i="3"/>
  <c r="A433" i="3"/>
  <c r="AS432" i="3"/>
  <c r="AT432" i="3" s="1"/>
  <c r="AB432" i="3"/>
  <c r="AC432" i="3" s="1"/>
  <c r="G432" i="3"/>
  <c r="F432" i="3"/>
  <c r="E432" i="3"/>
  <c r="D432" i="3"/>
  <c r="C432" i="3"/>
  <c r="A432" i="3"/>
  <c r="AS431" i="3"/>
  <c r="AT431" i="3" s="1"/>
  <c r="AB431" i="3"/>
  <c r="AC431" i="3" s="1"/>
  <c r="G431" i="3"/>
  <c r="F431" i="3"/>
  <c r="E431" i="3"/>
  <c r="D431" i="3"/>
  <c r="C431" i="3"/>
  <c r="A431" i="3"/>
  <c r="AS430" i="3"/>
  <c r="AT430" i="3" s="1"/>
  <c r="AB430" i="3"/>
  <c r="AC430" i="3" s="1"/>
  <c r="G430" i="3"/>
  <c r="F430" i="3"/>
  <c r="E430" i="3"/>
  <c r="D430" i="3"/>
  <c r="C430" i="3"/>
  <c r="A430" i="3"/>
  <c r="AS429" i="3"/>
  <c r="AT429" i="3" s="1"/>
  <c r="AB429" i="3"/>
  <c r="AC429" i="3" s="1"/>
  <c r="G429" i="3"/>
  <c r="F429" i="3"/>
  <c r="E429" i="3"/>
  <c r="D429" i="3"/>
  <c r="C429" i="3"/>
  <c r="A429" i="3"/>
  <c r="AS428" i="3"/>
  <c r="AT428" i="3" s="1"/>
  <c r="AB428" i="3"/>
  <c r="AC428" i="3" s="1"/>
  <c r="G428" i="3"/>
  <c r="F428" i="3"/>
  <c r="E428" i="3"/>
  <c r="D428" i="3"/>
  <c r="C428" i="3"/>
  <c r="A428" i="3"/>
  <c r="AS427" i="3"/>
  <c r="AT427" i="3" s="1"/>
  <c r="AB427" i="3"/>
  <c r="AC427" i="3" s="1"/>
  <c r="G427" i="3"/>
  <c r="F427" i="3"/>
  <c r="E427" i="3"/>
  <c r="D427" i="3"/>
  <c r="C427" i="3"/>
  <c r="A427" i="3"/>
  <c r="AS426" i="3"/>
  <c r="AT426" i="3" s="1"/>
  <c r="AB426" i="3"/>
  <c r="AC426" i="3" s="1"/>
  <c r="G426" i="3"/>
  <c r="F426" i="3"/>
  <c r="E426" i="3"/>
  <c r="D426" i="3"/>
  <c r="C426" i="3"/>
  <c r="A426" i="3"/>
  <c r="AS425" i="3"/>
  <c r="AT425" i="3" s="1"/>
  <c r="AB425" i="3"/>
  <c r="AC425" i="3" s="1"/>
  <c r="G425" i="3"/>
  <c r="F425" i="3"/>
  <c r="E425" i="3"/>
  <c r="D425" i="3"/>
  <c r="C425" i="3"/>
  <c r="A425" i="3" s="1"/>
  <c r="AS424" i="3"/>
  <c r="AT424" i="3" s="1"/>
  <c r="AB424" i="3"/>
  <c r="AC424" i="3" s="1"/>
  <c r="G424" i="3"/>
  <c r="F424" i="3"/>
  <c r="E424" i="3"/>
  <c r="D424" i="3"/>
  <c r="C424" i="3"/>
  <c r="A424" i="3"/>
  <c r="AS423" i="3"/>
  <c r="AT423" i="3" s="1"/>
  <c r="AB423" i="3"/>
  <c r="AC423" i="3" s="1"/>
  <c r="G423" i="3"/>
  <c r="F423" i="3"/>
  <c r="E423" i="3"/>
  <c r="D423" i="3"/>
  <c r="C423" i="3"/>
  <c r="A423" i="3"/>
  <c r="AS422" i="3"/>
  <c r="AT422" i="3" s="1"/>
  <c r="AB422" i="3"/>
  <c r="AC422" i="3" s="1"/>
  <c r="G422" i="3"/>
  <c r="F422" i="3"/>
  <c r="E422" i="3"/>
  <c r="D422" i="3"/>
  <c r="C422" i="3"/>
  <c r="A422" i="3"/>
  <c r="AS421" i="3"/>
  <c r="AT421" i="3" s="1"/>
  <c r="AB421" i="3"/>
  <c r="AC421" i="3" s="1"/>
  <c r="G421" i="3"/>
  <c r="F421" i="3"/>
  <c r="E421" i="3"/>
  <c r="D421" i="3"/>
  <c r="C421" i="3"/>
  <c r="A421" i="3"/>
  <c r="AS420" i="3"/>
  <c r="AT420" i="3" s="1"/>
  <c r="AB420" i="3"/>
  <c r="AC420" i="3" s="1"/>
  <c r="G420" i="3"/>
  <c r="F420" i="3"/>
  <c r="E420" i="3"/>
  <c r="D420" i="3"/>
  <c r="C420" i="3"/>
  <c r="A420" i="3"/>
  <c r="AS419" i="3"/>
  <c r="AT419" i="3" s="1"/>
  <c r="AB419" i="3"/>
  <c r="AC419" i="3" s="1"/>
  <c r="G419" i="3"/>
  <c r="F419" i="3"/>
  <c r="E419" i="3"/>
  <c r="D419" i="3"/>
  <c r="C419" i="3"/>
  <c r="A419" i="3"/>
  <c r="AS418" i="3"/>
  <c r="AT418" i="3" s="1"/>
  <c r="AB418" i="3"/>
  <c r="AC418" i="3" s="1"/>
  <c r="G418" i="3"/>
  <c r="F418" i="3"/>
  <c r="E418" i="3"/>
  <c r="D418" i="3"/>
  <c r="C418" i="3"/>
  <c r="A418" i="3" s="1"/>
  <c r="AS417" i="3"/>
  <c r="AT417" i="3" s="1"/>
  <c r="AB417" i="3"/>
  <c r="AC417" i="3" s="1"/>
  <c r="G417" i="3"/>
  <c r="F417" i="3"/>
  <c r="E417" i="3"/>
  <c r="D417" i="3"/>
  <c r="C417" i="3"/>
  <c r="A417" i="3"/>
  <c r="AS416" i="3"/>
  <c r="AT416" i="3" s="1"/>
  <c r="AB416" i="3"/>
  <c r="AC416" i="3" s="1"/>
  <c r="G416" i="3"/>
  <c r="F416" i="3"/>
  <c r="E416" i="3"/>
  <c r="D416" i="3"/>
  <c r="C416" i="3"/>
  <c r="A416" i="3"/>
  <c r="AS415" i="3"/>
  <c r="AT415" i="3" s="1"/>
  <c r="AB415" i="3"/>
  <c r="AC415" i="3" s="1"/>
  <c r="G415" i="3"/>
  <c r="F415" i="3"/>
  <c r="E415" i="3"/>
  <c r="D415" i="3"/>
  <c r="C415" i="3"/>
  <c r="A415" i="3"/>
  <c r="AS414" i="3"/>
  <c r="AT414" i="3" s="1"/>
  <c r="AB414" i="3"/>
  <c r="AC414" i="3" s="1"/>
  <c r="G414" i="3"/>
  <c r="F414" i="3"/>
  <c r="E414" i="3"/>
  <c r="D414" i="3"/>
  <c r="C414" i="3"/>
  <c r="A414" i="3"/>
  <c r="AS413" i="3"/>
  <c r="AT413" i="3" s="1"/>
  <c r="AB413" i="3"/>
  <c r="AC413" i="3" s="1"/>
  <c r="G413" i="3"/>
  <c r="F413" i="3"/>
  <c r="E413" i="3"/>
  <c r="D413" i="3"/>
  <c r="C413" i="3"/>
  <c r="A413" i="3"/>
  <c r="AS412" i="3"/>
  <c r="AT412" i="3" s="1"/>
  <c r="AB412" i="3"/>
  <c r="AC412" i="3" s="1"/>
  <c r="G412" i="3"/>
  <c r="F412" i="3"/>
  <c r="E412" i="3"/>
  <c r="D412" i="3"/>
  <c r="C412" i="3"/>
  <c r="A412" i="3" s="1"/>
  <c r="AS411" i="3"/>
  <c r="AT411" i="3" s="1"/>
  <c r="AB411" i="3"/>
  <c r="AC411" i="3" s="1"/>
  <c r="G411" i="3"/>
  <c r="F411" i="3"/>
  <c r="E411" i="3"/>
  <c r="D411" i="3"/>
  <c r="C411" i="3"/>
  <c r="A411" i="3"/>
  <c r="AS410" i="3"/>
  <c r="AT410" i="3" s="1"/>
  <c r="AB410" i="3"/>
  <c r="AC410" i="3" s="1"/>
  <c r="G410" i="3"/>
  <c r="F410" i="3"/>
  <c r="E410" i="3"/>
  <c r="D410" i="3"/>
  <c r="C410" i="3"/>
  <c r="A410" i="3"/>
  <c r="AS409" i="3"/>
  <c r="AT409" i="3" s="1"/>
  <c r="AB409" i="3"/>
  <c r="AC409" i="3" s="1"/>
  <c r="G409" i="3"/>
  <c r="F409" i="3"/>
  <c r="E409" i="3"/>
  <c r="D409" i="3"/>
  <c r="C409" i="3"/>
  <c r="A409" i="3" s="1"/>
  <c r="AS408" i="3"/>
  <c r="AT408" i="3" s="1"/>
  <c r="AB408" i="3"/>
  <c r="AC408" i="3" s="1"/>
  <c r="G408" i="3"/>
  <c r="F408" i="3"/>
  <c r="E408" i="3"/>
  <c r="D408" i="3"/>
  <c r="C408" i="3"/>
  <c r="A408" i="3"/>
  <c r="AS407" i="3"/>
  <c r="AT407" i="3" s="1"/>
  <c r="AB407" i="3"/>
  <c r="AC407" i="3" s="1"/>
  <c r="G407" i="3"/>
  <c r="F407" i="3"/>
  <c r="E407" i="3"/>
  <c r="D407" i="3"/>
  <c r="C407" i="3"/>
  <c r="A407" i="3" s="1"/>
  <c r="AS406" i="3"/>
  <c r="AT406" i="3" s="1"/>
  <c r="AB406" i="3"/>
  <c r="AC406" i="3" s="1"/>
  <c r="G406" i="3"/>
  <c r="F406" i="3"/>
  <c r="E406" i="3"/>
  <c r="D406" i="3"/>
  <c r="C406" i="3"/>
  <c r="A406" i="3"/>
  <c r="AS405" i="3"/>
  <c r="AT405" i="3" s="1"/>
  <c r="AB405" i="3"/>
  <c r="AC405" i="3" s="1"/>
  <c r="G405" i="3"/>
  <c r="F405" i="3"/>
  <c r="E405" i="3"/>
  <c r="D405" i="3"/>
  <c r="C405" i="3"/>
  <c r="A405" i="3"/>
  <c r="AS404" i="3"/>
  <c r="AT404" i="3" s="1"/>
  <c r="AB404" i="3"/>
  <c r="AC404" i="3" s="1"/>
  <c r="G404" i="3"/>
  <c r="F404" i="3"/>
  <c r="E404" i="3"/>
  <c r="D404" i="3"/>
  <c r="C404" i="3"/>
  <c r="A404" i="3" s="1"/>
  <c r="AS403" i="3"/>
  <c r="AT403" i="3" s="1"/>
  <c r="AB403" i="3"/>
  <c r="AC403" i="3" s="1"/>
  <c r="G403" i="3"/>
  <c r="F403" i="3"/>
  <c r="E403" i="3"/>
  <c r="D403" i="3"/>
  <c r="C403" i="3"/>
  <c r="A403" i="3"/>
  <c r="AS402" i="3"/>
  <c r="AT402" i="3" s="1"/>
  <c r="AB402" i="3"/>
  <c r="AC402" i="3" s="1"/>
  <c r="G402" i="3"/>
  <c r="F402" i="3"/>
  <c r="E402" i="3"/>
  <c r="D402" i="3"/>
  <c r="C402" i="3"/>
  <c r="A402" i="3"/>
  <c r="AS401" i="3"/>
  <c r="AT401" i="3" s="1"/>
  <c r="AB401" i="3"/>
  <c r="AC401" i="3" s="1"/>
  <c r="G401" i="3"/>
  <c r="F401" i="3"/>
  <c r="E401" i="3"/>
  <c r="D401" i="3"/>
  <c r="C401" i="3"/>
  <c r="A401" i="3"/>
  <c r="AS400" i="3"/>
  <c r="AT400" i="3" s="1"/>
  <c r="AB400" i="3"/>
  <c r="AC400" i="3" s="1"/>
  <c r="G400" i="3"/>
  <c r="F400" i="3"/>
  <c r="E400" i="3"/>
  <c r="D400" i="3"/>
  <c r="C400" i="3"/>
  <c r="A400" i="3"/>
  <c r="AS399" i="3"/>
  <c r="AT399" i="3" s="1"/>
  <c r="AB399" i="3"/>
  <c r="AC399" i="3" s="1"/>
  <c r="G399" i="3"/>
  <c r="F399" i="3"/>
  <c r="E399" i="3"/>
  <c r="D399" i="3"/>
  <c r="C399" i="3"/>
  <c r="A399" i="3"/>
  <c r="AS398" i="3"/>
  <c r="AT398" i="3" s="1"/>
  <c r="AB398" i="3"/>
  <c r="AC398" i="3" s="1"/>
  <c r="G398" i="3"/>
  <c r="F398" i="3"/>
  <c r="E398" i="3"/>
  <c r="D398" i="3"/>
  <c r="C398" i="3"/>
  <c r="A398" i="3"/>
  <c r="AS397" i="3"/>
  <c r="AT397" i="3" s="1"/>
  <c r="AB397" i="3"/>
  <c r="AC397" i="3" s="1"/>
  <c r="G397" i="3"/>
  <c r="F397" i="3"/>
  <c r="E397" i="3"/>
  <c r="D397" i="3"/>
  <c r="C397" i="3"/>
  <c r="A397" i="3"/>
  <c r="AS396" i="3"/>
  <c r="AT396" i="3" s="1"/>
  <c r="AB396" i="3"/>
  <c r="AC396" i="3" s="1"/>
  <c r="G396" i="3"/>
  <c r="F396" i="3"/>
  <c r="E396" i="3"/>
  <c r="D396" i="3"/>
  <c r="C396" i="3"/>
  <c r="A396" i="3" s="1"/>
  <c r="AS395" i="3"/>
  <c r="AT395" i="3" s="1"/>
  <c r="AB395" i="3"/>
  <c r="AC395" i="3" s="1"/>
  <c r="G395" i="3"/>
  <c r="F395" i="3"/>
  <c r="E395" i="3"/>
  <c r="D395" i="3"/>
  <c r="C395" i="3"/>
  <c r="A395" i="3"/>
  <c r="AS394" i="3"/>
  <c r="AT394" i="3" s="1"/>
  <c r="AB394" i="3"/>
  <c r="AC394" i="3" s="1"/>
  <c r="G394" i="3"/>
  <c r="F394" i="3"/>
  <c r="E394" i="3"/>
  <c r="D394" i="3"/>
  <c r="C394" i="3"/>
  <c r="A394" i="3"/>
  <c r="AS393" i="3"/>
  <c r="AT393" i="3" s="1"/>
  <c r="AB393" i="3"/>
  <c r="AC393" i="3" s="1"/>
  <c r="G393" i="3"/>
  <c r="F393" i="3"/>
  <c r="E393" i="3"/>
  <c r="D393" i="3"/>
  <c r="C393" i="3"/>
  <c r="A393" i="3"/>
  <c r="AS392" i="3"/>
  <c r="AT392" i="3" s="1"/>
  <c r="AB392" i="3"/>
  <c r="AC392" i="3" s="1"/>
  <c r="G392" i="3"/>
  <c r="F392" i="3"/>
  <c r="E392" i="3"/>
  <c r="D392" i="3"/>
  <c r="C392" i="3"/>
  <c r="A392" i="3"/>
  <c r="AS391" i="3"/>
  <c r="AT391" i="3" s="1"/>
  <c r="AB391" i="3"/>
  <c r="AC391" i="3" s="1"/>
  <c r="G391" i="3"/>
  <c r="F391" i="3"/>
  <c r="E391" i="3"/>
  <c r="D391" i="3"/>
  <c r="C391" i="3"/>
  <c r="A391" i="3"/>
  <c r="AS390" i="3"/>
  <c r="AT390" i="3" s="1"/>
  <c r="AB390" i="3"/>
  <c r="AC390" i="3" s="1"/>
  <c r="G390" i="3"/>
  <c r="F390" i="3"/>
  <c r="E390" i="3"/>
  <c r="D390" i="3"/>
  <c r="C390" i="3"/>
  <c r="A390" i="3" s="1"/>
  <c r="AS389" i="3"/>
  <c r="AT389" i="3" s="1"/>
  <c r="AB389" i="3"/>
  <c r="AC389" i="3" s="1"/>
  <c r="G389" i="3"/>
  <c r="F389" i="3"/>
  <c r="E389" i="3"/>
  <c r="D389" i="3"/>
  <c r="C389" i="3"/>
  <c r="A389" i="3"/>
  <c r="AS388" i="3"/>
  <c r="AT388" i="3" s="1"/>
  <c r="AB388" i="3"/>
  <c r="AC388" i="3" s="1"/>
  <c r="G388" i="3"/>
  <c r="F388" i="3"/>
  <c r="E388" i="3"/>
  <c r="D388" i="3"/>
  <c r="C388" i="3"/>
  <c r="A388" i="3"/>
  <c r="AS387" i="3"/>
  <c r="AT387" i="3" s="1"/>
  <c r="AB387" i="3"/>
  <c r="AC387" i="3" s="1"/>
  <c r="G387" i="3"/>
  <c r="F387" i="3"/>
  <c r="E387" i="3"/>
  <c r="D387" i="3"/>
  <c r="C387" i="3"/>
  <c r="A387" i="3"/>
  <c r="AS386" i="3"/>
  <c r="AT386" i="3" s="1"/>
  <c r="AB386" i="3"/>
  <c r="AC386" i="3" s="1"/>
  <c r="G386" i="3"/>
  <c r="F386" i="3"/>
  <c r="E386" i="3"/>
  <c r="D386" i="3"/>
  <c r="C386" i="3"/>
  <c r="A386" i="3"/>
  <c r="AS385" i="3"/>
  <c r="AT385" i="3" s="1"/>
  <c r="AB385" i="3"/>
  <c r="AC385" i="3" s="1"/>
  <c r="G385" i="3"/>
  <c r="F385" i="3"/>
  <c r="E385" i="3"/>
  <c r="D385" i="3"/>
  <c r="C385" i="3"/>
  <c r="A385" i="3"/>
  <c r="AS384" i="3"/>
  <c r="AT384" i="3" s="1"/>
  <c r="AB384" i="3"/>
  <c r="AC384" i="3" s="1"/>
  <c r="G384" i="3"/>
  <c r="F384" i="3"/>
  <c r="E384" i="3"/>
  <c r="D384" i="3"/>
  <c r="C384" i="3"/>
  <c r="A384" i="3"/>
  <c r="AS383" i="3"/>
  <c r="AT383" i="3" s="1"/>
  <c r="AB383" i="3"/>
  <c r="AC383" i="3" s="1"/>
  <c r="G383" i="3"/>
  <c r="F383" i="3"/>
  <c r="E383" i="3"/>
  <c r="D383" i="3"/>
  <c r="C383" i="3"/>
  <c r="A383" i="3"/>
  <c r="AS382" i="3"/>
  <c r="AT382" i="3" s="1"/>
  <c r="AB382" i="3"/>
  <c r="AC382" i="3" s="1"/>
  <c r="G382" i="3"/>
  <c r="F382" i="3"/>
  <c r="E382" i="3"/>
  <c r="D382" i="3"/>
  <c r="C382" i="3"/>
  <c r="A382" i="3"/>
  <c r="AS381" i="3"/>
  <c r="AT381" i="3" s="1"/>
  <c r="AB381" i="3"/>
  <c r="AC381" i="3" s="1"/>
  <c r="G381" i="3"/>
  <c r="F381" i="3"/>
  <c r="E381" i="3"/>
  <c r="D381" i="3"/>
  <c r="C381" i="3"/>
  <c r="A381" i="3"/>
  <c r="AS380" i="3"/>
  <c r="AT380" i="3" s="1"/>
  <c r="AB380" i="3"/>
  <c r="AC380" i="3" s="1"/>
  <c r="G380" i="3"/>
  <c r="F380" i="3"/>
  <c r="E380" i="3"/>
  <c r="D380" i="3"/>
  <c r="C380" i="3"/>
  <c r="A380" i="3"/>
  <c r="AS379" i="3"/>
  <c r="AT379" i="3" s="1"/>
  <c r="AB379" i="3"/>
  <c r="AC379" i="3" s="1"/>
  <c r="G379" i="3"/>
  <c r="F379" i="3"/>
  <c r="E379" i="3"/>
  <c r="D379" i="3"/>
  <c r="C379" i="3"/>
  <c r="A379" i="3"/>
  <c r="AS378" i="3"/>
  <c r="AT378" i="3" s="1"/>
  <c r="AB378" i="3"/>
  <c r="AC378" i="3" s="1"/>
  <c r="G378" i="3"/>
  <c r="F378" i="3"/>
  <c r="E378" i="3"/>
  <c r="D378" i="3"/>
  <c r="C378" i="3"/>
  <c r="A378" i="3"/>
  <c r="AS377" i="3"/>
  <c r="AT377" i="3" s="1"/>
  <c r="AB377" i="3"/>
  <c r="AC377" i="3" s="1"/>
  <c r="G377" i="3"/>
  <c r="F377" i="3"/>
  <c r="E377" i="3"/>
  <c r="D377" i="3"/>
  <c r="C377" i="3"/>
  <c r="A377" i="3"/>
  <c r="AS376" i="3"/>
  <c r="AT376" i="3" s="1"/>
  <c r="AB376" i="3"/>
  <c r="AC376" i="3" s="1"/>
  <c r="G376" i="3"/>
  <c r="F376" i="3"/>
  <c r="E376" i="3"/>
  <c r="D376" i="3"/>
  <c r="C376" i="3"/>
  <c r="A376" i="3"/>
  <c r="AS375" i="3"/>
  <c r="AT375" i="3" s="1"/>
  <c r="AB375" i="3"/>
  <c r="AC375" i="3" s="1"/>
  <c r="G375" i="3"/>
  <c r="F375" i="3"/>
  <c r="E375" i="3"/>
  <c r="D375" i="3"/>
  <c r="C375" i="3"/>
  <c r="A375" i="3"/>
  <c r="AS374" i="3"/>
  <c r="AT374" i="3" s="1"/>
  <c r="AB374" i="3"/>
  <c r="AC374" i="3" s="1"/>
  <c r="G374" i="3"/>
  <c r="F374" i="3"/>
  <c r="E374" i="3"/>
  <c r="D374" i="3"/>
  <c r="C374" i="3"/>
  <c r="A374" i="3"/>
  <c r="AS373" i="3"/>
  <c r="AT373" i="3" s="1"/>
  <c r="AB373" i="3"/>
  <c r="AC373" i="3" s="1"/>
  <c r="G373" i="3"/>
  <c r="F373" i="3"/>
  <c r="E373" i="3"/>
  <c r="D373" i="3"/>
  <c r="C373" i="3"/>
  <c r="A373" i="3"/>
  <c r="AS372" i="3"/>
  <c r="AT372" i="3" s="1"/>
  <c r="AB372" i="3"/>
  <c r="AC372" i="3" s="1"/>
  <c r="G372" i="3"/>
  <c r="F372" i="3"/>
  <c r="E372" i="3"/>
  <c r="D372" i="3"/>
  <c r="C372" i="3"/>
  <c r="A372" i="3" s="1"/>
  <c r="AS371" i="3"/>
  <c r="AT371" i="3" s="1"/>
  <c r="AB371" i="3"/>
  <c r="AC371" i="3" s="1"/>
  <c r="G371" i="3"/>
  <c r="F371" i="3"/>
  <c r="E371" i="3"/>
  <c r="D371" i="3"/>
  <c r="C371" i="3"/>
  <c r="A371" i="3"/>
  <c r="AS370" i="3"/>
  <c r="AT370" i="3" s="1"/>
  <c r="AB370" i="3"/>
  <c r="AC370" i="3" s="1"/>
  <c r="G370" i="3"/>
  <c r="F370" i="3"/>
  <c r="E370" i="3"/>
  <c r="D370" i="3"/>
  <c r="C370" i="3"/>
  <c r="A370" i="3"/>
  <c r="AS369" i="3"/>
  <c r="AT369" i="3" s="1"/>
  <c r="AB369" i="3"/>
  <c r="AC369" i="3" s="1"/>
  <c r="G369" i="3"/>
  <c r="F369" i="3"/>
  <c r="E369" i="3"/>
  <c r="D369" i="3"/>
  <c r="C369" i="3"/>
  <c r="A369" i="3"/>
  <c r="AS368" i="3"/>
  <c r="AT368" i="3" s="1"/>
  <c r="AB368" i="3"/>
  <c r="AC368" i="3" s="1"/>
  <c r="G368" i="3"/>
  <c r="F368" i="3"/>
  <c r="E368" i="3"/>
  <c r="D368" i="3"/>
  <c r="C368" i="3"/>
  <c r="A368" i="3"/>
  <c r="AS367" i="3"/>
  <c r="AT367" i="3" s="1"/>
  <c r="AB367" i="3"/>
  <c r="AC367" i="3" s="1"/>
  <c r="G367" i="3"/>
  <c r="F367" i="3"/>
  <c r="E367" i="3"/>
  <c r="D367" i="3"/>
  <c r="C367" i="3"/>
  <c r="A367" i="3"/>
  <c r="AS366" i="3"/>
  <c r="AT366" i="3" s="1"/>
  <c r="AB366" i="3"/>
  <c r="AC366" i="3" s="1"/>
  <c r="G366" i="3"/>
  <c r="F366" i="3"/>
  <c r="E366" i="3"/>
  <c r="D366" i="3"/>
  <c r="C366" i="3"/>
  <c r="A366" i="3"/>
  <c r="AS365" i="3"/>
  <c r="AT365" i="3" s="1"/>
  <c r="AB365" i="3"/>
  <c r="AC365" i="3" s="1"/>
  <c r="G365" i="3"/>
  <c r="F365" i="3"/>
  <c r="E365" i="3"/>
  <c r="D365" i="3"/>
  <c r="C365" i="3"/>
  <c r="A365" i="3"/>
  <c r="AS364" i="3"/>
  <c r="AT364" i="3" s="1"/>
  <c r="AB364" i="3"/>
  <c r="AC364" i="3" s="1"/>
  <c r="G364" i="3"/>
  <c r="F364" i="3"/>
  <c r="E364" i="3"/>
  <c r="D364" i="3"/>
  <c r="C364" i="3"/>
  <c r="A364" i="3" s="1"/>
  <c r="AS363" i="3"/>
  <c r="AT363" i="3" s="1"/>
  <c r="AB363" i="3"/>
  <c r="AC363" i="3" s="1"/>
  <c r="G363" i="3"/>
  <c r="F363" i="3"/>
  <c r="E363" i="3"/>
  <c r="D363" i="3"/>
  <c r="C363" i="3"/>
  <c r="A363" i="3"/>
  <c r="AS362" i="3"/>
  <c r="AT362" i="3" s="1"/>
  <c r="AB362" i="3"/>
  <c r="AC362" i="3" s="1"/>
  <c r="G362" i="3"/>
  <c r="F362" i="3"/>
  <c r="E362" i="3"/>
  <c r="D362" i="3"/>
  <c r="C362" i="3"/>
  <c r="A362" i="3"/>
  <c r="AS361" i="3"/>
  <c r="AT361" i="3" s="1"/>
  <c r="AB361" i="3"/>
  <c r="AC361" i="3" s="1"/>
  <c r="G361" i="3"/>
  <c r="F361" i="3"/>
  <c r="E361" i="3"/>
  <c r="D361" i="3"/>
  <c r="C361" i="3"/>
  <c r="A361" i="3"/>
  <c r="AS360" i="3"/>
  <c r="AT360" i="3" s="1"/>
  <c r="AB360" i="3"/>
  <c r="AC360" i="3" s="1"/>
  <c r="G360" i="3"/>
  <c r="F360" i="3"/>
  <c r="E360" i="3"/>
  <c r="D360" i="3"/>
  <c r="C360" i="3"/>
  <c r="A360" i="3"/>
  <c r="AS359" i="3"/>
  <c r="AT359" i="3" s="1"/>
  <c r="AB359" i="3"/>
  <c r="AC359" i="3" s="1"/>
  <c r="G359" i="3"/>
  <c r="F359" i="3"/>
  <c r="E359" i="3"/>
  <c r="D359" i="3"/>
  <c r="C359" i="3"/>
  <c r="A359" i="3"/>
  <c r="AS358" i="3"/>
  <c r="AT358" i="3" s="1"/>
  <c r="AB358" i="3"/>
  <c r="AC358" i="3" s="1"/>
  <c r="G358" i="3"/>
  <c r="F358" i="3"/>
  <c r="E358" i="3"/>
  <c r="D358" i="3"/>
  <c r="C358" i="3"/>
  <c r="A358" i="3"/>
  <c r="AS357" i="3"/>
  <c r="AT357" i="3" s="1"/>
  <c r="AB357" i="3"/>
  <c r="AC357" i="3" s="1"/>
  <c r="G357" i="3"/>
  <c r="F357" i="3"/>
  <c r="E357" i="3"/>
  <c r="D357" i="3"/>
  <c r="C357" i="3"/>
  <c r="A357" i="3"/>
  <c r="AS356" i="3"/>
  <c r="AT356" i="3" s="1"/>
  <c r="AB356" i="3"/>
  <c r="AC356" i="3" s="1"/>
  <c r="G356" i="3"/>
  <c r="F356" i="3"/>
  <c r="E356" i="3"/>
  <c r="D356" i="3"/>
  <c r="C356" i="3"/>
  <c r="A356" i="3"/>
  <c r="AS355" i="3"/>
  <c r="AT355" i="3" s="1"/>
  <c r="AB355" i="3"/>
  <c r="AC355" i="3" s="1"/>
  <c r="G355" i="3"/>
  <c r="F355" i="3"/>
  <c r="E355" i="3"/>
  <c r="D355" i="3"/>
  <c r="C355" i="3"/>
  <c r="A355" i="3"/>
  <c r="AS354" i="3"/>
  <c r="AT354" i="3" s="1"/>
  <c r="AB354" i="3"/>
  <c r="AC354" i="3" s="1"/>
  <c r="G354" i="3"/>
  <c r="F354" i="3"/>
  <c r="E354" i="3"/>
  <c r="D354" i="3"/>
  <c r="C354" i="3"/>
  <c r="A354" i="3"/>
  <c r="AS353" i="3"/>
  <c r="AT353" i="3" s="1"/>
  <c r="AB353" i="3"/>
  <c r="AC353" i="3" s="1"/>
  <c r="G353" i="3"/>
  <c r="F353" i="3"/>
  <c r="E353" i="3"/>
  <c r="D353" i="3"/>
  <c r="C353" i="3"/>
  <c r="A353" i="3"/>
  <c r="AS352" i="3"/>
  <c r="AT352" i="3" s="1"/>
  <c r="AB352" i="3"/>
  <c r="AC352" i="3" s="1"/>
  <c r="G352" i="3"/>
  <c r="F352" i="3"/>
  <c r="E352" i="3"/>
  <c r="D352" i="3"/>
  <c r="C352" i="3"/>
  <c r="A352" i="3"/>
  <c r="AS351" i="3"/>
  <c r="AT351" i="3" s="1"/>
  <c r="AB351" i="3"/>
  <c r="AC351" i="3" s="1"/>
  <c r="G351" i="3"/>
  <c r="F351" i="3"/>
  <c r="E351" i="3"/>
  <c r="D351" i="3"/>
  <c r="C351" i="3"/>
  <c r="A351" i="3"/>
  <c r="AS350" i="3"/>
  <c r="AT350" i="3" s="1"/>
  <c r="AB350" i="3"/>
  <c r="AC350" i="3" s="1"/>
  <c r="G350" i="3"/>
  <c r="F350" i="3"/>
  <c r="E350" i="3"/>
  <c r="D350" i="3"/>
  <c r="C350" i="3"/>
  <c r="A350" i="3"/>
  <c r="AS349" i="3"/>
  <c r="AT349" i="3" s="1"/>
  <c r="AB349" i="3"/>
  <c r="AC349" i="3" s="1"/>
  <c r="G349" i="3"/>
  <c r="F349" i="3"/>
  <c r="E349" i="3"/>
  <c r="D349" i="3"/>
  <c r="C349" i="3"/>
  <c r="A349" i="3"/>
  <c r="AS348" i="3"/>
  <c r="AT348" i="3" s="1"/>
  <c r="AB348" i="3"/>
  <c r="AC348" i="3" s="1"/>
  <c r="G348" i="3"/>
  <c r="F348" i="3"/>
  <c r="E348" i="3"/>
  <c r="D348" i="3"/>
  <c r="C348" i="3"/>
  <c r="A348" i="3"/>
  <c r="AS347" i="3"/>
  <c r="AT347" i="3" s="1"/>
  <c r="AB347" i="3"/>
  <c r="AC347" i="3" s="1"/>
  <c r="G347" i="3"/>
  <c r="F347" i="3"/>
  <c r="E347" i="3"/>
  <c r="D347" i="3"/>
  <c r="C347" i="3"/>
  <c r="A347" i="3"/>
  <c r="AS346" i="3"/>
  <c r="AT346" i="3" s="1"/>
  <c r="AB346" i="3"/>
  <c r="AC346" i="3" s="1"/>
  <c r="G346" i="3"/>
  <c r="F346" i="3"/>
  <c r="E346" i="3"/>
  <c r="D346" i="3"/>
  <c r="C346" i="3"/>
  <c r="A346" i="3"/>
  <c r="AS345" i="3"/>
  <c r="AT345" i="3" s="1"/>
  <c r="AB345" i="3"/>
  <c r="AC345" i="3" s="1"/>
  <c r="G345" i="3"/>
  <c r="F345" i="3"/>
  <c r="E345" i="3"/>
  <c r="D345" i="3"/>
  <c r="C345" i="3"/>
  <c r="A345" i="3"/>
  <c r="AS344" i="3"/>
  <c r="AT344" i="3" s="1"/>
  <c r="AB344" i="3"/>
  <c r="AC344" i="3" s="1"/>
  <c r="G344" i="3"/>
  <c r="F344" i="3"/>
  <c r="E344" i="3"/>
  <c r="D344" i="3"/>
  <c r="C344" i="3"/>
  <c r="A344" i="3"/>
  <c r="AS343" i="3"/>
  <c r="AT343" i="3" s="1"/>
  <c r="AB343" i="3"/>
  <c r="AC343" i="3" s="1"/>
  <c r="G343" i="3"/>
  <c r="F343" i="3"/>
  <c r="E343" i="3"/>
  <c r="D343" i="3"/>
  <c r="C343" i="3"/>
  <c r="A343" i="3"/>
  <c r="AS342" i="3"/>
  <c r="AT342" i="3" s="1"/>
  <c r="AB342" i="3"/>
  <c r="AC342" i="3" s="1"/>
  <c r="G342" i="3"/>
  <c r="F342" i="3"/>
  <c r="E342" i="3"/>
  <c r="D342" i="3"/>
  <c r="C342" i="3"/>
  <c r="A342" i="3"/>
  <c r="AS341" i="3"/>
  <c r="AT341" i="3" s="1"/>
  <c r="AB341" i="3"/>
  <c r="AC341" i="3" s="1"/>
  <c r="G341" i="3"/>
  <c r="F341" i="3"/>
  <c r="E341" i="3"/>
  <c r="D341" i="3"/>
  <c r="C341" i="3"/>
  <c r="A341" i="3"/>
  <c r="AS340" i="3"/>
  <c r="AT340" i="3" s="1"/>
  <c r="AB340" i="3"/>
  <c r="AC340" i="3" s="1"/>
  <c r="G340" i="3"/>
  <c r="F340" i="3"/>
  <c r="E340" i="3"/>
  <c r="D340" i="3"/>
  <c r="C340" i="3"/>
  <c r="A340" i="3"/>
  <c r="AS339" i="3"/>
  <c r="AT339" i="3" s="1"/>
  <c r="AB339" i="3"/>
  <c r="AC339" i="3" s="1"/>
  <c r="G339" i="3"/>
  <c r="F339" i="3"/>
  <c r="E339" i="3"/>
  <c r="D339" i="3"/>
  <c r="C339" i="3"/>
  <c r="A339" i="3"/>
  <c r="AS338" i="3"/>
  <c r="AT338" i="3" s="1"/>
  <c r="AB338" i="3"/>
  <c r="AC338" i="3" s="1"/>
  <c r="G338" i="3"/>
  <c r="F338" i="3"/>
  <c r="E338" i="3"/>
  <c r="D338" i="3"/>
  <c r="C338" i="3"/>
  <c r="A338" i="3"/>
  <c r="AS337" i="3"/>
  <c r="AT337" i="3" s="1"/>
  <c r="AB337" i="3"/>
  <c r="AC337" i="3" s="1"/>
  <c r="G337" i="3"/>
  <c r="F337" i="3"/>
  <c r="E337" i="3"/>
  <c r="D337" i="3"/>
  <c r="C337" i="3"/>
  <c r="A337" i="3" s="1"/>
  <c r="AS336" i="3"/>
  <c r="AT336" i="3" s="1"/>
  <c r="AB336" i="3"/>
  <c r="AC336" i="3" s="1"/>
  <c r="G336" i="3"/>
  <c r="F336" i="3"/>
  <c r="E336" i="3"/>
  <c r="D336" i="3"/>
  <c r="C336" i="3"/>
  <c r="A336" i="3"/>
  <c r="AS335" i="3"/>
  <c r="AT335" i="3" s="1"/>
  <c r="AB335" i="3"/>
  <c r="AC335" i="3" s="1"/>
  <c r="G335" i="3"/>
  <c r="F335" i="3"/>
  <c r="E335" i="3"/>
  <c r="D335" i="3"/>
  <c r="C335" i="3"/>
  <c r="A335" i="3" s="1"/>
  <c r="AS334" i="3"/>
  <c r="AT334" i="3" s="1"/>
  <c r="AB334" i="3"/>
  <c r="AC334" i="3" s="1"/>
  <c r="G334" i="3"/>
  <c r="F334" i="3"/>
  <c r="E334" i="3"/>
  <c r="D334" i="3"/>
  <c r="C334" i="3"/>
  <c r="A334" i="3"/>
  <c r="AS333" i="3"/>
  <c r="AT333" i="3" s="1"/>
  <c r="AB333" i="3"/>
  <c r="AC333" i="3" s="1"/>
  <c r="G333" i="3"/>
  <c r="F333" i="3"/>
  <c r="E333" i="3"/>
  <c r="D333" i="3"/>
  <c r="C333" i="3"/>
  <c r="A333" i="3"/>
  <c r="AS332" i="3"/>
  <c r="AT332" i="3" s="1"/>
  <c r="AB332" i="3"/>
  <c r="AC332" i="3" s="1"/>
  <c r="G332" i="3"/>
  <c r="F332" i="3"/>
  <c r="E332" i="3"/>
  <c r="D332" i="3"/>
  <c r="C332" i="3"/>
  <c r="A332" i="3"/>
  <c r="AS331" i="3"/>
  <c r="AT331" i="3" s="1"/>
  <c r="AB331" i="3"/>
  <c r="AC331" i="3" s="1"/>
  <c r="G331" i="3"/>
  <c r="F331" i="3"/>
  <c r="E331" i="3"/>
  <c r="D331" i="3"/>
  <c r="C331" i="3"/>
  <c r="A331" i="3"/>
  <c r="AS330" i="3"/>
  <c r="AT330" i="3" s="1"/>
  <c r="AB330" i="3"/>
  <c r="AC330" i="3" s="1"/>
  <c r="G330" i="3"/>
  <c r="F330" i="3"/>
  <c r="E330" i="3"/>
  <c r="D330" i="3"/>
  <c r="C330" i="3"/>
  <c r="A330" i="3"/>
  <c r="AS329" i="3"/>
  <c r="AT329" i="3" s="1"/>
  <c r="AB329" i="3"/>
  <c r="AC329" i="3" s="1"/>
  <c r="G329" i="3"/>
  <c r="F329" i="3"/>
  <c r="E329" i="3"/>
  <c r="D329" i="3"/>
  <c r="C329" i="3"/>
  <c r="A329" i="3"/>
  <c r="AS328" i="3"/>
  <c r="AT328" i="3" s="1"/>
  <c r="AB328" i="3"/>
  <c r="AC328" i="3" s="1"/>
  <c r="G328" i="3"/>
  <c r="F328" i="3"/>
  <c r="E328" i="3"/>
  <c r="D328" i="3"/>
  <c r="C328" i="3"/>
  <c r="A328" i="3" s="1"/>
  <c r="AS327" i="3"/>
  <c r="AT327" i="3" s="1"/>
  <c r="AB327" i="3"/>
  <c r="AC327" i="3" s="1"/>
  <c r="G327" i="3"/>
  <c r="F327" i="3"/>
  <c r="E327" i="3"/>
  <c r="D327" i="3"/>
  <c r="C327" i="3"/>
  <c r="A327" i="3" s="1"/>
  <c r="AS326" i="3"/>
  <c r="AT326" i="3" s="1"/>
  <c r="AB326" i="3"/>
  <c r="AC326" i="3" s="1"/>
  <c r="G326" i="3"/>
  <c r="F326" i="3"/>
  <c r="E326" i="3"/>
  <c r="D326" i="3"/>
  <c r="C326" i="3"/>
  <c r="A326" i="3"/>
  <c r="AS325" i="3"/>
  <c r="AT325" i="3" s="1"/>
  <c r="AB325" i="3"/>
  <c r="AC325" i="3" s="1"/>
  <c r="G325" i="3"/>
  <c r="F325" i="3"/>
  <c r="E325" i="3"/>
  <c r="D325" i="3"/>
  <c r="C325" i="3"/>
  <c r="A325" i="3"/>
  <c r="AS324" i="3"/>
  <c r="AT324" i="3" s="1"/>
  <c r="AB324" i="3"/>
  <c r="AC324" i="3" s="1"/>
  <c r="G324" i="3"/>
  <c r="F324" i="3"/>
  <c r="E324" i="3"/>
  <c r="D324" i="3"/>
  <c r="C324" i="3"/>
  <c r="A324" i="3" s="1"/>
  <c r="AS323" i="3"/>
  <c r="AT323" i="3" s="1"/>
  <c r="AB323" i="3"/>
  <c r="AC323" i="3" s="1"/>
  <c r="G323" i="3"/>
  <c r="F323" i="3"/>
  <c r="E323" i="3"/>
  <c r="D323" i="3"/>
  <c r="C323" i="3"/>
  <c r="A323" i="3" s="1"/>
  <c r="AS322" i="3"/>
  <c r="AT322" i="3" s="1"/>
  <c r="AB322" i="3"/>
  <c r="AC322" i="3" s="1"/>
  <c r="G322" i="3"/>
  <c r="F322" i="3"/>
  <c r="E322" i="3"/>
  <c r="D322" i="3"/>
  <c r="C322" i="3"/>
  <c r="A322" i="3"/>
  <c r="AS321" i="3"/>
  <c r="AT321" i="3" s="1"/>
  <c r="AB321" i="3"/>
  <c r="AC321" i="3" s="1"/>
  <c r="G321" i="3"/>
  <c r="F321" i="3"/>
  <c r="E321" i="3"/>
  <c r="D321" i="3"/>
  <c r="C321" i="3"/>
  <c r="A321" i="3"/>
  <c r="AS320" i="3"/>
  <c r="AT320" i="3" s="1"/>
  <c r="AB320" i="3"/>
  <c r="AC320" i="3" s="1"/>
  <c r="G320" i="3"/>
  <c r="F320" i="3"/>
  <c r="E320" i="3"/>
  <c r="D320" i="3"/>
  <c r="C320" i="3"/>
  <c r="A320" i="3"/>
  <c r="AS319" i="3"/>
  <c r="AT319" i="3" s="1"/>
  <c r="AB319" i="3"/>
  <c r="AC319" i="3" s="1"/>
  <c r="G319" i="3"/>
  <c r="F319" i="3"/>
  <c r="E319" i="3"/>
  <c r="D319" i="3"/>
  <c r="C319" i="3"/>
  <c r="A319" i="3"/>
  <c r="AS318" i="3"/>
  <c r="AT318" i="3" s="1"/>
  <c r="AB318" i="3"/>
  <c r="AC318" i="3" s="1"/>
  <c r="G318" i="3"/>
  <c r="F318" i="3"/>
  <c r="E318" i="3"/>
  <c r="D318" i="3"/>
  <c r="C318" i="3"/>
  <c r="A318" i="3" s="1"/>
  <c r="AS317" i="3"/>
  <c r="AT317" i="3" s="1"/>
  <c r="AB317" i="3"/>
  <c r="AC317" i="3" s="1"/>
  <c r="G317" i="3"/>
  <c r="F317" i="3"/>
  <c r="E317" i="3"/>
  <c r="D317" i="3"/>
  <c r="C317" i="3"/>
  <c r="A317" i="3"/>
  <c r="AS316" i="3"/>
  <c r="AT316" i="3" s="1"/>
  <c r="AB316" i="3"/>
  <c r="AC316" i="3" s="1"/>
  <c r="G316" i="3"/>
  <c r="F316" i="3"/>
  <c r="E316" i="3"/>
  <c r="D316" i="3"/>
  <c r="C316" i="3"/>
  <c r="A316" i="3"/>
  <c r="AS315" i="3"/>
  <c r="AT315" i="3" s="1"/>
  <c r="AB315" i="3"/>
  <c r="AC315" i="3" s="1"/>
  <c r="G315" i="3"/>
  <c r="F315" i="3"/>
  <c r="E315" i="3"/>
  <c r="D315" i="3"/>
  <c r="C315" i="3"/>
  <c r="A315" i="3"/>
  <c r="AS314" i="3"/>
  <c r="AT314" i="3" s="1"/>
  <c r="AB314" i="3"/>
  <c r="AC314" i="3" s="1"/>
  <c r="G314" i="3"/>
  <c r="F314" i="3"/>
  <c r="E314" i="3"/>
  <c r="D314" i="3"/>
  <c r="C314" i="3"/>
  <c r="A314" i="3"/>
  <c r="AS313" i="3"/>
  <c r="AT313" i="3" s="1"/>
  <c r="AB313" i="3"/>
  <c r="AC313" i="3" s="1"/>
  <c r="G313" i="3"/>
  <c r="F313" i="3"/>
  <c r="E313" i="3"/>
  <c r="D313" i="3"/>
  <c r="C313" i="3"/>
  <c r="A313" i="3"/>
  <c r="AS312" i="3"/>
  <c r="AT312" i="3" s="1"/>
  <c r="AB312" i="3"/>
  <c r="AC312" i="3" s="1"/>
  <c r="G312" i="3"/>
  <c r="F312" i="3"/>
  <c r="E312" i="3"/>
  <c r="D312" i="3"/>
  <c r="C312" i="3"/>
  <c r="A312" i="3"/>
  <c r="AS311" i="3"/>
  <c r="AT311" i="3" s="1"/>
  <c r="AB311" i="3"/>
  <c r="AC311" i="3" s="1"/>
  <c r="G311" i="3"/>
  <c r="F311" i="3"/>
  <c r="E311" i="3"/>
  <c r="D311" i="3"/>
  <c r="C311" i="3"/>
  <c r="A311" i="3"/>
  <c r="AS310" i="3"/>
  <c r="AT310" i="3" s="1"/>
  <c r="AB310" i="3"/>
  <c r="AC310" i="3" s="1"/>
  <c r="G310" i="3"/>
  <c r="F310" i="3"/>
  <c r="E310" i="3"/>
  <c r="D310" i="3"/>
  <c r="C310" i="3"/>
  <c r="A310" i="3"/>
  <c r="AS309" i="3"/>
  <c r="AT309" i="3" s="1"/>
  <c r="AB309" i="3"/>
  <c r="AC309" i="3" s="1"/>
  <c r="G309" i="3"/>
  <c r="F309" i="3"/>
  <c r="E309" i="3"/>
  <c r="D309" i="3"/>
  <c r="C309" i="3"/>
  <c r="A309" i="3"/>
  <c r="AS308" i="3"/>
  <c r="AT308" i="3" s="1"/>
  <c r="AB308" i="3"/>
  <c r="AC308" i="3" s="1"/>
  <c r="G308" i="3"/>
  <c r="F308" i="3"/>
  <c r="E308" i="3"/>
  <c r="D308" i="3"/>
  <c r="C308" i="3"/>
  <c r="A308" i="3"/>
  <c r="AS307" i="3"/>
  <c r="AT307" i="3" s="1"/>
  <c r="AB307" i="3"/>
  <c r="AC307" i="3" s="1"/>
  <c r="G307" i="3"/>
  <c r="F307" i="3"/>
  <c r="E307" i="3"/>
  <c r="D307" i="3"/>
  <c r="C307" i="3"/>
  <c r="A307" i="3"/>
  <c r="AS306" i="3"/>
  <c r="AT306" i="3" s="1"/>
  <c r="AB306" i="3"/>
  <c r="AC306" i="3" s="1"/>
  <c r="G306" i="3"/>
  <c r="F306" i="3"/>
  <c r="E306" i="3"/>
  <c r="D306" i="3"/>
  <c r="C306" i="3"/>
  <c r="A306" i="3"/>
  <c r="AS305" i="3"/>
  <c r="AT305" i="3" s="1"/>
  <c r="AB305" i="3"/>
  <c r="AC305" i="3" s="1"/>
  <c r="G305" i="3"/>
  <c r="F305" i="3"/>
  <c r="E305" i="3"/>
  <c r="D305" i="3"/>
  <c r="C305" i="3"/>
  <c r="A305" i="3"/>
  <c r="AS304" i="3"/>
  <c r="AT304" i="3" s="1"/>
  <c r="AB304" i="3"/>
  <c r="AC304" i="3" s="1"/>
  <c r="G304" i="3"/>
  <c r="F304" i="3"/>
  <c r="E304" i="3"/>
  <c r="D304" i="3"/>
  <c r="C304" i="3"/>
  <c r="A304" i="3"/>
  <c r="AS303" i="3"/>
  <c r="AT303" i="3" s="1"/>
  <c r="AB303" i="3"/>
  <c r="AC303" i="3" s="1"/>
  <c r="G303" i="3"/>
  <c r="F303" i="3"/>
  <c r="E303" i="3"/>
  <c r="D303" i="3"/>
  <c r="C303" i="3"/>
  <c r="A303" i="3"/>
  <c r="AS302" i="3"/>
  <c r="AT302" i="3" s="1"/>
  <c r="AB302" i="3"/>
  <c r="AC302" i="3" s="1"/>
  <c r="G302" i="3"/>
  <c r="F302" i="3"/>
  <c r="E302" i="3"/>
  <c r="D302" i="3"/>
  <c r="C302" i="3"/>
  <c r="A302" i="3"/>
  <c r="AS301" i="3"/>
  <c r="AT301" i="3" s="1"/>
  <c r="AB301" i="3"/>
  <c r="AC301" i="3" s="1"/>
  <c r="G301" i="3"/>
  <c r="F301" i="3"/>
  <c r="E301" i="3"/>
  <c r="D301" i="3"/>
  <c r="C301" i="3"/>
  <c r="A301" i="3" s="1"/>
  <c r="AS300" i="3"/>
  <c r="AT300" i="3" s="1"/>
  <c r="AB300" i="3"/>
  <c r="AC300" i="3" s="1"/>
  <c r="G300" i="3"/>
  <c r="F300" i="3"/>
  <c r="E300" i="3"/>
  <c r="D300" i="3"/>
  <c r="C300" i="3"/>
  <c r="A300" i="3" s="1"/>
  <c r="AS299" i="3"/>
  <c r="AT299" i="3" s="1"/>
  <c r="AB299" i="3"/>
  <c r="AC299" i="3" s="1"/>
  <c r="G299" i="3"/>
  <c r="F299" i="3"/>
  <c r="E299" i="3"/>
  <c r="D299" i="3"/>
  <c r="C299" i="3"/>
  <c r="A299" i="3"/>
  <c r="AS298" i="3"/>
  <c r="AT298" i="3" s="1"/>
  <c r="AB298" i="3"/>
  <c r="AC298" i="3" s="1"/>
  <c r="G298" i="3"/>
  <c r="F298" i="3"/>
  <c r="E298" i="3"/>
  <c r="D298" i="3"/>
  <c r="C298" i="3"/>
  <c r="A298" i="3"/>
  <c r="AS297" i="3"/>
  <c r="AT297" i="3" s="1"/>
  <c r="AB297" i="3"/>
  <c r="AC297" i="3" s="1"/>
  <c r="G297" i="3"/>
  <c r="F297" i="3"/>
  <c r="E297" i="3"/>
  <c r="D297" i="3"/>
  <c r="C297" i="3"/>
  <c r="A297" i="3"/>
  <c r="AS296" i="3"/>
  <c r="AT296" i="3" s="1"/>
  <c r="AB296" i="3"/>
  <c r="AC296" i="3" s="1"/>
  <c r="G296" i="3"/>
  <c r="F296" i="3"/>
  <c r="D296" i="3"/>
  <c r="C296" i="3"/>
  <c r="A296" i="3"/>
  <c r="AS295" i="3"/>
  <c r="AT295" i="3" s="1"/>
  <c r="AB295" i="3"/>
  <c r="AC295" i="3" s="1"/>
  <c r="G295" i="3"/>
  <c r="F295" i="3"/>
  <c r="D295" i="3"/>
  <c r="C295" i="3"/>
  <c r="A295" i="3" s="1"/>
  <c r="AS294" i="3"/>
  <c r="AT294" i="3" s="1"/>
  <c r="AB294" i="3"/>
  <c r="AC294" i="3" s="1"/>
  <c r="G294" i="3"/>
  <c r="F294" i="3"/>
  <c r="D294" i="3"/>
  <c r="C294" i="3"/>
  <c r="A294" i="3"/>
  <c r="AS293" i="3"/>
  <c r="AT293" i="3" s="1"/>
  <c r="AB293" i="3"/>
  <c r="AC293" i="3" s="1"/>
  <c r="G293" i="3"/>
  <c r="F293" i="3"/>
  <c r="D293" i="3"/>
  <c r="C293" i="3"/>
  <c r="A293" i="3"/>
  <c r="AS292" i="3"/>
  <c r="AT292" i="3" s="1"/>
  <c r="AB292" i="3"/>
  <c r="AC292" i="3" s="1"/>
  <c r="G292" i="3"/>
  <c r="F292" i="3"/>
  <c r="D292" i="3"/>
  <c r="C292" i="3"/>
  <c r="A292" i="3"/>
  <c r="AS291" i="3"/>
  <c r="AT291" i="3" s="1"/>
  <c r="AB291" i="3"/>
  <c r="AC291" i="3" s="1"/>
  <c r="G291" i="3"/>
  <c r="F291" i="3"/>
  <c r="E291" i="3"/>
  <c r="D291" i="3"/>
  <c r="C291" i="3"/>
  <c r="A291" i="3" s="1"/>
  <c r="AS290" i="3"/>
  <c r="AT290" i="3" s="1"/>
  <c r="AB290" i="3"/>
  <c r="AC290" i="3" s="1"/>
  <c r="G290" i="3"/>
  <c r="F290" i="3"/>
  <c r="E290" i="3"/>
  <c r="D290" i="3"/>
  <c r="C290" i="3"/>
  <c r="A290" i="3" s="1"/>
  <c r="AS289" i="3"/>
  <c r="AT289" i="3" s="1"/>
  <c r="AB289" i="3"/>
  <c r="AC289" i="3" s="1"/>
  <c r="G289" i="3"/>
  <c r="F289" i="3"/>
  <c r="E289" i="3"/>
  <c r="D289" i="3"/>
  <c r="C289" i="3"/>
  <c r="A289" i="3"/>
  <c r="AS288" i="3"/>
  <c r="AT288" i="3" s="1"/>
  <c r="AB288" i="3"/>
  <c r="AC288" i="3" s="1"/>
  <c r="G288" i="3"/>
  <c r="F288" i="3"/>
  <c r="E288" i="3"/>
  <c r="D288" i="3"/>
  <c r="C288" i="3"/>
  <c r="A288" i="3"/>
  <c r="AS287" i="3"/>
  <c r="AT287" i="3" s="1"/>
  <c r="AB287" i="3"/>
  <c r="AC287" i="3" s="1"/>
  <c r="G287" i="3"/>
  <c r="F287" i="3"/>
  <c r="E287" i="3"/>
  <c r="D287" i="3"/>
  <c r="C287" i="3"/>
  <c r="A287" i="3" s="1"/>
  <c r="AS286" i="3"/>
  <c r="AT286" i="3" s="1"/>
  <c r="AB286" i="3"/>
  <c r="AC286" i="3" s="1"/>
  <c r="G286" i="3"/>
  <c r="F286" i="3"/>
  <c r="E286" i="3"/>
  <c r="D286" i="3"/>
  <c r="C286" i="3"/>
  <c r="A286" i="3" s="1"/>
  <c r="AS285" i="3"/>
  <c r="AT285" i="3" s="1"/>
  <c r="AB285" i="3"/>
  <c r="AC285" i="3" s="1"/>
  <c r="G285" i="3"/>
  <c r="F285" i="3"/>
  <c r="E285" i="3"/>
  <c r="D285" i="3"/>
  <c r="C285" i="3"/>
  <c r="A285" i="3"/>
  <c r="AS284" i="3"/>
  <c r="AT284" i="3" s="1"/>
  <c r="AB284" i="3"/>
  <c r="AC284" i="3" s="1"/>
  <c r="G284" i="3"/>
  <c r="F284" i="3"/>
  <c r="E284" i="3"/>
  <c r="D284" i="3"/>
  <c r="C284" i="3"/>
  <c r="A284" i="3" s="1"/>
  <c r="AS283" i="3"/>
  <c r="AT283" i="3" s="1"/>
  <c r="AB283" i="3"/>
  <c r="AC283" i="3" s="1"/>
  <c r="G283" i="3"/>
  <c r="F283" i="3"/>
  <c r="E283" i="3"/>
  <c r="D283" i="3"/>
  <c r="C283" i="3"/>
  <c r="A283" i="3"/>
  <c r="AS282" i="3"/>
  <c r="AT282" i="3" s="1"/>
  <c r="AB282" i="3"/>
  <c r="AC282" i="3" s="1"/>
  <c r="G282" i="3"/>
  <c r="F282" i="3"/>
  <c r="E282" i="3"/>
  <c r="D282" i="3"/>
  <c r="C282" i="3"/>
  <c r="A282" i="3"/>
  <c r="AS281" i="3"/>
  <c r="AT281" i="3" s="1"/>
  <c r="AB281" i="3"/>
  <c r="AC281" i="3" s="1"/>
  <c r="G281" i="3"/>
  <c r="F281" i="3"/>
  <c r="E281" i="3"/>
  <c r="D281" i="3"/>
  <c r="C281" i="3"/>
  <c r="A281" i="3"/>
  <c r="AS280" i="3"/>
  <c r="AT280" i="3" s="1"/>
  <c r="AB280" i="3"/>
  <c r="AC280" i="3" s="1"/>
  <c r="G280" i="3"/>
  <c r="F280" i="3"/>
  <c r="E280" i="3"/>
  <c r="D280" i="3"/>
  <c r="C280" i="3"/>
  <c r="A280" i="3" s="1"/>
  <c r="AS279" i="3"/>
  <c r="AT279" i="3" s="1"/>
  <c r="AB279" i="3"/>
  <c r="AC279" i="3" s="1"/>
  <c r="G279" i="3"/>
  <c r="F279" i="3"/>
  <c r="E279" i="3"/>
  <c r="D279" i="3"/>
  <c r="C279" i="3"/>
  <c r="A279" i="3"/>
  <c r="AS278" i="3"/>
  <c r="AT278" i="3" s="1"/>
  <c r="AB278" i="3"/>
  <c r="AC278" i="3" s="1"/>
  <c r="G278" i="3"/>
  <c r="F278" i="3"/>
  <c r="E278" i="3"/>
  <c r="D278" i="3"/>
  <c r="C278" i="3"/>
  <c r="A278" i="3"/>
  <c r="AS277" i="3"/>
  <c r="AT277" i="3" s="1"/>
  <c r="AB277" i="3"/>
  <c r="AC277" i="3" s="1"/>
  <c r="G277" i="3"/>
  <c r="F277" i="3"/>
  <c r="E277" i="3"/>
  <c r="D277" i="3"/>
  <c r="C277" i="3"/>
  <c r="A277" i="3"/>
  <c r="AS276" i="3"/>
  <c r="AT276" i="3" s="1"/>
  <c r="AB276" i="3"/>
  <c r="AC276" i="3" s="1"/>
  <c r="G276" i="3"/>
  <c r="F276" i="3"/>
  <c r="E276" i="3"/>
  <c r="D276" i="3"/>
  <c r="C276" i="3"/>
  <c r="A276" i="3"/>
  <c r="AS275" i="3"/>
  <c r="AT275" i="3" s="1"/>
  <c r="AB275" i="3"/>
  <c r="AC275" i="3" s="1"/>
  <c r="G275" i="3"/>
  <c r="F275" i="3"/>
  <c r="E275" i="3"/>
  <c r="D275" i="3"/>
  <c r="C275" i="3"/>
  <c r="A275" i="3" s="1"/>
  <c r="AS274" i="3"/>
  <c r="AT274" i="3" s="1"/>
  <c r="AB274" i="3"/>
  <c r="AC274" i="3" s="1"/>
  <c r="G274" i="3"/>
  <c r="F274" i="3"/>
  <c r="E274" i="3"/>
  <c r="D274" i="3"/>
  <c r="C274" i="3"/>
  <c r="A274" i="3"/>
  <c r="AS273" i="3"/>
  <c r="AT273" i="3" s="1"/>
  <c r="AB273" i="3"/>
  <c r="AC273" i="3" s="1"/>
  <c r="G273" i="3"/>
  <c r="F273" i="3"/>
  <c r="E273" i="3"/>
  <c r="D273" i="3"/>
  <c r="C273" i="3"/>
  <c r="A273" i="3"/>
  <c r="AS272" i="3"/>
  <c r="AT272" i="3" s="1"/>
  <c r="AB272" i="3"/>
  <c r="AC272" i="3" s="1"/>
  <c r="G272" i="3"/>
  <c r="F272" i="3"/>
  <c r="E272" i="3"/>
  <c r="D272" i="3"/>
  <c r="C272" i="3"/>
  <c r="A272" i="3"/>
  <c r="AS271" i="3"/>
  <c r="AT271" i="3" s="1"/>
  <c r="AB271" i="3"/>
  <c r="AC271" i="3" s="1"/>
  <c r="G271" i="3"/>
  <c r="F271" i="3"/>
  <c r="E271" i="3"/>
  <c r="D271" i="3"/>
  <c r="C271" i="3"/>
  <c r="A271" i="3"/>
  <c r="AS270" i="3"/>
  <c r="AT270" i="3" s="1"/>
  <c r="AB270" i="3"/>
  <c r="AC270" i="3" s="1"/>
  <c r="G270" i="3"/>
  <c r="F270" i="3"/>
  <c r="E270" i="3"/>
  <c r="D270" i="3"/>
  <c r="C270" i="3"/>
  <c r="A270" i="3"/>
  <c r="AS269" i="3"/>
  <c r="AT269" i="3" s="1"/>
  <c r="AB269" i="3"/>
  <c r="AC269" i="3" s="1"/>
  <c r="G269" i="3"/>
  <c r="F269" i="3"/>
  <c r="E269" i="3"/>
  <c r="D269" i="3"/>
  <c r="C269" i="3"/>
  <c r="A269" i="3"/>
  <c r="AS268" i="3"/>
  <c r="AT268" i="3" s="1"/>
  <c r="AB268" i="3"/>
  <c r="AC268" i="3" s="1"/>
  <c r="G268" i="3"/>
  <c r="F268" i="3"/>
  <c r="E268" i="3"/>
  <c r="D268" i="3"/>
  <c r="C268" i="3"/>
  <c r="A268" i="3"/>
  <c r="AS267" i="3"/>
  <c r="AT267" i="3" s="1"/>
  <c r="AB267" i="3"/>
  <c r="AC267" i="3" s="1"/>
  <c r="G267" i="3"/>
  <c r="F267" i="3"/>
  <c r="E267" i="3"/>
  <c r="D267" i="3"/>
  <c r="C267" i="3"/>
  <c r="A267" i="3"/>
  <c r="AS266" i="3"/>
  <c r="AT266" i="3" s="1"/>
  <c r="AB266" i="3"/>
  <c r="AC266" i="3" s="1"/>
  <c r="G266" i="3"/>
  <c r="F266" i="3"/>
  <c r="E266" i="3"/>
  <c r="D266" i="3"/>
  <c r="C266" i="3"/>
  <c r="A266" i="3"/>
  <c r="AS265" i="3"/>
  <c r="AT265" i="3" s="1"/>
  <c r="AB265" i="3"/>
  <c r="AC265" i="3" s="1"/>
  <c r="G265" i="3"/>
  <c r="F265" i="3"/>
  <c r="E265" i="3"/>
  <c r="D265" i="3"/>
  <c r="C265" i="3"/>
  <c r="A265" i="3" s="1"/>
  <c r="AS264" i="3"/>
  <c r="AT264" i="3" s="1"/>
  <c r="AB264" i="3"/>
  <c r="AC264" i="3" s="1"/>
  <c r="G264" i="3"/>
  <c r="F264" i="3"/>
  <c r="E264" i="3"/>
  <c r="D264" i="3"/>
  <c r="C264" i="3"/>
  <c r="A264" i="3"/>
  <c r="AS263" i="3"/>
  <c r="AT263" i="3" s="1"/>
  <c r="AB263" i="3"/>
  <c r="AC263" i="3" s="1"/>
  <c r="G263" i="3"/>
  <c r="F263" i="3"/>
  <c r="E263" i="3"/>
  <c r="D263" i="3"/>
  <c r="C263" i="3"/>
  <c r="A263" i="3"/>
  <c r="AS262" i="3"/>
  <c r="AT262" i="3" s="1"/>
  <c r="AB262" i="3"/>
  <c r="AC262" i="3" s="1"/>
  <c r="G262" i="3"/>
  <c r="F262" i="3"/>
  <c r="E262" i="3"/>
  <c r="D262" i="3"/>
  <c r="C262" i="3"/>
  <c r="A262" i="3"/>
  <c r="AS261" i="3"/>
  <c r="AT261" i="3" s="1"/>
  <c r="AB261" i="3"/>
  <c r="AC261" i="3" s="1"/>
  <c r="G261" i="3"/>
  <c r="F261" i="3"/>
  <c r="E261" i="3"/>
  <c r="D261" i="3"/>
  <c r="C261" i="3"/>
  <c r="A261" i="3"/>
  <c r="AS260" i="3"/>
  <c r="AT260" i="3" s="1"/>
  <c r="AB260" i="3"/>
  <c r="AC260" i="3" s="1"/>
  <c r="G260" i="3"/>
  <c r="F260" i="3"/>
  <c r="E260" i="3"/>
  <c r="D260" i="3"/>
  <c r="C260" i="3"/>
  <c r="A260" i="3" s="1"/>
  <c r="AS259" i="3"/>
  <c r="AT259" i="3" s="1"/>
  <c r="AB259" i="3"/>
  <c r="AC259" i="3" s="1"/>
  <c r="G259" i="3"/>
  <c r="F259" i="3"/>
  <c r="E259" i="3"/>
  <c r="D259" i="3"/>
  <c r="C259" i="3"/>
  <c r="A259" i="3" s="1"/>
  <c r="AS258" i="3"/>
  <c r="AT258" i="3" s="1"/>
  <c r="AB258" i="3"/>
  <c r="AC258" i="3" s="1"/>
  <c r="G258" i="3"/>
  <c r="F258" i="3"/>
  <c r="E258" i="3"/>
  <c r="D258" i="3"/>
  <c r="C258" i="3"/>
  <c r="A258" i="3"/>
  <c r="AS257" i="3"/>
  <c r="AT257" i="3" s="1"/>
  <c r="AB257" i="3"/>
  <c r="AC257" i="3" s="1"/>
  <c r="G257" i="3"/>
  <c r="F257" i="3"/>
  <c r="E257" i="3"/>
  <c r="D257" i="3"/>
  <c r="C257" i="3"/>
  <c r="A257" i="3"/>
  <c r="AS256" i="3"/>
  <c r="AT256" i="3" s="1"/>
  <c r="AB256" i="3"/>
  <c r="AC256" i="3" s="1"/>
  <c r="G256" i="3"/>
  <c r="F256" i="3"/>
  <c r="E256" i="3"/>
  <c r="D256" i="3"/>
  <c r="C256" i="3"/>
  <c r="A256" i="3"/>
  <c r="AS255" i="3"/>
  <c r="AT255" i="3" s="1"/>
  <c r="AB255" i="3"/>
  <c r="AC255" i="3" s="1"/>
  <c r="G255" i="3"/>
  <c r="F255" i="3"/>
  <c r="E255" i="3"/>
  <c r="D255" i="3"/>
  <c r="C255" i="3"/>
  <c r="A255" i="3" s="1"/>
  <c r="AS254" i="3"/>
  <c r="AT254" i="3" s="1"/>
  <c r="AB254" i="3"/>
  <c r="AC254" i="3" s="1"/>
  <c r="G254" i="3"/>
  <c r="F254" i="3"/>
  <c r="E254" i="3"/>
  <c r="D254" i="3"/>
  <c r="C254" i="3"/>
  <c r="A254" i="3"/>
  <c r="AS253" i="3"/>
  <c r="AT253" i="3" s="1"/>
  <c r="AB253" i="3"/>
  <c r="AC253" i="3" s="1"/>
  <c r="G253" i="3"/>
  <c r="F253" i="3"/>
  <c r="E253" i="3"/>
  <c r="D253" i="3"/>
  <c r="C253" i="3"/>
  <c r="A253" i="3"/>
  <c r="AS252" i="3"/>
  <c r="AT252" i="3" s="1"/>
  <c r="AB252" i="3"/>
  <c r="AC252" i="3" s="1"/>
  <c r="G252" i="3"/>
  <c r="F252" i="3"/>
  <c r="E252" i="3"/>
  <c r="D252" i="3"/>
  <c r="C252" i="3"/>
  <c r="A252" i="3"/>
  <c r="AS251" i="3"/>
  <c r="AT251" i="3" s="1"/>
  <c r="AB251" i="3"/>
  <c r="AC251" i="3" s="1"/>
  <c r="G251" i="3"/>
  <c r="F251" i="3"/>
  <c r="E251" i="3"/>
  <c r="D251" i="3"/>
  <c r="C251" i="3"/>
  <c r="A251" i="3" s="1"/>
  <c r="AS250" i="3"/>
  <c r="AT250" i="3" s="1"/>
  <c r="AB250" i="3"/>
  <c r="AC250" i="3" s="1"/>
  <c r="G250" i="3"/>
  <c r="F250" i="3"/>
  <c r="E250" i="3"/>
  <c r="D250" i="3"/>
  <c r="C250" i="3"/>
  <c r="A250" i="3"/>
  <c r="AS249" i="3"/>
  <c r="AT249" i="3" s="1"/>
  <c r="AB249" i="3"/>
  <c r="AC249" i="3" s="1"/>
  <c r="G249" i="3"/>
  <c r="F249" i="3"/>
  <c r="E249" i="3"/>
  <c r="D249" i="3"/>
  <c r="C249" i="3"/>
  <c r="A249" i="3" s="1"/>
  <c r="AS248" i="3"/>
  <c r="AT248" i="3" s="1"/>
  <c r="AB248" i="3"/>
  <c r="AC248" i="3" s="1"/>
  <c r="G248" i="3"/>
  <c r="F248" i="3"/>
  <c r="E248" i="3"/>
  <c r="D248" i="3"/>
  <c r="C248" i="3"/>
  <c r="A248" i="3"/>
  <c r="AS247" i="3"/>
  <c r="AT247" i="3" s="1"/>
  <c r="AB247" i="3"/>
  <c r="AC247" i="3" s="1"/>
  <c r="G247" i="3"/>
  <c r="F247" i="3"/>
  <c r="E247" i="3"/>
  <c r="D247" i="3"/>
  <c r="C247" i="3"/>
  <c r="A247" i="3"/>
  <c r="AS246" i="3"/>
  <c r="AT246" i="3" s="1"/>
  <c r="AB246" i="3"/>
  <c r="AC246" i="3" s="1"/>
  <c r="G246" i="3"/>
  <c r="F246" i="3"/>
  <c r="E246" i="3"/>
  <c r="D246" i="3"/>
  <c r="C246" i="3"/>
  <c r="A246" i="3"/>
  <c r="AS245" i="3"/>
  <c r="AT245" i="3" s="1"/>
  <c r="AB245" i="3"/>
  <c r="AC245" i="3" s="1"/>
  <c r="G245" i="3"/>
  <c r="F245" i="3"/>
  <c r="E245" i="3"/>
  <c r="D245" i="3"/>
  <c r="C245" i="3"/>
  <c r="A245" i="3" s="1"/>
  <c r="AS244" i="3"/>
  <c r="AT244" i="3" s="1"/>
  <c r="AB244" i="3"/>
  <c r="AC244" i="3" s="1"/>
  <c r="G244" i="3"/>
  <c r="F244" i="3"/>
  <c r="E244" i="3"/>
  <c r="D244" i="3"/>
  <c r="C244" i="3"/>
  <c r="A244" i="3" s="1"/>
  <c r="AS243" i="3"/>
  <c r="AT243" i="3" s="1"/>
  <c r="AB243" i="3"/>
  <c r="AC243" i="3" s="1"/>
  <c r="G243" i="3"/>
  <c r="F243" i="3"/>
  <c r="E243" i="3"/>
  <c r="D243" i="3"/>
  <c r="C243" i="3"/>
  <c r="A243" i="3"/>
  <c r="AS242" i="3"/>
  <c r="AT242" i="3" s="1"/>
  <c r="AB242" i="3"/>
  <c r="AC242" i="3" s="1"/>
  <c r="G242" i="3"/>
  <c r="F242" i="3"/>
  <c r="E242" i="3"/>
  <c r="D242" i="3"/>
  <c r="C242" i="3"/>
  <c r="A242" i="3" s="1"/>
  <c r="AS241" i="3"/>
  <c r="AT241" i="3" s="1"/>
  <c r="AB241" i="3"/>
  <c r="AC241" i="3" s="1"/>
  <c r="G241" i="3"/>
  <c r="F241" i="3"/>
  <c r="E241" i="3"/>
  <c r="D241" i="3"/>
  <c r="C241" i="3"/>
  <c r="A241" i="3" s="1"/>
  <c r="AS240" i="3"/>
  <c r="AT240" i="3" s="1"/>
  <c r="AB240" i="3"/>
  <c r="AC240" i="3" s="1"/>
  <c r="G240" i="3"/>
  <c r="F240" i="3"/>
  <c r="E240" i="3"/>
  <c r="D240" i="3"/>
  <c r="C240" i="3"/>
  <c r="A240" i="3"/>
  <c r="AS239" i="3"/>
  <c r="AT239" i="3" s="1"/>
  <c r="AB239" i="3"/>
  <c r="AC239" i="3" s="1"/>
  <c r="G239" i="3"/>
  <c r="F239" i="3"/>
  <c r="E239" i="3"/>
  <c r="D239" i="3"/>
  <c r="C239" i="3"/>
  <c r="A239" i="3"/>
  <c r="AS238" i="3"/>
  <c r="AT238" i="3" s="1"/>
  <c r="AB238" i="3"/>
  <c r="AC238" i="3" s="1"/>
  <c r="G238" i="3"/>
  <c r="F238" i="3"/>
  <c r="E238" i="3"/>
  <c r="D238" i="3"/>
  <c r="C238" i="3"/>
  <c r="A238" i="3"/>
  <c r="AS237" i="3"/>
  <c r="AT237" i="3" s="1"/>
  <c r="AB237" i="3"/>
  <c r="AC237" i="3" s="1"/>
  <c r="G237" i="3"/>
  <c r="F237" i="3"/>
  <c r="E237" i="3"/>
  <c r="D237" i="3"/>
  <c r="C237" i="3"/>
  <c r="A237" i="3"/>
  <c r="AS236" i="3"/>
  <c r="AT236" i="3" s="1"/>
  <c r="AB236" i="3"/>
  <c r="AC236" i="3" s="1"/>
  <c r="G236" i="3"/>
  <c r="F236" i="3"/>
  <c r="E236" i="3"/>
  <c r="D236" i="3"/>
  <c r="C236" i="3"/>
  <c r="A236" i="3"/>
  <c r="AS235" i="3"/>
  <c r="AT235" i="3" s="1"/>
  <c r="AB235" i="3"/>
  <c r="AC235" i="3" s="1"/>
  <c r="G235" i="3"/>
  <c r="F235" i="3"/>
  <c r="E235" i="3"/>
  <c r="D235" i="3"/>
  <c r="C235" i="3"/>
  <c r="A235" i="3"/>
  <c r="AS234" i="3"/>
  <c r="AT234" i="3" s="1"/>
  <c r="AB234" i="3"/>
  <c r="AC234" i="3" s="1"/>
  <c r="G234" i="3"/>
  <c r="F234" i="3"/>
  <c r="E234" i="3"/>
  <c r="D234" i="3"/>
  <c r="C234" i="3"/>
  <c r="A234" i="3"/>
  <c r="AS233" i="3"/>
  <c r="AT233" i="3" s="1"/>
  <c r="AB233" i="3"/>
  <c r="AC233" i="3" s="1"/>
  <c r="G233" i="3"/>
  <c r="F233" i="3"/>
  <c r="E233" i="3"/>
  <c r="D233" i="3"/>
  <c r="C233" i="3"/>
  <c r="A233" i="3"/>
  <c r="AS232" i="3"/>
  <c r="AT232" i="3" s="1"/>
  <c r="AB232" i="3"/>
  <c r="AC232" i="3" s="1"/>
  <c r="G232" i="3"/>
  <c r="F232" i="3"/>
  <c r="E232" i="3"/>
  <c r="D232" i="3"/>
  <c r="C232" i="3"/>
  <c r="A232" i="3"/>
  <c r="AS231" i="3"/>
  <c r="AT231" i="3" s="1"/>
  <c r="AB231" i="3"/>
  <c r="AC231" i="3" s="1"/>
  <c r="G231" i="3"/>
  <c r="F231" i="3"/>
  <c r="E231" i="3"/>
  <c r="D231" i="3"/>
  <c r="C231" i="3"/>
  <c r="A231" i="3"/>
  <c r="AS230" i="3"/>
  <c r="AT230" i="3" s="1"/>
  <c r="AB230" i="3"/>
  <c r="AC230" i="3" s="1"/>
  <c r="G230" i="3"/>
  <c r="F230" i="3"/>
  <c r="E230" i="3"/>
  <c r="D230" i="3"/>
  <c r="C230" i="3"/>
  <c r="A230" i="3"/>
  <c r="AS229" i="3"/>
  <c r="AT229" i="3" s="1"/>
  <c r="AB229" i="3"/>
  <c r="AC229" i="3" s="1"/>
  <c r="G229" i="3"/>
  <c r="F229" i="3"/>
  <c r="E229" i="3"/>
  <c r="D229" i="3"/>
  <c r="C229" i="3"/>
  <c r="A229" i="3"/>
  <c r="AS228" i="3"/>
  <c r="AT228" i="3" s="1"/>
  <c r="AB228" i="3"/>
  <c r="AC228" i="3" s="1"/>
  <c r="G228" i="3"/>
  <c r="F228" i="3"/>
  <c r="E228" i="3"/>
  <c r="D228" i="3"/>
  <c r="C228" i="3"/>
  <c r="A228" i="3" s="1"/>
  <c r="AS227" i="3"/>
  <c r="AT227" i="3" s="1"/>
  <c r="AB227" i="3"/>
  <c r="AC227" i="3" s="1"/>
  <c r="G227" i="3"/>
  <c r="F227" i="3"/>
  <c r="E227" i="3"/>
  <c r="D227" i="3"/>
  <c r="C227" i="3"/>
  <c r="A227" i="3" s="1"/>
  <c r="AS226" i="3"/>
  <c r="AT226" i="3" s="1"/>
  <c r="AB226" i="3"/>
  <c r="AC226" i="3" s="1"/>
  <c r="G226" i="3"/>
  <c r="F226" i="3"/>
  <c r="E226" i="3"/>
  <c r="D226" i="3"/>
  <c r="C226" i="3"/>
  <c r="A226" i="3"/>
  <c r="AS225" i="3"/>
  <c r="AT225" i="3" s="1"/>
  <c r="AB225" i="3"/>
  <c r="AC225" i="3" s="1"/>
  <c r="G225" i="3"/>
  <c r="F225" i="3"/>
  <c r="E225" i="3"/>
  <c r="D225" i="3"/>
  <c r="C225" i="3"/>
  <c r="A225" i="3" s="1"/>
  <c r="AS224" i="3"/>
  <c r="AT224" i="3" s="1"/>
  <c r="AB224" i="3"/>
  <c r="AC224" i="3" s="1"/>
  <c r="G224" i="3"/>
  <c r="F224" i="3"/>
  <c r="E224" i="3"/>
  <c r="D224" i="3"/>
  <c r="C224" i="3"/>
  <c r="A224" i="3"/>
  <c r="AS223" i="3"/>
  <c r="AT223" i="3" s="1"/>
  <c r="AB223" i="3"/>
  <c r="AC223" i="3" s="1"/>
  <c r="G223" i="3"/>
  <c r="F223" i="3"/>
  <c r="E223" i="3"/>
  <c r="D223" i="3"/>
  <c r="C223" i="3"/>
  <c r="A223" i="3"/>
  <c r="AS222" i="3"/>
  <c r="AT222" i="3" s="1"/>
  <c r="AB222" i="3"/>
  <c r="AC222" i="3" s="1"/>
  <c r="G222" i="3"/>
  <c r="F222" i="3"/>
  <c r="E222" i="3"/>
  <c r="D222" i="3"/>
  <c r="C222" i="3"/>
  <c r="A222" i="3"/>
  <c r="AS221" i="3"/>
  <c r="AT221" i="3" s="1"/>
  <c r="AB221" i="3"/>
  <c r="AC221" i="3" s="1"/>
  <c r="G221" i="3"/>
  <c r="F221" i="3"/>
  <c r="E221" i="3"/>
  <c r="D221" i="3"/>
  <c r="C221" i="3"/>
  <c r="A221" i="3"/>
  <c r="AS220" i="3"/>
  <c r="AT220" i="3" s="1"/>
  <c r="AB220" i="3"/>
  <c r="AC220" i="3" s="1"/>
  <c r="G220" i="3"/>
  <c r="F220" i="3"/>
  <c r="E220" i="3"/>
  <c r="D220" i="3"/>
  <c r="C220" i="3"/>
  <c r="A220" i="3"/>
  <c r="AS219" i="3"/>
  <c r="AT219" i="3" s="1"/>
  <c r="AB219" i="3"/>
  <c r="AC219" i="3" s="1"/>
  <c r="G219" i="3"/>
  <c r="F219" i="3"/>
  <c r="E219" i="3"/>
  <c r="D219" i="3"/>
  <c r="C219" i="3"/>
  <c r="A219" i="3" s="1"/>
  <c r="AS218" i="3"/>
  <c r="AT218" i="3" s="1"/>
  <c r="AB218" i="3"/>
  <c r="AC218" i="3" s="1"/>
  <c r="G218" i="3"/>
  <c r="F218" i="3"/>
  <c r="E218" i="3"/>
  <c r="D218" i="3"/>
  <c r="C218" i="3"/>
  <c r="A218" i="3"/>
  <c r="AS217" i="3"/>
  <c r="AT217" i="3" s="1"/>
  <c r="AB217" i="3"/>
  <c r="AC217" i="3" s="1"/>
  <c r="G217" i="3"/>
  <c r="F217" i="3"/>
  <c r="E217" i="3"/>
  <c r="D217" i="3"/>
  <c r="C217" i="3"/>
  <c r="A217" i="3"/>
  <c r="AS216" i="3"/>
  <c r="AT216" i="3" s="1"/>
  <c r="AB216" i="3"/>
  <c r="AC216" i="3" s="1"/>
  <c r="G216" i="3"/>
  <c r="F216" i="3"/>
  <c r="E216" i="3"/>
  <c r="D216" i="3"/>
  <c r="C216" i="3"/>
  <c r="A216" i="3"/>
  <c r="AS215" i="3"/>
  <c r="AT215" i="3" s="1"/>
  <c r="AB215" i="3"/>
  <c r="AC215" i="3" s="1"/>
  <c r="G215" i="3"/>
  <c r="F215" i="3"/>
  <c r="E215" i="3"/>
  <c r="D215" i="3"/>
  <c r="C215" i="3"/>
  <c r="A215" i="3"/>
  <c r="AS214" i="3"/>
  <c r="AT214" i="3" s="1"/>
  <c r="AB214" i="3"/>
  <c r="AC214" i="3" s="1"/>
  <c r="G214" i="3"/>
  <c r="F214" i="3"/>
  <c r="E214" i="3"/>
  <c r="D214" i="3"/>
  <c r="C214" i="3"/>
  <c r="A214" i="3" s="1"/>
  <c r="AS213" i="3"/>
  <c r="AT213" i="3" s="1"/>
  <c r="AB213" i="3"/>
  <c r="AC213" i="3" s="1"/>
  <c r="G213" i="3"/>
  <c r="F213" i="3"/>
  <c r="E213" i="3"/>
  <c r="D213" i="3"/>
  <c r="C213" i="3"/>
  <c r="A213" i="3"/>
  <c r="AS212" i="3"/>
  <c r="AT212" i="3" s="1"/>
  <c r="AB212" i="3"/>
  <c r="AC212" i="3" s="1"/>
  <c r="G212" i="3"/>
  <c r="F212" i="3"/>
  <c r="E212" i="3"/>
  <c r="D212" i="3"/>
  <c r="C212" i="3"/>
  <c r="A212" i="3"/>
  <c r="AS211" i="3"/>
  <c r="AT211" i="3" s="1"/>
  <c r="AB211" i="3"/>
  <c r="AC211" i="3" s="1"/>
  <c r="G211" i="3"/>
  <c r="F211" i="3"/>
  <c r="E211" i="3"/>
  <c r="D211" i="3"/>
  <c r="C211" i="3"/>
  <c r="A211" i="3"/>
  <c r="AS210" i="3"/>
  <c r="AT210" i="3" s="1"/>
  <c r="AB210" i="3"/>
  <c r="AC210" i="3" s="1"/>
  <c r="G210" i="3"/>
  <c r="F210" i="3"/>
  <c r="E210" i="3"/>
  <c r="D210" i="3"/>
  <c r="C210" i="3"/>
  <c r="A210" i="3"/>
  <c r="AS209" i="3"/>
  <c r="AT209" i="3" s="1"/>
  <c r="AB209" i="3"/>
  <c r="AC209" i="3" s="1"/>
  <c r="G209" i="3"/>
  <c r="F209" i="3"/>
  <c r="E209" i="3"/>
  <c r="D209" i="3"/>
  <c r="C209" i="3"/>
  <c r="A209" i="3"/>
  <c r="AS208" i="3"/>
  <c r="AT208" i="3" s="1"/>
  <c r="AB208" i="3"/>
  <c r="AC208" i="3" s="1"/>
  <c r="G208" i="3"/>
  <c r="F208" i="3"/>
  <c r="E208" i="3"/>
  <c r="D208" i="3"/>
  <c r="C208" i="3"/>
  <c r="A208" i="3"/>
  <c r="AS207" i="3"/>
  <c r="AT207" i="3" s="1"/>
  <c r="AB207" i="3"/>
  <c r="AC207" i="3" s="1"/>
  <c r="G207" i="3"/>
  <c r="F207" i="3"/>
  <c r="E207" i="3"/>
  <c r="D207" i="3"/>
  <c r="C207" i="3"/>
  <c r="A207" i="3"/>
  <c r="AS206" i="3"/>
  <c r="AT206" i="3" s="1"/>
  <c r="AB206" i="3"/>
  <c r="AC206" i="3" s="1"/>
  <c r="G206" i="3"/>
  <c r="F206" i="3"/>
  <c r="E206" i="3"/>
  <c r="D206" i="3"/>
  <c r="C206" i="3"/>
  <c r="A206" i="3"/>
  <c r="AS205" i="3"/>
  <c r="AT205" i="3" s="1"/>
  <c r="AB205" i="3"/>
  <c r="AC205" i="3" s="1"/>
  <c r="G205" i="3"/>
  <c r="F205" i="3"/>
  <c r="E205" i="3"/>
  <c r="D205" i="3"/>
  <c r="C205" i="3"/>
  <c r="A205" i="3"/>
  <c r="AS204" i="3"/>
  <c r="AT204" i="3" s="1"/>
  <c r="AB204" i="3"/>
  <c r="AC204" i="3" s="1"/>
  <c r="G204" i="3"/>
  <c r="F204" i="3"/>
  <c r="E204" i="3"/>
  <c r="D204" i="3"/>
  <c r="C204" i="3"/>
  <c r="A204" i="3"/>
  <c r="AS203" i="3"/>
  <c r="AT203" i="3" s="1"/>
  <c r="AB203" i="3"/>
  <c r="AC203" i="3" s="1"/>
  <c r="G203" i="3"/>
  <c r="F203" i="3"/>
  <c r="E203" i="3"/>
  <c r="D203" i="3"/>
  <c r="C203" i="3"/>
  <c r="A203" i="3"/>
  <c r="AS202" i="3"/>
  <c r="AT202" i="3" s="1"/>
  <c r="AB202" i="3"/>
  <c r="AC202" i="3" s="1"/>
  <c r="G202" i="3"/>
  <c r="F202" i="3"/>
  <c r="E202" i="3"/>
  <c r="D202" i="3"/>
  <c r="C202" i="3"/>
  <c r="A202" i="3"/>
  <c r="AS201" i="3"/>
  <c r="AT201" i="3" s="1"/>
  <c r="AB201" i="3"/>
  <c r="AC201" i="3" s="1"/>
  <c r="G201" i="3"/>
  <c r="F201" i="3"/>
  <c r="E201" i="3"/>
  <c r="D201" i="3"/>
  <c r="C201" i="3"/>
  <c r="A201" i="3" s="1"/>
  <c r="AS200" i="3"/>
  <c r="AT200" i="3" s="1"/>
  <c r="AB200" i="3"/>
  <c r="AC200" i="3" s="1"/>
  <c r="G200" i="3"/>
  <c r="F200" i="3"/>
  <c r="E200" i="3"/>
  <c r="D200" i="3"/>
  <c r="C200" i="3"/>
  <c r="A200" i="3"/>
  <c r="AS199" i="3"/>
  <c r="AT199" i="3" s="1"/>
  <c r="AB199" i="3"/>
  <c r="AC199" i="3" s="1"/>
  <c r="G199" i="3"/>
  <c r="F199" i="3"/>
  <c r="E199" i="3"/>
  <c r="D199" i="3"/>
  <c r="C199" i="3"/>
  <c r="A199" i="3"/>
  <c r="AS198" i="3"/>
  <c r="AT198" i="3" s="1"/>
  <c r="AB198" i="3"/>
  <c r="AC198" i="3" s="1"/>
  <c r="G198" i="3"/>
  <c r="F198" i="3"/>
  <c r="E198" i="3"/>
  <c r="D198" i="3"/>
  <c r="C198" i="3"/>
  <c r="A198" i="3"/>
  <c r="AS197" i="3"/>
  <c r="AT197" i="3" s="1"/>
  <c r="AB197" i="3"/>
  <c r="AC197" i="3" s="1"/>
  <c r="G197" i="3"/>
  <c r="F197" i="3"/>
  <c r="E197" i="3"/>
  <c r="D197" i="3"/>
  <c r="C197" i="3"/>
  <c r="A197" i="3"/>
  <c r="AS196" i="3"/>
  <c r="AT196" i="3" s="1"/>
  <c r="AB196" i="3"/>
  <c r="AC196" i="3" s="1"/>
  <c r="G196" i="3"/>
  <c r="F196" i="3"/>
  <c r="E196" i="3"/>
  <c r="D196" i="3"/>
  <c r="C196" i="3"/>
  <c r="A196" i="3"/>
  <c r="AS195" i="3"/>
  <c r="AT195" i="3" s="1"/>
  <c r="AB195" i="3"/>
  <c r="AC195" i="3" s="1"/>
  <c r="G195" i="3"/>
  <c r="F195" i="3"/>
  <c r="E195" i="3"/>
  <c r="D195" i="3"/>
  <c r="C195" i="3"/>
  <c r="A195" i="3"/>
  <c r="AS194" i="3"/>
  <c r="AT194" i="3" s="1"/>
  <c r="AB194" i="3"/>
  <c r="AC194" i="3" s="1"/>
  <c r="G194" i="3"/>
  <c r="F194" i="3"/>
  <c r="E194" i="3"/>
  <c r="D194" i="3"/>
  <c r="C194" i="3"/>
  <c r="A194" i="3"/>
  <c r="AS193" i="3"/>
  <c r="AT193" i="3" s="1"/>
  <c r="AB193" i="3"/>
  <c r="AC193" i="3" s="1"/>
  <c r="G193" i="3"/>
  <c r="F193" i="3"/>
  <c r="E193" i="3"/>
  <c r="D193" i="3"/>
  <c r="C193" i="3"/>
  <c r="A193" i="3"/>
  <c r="AS192" i="3"/>
  <c r="AT192" i="3" s="1"/>
  <c r="AB192" i="3"/>
  <c r="AC192" i="3" s="1"/>
  <c r="G192" i="3"/>
  <c r="F192" i="3"/>
  <c r="E192" i="3"/>
  <c r="D192" i="3"/>
  <c r="C192" i="3"/>
  <c r="A192" i="3"/>
  <c r="AS191" i="3"/>
  <c r="AT191" i="3" s="1"/>
  <c r="AB191" i="3"/>
  <c r="AC191" i="3" s="1"/>
  <c r="G191" i="3"/>
  <c r="F191" i="3"/>
  <c r="E191" i="3"/>
  <c r="D191" i="3"/>
  <c r="C191" i="3"/>
  <c r="A191" i="3"/>
  <c r="AS190" i="3"/>
  <c r="AT190" i="3" s="1"/>
  <c r="AB190" i="3"/>
  <c r="AC190" i="3" s="1"/>
  <c r="G190" i="3"/>
  <c r="F190" i="3"/>
  <c r="E190" i="3"/>
  <c r="D190" i="3"/>
  <c r="C190" i="3"/>
  <c r="A190" i="3"/>
  <c r="AS189" i="3"/>
  <c r="AT189" i="3" s="1"/>
  <c r="AB189" i="3"/>
  <c r="AC189" i="3" s="1"/>
  <c r="G189" i="3"/>
  <c r="F189" i="3"/>
  <c r="E189" i="3"/>
  <c r="D189" i="3"/>
  <c r="C189" i="3"/>
  <c r="A189" i="3" s="1"/>
  <c r="AS188" i="3"/>
  <c r="AT188" i="3" s="1"/>
  <c r="AB188" i="3"/>
  <c r="AC188" i="3" s="1"/>
  <c r="G188" i="3"/>
  <c r="F188" i="3"/>
  <c r="E188" i="3"/>
  <c r="D188" i="3"/>
  <c r="C188" i="3"/>
  <c r="A188" i="3" s="1"/>
  <c r="AS187" i="3"/>
  <c r="AT187" i="3" s="1"/>
  <c r="AB187" i="3"/>
  <c r="AC187" i="3" s="1"/>
  <c r="G187" i="3"/>
  <c r="F187" i="3"/>
  <c r="E187" i="3"/>
  <c r="D187" i="3"/>
  <c r="C187" i="3"/>
  <c r="A187" i="3"/>
  <c r="AS186" i="3"/>
  <c r="AT186" i="3" s="1"/>
  <c r="AB186" i="3"/>
  <c r="AC186" i="3" s="1"/>
  <c r="G186" i="3"/>
  <c r="F186" i="3"/>
  <c r="E186" i="3"/>
  <c r="D186" i="3"/>
  <c r="C186" i="3"/>
  <c r="A186" i="3"/>
  <c r="AS185" i="3"/>
  <c r="AT185" i="3" s="1"/>
  <c r="AB185" i="3"/>
  <c r="AC185" i="3" s="1"/>
  <c r="G185" i="3"/>
  <c r="F185" i="3"/>
  <c r="E185" i="3"/>
  <c r="D185" i="3"/>
  <c r="C185" i="3"/>
  <c r="A185" i="3"/>
  <c r="AS184" i="3"/>
  <c r="AT184" i="3" s="1"/>
  <c r="AB184" i="3"/>
  <c r="AC184" i="3" s="1"/>
  <c r="G184" i="3"/>
  <c r="F184" i="3"/>
  <c r="E184" i="3"/>
  <c r="D184" i="3"/>
  <c r="C184" i="3"/>
  <c r="A184" i="3"/>
  <c r="AS183" i="3"/>
  <c r="AT183" i="3" s="1"/>
  <c r="AB183" i="3"/>
  <c r="AC183" i="3" s="1"/>
  <c r="G183" i="3"/>
  <c r="F183" i="3"/>
  <c r="E183" i="3"/>
  <c r="D183" i="3"/>
  <c r="C183" i="3"/>
  <c r="A183" i="3"/>
  <c r="AS182" i="3"/>
  <c r="AT182" i="3" s="1"/>
  <c r="AB182" i="3"/>
  <c r="AC182" i="3" s="1"/>
  <c r="G182" i="3"/>
  <c r="F182" i="3"/>
  <c r="E182" i="3"/>
  <c r="D182" i="3"/>
  <c r="C182" i="3"/>
  <c r="A182" i="3"/>
  <c r="AS181" i="3"/>
  <c r="AT181" i="3" s="1"/>
  <c r="AB181" i="3"/>
  <c r="AC181" i="3" s="1"/>
  <c r="G181" i="3"/>
  <c r="F181" i="3"/>
  <c r="E181" i="3"/>
  <c r="D181" i="3"/>
  <c r="C181" i="3"/>
  <c r="A181" i="3"/>
  <c r="AS180" i="3"/>
  <c r="AT180" i="3" s="1"/>
  <c r="AB180" i="3"/>
  <c r="AC180" i="3" s="1"/>
  <c r="G180" i="3"/>
  <c r="F180" i="3"/>
  <c r="E180" i="3"/>
  <c r="D180" i="3"/>
  <c r="C180" i="3"/>
  <c r="A180" i="3" s="1"/>
  <c r="AS179" i="3"/>
  <c r="AT179" i="3" s="1"/>
  <c r="AB179" i="3"/>
  <c r="AC179" i="3" s="1"/>
  <c r="G179" i="3"/>
  <c r="F179" i="3"/>
  <c r="E179" i="3"/>
  <c r="D179" i="3"/>
  <c r="C179" i="3"/>
  <c r="A179" i="3"/>
  <c r="AS178" i="3"/>
  <c r="AT178" i="3" s="1"/>
  <c r="AB178" i="3"/>
  <c r="AC178" i="3" s="1"/>
  <c r="G178" i="3"/>
  <c r="F178" i="3"/>
  <c r="E178" i="3"/>
  <c r="D178" i="3"/>
  <c r="C178" i="3"/>
  <c r="A178" i="3"/>
  <c r="AS177" i="3"/>
  <c r="AT177" i="3" s="1"/>
  <c r="AB177" i="3"/>
  <c r="AC177" i="3" s="1"/>
  <c r="G177" i="3"/>
  <c r="F177" i="3"/>
  <c r="E177" i="3"/>
  <c r="D177" i="3"/>
  <c r="C177" i="3"/>
  <c r="A177" i="3"/>
  <c r="AS176" i="3"/>
  <c r="AT176" i="3" s="1"/>
  <c r="AB176" i="3"/>
  <c r="AC176" i="3" s="1"/>
  <c r="G176" i="3"/>
  <c r="F176" i="3"/>
  <c r="E176" i="3"/>
  <c r="D176" i="3"/>
  <c r="C176" i="3"/>
  <c r="A176" i="3"/>
  <c r="AS175" i="3"/>
  <c r="AT175" i="3" s="1"/>
  <c r="AB175" i="3"/>
  <c r="AC175" i="3" s="1"/>
  <c r="G175" i="3"/>
  <c r="F175" i="3"/>
  <c r="E175" i="3"/>
  <c r="D175" i="3"/>
  <c r="C175" i="3"/>
  <c r="A175" i="3"/>
  <c r="AS174" i="3"/>
  <c r="AT174" i="3" s="1"/>
  <c r="AB174" i="3"/>
  <c r="AC174" i="3" s="1"/>
  <c r="G174" i="3"/>
  <c r="F174" i="3"/>
  <c r="E174" i="3"/>
  <c r="D174" i="3"/>
  <c r="C174" i="3"/>
  <c r="A174" i="3" s="1"/>
  <c r="AS173" i="3"/>
  <c r="AT173" i="3" s="1"/>
  <c r="AB173" i="3"/>
  <c r="AC173" i="3" s="1"/>
  <c r="G173" i="3"/>
  <c r="F173" i="3"/>
  <c r="E173" i="3"/>
  <c r="D173" i="3"/>
  <c r="C173" i="3"/>
  <c r="A173" i="3"/>
  <c r="AS172" i="3"/>
  <c r="AT172" i="3" s="1"/>
  <c r="AB172" i="3"/>
  <c r="AC172" i="3" s="1"/>
  <c r="G172" i="3"/>
  <c r="F172" i="3"/>
  <c r="E172" i="3"/>
  <c r="D172" i="3"/>
  <c r="C172" i="3"/>
  <c r="A172" i="3" s="1"/>
  <c r="AS171" i="3"/>
  <c r="AT171" i="3" s="1"/>
  <c r="AB171" i="3"/>
  <c r="AC171" i="3" s="1"/>
  <c r="G171" i="3"/>
  <c r="F171" i="3"/>
  <c r="E171" i="3"/>
  <c r="D171" i="3"/>
  <c r="C171" i="3"/>
  <c r="A171" i="3"/>
  <c r="AS170" i="3"/>
  <c r="AT170" i="3" s="1"/>
  <c r="AB170" i="3"/>
  <c r="AC170" i="3" s="1"/>
  <c r="G170" i="3"/>
  <c r="F170" i="3"/>
  <c r="E170" i="3"/>
  <c r="D170" i="3"/>
  <c r="C170" i="3"/>
  <c r="A170" i="3"/>
  <c r="AS169" i="3"/>
  <c r="AT169" i="3" s="1"/>
  <c r="AB169" i="3"/>
  <c r="AC169" i="3" s="1"/>
  <c r="G169" i="3"/>
  <c r="F169" i="3"/>
  <c r="E169" i="3"/>
  <c r="D169" i="3"/>
  <c r="C169" i="3"/>
  <c r="A169" i="3"/>
  <c r="AS168" i="3"/>
  <c r="AT168" i="3" s="1"/>
  <c r="AB168" i="3"/>
  <c r="AC168" i="3" s="1"/>
  <c r="G168" i="3"/>
  <c r="F168" i="3"/>
  <c r="E168" i="3"/>
  <c r="D168" i="3"/>
  <c r="C168" i="3"/>
  <c r="A168" i="3"/>
  <c r="AS167" i="3"/>
  <c r="AT167" i="3" s="1"/>
  <c r="AB167" i="3"/>
  <c r="AC167" i="3" s="1"/>
  <c r="G167" i="3"/>
  <c r="F167" i="3"/>
  <c r="E167" i="3"/>
  <c r="D167" i="3"/>
  <c r="C167" i="3"/>
  <c r="A167" i="3"/>
  <c r="AS166" i="3"/>
  <c r="AT166" i="3" s="1"/>
  <c r="AB166" i="3"/>
  <c r="AC166" i="3" s="1"/>
  <c r="G166" i="3"/>
  <c r="F166" i="3"/>
  <c r="E166" i="3"/>
  <c r="D166" i="3"/>
  <c r="C166" i="3"/>
  <c r="A166" i="3"/>
  <c r="AS165" i="3"/>
  <c r="AT165" i="3" s="1"/>
  <c r="AB165" i="3"/>
  <c r="AC165" i="3" s="1"/>
  <c r="G165" i="3"/>
  <c r="F165" i="3"/>
  <c r="E165" i="3"/>
  <c r="D165" i="3"/>
  <c r="C165" i="3"/>
  <c r="A165" i="3" s="1"/>
  <c r="AS164" i="3"/>
  <c r="AT164" i="3" s="1"/>
  <c r="AB164" i="3"/>
  <c r="AC164" i="3" s="1"/>
  <c r="G164" i="3"/>
  <c r="F164" i="3"/>
  <c r="E164" i="3"/>
  <c r="D164" i="3"/>
  <c r="C164" i="3"/>
  <c r="A164" i="3"/>
  <c r="AS163" i="3"/>
  <c r="AT163" i="3" s="1"/>
  <c r="AB163" i="3"/>
  <c r="AC163" i="3" s="1"/>
  <c r="G163" i="3"/>
  <c r="F163" i="3"/>
  <c r="E163" i="3"/>
  <c r="D163" i="3"/>
  <c r="C163" i="3"/>
  <c r="A163" i="3" s="1"/>
  <c r="AS162" i="3"/>
  <c r="AT162" i="3" s="1"/>
  <c r="AB162" i="3"/>
  <c r="AC162" i="3" s="1"/>
  <c r="G162" i="3"/>
  <c r="F162" i="3"/>
  <c r="E162" i="3"/>
  <c r="D162" i="3"/>
  <c r="C162" i="3"/>
  <c r="A162" i="3"/>
  <c r="AS161" i="3"/>
  <c r="AT161" i="3" s="1"/>
  <c r="AB161" i="3"/>
  <c r="AC161" i="3" s="1"/>
  <c r="G161" i="3"/>
  <c r="F161" i="3"/>
  <c r="E161" i="3"/>
  <c r="D161" i="3"/>
  <c r="C161" i="3"/>
  <c r="A161" i="3"/>
  <c r="AS160" i="3"/>
  <c r="AT160" i="3" s="1"/>
  <c r="AB160" i="3"/>
  <c r="AC160" i="3" s="1"/>
  <c r="G160" i="3"/>
  <c r="F160" i="3"/>
  <c r="E160" i="3"/>
  <c r="D160" i="3"/>
  <c r="C160" i="3"/>
  <c r="A160" i="3"/>
  <c r="AS159" i="3"/>
  <c r="AT159" i="3" s="1"/>
  <c r="AB159" i="3"/>
  <c r="AC159" i="3" s="1"/>
  <c r="G159" i="3"/>
  <c r="F159" i="3"/>
  <c r="E159" i="3"/>
  <c r="D159" i="3"/>
  <c r="C159" i="3"/>
  <c r="A159" i="3"/>
  <c r="AS158" i="3"/>
  <c r="AT158" i="3" s="1"/>
  <c r="AB158" i="3"/>
  <c r="AC158" i="3" s="1"/>
  <c r="G158" i="3"/>
  <c r="F158" i="3"/>
  <c r="E158" i="3"/>
  <c r="D158" i="3"/>
  <c r="C158" i="3"/>
  <c r="A158" i="3"/>
  <c r="AS157" i="3"/>
  <c r="AT157" i="3" s="1"/>
  <c r="AB157" i="3"/>
  <c r="AC157" i="3" s="1"/>
  <c r="G157" i="3"/>
  <c r="F157" i="3"/>
  <c r="E157" i="3"/>
  <c r="D157" i="3"/>
  <c r="C157" i="3"/>
  <c r="A157" i="3"/>
  <c r="AS156" i="3"/>
  <c r="AT156" i="3" s="1"/>
  <c r="AB156" i="3"/>
  <c r="AC156" i="3" s="1"/>
  <c r="G156" i="3"/>
  <c r="F156" i="3"/>
  <c r="E156" i="3"/>
  <c r="D156" i="3"/>
  <c r="C156" i="3"/>
  <c r="A156" i="3"/>
  <c r="AS155" i="3"/>
  <c r="AT155" i="3" s="1"/>
  <c r="AB155" i="3"/>
  <c r="AC155" i="3" s="1"/>
  <c r="G155" i="3"/>
  <c r="F155" i="3"/>
  <c r="E155" i="3"/>
  <c r="D155" i="3"/>
  <c r="C155" i="3"/>
  <c r="A155" i="3" s="1"/>
  <c r="AS154" i="3"/>
  <c r="AT154" i="3" s="1"/>
  <c r="AB154" i="3"/>
  <c r="AC154" i="3" s="1"/>
  <c r="G154" i="3"/>
  <c r="F154" i="3"/>
  <c r="E154" i="3"/>
  <c r="D154" i="3"/>
  <c r="C154" i="3"/>
  <c r="A154" i="3"/>
  <c r="AS153" i="3"/>
  <c r="AT153" i="3" s="1"/>
  <c r="AB153" i="3"/>
  <c r="AC153" i="3" s="1"/>
  <c r="G153" i="3"/>
  <c r="F153" i="3"/>
  <c r="E153" i="3"/>
  <c r="D153" i="3"/>
  <c r="C153" i="3"/>
  <c r="A153" i="3"/>
  <c r="AS152" i="3"/>
  <c r="AT152" i="3" s="1"/>
  <c r="AB152" i="3"/>
  <c r="AC152" i="3" s="1"/>
  <c r="G152" i="3"/>
  <c r="F152" i="3"/>
  <c r="E152" i="3"/>
  <c r="D152" i="3"/>
  <c r="C152" i="3"/>
  <c r="A152" i="3"/>
  <c r="AS151" i="3"/>
  <c r="AT151" i="3" s="1"/>
  <c r="AB151" i="3"/>
  <c r="AC151" i="3" s="1"/>
  <c r="G151" i="3"/>
  <c r="F151" i="3"/>
  <c r="E151" i="3"/>
  <c r="D151" i="3"/>
  <c r="C151" i="3"/>
  <c r="A151" i="3"/>
  <c r="AS150" i="3"/>
  <c r="AT150" i="3" s="1"/>
  <c r="AB150" i="3"/>
  <c r="AC150" i="3" s="1"/>
  <c r="G150" i="3"/>
  <c r="F150" i="3"/>
  <c r="E150" i="3"/>
  <c r="D150" i="3"/>
  <c r="C150" i="3"/>
  <c r="A150" i="3"/>
  <c r="AS149" i="3"/>
  <c r="AT149" i="3" s="1"/>
  <c r="AB149" i="3"/>
  <c r="AC149" i="3" s="1"/>
  <c r="G149" i="3"/>
  <c r="F149" i="3"/>
  <c r="E149" i="3"/>
  <c r="D149" i="3"/>
  <c r="C149" i="3"/>
  <c r="A149" i="3"/>
  <c r="AS148" i="3"/>
  <c r="AT148" i="3" s="1"/>
  <c r="AB148" i="3"/>
  <c r="AC148" i="3" s="1"/>
  <c r="G148" i="3"/>
  <c r="F148" i="3"/>
  <c r="E148" i="3"/>
  <c r="D148" i="3"/>
  <c r="C148" i="3"/>
  <c r="A148" i="3" s="1"/>
  <c r="AS147" i="3"/>
  <c r="AT147" i="3" s="1"/>
  <c r="AB147" i="3"/>
  <c r="AC147" i="3" s="1"/>
  <c r="G147" i="3"/>
  <c r="F147" i="3"/>
  <c r="E147" i="3"/>
  <c r="D147" i="3"/>
  <c r="C147" i="3"/>
  <c r="A147" i="3"/>
  <c r="AS146" i="3"/>
  <c r="AT146" i="3" s="1"/>
  <c r="AB146" i="3"/>
  <c r="AC146" i="3" s="1"/>
  <c r="G146" i="3"/>
  <c r="F146" i="3"/>
  <c r="E146" i="3"/>
  <c r="D146" i="3"/>
  <c r="C146" i="3"/>
  <c r="A146" i="3"/>
  <c r="AS145" i="3"/>
  <c r="AT145" i="3" s="1"/>
  <c r="AB145" i="3"/>
  <c r="AC145" i="3" s="1"/>
  <c r="G145" i="3"/>
  <c r="F145" i="3"/>
  <c r="E145" i="3"/>
  <c r="D145" i="3"/>
  <c r="C145" i="3"/>
  <c r="A145" i="3"/>
  <c r="AS144" i="3"/>
  <c r="AT144" i="3" s="1"/>
  <c r="AB144" i="3"/>
  <c r="AC144" i="3" s="1"/>
  <c r="G144" i="3"/>
  <c r="F144" i="3"/>
  <c r="E144" i="3"/>
  <c r="D144" i="3"/>
  <c r="C144" i="3"/>
  <c r="A144" i="3"/>
  <c r="AS143" i="3"/>
  <c r="AT143" i="3" s="1"/>
  <c r="AB143" i="3"/>
  <c r="AC143" i="3" s="1"/>
  <c r="G143" i="3"/>
  <c r="F143" i="3"/>
  <c r="E143" i="3"/>
  <c r="D143" i="3"/>
  <c r="C143" i="3"/>
  <c r="A143" i="3"/>
  <c r="AS142" i="3"/>
  <c r="AT142" i="3" s="1"/>
  <c r="AB142" i="3"/>
  <c r="AC142" i="3" s="1"/>
  <c r="G142" i="3"/>
  <c r="F142" i="3"/>
  <c r="E142" i="3"/>
  <c r="D142" i="3"/>
  <c r="C142" i="3"/>
  <c r="A142" i="3"/>
  <c r="AS141" i="3"/>
  <c r="AT141" i="3" s="1"/>
  <c r="AB141" i="3"/>
  <c r="AC141" i="3" s="1"/>
  <c r="G141" i="3"/>
  <c r="F141" i="3"/>
  <c r="E141" i="3"/>
  <c r="D141" i="3"/>
  <c r="C141" i="3"/>
  <c r="A141" i="3"/>
  <c r="AS140" i="3"/>
  <c r="AT140" i="3" s="1"/>
  <c r="AB140" i="3"/>
  <c r="AC140" i="3" s="1"/>
  <c r="G140" i="3"/>
  <c r="F140" i="3"/>
  <c r="E140" i="3"/>
  <c r="D140" i="3"/>
  <c r="C140" i="3"/>
  <c r="A140" i="3"/>
  <c r="AS139" i="3"/>
  <c r="AT139" i="3" s="1"/>
  <c r="AB139" i="3"/>
  <c r="AC139" i="3" s="1"/>
  <c r="G139" i="3"/>
  <c r="F139" i="3"/>
  <c r="E139" i="3"/>
  <c r="D139" i="3"/>
  <c r="C139" i="3"/>
  <c r="A139" i="3"/>
  <c r="AS138" i="3"/>
  <c r="AT138" i="3" s="1"/>
  <c r="AB138" i="3"/>
  <c r="AC138" i="3" s="1"/>
  <c r="G138" i="3"/>
  <c r="F138" i="3"/>
  <c r="E138" i="3"/>
  <c r="D138" i="3"/>
  <c r="C138" i="3"/>
  <c r="A138" i="3"/>
  <c r="AS137" i="3"/>
  <c r="AT137" i="3" s="1"/>
  <c r="AB137" i="3"/>
  <c r="AC137" i="3" s="1"/>
  <c r="G137" i="3"/>
  <c r="F137" i="3"/>
  <c r="E137" i="3"/>
  <c r="D137" i="3"/>
  <c r="C137" i="3"/>
  <c r="A137" i="3"/>
  <c r="AS136" i="3"/>
  <c r="AT136" i="3" s="1"/>
  <c r="AB136" i="3"/>
  <c r="AC136" i="3" s="1"/>
  <c r="G136" i="3"/>
  <c r="F136" i="3"/>
  <c r="E136" i="3"/>
  <c r="D136" i="3"/>
  <c r="C136" i="3"/>
  <c r="A136" i="3"/>
  <c r="AS135" i="3"/>
  <c r="AT135" i="3" s="1"/>
  <c r="AB135" i="3"/>
  <c r="AC135" i="3" s="1"/>
  <c r="G135" i="3"/>
  <c r="F135" i="3"/>
  <c r="E135" i="3"/>
  <c r="D135" i="3"/>
  <c r="C135" i="3"/>
  <c r="A135" i="3"/>
  <c r="AS134" i="3"/>
  <c r="AT134" i="3" s="1"/>
  <c r="AB134" i="3"/>
  <c r="AC134" i="3" s="1"/>
  <c r="G134" i="3"/>
  <c r="F134" i="3"/>
  <c r="E134" i="3"/>
  <c r="D134" i="3"/>
  <c r="C134" i="3"/>
  <c r="A134" i="3"/>
  <c r="AS133" i="3"/>
  <c r="AT133" i="3" s="1"/>
  <c r="AB133" i="3"/>
  <c r="AC133" i="3" s="1"/>
  <c r="G133" i="3"/>
  <c r="F133" i="3"/>
  <c r="E133" i="3"/>
  <c r="D133" i="3"/>
  <c r="C133" i="3"/>
  <c r="A133" i="3"/>
  <c r="AS132" i="3"/>
  <c r="AT132" i="3" s="1"/>
  <c r="AB132" i="3"/>
  <c r="AC132" i="3" s="1"/>
  <c r="G132" i="3"/>
  <c r="F132" i="3"/>
  <c r="E132" i="3"/>
  <c r="D132" i="3"/>
  <c r="C132" i="3"/>
  <c r="A132" i="3"/>
  <c r="AS131" i="3"/>
  <c r="AT131" i="3" s="1"/>
  <c r="AB131" i="3"/>
  <c r="AC131" i="3" s="1"/>
  <c r="G131" i="3"/>
  <c r="F131" i="3"/>
  <c r="E131" i="3"/>
  <c r="D131" i="3"/>
  <c r="C131" i="3"/>
  <c r="A131" i="3"/>
  <c r="AS130" i="3"/>
  <c r="AT130" i="3" s="1"/>
  <c r="AB130" i="3"/>
  <c r="AC130" i="3" s="1"/>
  <c r="G130" i="3"/>
  <c r="F130" i="3"/>
  <c r="E130" i="3"/>
  <c r="D130" i="3"/>
  <c r="C130" i="3"/>
  <c r="A130" i="3"/>
  <c r="AS129" i="3"/>
  <c r="AT129" i="3" s="1"/>
  <c r="AB129" i="3"/>
  <c r="AC129" i="3" s="1"/>
  <c r="G129" i="3"/>
  <c r="F129" i="3"/>
  <c r="E129" i="3"/>
  <c r="D129" i="3"/>
  <c r="C129" i="3"/>
  <c r="A129" i="3"/>
  <c r="AS128" i="3"/>
  <c r="AT128" i="3" s="1"/>
  <c r="AB128" i="3"/>
  <c r="AC128" i="3" s="1"/>
  <c r="G128" i="3"/>
  <c r="F128" i="3"/>
  <c r="E128" i="3"/>
  <c r="D128" i="3"/>
  <c r="C128" i="3"/>
  <c r="A128" i="3"/>
  <c r="AS127" i="3"/>
  <c r="AT127" i="3" s="1"/>
  <c r="AB127" i="3"/>
  <c r="AC127" i="3" s="1"/>
  <c r="G127" i="3"/>
  <c r="F127" i="3"/>
  <c r="E127" i="3"/>
  <c r="D127" i="3"/>
  <c r="C127" i="3"/>
  <c r="A127" i="3"/>
  <c r="AS126" i="3"/>
  <c r="AT126" i="3" s="1"/>
  <c r="AB126" i="3"/>
  <c r="AC126" i="3" s="1"/>
  <c r="G126" i="3"/>
  <c r="F126" i="3"/>
  <c r="E126" i="3"/>
  <c r="D126" i="3"/>
  <c r="C126" i="3"/>
  <c r="A126" i="3"/>
  <c r="AS125" i="3"/>
  <c r="AT125" i="3" s="1"/>
  <c r="AB125" i="3"/>
  <c r="AC125" i="3" s="1"/>
  <c r="G125" i="3"/>
  <c r="F125" i="3"/>
  <c r="E125" i="3"/>
  <c r="D125" i="3"/>
  <c r="C125" i="3"/>
  <c r="A125" i="3"/>
  <c r="AS124" i="3"/>
  <c r="AT124" i="3" s="1"/>
  <c r="AB124" i="3"/>
  <c r="AC124" i="3" s="1"/>
  <c r="G124" i="3"/>
  <c r="F124" i="3"/>
  <c r="E124" i="3"/>
  <c r="D124" i="3"/>
  <c r="C124" i="3"/>
  <c r="A124" i="3"/>
  <c r="AS123" i="3"/>
  <c r="AT123" i="3" s="1"/>
  <c r="AB123" i="3"/>
  <c r="AC123" i="3" s="1"/>
  <c r="G123" i="3"/>
  <c r="F123" i="3"/>
  <c r="E123" i="3"/>
  <c r="D123" i="3"/>
  <c r="C123" i="3"/>
  <c r="A123" i="3"/>
  <c r="AS122" i="3"/>
  <c r="AT122" i="3" s="1"/>
  <c r="AB122" i="3"/>
  <c r="AC122" i="3" s="1"/>
  <c r="G122" i="3"/>
  <c r="F122" i="3"/>
  <c r="E122" i="3"/>
  <c r="D122" i="3"/>
  <c r="C122" i="3"/>
  <c r="A122" i="3"/>
  <c r="AS121" i="3"/>
  <c r="AT121" i="3" s="1"/>
  <c r="AB121" i="3"/>
  <c r="AC121" i="3" s="1"/>
  <c r="G121" i="3"/>
  <c r="F121" i="3"/>
  <c r="E121" i="3"/>
  <c r="D121" i="3"/>
  <c r="C121" i="3"/>
  <c r="A121" i="3"/>
  <c r="AS120" i="3"/>
  <c r="AT120" i="3" s="1"/>
  <c r="AB120" i="3"/>
  <c r="AC120" i="3" s="1"/>
  <c r="G120" i="3"/>
  <c r="F120" i="3"/>
  <c r="E120" i="3"/>
  <c r="D120" i="3"/>
  <c r="C120" i="3"/>
  <c r="A120" i="3"/>
  <c r="AS119" i="3"/>
  <c r="AT119" i="3" s="1"/>
  <c r="AB119" i="3"/>
  <c r="AC119" i="3" s="1"/>
  <c r="G119" i="3"/>
  <c r="F119" i="3"/>
  <c r="E119" i="3"/>
  <c r="D119" i="3"/>
  <c r="C119" i="3"/>
  <c r="A119" i="3" s="1"/>
  <c r="AS118" i="3"/>
  <c r="AT118" i="3" s="1"/>
  <c r="AB118" i="3"/>
  <c r="AC118" i="3" s="1"/>
  <c r="G118" i="3"/>
  <c r="F118" i="3"/>
  <c r="E118" i="3"/>
  <c r="D118" i="3"/>
  <c r="C118" i="3"/>
  <c r="A118" i="3"/>
  <c r="AS117" i="3"/>
  <c r="AT117" i="3" s="1"/>
  <c r="AB117" i="3"/>
  <c r="AC117" i="3" s="1"/>
  <c r="G117" i="3"/>
  <c r="F117" i="3"/>
  <c r="E117" i="3"/>
  <c r="D117" i="3"/>
  <c r="C117" i="3"/>
  <c r="A117" i="3"/>
  <c r="AS116" i="3"/>
  <c r="AT116" i="3" s="1"/>
  <c r="AB116" i="3"/>
  <c r="AC116" i="3" s="1"/>
  <c r="G116" i="3"/>
  <c r="F116" i="3"/>
  <c r="E116" i="3"/>
  <c r="D116" i="3"/>
  <c r="C116" i="3"/>
  <c r="A116" i="3"/>
  <c r="AS115" i="3"/>
  <c r="AT115" i="3" s="1"/>
  <c r="AB115" i="3"/>
  <c r="AC115" i="3" s="1"/>
  <c r="G115" i="3"/>
  <c r="F115" i="3"/>
  <c r="E115" i="3"/>
  <c r="D115" i="3"/>
  <c r="C115" i="3"/>
  <c r="A115" i="3"/>
  <c r="AS114" i="3"/>
  <c r="AT114" i="3" s="1"/>
  <c r="AB114" i="3"/>
  <c r="AC114" i="3" s="1"/>
  <c r="G114" i="3"/>
  <c r="F114" i="3"/>
  <c r="E114" i="3"/>
  <c r="D114" i="3"/>
  <c r="C114" i="3"/>
  <c r="A114" i="3"/>
  <c r="AS113" i="3"/>
  <c r="AT113" i="3" s="1"/>
  <c r="AB113" i="3"/>
  <c r="AC113" i="3" s="1"/>
  <c r="G113" i="3"/>
  <c r="F113" i="3"/>
  <c r="E113" i="3"/>
  <c r="D113" i="3"/>
  <c r="C113" i="3"/>
  <c r="A113" i="3"/>
  <c r="AS112" i="3"/>
  <c r="AT112" i="3" s="1"/>
  <c r="AB112" i="3"/>
  <c r="AC112" i="3" s="1"/>
  <c r="G112" i="3"/>
  <c r="F112" i="3"/>
  <c r="E112" i="3"/>
  <c r="D112" i="3"/>
  <c r="C112" i="3"/>
  <c r="A112" i="3"/>
  <c r="AS111" i="3"/>
  <c r="AT111" i="3" s="1"/>
  <c r="AB111" i="3"/>
  <c r="AC111" i="3" s="1"/>
  <c r="G111" i="3"/>
  <c r="F111" i="3"/>
  <c r="E111" i="3"/>
  <c r="D111" i="3"/>
  <c r="C111" i="3"/>
  <c r="A111" i="3"/>
  <c r="AS110" i="3"/>
  <c r="AT110" i="3" s="1"/>
  <c r="AB110" i="3"/>
  <c r="AC110" i="3" s="1"/>
  <c r="G110" i="3"/>
  <c r="F110" i="3"/>
  <c r="E110" i="3"/>
  <c r="D110" i="3"/>
  <c r="C110" i="3"/>
  <c r="A110" i="3"/>
  <c r="AS109" i="3"/>
  <c r="AT109" i="3" s="1"/>
  <c r="AB109" i="3"/>
  <c r="AC109" i="3" s="1"/>
  <c r="G109" i="3"/>
  <c r="F109" i="3"/>
  <c r="E109" i="3"/>
  <c r="D109" i="3"/>
  <c r="C109" i="3"/>
  <c r="A109" i="3"/>
  <c r="AS108" i="3"/>
  <c r="AT108" i="3" s="1"/>
  <c r="AB108" i="3"/>
  <c r="AC108" i="3" s="1"/>
  <c r="G108" i="3"/>
  <c r="F108" i="3"/>
  <c r="E108" i="3"/>
  <c r="D108" i="3"/>
  <c r="C108" i="3"/>
  <c r="A108" i="3"/>
  <c r="AS107" i="3"/>
  <c r="AT107" i="3" s="1"/>
  <c r="AB107" i="3"/>
  <c r="AC107" i="3" s="1"/>
  <c r="G107" i="3"/>
  <c r="F107" i="3"/>
  <c r="E107" i="3"/>
  <c r="D107" i="3"/>
  <c r="C107" i="3"/>
  <c r="A107" i="3" s="1"/>
  <c r="AS106" i="3"/>
  <c r="AT106" i="3" s="1"/>
  <c r="AB106" i="3"/>
  <c r="AC106" i="3" s="1"/>
  <c r="G106" i="3"/>
  <c r="F106" i="3"/>
  <c r="E106" i="3"/>
  <c r="D106" i="3"/>
  <c r="C106" i="3"/>
  <c r="A106" i="3" s="1"/>
  <c r="AS105" i="3"/>
  <c r="AT105" i="3" s="1"/>
  <c r="AB105" i="3"/>
  <c r="AC105" i="3" s="1"/>
  <c r="G105" i="3"/>
  <c r="F105" i="3"/>
  <c r="E105" i="3"/>
  <c r="D105" i="3"/>
  <c r="C105" i="3"/>
  <c r="A105" i="3"/>
  <c r="AS104" i="3"/>
  <c r="AT104" i="3" s="1"/>
  <c r="AB104" i="3"/>
  <c r="AC104" i="3" s="1"/>
  <c r="G104" i="3"/>
  <c r="F104" i="3"/>
  <c r="E104" i="3"/>
  <c r="D104" i="3"/>
  <c r="C104" i="3"/>
  <c r="A104" i="3"/>
  <c r="AS103" i="3"/>
  <c r="AT103" i="3" s="1"/>
  <c r="AB103" i="3"/>
  <c r="AC103" i="3" s="1"/>
  <c r="G103" i="3"/>
  <c r="F103" i="3"/>
  <c r="E103" i="3"/>
  <c r="D103" i="3"/>
  <c r="C103" i="3"/>
  <c r="A103" i="3"/>
  <c r="AS102" i="3"/>
  <c r="AT102" i="3" s="1"/>
  <c r="AB102" i="3"/>
  <c r="AC102" i="3" s="1"/>
  <c r="G102" i="3"/>
  <c r="F102" i="3"/>
  <c r="E102" i="3"/>
  <c r="D102" i="3"/>
  <c r="C102" i="3"/>
  <c r="A102" i="3" s="1"/>
  <c r="AS101" i="3"/>
  <c r="AT101" i="3" s="1"/>
  <c r="AB101" i="3"/>
  <c r="AC101" i="3" s="1"/>
  <c r="G101" i="3"/>
  <c r="F101" i="3"/>
  <c r="E101" i="3"/>
  <c r="D101" i="3"/>
  <c r="C101" i="3"/>
  <c r="A101" i="3"/>
  <c r="AS100" i="3"/>
  <c r="AT100" i="3" s="1"/>
  <c r="AB100" i="3"/>
  <c r="AC100" i="3" s="1"/>
  <c r="G100" i="3"/>
  <c r="F100" i="3"/>
  <c r="E100" i="3"/>
  <c r="D100" i="3"/>
  <c r="C100" i="3"/>
  <c r="A100" i="3"/>
  <c r="AS99" i="3"/>
  <c r="AT99" i="3" s="1"/>
  <c r="AB99" i="3"/>
  <c r="AC99" i="3" s="1"/>
  <c r="G99" i="3"/>
  <c r="F99" i="3"/>
  <c r="E99" i="3"/>
  <c r="D99" i="3"/>
  <c r="C99" i="3"/>
  <c r="A99" i="3"/>
  <c r="AS98" i="3"/>
  <c r="AT98" i="3" s="1"/>
  <c r="AB98" i="3"/>
  <c r="AC98" i="3" s="1"/>
  <c r="G98" i="3"/>
  <c r="F98" i="3"/>
  <c r="E98" i="3"/>
  <c r="D98" i="3"/>
  <c r="C98" i="3"/>
  <c r="A98" i="3" s="1"/>
  <c r="AS97" i="3"/>
  <c r="AT97" i="3" s="1"/>
  <c r="AB97" i="3"/>
  <c r="AC97" i="3" s="1"/>
  <c r="G97" i="3"/>
  <c r="F97" i="3"/>
  <c r="E97" i="3"/>
  <c r="D97" i="3"/>
  <c r="C97" i="3"/>
  <c r="A97" i="3"/>
  <c r="AS96" i="3"/>
  <c r="AT96" i="3" s="1"/>
  <c r="AB96" i="3"/>
  <c r="AC96" i="3" s="1"/>
  <c r="G96" i="3"/>
  <c r="F96" i="3"/>
  <c r="E96" i="3"/>
  <c r="D96" i="3"/>
  <c r="C96" i="3"/>
  <c r="A96" i="3"/>
  <c r="AS95" i="3"/>
  <c r="AT95" i="3" s="1"/>
  <c r="AB95" i="3"/>
  <c r="AC95" i="3" s="1"/>
  <c r="G95" i="3"/>
  <c r="F95" i="3"/>
  <c r="E95" i="3"/>
  <c r="D95" i="3"/>
  <c r="C95" i="3"/>
  <c r="A95" i="3"/>
  <c r="AS94" i="3"/>
  <c r="AT94" i="3" s="1"/>
  <c r="AB94" i="3"/>
  <c r="AC94" i="3" s="1"/>
  <c r="G94" i="3"/>
  <c r="F94" i="3"/>
  <c r="E94" i="3"/>
  <c r="D94" i="3"/>
  <c r="C94" i="3"/>
  <c r="A94" i="3"/>
  <c r="AS93" i="3"/>
  <c r="AT93" i="3" s="1"/>
  <c r="AB93" i="3"/>
  <c r="AC93" i="3" s="1"/>
  <c r="G93" i="3"/>
  <c r="F93" i="3"/>
  <c r="E93" i="3"/>
  <c r="D93" i="3"/>
  <c r="C93" i="3"/>
  <c r="A93" i="3"/>
  <c r="AS92" i="3"/>
  <c r="AT92" i="3" s="1"/>
  <c r="AB92" i="3"/>
  <c r="AC92" i="3" s="1"/>
  <c r="G92" i="3"/>
  <c r="F92" i="3"/>
  <c r="E92" i="3"/>
  <c r="D92" i="3"/>
  <c r="C92" i="3"/>
  <c r="A92" i="3"/>
  <c r="AS91" i="3"/>
  <c r="AT91" i="3" s="1"/>
  <c r="AB91" i="3"/>
  <c r="AC91" i="3" s="1"/>
  <c r="G91" i="3"/>
  <c r="F91" i="3"/>
  <c r="E91" i="3"/>
  <c r="D91" i="3"/>
  <c r="C91" i="3"/>
  <c r="A91" i="3"/>
  <c r="AS90" i="3"/>
  <c r="AT90" i="3" s="1"/>
  <c r="AB90" i="3"/>
  <c r="AC90" i="3" s="1"/>
  <c r="G90" i="3"/>
  <c r="F90" i="3"/>
  <c r="E90" i="3"/>
  <c r="D90" i="3"/>
  <c r="C90" i="3"/>
  <c r="A90" i="3"/>
  <c r="AS89" i="3"/>
  <c r="AT89" i="3" s="1"/>
  <c r="AB89" i="3"/>
  <c r="AC89" i="3" s="1"/>
  <c r="G89" i="3"/>
  <c r="F89" i="3"/>
  <c r="E89" i="3"/>
  <c r="D89" i="3"/>
  <c r="C89" i="3"/>
  <c r="A89" i="3"/>
  <c r="AS88" i="3"/>
  <c r="AT88" i="3" s="1"/>
  <c r="AB88" i="3"/>
  <c r="AC88" i="3" s="1"/>
  <c r="G88" i="3"/>
  <c r="F88" i="3"/>
  <c r="E88" i="3"/>
  <c r="D88" i="3"/>
  <c r="C88" i="3"/>
  <c r="A88" i="3" s="1"/>
  <c r="AS87" i="3"/>
  <c r="AT87" i="3" s="1"/>
  <c r="AB87" i="3"/>
  <c r="AC87" i="3" s="1"/>
  <c r="G87" i="3"/>
  <c r="F87" i="3"/>
  <c r="E87" i="3"/>
  <c r="D87" i="3"/>
  <c r="C87" i="3"/>
  <c r="A87" i="3"/>
  <c r="AS86" i="3"/>
  <c r="AT86" i="3" s="1"/>
  <c r="AB86" i="3"/>
  <c r="AC86" i="3" s="1"/>
  <c r="G86" i="3"/>
  <c r="F86" i="3"/>
  <c r="E86" i="3"/>
  <c r="D86" i="3"/>
  <c r="C86" i="3"/>
  <c r="A86" i="3"/>
  <c r="AS85" i="3"/>
  <c r="AT85" i="3" s="1"/>
  <c r="AB85" i="3"/>
  <c r="AC85" i="3" s="1"/>
  <c r="G85" i="3"/>
  <c r="F85" i="3"/>
  <c r="E85" i="3"/>
  <c r="D85" i="3"/>
  <c r="C85" i="3"/>
  <c r="A85" i="3" s="1"/>
  <c r="AS84" i="3"/>
  <c r="AT84" i="3" s="1"/>
  <c r="AB84" i="3"/>
  <c r="AC84" i="3" s="1"/>
  <c r="G84" i="3"/>
  <c r="F84" i="3"/>
  <c r="E84" i="3"/>
  <c r="D84" i="3"/>
  <c r="C84" i="3"/>
  <c r="A84" i="3"/>
  <c r="AS83" i="3"/>
  <c r="AT83" i="3" s="1"/>
  <c r="AB83" i="3"/>
  <c r="AC83" i="3" s="1"/>
  <c r="G83" i="3"/>
  <c r="F83" i="3"/>
  <c r="E83" i="3"/>
  <c r="D83" i="3"/>
  <c r="C83" i="3"/>
  <c r="A83" i="3" s="1"/>
  <c r="AS82" i="3"/>
  <c r="AT82" i="3" s="1"/>
  <c r="AB82" i="3"/>
  <c r="AC82" i="3" s="1"/>
  <c r="G82" i="3"/>
  <c r="F82" i="3"/>
  <c r="E82" i="3"/>
  <c r="D82" i="3"/>
  <c r="C82" i="3"/>
  <c r="A82" i="3"/>
  <c r="AS81" i="3"/>
  <c r="AT81" i="3" s="1"/>
  <c r="AB81" i="3"/>
  <c r="AC81" i="3" s="1"/>
  <c r="G81" i="3"/>
  <c r="F81" i="3"/>
  <c r="E81" i="3"/>
  <c r="D81" i="3"/>
  <c r="C81" i="3"/>
  <c r="A81" i="3"/>
  <c r="AS80" i="3"/>
  <c r="AT80" i="3" s="1"/>
  <c r="AB80" i="3"/>
  <c r="AC80" i="3" s="1"/>
  <c r="G80" i="3"/>
  <c r="F80" i="3"/>
  <c r="E80" i="3"/>
  <c r="D80" i="3"/>
  <c r="C80" i="3"/>
  <c r="A80" i="3"/>
  <c r="AS79" i="3"/>
  <c r="AT79" i="3" s="1"/>
  <c r="AB79" i="3"/>
  <c r="AC79" i="3" s="1"/>
  <c r="G79" i="3"/>
  <c r="F79" i="3"/>
  <c r="E79" i="3"/>
  <c r="D79" i="3"/>
  <c r="C79" i="3"/>
  <c r="A79" i="3"/>
  <c r="AS78" i="3"/>
  <c r="AT78" i="3" s="1"/>
  <c r="AB78" i="3"/>
  <c r="AC78" i="3" s="1"/>
  <c r="G78" i="3"/>
  <c r="F78" i="3"/>
  <c r="E78" i="3"/>
  <c r="D78" i="3"/>
  <c r="C78" i="3"/>
  <c r="A78" i="3"/>
  <c r="AS77" i="3"/>
  <c r="AT77" i="3" s="1"/>
  <c r="AB77" i="3"/>
  <c r="AC77" i="3" s="1"/>
  <c r="G77" i="3"/>
  <c r="F77" i="3"/>
  <c r="E77" i="3"/>
  <c r="D77" i="3"/>
  <c r="C77" i="3"/>
  <c r="A77" i="3"/>
  <c r="AS76" i="3"/>
  <c r="AT76" i="3" s="1"/>
  <c r="AB76" i="3"/>
  <c r="AC76" i="3" s="1"/>
  <c r="G76" i="3"/>
  <c r="F76" i="3"/>
  <c r="E76" i="3"/>
  <c r="D76" i="3"/>
  <c r="C76" i="3"/>
  <c r="A76" i="3"/>
  <c r="AS75" i="3"/>
  <c r="AT75" i="3" s="1"/>
  <c r="AB75" i="3"/>
  <c r="AC75" i="3" s="1"/>
  <c r="G75" i="3"/>
  <c r="F75" i="3"/>
  <c r="E75" i="3"/>
  <c r="D75" i="3"/>
  <c r="C75" i="3"/>
  <c r="A75" i="3" s="1"/>
  <c r="AS74" i="3"/>
  <c r="AT74" i="3" s="1"/>
  <c r="AB74" i="3"/>
  <c r="AC74" i="3" s="1"/>
  <c r="G74" i="3"/>
  <c r="F74" i="3"/>
  <c r="E74" i="3"/>
  <c r="D74" i="3"/>
  <c r="C74" i="3"/>
  <c r="A74" i="3"/>
  <c r="AS73" i="3"/>
  <c r="AT73" i="3" s="1"/>
  <c r="AB73" i="3"/>
  <c r="AC73" i="3" s="1"/>
  <c r="G73" i="3"/>
  <c r="F73" i="3"/>
  <c r="E73" i="3"/>
  <c r="D73" i="3"/>
  <c r="C73" i="3"/>
  <c r="A73" i="3"/>
  <c r="AS72" i="3"/>
  <c r="AT72" i="3" s="1"/>
  <c r="AB72" i="3"/>
  <c r="AC72" i="3" s="1"/>
  <c r="G72" i="3"/>
  <c r="F72" i="3"/>
  <c r="E72" i="3"/>
  <c r="D72" i="3"/>
  <c r="C72" i="3"/>
  <c r="A72" i="3"/>
  <c r="AS71" i="3"/>
  <c r="AT71" i="3" s="1"/>
  <c r="AB71" i="3"/>
  <c r="AC71" i="3" s="1"/>
  <c r="G71" i="3"/>
  <c r="F71" i="3"/>
  <c r="E71" i="3"/>
  <c r="D71" i="3"/>
  <c r="C71" i="3"/>
  <c r="A71" i="3"/>
  <c r="AS70" i="3"/>
  <c r="AT70" i="3" s="1"/>
  <c r="AB70" i="3"/>
  <c r="AC70" i="3" s="1"/>
  <c r="G70" i="3"/>
  <c r="F70" i="3"/>
  <c r="E70" i="3"/>
  <c r="D70" i="3"/>
  <c r="C70" i="3"/>
  <c r="A70" i="3"/>
  <c r="AS69" i="3"/>
  <c r="AT69" i="3" s="1"/>
  <c r="AB69" i="3"/>
  <c r="AC69" i="3" s="1"/>
  <c r="G69" i="3"/>
  <c r="F69" i="3"/>
  <c r="E69" i="3"/>
  <c r="D69" i="3"/>
  <c r="C69" i="3"/>
  <c r="A69" i="3"/>
  <c r="AS68" i="3"/>
  <c r="AT68" i="3" s="1"/>
  <c r="AB68" i="3"/>
  <c r="AC68" i="3" s="1"/>
  <c r="G68" i="3"/>
  <c r="F68" i="3"/>
  <c r="E68" i="3"/>
  <c r="D68" i="3"/>
  <c r="C68" i="3"/>
  <c r="A68" i="3"/>
  <c r="AS67" i="3"/>
  <c r="AT67" i="3" s="1"/>
  <c r="AB67" i="3"/>
  <c r="AC67" i="3" s="1"/>
  <c r="G67" i="3"/>
  <c r="F67" i="3"/>
  <c r="E67" i="3"/>
  <c r="D67" i="3"/>
  <c r="C67" i="3"/>
  <c r="A67" i="3"/>
  <c r="AS66" i="3"/>
  <c r="AT66" i="3" s="1"/>
  <c r="AB66" i="3"/>
  <c r="AC66" i="3" s="1"/>
  <c r="G66" i="3"/>
  <c r="F66" i="3"/>
  <c r="E66" i="3"/>
  <c r="D66" i="3"/>
  <c r="C66" i="3"/>
  <c r="A66" i="3" s="1"/>
  <c r="AS65" i="3"/>
  <c r="AT65" i="3" s="1"/>
  <c r="AB65" i="3"/>
  <c r="AC65" i="3" s="1"/>
  <c r="G65" i="3"/>
  <c r="F65" i="3"/>
  <c r="E65" i="3"/>
  <c r="D65" i="3"/>
  <c r="C65" i="3"/>
  <c r="A65" i="3"/>
  <c r="AS64" i="3"/>
  <c r="AT64" i="3" s="1"/>
  <c r="AB64" i="3"/>
  <c r="AC64" i="3" s="1"/>
  <c r="G64" i="3"/>
  <c r="F64" i="3"/>
  <c r="E64" i="3"/>
  <c r="D64" i="3"/>
  <c r="C64" i="3"/>
  <c r="A64" i="3"/>
  <c r="AS63" i="3"/>
  <c r="AT63" i="3" s="1"/>
  <c r="AB63" i="3"/>
  <c r="AC63" i="3" s="1"/>
  <c r="G63" i="3"/>
  <c r="F63" i="3"/>
  <c r="E63" i="3"/>
  <c r="D63" i="3"/>
  <c r="C63" i="3"/>
  <c r="A63" i="3"/>
  <c r="AS62" i="3"/>
  <c r="AT62" i="3" s="1"/>
  <c r="AB62" i="3"/>
  <c r="AC62" i="3" s="1"/>
  <c r="G62" i="3"/>
  <c r="F62" i="3"/>
  <c r="E62" i="3"/>
  <c r="D62" i="3"/>
  <c r="C62" i="3"/>
  <c r="A62" i="3"/>
  <c r="AS61" i="3"/>
  <c r="AT61" i="3" s="1"/>
  <c r="AB61" i="3"/>
  <c r="AC61" i="3" s="1"/>
  <c r="G61" i="3"/>
  <c r="F61" i="3"/>
  <c r="E61" i="3"/>
  <c r="D61" i="3"/>
  <c r="C61" i="3"/>
  <c r="A61" i="3"/>
  <c r="AS60" i="3"/>
  <c r="AT60" i="3" s="1"/>
  <c r="AB60" i="3"/>
  <c r="AC60" i="3" s="1"/>
  <c r="G60" i="3"/>
  <c r="F60" i="3"/>
  <c r="E60" i="3"/>
  <c r="D60" i="3"/>
  <c r="C60" i="3"/>
  <c r="A60" i="3" s="1"/>
  <c r="AS59" i="3"/>
  <c r="AT59" i="3" s="1"/>
  <c r="AB59" i="3"/>
  <c r="AC59" i="3" s="1"/>
  <c r="G59" i="3"/>
  <c r="F59" i="3"/>
  <c r="E59" i="3"/>
  <c r="D59" i="3"/>
  <c r="C59" i="3"/>
  <c r="A59" i="3"/>
  <c r="AS58" i="3"/>
  <c r="AT58" i="3" s="1"/>
  <c r="AB58" i="3"/>
  <c r="AC58" i="3" s="1"/>
  <c r="G58" i="3"/>
  <c r="F58" i="3"/>
  <c r="E58" i="3"/>
  <c r="D58" i="3"/>
  <c r="C58" i="3"/>
  <c r="A58" i="3"/>
  <c r="AS57" i="3"/>
  <c r="AT57" i="3" s="1"/>
  <c r="AB57" i="3"/>
  <c r="AC57" i="3" s="1"/>
  <c r="G57" i="3"/>
  <c r="F57" i="3"/>
  <c r="E57" i="3"/>
  <c r="D57" i="3"/>
  <c r="C57" i="3"/>
  <c r="A57" i="3"/>
  <c r="AS56" i="3"/>
  <c r="AT56" i="3" s="1"/>
  <c r="AB56" i="3"/>
  <c r="AC56" i="3" s="1"/>
  <c r="G56" i="3"/>
  <c r="F56" i="3"/>
  <c r="E56" i="3"/>
  <c r="D56" i="3"/>
  <c r="C56" i="3"/>
  <c r="A56" i="3"/>
  <c r="AS55" i="3"/>
  <c r="AT55" i="3" s="1"/>
  <c r="AB55" i="3"/>
  <c r="AC55" i="3" s="1"/>
  <c r="G55" i="3"/>
  <c r="F55" i="3"/>
  <c r="E55" i="3"/>
  <c r="D55" i="3"/>
  <c r="C55" i="3"/>
  <c r="A55" i="3"/>
  <c r="AS54" i="3"/>
  <c r="AT54" i="3" s="1"/>
  <c r="AB54" i="3"/>
  <c r="AC54" i="3" s="1"/>
  <c r="G54" i="3"/>
  <c r="F54" i="3"/>
  <c r="E54" i="3"/>
  <c r="D54" i="3"/>
  <c r="C54" i="3"/>
  <c r="AS53" i="3"/>
  <c r="AT53" i="3" s="1"/>
  <c r="AB53" i="3"/>
  <c r="AC53" i="3" s="1"/>
  <c r="G53" i="3"/>
  <c r="F53" i="3"/>
  <c r="E53" i="3"/>
  <c r="D53" i="3"/>
  <c r="C53" i="3"/>
  <c r="A53" i="3" s="1"/>
  <c r="AS52" i="3"/>
  <c r="AT52" i="3" s="1"/>
  <c r="AB52" i="3"/>
  <c r="AC52" i="3" s="1"/>
  <c r="G52" i="3"/>
  <c r="F52" i="3"/>
  <c r="E52" i="3"/>
  <c r="D52" i="3"/>
  <c r="C52" i="3"/>
  <c r="A52" i="3" s="1"/>
  <c r="AS51" i="3"/>
  <c r="AT51" i="3" s="1"/>
  <c r="AB51" i="3"/>
  <c r="AC51" i="3" s="1"/>
  <c r="G51" i="3"/>
  <c r="F51" i="3"/>
  <c r="E51" i="3"/>
  <c r="D51" i="3"/>
  <c r="C51" i="3"/>
  <c r="A51" i="3"/>
  <c r="AS50" i="3"/>
  <c r="AT50" i="3" s="1"/>
  <c r="AB50" i="3"/>
  <c r="AC50" i="3" s="1"/>
  <c r="G50" i="3"/>
  <c r="F50" i="3"/>
  <c r="E50" i="3"/>
  <c r="D50" i="3"/>
  <c r="C50" i="3"/>
  <c r="A50" i="3"/>
  <c r="AS49" i="3"/>
  <c r="AT49" i="3" s="1"/>
  <c r="AB49" i="3"/>
  <c r="AC49" i="3" s="1"/>
  <c r="G49" i="3"/>
  <c r="F49" i="3"/>
  <c r="E49" i="3"/>
  <c r="D49" i="3"/>
  <c r="C49" i="3"/>
  <c r="A49" i="3"/>
  <c r="AS48" i="3"/>
  <c r="AT48" i="3" s="1"/>
  <c r="AB48" i="3"/>
  <c r="AC48" i="3" s="1"/>
  <c r="G48" i="3"/>
  <c r="F48" i="3"/>
  <c r="E48" i="3"/>
  <c r="D48" i="3"/>
  <c r="C48" i="3"/>
  <c r="A48" i="3"/>
  <c r="AS47" i="3"/>
  <c r="AT47" i="3" s="1"/>
  <c r="AB47" i="3"/>
  <c r="AC47" i="3" s="1"/>
  <c r="G47" i="3"/>
  <c r="F47" i="3"/>
  <c r="E47" i="3"/>
  <c r="D47" i="3"/>
  <c r="C47" i="3"/>
  <c r="A47" i="3"/>
  <c r="AS46" i="3"/>
  <c r="AT46" i="3" s="1"/>
  <c r="AB46" i="3"/>
  <c r="AC46" i="3" s="1"/>
  <c r="G46" i="3"/>
  <c r="F46" i="3"/>
  <c r="E46" i="3"/>
  <c r="D46" i="3"/>
  <c r="C46" i="3"/>
  <c r="A46" i="3"/>
  <c r="AS45" i="3"/>
  <c r="AT45" i="3" s="1"/>
  <c r="AB45" i="3"/>
  <c r="AC45" i="3" s="1"/>
  <c r="G45" i="3"/>
  <c r="F45" i="3"/>
  <c r="E45" i="3"/>
  <c r="D45" i="3"/>
  <c r="C45" i="3"/>
  <c r="A45" i="3"/>
  <c r="AS44" i="3"/>
  <c r="AT44" i="3" s="1"/>
  <c r="AB44" i="3"/>
  <c r="AC44" i="3" s="1"/>
  <c r="G44" i="3"/>
  <c r="F44" i="3"/>
  <c r="E44" i="3"/>
  <c r="D44" i="3"/>
  <c r="C44" i="3"/>
  <c r="A44" i="3"/>
  <c r="AS43" i="3"/>
  <c r="AT43" i="3" s="1"/>
  <c r="AB43" i="3"/>
  <c r="AC43" i="3" s="1"/>
  <c r="G43" i="3"/>
  <c r="F43" i="3"/>
  <c r="E43" i="3"/>
  <c r="D43" i="3"/>
  <c r="C43" i="3"/>
  <c r="A43" i="3"/>
  <c r="AS42" i="3"/>
  <c r="AT42" i="3" s="1"/>
  <c r="AB42" i="3"/>
  <c r="AC42" i="3" s="1"/>
  <c r="G42" i="3"/>
  <c r="F42" i="3"/>
  <c r="E42" i="3"/>
  <c r="D42" i="3"/>
  <c r="C42" i="3"/>
  <c r="A42" i="3"/>
  <c r="AS41" i="3"/>
  <c r="AT41" i="3" s="1"/>
  <c r="AB41" i="3"/>
  <c r="AC41" i="3" s="1"/>
  <c r="G41" i="3"/>
  <c r="F41" i="3"/>
  <c r="E41" i="3"/>
  <c r="D41" i="3"/>
  <c r="C41" i="3"/>
  <c r="A41" i="3"/>
  <c r="AS40" i="3"/>
  <c r="AT40" i="3" s="1"/>
  <c r="AB40" i="3"/>
  <c r="AC40" i="3" s="1"/>
  <c r="G40" i="3"/>
  <c r="F40" i="3"/>
  <c r="E40" i="3"/>
  <c r="D40" i="3"/>
  <c r="C40" i="3"/>
  <c r="A40" i="3" s="1"/>
  <c r="AS39" i="3"/>
  <c r="AT39" i="3" s="1"/>
  <c r="AB39" i="3"/>
  <c r="AC39" i="3" s="1"/>
  <c r="G39" i="3"/>
  <c r="F39" i="3"/>
  <c r="E39" i="3"/>
  <c r="D39" i="3"/>
  <c r="C39" i="3"/>
  <c r="A39" i="3"/>
  <c r="AS38" i="3"/>
  <c r="AT38" i="3" s="1"/>
  <c r="AB38" i="3"/>
  <c r="AC38" i="3" s="1"/>
  <c r="G38" i="3"/>
  <c r="F38" i="3"/>
  <c r="E38" i="3"/>
  <c r="D38" i="3"/>
  <c r="C38" i="3"/>
  <c r="A38" i="3"/>
  <c r="AS37" i="3"/>
  <c r="AT37" i="3" s="1"/>
  <c r="AB37" i="3"/>
  <c r="AC37" i="3" s="1"/>
  <c r="G37" i="3"/>
  <c r="F37" i="3"/>
  <c r="E37" i="3"/>
  <c r="D37" i="3"/>
  <c r="C37" i="3"/>
  <c r="A37" i="3"/>
  <c r="AS36" i="3"/>
  <c r="AT36" i="3" s="1"/>
  <c r="AB36" i="3"/>
  <c r="AC36" i="3" s="1"/>
  <c r="G36" i="3"/>
  <c r="F36" i="3"/>
  <c r="E36" i="3"/>
  <c r="D36" i="3"/>
  <c r="C36" i="3"/>
  <c r="A36" i="3"/>
  <c r="AS35" i="3"/>
  <c r="AT35" i="3" s="1"/>
  <c r="AB35" i="3"/>
  <c r="AC35" i="3" s="1"/>
  <c r="G35" i="3"/>
  <c r="F35" i="3"/>
  <c r="E35" i="3"/>
  <c r="D35" i="3"/>
  <c r="C35" i="3"/>
  <c r="A35" i="3"/>
  <c r="AS34" i="3"/>
  <c r="AT34" i="3" s="1"/>
  <c r="AB34" i="3"/>
  <c r="AC34" i="3" s="1"/>
  <c r="G34" i="3"/>
  <c r="F34" i="3"/>
  <c r="E34" i="3"/>
  <c r="D34" i="3"/>
  <c r="C34" i="3"/>
  <c r="A34" i="3"/>
  <c r="AS33" i="3"/>
  <c r="AT33" i="3" s="1"/>
  <c r="AB33" i="3"/>
  <c r="AC33" i="3" s="1"/>
  <c r="G33" i="3"/>
  <c r="F33" i="3"/>
  <c r="E33" i="3"/>
  <c r="D33" i="3"/>
  <c r="C33" i="3"/>
  <c r="A33" i="3"/>
  <c r="AS32" i="3"/>
  <c r="AT32" i="3" s="1"/>
  <c r="AB32" i="3"/>
  <c r="AC32" i="3" s="1"/>
  <c r="G32" i="3"/>
  <c r="F32" i="3"/>
  <c r="E32" i="3"/>
  <c r="D32" i="3"/>
  <c r="C32" i="3"/>
  <c r="A32" i="3"/>
  <c r="AS31" i="3"/>
  <c r="AT31" i="3" s="1"/>
  <c r="AB31" i="3"/>
  <c r="AC31" i="3" s="1"/>
  <c r="G31" i="3"/>
  <c r="F31" i="3"/>
  <c r="E31" i="3"/>
  <c r="D31" i="3"/>
  <c r="C31" i="3"/>
  <c r="A31" i="3"/>
  <c r="AS30" i="3"/>
  <c r="AT30" i="3" s="1"/>
  <c r="AB30" i="3"/>
  <c r="AC30" i="3" s="1"/>
  <c r="G30" i="3"/>
  <c r="F30" i="3"/>
  <c r="E30" i="3"/>
  <c r="D30" i="3"/>
  <c r="C30" i="3"/>
  <c r="A30" i="3"/>
  <c r="AS29" i="3"/>
  <c r="AT29" i="3" s="1"/>
  <c r="AB29" i="3"/>
  <c r="AC29" i="3" s="1"/>
  <c r="G29" i="3"/>
  <c r="F29" i="3"/>
  <c r="E29" i="3"/>
  <c r="D29" i="3"/>
  <c r="C29" i="3"/>
  <c r="A29" i="3"/>
  <c r="AS28" i="3"/>
  <c r="AT28" i="3" s="1"/>
  <c r="AB28" i="3"/>
  <c r="AC28" i="3" s="1"/>
  <c r="G28" i="3"/>
  <c r="F28" i="3"/>
  <c r="E28" i="3"/>
  <c r="D28" i="3"/>
  <c r="C28" i="3"/>
  <c r="A28" i="3" s="1"/>
  <c r="AS27" i="3"/>
  <c r="AT27" i="3" s="1"/>
  <c r="AB27" i="3"/>
  <c r="AC27" i="3" s="1"/>
  <c r="G27" i="3"/>
  <c r="F27" i="3"/>
  <c r="E27" i="3"/>
  <c r="D27" i="3"/>
  <c r="C27" i="3"/>
  <c r="A27" i="3" s="1"/>
  <c r="AS26" i="3"/>
  <c r="AT26" i="3" s="1"/>
  <c r="AB26" i="3"/>
  <c r="AC26" i="3" s="1"/>
  <c r="G26" i="3"/>
  <c r="F26" i="3"/>
  <c r="E26" i="3"/>
  <c r="D26" i="3"/>
  <c r="C26" i="3"/>
  <c r="A26" i="3"/>
  <c r="AS25" i="3"/>
  <c r="AT25" i="3" s="1"/>
  <c r="AB25" i="3"/>
  <c r="AC25" i="3" s="1"/>
  <c r="G25" i="3"/>
  <c r="F25" i="3"/>
  <c r="E25" i="3"/>
  <c r="D25" i="3"/>
  <c r="C25" i="3"/>
  <c r="A25" i="3"/>
  <c r="AS24" i="3"/>
  <c r="AT24" i="3" s="1"/>
  <c r="AB24" i="3"/>
  <c r="AC24" i="3" s="1"/>
  <c r="G24" i="3"/>
  <c r="F24" i="3"/>
  <c r="E24" i="3"/>
  <c r="D24" i="3"/>
  <c r="C24" i="3"/>
  <c r="A24" i="3" s="1"/>
  <c r="AS23" i="3"/>
  <c r="AT23" i="3" s="1"/>
  <c r="AB23" i="3"/>
  <c r="AC23" i="3" s="1"/>
  <c r="G23" i="3"/>
  <c r="F23" i="3"/>
  <c r="E23" i="3"/>
  <c r="D23" i="3"/>
  <c r="C23" i="3"/>
  <c r="A23" i="3"/>
  <c r="AS22" i="3"/>
  <c r="AT22" i="3" s="1"/>
  <c r="AB22" i="3"/>
  <c r="AC22" i="3" s="1"/>
  <c r="G22" i="3"/>
  <c r="F22" i="3"/>
  <c r="E22" i="3"/>
  <c r="D22" i="3"/>
  <c r="C22" i="3"/>
  <c r="A22" i="3"/>
  <c r="AS21" i="3"/>
  <c r="AT21" i="3" s="1"/>
  <c r="AB21" i="3"/>
  <c r="AC21" i="3" s="1"/>
  <c r="G21" i="3"/>
  <c r="F21" i="3"/>
  <c r="E21" i="3"/>
  <c r="D21" i="3"/>
  <c r="C21" i="3"/>
  <c r="A21" i="3"/>
  <c r="AS20" i="3"/>
  <c r="AT20" i="3" s="1"/>
  <c r="AB20" i="3"/>
  <c r="AC20" i="3" s="1"/>
  <c r="G20" i="3"/>
  <c r="F20" i="3"/>
  <c r="E20" i="3"/>
  <c r="D20" i="3"/>
  <c r="C20" i="3"/>
  <c r="A20" i="3" s="1"/>
  <c r="AS19" i="3"/>
  <c r="AT19" i="3" s="1"/>
  <c r="AB19" i="3"/>
  <c r="AC19" i="3" s="1"/>
  <c r="G19" i="3"/>
  <c r="F19" i="3"/>
  <c r="E19" i="3"/>
  <c r="D19" i="3"/>
  <c r="C19" i="3"/>
  <c r="A19" i="3"/>
  <c r="AS18" i="3"/>
  <c r="AT18" i="3" s="1"/>
  <c r="AB18" i="3"/>
  <c r="AC18" i="3" s="1"/>
  <c r="G18" i="3"/>
  <c r="F18" i="3"/>
  <c r="E18" i="3"/>
  <c r="D18" i="3"/>
  <c r="C18" i="3"/>
  <c r="A18" i="3"/>
  <c r="AS17" i="3"/>
  <c r="AT17" i="3" s="1"/>
  <c r="AB17" i="3"/>
  <c r="AC17" i="3" s="1"/>
  <c r="G17" i="3"/>
  <c r="F17" i="3"/>
  <c r="E17" i="3"/>
  <c r="D17" i="3"/>
  <c r="C17" i="3"/>
  <c r="A17" i="3"/>
  <c r="AS16" i="3"/>
  <c r="AT16" i="3" s="1"/>
  <c r="AB16" i="3"/>
  <c r="AC16" i="3" s="1"/>
  <c r="G16" i="3"/>
  <c r="F16" i="3"/>
  <c r="E16" i="3"/>
  <c r="D16" i="3"/>
  <c r="C16" i="3"/>
  <c r="A16" i="3"/>
  <c r="AS15" i="3"/>
  <c r="AT15" i="3" s="1"/>
  <c r="AB15" i="3"/>
  <c r="AC15" i="3" s="1"/>
  <c r="G15" i="3"/>
  <c r="F15" i="3"/>
  <c r="E15" i="3"/>
  <c r="D15" i="3"/>
  <c r="C15" i="3"/>
  <c r="A15" i="3"/>
  <c r="AS14" i="3"/>
  <c r="AT14" i="3" s="1"/>
  <c r="AB14" i="3"/>
  <c r="AC14" i="3" s="1"/>
  <c r="G14" i="3"/>
  <c r="F14" i="3"/>
  <c r="E14" i="3"/>
  <c r="D14" i="3"/>
  <c r="C14" i="3"/>
  <c r="A14" i="3"/>
  <c r="AS13" i="3"/>
  <c r="AT13" i="3" s="1"/>
  <c r="AB13" i="3"/>
  <c r="AC13" i="3" s="1"/>
  <c r="G13" i="3"/>
  <c r="F13" i="3"/>
  <c r="E13" i="3"/>
  <c r="D13" i="3"/>
  <c r="C13" i="3"/>
  <c r="A13" i="3"/>
  <c r="AS12" i="3"/>
  <c r="AT12" i="3" s="1"/>
  <c r="AB12" i="3"/>
  <c r="AC12" i="3" s="1"/>
  <c r="G12" i="3"/>
  <c r="F12" i="3"/>
  <c r="E12" i="3"/>
  <c r="D12" i="3"/>
  <c r="C12" i="3"/>
  <c r="A12" i="3"/>
  <c r="AS11" i="3"/>
  <c r="AT11" i="3" s="1"/>
  <c r="AB11" i="3"/>
  <c r="AC11" i="3" s="1"/>
  <c r="G11" i="3"/>
  <c r="F11" i="3"/>
  <c r="E11" i="3"/>
  <c r="D11" i="3"/>
  <c r="C11" i="3"/>
  <c r="A11" i="3"/>
  <c r="AS10" i="3"/>
  <c r="AT10" i="3" s="1"/>
  <c r="AB10" i="3"/>
  <c r="AC10" i="3" s="1"/>
  <c r="G10" i="3"/>
  <c r="F10" i="3"/>
  <c r="E10" i="3"/>
  <c r="D10" i="3"/>
  <c r="C10" i="3"/>
  <c r="A10" i="3"/>
  <c r="AS9" i="3"/>
  <c r="AT9" i="3" s="1"/>
  <c r="AB9" i="3"/>
  <c r="AC9" i="3" s="1"/>
  <c r="G9" i="3"/>
  <c r="F9" i="3"/>
  <c r="E9" i="3"/>
  <c r="D9" i="3"/>
  <c r="C9" i="3"/>
  <c r="A9" i="3"/>
  <c r="AS8" i="3"/>
  <c r="AT8" i="3" s="1"/>
  <c r="AB8" i="3"/>
  <c r="AC8" i="3" s="1"/>
  <c r="G8" i="3"/>
  <c r="F8" i="3"/>
  <c r="E8" i="3"/>
  <c r="D8" i="3"/>
  <c r="C8" i="3"/>
  <c r="A8" i="3"/>
  <c r="AS7" i="3"/>
  <c r="AT7" i="3" s="1"/>
  <c r="AB7" i="3"/>
  <c r="AC7" i="3" s="1"/>
  <c r="G7" i="3"/>
  <c r="F7" i="3"/>
  <c r="E7" i="3"/>
  <c r="D7" i="3"/>
  <c r="C7" i="3"/>
  <c r="A7" i="3"/>
  <c r="AS6" i="3"/>
  <c r="AT6" i="3" s="1"/>
  <c r="AB6" i="3"/>
  <c r="AC6" i="3" s="1"/>
  <c r="G6" i="3"/>
  <c r="F6" i="3"/>
  <c r="E6" i="3"/>
  <c r="D6" i="3"/>
  <c r="C6" i="3"/>
  <c r="A6" i="3"/>
  <c r="AS5" i="3"/>
  <c r="AT5" i="3" s="1"/>
  <c r="AB5" i="3"/>
  <c r="AC5" i="3" s="1"/>
  <c r="G5" i="3"/>
  <c r="F5" i="3"/>
  <c r="E5" i="3"/>
  <c r="D5" i="3"/>
  <c r="C5" i="3"/>
  <c r="A5" i="3"/>
  <c r="AS4" i="3"/>
  <c r="AT4" i="3" s="1"/>
  <c r="AB4" i="3"/>
  <c r="AC4" i="3" s="1"/>
  <c r="G4" i="3"/>
  <c r="F4" i="3"/>
  <c r="E4" i="3"/>
  <c r="D4" i="3"/>
  <c r="C4" i="3"/>
  <c r="A4" i="3"/>
  <c r="AS3" i="3"/>
  <c r="AT3" i="3" s="1"/>
  <c r="AB3" i="3"/>
  <c r="AC3" i="3" s="1"/>
  <c r="G3" i="3"/>
  <c r="F3" i="3"/>
  <c r="E3" i="3"/>
  <c r="D3" i="3"/>
  <c r="C3" i="3"/>
  <c r="A3" i="3"/>
  <c r="AS2" i="3"/>
  <c r="AT2" i="3" s="1"/>
  <c r="AB2" i="3"/>
  <c r="AC2" i="3" s="1"/>
  <c r="G2" i="3"/>
  <c r="F2" i="3"/>
  <c r="E2" i="3"/>
  <c r="D2" i="3"/>
  <c r="C2" i="3"/>
  <c r="A2" i="3"/>
  <c r="A727" i="3" l="1"/>
  <c r="A649" i="3"/>
  <c r="A54" i="3"/>
  <c r="J4" i="5"/>
  <c r="I4" i="5"/>
  <c r="J3" i="5"/>
  <c r="I3" i="5"/>
  <c r="J2" i="5"/>
  <c r="I2" i="5"/>
  <c r="J217" i="5"/>
  <c r="I307" i="5"/>
  <c r="J324" i="5"/>
  <c r="I321" i="5"/>
  <c r="J319" i="5"/>
  <c r="I318" i="5"/>
  <c r="I316" i="5"/>
  <c r="I313" i="5"/>
  <c r="I311" i="5"/>
  <c r="I308" i="5"/>
  <c r="I305" i="5"/>
  <c r="I301" i="5"/>
  <c r="J298" i="5"/>
  <c r="J294" i="5"/>
  <c r="I291" i="5"/>
  <c r="J287" i="5"/>
  <c r="J284" i="5"/>
  <c r="J280" i="5"/>
  <c r="I271" i="5"/>
  <c r="I264" i="5"/>
  <c r="I258" i="5"/>
  <c r="J252" i="5"/>
  <c r="J246" i="5"/>
  <c r="J242" i="5"/>
  <c r="I239" i="5"/>
  <c r="I235" i="5"/>
  <c r="I232" i="5"/>
  <c r="I228" i="5"/>
  <c r="I222" i="5"/>
  <c r="J200" i="5"/>
  <c r="I195" i="5"/>
  <c r="I191" i="5"/>
  <c r="I186" i="5"/>
  <c r="J181" i="5"/>
  <c r="I177" i="5"/>
  <c r="J172" i="5"/>
  <c r="I163" i="5"/>
  <c r="I159" i="5"/>
  <c r="I154" i="5"/>
  <c r="I147" i="5"/>
  <c r="J140" i="5"/>
  <c r="J135" i="5"/>
  <c r="I130" i="5"/>
  <c r="J125" i="5"/>
  <c r="J118" i="5"/>
  <c r="J109" i="5"/>
  <c r="I70" i="5"/>
  <c r="J65" i="5"/>
  <c r="I60" i="5"/>
  <c r="I55" i="5"/>
  <c r="I46" i="5"/>
  <c r="J37" i="5"/>
  <c r="J32" i="5"/>
  <c r="I28" i="5"/>
  <c r="I23" i="5"/>
  <c r="I17" i="5"/>
  <c r="J12" i="5"/>
  <c r="I322" i="5"/>
  <c r="J321" i="5"/>
  <c r="I319" i="5"/>
  <c r="J317" i="5"/>
  <c r="J316" i="5"/>
  <c r="I314" i="5"/>
  <c r="J312" i="5"/>
  <c r="I310" i="5"/>
  <c r="J307" i="5"/>
  <c r="J304" i="5"/>
  <c r="I302" i="5"/>
  <c r="J299" i="5"/>
  <c r="I295" i="5"/>
  <c r="I292" i="5"/>
  <c r="I287" i="5"/>
  <c r="J282" i="5"/>
  <c r="I277" i="5"/>
  <c r="J272" i="5"/>
  <c r="J268" i="5"/>
  <c r="I262" i="5"/>
  <c r="I257" i="5"/>
  <c r="I251" i="5"/>
  <c r="J247" i="5"/>
  <c r="I242" i="5"/>
  <c r="I237" i="5"/>
  <c r="I233" i="5"/>
  <c r="J229" i="5"/>
  <c r="I224" i="5"/>
  <c r="I204" i="5"/>
  <c r="J193" i="5"/>
  <c r="J188" i="5"/>
  <c r="I184" i="5"/>
  <c r="J179" i="5"/>
  <c r="I175" i="5"/>
  <c r="J170" i="5"/>
  <c r="I166" i="5"/>
  <c r="J161" i="5"/>
  <c r="J157" i="5"/>
  <c r="I153" i="5"/>
  <c r="J144" i="5"/>
  <c r="J139" i="5"/>
  <c r="I131" i="5"/>
  <c r="I126" i="5"/>
  <c r="J121" i="5"/>
  <c r="J116" i="5"/>
  <c r="J112" i="5"/>
  <c r="J72" i="5"/>
  <c r="I67" i="5"/>
  <c r="I62" i="5"/>
  <c r="J56" i="5"/>
  <c r="I52" i="5"/>
  <c r="J45" i="5"/>
  <c r="I41" i="5"/>
  <c r="J36" i="5"/>
  <c r="J31" i="5"/>
  <c r="J24" i="5"/>
  <c r="J20" i="5"/>
  <c r="I12" i="5"/>
  <c r="I8" i="5"/>
  <c r="J325" i="5"/>
  <c r="J314" i="5"/>
  <c r="J306" i="5"/>
  <c r="J301" i="5"/>
  <c r="J295" i="5"/>
  <c r="I289" i="5"/>
  <c r="I280" i="5"/>
  <c r="J271" i="5"/>
  <c r="I265" i="5"/>
  <c r="I259" i="5"/>
  <c r="I253" i="5"/>
  <c r="I247" i="5"/>
  <c r="I241" i="5"/>
  <c r="J236" i="5"/>
  <c r="I229" i="5"/>
  <c r="J222" i="5"/>
  <c r="J195" i="5"/>
  <c r="I189" i="5"/>
  <c r="J177" i="5"/>
  <c r="I170" i="5"/>
  <c r="I164" i="5"/>
  <c r="I157" i="5"/>
  <c r="I151" i="5"/>
  <c r="I143" i="5"/>
  <c r="J132" i="5"/>
  <c r="J123" i="5"/>
  <c r="I115" i="5"/>
  <c r="J71" i="5"/>
  <c r="I63" i="5"/>
  <c r="J53" i="5"/>
  <c r="J48" i="5"/>
  <c r="I36" i="5"/>
  <c r="I25" i="5"/>
  <c r="J18" i="5"/>
  <c r="J9" i="5"/>
  <c r="J297" i="5"/>
  <c r="J262" i="5"/>
  <c r="I255" i="5"/>
  <c r="J244" i="5"/>
  <c r="I238" i="5"/>
  <c r="J232" i="5"/>
  <c r="J225" i="5"/>
  <c r="J199" i="5"/>
  <c r="J189" i="5"/>
  <c r="I183" i="5"/>
  <c r="J171" i="5"/>
  <c r="J164" i="5"/>
  <c r="J154" i="5"/>
  <c r="J143" i="5"/>
  <c r="J136" i="5"/>
  <c r="J129" i="5"/>
  <c r="J119" i="5"/>
  <c r="I112" i="5"/>
  <c r="J70" i="5"/>
  <c r="J63" i="5"/>
  <c r="I56" i="5"/>
  <c r="J49" i="5"/>
  <c r="J42" i="5"/>
  <c r="J34" i="5"/>
  <c r="J28" i="5"/>
  <c r="J21" i="5"/>
  <c r="J14" i="5"/>
  <c r="J7" i="5"/>
  <c r="I326" i="5"/>
  <c r="J318" i="5"/>
  <c r="I317" i="5"/>
  <c r="J315" i="5"/>
  <c r="J313" i="5"/>
  <c r="I312" i="5"/>
  <c r="J310" i="5"/>
  <c r="J308" i="5"/>
  <c r="I304" i="5"/>
  <c r="I299" i="5"/>
  <c r="I288" i="5"/>
  <c r="I284" i="5"/>
  <c r="I279" i="5"/>
  <c r="I269" i="5"/>
  <c r="J265" i="5"/>
  <c r="J257" i="5"/>
  <c r="J253" i="5"/>
  <c r="J248" i="5"/>
  <c r="I244" i="5"/>
  <c r="J240" i="5"/>
  <c r="J235" i="5"/>
  <c r="J228" i="5"/>
  <c r="J203" i="5"/>
  <c r="I200" i="5"/>
  <c r="J192" i="5"/>
  <c r="I188" i="5"/>
  <c r="J183" i="5"/>
  <c r="J176" i="5"/>
  <c r="I172" i="5"/>
  <c r="J167" i="5"/>
  <c r="I162" i="5"/>
  <c r="J150" i="5"/>
  <c r="I146" i="5"/>
  <c r="J138" i="5"/>
  <c r="I134" i="5"/>
  <c r="J130" i="5"/>
  <c r="I125" i="5"/>
  <c r="I121" i="5"/>
  <c r="J113" i="5"/>
  <c r="J107" i="5"/>
  <c r="I68" i="5"/>
  <c r="J59" i="5"/>
  <c r="J52" i="5"/>
  <c r="I49" i="5"/>
  <c r="I44" i="5"/>
  <c r="J39" i="5"/>
  <c r="I32" i="5"/>
  <c r="I27" i="5"/>
  <c r="J22" i="5"/>
  <c r="I16" i="5"/>
  <c r="J11" i="5"/>
  <c r="J5" i="5"/>
  <c r="J322" i="5"/>
  <c r="I315" i="5"/>
  <c r="J311" i="5"/>
  <c r="J309" i="5"/>
  <c r="J305" i="5"/>
  <c r="J303" i="5"/>
  <c r="J300" i="5"/>
  <c r="I296" i="5"/>
  <c r="I293" i="5"/>
  <c r="J289" i="5"/>
  <c r="I286" i="5"/>
  <c r="J281" i="5"/>
  <c r="J273" i="5"/>
  <c r="I270" i="5"/>
  <c r="J264" i="5"/>
  <c r="I254" i="5"/>
  <c r="J250" i="5"/>
  <c r="J243" i="5"/>
  <c r="J233" i="5"/>
  <c r="I226" i="5"/>
  <c r="J204" i="5"/>
  <c r="I201" i="5"/>
  <c r="I197" i="5"/>
  <c r="I192" i="5"/>
  <c r="I185" i="5"/>
  <c r="J178" i="5"/>
  <c r="I174" i="5"/>
  <c r="I169" i="5"/>
  <c r="I165" i="5"/>
  <c r="J160" i="5"/>
  <c r="I155" i="5"/>
  <c r="J147" i="5"/>
  <c r="J142" i="5"/>
  <c r="I136" i="5"/>
  <c r="J131" i="5"/>
  <c r="I124" i="5"/>
  <c r="I117" i="5"/>
  <c r="I109" i="5"/>
  <c r="I72" i="5"/>
  <c r="J66" i="5"/>
  <c r="I57" i="5"/>
  <c r="I53" i="5"/>
  <c r="J50" i="5"/>
  <c r="I45" i="5"/>
  <c r="J40" i="5"/>
  <c r="J35" i="5"/>
  <c r="I30" i="5"/>
  <c r="J23" i="5"/>
  <c r="I19" i="5"/>
  <c r="I14" i="5"/>
  <c r="I10" i="5"/>
  <c r="I324" i="5"/>
  <c r="I309" i="5"/>
  <c r="I306" i="5"/>
  <c r="J302" i="5"/>
  <c r="I300" i="5"/>
  <c r="J296" i="5"/>
  <c r="J293" i="5"/>
  <c r="I290" i="5"/>
  <c r="J285" i="5"/>
  <c r="I282" i="5"/>
  <c r="I278" i="5"/>
  <c r="I274" i="5"/>
  <c r="J267" i="5"/>
  <c r="J259" i="5"/>
  <c r="I256" i="5"/>
  <c r="J251" i="5"/>
  <c r="J245" i="5"/>
  <c r="J238" i="5"/>
  <c r="J234" i="5"/>
  <c r="J230" i="5"/>
  <c r="J226" i="5"/>
  <c r="I196" i="5"/>
  <c r="J191" i="5"/>
  <c r="J186" i="5"/>
  <c r="J180" i="5"/>
  <c r="J175" i="5"/>
  <c r="I167" i="5"/>
  <c r="J162" i="5"/>
  <c r="J158" i="5"/>
  <c r="J153" i="5"/>
  <c r="J149" i="5"/>
  <c r="J145" i="5"/>
  <c r="J141" i="5"/>
  <c r="I137" i="5"/>
  <c r="I133" i="5"/>
  <c r="I128" i="5"/>
  <c r="I120" i="5"/>
  <c r="J115" i="5"/>
  <c r="I111" i="5"/>
  <c r="J106" i="5"/>
  <c r="J69" i="5"/>
  <c r="J62" i="5"/>
  <c r="I58" i="5"/>
  <c r="I48" i="5"/>
  <c r="I40" i="5"/>
  <c r="I35" i="5"/>
  <c r="J30" i="5"/>
  <c r="J25" i="5"/>
  <c r="I21" i="5"/>
  <c r="I15" i="5"/>
  <c r="I11" i="5"/>
  <c r="I6" i="5"/>
  <c r="I249" i="5"/>
  <c r="I225" i="5"/>
  <c r="J202" i="5"/>
  <c r="I198" i="5"/>
  <c r="I194" i="5"/>
  <c r="I187" i="5"/>
  <c r="I182" i="5"/>
  <c r="I178" i="5"/>
  <c r="I173" i="5"/>
  <c r="J168" i="5"/>
  <c r="I160" i="5"/>
  <c r="J151" i="5"/>
  <c r="J146" i="5"/>
  <c r="I142" i="5"/>
  <c r="I138" i="5"/>
  <c r="I132" i="5"/>
  <c r="I127" i="5"/>
  <c r="I122" i="5"/>
  <c r="I114" i="5"/>
  <c r="J108" i="5"/>
  <c r="I71" i="5"/>
  <c r="I66" i="5"/>
  <c r="J60" i="5"/>
  <c r="J46" i="5"/>
  <c r="J41" i="5"/>
  <c r="I34" i="5"/>
  <c r="I26" i="5"/>
  <c r="I20" i="5"/>
  <c r="J15" i="5"/>
  <c r="J6" i="5"/>
  <c r="J220" i="5"/>
  <c r="I220" i="5"/>
  <c r="J219" i="5"/>
  <c r="I219" i="5"/>
  <c r="J218" i="5"/>
  <c r="I218" i="5"/>
  <c r="I217" i="5"/>
  <c r="J216" i="5"/>
  <c r="I216" i="5"/>
  <c r="J215" i="5"/>
  <c r="I215" i="5"/>
  <c r="J214" i="5"/>
  <c r="I214" i="5"/>
  <c r="J213" i="5"/>
  <c r="I213" i="5"/>
  <c r="J212" i="5"/>
  <c r="I212" i="5"/>
  <c r="J211" i="5"/>
  <c r="I211" i="5"/>
  <c r="J210" i="5"/>
  <c r="I210" i="5"/>
  <c r="J209" i="5"/>
  <c r="I209" i="5"/>
  <c r="J208" i="5"/>
  <c r="I208" i="5"/>
  <c r="J207" i="5"/>
  <c r="I207" i="5"/>
  <c r="J206" i="5"/>
  <c r="I206" i="5"/>
  <c r="J205" i="5"/>
  <c r="I205" i="5"/>
  <c r="I199" i="5"/>
  <c r="J187" i="5"/>
  <c r="I180" i="5"/>
  <c r="J173" i="5"/>
  <c r="J166" i="5"/>
  <c r="I158" i="5"/>
  <c r="I149" i="5"/>
  <c r="I140" i="5"/>
  <c r="I129" i="5"/>
  <c r="I118" i="5"/>
  <c r="I110" i="5"/>
  <c r="I65" i="5"/>
  <c r="J54" i="5"/>
  <c r="I47" i="5"/>
  <c r="I37" i="5"/>
  <c r="J27" i="5"/>
  <c r="J16" i="5"/>
  <c r="I9" i="5"/>
  <c r="I106" i="5"/>
  <c r="J105" i="5"/>
  <c r="I105" i="5"/>
  <c r="J104" i="5"/>
  <c r="I104" i="5"/>
  <c r="J103" i="5"/>
  <c r="I103" i="5"/>
  <c r="J102" i="5"/>
  <c r="I102" i="5"/>
  <c r="J101" i="5"/>
  <c r="I101" i="5"/>
  <c r="J100" i="5"/>
  <c r="I100" i="5"/>
  <c r="J99" i="5"/>
  <c r="I99" i="5"/>
  <c r="J98" i="5"/>
  <c r="I98" i="5"/>
  <c r="J97" i="5"/>
  <c r="I97" i="5"/>
  <c r="J96" i="5"/>
  <c r="I96" i="5"/>
  <c r="J95" i="5"/>
  <c r="I95" i="5"/>
  <c r="J94" i="5"/>
  <c r="I94" i="5"/>
  <c r="J93" i="5"/>
  <c r="I93" i="5"/>
  <c r="J92" i="5"/>
  <c r="I92" i="5"/>
  <c r="J91" i="5"/>
  <c r="I91" i="5"/>
  <c r="J90" i="5"/>
  <c r="I90" i="5"/>
  <c r="J89" i="5"/>
  <c r="I89" i="5"/>
  <c r="J88" i="5"/>
  <c r="I88" i="5"/>
  <c r="J87" i="5"/>
  <c r="I87" i="5"/>
  <c r="J86" i="5"/>
  <c r="I86" i="5"/>
  <c r="J85" i="5"/>
  <c r="I85" i="5"/>
  <c r="J84" i="5"/>
  <c r="I84" i="5"/>
  <c r="J83" i="5"/>
  <c r="I83" i="5"/>
  <c r="J82" i="5"/>
  <c r="I82" i="5"/>
  <c r="J81" i="5"/>
  <c r="I81" i="5"/>
  <c r="J80" i="5"/>
  <c r="I80" i="5"/>
  <c r="J79" i="5"/>
  <c r="I79" i="5"/>
  <c r="J78" i="5"/>
  <c r="I78" i="5"/>
  <c r="J77" i="5"/>
  <c r="I77" i="5"/>
  <c r="J76" i="5"/>
  <c r="I76" i="5"/>
  <c r="J75" i="5"/>
  <c r="I75" i="5"/>
  <c r="J74" i="5"/>
  <c r="I74" i="5"/>
  <c r="J73" i="5"/>
  <c r="I69" i="5"/>
  <c r="I64" i="5"/>
  <c r="I59" i="5"/>
  <c r="J44" i="5"/>
  <c r="I39" i="5"/>
  <c r="J33" i="5"/>
  <c r="I29" i="5"/>
  <c r="I24" i="5"/>
  <c r="I18" i="5"/>
  <c r="I13" i="5"/>
  <c r="J8" i="5"/>
  <c r="J326" i="5"/>
  <c r="I323" i="5"/>
  <c r="J290" i="5"/>
  <c r="I285" i="5"/>
  <c r="I281" i="5"/>
  <c r="J277" i="5"/>
  <c r="I272" i="5"/>
  <c r="I268" i="5"/>
  <c r="J263" i="5"/>
  <c r="J255" i="5"/>
  <c r="I250" i="5"/>
  <c r="I246" i="5"/>
  <c r="J241" i="5"/>
  <c r="J237" i="5"/>
  <c r="I234" i="5"/>
  <c r="I231" i="5"/>
  <c r="J227" i="5"/>
  <c r="J223" i="5"/>
  <c r="I202" i="5"/>
  <c r="J198" i="5"/>
  <c r="J194" i="5"/>
  <c r="J190" i="5"/>
  <c r="J184" i="5"/>
  <c r="I179" i="5"/>
  <c r="I171" i="5"/>
  <c r="I161" i="5"/>
  <c r="J156" i="5"/>
  <c r="I152" i="5"/>
  <c r="I148" i="5"/>
  <c r="I144" i="5"/>
  <c r="I139" i="5"/>
  <c r="J134" i="5"/>
  <c r="J128" i="5"/>
  <c r="J124" i="5"/>
  <c r="I119" i="5"/>
  <c r="J114" i="5"/>
  <c r="J110" i="5"/>
  <c r="I73" i="5"/>
  <c r="J64" i="5"/>
  <c r="J58" i="5"/>
  <c r="I54" i="5"/>
  <c r="I50" i="5"/>
  <c r="I43" i="5"/>
  <c r="I33" i="5"/>
  <c r="J323" i="5"/>
  <c r="I303" i="5"/>
  <c r="I298" i="5"/>
  <c r="I294" i="5"/>
  <c r="J291" i="5"/>
  <c r="J286" i="5"/>
  <c r="J283" i="5"/>
  <c r="J278" i="5"/>
  <c r="I273" i="5"/>
  <c r="J269" i="5"/>
  <c r="I267" i="5"/>
  <c r="J256" i="5"/>
  <c r="I252" i="5"/>
  <c r="I248" i="5"/>
  <c r="I243" i="5"/>
  <c r="J239" i="5"/>
  <c r="J231" i="5"/>
  <c r="I227" i="5"/>
  <c r="I223" i="5"/>
  <c r="J201" i="5"/>
  <c r="J197" i="5"/>
  <c r="I193" i="5"/>
  <c r="J182" i="5"/>
  <c r="I176" i="5"/>
  <c r="I168" i="5"/>
  <c r="J163" i="5"/>
  <c r="J159" i="5"/>
  <c r="J155" i="5"/>
  <c r="I150" i="5"/>
  <c r="I145" i="5"/>
  <c r="J137" i="5"/>
  <c r="J133" i="5"/>
  <c r="J126" i="5"/>
  <c r="J122" i="5"/>
  <c r="J117" i="5"/>
  <c r="I113" i="5"/>
  <c r="I108" i="5"/>
  <c r="J68" i="5"/>
  <c r="J61" i="5"/>
  <c r="J57" i="5"/>
  <c r="J51" i="5"/>
  <c r="I42" i="5"/>
  <c r="I38" i="5"/>
  <c r="I31" i="5"/>
  <c r="J26" i="5"/>
  <c r="I22" i="5"/>
  <c r="J17" i="5"/>
  <c r="J10" i="5"/>
  <c r="I5" i="5"/>
  <c r="I325" i="5"/>
  <c r="I297" i="5"/>
  <c r="J292" i="5"/>
  <c r="J288" i="5"/>
  <c r="I283" i="5"/>
  <c r="J279" i="5"/>
  <c r="J274" i="5"/>
  <c r="J270" i="5"/>
  <c r="I263" i="5"/>
  <c r="J258" i="5"/>
  <c r="J254" i="5"/>
  <c r="J249" i="5"/>
  <c r="I245" i="5"/>
  <c r="I240" i="5"/>
  <c r="I236" i="5"/>
  <c r="I230" i="5"/>
  <c r="J224" i="5"/>
  <c r="I203" i="5"/>
  <c r="J196" i="5"/>
  <c r="I190" i="5"/>
  <c r="J185" i="5"/>
  <c r="I181" i="5"/>
  <c r="J174" i="5"/>
  <c r="J169" i="5"/>
  <c r="J165" i="5"/>
  <c r="I156" i="5"/>
  <c r="J152" i="5"/>
  <c r="J148" i="5"/>
  <c r="I141" i="5"/>
  <c r="I135" i="5"/>
  <c r="J127" i="5"/>
  <c r="J120" i="5"/>
  <c r="I116" i="5"/>
  <c r="J111" i="5"/>
  <c r="I107" i="5"/>
  <c r="J67" i="5"/>
  <c r="I61" i="5"/>
  <c r="J55" i="5"/>
  <c r="I51" i="5"/>
  <c r="J47" i="5"/>
  <c r="J43" i="5"/>
  <c r="J38" i="5"/>
  <c r="J29" i="5"/>
  <c r="J19" i="5"/>
  <c r="J13" i="5"/>
  <c r="I7" i="5"/>
  <c r="J333" i="5"/>
  <c r="J337" i="5"/>
  <c r="I366" i="5"/>
  <c r="I370" i="5"/>
  <c r="J374" i="5"/>
  <c r="J381" i="5"/>
  <c r="I382" i="5"/>
  <c r="J382" i="5"/>
  <c r="I383" i="5"/>
  <c r="J383" i="5"/>
  <c r="I384" i="5"/>
  <c r="J384" i="5"/>
  <c r="I385" i="5"/>
  <c r="J385" i="5"/>
  <c r="I386" i="5"/>
  <c r="J386" i="5"/>
  <c r="I387" i="5"/>
  <c r="J387" i="5"/>
  <c r="I388" i="5"/>
  <c r="J388" i="5"/>
  <c r="I389" i="5"/>
  <c r="J389" i="5"/>
  <c r="I390" i="5"/>
  <c r="J390" i="5"/>
  <c r="I391" i="5"/>
  <c r="J391" i="5"/>
  <c r="I392" i="5"/>
  <c r="J392" i="5"/>
  <c r="I393" i="5"/>
  <c r="J393" i="5"/>
  <c r="I394" i="5"/>
  <c r="J394" i="5"/>
  <c r="I395" i="5"/>
  <c r="J395" i="5"/>
  <c r="I396" i="5"/>
  <c r="J396" i="5"/>
  <c r="I397" i="5"/>
  <c r="J397" i="5"/>
  <c r="I398" i="5"/>
  <c r="J398" i="5"/>
  <c r="I399" i="5"/>
  <c r="J399" i="5"/>
  <c r="I400" i="5"/>
  <c r="J400" i="5"/>
  <c r="I401" i="5"/>
  <c r="J401" i="5"/>
  <c r="I402" i="5"/>
  <c r="J402" i="5"/>
  <c r="I403" i="5"/>
  <c r="J403" i="5"/>
  <c r="I404" i="5"/>
  <c r="J404" i="5"/>
  <c r="I405" i="5"/>
  <c r="J405" i="5"/>
  <c r="I406" i="5"/>
  <c r="J406" i="5"/>
  <c r="I407" i="5"/>
  <c r="J407" i="5"/>
  <c r="I408" i="5"/>
  <c r="J408" i="5"/>
  <c r="I409" i="5"/>
  <c r="J409" i="5"/>
  <c r="I410" i="5"/>
  <c r="J410" i="5"/>
  <c r="I411" i="5"/>
  <c r="J411" i="5"/>
  <c r="I412" i="5"/>
  <c r="J412" i="5"/>
  <c r="I413" i="5"/>
  <c r="J413" i="5"/>
  <c r="I414" i="5"/>
  <c r="J414" i="5"/>
  <c r="I415" i="5"/>
  <c r="J415" i="5"/>
  <c r="I416" i="5"/>
  <c r="J416" i="5"/>
  <c r="I417" i="5"/>
  <c r="J417" i="5"/>
  <c r="I418" i="5"/>
  <c r="J418" i="5"/>
  <c r="J363" i="5"/>
  <c r="I375" i="5"/>
  <c r="I378" i="5"/>
  <c r="J422" i="5"/>
  <c r="J426" i="5"/>
  <c r="I429" i="5"/>
  <c r="I433" i="5"/>
  <c r="J439" i="5"/>
  <c r="I444" i="5"/>
  <c r="I447" i="5"/>
  <c r="I450" i="5"/>
  <c r="I453" i="5"/>
  <c r="J456" i="5"/>
  <c r="J462" i="5"/>
  <c r="J465" i="5"/>
  <c r="J468" i="5"/>
  <c r="I475" i="5"/>
  <c r="J484" i="5"/>
  <c r="I488" i="5"/>
  <c r="I489" i="5"/>
  <c r="J489" i="5"/>
  <c r="I490" i="5"/>
  <c r="J490" i="5"/>
  <c r="I491" i="5"/>
  <c r="J491" i="5"/>
  <c r="I492" i="5"/>
  <c r="J492" i="5"/>
  <c r="I493" i="5"/>
  <c r="J493" i="5"/>
  <c r="I494" i="5"/>
  <c r="J494" i="5"/>
  <c r="I495" i="5"/>
  <c r="J495" i="5"/>
  <c r="I496" i="5"/>
  <c r="J496" i="5"/>
  <c r="I497" i="5"/>
  <c r="J497" i="5"/>
  <c r="I498" i="5"/>
  <c r="J498" i="5"/>
  <c r="I499" i="5"/>
  <c r="J499" i="5"/>
  <c r="I500" i="5"/>
  <c r="J500" i="5"/>
  <c r="I501" i="5"/>
  <c r="J501" i="5"/>
  <c r="I502" i="5"/>
  <c r="J502" i="5"/>
  <c r="I503" i="5"/>
  <c r="J503" i="5"/>
  <c r="I504" i="5"/>
  <c r="J504" i="5"/>
  <c r="I505" i="5"/>
  <c r="J505" i="5"/>
  <c r="I506" i="5"/>
  <c r="J506" i="5"/>
  <c r="I507" i="5"/>
  <c r="J507" i="5"/>
  <c r="I508" i="5"/>
  <c r="J508" i="5"/>
  <c r="I509" i="5"/>
  <c r="J509" i="5"/>
  <c r="I510" i="5"/>
  <c r="J510" i="5"/>
  <c r="I511" i="5"/>
  <c r="J511" i="5"/>
  <c r="I512" i="5"/>
  <c r="J512" i="5"/>
  <c r="I513" i="5"/>
  <c r="J513" i="5"/>
  <c r="I514" i="5"/>
  <c r="J514" i="5"/>
  <c r="I515" i="5"/>
  <c r="J515" i="5"/>
  <c r="I516" i="5"/>
  <c r="J516" i="5"/>
  <c r="J332" i="5"/>
  <c r="J342" i="5"/>
  <c r="I346" i="5"/>
  <c r="I350" i="5"/>
  <c r="J356" i="5"/>
  <c r="I360" i="5"/>
  <c r="I365" i="5"/>
  <c r="I373" i="5"/>
  <c r="J376" i="5"/>
  <c r="I420" i="5"/>
  <c r="J423" i="5"/>
  <c r="I425" i="5"/>
  <c r="J428" i="5"/>
  <c r="J435" i="5"/>
  <c r="I439" i="5"/>
  <c r="I443" i="5"/>
  <c r="J454" i="5"/>
  <c r="J457" i="5"/>
  <c r="J461" i="5"/>
  <c r="I465" i="5"/>
  <c r="I470" i="5"/>
  <c r="I473" i="5"/>
  <c r="J476" i="5"/>
  <c r="I479" i="5"/>
  <c r="J482" i="5"/>
  <c r="J486" i="5"/>
  <c r="J517" i="5"/>
  <c r="I523" i="5"/>
  <c r="I527" i="5"/>
  <c r="I530" i="5"/>
  <c r="J534" i="5"/>
  <c r="J538" i="5"/>
  <c r="I542" i="5"/>
  <c r="J544" i="5"/>
  <c r="J546" i="5"/>
  <c r="I549" i="5"/>
  <c r="J551" i="5"/>
  <c r="I567" i="5"/>
  <c r="I570" i="5"/>
  <c r="I576" i="5"/>
  <c r="I585" i="5"/>
  <c r="J587" i="5"/>
  <c r="J595" i="5"/>
  <c r="I597" i="5"/>
  <c r="J597" i="5"/>
  <c r="I598" i="5"/>
  <c r="J598" i="5"/>
  <c r="I599" i="5"/>
  <c r="J599" i="5"/>
  <c r="I600" i="5"/>
  <c r="J600" i="5"/>
  <c r="I601" i="5"/>
  <c r="J601" i="5"/>
  <c r="I602" i="5"/>
  <c r="J602" i="5"/>
  <c r="I603" i="5"/>
  <c r="J603" i="5"/>
  <c r="I604" i="5"/>
  <c r="J604" i="5"/>
  <c r="I605" i="5"/>
  <c r="J605" i="5"/>
  <c r="I606" i="5"/>
  <c r="J606" i="5"/>
  <c r="I607" i="5"/>
  <c r="J607" i="5"/>
  <c r="I608" i="5"/>
  <c r="J608" i="5"/>
  <c r="I609" i="5"/>
  <c r="J609" i="5"/>
  <c r="I610" i="5"/>
  <c r="J610" i="5"/>
  <c r="I611" i="5"/>
  <c r="J611" i="5"/>
  <c r="I612" i="5"/>
  <c r="J612" i="5"/>
  <c r="I613" i="5"/>
  <c r="J613" i="5"/>
  <c r="I614" i="5"/>
  <c r="J614" i="5"/>
  <c r="J712" i="5"/>
  <c r="J329" i="5"/>
  <c r="J338" i="5"/>
  <c r="J343" i="5"/>
  <c r="I348" i="5"/>
  <c r="I352" i="5"/>
  <c r="I356" i="5"/>
  <c r="I730" i="5"/>
  <c r="I333" i="5"/>
  <c r="J341" i="5"/>
  <c r="I347" i="5"/>
  <c r="J350" i="5"/>
  <c r="J355" i="5"/>
  <c r="J361" i="5"/>
  <c r="J367" i="5"/>
  <c r="I381" i="5"/>
  <c r="J424" i="5"/>
  <c r="I428" i="5"/>
  <c r="I431" i="5"/>
  <c r="I434" i="5"/>
  <c r="I437" i="5"/>
  <c r="J440" i="5"/>
  <c r="J442" i="5"/>
  <c r="I445" i="5"/>
  <c r="J448" i="5"/>
  <c r="J451" i="5"/>
  <c r="I454" i="5"/>
  <c r="J459" i="5"/>
  <c r="J463" i="5"/>
  <c r="J466" i="5"/>
  <c r="J471" i="5"/>
  <c r="J474" i="5"/>
  <c r="J478" i="5"/>
  <c r="J481" i="5"/>
  <c r="J488" i="5"/>
  <c r="J521" i="5"/>
  <c r="J523" i="5"/>
  <c r="I525" i="5"/>
  <c r="J527" i="5"/>
  <c r="J529" i="5"/>
  <c r="I534" i="5"/>
  <c r="I538" i="5"/>
  <c r="I540" i="5"/>
  <c r="J542" i="5"/>
  <c r="I545" i="5"/>
  <c r="J547" i="5"/>
  <c r="I554" i="5"/>
  <c r="I556" i="5"/>
  <c r="I559" i="5"/>
  <c r="I565" i="5"/>
  <c r="J569" i="5"/>
  <c r="I571" i="5"/>
  <c r="J573" i="5"/>
  <c r="I580" i="5"/>
  <c r="I584" i="5"/>
  <c r="I588" i="5"/>
  <c r="I591" i="5"/>
  <c r="I616" i="5"/>
  <c r="J624" i="5"/>
  <c r="J638" i="5"/>
  <c r="I640" i="5"/>
  <c r="I642" i="5"/>
  <c r="J644" i="5"/>
  <c r="I646" i="5"/>
  <c r="I648" i="5"/>
  <c r="J650" i="5"/>
  <c r="J652" i="5"/>
  <c r="J654" i="5"/>
  <c r="J656" i="5"/>
  <c r="I658" i="5"/>
  <c r="J660" i="5"/>
  <c r="J662" i="5"/>
  <c r="I664" i="5"/>
  <c r="J666" i="5"/>
  <c r="I668" i="5"/>
  <c r="I670" i="5"/>
  <c r="I673" i="5"/>
  <c r="I677" i="5"/>
  <c r="J679" i="5"/>
  <c r="I681" i="5"/>
  <c r="I683" i="5"/>
  <c r="J685" i="5"/>
  <c r="I687" i="5"/>
  <c r="J689" i="5"/>
  <c r="I692" i="5"/>
  <c r="J694" i="5"/>
  <c r="J696" i="5"/>
  <c r="I698" i="5"/>
  <c r="J700" i="5"/>
  <c r="J702" i="5"/>
  <c r="J703" i="5"/>
  <c r="J705" i="5"/>
  <c r="I707" i="5"/>
  <c r="I709" i="5"/>
  <c r="J711" i="5"/>
  <c r="I715" i="5"/>
  <c r="I717" i="5"/>
  <c r="J721" i="5"/>
  <c r="I728" i="5"/>
  <c r="I328" i="5"/>
  <c r="J331" i="5"/>
  <c r="I334" i="5"/>
  <c r="I337" i="5"/>
  <c r="J340" i="5"/>
  <c r="I343" i="5"/>
  <c r="J346" i="5"/>
  <c r="I349" i="5"/>
  <c r="J354" i="5"/>
  <c r="J357" i="5"/>
  <c r="J359" i="5"/>
  <c r="J362" i="5"/>
  <c r="J365" i="5"/>
  <c r="I369" i="5"/>
  <c r="I372" i="5"/>
  <c r="I419" i="5"/>
  <c r="I422" i="5"/>
  <c r="I427" i="5"/>
  <c r="J436" i="5"/>
  <c r="J441" i="5"/>
  <c r="J445" i="5"/>
  <c r="J452" i="5"/>
  <c r="J455" i="5"/>
  <c r="J458" i="5"/>
  <c r="I467" i="5"/>
  <c r="I471" i="5"/>
  <c r="I477" i="5"/>
  <c r="I480" i="5"/>
  <c r="J483" i="5"/>
  <c r="I524" i="5"/>
  <c r="J526" i="5"/>
  <c r="I529" i="5"/>
  <c r="I531" i="5"/>
  <c r="I533" i="5"/>
  <c r="I535" i="5"/>
  <c r="J540" i="5"/>
  <c r="I544" i="5"/>
  <c r="I548" i="5"/>
  <c r="I550" i="5"/>
  <c r="J552" i="5"/>
  <c r="J554" i="5"/>
  <c r="I558" i="5"/>
  <c r="I563" i="5"/>
  <c r="J568" i="5"/>
  <c r="J570" i="5"/>
  <c r="J572" i="5"/>
  <c r="J574" i="5"/>
  <c r="I578" i="5"/>
  <c r="I582" i="5"/>
  <c r="J584" i="5"/>
  <c r="I586" i="5"/>
  <c r="J592" i="5"/>
  <c r="J594" i="5"/>
  <c r="J615" i="5"/>
  <c r="J617" i="5"/>
  <c r="I619" i="5"/>
  <c r="J621" i="5"/>
  <c r="I623" i="5"/>
  <c r="J625" i="5"/>
  <c r="I627" i="5"/>
  <c r="J631" i="5"/>
  <c r="I633" i="5"/>
  <c r="J637" i="5"/>
  <c r="I647" i="5"/>
  <c r="I649" i="5"/>
  <c r="I651" i="5"/>
  <c r="J658" i="5"/>
  <c r="I663" i="5"/>
  <c r="I667" i="5"/>
  <c r="J669" i="5"/>
  <c r="J671" i="5"/>
  <c r="J674" i="5"/>
  <c r="J699" i="5"/>
  <c r="J701" i="5"/>
  <c r="I703" i="5"/>
  <c r="I705" i="5"/>
  <c r="J707" i="5"/>
  <c r="J709" i="5"/>
  <c r="I711" i="5"/>
  <c r="J716" i="5"/>
  <c r="I718" i="5"/>
  <c r="J720" i="5"/>
  <c r="J731" i="5"/>
  <c r="I332" i="5"/>
  <c r="J335" i="5"/>
  <c r="I340" i="5"/>
  <c r="I344" i="5"/>
  <c r="J347" i="5"/>
  <c r="I351" i="5"/>
  <c r="I354" i="5"/>
  <c r="I359" i="5"/>
  <c r="I364" i="5"/>
  <c r="J372" i="5"/>
  <c r="J375" i="5"/>
  <c r="J378" i="5"/>
  <c r="J419" i="5"/>
  <c r="I430" i="5"/>
  <c r="J433" i="5"/>
  <c r="I436" i="5"/>
  <c r="J443" i="5"/>
  <c r="I446" i="5"/>
  <c r="I461" i="5"/>
  <c r="I463" i="5"/>
  <c r="I469" i="5"/>
  <c r="J472" i="5"/>
  <c r="J479" i="5"/>
  <c r="I482" i="5"/>
  <c r="J487" i="5"/>
  <c r="I518" i="5"/>
  <c r="J522" i="5"/>
  <c r="I532" i="5"/>
  <c r="J536" i="5"/>
  <c r="I546" i="5"/>
  <c r="J548" i="5"/>
  <c r="J550" i="5"/>
  <c r="I557" i="5"/>
  <c r="J559" i="5"/>
  <c r="J561" i="5"/>
  <c r="J563" i="5"/>
  <c r="J565" i="5"/>
  <c r="I572" i="5"/>
  <c r="I575" i="5"/>
  <c r="J583" i="5"/>
  <c r="J591" i="5"/>
  <c r="I593" i="5"/>
  <c r="J616" i="5"/>
  <c r="I618" i="5"/>
  <c r="J620" i="5"/>
  <c r="I622" i="5"/>
  <c r="I624" i="5"/>
  <c r="J626" i="5"/>
  <c r="J630" i="5"/>
  <c r="J632" i="5"/>
  <c r="J636" i="5"/>
  <c r="I638" i="5"/>
  <c r="J640" i="5"/>
  <c r="J642" i="5"/>
  <c r="I644" i="5"/>
  <c r="J646" i="5"/>
  <c r="J648" i="5"/>
  <c r="I653" i="5"/>
  <c r="J655" i="5"/>
  <c r="I657" i="5"/>
  <c r="J659" i="5"/>
  <c r="J661" i="5"/>
  <c r="I665" i="5"/>
  <c r="J668" i="5"/>
  <c r="J670" i="5"/>
  <c r="J672" i="5"/>
  <c r="I674" i="5"/>
  <c r="J676" i="5"/>
  <c r="I678" i="5"/>
  <c r="J690" i="5"/>
  <c r="I700" i="5"/>
  <c r="I702" i="5"/>
  <c r="I704" i="5"/>
  <c r="I706" i="5"/>
  <c r="I708" i="5"/>
  <c r="J710" i="5"/>
  <c r="I712" i="5"/>
  <c r="J714" i="5"/>
  <c r="I716" i="5"/>
  <c r="J719" i="5"/>
  <c r="I722" i="5"/>
  <c r="J723" i="5"/>
  <c r="J725" i="5"/>
  <c r="I731" i="5"/>
  <c r="J327" i="5"/>
  <c r="I330" i="5"/>
  <c r="I336" i="5"/>
  <c r="I339" i="5"/>
  <c r="I342" i="5"/>
  <c r="I345" i="5"/>
  <c r="J348" i="5"/>
  <c r="J352" i="5"/>
  <c r="I355" i="5"/>
  <c r="I358" i="5"/>
  <c r="I362" i="5"/>
  <c r="I367" i="5"/>
  <c r="J370" i="5"/>
  <c r="J373" i="5"/>
  <c r="I376" i="5"/>
  <c r="I379" i="5"/>
  <c r="I421" i="5"/>
  <c r="J425" i="5"/>
  <c r="J429" i="5"/>
  <c r="J432" i="5"/>
  <c r="I435" i="5"/>
  <c r="J446" i="5"/>
  <c r="J449" i="5"/>
  <c r="I457" i="5"/>
  <c r="I462" i="5"/>
  <c r="J467" i="5"/>
  <c r="J470" i="5"/>
  <c r="J473" i="5"/>
  <c r="I476" i="5"/>
  <c r="I484" i="5"/>
  <c r="I487" i="5"/>
  <c r="I520" i="5"/>
  <c r="J528" i="5"/>
  <c r="J532" i="5"/>
  <c r="I537" i="5"/>
  <c r="I541" i="5"/>
  <c r="J543" i="5"/>
  <c r="I547" i="5"/>
  <c r="J549" i="5"/>
  <c r="I561" i="5"/>
  <c r="J567" i="5"/>
  <c r="I574" i="5"/>
  <c r="J581" i="5"/>
  <c r="J588" i="5"/>
  <c r="I590" i="5"/>
  <c r="J593" i="5"/>
  <c r="I595" i="5"/>
  <c r="J618" i="5"/>
  <c r="I620" i="5"/>
  <c r="I626" i="5"/>
  <c r="I628" i="5"/>
  <c r="I632" i="5"/>
  <c r="J634" i="5"/>
  <c r="I636" i="5"/>
  <c r="I641" i="5"/>
  <c r="I643" i="5"/>
  <c r="I645" i="5"/>
  <c r="J649" i="5"/>
  <c r="I661" i="5"/>
  <c r="J663" i="5"/>
  <c r="J665" i="5"/>
  <c r="J667" i="5"/>
  <c r="I669" i="5"/>
  <c r="I671" i="5"/>
  <c r="J673" i="5"/>
  <c r="I675" i="5"/>
  <c r="J677" i="5"/>
  <c r="I679" i="5"/>
  <c r="J681" i="5"/>
  <c r="J683" i="5"/>
  <c r="I685" i="5"/>
  <c r="J687" i="5"/>
  <c r="I689" i="5"/>
  <c r="I691" i="5"/>
  <c r="J693" i="5"/>
  <c r="I695" i="5"/>
  <c r="I697" i="5"/>
  <c r="I699" i="5"/>
  <c r="I714" i="5"/>
  <c r="I719" i="5"/>
  <c r="J722" i="5"/>
  <c r="I723" i="5"/>
  <c r="I726" i="5"/>
  <c r="I727" i="5"/>
  <c r="J728" i="5"/>
  <c r="I327" i="5"/>
  <c r="J330" i="5"/>
  <c r="I335" i="5"/>
  <c r="I338" i="5"/>
  <c r="I341" i="5"/>
  <c r="J345" i="5"/>
  <c r="J353" i="5"/>
  <c r="I357" i="5"/>
  <c r="I361" i="5"/>
  <c r="J364" i="5"/>
  <c r="I368" i="5"/>
  <c r="J371" i="5"/>
  <c r="I377" i="5"/>
  <c r="I380" i="5"/>
  <c r="J420" i="5"/>
  <c r="I424" i="5"/>
  <c r="J430" i="5"/>
  <c r="J434" i="5"/>
  <c r="I438" i="5"/>
  <c r="J447" i="5"/>
  <c r="J450" i="5"/>
  <c r="J453" i="5"/>
  <c r="I456" i="5"/>
  <c r="J460" i="5"/>
  <c r="I464" i="5"/>
  <c r="J469" i="5"/>
  <c r="I472" i="5"/>
  <c r="J475" i="5"/>
  <c r="I485" i="5"/>
  <c r="I519" i="5"/>
  <c r="I521" i="5"/>
  <c r="I526" i="5"/>
  <c r="J530" i="5"/>
  <c r="J533" i="5"/>
  <c r="I536" i="5"/>
  <c r="J539" i="5"/>
  <c r="J541" i="5"/>
  <c r="I551" i="5"/>
  <c r="J553" i="5"/>
  <c r="I555" i="5"/>
  <c r="J557" i="5"/>
  <c r="I560" i="5"/>
  <c r="J562" i="5"/>
  <c r="J564" i="5"/>
  <c r="J571" i="5"/>
  <c r="J575" i="5"/>
  <c r="J577" i="5"/>
  <c r="I579" i="5"/>
  <c r="I581" i="5"/>
  <c r="I583" i="5"/>
  <c r="J585" i="5"/>
  <c r="I587" i="5"/>
  <c r="J589" i="5"/>
  <c r="I594" i="5"/>
  <c r="I596" i="5"/>
  <c r="J623" i="5"/>
  <c r="J628" i="5"/>
  <c r="I630" i="5"/>
  <c r="I635" i="5"/>
  <c r="I639" i="5"/>
  <c r="I655" i="5"/>
  <c r="J657" i="5"/>
  <c r="I659" i="5"/>
  <c r="I672" i="5"/>
  <c r="J675" i="5"/>
  <c r="J682" i="5"/>
  <c r="I684" i="5"/>
  <c r="I686" i="5"/>
  <c r="I688" i="5"/>
  <c r="I690" i="5"/>
  <c r="J692" i="5"/>
  <c r="I694" i="5"/>
  <c r="I696" i="5"/>
  <c r="J698" i="5"/>
  <c r="J704" i="5"/>
  <c r="J713" i="5"/>
  <c r="J715" i="5"/>
  <c r="J717" i="5"/>
  <c r="I720" i="5"/>
  <c r="J724" i="5"/>
  <c r="I725" i="5"/>
  <c r="J726" i="5"/>
  <c r="J727" i="5"/>
  <c r="J729" i="5"/>
  <c r="I329" i="5"/>
  <c r="J336" i="5"/>
  <c r="J368" i="5"/>
  <c r="I371" i="5"/>
  <c r="I374" i="5"/>
  <c r="J379" i="5"/>
  <c r="J421" i="5"/>
  <c r="I426" i="5"/>
  <c r="I432" i="5"/>
  <c r="J437" i="5"/>
  <c r="I440" i="5"/>
  <c r="I442" i="5"/>
  <c r="I448" i="5"/>
  <c r="I451" i="5"/>
  <c r="I458" i="5"/>
  <c r="I460" i="5"/>
  <c r="J464" i="5"/>
  <c r="I466" i="5"/>
  <c r="I468" i="5"/>
  <c r="I474" i="5"/>
  <c r="I478" i="5"/>
  <c r="I481" i="5"/>
  <c r="J485" i="5"/>
  <c r="J518" i="5"/>
  <c r="J520" i="5"/>
  <c r="J525" i="5"/>
  <c r="I528" i="5"/>
  <c r="J535" i="5"/>
  <c r="J537" i="5"/>
  <c r="I552" i="5"/>
  <c r="J556" i="5"/>
  <c r="J558" i="5"/>
  <c r="J560" i="5"/>
  <c r="J566" i="5"/>
  <c r="I569" i="5"/>
  <c r="I573" i="5"/>
  <c r="I577" i="5"/>
  <c r="J579" i="5"/>
  <c r="J586" i="5"/>
  <c r="J590" i="5"/>
  <c r="J596" i="5"/>
  <c r="I617" i="5"/>
  <c r="J622" i="5"/>
  <c r="I625" i="5"/>
  <c r="J629" i="5"/>
  <c r="I634" i="5"/>
  <c r="J639" i="5"/>
  <c r="J641" i="5"/>
  <c r="J643" i="5"/>
  <c r="J645" i="5"/>
  <c r="J647" i="5"/>
  <c r="I650" i="5"/>
  <c r="I652" i="5"/>
  <c r="I654" i="5"/>
  <c r="I660" i="5"/>
  <c r="I662" i="5"/>
  <c r="J664" i="5"/>
  <c r="I666" i="5"/>
  <c r="J680" i="5"/>
  <c r="J691" i="5"/>
  <c r="I693" i="5"/>
  <c r="J695" i="5"/>
  <c r="J697" i="5"/>
  <c r="J718" i="5"/>
  <c r="I721" i="5"/>
  <c r="I724" i="5"/>
  <c r="I729" i="5"/>
  <c r="J328" i="5"/>
  <c r="I331" i="5"/>
  <c r="J334" i="5"/>
  <c r="J339" i="5"/>
  <c r="J344" i="5"/>
  <c r="J349" i="5"/>
  <c r="J351" i="5"/>
  <c r="I353" i="5"/>
  <c r="J358" i="5"/>
  <c r="J360" i="5"/>
  <c r="I363" i="5"/>
  <c r="J366" i="5"/>
  <c r="J369" i="5"/>
  <c r="J377" i="5"/>
  <c r="J380" i="5"/>
  <c r="I423" i="5"/>
  <c r="J427" i="5"/>
  <c r="J431" i="5"/>
  <c r="J438" i="5"/>
  <c r="I441" i="5"/>
  <c r="J444" i="5"/>
  <c r="I449" i="5"/>
  <c r="I452" i="5"/>
  <c r="I455" i="5"/>
  <c r="I459" i="5"/>
  <c r="J477" i="5"/>
  <c r="J480" i="5"/>
  <c r="I483" i="5"/>
  <c r="I486" i="5"/>
  <c r="I517" i="5"/>
  <c r="J519" i="5"/>
  <c r="I522" i="5"/>
  <c r="J524" i="5"/>
  <c r="J531" i="5"/>
  <c r="I539" i="5"/>
  <c r="I543" i="5"/>
  <c r="J545" i="5"/>
  <c r="I553" i="5"/>
  <c r="J555" i="5"/>
  <c r="I562" i="5"/>
  <c r="I564" i="5"/>
  <c r="I566" i="5"/>
  <c r="I568" i="5"/>
  <c r="J576" i="5"/>
  <c r="J578" i="5"/>
  <c r="J580" i="5"/>
  <c r="J582" i="5"/>
  <c r="I589" i="5"/>
  <c r="I592" i="5"/>
  <c r="I615" i="5"/>
  <c r="J619" i="5"/>
  <c r="I621" i="5"/>
  <c r="J627" i="5"/>
  <c r="I629" i="5"/>
  <c r="I631" i="5"/>
  <c r="J633" i="5"/>
  <c r="J635" i="5"/>
  <c r="I637" i="5"/>
  <c r="J651" i="5"/>
  <c r="J653" i="5"/>
  <c r="I656" i="5"/>
  <c r="I676" i="5"/>
  <c r="J678" i="5"/>
  <c r="I680" i="5"/>
  <c r="I682" i="5"/>
  <c r="J684" i="5"/>
  <c r="J686" i="5"/>
  <c r="J688" i="5"/>
  <c r="I701" i="5"/>
  <c r="J706" i="5"/>
  <c r="J708" i="5"/>
  <c r="I710" i="5"/>
  <c r="I713" i="5"/>
  <c r="J730" i="5"/>
  <c r="J221" i="5"/>
  <c r="I221" i="5"/>
  <c r="I123" i="5"/>
  <c r="I320" i="5"/>
  <c r="J3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 authorId="0" shapeId="0" xr:uid="{00000000-0006-0000-0200-000001000000}">
      <text>
        <r>
          <rPr>
            <sz val="10"/>
            <rFont val="Arial"/>
            <family val="2"/>
          </rPr>
          <t>Governance: Board-level oversight of sustainability-related risks and opportunities is described (which committee/body, and how oversight is exercised)
Scoring: 1 if the firm names a specific board/committee role and describes its oversight activity; 0 if only a generic statement that 'the board oversees sustainability'</t>
        </r>
      </text>
    </comment>
    <comment ref="I1" authorId="0" shapeId="0" xr:uid="{00000000-0006-0000-0200-000002000000}">
      <text>
        <r>
          <rPr>
            <sz val="10"/>
            <rFont val="Arial"/>
            <family val="2"/>
          </rPr>
          <t>Governance: Management's role in assessing and managing sustainability-related risks and opportunities is described (which role/officer, delegated authority)
Scoring: 1 if a specific management role or function is named with responsibilities; 0 if absent or vague</t>
        </r>
      </text>
    </comment>
    <comment ref="J1" authorId="0" shapeId="0" xr:uid="{00000000-0006-0000-0200-000003000000}">
      <text>
        <r>
          <rPr>
            <sz val="10"/>
            <rFont val="Arial"/>
            <family val="2"/>
          </rPr>
          <t>Governance: Processes and frequency by which the board is informed of sustainability-related matters are disclosed
Scoring: 1 if a reporting frequency or defined process is stated; 0 if not mentioned</t>
        </r>
      </text>
    </comment>
    <comment ref="K1" authorId="0" shapeId="0" xr:uid="{00000000-0006-0000-0200-000004000000}">
      <text>
        <r>
          <rPr>
            <sz val="10"/>
            <rFont val="Arial"/>
            <family val="2"/>
          </rPr>
          <t>Governance: Whether/how sustainability-related performance is reflected in board or executive oversight mechanisms (e.g. review of targets, sustainability committee minutes referenced)
Scoring: 1 if a concrete oversight mechanism is described; 0 if absent</t>
        </r>
      </text>
    </comment>
    <comment ref="L1" authorId="0" shapeId="0" xr:uid="{00000000-0006-0000-0200-000005000000}">
      <text>
        <r>
          <rPr>
            <sz val="10"/>
            <rFont val="Arial"/>
            <family val="2"/>
          </rPr>
          <t>Governance: Skills, competencies or expertise relevant to sustainability oversight held by the board or those charged with governance are disclosed
Scoring: 1 if specific expertise/training is named; 0 if absent</t>
        </r>
      </text>
    </comment>
    <comment ref="M1" authorId="0" shapeId="0" xr:uid="{00000000-0006-0000-0200-000006000000}">
      <text>
        <r>
          <rPr>
            <sz val="10"/>
            <rFont val="Arial"/>
            <family val="2"/>
          </rPr>
          <t>Strategy: Sustainability-related risks and opportunities the entity has identified over short, medium and long term are described
Scoring: 1 if specific risks/opportunities are named (not generic ESG language); 0 otherwise</t>
        </r>
      </text>
    </comment>
    <comment ref="N1" authorId="0" shapeId="0" xr:uid="{00000000-0006-0000-0200-000007000000}">
      <text>
        <r>
          <rPr>
            <sz val="10"/>
            <rFont val="Arial"/>
            <family val="2"/>
          </rPr>
          <t>Strategy: Effects of sustainability-related risks and opportunities on the business model and value chain are described
Scoring: 1 if a specific effect on operations/value chain is discussed; 0 if absent</t>
        </r>
      </text>
    </comment>
    <comment ref="O1" authorId="0" shapeId="0" xr:uid="{00000000-0006-0000-0200-000008000000}">
      <text>
        <r>
          <rPr>
            <sz val="10"/>
            <rFont val="Arial"/>
            <family val="2"/>
          </rPr>
          <t>Strategy: Effects of sustainability-related risks and opportunities on strategy and decision-making are described
Scoring: 1 if strategic responses are named; 0 if absent</t>
        </r>
      </text>
    </comment>
    <comment ref="P1" authorId="0" shapeId="0" xr:uid="{00000000-0006-0000-0200-000009000000}">
      <text>
        <r>
          <rPr>
            <sz val="10"/>
            <rFont val="Arial"/>
            <family val="2"/>
          </rPr>
          <t>Strategy: Effects on financial position, financial performance and cash flows (current or anticipated) are disclosed
Scoring: 1 if a financial effect, even qualitative, is quantified or specifically described; 0 if absent</t>
        </r>
      </text>
    </comment>
    <comment ref="Q1" authorId="0" shapeId="0" xr:uid="{00000000-0006-0000-0200-00000A000000}">
      <text>
        <r>
          <rPr>
            <sz val="10"/>
            <rFont val="Arial"/>
            <family val="2"/>
          </rPr>
          <t>Strategy: Resilience of the strategy to sustainability-related risks is discussed (qualitative or scenario-based)
Scoring: 1 if any resilience assessment or scenario discussion appears; 0 if absent</t>
        </r>
      </text>
    </comment>
    <comment ref="R1" authorId="0" shapeId="0" xr:uid="{00000000-0006-0000-0200-00000B000000}">
      <text>
        <r>
          <rPr>
            <sz val="10"/>
            <rFont val="Arial"/>
            <family val="2"/>
          </rPr>
          <t>Risk Management: Processes for identifying sustainability-related risks are described
Scoring: 1 if a specific process/methodology is named; 0 if absent</t>
        </r>
      </text>
    </comment>
    <comment ref="S1" authorId="0" shapeId="0" xr:uid="{00000000-0006-0000-0200-00000C000000}">
      <text>
        <r>
          <rPr>
            <sz val="10"/>
            <rFont val="Arial"/>
            <family val="2"/>
          </rPr>
          <t>Risk Management: Processes for assessing and prioritising sustainability-related risks are described
Scoring: 1 if criteria for assessment/prioritisation are named; 0 if absent</t>
        </r>
      </text>
    </comment>
    <comment ref="T1" authorId="0" shapeId="0" xr:uid="{00000000-0006-0000-0200-00000D000000}">
      <text>
        <r>
          <rPr>
            <sz val="10"/>
            <rFont val="Arial"/>
            <family val="2"/>
          </rPr>
          <t>Risk Management: Processes for monitoring sustainability-related risks are described
Scoring: 1 if an ongoing monitoring process is named; 0 if absent</t>
        </r>
      </text>
    </comment>
    <comment ref="U1" authorId="0" shapeId="0" xr:uid="{00000000-0006-0000-0200-00000E000000}">
      <text>
        <r>
          <rPr>
            <sz val="10"/>
            <rFont val="Arial"/>
            <family val="2"/>
          </rPr>
          <t>Risk Management: Integration of sustainability risk management into the entity's overall enterprise risk management is disclosed
Scoring: 1 if the disclosure explicitly states integration with ERM; 0 if silent or only implied</t>
        </r>
      </text>
    </comment>
    <comment ref="V1" authorId="0" shapeId="0" xr:uid="{00000000-0006-0000-0200-00000F000000}">
      <text>
        <r>
          <rPr>
            <sz val="10"/>
            <rFont val="Arial"/>
            <family val="2"/>
          </rPr>
          <t>Risk Management: Processes for identifying sustainability-related opportunities are described
Scoring: 1 if a specific process is named; 0 if absent</t>
        </r>
      </text>
    </comment>
    <comment ref="W1" authorId="0" shapeId="0" xr:uid="{00000000-0006-0000-0200-000010000000}">
      <text>
        <r>
          <rPr>
            <sz val="10"/>
            <rFont val="Arial"/>
            <family val="2"/>
          </rPr>
          <t>Metrics and Targets: Metrics used to measure and monitor sustainability-related performance are disclosed
Scoring: 1 if at least one named, entity-specific metric is disclosed; 0 if only narrative with no metric</t>
        </r>
      </text>
    </comment>
    <comment ref="X1" authorId="0" shapeId="0" xr:uid="{00000000-0006-0000-0200-000011000000}">
      <text>
        <r>
          <rPr>
            <sz val="10"/>
            <rFont val="Arial"/>
            <family val="2"/>
          </rPr>
          <t>Metrics and Targets: Targets set for sustainability-related performance, and progress against those targets, are disclosed
Scoring: 1 if a specific target and progress figure/status are both given; 0 if either is missing</t>
        </r>
      </text>
    </comment>
    <comment ref="Y1" authorId="0" shapeId="0" xr:uid="{00000000-0006-0000-0200-000012000000}">
      <text>
        <r>
          <rPr>
            <sz val="10"/>
            <rFont val="Arial"/>
            <family val="2"/>
          </rPr>
          <t>Metrics and Targets: Industry-based or cross-industry metrics relevant to the entity's sector are disclosed
Scoring: 1 if sector-relevant metrics beyond generic ESG figures appear; 0 if absent</t>
        </r>
      </text>
    </comment>
    <comment ref="Z1" authorId="0" shapeId="0" xr:uid="{00000000-0006-0000-0200-000013000000}">
      <text>
        <r>
          <rPr>
            <sz val="10"/>
            <rFont val="Arial"/>
            <family val="2"/>
          </rPr>
          <t>Metrics and Targets: Remuneration is linked, in whole or part, to sustainability-related targets or performance
Scoring: 1 if explicitly stated; 0 if absent or not disclosed</t>
        </r>
      </text>
    </comment>
    <comment ref="AA1" authorId="0" shapeId="0" xr:uid="{00000000-0006-0000-0200-000014000000}">
      <text>
        <r>
          <rPr>
            <sz val="10"/>
            <rFont val="Arial"/>
            <family val="2"/>
          </rPr>
          <t>Metrics and Targets: Methodology or basis used to calculate the disclosed metrics is explained
Scoring: 1 if a calculation basis/standard is named; 0 if figures are given with no stated methodology</t>
        </r>
      </text>
    </comment>
    <comment ref="AD1" authorId="0" shapeId="0" xr:uid="{00000000-0006-0000-0200-000015000000}">
      <text>
        <r>
          <rPr>
            <sz val="10"/>
            <rFont val="Arial"/>
            <family val="2"/>
          </rPr>
          <t>Climate Governance: Board-level oversight specifically of climate-related risks and opportunities is described
Scoring: 1 if climate oversight is distinguished from general sustainability oversight; 0 if only generic sustainability governance is described</t>
        </r>
      </text>
    </comment>
    <comment ref="AE1" authorId="0" shapeId="0" xr:uid="{00000000-0006-0000-0200-000016000000}">
      <text>
        <r>
          <rPr>
            <sz val="10"/>
            <rFont val="Arial"/>
            <family val="2"/>
          </rPr>
          <t>Climate Governance: Management's role in assessing and managing climate-related risks and opportunities is described
Scoring: 1 if a specific role/officer is named; 0 if absent</t>
        </r>
      </text>
    </comment>
    <comment ref="AF1" authorId="0" shapeId="0" xr:uid="{00000000-0006-0000-0200-000017000000}">
      <text>
        <r>
          <rPr>
            <sz val="10"/>
            <rFont val="Arial"/>
            <family val="2"/>
          </rPr>
          <t>Climate Governance: Climate-related skills or expertise represented at board or management level are disclosed
Scoring: 1 if specific climate expertise/training is named; 0 if absent</t>
        </r>
      </text>
    </comment>
    <comment ref="AG1" authorId="0" shapeId="0" xr:uid="{00000000-0006-0000-0200-000018000000}">
      <text>
        <r>
          <rPr>
            <sz val="10"/>
            <rFont val="Arial"/>
            <family val="2"/>
          </rPr>
          <t>Climate Strategy: Climate-related risks and opportunities are described, distinguishing physical risk from transition risk
Scoring: 1 if both physical and transition risk are addressed; 0 if only one or neither is addressed</t>
        </r>
      </text>
    </comment>
    <comment ref="AH1" authorId="0" shapeId="0" xr:uid="{00000000-0006-0000-0200-000019000000}">
      <text>
        <r>
          <rPr>
            <sz val="10"/>
            <rFont val="Arial"/>
            <family val="2"/>
          </rPr>
          <t>Climate Strategy: Effects of climate-related risks and opportunities on the business model and value chain are described
Scoring: 1 if a specific effect is discussed; 0 if absent</t>
        </r>
      </text>
    </comment>
    <comment ref="AI1" authorId="0" shapeId="0" xr:uid="{00000000-0006-0000-0200-00001A000000}">
      <text>
        <r>
          <rPr>
            <sz val="10"/>
            <rFont val="Arial"/>
            <family val="2"/>
          </rPr>
          <t>Climate Strategy: Climate scenario analysis is disclosed, showing how the strategy or business model performs under different climate pathways
Scoring: 1 if any scenario analysis (even qualitative) is disclosed; 0 if absent</t>
        </r>
      </text>
    </comment>
    <comment ref="AJ1" authorId="0" shapeId="0" xr:uid="{00000000-0006-0000-0200-00001B000000}">
      <text>
        <r>
          <rPr>
            <sz val="10"/>
            <rFont val="Arial"/>
            <family val="2"/>
          </rPr>
          <t>Climate Strategy: A climate transition plan or low-carbon transition strategy is disclosed
Scoring: 1 if a transition plan or stated transition strategy exists; 0 if absent</t>
        </r>
      </text>
    </comment>
    <comment ref="AK1" authorId="0" shapeId="0" xr:uid="{00000000-0006-0000-0200-00001C000000}">
      <text>
        <r>
          <rPr>
            <sz val="10"/>
            <rFont val="Arial"/>
            <family val="2"/>
          </rPr>
          <t>Climate Risk Management: Processes for identifying, assessing and prioritising climate-related risks are described
Scoring: 1 if a specific process is named; 0 if absent</t>
        </r>
      </text>
    </comment>
    <comment ref="AL1" authorId="0" shapeId="0" xr:uid="{00000000-0006-0000-0200-00001D000000}">
      <text>
        <r>
          <rPr>
            <sz val="10"/>
            <rFont val="Arial"/>
            <family val="2"/>
          </rPr>
          <t>Climate Risk Management: Integration of climate risk management into the entity's overall risk management process is disclosed
Scoring: 1 if explicit integration is stated; 0 if silent or only implied</t>
        </r>
      </text>
    </comment>
    <comment ref="AM1" authorId="0" shapeId="0" xr:uid="{00000000-0006-0000-0200-00001E000000}">
      <text>
        <r>
          <rPr>
            <sz val="10"/>
            <rFont val="Arial"/>
            <family val="2"/>
          </rPr>
          <t>Climate Metrics and Targets: Scope 1 GHG emissions are disclosed
Scoring: 1 if a Scope 1 figure is reported; 0 if not reported</t>
        </r>
      </text>
    </comment>
    <comment ref="AN1" authorId="0" shapeId="0" xr:uid="{00000000-0006-0000-0200-00001F000000}">
      <text>
        <r>
          <rPr>
            <sz val="10"/>
            <rFont val="Arial"/>
            <family val="2"/>
          </rPr>
          <t>Climate Metrics and Targets: Scope 2 GHG emissions are disclosed
Scoring: 1 if a Scope 2 figure is reported; 0 if not reported</t>
        </r>
      </text>
    </comment>
    <comment ref="AO1" authorId="0" shapeId="0" xr:uid="{00000000-0006-0000-0200-000020000000}">
      <text>
        <r>
          <rPr>
            <sz val="10"/>
            <rFont val="Arial"/>
            <family val="2"/>
          </rPr>
          <t>Climate Metrics and Targets: Scope 3 GHG emissions are disclosed (where material)
Scoring: 1 if a Scope 3 figure is reported, or the firm explains a reasoned basis for omission; 0 if silent with no explanation</t>
        </r>
      </text>
    </comment>
    <comment ref="AP1" authorId="0" shapeId="0" xr:uid="{00000000-0006-0000-0200-000021000000}">
      <text>
        <r>
          <rPr>
            <sz val="10"/>
            <rFont val="Arial"/>
            <family val="2"/>
          </rPr>
          <t>Climate Metrics and Targets: Climate-related targets are disclosed (e.g. emission reduction targets, net-zero commitment, energy intensity targets)
Scoring: 1 if at least one quantified climate target is stated; 0 if absent</t>
        </r>
      </text>
    </comment>
    <comment ref="AQ1" authorId="0" shapeId="0" xr:uid="{00000000-0006-0000-0200-000022000000}">
      <text>
        <r>
          <rPr>
            <sz val="10"/>
            <rFont val="Arial"/>
            <family val="2"/>
          </rPr>
          <t>Climate Metrics and Targets: Progress against climate-related targets is disclosed
Scoring: 1 if progress/status against a stated target is reported; 0 if absent</t>
        </r>
      </text>
    </comment>
    <comment ref="AR1" authorId="0" shapeId="0" xr:uid="{00000000-0006-0000-0200-000023000000}">
      <text>
        <r>
          <rPr>
            <sz val="10"/>
            <rFont val="Arial"/>
            <family val="2"/>
          </rPr>
          <t>Climate Metrics and Targets: Climate-related financial metrics are disclosed (e.g. internal carbon price, capex/opex aligned to climate transition)
Scoring: 1 if any such financial metric is disclosed; 0 if absent</t>
        </r>
      </text>
    </comment>
  </commentList>
</comments>
</file>

<file path=xl/sharedStrings.xml><?xml version="1.0" encoding="utf-8"?>
<sst xmlns="http://schemas.openxmlformats.org/spreadsheetml/2006/main" count="12411" uniqueCount="2524">
  <si>
    <t>SDQ / CDQ CODING INSTRUMENT</t>
  </si>
  <si>
    <t>Sustainability Disclosure Quality (SDQ) and Climate-related Disclosure Quality (CDQ) content-analysis checklist</t>
  </si>
  <si>
    <t>Derived from IFRS S1 (four pillars: Governance, Strategy, Risk Management, Metrics &amp; Targets) and IFRS S2 (climate-specific items across the same four pillars)</t>
  </si>
  <si>
    <t>HOW TO USE THIS INSTRUMENT</t>
  </si>
  <si>
    <t>1. This tab defines every item scored in the 'Coding Sheet' tab. Score each item 1 (disclosed) or 0 (not disclosed) per firm-year.</t>
  </si>
  <si>
    <t>2. Score against the firm's annual report, standalone sustainability report and integrated report for that specific fiscal year - the same documents used for the financial data.</t>
  </si>
  <si>
    <t>3. A '1' requires entity-specific, substantive disclosure. Generic boilerplate ('we are committed to sustainability') without specifics scores 0.</t>
  </si>
  <si>
    <t>4. SDQ_Score = (sum of 20 SDQ items disclosed / 20) x 100. CDQ_Score = (sum of 15 CDQ items disclosed / 15) x 100. Both computed automatically in the Coding Sheet.</t>
  </si>
  <si>
    <t>5. Record the source document and page/section for each firm-year in the Coding_Notes column of the Coding Sheet - this is your audit trail for Chapter Three's reliability discussion.</t>
  </si>
  <si>
    <t>6. Recommended reliability check: after scoring roughly 10% of firm-years, recode a random sample of them without looking at your first pass, then compare agreement. Report this in Chapter Three.</t>
  </si>
  <si>
    <t>WORKED EXAMPLE (illustrative only - not a real firm)</t>
  </si>
  <si>
    <t>Item SDQ_M1 (metric disclosed): A firm's sustainability report states 'we monitor several environmental indicators across our operations' -&gt; score 0 (no named metric). A different firm states 'total water withdrawal was 482,000 cubic metres in FY2024, down from 511,000 in FY2023' -&gt; score 1 (specific, entity-level metric with a figure).</t>
  </si>
  <si>
    <t>Code</t>
  </si>
  <si>
    <t>Pillar</t>
  </si>
  <si>
    <t xml:space="preserve"> </t>
  </si>
  <si>
    <t>SUSTAINABILITY DISCLOSURE QUALITY (SDQ) - IFRS S1, 20 items</t>
  </si>
  <si>
    <t>SDQ_G1</t>
  </si>
  <si>
    <t>Governance</t>
  </si>
  <si>
    <t>Board-level oversight of sustainability-related risks and opportunities is described (which committee/body, and how oversight is exercised)</t>
  </si>
  <si>
    <t>1 if the firm names a specific board/committee role and describes its oversight activity; 0 if only a generic statement that 'the board oversees sustainability'</t>
  </si>
  <si>
    <t>SDQ_G2</t>
  </si>
  <si>
    <t>Management's role in assessing and managing sustainability-related risks and opportunities is described (which role/officer, delegated authority)</t>
  </si>
  <si>
    <t>1 if a specific management role or function is named with responsibilities; 0 if absent or vague</t>
  </si>
  <si>
    <t>SDQ_G3</t>
  </si>
  <si>
    <t>Processes and frequency by which the board is informed of sustainability-related matters are disclosed</t>
  </si>
  <si>
    <t>1 if a reporting frequency or defined process is stated; 0 if not mentioned</t>
  </si>
  <si>
    <t>SDQ_G4</t>
  </si>
  <si>
    <t>Whether/how sustainability-related performance is reflected in board or executive oversight mechanisms (e.g. review of targets, sustainability committee minutes referenced)</t>
  </si>
  <si>
    <t>1 if a concrete oversight mechanism is described; 0 if absent</t>
  </si>
  <si>
    <t>SDQ_G5</t>
  </si>
  <si>
    <t>Skills, competencies or expertise relevant to sustainability oversight held by the board or those charged with governance are disclosed</t>
  </si>
  <si>
    <t>1 if specific expertise/training is named; 0 if absent</t>
  </si>
  <si>
    <t>SDQ_S1</t>
  </si>
  <si>
    <t>Strategy</t>
  </si>
  <si>
    <t>Sustainability-related risks and opportunities the entity has identified over short, medium and long term are described</t>
  </si>
  <si>
    <t>1 if specific risks/opportunities are named (not generic ESG language); 0 otherwise</t>
  </si>
  <si>
    <t>SDQ_S2</t>
  </si>
  <si>
    <t>Effects of sustainability-related risks and opportunities on the business model and value chain are described</t>
  </si>
  <si>
    <t>1 if a specific effect on operations/value chain is discussed; 0 if absent</t>
  </si>
  <si>
    <t>SDQ_S3</t>
  </si>
  <si>
    <t>Effects of sustainability-related risks and opportunities on strategy and decision-making are described</t>
  </si>
  <si>
    <t>1 if strategic responses are named; 0 if absent</t>
  </si>
  <si>
    <t>SDQ_S4</t>
  </si>
  <si>
    <t>Effects on financial position, financial performance and cash flows (current or anticipated) are disclosed</t>
  </si>
  <si>
    <t>1 if a financial effect, even qualitative, is quantified or specifically described; 0 if absent</t>
  </si>
  <si>
    <t>SDQ_S5</t>
  </si>
  <si>
    <t>Resilience of the strategy to sustainability-related risks is discussed (qualitative or scenario-based)</t>
  </si>
  <si>
    <t>1 if any resilience assessment or scenario discussion appears; 0 if absent</t>
  </si>
  <si>
    <t>SDQ_R1</t>
  </si>
  <si>
    <t>Risk Management</t>
  </si>
  <si>
    <t>Processes for identifying sustainability-related risks are described</t>
  </si>
  <si>
    <t>1 if a specific process/methodology is named; 0 if absent</t>
  </si>
  <si>
    <t>SDQ_R2</t>
  </si>
  <si>
    <t>Processes for assessing and prioritising sustainability-related risks are described</t>
  </si>
  <si>
    <t>1 if criteria for assessment/prioritisation are named; 0 if absent</t>
  </si>
  <si>
    <t>SDQ_R3</t>
  </si>
  <si>
    <t>Processes for monitoring sustainability-related risks are described</t>
  </si>
  <si>
    <t>1 if an ongoing monitoring process is named; 0 if absent</t>
  </si>
  <si>
    <t>SDQ_R4</t>
  </si>
  <si>
    <t>Integration of sustainability risk management into the entity's overall enterprise risk management is disclosed</t>
  </si>
  <si>
    <t>1 if the disclosure explicitly states integration with ERM; 0 if silent or only implied</t>
  </si>
  <si>
    <t>SDQ_R5</t>
  </si>
  <si>
    <t>Processes for identifying sustainability-related opportunities are described</t>
  </si>
  <si>
    <t>1 if a specific process is named; 0 if absent</t>
  </si>
  <si>
    <t>SDQ_M1</t>
  </si>
  <si>
    <t>Metrics and Targets</t>
  </si>
  <si>
    <t>Metrics used to measure and monitor sustainability-related performance are disclosed</t>
  </si>
  <si>
    <t>1 if at least one named, entity-specific metric is disclosed; 0 if only narrative with no metric</t>
  </si>
  <si>
    <t>SDQ_M2</t>
  </si>
  <si>
    <t>Targets set for sustainability-related performance, and progress against those targets, are disclosed</t>
  </si>
  <si>
    <t>1 if a specific target and progress figure/status are both given; 0 if either is missing</t>
  </si>
  <si>
    <t>SDQ_M3</t>
  </si>
  <si>
    <t>Industry-based or cross-industry metrics relevant to the entity's sector are disclosed</t>
  </si>
  <si>
    <t>1 if sector-relevant metrics beyond generic ESG figures appear; 0 if absent</t>
  </si>
  <si>
    <t>SDQ_M4</t>
  </si>
  <si>
    <t>Remuneration is linked, in whole or part, to sustainability-related targets or performance</t>
  </si>
  <si>
    <t>1 if explicitly stated; 0 if absent or not disclosed</t>
  </si>
  <si>
    <t>SDQ_M5</t>
  </si>
  <si>
    <t>Methodology or basis used to calculate the disclosed metrics is explained</t>
  </si>
  <si>
    <t>1 if a calculation basis/standard is named; 0 if figures are given with no stated methodology</t>
  </si>
  <si>
    <t>CLIMATE-RELATED DISCLOSURE QUALITY (CDQ) - IFRS S2, 15 items</t>
  </si>
  <si>
    <t>CDQ_G1</t>
  </si>
  <si>
    <t>Climate Governance</t>
  </si>
  <si>
    <t>Board-level oversight specifically of climate-related risks and opportunities is described</t>
  </si>
  <si>
    <t>1 if climate oversight is distinguished from general sustainability oversight; 0 if only generic sustainability governance is described</t>
  </si>
  <si>
    <t>CDQ_G2</t>
  </si>
  <si>
    <t>Management's role in assessing and managing climate-related risks and opportunities is described</t>
  </si>
  <si>
    <t>1 if a specific role/officer is named; 0 if absent</t>
  </si>
  <si>
    <t>CDQ_G3</t>
  </si>
  <si>
    <t>Climate-related skills or expertise represented at board or management level are disclosed</t>
  </si>
  <si>
    <t>1 if specific climate expertise/training is named; 0 if absent</t>
  </si>
  <si>
    <t>CDQ_S1</t>
  </si>
  <si>
    <t>Climate Strategy</t>
  </si>
  <si>
    <t>Climate-related risks and opportunities are described, distinguishing physical risk from transition risk</t>
  </si>
  <si>
    <t>1 if both physical and transition risk are addressed; 0 if only one or neither is addressed</t>
  </si>
  <si>
    <t>CDQ_S2</t>
  </si>
  <si>
    <t>Effects of climate-related risks and opportunities on the business model and value chain are described</t>
  </si>
  <si>
    <t>1 if a specific effect is discussed; 0 if absent</t>
  </si>
  <si>
    <t>CDQ_S3</t>
  </si>
  <si>
    <t>Climate scenario analysis is disclosed, showing how the strategy or business model performs under different climate pathways</t>
  </si>
  <si>
    <t>1 if any scenario analysis (even qualitative) is disclosed; 0 if absent</t>
  </si>
  <si>
    <t>CDQ_S4</t>
  </si>
  <si>
    <t>A climate transition plan or low-carbon transition strategy is disclosed</t>
  </si>
  <si>
    <t>1 if a transition plan or stated transition strategy exists; 0 if absent</t>
  </si>
  <si>
    <t>CDQ_R1</t>
  </si>
  <si>
    <t>Climate Risk Management</t>
  </si>
  <si>
    <t>Processes for identifying, assessing and prioritising climate-related risks are described</t>
  </si>
  <si>
    <t>CDQ_R2</t>
  </si>
  <si>
    <t>Integration of climate risk management into the entity's overall risk management process is disclosed</t>
  </si>
  <si>
    <t>1 if explicit integration is stated; 0 if silent or only implied</t>
  </si>
  <si>
    <t>CDQ_M1</t>
  </si>
  <si>
    <t>Climate Metrics and Targets</t>
  </si>
  <si>
    <t>Scope 1 GHG emissions are disclosed</t>
  </si>
  <si>
    <t>1 if a Scope 1 figure is reported; 0 if not reported</t>
  </si>
  <si>
    <t>CDQ_M2</t>
  </si>
  <si>
    <t>Scope 2 GHG emissions are disclosed</t>
  </si>
  <si>
    <t>1 if a Scope 2 figure is reported; 0 if not reported</t>
  </si>
  <si>
    <t>CDQ_M3</t>
  </si>
  <si>
    <t>Scope 3 GHG emissions are disclosed (where material)</t>
  </si>
  <si>
    <t>1 if a Scope 3 figure is reported, or the firm explains a reasoned basis for omission; 0 if silent with no explanation</t>
  </si>
  <si>
    <t>CDQ_M4</t>
  </si>
  <si>
    <t>Climate-related targets are disclosed (e.g. emission reduction targets, net-zero commitment, energy intensity targets)</t>
  </si>
  <si>
    <t>1 if at least one quantified climate target is stated; 0 if absent</t>
  </si>
  <si>
    <t>CDQ_M5</t>
  </si>
  <si>
    <t>Progress against climate-related targets is disclosed</t>
  </si>
  <si>
    <t>1 if progress/status against a stated target is reported; 0 if absent</t>
  </si>
  <si>
    <t>CDQ_M6</t>
  </si>
  <si>
    <t>Climate-related financial metrics are disclosed (e.g. internal carbon price, capex/opex aligned to climate transition)</t>
  </si>
  <si>
    <t>1 if any such financial metric is disclosed; 0 if absent</t>
  </si>
  <si>
    <t>Key</t>
  </si>
  <si>
    <t>S/N</t>
  </si>
  <si>
    <t>Firm_ID</t>
  </si>
  <si>
    <t>Ticker</t>
  </si>
  <si>
    <t>Company Name</t>
  </si>
  <si>
    <t>Sector</t>
  </si>
  <si>
    <t>Year</t>
  </si>
  <si>
    <t>SDQ_Items_Disclosed (of 20)</t>
  </si>
  <si>
    <t>SDQ_Score (0-100)</t>
  </si>
  <si>
    <t>CDQ_Items_Disclosed (of 15)</t>
  </si>
  <si>
    <t>CDQ_Score (0-100)</t>
  </si>
  <si>
    <t>Coding_Notes / Source (document, page/section per firm-year)</t>
  </si>
  <si>
    <t>Abbey Mortgage Bank Plc, Annual Report &amp; Accounts FYE 31-Dec-2021 (Corporate Governance Report pp.33-38, Enterprise Risk Management Policy pp.42-46, Report of the Directors substantial-interest note p.premier). Source: anyflip.com/jfssr/cyis (Abbey Annual Report Final 2021_compressed), full text extracted and read. Board FY2021: Non-Executive Chairman + 4 NEDs + 3 EDs + 1 Independent NED = 9 total. SDQ_G5=0 (unlike FY2024): Ms. Jewel Okwechime, whose bio carries explicit environmental/sustainability credentials, was NOT yet on the board in FY2021 (absent from the FY2021 committee/EXCO membership lists) -- her appointment came later. SDQ_M1=1 (BORDERLINE, same as FY2024, flag for reliability recheck): 'last year there were no recorded cases of incidents in our operations' -- identical boilerplate to the FY2024 filing. All SDQ_R1-R5=0 and all CDQ=0: the FY2021 Enterprise Risk Management Policy lists the identical 9 risk categories as FY2024 (credit, liquidity, capital, operational, regulatory, reputational, legal, cyber, strategic) with no sustainability/ESG/climate risk category named anywhere; full-text keyword search for IFRS S1/S2, ISSB, Scope 1/2/3, GHG/carbon/emissions, scenario analysis, transition/physical risk returned zero matches. IFRS_S1S2_Adopter_Dummy=0 (no explicit or implied statement; CDQ=0/15 so the structural-alignment test also fails). SDQ=1/20=5%, CDQ=0/15=0%.</t>
  </si>
  <si>
    <t>Abbey Mortgage Bank Plc, Annual Report &amp; Audited FS FYE 31-Dec-2022 (NGX doclib doc #38233, filed Apr-2023). Corporate Governance Report pp.11-19 (board/committee structure named, no sustainability-specific oversight); 'Sustainable and Environmental Issues'/CSR section pp.17-18 (generic OH&amp;S boilerplate, no entity-specific metrics/targets); Enterprise Risk Management Policy pp.21-25 (risk taxonomy = credit/capital/operational/liquidity/IT/regulatory/legal/reputational/strategic only, no sustainability/climate risk category); Notes to FS 'Standards issued but not yet effective' p.35 discusses only IFRS 17, no IFRS S1/S2/ISSB mention (Adopter_Dummy left blank).</t>
  </si>
  <si>
    <t>Abbey Mortgage Bank Plc, FY2023 Annual Report (anyflip.com/ukxce/clsu/basic). LIMITATION: fetch returned only a partial preview (~pp.1-50 of 154); ERM Policy, Audit Committee report and Notes to FS (incl. standards-adoption note) not retrievable, so R1-R5/M1-M5 could not be fully verified -- scores likely understate true disclosure, flagged for future re-check if full document becomes accessible. Chairman's Statement 'ESG Focus' p.24: 'We are preparing for the adoption of IFRS S1 and IFRS S2 in accordance with the road map of the FRCN and NGX' -&gt; Adopter_Dummy=0. Directors' Profile p.18 (Ms. Jewel Okwechime, NED): competencies include 'Environmental Engineering...Sustainability Business Development' -&gt; G5=1. MD/CEO Statement p.32: environmental risk discussion (flood/landslide, cost-vs-impact dilemma) -&gt; S1=1.</t>
  </si>
  <si>
    <t>Abbey Mortgage Bank Plc, Annual Report &amp; Accounts FYE 31-Dec-2024 (Corporate Governance Report pp.10-16, Enterprise Risk Management Policy pp.18-22, Report of the Directors pp.2-5). Source: prjdg-unstruc.s3.ca-central-1.amazonaws.com (via proshare.co listing), full text extracted and read. SDQ_G5=1: Board member Ms. Jewel Okwechime's profile explicitly names 'Environmental Engineering... Sustainability Business Development' expertise and prior roles as Senior Environmental Consultant/Adviser (p.13-14) -- specific, named expertise, satisfies the item. SDQ_M1=1 (BORDERLINE, flag for reliability recheck): scored on 'last year there were no recorded cases of incidents in our operations' (p.15, H&amp;S) -- a specific, entity-level claim with an implied zero-figure, but it is a single-year statement, not a tracked/trended metric; a stricter coder could reasonably score this 0. All SDQ_R1-R5=0: the Enterprise Risk Management Policy (pp.18-22) is thorough and names 9 risk categories (credit, liquidity, capital, operational, regulatory, reputational, legal, information/cyber, strategic) but does NOT name sustainability/ESG/climate as a risk category anywhere in the document -- the ERM items score 0 because the risk process described is not sustainability-specific, per the instrument's requirement. All CDQ items=0: no mention of IFRS S1/S2/ISSB, Scope 1/2/3, GHG/carbon/emissions, climate scenario analysis, or physical/transition risk anywhere in the document (confirmed via full-text keyword search). IFRS_S1S2_Adopter_Dummy: left BLANK (not 0) -- no explicit adoption/non-adoption statement found, unlike BUACEMENT/BUAFOODS where the filing explicitly said 'not yet adopted'; silence here is not the same as an evidenced negative. SDQ=2/20=10%, CDQ=0/15=0%.</t>
  </si>
  <si>
    <t>Abbey Mortgage Bank Plc, FY2025 filing (NGX doclib doc #45885, filed Jan-2026) -- condensed interim-style statement only (Introduction, Result-at-a-Glance, primary statements, Notes), no Directors'/Corporate Governance/CSR/ERM section unlike full FY2022/FY2023 ARs. Notes 2.2 'Changes in accounting policies' pp.7-8 lists IFRS 16, IAS 1 (x2), IAS 7/IFRS 7, IAS 21 amendments only -- no IFRS S1/S2/ISSB mention (Adopter_Dummy blank). Full-text keyword search (sustainab/ESG/environment/climate/carbon/emission/diversity/community) = zero hits.</t>
  </si>
  <si>
    <t>GAP-FILL: ABCTRANS FY2021 (FY2021 Audited Financial Statements, NGX doclib, fetched directly): SDQ_M1=1 - Directors' Report Note 10 'DONATIONS' itemises Book launch N40,000, Youth Empowerments N219,000, Corporate gifts N2,411,250, Condolences/Burial/Weddings N1,611,706, totalling N4,281,956 (labelled N'000 in the source table, though the underlying figure's scale relative to company size suggests this may actually be stated in plain Naira rather than thousands - flagged as a units ambiguity, scored as disclosed regardless per the instrument's literal rule). No sustainability-specific board committee found (Board Risk Management Committee, Corporate Governance and Remuneration Committee, Credit Risk Management Committee - all generic operational/financial remits). No climate/GHG content found. CDQ=0/15.</t>
  </si>
  <si>
    <t>ABC Transport Plc, Consolidated Financial Statements FYE 31-Dec-2022 (Report of the Directors, Report of the Audit Committee -- this filing has no separate Corporate Governance Report or Enterprise Risk Management Policy section, unlike ABBEYBANK; governance/sustainability content is limited to brief paragraphs embedded in the Directors' Report). Source: doclib.ngxgroup.com (38087_ABC_TRANSPORT_PLC..._2022...pdf), full text extracted and read. All SDQ/CDQ items score 0: the Directors' Report discusses employee safety ('quarterly safety re-orientation and training programmes', 'vehicles fitted with tracking devices and speed limiters', 'accident rate...well within acceptable limits') but gives no specific figure/metric (SDQ_M1 scored 0, stricter than ABBEYBANK's 'zero incidents' claim since this is vaguer, no number at all) and no sustainability-specific governance, strategy, risk, or target content anywhere. No IFRS S1/S2/ISSB, Scope 1/2/3, GHG/carbon, or climate-scenario language found (confirmed via full-text keyword search). No 'substantial interest in shares' table or explicit Non-Executive/Independent board-composition statement found in this filing -- Board_Independence and Ownership_Concentration left blank for FY2022 (optional/opportunistic fields per agreed methodology). IFRS_S1S2_Adopter_Dummy=0 (no statement found either way in this filing; see FY2025 row for this ticker's explicit 'not yet adopted' evidence). SDQ=0/20=0%, CDQ=0/15=0%.</t>
  </si>
  <si>
    <t>GAP-FILL: ABCTRANS FY2023: SDQ_M1=1 - a GENUINE confirmed comparative figure was located within the FY2024 Annual Report and Consolidated and Separate Financial Statements (NGX doclib, fetched directly), Note 8 'DONATIONS AND GIFTS', showing a two-column table (headers both mislabelled '2024' in the source PDF, but representing FY2024 and its FY2023 comparative per standard AFS format) with a comparative total of N2,326,000 for FY2023 (vs N4,234,000 for FY2024, which was already coded in an earlier batch). No sustainability-specific board committee or climate content found in this document. CDQ=0/15.</t>
  </si>
  <si>
    <t>ABC Transport Plc, Annual Report and Consolidated and Separate Financial Statements FYE 31-Dec-2024 (Corporate Information p.1, Notes to the Financial Statements -- Adoption of new and revised standards). Source: doclib.ngxgroup.com (43623_ABC_TRANSPORT_PLC..._2024...pdf), full text extracted and read. Board composition identical to FY2025: Chairman + Managing Director + 1 Executive Director + 4 Non-Executive Directors + 1 Independent Non-Executive Director = 8 total -&gt; Board_Independence=12.5%. IFRS_S1S2_Adopter_Dummy=0, EXPLICITLY EVIDENCED: identical 'not yet adopted' note as FY2025 -- 'The mandatory adoption date is 1 January 2028... effective for annual reporting periods beginning on or after 1 January 2028, with earlier application permitted', explicitly listed among standards 'not yet effective as at 31 December 2024 and have not been early adopted by the Company'. All SDQ/CDQ items score 0: same thin-disclosure pattern as FY2022/FY2025 -- 'accident rate...well within acceptable limits' with no specific figure, no sustainability-specific governance/risk/target content, no substantial-interest-in-shares table found. SDQ=0/20=0%, CDQ=0/15=0%.</t>
  </si>
  <si>
    <t>ABC Transport Plc, Consolidated and Separate Annual Report and Financial Statements FYE 31-Dec-2025 (Corporate Information p.1, Report of the Directors, Notes to the Financial Statements -- Adoption of new and revised standards). Source: doclib.ngxgroup.com (46506_ABC_TRANSPORT_PLC..._2025...pdf), full text extracted and read. Board composition explicitly stated (Corporate Information page): Chairman + Managing Director + 1 Executive Director + 4 Non-Executive Directors + 1 Independent Non-Executive Director = 8 total -&gt; Board_Independence=12.5%. IFRS_S1S2_Adopter_Dummy=0, EXPLICITLY EVIDENCED: Note 2.7/3 'New standards, amendments and interpretations not yet adopted' lists 'IFRS S1 General Requirements for Disclosure of Sustainability-related Financial Information' with 'The mandatory adoption date is 1 January 2028... effective for annual reporting periods beginning on or after 1 January 2028, with earlier application permitted' -- boilerplate acknowledging the future standard exists, with no indication the company chose early/voluntary application, so this is a confirmed NON-adopter, not a blank/unknown. This same note structure also means the standard's four-pillar description in the note itself is NOT scored toward SDQ/CDQ (it describes what the future standard will require, not the entity's own current disclosure practice). All SDQ/CDQ items score 0: same thin-disclosure pattern as FY2022 -- safety/accident -rate language present but no specific figure, no sustainability-specific governance/risk/target content. No 'substantial interest in shares' table found -- Ownership_Concentration left blank (optional field). SDQ=0/20=0%, CDQ=0/15=0%.</t>
  </si>
  <si>
    <t>GAP-FILL: ACADEMY FY2021: not verified this session - the only primary source successfully fetched was the Annual Report for the year ended 31 March 2024 (NGX doclib), whose comparative column covers FY2023 only. Scored 0/20 SDQ, 0/15 CDQ, FLAGGED as unconfirmed pending re-verification against a dedicated FY2021 filing.</t>
  </si>
  <si>
    <t>GAP-FILL: ACADEMY FY2022: not verified this session - the only primary source successfully fetched was the Annual Report for the year ended 31 March 2024 (NGX doclib), whose comparative column covers FY2023 only. Scored 0/20 SDQ, 0/15 CDQ, FLAGGED as unconfirmed pending re-verification against a dedicated FY2022 filing.</t>
  </si>
  <si>
    <t>GAP-FILL: ACADEMY FY2023: SDQ_M1=1 - a GENUINE confirmed comparative donation figure was located within the Annual Report for the year ended 31 March 2024 (NGX doclib, fetched directly): 'The group and the Company made no donation to a charitable organisation during the year ended 31 March 2024 (2023: N595,000)'. A generic 'ENVIRONMENTAL POLICY' statement exists ('strives to comply with all present and future environmental laws and regulations and continuously improve the efficiency of its operations to minimize its impact on the environment') but is pure boilerplate with no named process, target, or monitoring mechanism - NOT credited per the anti-boilerplate rule. Board committees (Risk Management/Strategy, Finance and Control, Governance and Remuneration) all have generic, non-sustainability-specific remits. CDQ=0/15 - no climate content found.</t>
  </si>
  <si>
    <t>Academy Press Plc, Consolidated and Separate Annual Report FYE 31-Mar-2024 ('Study Year 2024' per this dataset's FYE-mapping convention). Corporate Governance Report pp.8-14 (Board Committees, Environmental Policy), Report of the Directors pp.4-5 (Directors, Substantial Interest in Shares). Source: doclib.ngxgroup.com (41568_ACADEMY_PRESS_PLC..._2024...pdf), full text extracted and read. Board: 8 directors (Chairman + MD/CEO + 2 EDs [one is Finance Director] + 4 NEDs); the term 'Independent Non-Executive Director' does not appear anywhere in this filing for any director -- Board_Independence left BLANK (genuinely ambiguous, not confirmed 0%; optional field per agreed methodology). Ownership_Concentration=24.64% (Alidan Investment Limited, largest disclosed &gt;5% shareholder, 'Substantial Interest in Shares' table). Board Committees: Risk Management/Strategy Committee ('oversight responsibility for operational/strategies development..., reviews the risk management structure and monitor the risks on continuous basis'), Finance and Control Committee, Governance and Remuneration Committee, Audit Committee -- none framed with sustainability/ESG/climate-specific remit, so all SDQ_R1-R5=0. A dedicated 'ENVIRONMENTAL POLICY' section exists ('demonstrate the Group's responsibility to the environment... strives to comply with all present and future environmental laws and regulations and continuously improve the efficiency of its operations to minimize its impact on the environment') but is pure boilerplate commitment language with no named metric, target, process, or governance mechanism -- scores 0 on every item per the instrument's own worked example (generic commitment without specifics = 0), though it is worth noting as the strongest sustainability-adjacent content found in this filing. No IFRS S1/S2/ISSB/ Scope 1-3/GHG/carbon/scenario-analysis language found anywhere (confirmed via full-text keyword search) -- this filing predates the point at which Nigerian auditors began routinely citing IFRS S1/S2 in 'standards not yet adopted' notes (unlike ABCTRANS's Dec-2024/2025 filings). IFRS_S1S2_Adopter_Dummy=0 (silence, per agreed convention). SDQ=0/20=0%, CDQ=0/15=0%.</t>
  </si>
  <si>
    <t>Academy Press Plc, FYE 31-Mar-2025 filing (NGX doclib doc #44068, filed May-2025) -- 'Reports and FS for the Fourth Quarter Ended 31 March 2025', contains only Corporate Information, Financial Highlights, primary statements and abbreviated Notes, no Directors'/Corporate Governance/CSR section. Note 2.1 'Statement of compliance' is stale generic boilerplate. Note '(t) Risk management' names Risk Mgmt/Strategy, Finance and Control, Governance/Remuneration committees covering credit/liquidity/market/operational/interest-rate risk only, none tied to sustainability/ESG/climate. Full-text keyword search = zero hits. No IFRS S1/S2 mention (Adopter_Dummy blank).</t>
  </si>
  <si>
    <t>Access Bank Plc FY2021 Audited FS (NGX doclib #35310), Corporate Governance Report pp.18-29. Board Human Resources &amp; Sustainability Committee confirmed named (directors' bios) -&gt; G1=1. Standalone 'Access Bank 2021 Sustainability Report' could not be extracted via available tools (PDF returned empty text repeatedly); FS extraction capped at ~p.29 before reaching Risk Mgmt Framework/Notes -- likely undercounts true disclosure, treat as lower-bound, flagged for re-check. IFRS S1/S2 did not exist yet in FY2021 (issued June 2023).</t>
  </si>
  <si>
    <t>Access Bank Sustainability Report 2022 'Creating Sustainable Solutions' (accessbankplc.com) + FY2022 FS Governance Report. Board HR&amp;Sustainability Committee w/ quarterly reports from Head of Sustainability Unit (G1-G4=1). TCFD scenario analysis; Scope1=57,068.54/Scope2=14,221.60/Scope3=53,574.00 tCO2e; targets: carbon-neutral by 2035, 50% opex reduction by 2027, 10% reduction achieved in 2022; $50m green notes. No remuneration link or explicit financial-position impact found (S4,M4=0). CDQ G1=0: climate treated as subset of general sustainability oversight, not distinguished. IFRS S1/S2 not yet issued when FS published (Apr-2023).</t>
  </si>
  <si>
    <t>Access Group Sustainability Report 2023 'Shaping a Sustainable Future' (accessbankplc.com / NGX doclib #42801). Both physical AND transition risk addressed by sector (S1=1). NGN11.332bn deployed to climate risk/opportunity (S4, CDQ M6). Executive remuneration explicitly linked to climate KPIs (M4=1). Targets validated by independent consultant; internal ESG portal monitors progress (R3=1). Report states 'prepared in compliance with the IFRS ISSB S1 and S2 standards' -- Access confirms voluntary early adoption for FY2023. CAVEAT: adoption statement sourced from the Sustainability Report, not directly verified against the audited FS 'Basis of preparation' note (inaccessible due to ~100K-char extraction cap on the 250+ page FS PDF) -- flagged for future cross-check against primary FS note.</t>
  </si>
  <si>
    <t>2024 Access Group Sustainability Report (accessbankplc.com / NGX doclib #45590). 'Access Holdings proudly stands among the early adopters' of IFRS S1/S2, 'voluntarily embracing them for our 2023 financial year,' exclusive IFRS-SDS reporting from 2024. Scope1=39,065.94/Scope2=14,817.00/Scope3=3,293.33 MtCO2e (2024) with 2023 comparatives given, 13.4% operational emissions reduction achieved. Footnote states sustainability/climate risk terms used interchangeably unless stated (CDQ G1=0). Board Risk Mgmt Committee cited for ESG/climate risk integration into ERM (R2=1).</t>
  </si>
  <si>
    <t>LOWER-CONFIDENCE CODING: primary 2025 Access Holdings Sustainability Report PDF not locatable/extractable via available tools -- coded from secondary press coverage (newsheadline247.com, businessamlive.com, thedetailsnews.com, Aug-2026): 28.47% GHG reduction vs 2022 baseline (49,352 vs 57,176 tCO2e), green portfolio N92.14bn vs N475bn target, N4.8bn from PBT to sustainability, N72.3bn via Sustainable Finance Framework, IFRS S1/S2 + GRI + SASB basis, ISAE 3000 assurance. Conservatively coded 0 for individual Scope 1/2/3 breakdown, scenario analysis and remuneration link since exact figures unconfirmed in secondary source -- true score likely closer to FY2024 given consistent reporting practice. FLAGGED for primary-source verification when available.</t>
  </si>
  <si>
    <t>African Alliance Insurance Plc FY2021 Consolidated FS (NGX doclib #38484, filed May-2023, late-filed). Zero occurrences of 'sustainab-', 'climat-', 'ESG', 'GHG', 'emission', or 'carbon' anywhere in document. Only generic financial-risk committees (Risk Mgmt Committee, Enterprise Risk &amp; Governance Committee, Audit Committee) -- no sustainability-specific governance, strategy, risk process or metrics content.</t>
  </si>
  <si>
    <t>African Alliance Insurance Plc FY2022 Consolidated FS (NGX doclib #39898, filed Nov-2023, late-filed). Zero sustainability/climate/ESG keyword occurrences confirmed by full-document search.</t>
  </si>
  <si>
    <t>GENUINE GAP: NGX suspended AFRINSURE trading for late/non-filing; NAICOM dissolved the company's board and management in October 2024 over solvency concerns; NAICOM only handed control to a new board in June 2026. Web/doclib searches found no FY2023 audited FS filed.</t>
  </si>
  <si>
    <t>GENUINE GAP: Same regulatory breakdown as FY2023 (board dissolved Oct-2024 mid-year); no FY2024 audited FS located despite search attempts.</t>
  </si>
  <si>
    <t>GENUINE GAP: Company under NAICOM-appointed interim management through most of FY2025; new board only installed June 2026; no FY2025 audited FS located.</t>
  </si>
  <si>
    <t>Africa Prudential Plc FY2021 Audited FS (NGX doclib #35166), 'Sustainability and CSR Report' section. No board-level sustainability committee (only Audit&amp;Governance, Finance&amp;Investment, Product&amp;Projects committees exist). Generic CSR narrative only (tree planting, energy-efficient bulbs, EDMMS portal reducing 'fuel use/CO2'); explicitly states 'implementation of Sustainability Principles will continue to remain a work in progress.' No metrics, targets, or specific risks named.</t>
  </si>
  <si>
    <t>Africa Prudential Plc FY2022 Audited FS (NGX doclib, Africa_Prudential_Plc_-_2022_AFS.pdf). Same boilerplate CR&amp;S pattern as FY2021/2023/2024, confirmed by cross-year text comparison.</t>
  </si>
  <si>
    <t>Africa Prudential Plc FY2023 Audited FS (NGX doclib #40447). CSR/Sustainability text verbatim-identical to FY2021 report. No IFRS S1/S2/ISSB mention despite FRC Nigeria externally listing AFRIPRUD as a 'voluntary adopter' -- nothing in this document itself supports that as of FY2023; coded strictly from primary-document text per project convention.</t>
  </si>
  <si>
    <t>Africa Prudential Plc FY2024 Audited FS (NGX doclib #43304). CSR/Sustainability section again verbatim-identical to prior years. No board sustainability oversight, no metrics, no IFRS S1/S2 mention found.</t>
  </si>
  <si>
    <t>Africa Prudential Plc FY2025 Audited FS (NGX doclib, AFRICA_PRUDENTIAL_PLC_-_2025_AUDITED_FINANCIAL_STATEMENTS.pdf). Sustainability section rewritten with more modern language ('Our Sustainability Philosophy', 'ESG approach', reduced travel emissions) but still no quantified metrics, no targets, no board committee, and critically no IFRS S1/S2/ISSB mention despite FRC's external 'voluntary adopter' designation -- coded strictly from document text per project convention.</t>
  </si>
  <si>
    <t>Afromedia Plc FY2021 Audited FS (NGX doclib #35538). Zero sustainability/climate/ESG/GHG/carbon keyword occurrences. Only generic 'committee' references are audit committee and IFRS-8 steering committee (segment reporting), not sustainability-related.</t>
  </si>
  <si>
    <t>Afromedia Plc FY2022 Audited FS (NGX doclib #39227, filed Aug-2023). Zero sustainability/climate/ESG keyword occurrences. Filing found despite prior-sweep 'NOT_FOUND' flag -- filed late, shortly after NGX suspended the stock (11-Jul-2023) for non-filing.</t>
  </si>
  <si>
    <t>GENUINE GAP: AFROMEDIA suspended from NGX trading facilities effective 11-Jul-2023 for failing to file FY2022 accounts on time; no FY2023 audited FS located. Company reported to be under going-concern uncertainty.</t>
  </si>
  <si>
    <t>GENUINE GAP: No FY2024 audited FS located; company remains suspended/delinquent on NGX.</t>
  </si>
  <si>
    <t>GENUINE GAP: No FY2025 audited FS located; no evidence of resumed filing found.</t>
  </si>
  <si>
    <t>AIICO Insurance Plc 2021 Annual Report (aiicoplc.com). Generic 'Corporate Responsibility &amp; Sustainability Policy' narrative; CR&amp;S Unit + Environmental and Social Committee (reports to Board/Exec Mgmt) named (G1,G2=1). SEMS (Social &amp; Environmental Mgmt Systems, est. 2016) cited as 'integral part of risk assessment process' (R1,R4=1). No frequency/mechanism detail, no quantified metrics/targets, no climate-specific content anywhere.</t>
  </si>
  <si>
    <t>AIICO Insurance Plc 2022 Annual Report (aiicoplc.com). CR&amp;S policy text verbatim-identical to FY2021 report (confirmed by direct text comparison) -- same coding applies.</t>
  </si>
  <si>
    <t>AIICO Insurance Plc 2023 Annual Report (aiicoplc.com). CR&amp;S policy text again verbatim-identical to FY2021/FY2022. No IFRS S1/S2/ISSB mention anywhere.</t>
  </si>
  <si>
    <t>AIICO Insurance Plc 2024 Annual Report (aiicoplc.com). Boilerplate CR&amp;S text confirmed unchanged from prior years. No metrics, no IFRS S1/S2 mention.</t>
  </si>
  <si>
    <t>AIICO Insurance Plc 2025 Annual Report and Accounts (aiicoplc.com). First year with upgraded content: climate-specific insurance products (Weather Index / Area Yield Index for farmers) -&gt; S1/S2/S3=1; GHG emissions tracking methodology named (GHG Protocol referenced but no Scope 1/2/3 figures disclosed -&gt; CDQ M1-3=0); one quantified metric (1,079kg recyclable waste retrieved) -&gt; M1=1; 50 trees donated. Still no IFRS S1/S2 mention, no board sustainability committee detail, no targets-with-progress pairing.</t>
  </si>
  <si>
    <t>Airtel Africa Plc FY2021 (FYE 31-Mar-2021) Full Report / Governance Report / Strategic Report (cdn-webportal.airtelstream.net). Governance Report pp.82-99: Board attended a Nov-2020 sustainability workshop and endorsed management's sustainability-reporting approach (G1=1); no dedicated Sustainability Committee yet (only Audit&amp;Risk/Remuneration/Nominations/Market Disclosure committees named); Remuneration Committee's 'embed sustainability into pay' was only a forward-looking 2020/21 recommendation, not yet implemented. Group's sustainability strategy/GHG baseline programme launched Oct-2021, i.e. AFTER this FYE, confirming genuinely near-zero disclosure for this year rather than an extraction gap. No IFRS S1/S2/ISSB language located in fetched 'new standards' sections.</t>
  </si>
  <si>
    <t>Airtel Africa Sustainability Report 2022 (cdn-webportal.airtelstream.net), supplemented by FY2021 Governance/Strategic Report continuity. Sustainability Committee (chaired by CEO, meets monthly) formalised as a Board committee alongside Audit&amp;Risk Committee (co-oversees climate risks/opportunities); Board updated quarterly; remuneration policy explicitly integrates sustainability metrics (G4/M4=1). Baseline Scope1+2=115,719 tCO2e, Scope3=534,058 tCO2e reported as of 31-Mar-2022 with stated calculation methodology (M5=1). Net-zero-by-2050 pathway is a forming target, no progress figure yet reportable in baseline year. No scenario analysis or physical/transition risk categorisation found this year. CAVEAT: standalone AR2022 Governance/Strategic Report PDF not independently located this session -- some G/S items may be undercounted, flagged for re-check.</t>
  </si>
  <si>
    <t>Airtel Africa Governance Report FY2022/23 + Financial Statements FY2022/23 climate risk note 7.3 (cdn-webportal.airtelstream.net). Sustainability Committee meets monthly, Board updated quarterly; agenda explicitly names 'Pathway to net zero and reduction of GHG emissions: complexity of modelling scope 1/2 initiatives and modelling for scope 3'. FS Note 7.3 'Our consideration of climate-related risks' confirms TCFD governance process and that auditors evaluated climate scenario considerations. CAVEAT: no standalone Sustainability Report 2023 located this session (URL attempts failed) so no direct FY2023 GHG figures/targets found -- M-series scored 0 pending that primary source, likely an undercount given FY2022/2024 both report figures, flagged for re-check.</t>
  </si>
  <si>
    <t>Airtel Africa Sustainability Report 2024 + Financial Statements 2024 (cdn-webportal.airtelstream.net). Report explicitly sections 'Transition risks / Physical risks' (CDQ S1=1); scenario analysis conducted 'in 2023/24' per retrospective FY2025 report text (S3/S5=1). Scope1=82,871; Scope2=45,632; Scope3=891,182 tCO2e (2023/24) reported with named methodology section. Remuneration Committee link to sustainability explicit. Board sustainability-champion director role not yet clearly confirmed for this year (G5=0).</t>
  </si>
  <si>
    <t>Airtel Africa AR2025 digital-first HTML report -- Managing our risk (p021), Sustainability strategy (p023), Governance structures (p036), Audit&amp;Risk Committee report (p041), TCFD disclosures (p025), New accounting pronouncements note (p066). Governance structures page names 5 Board committees incl. Sustainability Committee (chair: CEO Sunil Taldar; mgmt member 'Oladimeji Olaniyan, Head of strategy and sustainability') and 'Annika Poutiainen, Board member and sustainability champion' (G5=1). Full TCFD-structured disclosure: 3-scenario climate analysis (current-policy/high-temp/net-zero), both physical &amp; transition risks tabulated, Scope1=89,869/Scope2=44,151/Scope3='n/a with reasoned 1-yr verification lag' tCO2e (M3=1 per reasoned-omission rule), target -62% carbon intensity by 2032 from 2022 baseline with -14% progress reported, ExCo LTIP/KRA explicitly linked to carbon reduction. Note 4 'New accounting pronouncements to be adopted' lists only an IAS 21 amendment -- no IFRS S1/S2/ISSB mention anywhere located across all AR2025 pages fetched, hence Adopter_Dummy blank despite substantive voluntary TCFD-aligned disclosure.</t>
  </si>
  <si>
    <t>GAP-FILL: ALEX FY2021: primary source NOT accessible this session - the FY2022 NGX doclib filing (which would carry an FY2021 comparative) returned as an image-only/non-machine-readable PDF ('[This PDF is empty or contains no machine-readable text]'), and no readable FY2023/2024/2025 filing or company-website AFS could be located within this session's search budget (parent company is Tower Aluminium (Nigeria) Plc). Scored 0/20 SDQ, 0/15 CDQ, FLAGGED as unconfirmed/inaccessible-source, consistent with this dataset's THOMASWY/image-only-PDF precedent - a strong candidate for re-verification with OCR or an alternate source.</t>
  </si>
  <si>
    <t>GAP-FILL: ALEX FY2022: primary source NOT accessible this session - the FY2022 NGX doclib filing (which would carry an FY2021 comparative) returned as an image-only/non-machine-readable PDF ('[This PDF is empty or contains no machine-readable text]'), and no readable FY2023/2024/2025 filing or company-website AFS could be located within this session's search budget (parent company is Tower Aluminium (Nigeria) Plc). Scored 0/20 SDQ, 0/15 CDQ, FLAGGED as unconfirmed/inaccessible-source, consistent with this dataset's THOMASWY/image-only-PDF precedent - a strong candidate for re-verification with OCR or an alternate source.</t>
  </si>
  <si>
    <t>GAP-FILL: ALEX FY2023: primary source NOT accessible this session - the FY2022 NGX doclib filing (which would carry an FY2021 comparative) returned as an image-only/non-machine-readable PDF ('[This PDF is empty or contains no machine-readable text]'), and no readable FY2023/2024/2025 filing or company-website AFS could be located within this session's search budget (parent company is Tower Aluminium (Nigeria) Plc). Scored 0/20 SDQ, 0/15 CDQ, FLAGGED as unconfirmed/inaccessible-source, consistent with this dataset's THOMASWY/image-only-PDF precedent - a strong candidate for re-verification with OCR or an alternate source.</t>
  </si>
  <si>
    <t>GAP-FILL: ALEX FY2024: primary source NOT accessible this session - the FY2022 NGX doclib filing (which would carry an FY2021 comparative) returned as an image-only/non-machine-readable PDF ('[This PDF is empty or contains no machine-readable text]'), and no readable FY2023/2024/2025 filing or company-website AFS could be located within this session's search budget (parent company is Tower Aluminium (Nigeria) Plc). Scored 0/20 SDQ, 0/15 CDQ, FLAGGED as unconfirmed/inaccessible-source, consistent with this dataset's THOMASWY/image-only-PDF precedent - a strong candidate for re-verification with OCR or an alternate source.</t>
  </si>
  <si>
    <t>GAP-FILL: ALEX FY2025: primary source NOT accessible this session - the FY2022 NGX doclib filing (which would carry an FY2021 comparative) returned as an image-only/non-machine-readable PDF ('[This PDF is empty or contains no machine-readable text]'), and no readable FY2023/2024/2025 filing or company-website AFS could be located within this session's search budget (parent company is Tower Aluminium (Nigeria) Plc). Scored 0/20 SDQ, 0/15 CDQ, FLAGGED as unconfirmed/inaccessible-source, consistent with this dataset's THOMASWY/image-only-PDF precedent - a strong candidate for re-verification with OCR or an alternate source.</t>
  </si>
  <si>
    <t>GENUINE GAP: aradel.com was unreachable this session (multiple fetch attempts on the task-supplied URL and alternates found via web search returned empty content, including a URL that had fetched successfully earlier in this same session for FY2022 -- confirming the domain, not the specific link, is the blocker at time of access). NDEP filed voluntary IR-site annual reports pre-NGX-listing but this one could not be retrieved this session -- worth a retry.</t>
  </si>
  <si>
    <t>Filed as NDEP Plc, FY-2022-Audited-Financial-Statements.pdf (aradel.com). Corporate Governance Report: Board has 4 committees incl. 'Corporate Responsibility &amp; Risk Management Committee' (CRRMC, 4 meetings/yr); risk-only mandate (identification/assessment/quantification/rating/monitoring per documented ERM framework diagram) with no sustainability/ESG/climate-specific risks, targets or metrics named anywhere in Directors'/CG Report or notes. No GHG/flaring figures, no TCFD/ISSB/IFRS S1/S2 language found.</t>
  </si>
  <si>
    <t>GENUINE GAP: Same domain-unreachable issue as FY2021 -- ARADEL_ANNUAL_REPORT_2023.pdf and a Sustainability-Report-2023.pdf URL (both task-supplied and web-search-located) returned empty content on every attempt this session, including with cache-busting query strings. Worth a retry.</t>
  </si>
  <si>
    <t>Aradel Holdings Plc 2024 Annual Report &amp; Accounts (NGX doclib #43494) -- first AR as NGX-listed entity (listed by introduction 14-Oct-2024). Same CRRMC/4-committee structure as FY2022, same generic ERM framework (no sustainability-specific risk categories). One entity-specific financial-effect item: a disclosed US$2,185,865 fine 'in respect of a technical gas flare in the year 2024' (S4=1) -- a negative environmental-compliance disclosure, not a positive metric. 'Protection of the Environment' section is a one-paragraph generic compliance statement with no quantified emissions/flaring data. No IFRS S1/S2/ISSB language found.</t>
  </si>
  <si>
    <t>Aradel Holdings Plc FY2025 filing (NGX doclib #45966) -- LOWER CONFIDENCE: this fetch only returned the audit-committee cover page, financial statements and notes, not the narrative Corporate Governance Report obtained for FY2022/FY2024. Score applies the FY2022/FY2024 CRRMC governance pattern by inference (same recurring structure across all 3 available years) rather than direct FY2025-specific text -- flagged for re-verification against the full FY2025 Annual Report if it becomes accessible. No IFRS S1/S2/ISSB language found in the FS notes captured.</t>
  </si>
  <si>
    <t>Austin Laz and Company Plc FY2021 (NGX doclib #34832), full text reviewed. Only two board committees exist -- 'Financial and General Purpose Committee' and statutory 'Audit Committee' -- neither with any sustainability/ESG/climate mandate. Zero mentions of sustainability/ESG/climate/GHG/emissions anywhere. 'Basis of preparation' note references only general IFRS compliance, no new-standards/adoption section discussing IFRS S1/S2/ISSB. Company operations were suspended (zero revenue) this year.</t>
  </si>
  <si>
    <t>INFERRED (no standalone FY2022 full annual report located; NGX doclib search did not surface one distinct from FY2021/FY2023 filings, and AfricanFinancials only holds an Abridged Report, not used per project convention). Scored by direct textual comparison: FY2021 and FY2023 filings' 'BOARD COMMITTEES' and accounting-policy sections are verbatim-identical, and FY2023's 2022 comparative figures confirm continuity of the same dormant, zero-revenue state -- high confidence genuine 0/0 year, but flagged as inferred rather than directly sourced.</t>
  </si>
  <si>
    <t>Austin Laz and Company Plc FY2023 (NGX doclib #40358), full text reviewed. Identical governance/committee boilerplate to FY2021; zero revenue again this year; no sustainability/ESG/climate content anywhere.</t>
  </si>
  <si>
    <t>Austin Laz and Company Plc FY2024 (NGX doclib #43103), full text reviewed. Operations resumed this year (revenue N1.316bn) but governance/CSR content unchanged from prior years -- same two committees, zero sustainability/ESG/climate language. Includes an ICFR management assessment (COSO framework) -- a financial-control item, not a sustainability disclosure.</t>
  </si>
  <si>
    <t>Austin Laz and Company Plc FY2025 (NGX doclib #45913), full text reviewed. Company reports it was 'inactive... throughout the year 2025 due to the moribund condition of the productive capacity' -- zero revenue confirmed. Same governance boilerplate, zero sustainability/ESG/climate content.</t>
  </si>
  <si>
    <t>GENUINE GAP: AVA Infrastructure Fund's own FY2024 Trustees'/Fund Manager's Report states the Fund 'was listed on the main board of the Nigerian Exchange Limited (NGX) on May 10, 2024' following an offer that closed 27-Mar-2024. No public annual report exists for FY2021 -- the fund did not exist as a public entity (excluded by design, consistent with other pre-listing firm-years elsewhere in this dataset).</t>
  </si>
  <si>
    <t>GENUINE GAP: Same pre-listing reasoning as FY2021 -- fund did not exist as a public entity.</t>
  </si>
  <si>
    <t>AVA Infrastructure Fund FY2024 (NGX doclib #43641), full text reviewed -- first/inaugural Annual Report, part-year (fund NGX-listed 10-May-2024 after offer closed 27-Mar-2024). Fund governed by Trustees (STL Trustees Ltd) + Fund Manager structure, not a conventional corporate board; 'investment committee' referenced only for project-pipeline evaluation, not sustainability. Zero mentions of sustainability/ESG/climate/GHG anywhere in Trustees'/Fund Manager's Report or notes; fund held only money-market investments this year, no infrastructure projects yet deployed. No IFRS S1/S2/ISSB language in FS notes.</t>
  </si>
  <si>
    <t>AVA Infrastructure Fund FY2025 (NGX doclib #46434), full text reviewed. Same fund structure/reporting pattern as FY2024. One generic 'ESG-linked' mention appears only inside standard IFRS 9 SPPI-test accounting-policy boilerplate (financial-asset classification), not a substantive sustainability disclosure -- scored 0 per boilerplate-exclusion rule. No committee, target or metric content related to sustainability/climate anywhere in the report.</t>
  </si>
  <si>
    <t>GAP-FILL: BAPLC FY2021: not verified this session (only the FY2022 Financial Statements were fetched, already coded in an earlier batch). That FY2022 filing explicitly confirms 'There was no donation &amp; charitable gift made during the year' and contains NO board committee structure at all (a 4-director micro-cap telecom company with no distinct Board Committees section), which provides reasonable context that this firm's ESG disclosure is minimal/near-zero across periods, though not directly confirmed for FY2021. Scored 0/20 SDQ, 0/15 CDQ, FLAGGED as unconfirmed pending re-verification against a dedicated FY2021 filing.</t>
  </si>
  <si>
    <t>Bricklinks Africa Plc FY2022 (NGX doclib #38151). Small telecom-adjacent subsidiary; filing has only Directors' Report/financials, no MD&amp;A, no board committee, no CSR/sustainability/risk narrative of any kind. Standards note silent on IFRS S1/S2.</t>
  </si>
  <si>
    <t>Bricklinks Africa Plc FY2023 Year-End FS (NGX doclib #40130). Same minimal format as FY2022; no governance/sustainability narrative; standards note silent on IFRS S1/S2.</t>
  </si>
  <si>
    <t>GAP-FILL: BAPLC FY2024: not verified this session (only the FY2022 Financial Statements were fetched, already coded in an earlier batch). That FY2022 filing explicitly confirms 'There was no donation &amp; charitable gift made during the year' and contains NO board committee structure at all (a 4-director micro-cap telecom company with no distinct Board Committees section), which provides reasonable context that this firm's ESG disclosure is minimal/near-zero across periods, though not directly confirmed for FY2024. Scored 0/20 SDQ, 0/15 CDQ, FLAGGED as unconfirmed pending re-verification against a dedicated FY2024 filing.</t>
  </si>
  <si>
    <t>GAP-FILL: BAPLC FY2025: not verified this session (only the FY2022 Financial Statements were fetched, already coded in an earlier batch). That FY2022 filing explicitly confirms 'There was no donation &amp; charitable gift made during the year' and contains NO board committee structure at all (a 4-director micro-cap telecom company with no distinct Board Committees section), which provides reasonable context that this firm's ESG disclosure is minimal/near-zero across periods, though not directly confirmed for FY2025. Scored 0/20 SDQ, 0/15 CDQ, FLAGGED as unconfirmed pending re-verification against a dedicated FY2025 filing.</t>
  </si>
  <si>
    <t>Berger Paints Nigeria Plc FY2021 (NGX doclib #35551). Board Audit, Strategy &amp; Risk Management Committee named with ERM oversight + CSR-policy duty (G1); meeting frequency disclosed (G3); ERM framework explicit (R4). No metrics, no climate content. Standards note silent on IFRS S1/S2 (predates ISSB issuance).</t>
  </si>
  <si>
    <t>Berger Paints Nigeria Plc FY2022 (NGX doclib #38102). Identical governance structure to FY2021. 'Standards issued but not yet effective' note lists only IAS 12/IAS 1 amendments -- no IFRS S1/S2 (predates ISSB issuance).</t>
  </si>
  <si>
    <t>Berger Paints Nigeria Plc FY2023 (NGX doclib #40780). Same governance pattern as FY2021/2022; no IFRS S1/S2 mention anywhere in document.</t>
  </si>
  <si>
    <t>Berger Paints Nigeria Plc FY2024 (NGX doclib #43523). Directors' Report notes SPIN-facilitated director training 'Understanding the New ISSB (IFRS S1 &amp; S2) Sustainability Disclosure Standards' -- scored SDQ-G5 and CDQ-G3 (climate-specific expertise via training). Standards-adoption note itself is silent on IFRS S1/S2 status, so Adopter_Dummy stays blank despite the training evidence.</t>
  </si>
  <si>
    <t>GAP-FILL: BERGER FY2025 (Audited Consolidated and Separate Financial Statements, NGX doclib, fetched directly): SDQ=3/20. Credited: SDQ_M1 (Note 9 'Donations and gifts' - fully itemised table, Opebi Primary Health Centre Maternity Ward painting N256,439, Heritage Homes orphanage painting N535,228, Federal Nigerian Society for the Blind facility painting N1,504,928, total N2,296,595); SDQ_R1 (a named 'Safety and environment policy' explicitly includes 'The assessment of the adverse impact of our raw materials or new products on both humans and the environment' - a specific environmental-risk-identification practice); SDQ_R3 (the same policy states the Company conducts 'a periodic environmental audit to monitor the significant environmental aspects of our operations' - a named ongoing-monitoring process). NOT credited: SDQ_G1 (no sustainability-specific board committee among Finance &amp; General-Purpose, Establishment/Remuneration/Governance, and Audit/Strategy/Risk Management Committees); SDQ_R2 (no distinct risk-assessment/prioritisation process described separately from R1/R3); SDQ_M3 (no quantified environmental metric beyond the donations figure). CDQ=0/15 - the 'Sustainability' sub-section references 'use of modern technology and expertise to reduce environmental pollution' and 'proper disposal or recycle of waste' but is generic pollution/waste-management language, not climate/GHG-specific, and no emissions figures were found anywhere in the document.</t>
  </si>
  <si>
    <t>GAP-FILL: BETAGLAS FY2021: not verified this session - the only primary source fetched was the FY2022 Annual Report (NGX doclib), which confirms political donations were Nil in both FY2022 AND FY2021 ('2021: Nil'), but its itemised 'Corporate Social Responsibility' community-projects table (total N18,618,000 - town hall renovation, solar street poles, classroom furniture donation) is explicitly introduced as 'commenced in 2022' with no FY2021 comparative figure given. Scored 0/20 SDQ, 0/15 CDQ, FLAGGED as unconfirmed pending re-verification against a dedicated FY2021 filing.</t>
  </si>
  <si>
    <t>Beta Glass Plc FY2022 (NGX doclib #38006). CSR section discloses specific itemised community projects totaling N18.618m (M1). Only a Statutory Audit Committee exists -- no sustainability/risk committee, no environmental/climate metrics. Standards note lists no IFRS S1/S2 (pre-ISSB).</t>
  </si>
  <si>
    <t>Beta Glass Plc FY2023 (NGX doclib #40757). CSR N10.715m itemised (M1). Same governance pattern as FY2022. No IFRS S1/S2 mention.</t>
  </si>
  <si>
    <t>Beta Glass Plc FY2024 (NGX doclib #43574). Directors' Report pages (3-9, containing CSR detail) not text-extractable from this specific PDF (likely image pages); M1=1 scored on the strength of the FY2025 report's retrospective disclosure of the identical FY2024 CSR total (N16.071m, itemised). Standards note (fully readable) lists no IFRS S1/S2.</t>
  </si>
  <si>
    <t>Beta Glass Plc FY2025 (NGX doclib #46515, found via search). CSR N17.138m itemised (M1), plus retrospective FY2024 figure N16.071m confirmed. No board sustainability/risk committee in any year examined; no IFRS S1/S2 mention.</t>
  </si>
  <si>
    <t>BUA Cement Plc FY2021 (NGX doclib #35418). Risk Management Committee explicitly oversees 'Internal Control; Enterprise Risk Management; and Health, Safety, Security &amp; Environment' (G1,R3,R4); met 4x with dates disclosed (G3); charitable donations N1.02bn itemised (M1: boreholes, transformers, scholarships). No climate content. No IFRS S1/S2 (pre-ISSB).</t>
  </si>
  <si>
    <t>BUA Cement Plc FY2022 (NGX doclib, BUA_Cement_Plc_-_2022_AFS.pdf). Same governance structure as FY2021. Charitable donations N1.07bn (M1). No IFRS S1/S2 mention.</t>
  </si>
  <si>
    <t>BUA Cement Plc FY2023 (NGX doclib #40408). New 'Sustainability' narrative paragraph: 'strict adherence to emission standards; reduced fresh water use, water recycling and land reclamation... SDGs' (S2). Charitable donations N1.06bn (M1). CONFIRMS prior session's finding: Notes 2.1.2.2 explicitly list 'IFRS S1... [Effective 1 Jan 2024]' and 'IFRS S2, Climate-related disclosures [Effective 1 Jan 2024]' under 'New standards and interpretations not yet adopted' -- Adopter_Dummy=0 verified directly from the primary FS note.</t>
  </si>
  <si>
    <t>BUA Cement Plc FY2024 (NGX doclib #43223). Same 'Sustainability' paragraph verbatim (S2); charitable donations N1.73bn (M1). NOTABLE: the FY2024 'not yet adopted' standards list no longer mentions IFRS S1/S2 at all (only IFRS 18/19, IAS 21/IFRS 9,7 amendments) -- note is silent on IFRS S1/S2 status this year, so Adopter_Dummy reverts to blank per strict coding rule (cannot infer 0 or 1 from silence, even though FY2023 was explicit).</t>
  </si>
  <si>
    <t>RE-VERIFICATION (session 15-Aug-2026, user-directed): made a sustained, multi-method attempt to locate and fetch BUA Cement's actual FY2025 Annual Report and Accounts (year ended 31 December 2025, audited financial statements approved by the Board on 26 February 2026, per africanfinancials.com's document listing dated 2 March 2026) - CONFIRMED this report exists and has been published, unlike a scenario where the primary source simply doesn't exist yet. Three independent primary-source access routes were tried and each failed this session: (1) the africanfinancials.com document page itself only embeds a Google Drive preview link (drive.google.com/file/d/1hSkzIkksEzaUKBqieSoeW1j8Vd7NF2M9), which - as with UBA's FY2025 Annual Report attempted earlier this session - returns empty/unparseable output through every Google Drive URL pattern tried (view, uc?export=download); (2) a targeted search for the NGX doclib-hosted 'Quarter 5' FY2025 audited financial statement filing (following the exact naming pattern used for BUA Cement's FY2024 filing, which WAS successfully fetched and confirmed to be the wrong fiscal year) did not surface a FY2025-specific doclib URL; (3) buacement.com/documents URL-pattern guesses based on the naming convention used for the FY2021/2022/2023/2024 reports also did not resolve to a FY2025 file, and the AGM Notice (NGX doclib, filed 27 March 2026) confirms only that 'an electronic copy of the Annual Report is accessible on the Company's website' without giving a direct file URL. NOTE: africanfinancials.com's own page for this document displays an AI-GENERATED summary (explicitly disclaimed as such, 'not a substitute for professional financial advice...may contain errors') that references a N649.7 million FY2025 charitable-donations figure and general environmental/SDG-alignment language - this was NOT credited per this dataset's anti-circularity rule (specific-sounding secondary/AI-generated summaries are explicitly excluded from scoring even when they look plausible). SCORE UNCHANGED this pass (0/20 SDQ, 0/15 CDQ) and REMAINS FLAGGED, but the 'likely under-scored' concern from the prior session should be read in light of this firm's own multi-year track record: BUA Cement's FY2021-FY2024 firm-years in this dataset are already coded from confirmed primary sources at a consistently modest 5-6/20 SDQ and 0/15 CDQ each year (i.e. this firm has never scored CDQ credit in any confirmed year, and SDQ has never exceeded 6/20) - suggesting FY2025's true profile, once the primary source becomes fetchable, is more likely to resemble this firm's own established modest pattern than a dramatic under-count. Re-verification should be attempted again once a direct (non-Google-Drive) URL for the FY2025 Annual Report becomes available, e.g. via a future NGX doclib filing or a working buacement.com link.</t>
  </si>
  <si>
    <t>GAP-FILL: BUAFOODS FY2021: primary source fetch attempts failed this session (the NGX doclib FY2021 Audited Financial Statement and the company-website-hosted FY2021 Annual Report PDF both returned no retrievable text/timed out). Scored 0/20 SDQ, 0/15 CDQ, FLAGGED as unconfirmed pending re-verification. Note BUA Foods Plc was only formed/listed in Jan 2022 as itself, though this FY2021 filing exists as a pre-listing historical AFS.</t>
  </si>
  <si>
    <t>BUA Foods Plc FY2022 (NGX doclib #38042, first AR post-listing). No dedicated corporate-governance report/board-committee structure (TOC has no such section) -- only statutory Audit Committee. Charitable donations N142.31m itemised (M1: food items to host communities). No IFRS S1/S2 mention.</t>
  </si>
  <si>
    <t>BUA Foods Plc FY2023 -- primary document (buafoodsplc.com 2023 AR) not fetchable this session (site returned empty content on repeated attempts). M1=1 based on cross-reference: FY2024 report's comparative note states 'charitable donations amounting to N860.2 million during the year ended 31 December 2024 (31 December 2023: N89.9 million)'. Other items scored 0 by consistency with the identical minimal-governance format seen in FY2022 and FY2024. Reuses prior session's Adopter_Dummy=0 finding (documented explicit 'not yet adopted'); not independently re-verified this session due to source access failure -- flagged for re-check.</t>
  </si>
  <si>
    <t>BUA Foods Plc FY2024 (NGX doclib #43524). No corporate-governance/board-committee report section; only Audit Committee. Charitable donations N860.2m itemised (M1). CONFIRMS prior session's finding: Notes explicitly state 'IFRS S2... mandatory for public interest entities from period beginning 1 January 2028' and same for IFRS S1, under not-yet-adopted standards -- Adopter_Dummy=0 verified directly.</t>
  </si>
  <si>
    <t>GAP-FILL: BUAFOODS FY2025: primary source fetch attempts failed this session (company-website-hosted FY2025 Annual Report PDF returned no retrievable text). Scored 0/20 SDQ, 0/15 CDQ, FLAGGED as unconfirmed - a secondary source (Nairametrics-style aggregator) references an approx. N1.9 billion FY2025 CSR/donations figure (community palliatives, security support, youth empowerment) and a four-pillar sustainability framework (Environment, Energy, Economy, Society), but per this dataset's anti-circularity rule this was NOT credited without primary-source confirmation - a HIGH-PRIORITY re-verification candidate.</t>
  </si>
  <si>
    <t>Cadbury Nigeria Plc FY2021 (NGX doclib #35349). Governance &amp; Risk Committee (GRC) named with mandate including 'non-financial elements of risk' (Directors' Report pp.16-17); 3 meeting dates given. Mondelez-branded 'Environmental Footprint Goals' (CO2 -15%, water -10%, waste -20%) are parent-level aspirational targets with no entity actual/progress data -- scored 0 (boilerplate). No climate content; no IFRS S1/S2 mention (predates ISSB anyway).</t>
  </si>
  <si>
    <t>GAP-FILL: CADBURY FY2022: not verified this session - the only primary source fetched was the FY2023 Annual Report (NGX doclib), whose extensive 'Sustainability Report' section (parent-company MDLZ sustainability strategy alignment, CO2 emissions reduction via low-carbon natural-gas energy sourcing with a 23%-vs-2018 reduction target, an 18% packaging-waste-reduction target, water-reduction targets, HSE-team World Environment Day volunteering) is presented as FY2023-specific with no explicit FY2022 comparative narrative captured. A secondary source references a specific N730,000 (N365k staff + N365k company-matched) flood-relief donation in November 2022, NOT credited per this dataset's anti-circularity rule absent primary-source confirmation. Scored 0/20 SDQ, 0/15 CDQ, FLAGGED as unconfirmed - a HIGH-PRIORITY re-verification candidate given the confirmed FY2023 profile strongly suggests FY2022 also carries substantial disclosure (Cadbury Nigeria's parent Mondelez has run global sustainability programmes for years predating 2022).</t>
  </si>
  <si>
    <t>Cadbury Nigeria Plc FY2023 (NGX doclib #40785). GRC held zero meetings in 2023 (explicitly disclosed, p.19) -- scored G1/G3=0 (oversight not exercised). Water target: 'reduce water use by 24%... this we achieved... new target of 46%' = target+progress (M2=1). Proprietary 'Eco Calculator' methodology named for packaging (M5=1). Food-waste target sector-relevant (M3=1). No standards-not-yet-effective note references IFRS S1/S2.</t>
  </si>
  <si>
    <t>Cadbury Nigeria Plc FY2024 (NGX doclib #43612). GRC held 1 meeting (23-Oct-2024). 'Sustainability programs' section headers present but body content is image-based/unextractable via pdftotext (extraction limitation, not confirmed absence) -- scored conservatively 0 for M-items given no verifiable text, flagged for re-check.</t>
  </si>
  <si>
    <t>Cadbury Nigeria Plc FY2025 (NGX doclib #46461). Rich narrative this year (text extracted well): Board Committees 'providing strategic oversight for sustainability stewardship' (G1); MD delegates via leadership team (G2); GRC met 22-Jan &amp; 28-Jul-2025 (G3); '100% packaging locally sourced...shortening supply chain footprint' (S2); RiskEX software for risk ID (R1); Gemba walks/Total Plant Assessment (R3); CO2 -34% vs -19% target, water -62.5% vs -52% target, food waste -67.4% vs -35% target, all vs 2018 baseline (M1/M2/M3/M5). CDQ: low-carbon energy strategy (S4); CO2 target &amp; beat-target progress vs 2018 baseline count as climate target/progress (M4/M5) -- no absolute Scope 1/2/3 tCO2e figures reported.</t>
  </si>
  <si>
    <t>GAP-FILL: CAP FY2021: not verified this session - the only primary source fetched was the FY2022 Annual Report (NGX doclib), which confirms CAP holds ISO 9001:2015 and ISO 14001:2015 Environmental Management System certification and is a UN Global Compact (UNGC) signatory, and itemises FY2022 donations (two paint donations to orphanages, N2,801,853 + N2,069,162 = N4,871,015 total), but no FY2021 comparative figure was captured. Scored 0/20 SDQ, 0/15 CDQ, FLAGGED as unconfirmed pending re-verification, though the confirmed FY2022 ISO/UNGC credentials suggest FY2021 (pre-dating CAP's 2021 merger with Portland Paints) may carry a similar or lesser profile.</t>
  </si>
  <si>
    <t>Chemical and Allied Products Plc FY2022 (NGX doclib #37953). Standard Risk Management Committee (general ERM: financial/IT/operational risk, met 4x, pp.12-14), not sustainability-specific. ISO 14001:2015 certification and UN Global Compact signatory noted (p.1) as credentials only, no metrics/targets/process tied to them. No standards-not-yet-effective note found referencing IFRS S1/S2.</t>
  </si>
  <si>
    <t>GAP-FILL: CAP FY2023: not verified this session (only the FY2022 Annual Report was fetched). Scored 0/20 SDQ, 0/15 CDQ, FLAGGED as unconfirmed pending re-verification against a dedicated FY2023 filing.</t>
  </si>
  <si>
    <t>Chemical and Allied Products Plc FY2024 (NGX doclib #43529). Identical generic Risk Management Committee structure to FY2022. Auditor's report explicitly states the Sustainability Report and CSR Report are 'outstanding reports' not included in this filing, to be provided later (p.32 of auditor opinion) -- document confirmed to exclude the company's standalone ESG narrative; scored 0 based on what's present. Standards note (IFRS9/7 amendments only) has no IFRS S1/S2 mention.</t>
  </si>
  <si>
    <t>Chemical and Allied Products Plc FY2025 unaudited year-end filing (NGX doclib #45790). Pure financial statements + notes only -- no Directors'/Corporate Governance/Sustainability report sections present. Standards note '3.2 Accounting standards issued but not yet effective' lists only IFRS 9/7 and IFRS 18 amendments -- no IFRS S1/S2/ISSB reference.</t>
  </si>
  <si>
    <t>Caverton Offshore Support Group Plc FY2021 (NGX doclib #35532, used as fallback -- company-site PDF had no extractable text). Safety Committee ('oversight of the safety and quality policies, initiatives and performance,' 4 members, quarterly, p.7) = G1/G3. Risk &amp; Finance Committee is general ERM, not sustainability-tied. Governance &amp; Implementation Committee oversees general governance procedures only. No environmental/climate content; no GHG figures; ECL 'scenario' references are credit-risk modelling, not climate scenarios.</t>
  </si>
  <si>
    <t>Caverton Offshore Support Group Plc FY2022 '2022 ANNUAL ACCOUNTS' (caverton-offshore.com, extracted successfully). Identical Safety/Risk &amp; Finance/Governance &amp; Implementation Committee structure and scoring rationale as FY2021. Table of Contents lists 'Sustainability Report' but no corresponding body content was extractable (likely graphic/image page). No standards note referencing IFRS S1/S2 found.</t>
  </si>
  <si>
    <t>Caverton Offshore Support Group Plc FY2023 (NGX doclib #41471). Same committee structure/scoring as prior years.</t>
  </si>
  <si>
    <t>Caverton Offshore Support Group Plc FY2024 (NGX doclib #42979) -- UNAUDITED 'Year End' filing. Pure financial statements (P&amp;L, SOFP, cash flow, notes) with zero Directors'/Governance/Sustainability narrative -- nothing to code.</t>
  </si>
  <si>
    <t>Caverton Offshore Support Group Plc FY2025 (NGX doclib #47443). Same Safety Committee structure. One new line: 'management is actively pursuing several key initiatives' for sustainable growth/financial stability -- financial, not ESG-substantive.</t>
  </si>
  <si>
    <t>Champion Breweries Plc FY2021 (NGX doclib #35209). Minimal governance disclosure -- only generic Audit Committee and Risk Management Committee (in financial-risk note, general market/credit/liquidity risk, pp.45-46), no board committee tied to sustainability. Only passing 'sustainable business growth' phrase in Code of Conduct blurb (boilerplate). No environmental/CSR section at all. Standards-not-yet-effective note lists only IAS 37/IAS 12/IAS 16 amendments.</t>
  </si>
  <si>
    <t>Champion Breweries Plc FY2022 (championbreweries.com FS_2022.pdf). Same minimal pattern as FY2021 -- no dedicated Sustainability/CSR report yet (appears from 2023 onward, likely post-ownership-change disclosure upgrade). No IFRS S1/S2 mention.</t>
  </si>
  <si>
    <t>Champion Breweries Plc FY2023 (NGX doclib, 'Champion_Breweries_Plc_-_2023_Audited_Financial_Statements.pdf'). First year with a dedicated 'Sustainability and Corporate Social Responsibility Report' (pp.6-8), Heineken 'Brew A Better World' agenda. 'Ended the year at 90% zero waste to landfill' = entity metric (M1) and sector-relevant (M3), but no explicit prior target stated so M2=0. Solar-light investment to cut energy/carbon = low-carbon strategy element (CDQ S4=1). No board committee named for sustainability oversight; no Scope 1/2/3 figures.</t>
  </si>
  <si>
    <t>Champion Breweries Plc FY2024 (NGX doclib #43241). Ownership changed to EnjoyCorp; substantial 'Brewing a Sustainable Future' 6-pillar ESG report (pp.7-11). Local sourcing: 'exceeded target of 45%, achieving 58.3%' = explicit target+progress (M2=1). Waste-to-landfill 93.5% (up from 90%) = M1/M3. 'Shorten supply chains, reducing transportation costs and carbon footprints' = value-chain effect (S2, and CDQ S2 since carbon-specific). Six-pillar strategy = S3. 'Comprehensive risk assessments,' 'regular safety audits/quarterly environmental audits' = R1/R3. Decarbonization pillar (CNG/solar investment, emissions reduction) = CDQ S4. Planned solar covering 30% of energy consumption = quantified climate target (CDQ M4), no completion status given so M5=0. No board-committee-specific sustainability oversight found; no Scope 1/2/3 GHG figures reported.</t>
  </si>
  <si>
    <t>Champion Breweries Plc FY2025 (NGX doclib, 'CHAMPION_BREWERIES_PLC_-_2025_AUDITED_FINANCIAL_STATEMENTS.pdf'). Sustainability/CSR report section (pp.8-13 per pagination) present in the document's structure but body content is entirely image-based -- pdftotext extracted only repeated page headers/numbers, no narrative or metrics text. Genuine extraction limitation, not confirmed absence; scored conservatively 0, flagged for re-check. Standards note references only IFRS 18 and IFRS 9/7 amendments, no IFRS S1/S2.</t>
  </si>
  <si>
    <t>Chams Plc FY2021 (NGX doclib #35599). Standard committee suite (Finance, Audit, Establishment &amp; Governance, Innovation/Marketing/Technology) -- none sustainability-tied. Explicitly 'no donation was made' in year under review. No environmental/social/climate content anywhere (fintech/identity-management holding company, low environmental footprint profile).</t>
  </si>
  <si>
    <t>Chams Holding Company Plc FY2022 (NGX doclib #38108). Company renamed Chams Plc -&gt; Chams Holding Company Plc mid-year. Risk Management Committee added (general ERM, 'articulate risk management philosophy,' met 2x) -- not sustainability-specific. No ESG content.</t>
  </si>
  <si>
    <t>Chams Holding Company Plc FY2023 (NGX doclib #40763). Same committee structure as 2022; 'no donation was made' again; no ESG/climate content.</t>
  </si>
  <si>
    <t>Chams Holding Company Plc FY2024 (NGX doclib #43086) -- UNAUDITED 'Year End' filing. Pure unaudited FS with segment notes only -- no Directors'/Governance/Sustainability narrative present at all.</t>
  </si>
  <si>
    <t>Chams Holding Company Plc FY2025 (NGX doclib #46494). Narrower extracted content than prior years (governance-committee descriptions not present in this filing's extracted text); no sustainability content found. Standards note text appears partially stale/recycled ('year ending 31 December 2022' language) but no IFRS S1/S2 mention regardless.</t>
  </si>
  <si>
    <t>GAP-FILL: CHELLARAM FY2021: primary source fetch failed this session (a greenwichregistrars.com-hosted FY2021 Annual Report PDF returned no retrievable text). Scored 0/20 SDQ, 0/15 CDQ, FLAGGED as unconfirmed pending re-verification. Secondary-source context (not credited): a more recent aggregator reference notes Chellarams spent over N9.37m on CSR (scholarships, bursaries, medical assistance) in 2025, suggesting an established CSR practice that may also apply to FY2021, unconfirmed from a primary source this session.</t>
  </si>
  <si>
    <t>Chellarams Plc FY2022 (FYE 31-Mar, NGX doclib ID 36745). Full front matter + Note 3(a)/(b) checked; only routine IFRS updates listed, no ESG/climate/IFRS S1-S2 anywhere. CSR = charity donations only, not scored under this instrument's rules.</t>
  </si>
  <si>
    <t>Chellarams Plc FY2023 (NGX doclib ID 38985). Risk Management Committee generic (financial/operational only); Notes 3(a)/(b) list only routine IFRS/IAS updates.</t>
  </si>
  <si>
    <t>Chellarams Plc FY2024 (NGX doclib ID 41127). Abbreviated filing (no Chairman's Statement/CSR/full governance report). Standards note is stale boilerplate -- structurally unscorable rather than confirmed zero disclosure elsewhere.</t>
  </si>
  <si>
    <t>Chellarams Plc FY2025 (NGX doclib ID 44064). Same abbreviated format as FY2024; identical stale standards-adoption note (still references FY2021).</t>
  </si>
  <si>
    <t>C&amp;I Leasing Plc FY2021 (c-ileasing.com, full Annual Report). Board Risk Committee generic; ESG paragraph (p.36) is definitional boilerplate; CSR (pp.40-41) lists beneficiaries, no metrics/targets.</t>
  </si>
  <si>
    <t>C&amp;I Leasing Plc FY2022 (NGX doclib ID 39556). 'Financial statements' filing, no CSR/HSE narrative; governance boilerplate only.</t>
  </si>
  <si>
    <t>C&amp;I Leasing Plc FY2023 (NGX doclib ID 41868). Same pattern; standards note covers IFRS 17 only, no ISSB mention.</t>
  </si>
  <si>
    <t>C&amp;I Leasing Plc FY2024 (NGX doclib ID 44361). Adoption note generic ('not early adopted...not yet effective'), no IFRS S1/S2 named.</t>
  </si>
  <si>
    <t>C&amp;I Leasing Plc FY2025 (NGX doclib ID 45907). Filing contains only FS + notes, no Directors'/Governance/CSR sections at all.</t>
  </si>
  <si>
    <t>GENUINE GAP: Only an abridged report exists on AfricanFinancials for FY2021; NGX doclib search ('DEAP CAPITAL') surfaced no separate full audited FS. Abridged report page contains no governance/CSR/note-level content beyond company profile boilerplate.</t>
  </si>
  <si>
    <t>GENUINE GAP: Confirmed abridged-only filing (AfricanFinancials ng-deapca-2022-ab-00); no FY2022 full audited FS located on NGX doclib despite targeted search.</t>
  </si>
  <si>
    <t>GENUINE GAP: Abridged-only filing confirmed; company appears to be a late-filer (results for several years released in a catch-up cycle); no full audited FS with governance notes located.</t>
  </si>
  <si>
    <t>GENUINE GAP: NGX doclib PDF is a confirmed scanned/image document with zero extractable text (no OCR capability available this session). AfricanFinancials Google Drive embed for the same filing also returns empty.</t>
  </si>
  <si>
    <t>GENUINE GAP: NGX doclib PDF (FYE shifted to 30-Sep-2025) is a confirmed scanned/image document with zero extractable text -- no OCR capability available this session. NOTE: AfricanFinancials carries a self-labelled AI-generated summary of this filing, but per this project's standing rule, AI-generated summaries are never used as a primary coding source (circularity risk) -- so this firm-year is documented as a genuine access gap rather than coded from that secondary source. Flagged for re-check if OCR tooling or an alternate primary source becomes available.</t>
  </si>
  <si>
    <t>GENUINE GAP: Coronation Infrastructure Fund listed on NGX in August 2025; did not exist as a public reporting entity in FY2021 -- excluded by design, consistent with other pre-listing firm-years elsewhere in this dataset.</t>
  </si>
  <si>
    <t>Coronation Infrastructure Fund 2025 Annual Report (NGX doclib #46999, full text extracted). S3=1: 'Sustainability' strategy section (pp.6-7) states integration of SDG considerations into project selection, capital allocation, governance oversight and performance monitoring. M1/M3=1: entity-specific ESG/impact metrics per portfolio project (pp.17-18) -- e.g. 30,000 diesel generators displaced, 14% women in managerial roles, jobs created. M2=1: target-vs-actual shown for the Independent Power Project (p.17): Target 31 customers/30MW/33kv feeder route vs. actual 25 customers connected/6MW connected/5 feeders radiated. No Board of Directors section exists in this document -- governance structure described is Investment Committee + Fund Manager + Trustee (p.9), only generic 'Risk Management' bullets (p.9) not framed around sustainability, hence all G and R items=0. No GHG figures, scenario analysis or transition plan tied to the Fund's own operations -- all CDQ=0. This is the Fund's strategy/impact annual report; a separate audited financial statement FY2025 is referenced (p.14) but not linked/located this session -- the Basis of Preparation/IFRS S1-S2 adoption note likely sits there, so Adopter_Dummy is blank rather than inferred, flagged for re-check if that document becomes accessible.</t>
  </si>
  <si>
    <t>Consolidated Hallmark Insurance Plc FY2021 (ch-insure.com, full Annual Report &amp; Accounts). 'Sustainability Reporting' section: ERM framework covers environmental risks (R1, R4). Sponsorship/donations table (N12.48m) = M1. Board committees generic, not sustainability-framed.</t>
  </si>
  <si>
    <t>Consolidated Hallmark Insurance Plc FY2022 (NGX doclib ID 38065). Same 'Sustainability Reporting' boilerplate (pp.16-17); donations total N7.71m = M1. Standards note covers only IFRS 17/IAS 1/IFRS 8, no ISSB.</t>
  </si>
  <si>
    <t>Consolidated Hallmark Insurance Plc FY2023 (NGX doclib ID 40250, interim-style FS for period ended 31-Dec-2023). Abbreviated filing -- no Directors'/Governance/Sustainability sections. Genuine content gap in the filed document itself.</t>
  </si>
  <si>
    <t>Consolidated Hallmark Holdings Plc FY2024 (NGX doclib ID 43061). First filing as new HoldCo (CHH Plc); same abbreviated interim-style format, no governance/sustainability narrative.</t>
  </si>
  <si>
    <t>GAP-FILL: CONHALLPLC (Consolidated Hallmark Holdings Plc) FY2025: not verified this session - only interim Q1-Q3 2025 and Q1 2026 unaudited financial statements were located via search; no Year-End/audited FY2025 Annual Report was located within this session's search budget (interim filings typically omit the Directors' Report CSR/ESG sections that carry this dataset's scorable content). Scored 0/20 SDQ, 0/15 CDQ, FLAGGED as unconfirmed pending re-verification against the full audited FY2025 Annual Report once filed. Note: this firm's FY2021-2024 were already coded in an earlier batch (Batch 27's predecessor sessions), so this is purely a most-recent-year gap.</t>
  </si>
  <si>
    <t>Conoil Plc FY2021 (conoilplc.com, official Annual Report). Diversity/gender headcount table (p.27) = M1 only. Risk Committee/board expertise generic, no sustainability mandate.</t>
  </si>
  <si>
    <t>Conoil Plc FY2022 (conoilplc.com Annual Report). 'Climate Change Issues and Policy Options' section (pp.19-20) is generic Nigeria-level macro commentary, not entity-specific -- scores 0 on CDQ. Gender table = M1.</t>
  </si>
  <si>
    <t>Conoil Plc FY2023 (conoilplc.com, Full-Year Annual Report). CSR contributions figure (N32m) + gender table = M1. Zero climate-related keyword hits anywhere.</t>
  </si>
  <si>
    <t>Conoil Plc FY2024 (NGX doclib ID 44295). Note 2.2 explicitly lists 'Sustainability Reporting Standards (ESG-related Standards)' as issued-but-not-yet-effective and states company elected NOT to early adopt -&gt; Adopter_Dummy=0. Gender table = M1.</t>
  </si>
  <si>
    <t>Conoil Plc FY2025 (NGX doclib ID 47162, final audited FS). Same Note 2.2 language, elected not to early-adopt -&gt; Adopter_Dummy=0. Gender table = M1. CSR 'under consideration and development.'</t>
  </si>
  <si>
    <t>Cornerstone Insurance Plc FY2021 (cornerstone.com.ng Annual Report). ERM &amp; Governance Committee, Head of ERM, quarterly board reporting; RCSA/RAG/Risk Appetite Dashboard named; Category-C E&amp;S classification (M3); training metric (M1). No climate content. CAVEAT: standards-adoption note is beyond this session's PDF extraction limit (~100K chars) so Adopter_Dummy is blank due to inaccessibility, not confirmed non-adoption -- flagged for re-check.</t>
  </si>
  <si>
    <t>Cornerstone Insurance Plc FY2022 (cornerstone.com.ng Annual Report). New 'Sustainability Statement' (3 pillars) -&gt; S3; CRO named. Training metric + Category-C classification retained. Same extraction-limit caveat on Adopter_Dummy as FY2021.</t>
  </si>
  <si>
    <t>Cornerstone Insurance Plc FY2023 (cornerstone.com.ng Annual Report). G5: NED bio cites a sustainability award. G2 conservatively scored 0 (extraction cutoff before CRO section this year). Same extraction-limit caveat on Adopter_Dummy.</t>
  </si>
  <si>
    <t>Cornerstone Insurance Plc FY2024 (cornerstone.com.ng Annual Report). CRO named; 'Sustainable Impact' strategic pillar (S3); new 'Sustainability Policy' named. Remuneration explicitly stated as not ESG-linked (M4=0). Same extraction-limit caveat on Adopter_Dummy.</t>
  </si>
  <si>
    <t>Cornerstone Insurance Plc FY2025 (cornerstone.com.ng Annual Report). First climate-substantive year: Sustainability Report (solar panels, generator-shutdown 'reduced CO2 emissions', climate risk mention) = CDQ-S4; Board training on 'ESG and Climate-Related Challenges' = CDQ-G3. No quantified GHG/targets. CAVEAT: R1,R2,R3,R5,M3 scored 0 due to report restructuring pushing the ERM section beyond this session's extraction limit -- likely understates true SDQ relative to FY2021-2024's pattern, flagged for re-check. Adopter_Dummy blank (same extraction-limit issue).</t>
  </si>
  <si>
    <t>GAP-FILL: CUSTODIAN FY2021: not verified this session - the only primary source fetched was the FY2022 Consolidated Financial Statements (NGX doclib), which contains NO donations/CSR line item and NO sustainability-specific board committee (only Board Audit/Compliance/Risk Management, Board Finance/Investment/General-Purpose, Board Establishment and Governance, and Statutory Audit Committees, all with generic remits) - i.e. even the confirmed FY2022 filing shows minimal ESG-scorable content, providing context (not direct confirmation) that FY2021 may be similarly sparse. Scored 0/20 SDQ, 0/15 CDQ, FLAGGED as unconfirmed. Custodian's own website separately references a 'Custodian Social Responsibility Foundation (CSRF)' - not verified from a primary AFS source this session.</t>
  </si>
  <si>
    <t>Custodian Investment Plc FY2022 (NGX doclib fallback, primary company-site AR returned empty text on 4 attempts). Document used is audited financial statements only (Directors' report + notes); only mention found was a generic Enterprise Risk Management framework overseen by a Board committee. No sustainability/ESG/climate content of any kind; no dedicated committee named.</t>
  </si>
  <si>
    <t>Custodian Investment Plc FY2023 (custodianplc.com.ng 2023 AR, extraction capped ~p.90 of ~250). Chairman's/GMD's statements + Corporate Governance chapter (Board Audit-Compliance-Risk Mgmt Committee, Finance Committee, Establishment &amp; Governance Committee) reviewed -- no dedicated sustainability/ESG committee or officer. CSR limited to generic boilerplate. LIMITATION: Table of Contents confirms a dedicated CSR/Sustainability Report exists near the end of the ~250-page document (analogous 2024 AR places it at p.248), beyond this session's extraction limit -- not scored as disclosed, flagged for re-check.</t>
  </si>
  <si>
    <t>Custodian Investment Plc FY2024 (custodianplc.com.ng 2024 AR, extraction capped ~p.78 of ~250). Same structure as FY2023. CSR content = philanthropic bullet list only (Mentors Conference, blood donation, A&amp;E Centre Epe, school renovation) -- no quantification, no environmental/climate content. LIMITATION: ToC confirms CSR/Sustainability Report + HSE Report begin at p.248 -- not reachable given extraction limits, flagged for re-check.</t>
  </si>
  <si>
    <t>Custodian Investment Plc FY2025 (custodianplc.com.ng 2025 AR, extraction capped ~p.85 of ~250+). Same pattern: generic CSR bullets only. LIMITATION: deep CSR/Sustainability/HSE chapter (analogous to p.248 in the 2024 AR) not reached this session, flagged for re-check.</t>
  </si>
  <si>
    <t>GAP-FILL: CUTIX FY2021: not verified this session - the only primary source fetched was the FY2022 Audited Financial Statements (fiscal year ended 30 April 2022, NGX doclib), which is a genuinely rich filing (itemised donations/CSR N6,056,350; a dedicated 'HIGHLIGHTS OF SUSTAINABILITY ISSUES / REPORT ON ENVIRONMENTAL, SOCIAL AND GOVERNANCE (ESG) ACTIVITIES' section naming Environmental Impact Assessments before new projects and periodic environmental audits with implemented recommendations, plus a qualitative 'reduction of our carbon emission' claim via staff-bus commuting and public-power use - NOT sufficient for CDQ credit per this dataset's rule requiring an actual GHG figure, not qualitative reduction language) - but this content is FY2022-specific with no FY2021 comparative captured. Scored 0/20 SDQ, 0/15 CDQ, FLAGGED as unconfirmed - a strong re-verification candidate given the confirmed FY2022 profile.</t>
  </si>
  <si>
    <t>Cutix Plc FY2022 (FYE 30-Apr-2022, NGX doclib #36280). Board Committees = Audit Risk &amp; Compliance (ARC), Governance Nomination &amp; Compensation (GNC) -- no dedicated sustainability committee. 'Highlights of Sustainability Issues/ESG Activities' section: specific initiatives -- 'use of staff bus to commute factory employees' and 'use of public power when available which contributed to the reduction of our carbon emission' (S2/S3=1; CDQ S2/S4=1). Environmental Impact Assessment (EIA) before new projects + periodic audits (R1/R3=1). No quantified metrics, no GHG/Scope data, no targets.</t>
  </si>
  <si>
    <t>Cutix Plc FY2023 (FYE 30-Apr-2023, NGX doclib #39061). Same 'Highlights of Sustainability Issues' section as other years but this year's Environmental Sustainability paragraph is purely generic (EIA + periodic audits only, no carbon/emission-specific initiative language as seen in FY2022/FY2025). R1/R3=1 only. No board sustainability committee, no climate content.</t>
  </si>
  <si>
    <t>Cutix Plc FY2024 (FYE 30-Apr-2024, NGX doclib #41768). Identical pattern to FY2023: generic Environmental Sustainability/EIA language only, no board sustainability oversight, no metrics, no climate content. ARC and GNC committees confirmed (no ESG mandate).</t>
  </si>
  <si>
    <t>Cutix Plc FY2025 (FYE 30-Apr-2025, NGX doclib #44613). ESG section states: 'led to a long-term investment plan to reduce carbon emissions' (S3/CDQ-S4=1) and 'sustainable supply chain program ensuring supplying partners adhere to environmental standards (absence of lead in PVC additives)' (S2=1) plus 'lights off/switch it off' employee campaigns for power/water conservation (qualitative, not quantified -- M1=0). EIA + periodic audits (R1/R3=1). Still no dedicated sustainability committee/officer, no GHG figures/targets.</t>
  </si>
  <si>
    <t>GAP-FILL: CWG (CWG Plc, formerly Computer Warehouse Group Plc) FY2021: not verified this session - no primary-source AFS PDF for this specific year was successfully fetched within this session's search budget (only secondary-source aggregator summaries were found, referencing donations to orphanages/youth empowerment programmes and general sustainability commitments, NOT credited per this dataset's anti-circularity rule absent primary-source confirmation). Scored 0/20 SDQ, 0/15 CDQ, FLAGGED as unconfirmed pending re-verification against a dedicated FY2021 NGX doclib filing.</t>
  </si>
  <si>
    <t>GAP-FILL: CWG (CWG Plc, formerly Computer Warehouse Group Plc) FY2022: not verified this session - no primary-source AFS PDF for this specific year was successfully fetched within this session's search budget (only secondary-source aggregator summaries were found, referencing donations to orphanages/youth empowerment programmes and general sustainability commitments, NOT credited per this dataset's anti-circularity rule absent primary-source confirmation). Scored 0/20 SDQ, 0/15 CDQ, FLAGGED as unconfirmed pending re-verification against a dedicated FY2022 NGX doclib filing.</t>
  </si>
  <si>
    <t>GAP-FILL: CWG (CWG Plc, formerly Computer Warehouse Group Plc) FY2023: not verified this session - no primary-source AFS PDF for this specific year was successfully fetched within this session's search budget (only secondary-source aggregator summaries were found, referencing donations to orphanages/youth empowerment programmes and general sustainability commitments, NOT credited per this dataset's anti-circularity rule absent primary-source confirmation). Scored 0/20 SDQ, 0/15 CDQ, FLAGGED as unconfirmed pending re-verification against a dedicated FY2023 NGX doclib filing.</t>
  </si>
  <si>
    <t>CWG Plc FY2024 (NGX doclib #43364, full audited AR). Board Committees = Finance &amp; General-Purpose, Risk Management, Audit, Remuneration &amp; Nominations -- none sustainability-specific. Only ESG-adjacent item: 'donation of N2,540,974 to MTN Foundation and Lekki Phase 1 Community as part of its Corporate Social Responsibility' -- a named, quantified metric (M1=1). No environmental/climate content whatsoever. IFRS S1/S2 not mentioned in accessible notes.</t>
  </si>
  <si>
    <t>GAP-FILL: CWG (CWG Plc, formerly Computer Warehouse Group Plc) FY2025: not verified this session - no primary-source AFS PDF for this specific year was successfully fetched within this session's search budget (only secondary-source aggregator summaries were found, referencing donations to orphanages/youth empowerment programmes and general sustainability commitments, NOT credited per this dataset's anti-circularity rule absent primary-source confirmation). Scored 0/20 SDQ, 0/15 CDQ, FLAGGED as unconfirmed pending re-verification against a dedicated FY2025 NGX doclib filing.</t>
  </si>
  <si>
    <t>GAP-FILL: DAARCOMM FY2021: not directly verified this session - the FY2023 Annual Report (NGX doclib) was fetched and contains NO donations/CSR line item, NO sustainability-specific board committee, and NO climate/environment content of any kind beyond generic legal boilerplate ('changes in the...economic or legal environment') - i.e. even the confirmed FY2023 filing is a genuine near-total absence of ESG disclosure. Scored 0/20 SDQ, 0/15 CDQ for FY2021, FLAGGED as unconfirmed but consistent with this company's evidently minimal disclosure pattern.</t>
  </si>
  <si>
    <t>DAAR Communications Plc FY2022 (NGX doclib #38252). Bare-bones 71-page filing: Corporate Information, Financial Highlights, Directors' Responsibilities, Audit Committee report, Independent Auditor's report, financial statements/notes only. No Corporate Governance chapter beyond Audit Committee, no CSR/sustainability section, zero ESG/climate language anywhere (confirmed via exhaustive keyword search). 'New and revised IFRS not yet effective' note lists only IAS12/IAS1/IFRS16 amendments -- predates ISSB issuance (June-2023).</t>
  </si>
  <si>
    <t>DAAR Communications Plc FY2023 (NGX doclib #41216). Identical structure/content to FY2022 filing -- no governance chapter beyond Audit Committee, no CSR/ESG content at all. 'New and revised IFRS not yet effective' note present but does not mention IFRS S1/S2/ISSB specifically.</t>
  </si>
  <si>
    <t>DAAR Communications Plc FY2024 (NGX doclib #43783, full audited AR -- the #43038 doc is unaudited condensed numbers only, superseded). Same bare-bones structure -- no governance chapter beyond Audit Committee/ICFR, zero ESG/climate content anywhere. The 'Application of new and revised IFRS' note (pp.24-26) contains templated paragraphs describing IFRS S1 and IFRS S2 (ISSB history/objective) under 'effective for accounting periods beginning on or after 1-Jan-2024,' but does NOT contain a first-person adoption statement ('we have/have not adopted'); the subsequent explicit 'has not applied' list does not re-list S1/S2. Given this ambiguity and the total absence of any actual sustainability disclosure elsewhere in the report, Adopter_Dummy coded blank per the strict no-inference rule.</t>
  </si>
  <si>
    <t>GAP-FILL: DAARCOMM FY2025: not directly verified this session - the FY2023 Annual Report (NGX doclib) was fetched and contains NO donations/CSR line item, NO sustainability-specific board committee, and NO climate/environment content of any kind beyond generic legal boilerplate ('changes in the...economic or legal environment') - i.e. even the confirmed FY2023 filing is a genuine near-total absence of ESG disclosure. Scored 0/20 SDQ, 0/15 CDQ for FY2025, FLAGGED as unconfirmed but consistent with this company's evidently minimal disclosure pattern.</t>
  </si>
  <si>
    <t>Dangote Cement Plc FY2021 (dangotecement.com AR2021, extraction capped ~p.56). 'Board Technical and Sustainability Committee has oversight' (safety-focused mention) = G1=1; no specific sustainability officer named in accessible text (G2=0). Climate response strategy, 'climate risk register,' CDP rating improved C to B- (2019-2021), Scope 1 CO2/tonne data (660.57 kg, by plant), dust/thermal-substitution data, GRI + Deloitte ISAE3000 assurance. No Scope 2/3 figures, no quantified forward target, no board/mgmt climate expertise named, no remuneration link. LIMITATION: full Corporate Governance chapter and financial-statement notes fell beyond this session's extraction cap for this large PDF.</t>
  </si>
  <si>
    <t>Dangote Cement Plc FY2022 -- task-supplied FS-only URL supplemented with the actual '2022 Annual Report' (cement.dangote.com/sustainability-reporting/) for ESG content, both official Dangote FY2022 documents. 'Igazeuma Okoroba, Head, Sustainability' named (G2=1); Board Technical &amp; Sustainability Committee + Board Audit/Risk/Compliance Committee, reports presented at Board meetings (G3=1). Materiality assessment process (identification-&gt;prioritisation-&gt;ranking) = R1/R2=1; 'continue to monitor' = R3=1; TSR target 25% (2022 baseline 4.3%) = M2=1, CDQ M4/M5=1. Environmental data table: Scope 1 = 17.7Mt CO2, Scope 2 = 0.3Mt CO2 (2022) -- CDQ M1/M2=1. GCCA/GHG Protocol methodology cited, KPMG ISAE3000 assurance = M5=1. No Scope 3, no board-level climate-specific-vs-general distinction, no scenario analysis.</t>
  </si>
  <si>
    <t>Dangote Cement Plc FY2023 (cement.dangote.com AR23_full, extraction capped ~p.40 of sustainability section). Dr. Igazeuma Okoroba, 'Group Head, Sustainability' (G2=1); board committee structure not re-confirmed within this year's captured extract (G1=0, conservative). Materiality process (desk review-&gt;stakeholder mapping-&gt;identification-&gt;prioritisation &amp; ranking; 75 issues surveyed, 'Climate change and GHG emissions' listed as material topic #9) = R1/R2=1. TSR '9.7% in 2023...benchmarked against a target of 25% by 2025' = M2=1, CDQ M4/M5=1. CO2 intensity 580kg/tonne (2023) vs 590kg/tonne (2022) reported = CDQ M1=1 (intensity figure). LIMITATION: Scope 2 absolute figure and full environmental data table fell just beyond the captured range this year -- CDQ M2=0 noted as extraction-limited, not necessarily non-disclosure.</t>
  </si>
  <si>
    <t>Dangote Cement Plc FY2024 -- standalone 'Dangote Cement 2024 Sustainability Report' (dangotecement.com), richer per-page ESG content than the combined AR. Richest year in the batch: 'Board Sustainability and Technical Committee conducts quarterly reviews, evaluating our CO2 performance on key reduction levers and assessing related CAPEX requirements' = G1/G3/G4=1 (explicit climate-specific oversight + frequency + mechanism; also CDQ G1=1). Group Head, Sustainability named (G2=1). Explicit physical risks (floods, biodiversity, supply-chain disruption, higher production costs) AND transition risk/'Just and Equitable Transition approach' = CDQ S1=1 (both addressed). Scope 1 = 17,761,856 tCO2 (+1.86% YoY); Scope 2 = 418,370 tCO2 (-25% YoY) -- CDQ M1/M2=1. Quantified target: Scope 1&amp;2 intensity 691-&gt;563 kgCO2/tonne by 2030 (2021 baseline), tracked yearly; 'Net Zero by 2060' -- M2/CDQ-M4/M5=1. GHG Protocol/GCCA methodology, third-party validated = M5=1. 'Business-as-usual scenario towards more ambitious targets' = qualitative scenario mention, CDQ S3=1. No Scope 3, no explicit ERM-integration statement, no remuneration link, no quantified climate financial metric (CAPEX 'assessed' but not quantified) = CDQ M6=0.</t>
  </si>
  <si>
    <t>Dangote Cement Plc FY2025 -- Corporate Governance chapter + 'At a Glance' doc (cement.dangote.com official 2025 AR) + NGX doclib audited FS. Strongest governance evidence of all years: 'Board Sustainability and Technical Committee' ToR explicitly = 'Provide oversight of sustainability and climate-related risks and opportunities, climate mitigation strategies, and transparent regulatory-aligned disclosures' (G1=1, CDQ G1=1, climate distinguished from general). Committee met 5 times in 2025 (G3=1). 'Supervised...continued progress toward production, decarbonisation, and ESG targets' (G4=1). Head of Sustainability (Igazeuma Okoroba) + Group Head Risk Management Kenneth Irabor described as 'Certified Climate Change Risk Manager' overseeing the ERM Framework (G2=1, CDQ G2/G3=1, R4/CDQ-R2=1). Chairman of the Sustainability Committee separately chairs ICD's ESG Management Committee/leads 'ICD Group ESG Network' on 'climate risk, decarbonisation' = G5=1 (specific board-level expertise). LIMITATION: the dedicated FY2025 Sustainability Report chapter returned empty text on 3 fetch attempts (large/complex PDF); consequently FY2025 Scope 1/2/3 absolute figures, specific 2025 progress-vs-2030-target data, and remuneration-link details could not be directly verified this year (CDQ M1-M6 scored 0 as a result, despite FY2024 showing extensive GHG/target disclosure that very likely continued -- 'At a Glance' doc confirms 'CDP rating retained at B,' 'Group-wide AF substitution reached 10%,' 'commenced implementation of our CO2 reduction roadmap' but without exact figures, flagged as a likely undercount pending re-check). No IFRS S1/S2 mention found in the accessible NGX doclib Accounts document.</t>
  </si>
  <si>
    <t>Dangote Sugar Refinery Plc FY2021 (NGX doclib audited FS). Board Finance Committee's remit explicitly includes guidance on Sustainability/CSR management (G1=1). No CSO, no target-setting process, no GHG/metrics disclosed. IFRS S1/S2 did not yet exist at this reporting date -- Adopter_Dummy correctly BLANK (not inferred as non-adoption).</t>
  </si>
  <si>
    <t>Dangote Sugar Refinery Plc FY2022 (NGX doclib AFS). Same Board Finance Committee sustainability/CSR remit as FY2021. A 3-yr Sustainability Roadmap and a 2021 GRI-standard report are mentioned narratively but with no risk/target/metric substance. Notes-to-FS section was truncated in extraction before the new-standards note -- BLANK reflects genuine silence, not confirmed non-adoption.</t>
  </si>
  <si>
    <t>GAP-FILL: DANGSUGAR FY2023 (Dangote Sugar Refinery Plc's own '2023 Sustainability Report', sugar.dangote.com, fetched directly): SDQ=6/20, CDQ=4/15 - the richest agro-industrial CDQ profile found in this dataset's gap-fill pass. CDQ_M1/M2 credited via an actual disclosed 'Year on Year comparison of Scope 1 Emission (tCO2e)' table (four-year series including 222,017 / 322,485 / 627,574 / 324,823 tCO2e) and an explicit statement that 'our Scope 2 emissions was zero because we did not use electricity from the national grid the whole year' - both are genuine absolute-figure GHG disclosures, not qualitative reduction claims, satisfying this dataset's strict metrics rule. CDQ_S4 credited via a named 'CO2 reduction plan' and concrete mitigation actions (natural gas substitution for LFPO, boiler air/fuel ratio control, 1,550 trees planted for carbon absorption, AGO/CNG truck fuel blending). CDQ_R1 credited via an executed 'stakeholders' survey and materiality assessment' explicitly covering environmental/climate topics. NOT credited: CDQ_G1-G3 (no board/management climate-specific oversight structure found in the extracted text), CDQ_S1-S3 (no explicit physical-risk treatment or scenario analysis found), CDQ_M3-M6 (no Scope 3 figure/omission-reasoning, no dated quantified target, no progress-against-target statement, or financial metric found in the extracted text). SDQ_S1 credited via prioritised SDG topics (Goals 2,3,6,12,13) mapped to material issues; SDQ_R1/R2 credited via the same materiality-assessment process; SDQ_M1 via donations/energy/GHG figures; SDQ_M3 credited via sector-specific sustainable-agriculture metrics (Bonsucro membership - the company is described as 'the first Nigerian organisation to achieve Bonsucro membership' per secondary sources, CDP Water Security/Climate Change scores improving from D- to C); SDQ_M5 credited via the GHG Protocol-aligned Scope 1/2 methodology implied by Bonsucro/CDP external verification standards. This FY2023-specific Sustainability Report content was NOT extrapolated to other panel years without direct confirmation.</t>
  </si>
  <si>
    <t>Dangote Sugar Refinery Plc FY2024 (NGX doclib AFS, filed March 2025). Named 'Board Technical &amp; Sustainability Committee' (BTSC) met 4x reviewing sustainability reports (G1/G3=1). Entity-specific narrative ties Bonsucro certification, 'Sugar for Nigeria' backward integration, and Scope 1&amp;2 GHG-tracking initiation to strategy/supply chain/business model (S1-S3=1). No quantified metrics/targets/assurance found. Governance-report text notes ISSB mandatory compliance 'expected from 2028' with the firm preparing ahead of it, but this is not the formal FS 'new standards' note (not reached in extraction) -- Adopter left BLANK per protocol.</t>
  </si>
  <si>
    <t>GAP-FILL: DANGSUGAR FY2025 (Annual Report and Financial Statements, NGX doclib, fetched directly): SDQ_M1=1 - Directors' Report Note 18 'Donations and Charitable Gifts' itemises 37 line items totalling N112,118,053 (community scholarships, school furniture, cultural festival sponsorships, police/security station support, NSE conference support). CDQ NOT scored from this document (the AFS itself contains no GHG/climate content; the dedicated FY2025 Sustainability Report, which secondary sources indicate covers a new 'comprehensive Decarbonization Plan for achieving Net Zero' and CDP score improvements, was not fetched this session). Scored CDQ=0/15, FLAGGED as a HIGH-PRIORITY re-verification candidate - given the confirmed FY2023 profile (6/20 SDQ, 4/15 CDQ) and secondary-source evidence of continued/expanded climate ambition, FY2025's true profile is very likely materially higher than scored here.</t>
  </si>
  <si>
    <t>GENUINE GAP: Ekocorp Plc was suspended by NGX effective 1-Jul-2022 for failing to file its FY2021 audited financial statements after the 90-day cure period. No audited FY2021 AFS exists in the public record.</t>
  </si>
  <si>
    <t>GENUINE GAP: Per NGX Regulation's X-Compliance Report, Ekocorp 'has not rendered audited financial statements for 2021-2024.' Company remained suspended throughout 2022; no FY2022 audited AFS was ever filed.</t>
  </si>
  <si>
    <t>GENUINE GAP: Same NGX non-filing status continues; company progressed toward 'Delisting in Process' during this period. No audited FY2023 AFS filed or locatable.</t>
  </si>
  <si>
    <t>GENUINE GAP: NGX confirms no audited FS rendered for 2021-2024 and no unaudited FS since Q4 2021. Delisting approval was granted March 2025 (on hold pending litigation). No FY2024 AFS exists.</t>
  </si>
  <si>
    <t>GENUINE GAP: As of the 'Delisting In Process' status confirmed into 2026, Ekocorp remains a non-filer; no FY2025 audited AFS has been located or is expected given ongoing litigation freezing the delisting process.</t>
  </si>
  <si>
    <t>Ellah Lakes Plc FY2021 (FYE 31-Jul-2021, full glossy AR from registrar). No dedicated sustainability/ESG committee (only Remuneration and Risk committees, both generic). No GHG, climate, or ESG-target language anywhere; '2020/21 Targets &amp; Milestones' section refers only to M&amp;A/business targets, not sustainability metrics. Pre-ISSB period -- Adopter_Dummy correctly BLANK.</t>
  </si>
  <si>
    <t>GAP-FILL: ELLAHLAKES FY2022: not directly verified this session - the FY2023 Annual Report (ellahlakes.com) explicitly confirms 'The group did not make donation to any organization during the year' for FY2023 (no FY2022 comparative figure given), and contains a generic 'Corporate Social Responsibility framework' referencing UN SDGs under four themes (Employment, Education, Community Welfare, Environment) that is pure policy-intent boilerplate ('We will promote...We will also provide...') with no specific FY2022 or FY2023 activity, target, or figure - NOT credited per the anti-boilerplate rule. Scored 0/20 SDQ, 0/15 CDQ, FLAGGED as unconfirmed for FY2022 specifically.</t>
  </si>
  <si>
    <t>Ellah Lakes Plc FY2023 (FYE 31-Jul-2023, full glossy AR from ellahlakes.com). Board has Remuneration and Risk Management committees (general, not sustainability-specific). CSR narrative references UN SDGs under four generic themes (Employment/Education/Community/Environment) but with no risk/opportunity framing, targets, or metrics. No GHG/climate content found.</t>
  </si>
  <si>
    <t>Ellah Lakes Plc FY2024 (FYE 31-Jul-2024, NGX doclib filing). This is an abridged Directors'-Report-style filing (personnel, donations, dividend, shareholding) without a full corporate governance report -- no sustainability content present. LIMITATION: likely understates true disclosure somewhat if a fuller glossy AR exists for this FY, but none was locatable this session -- flagged for re-check.</t>
  </si>
  <si>
    <t>Ellah Lakes Plc FY2025 (FYE 31-Jul-2025, full audited FS from ellahlakes.com). Same pattern as prior years: Audit Committee and a Board Audit, Governance, Nomination and Remuneration Committee exist but no sustainability-specific mandate. Financial-risk notes (liquidity/market/credit/currency) present but no ESG/climate content anywhere. No new-standards note mentioning IFRS S1/S2 found.</t>
  </si>
  <si>
    <t>Nigerian Enamelware Plc FY2021 (FYE 30-Apr-2021, NGX doclib AFS). Small-cap filing: only a Statutory Audit Committee is disclosed; risk notes limited to standard financial risk categories (capital, interest rate, credit, liquidity). No sustainability/ESG/climate language anywhere in the document.</t>
  </si>
  <si>
    <t>Nigerian Enamelware Plc FY2022 (FYE 30-Apr-2022, registrar-hosted AR). Identical pattern to FY2021 -- Statutory Audit Committee + generic financial-risk notes only; no ESG/sustainability disclosure of any kind found.</t>
  </si>
  <si>
    <t>Nigerian Enamelware Plc FY2023 (FYE 30-Apr-2023, NGX doclib filing). Same governance/risk-disclosure pattern as FY2021-2022. Extraction reached well into the notes to financial statements; no GHG, climate, or ISSB-related language found anywhere, and no IFRS S1/S2-specific standards note.</t>
  </si>
  <si>
    <t>Nigerian Enamelware Plc FY2024 (FYE 30-Apr-2024, registrar-hosted AR). Adds a Finance &amp; General Purpose Committee alongside the Statutory Audit Committee but still no sustainability-specific body or ESG content of any kind. Consistent zero-disclosure pattern across all four coded years for this firm.</t>
  </si>
  <si>
    <t>GAP-FILL: ENAMELWA (Nigerian Enamelware Plc) FY2025: primary source not accessible this session - no directly fetchable NGX doclib or company-website AFS PDF was located within this session's search budget (only secondary-source financial-performance summaries were found, referencing a plant relocation to a WEMPCO group facility and a generic 'innovation, integrity, and sustainability' mission statement, not primary-source content). Scored 0/20 SDQ, 0/15 CDQ, FLAGGED as unconfirmed pending re-verification.</t>
  </si>
  <si>
    <t>Eterna Plc FY2021 (full glossy AR from eternaplc.com). 'Risk Management, Health, Safety and Environment Committee' (RMHSE) explicitly named, met 2x in 2021 (G1/G3=1). Entity describes an Enterprise Risk Management (ERM) system that identifies, evaluates and mitigates risks under this committee (R1-R4=1). No developed ESG framework, targets, or metrics yet (predates the 2024 'R.E.N.E.W.' framework). Pre-ISSB reporting period -- Adopter_Dummy correctly BLANK.</t>
  </si>
  <si>
    <t>Eterna Plc FY2022 (full glossy AR from eternaplc.com). Same RMHSE committee/ERM structure as FY2021 (met 3x). Text explicitly states the firm is 'in the process of developing a very robust ESG framework' -- confirming Strategy items (S1-S3) not yet substantively present. FS signed off before ISSB standards were issued (June 2023) -- Adopter_Dummy correctly BLANK, not inferred.</t>
  </si>
  <si>
    <t>Eterna Plc FY2023 (NGX doclib abridged AR&amp;FS, filed March 2024). LIMITATION: this filing is abridged (Directors' Report + FS only, no Corporate Governance Report), so the RMHSE committee structure present in the FY2022/FY2024 full glossy ARs is not disclosed here -- likely understates true disclosure; the fuller glossy 2023 AR exists at eternaplc.com but returned no extractable text (probable scanned/image PDF), flagged for re-check. Notes-to-FS explicitly list 'New and amended IFRS standards' not yet effective (IFRS10/IAS28, IAS1, IFRS7, IFRS16) but do NOT mention IFRS S1/S2 -- per protocol this generic list (silent on S1/S2 specifically) is left BLANK rather than scored as non-adoption.</t>
  </si>
  <si>
    <t>Eterna Plc FY2024 (full glossy AR from eternaplc.com). Richest year for this firm: committee renamed 'Risk Management, Health, Safety, Security and Sustainability Committee' (RMHSSC, met 6x). New 'R.E.N.E.W.' ESG strategic framework launched (Rethinking Energy, Natural Environment, and a Sustainable World) tied explicitly to strategy/business model/supply chain (S1-S3=1). CDQ S2=1: LPG/cleaner-energy narrative explicitly framed as supporting 'Nigeria's energy transition journey.' No Scope 1/2/3 figures, no quantified targets, no climate-specific committee or scenario analysis, no net-zero commitment. New-standards note not reached in extraction (truncated before accounting-policy notes) -- Adopter left BLANK.</t>
  </si>
  <si>
    <t>GAP-FILL: ETERNA (Eterna Plc) FY2025: primary source not accessible this session - no directly fetchable NGX doclib or company-website AFS PDF was located within this session's search budget. A secondary source references approx. N3 million in FY2025 donations to charitable/social causes, an increase over prior years, but per this dataset's anti-circularity rule this was NOT credited without primary-source confirmation. Scored 0/20 SDQ, 0/15 CDQ, FLAGGED as unconfirmed pending re-verification.</t>
  </si>
  <si>
    <t>Ecobank Transnational Incorporated FY2021 (Group AR, greenwichregistrars.com). 'Information Technology, Social and Reputation Committee' identified as board committee (G1). Sustainability Bond/Equator Principles cited as strategy element (S1/S3/R1). No named sustainability officer, no metrics/targets, no climate-specific content. IFRS S1/S2 did not yet exist (pre-June-2023 ISSB issuance) -- BLANK is logical, not inferred.</t>
  </si>
  <si>
    <t>Ecobank Transnational Incorporated FY2022 (Group AR, greenwichregistrars.com). Dedicated 'Commitment to climate change' section: physical climate impacts on Africa described (S1/CDQ-S1); Sustainability Note Allocation &amp; Impact Report assured by Deloitte (M5); Equator Principles E&amp;S risk process (R1/CDQ-R1). No board-climate-specific oversight, no GHG figures. IFRS S1/S2 pre-dated this FY.</t>
  </si>
  <si>
    <t>Ecobank Transnational Incorporated FY2023 (Group AR 'A Better Bank for a Better Africa', greenwichregistrars.com). $200m Sustainability-Linked Loan tied to climate/sustainability KPIs, explicit Paris Agreement/portfolio alignment link (S2/S3/CDQ-S1/S2); cumulative $550m sustainability financing disclosed (M1); solar/energy-efficiency actions described (CDQ-S4). No GHG figures, no board-climate committee named explicitly. Adoption note not independently verified this year.</t>
  </si>
  <si>
    <t>Ecobank Transnational Incorporated FY2024 (audited FS only, doclib.ngxgroup.com doc 43451; glossy AR/ESG Report could not be retrieved as extractable text despite repeated attempts). LIMITATION: only audited FS accessible (no ESG narrative in FS notes). FS 'new and revised standards' note lists IFRS18/19 but does NOT mention IFRS S1/S2 -- confirmed BLANK per strict rule. Scores likely understate true disclosure given prior years' pattern, but only evidence-based scoring from the accessible document is reported.</t>
  </si>
  <si>
    <t>Ecobank Transnational Incorporated FY2025 (audited FS only, doclib.ngxgroup.com doc 46650; glossy AR published May-2026 could not be retrieved as extractable text). Same limitation as FY2024. FS adoption note confirmed: lists IAS21/IFRS18/19 amendments only, explicitly states 'no other IFRS Accounting Standards...not yet effective...expected to have a material impact' -- no IFRS S1/S2 mention, so BLANK.</t>
  </si>
  <si>
    <t>GAP-FILL: ETRANZACT (eTranzact International Plc) FY2021: primary source not fully accessible this session - the FY2021 Annual Report exists on NGX doclib and secondary-source excerpts confirm the standard 'no donation or gift made to any political party' compliance boilerplate, but the full document text (including any non-political CSR donations figure or sustainability content) could not be retrieved within this session's search budget. Scored 0/20 SDQ, 0/15 CDQ, FLAGGED as unconfirmed pending re-verification.</t>
  </si>
  <si>
    <t>eTranzact International Plc FY2022 (NGX doclib AFS). Small fintech; document contains only Audit Committee report, COSO internal-control framework, and boilerplate 'standards not yet effective' note (no IFRS S1/S2 mention). Zero substantive sustainability/climate content found anywhere in document.</t>
  </si>
  <si>
    <t>eTranzact International Plc FY2023 (NGX doclib AFS). Identical zero-disclosure pattern to FY2022; only 'Standards/amendments issued but not yet effective' heading present, no ESG/climate/sustainability content.</t>
  </si>
  <si>
    <t>eTranzact International Plc FY2024 (NGX doclib AFS). Confirmed zero matches for all sustainability/climate/ESG/GHG search terms across full document text.</t>
  </si>
  <si>
    <t>eTranzact International Plc FY2025 (NGX doclib AFS). Only 'ESG' mention is a generic IFRS 9 financial-instrument classification note ('assets with ESG-linked features') -- not an entity sustainability disclosure. No IFRS S1/S2 mention.</t>
  </si>
  <si>
    <t>GAP-FILL: EUNISELL (Eunisell Chemicals Plc) FY2021: primary source not accessible this session - no directly fetchable NGX doclib or company-website AFS PDF was located within this session's search budget for this small specialty-chemicals distributor (search results returned only generic company-profile pages and unrelated NGX documents for other firms). Scored 0/20 SDQ, 0/15 CDQ, FLAGGED as unconfirmed pending re-verification.</t>
  </si>
  <si>
    <t>Eunisell Chemicals Plc FY2022 (filed as Interlinked Technologies Plc pre-rename, NGX doclib, YE 30-Jun-2022). Electrical/cable engineering company (not a chemicals firm despite the ticker's common name); document has only generic Audit Committee, Corporate Governance, and Risk Management/Strategic Planning Committee sections -- no sustainability, climate, ESG, or environmental content of any kind.</t>
  </si>
  <si>
    <t>Eunisell Chemicals Plc FY2023 (NGX doclib, YE 30-Jun-2023). Same zero-disclosure pattern; no ESG/climate keyword matches anywhere in document.</t>
  </si>
  <si>
    <t>Eunisell Chemicals Plc FY2024 (NGX doclib, YE 30-Jun-2024). Zero matches for any of the 35 coding items' keywords in full-text search.</t>
  </si>
  <si>
    <t>Eunisell Chemicals Plc FY2025 (NGX doclib, YE 30-Jun-2025). Same governance boilerplate (Audit/Finance/Risk committees) with no ESG content.</t>
  </si>
  <si>
    <t>FCMB Group Plc FY2021 (NGX doclib AFS). LIMITATION: only a short-form filing with minimal governance text (mentions 'Board Audit and Risk Management Committee' generically) was extractable; the full glossy Annual Report/Sustainability Report (cardinalstoneregistrars.com, 2021 edition) is image-based with no extractable text. No sustainability-specific committee remit, metrics, or climate content found in accessible source.</t>
  </si>
  <si>
    <t>FCMB Group Plc 2022 Sustainability Report 'Purposeful Impact with Innovation' (fcmb.com/sustainability). Rich standalone ESG report: Social &amp; Environmental Management System (SEMS) screens/categorizes/appraises all loans (R1/R2); TCFD-aligned climate risk mainstreaming and partnerships with AfDB/IFC/Proparco (S1/S2/S3/CDQ-S2); N2bn+ renewable-energy lending, 73% of branches on solar cutting CO2 60% YoY (M1/M3); 'towards being a net-zero financial institution' aspiration (CDQ-S4). No named CSO, no board-committee-specific sustainability remit stated, no Scope 1/2/3 figures.</t>
  </si>
  <si>
    <t>FCMB Group Plc FY2023 (NGX doclib AFS). LIMITATION: extensive Corporate Governance/Remuneration Committee disclosure but zero sustainability/climate/ESG content; the parallel glossy Annual Report &amp; Sustainability Report (fcmb.com, cardinalstoneregistrars.com 2023 editions) are image-based PDFs with no extractable text despite repeated fetch attempts. Score likely understates true disclosure (FY2022 and FY2024 both show substantial ESG reporting) but reflects only what was evidenced in the accessible document.</t>
  </si>
  <si>
    <t>FCMB Group Plc Annual Report &amp; Accounts 2024 'Excellence Guided by Purpose' (cardinalstoneregistrars.com). Dedicated Sustainability Report section: 'Board ESG &amp; Climate Risk Training' explicit (G1/CDQ-G1/G3); Environmental &amp; Social Risk Management (ESRM) process with 100% portfolio screening of 487,401 loans (R1-R4/M1); E&amp;S MIS monitoring tool (R3); 'FCMB Scope 1&amp;2 Emissions Methodology' and Carbon Footprint Policy referenced as developed but no absolute emissions figures found in the extracted text (CDQ-M1/M2/M3 conservatively scored 0). No net-zero target with date found this year.</t>
  </si>
  <si>
    <t>FCMB Group Plc 'The Power of the Group' Annual Report &amp; Accounts 2025 (cardinalstoneregistrars.com). Explicit: 'Board Risk Committee oversees sustainability and climate-related financial risks, ensuring integration into enterprise risk management, credit governance, and stress testing' (G1/R1-R4/CDQ-G1/R2/S3); physical vs. transition climate risk explicitly distinguished (CDQ-S1); 'carbon net-zero goals' referenced (CDQ-S4/M4); 'intention to adopt IFRS-ISSB guidelines' stated in the Sustainability Report (not the audited FS adoption note itself, hence Adopter_Dummy left BLANK per strict source rule) -- phrasing indicates not-yet-adopted status as of FY2025. Scope 1/2 mentioned qualitatively ('lowering Scope 1 and 2 emissions') but no absolute tCO2e figures found (M1/M2=0).</t>
  </si>
  <si>
    <t>Fidelity Bank Plc Sustainability Report 2021 (fidelitybank.ng). Comprehensive E&amp;S Risk Management System described (identify/assess/mitigate/monitor/report -- R1-R4); Equator Principles adopted since 2012, EP4 version adopted (R1/CDQ-R1); GHG-reduction actions (staff buses, solar hybrid power) described but no quantified emissions (M1=1 for general quant metrics e.g. gender/E&amp;S project stats only). No board-committee-specific sustainability oversight named; predates ISSB standards.</t>
  </si>
  <si>
    <t>Fidelity Bank Plc Sustainability Report 2022 (fidelitybank.ng). Same structural depth as FY2021; adds 9,200kg e-waste evacuation metric, project-finance Equator Principles Category A/B/C reporting tables (M1). Still no board-sustainability-committee, no GHG scope figures, no financial-impact quantification.</t>
  </si>
  <si>
    <t>Fidelity Bank Plc Sustainability &amp; Climate Report 2023 (fidelitybank.ng) -- explicitly structured around IFRS S1/S2 disclosure requirements. Exceptionally rich: Board Risk Committee (BRC) has explicit, named oversight of sustainability/climate risks, meets quarterly (G1/G3/CDQ-G1); 'Head, Sustainable Banking' named role reporting to Sustainable Banking Governance Committee (G2/CDQ-G2/G3); full climate scenario analysis using IPCC RCP4.5/8.5 (physical) and NGFS (transition) scenarios with quantified NPL/financial impacts (S4/S5/CDQ-S3); physical vs. transition risk explicitly distinguished (CDQ-S1); Scope 1=15,749 tCO2e, Scope 2=3,228 tCO2e, Scope 3=688,222.3 tCO2e (incl. financed emissions), all explicitly disclosed (CDQ-M1/M2/M3); SBTi-aligned 6.7%/yr reduction target (M2/CDQ-M4). Report explicitly states 'We did not carry out assurance on the report' (M5=0 confirmed) and frames itself as preparing for IFRS S1/S2 rather than having adopted it -- Adopter_Dummy left BLANK (language is 'actively updating...in alignment with,' not a definitive statement drawn from the audited FS note itself).</t>
  </si>
  <si>
    <t>Fidelity Bank Plc Sustainability and Climate Report 2024 (fidelitybank.ng) -- ESRS/IFRS S1&amp;S2-aligned format. Report explicitly and repeatedly states Fidelity Bank is an 'early adopter of the IFRS S1 and S2' (multiple instances) -- basis for Adopter_Dummy=1, though drawn from the Sustainability Report's own text rather than the separately-audited FS 'new standards' note (not independently cross-verified against the FS note wording). GOV-3 explicitly discloses sustainability performance is 'incorporated into our incentive schemes, including executive appraisal' (G5/CDQ-M6); 'independent assurance reports' referenced (M5); detailed target-setting/SMART targets, scenario analysis and climate stress testing referenced. LIMITATION: absolute Scope 1/2/3 tCO2e figures for 2024 were not confirmed within the extracted text sample (large 3,400+ line document; emissions data table may sit on a page not captured), so CDQ-M1/M2/M3 conservatively scored 0 despite the report's stated IFRS S2 Metrics &amp; Targets section -- flagged for re-check.</t>
  </si>
  <si>
    <t>RE-VERIFICATION (session 15-Aug-2026, user-directed): fetched the full 'Fidelity Bank Plc 2025 Annual Report and Accounts' (fidelitybank.ng, year ended 31 December 2025) directly, rather than only the December-2025 AFS used in the prior gap-fill pass. IMPORTANT CORRECTION TO THE RECORD: the prior note stated Fidelity Bank's standalone GRI/IFRS-S1&amp;S2-aligned Sustainability Report 'was NOT fetched this session' as if it simply hadn't been looked for - this is now confirmed inaccurate. For FY2025, Fidelity Bank did NOT publish a separate standalone Sustainability Report (the fidelitybank.ng/sustainable-banking/report/ page lists standalone reports only for FY2021-2024); instead, its Table of Contents confirms a dedicated 37-page 'Sustainability and Climate Report 2025' section is embedded within the main Annual Report and Accounts itself (pages 80-117), alongside a 24-page 'Corporate Governance Report' (pages 56-79). BOTH sections were fetched this session but returned effectively as blank/non-machine-readable text - a systematic search for climate/ESG-specific terms (carbon, GHG, emission, TCFD, IFRS S1, IFRS S2, SDG, renewable, Equator Principles, NSBP, financial inclusion, environmental and social risk) found ZERO hits in the extracted text for that entire ~60-page span, and no dedicated ESG/Sustainability board committee name was found among the Board Committees that WERE extractable (Board Credit Committee, Board Risk Management Committee, Board Remuneration Nomination and Governance Committee, Board Audit and Risk Committee). This is the same image-only/non-machine-readable PDF pattern previously documented for Geregu Power's FY2024 report, not a research-effort shortfall - these appear to be graphic/infographic-designed report pages without an extractable text layer. STRONG CONTEXTUAL SIGNAL (not credited without primary confirmation): Fidelity Bank's FY2023 and FY2024 firm-years in this dataset are ALREADY scored very highly (FY2023: 16/20 SDQ, 13/15 CDQ; FY2024: 19/20 SDQ, 12/15 CDQ) from their successfully-extracted standalone Sustainability and Climate Reports, including Fidelity Bank's public claim to be the first Nigerian bank to publish an ISSB-compliant Sustainability and Climate Report (for FY2023, published 30 June 2024) - making it highly plausible FY2025's embedded section continues this same mature, high-scoring disclosure practice. Per this dataset's non-extrapolation and anti-circularity rules, this plausibility is NOT sufficient for credit without directly reading the FY2025 section's actual content. SCORE UNCHANGED this pass (SDQ=1/20 via the confirmed AFS Note 9 donations figure of N2,385,835,362.76; CDQ=0/15) - but RE-FLAGGED as a near-certain material under-count and the HIGHEST-PRIORITY re-verification candidate in the dataset, pending either an OCR-capable re-fetch of Annual-Report pages 56-117 or a future-published standalone FY2025 Sustainability Report.</t>
  </si>
  <si>
    <t>GAP-FILL: FIDSON (Fidson Healthcare Plc) FY2021: not directly verified this session - secondary sources confirm Fidson held NIS ISO 14001:2015 Environmental Management System certification continuously through a December 2021 recertification audit (described as the only company in its sector to hold this certification), and describes environmental practices (obsolete-equipment recycling, regulator-supervised destruction of expired drugs with Certificates of Destruction) and CSR policies, but the full FY2021 primary AFS document could not be retrieved within this session's search budget to confirm quantified donations or board-governance specifics. Scored 0/20 SDQ, 0/15 CDQ, FLAGGED as unconfirmed - a strong re-verification candidate given the ISO 14001 certification context (not independently credited here without primary confirmation of the underlying process detail, per this dataset's rules).</t>
  </si>
  <si>
    <t>CODED. NGX doclib doc 38090, Fidson Healthcare Plc Annual Report and Financial Statements FYE 31-Dec-2022 (filed Mar-2023), Corporate Governance Report pp.8-12 and Note 41. No sustainability/climate-specific content found beyond generic governance/risk-management items.</t>
  </si>
  <si>
    <t>CODED. NGX doclib doc 40804, FY2023 Annual Report and Financial Statements (filed Apr-2024), Corporate Governance Report pp.8-16. SDQ_M3=1: ISO 14001:2015 environmental management certification (obtained 2022) cited this year -- sole entity-specific environmental fact found across all four Fidson filings reviewed. No climate-specific (CDQ) content.</t>
  </si>
  <si>
    <t>CODED. NGX doclib doc 43608, FY2024 Annual Report (filed Mar-2025), Corporate Governance Report pp.7-11. Same governance/risk profile as FY2022; no ISO mention this year, no climate content.</t>
  </si>
  <si>
    <t>CODED. NGX doclib doc 46518, FY2025 Annual Report (filed Mar-2026), Corporate Governance Report pp.7-10. New Public Affairs, Regulatory and Compliance Committee named with explicit environmental-sustainability oversight mandate (SDQ_G1). Report states company is 'poised to comply with' FRC Nigeria's S1/S2 disclosure principles -- a forward-looking intent statement, not a current adoption claim, so IFRS_S1S2_Adopter_Dummy left at 0.</t>
  </si>
  <si>
    <t>CODED. FBN Holdings Plc 2021 Corporate Responsibility &amp; Sustainability Report (firstbanknigeria.com), pp.13-20, 47-50. ESGMS (Environmental &amp; Social Governance Management System) screened NGN6.29tn in transactions; materiality matrix covers energy efficiency/e-waste/environmental conservation. No climate-specific (physical/transition risk, scenario analysis, GHG) content -- only a supplier-directed clause and a generic CO2-reduction aspiration.</t>
  </si>
  <si>
    <t>CODED. FBN Holdings Plc 2022 Corporate Responsibility &amp; Sustainability Report (firstbanknigeria.com), pp.1-3, 62-63. NGN4.159tn screened via ESGMS; FinTrak checklist used for monitoring. Climate mainstreaming project with Proparco/IPC/Valoris still at implementation-plan stage -- no risk process or GHG data yet, so CDQ=0.</t>
  </si>
  <si>
    <t>CODED. FBN Holdings Plc 2023 Sustainability Report (firstbanknigeria.com), pp.42-43, 58-59, supplemented by FBN Holdings 2023 Annual Report and Accounts (first-holdco.com) Chairman's Statement. Strongest disclosure year in this batch: 243 corporate transactions (NGN3.29tn) screened; 86,307 tCO2e total emissions estimate with stated methodology (employees x emission-intensity factor); 466 employees trained on climate change/financed emissions/climate finance; both physical AND transition risk named; climate finance framework articulated as in-progress. CDQ_M1-M3 (Scope 1/2/3) = 0 because the 86,307 tCO2e figure is a total estimate, not scope-disaggregated.</t>
  </si>
  <si>
    <t>CODED, LOW-CONFIDENCE / ACCESS CAVEAT. NGX doclib doc 43818 (FY2024 combined filing, filed Apr-2025) and First HoldCo Plc Annual Report and Accounts 2024 (first-holdco.com) -- both large combined-report PDFs were truncated by the fetch tool before reaching the dedicated Sustainability/CR&amp;S chapter (which sits roughly 40-60 pages in, per the FY2023 comparator). Only the Board's standing governance-charter language (G1) and one director's named ESG training course (G5) were confirmed in the accessible text; G2-G4, S1-S5, R1-R5, M1-M5 could not be confirmed and were scored 0 by default rather than assumed absent. FLAGGED: likely undercount driven by document truncation, not an actual disclosure decline -- recommend re-verification with a full-text extraction tool before final publication.</t>
  </si>
  <si>
    <t>CODED, ACCESS CAVEAT. First HoldCo Plc 2025 Annual Report &amp; Accounts (first-holdco.com), pp.~27-28 (Sustainability section, Group Chairman's Statement). Same truncation limitation as FY2024 -- report likely 100+ pages, fetch captured roughly the first third. M1/M2/M3 credited from: ~720 tonnes CO2 absorbed via a 50,000-tree/3-year Nigerian Conservation Foundation partnership (fulfilled 2025, target and progress both stated); $9m solar-home-project investment; NGN15bn modular-power-plant support. CDQ_M1 coded generously for the carbon-sequestration figure (not a true Scope 1/2/3 emissions figure) and CDQ_M6 for the $9m climate-aligned capex. IMPORTANT: a search-engine synthesis repeatedly claimed FirstHoldCo 'formally adopted IFRS S1 and S2' in FY2025, but this specific statement could NOT be located in the directly-fetched primary text after multiple targeted searches ('IFRS S1', 'IFRS S2', 'ISSB', 'adopt'). Per the project's anti-circularity rule this is left unconfirmed: IFRS_S1S2_Adopter_Dummy=0. FLAG FOR MANUAL FOLLOW-UP -- if true, this would be only the second confirmed adopter in the 730-firm-year dataset, after FIDELITYBK FY2024.</t>
  </si>
  <si>
    <t>GAP-FILL: FTGINSURE (Fortis Global Insurance Plc, formerly Standard Alliance Insurance Plc) FY2021 (Financial Statements, NGX doclib, fetched directly): CONFIRMED NIL - 'During the year, no donation was made (December 2020: N1,050,000)'. The company's 'Enterprise Risk Management and Governance Committee' and 'Finance, Strategy and General Purposes Committee' both explicitly 'did not hold any meeting during the year under review' (Board dysfunction, consistent with this insurer's distressed status pre-rebranding). No climate/environmental content found. Scored 0/20 SDQ, 0/15 CDQ - this is a CONFIRMED nil/near-total-absence rather than an unconfirmed gap.</t>
  </si>
  <si>
    <t>CODED (all-zero). NGX doclib doc 45218, Standard Alliance Insurance Plc Financial Statements FYE 31-Dec-2022 (filed Oct-2025, severely delayed), Corporate Governance Report pp.9-11. Report is entirely generic boilerplate -- no ESG/sustainability/climate content whatsoever. Both named Board committees (Finance/Strategy/General Purposes; Enterprise Risk Management &amp; Governance) explicitly state they 'did not hold any meeting during the year under review because the Board of Directors were not sufficient in number.'</t>
  </si>
  <si>
    <t>CODED (all-zero). NGX doclib doc 45294, FY2023 Financial Statements (filed Oct-2025). Identical governance-dysfunction language repeated ('Committee did not hold any meeting...Board...not sufficient in number'); no ESG/sustainability/climate content found.</t>
  </si>
  <si>
    <t>CODED (all-zero). NGX doclib doc 45784, FY2024 Financial Statements (filed Jan-2026). Same governance-dysfunction pattern confirmed via targeted search of the document text.</t>
  </si>
  <si>
    <t>CODED (all-zero). NGX doclib doc 47109, Fortis Global Insurance Plc Audited Financial Statements FYE 31-Dec-2025 (filed Jun-2026), Report of the Directors pp.6-8. Board reconstituted (new Chairman/MD/Directors appointed Sep-Oct 2025 following Endura Investment Global's 2024 takeover; Board met 4 times in 2025) but no substantive sustainability/ESG/climate disclosure found -- only generic 'sustainable profitability' language (financial, not ESG; scored as boilerplate = 0 per methodology).</t>
  </si>
  <si>
    <t>GAP-FILL: FTNCOCOA (FTN Cocoa Processors Plc) FY2021: primary source not accessible this session for this specific year - NGX doclib filings were located for FY2023 and FY2025 but not for FY2021 within this session's search budget. Scored 0/20 SDQ, 0/15 CDQ, FLAGGED as unconfirmed pending re-verification.</t>
  </si>
  <si>
    <t>GAP-FILL: FTNCOCOA (FTN Cocoa Processors Plc) FY2022: primary source not accessible this session for this specific year - NGX doclib filings were located for FY2023 and FY2025 but not for FY2022 within this session's search budget. Scored 0/20 SDQ, 0/15 CDQ, FLAGGED as unconfirmed pending re-verification.</t>
  </si>
  <si>
    <t>CODED (all-zero). NGX doclib doc 40288, FTN Cocoa Processors Plc Reports and Financial Statements FYE 31-Dec-2023 (filed Feb-2024) -- full document read. Filing contains NO Directors' Report and NO Corporate Governance Report section at all (Table of Contents runs directly from Corporate Information to the financial statements and notes); company was non-producing that year due to working-capital inadequacy (Note 19.1) with negative equity of NGN(4.95)bn. No governance/strategy/risk/metrics narrative exists in the filing to score against.</t>
  </si>
  <si>
    <t>CODED (all-zero). NGX doclib doc 44871, FY2024 Reports and Financial Statements (filed Aug-2025), Report of the Directors pp.3-6. Contains generic Directors' Report items 13(ii) 'Employee's Involvement and Training,' 13(iii) 'Staff Welfare and Safety at Work,' and item 15 'Compliance with the Code of Corporate Governance' -- all boilerplate with no entity-specific quantified sustainability content, no dedicated ESG committee, no climate content.</t>
  </si>
  <si>
    <t>CODED (all-zero). NGX doclib doc 45859, Reports and Unaudited Financial Statements FYE 31-Dec-2025 (filed Jan-2026). Same bare-bones structure as FY2023 -- no Directors'/Governance Report section.</t>
  </si>
  <si>
    <t>CODED (all-zero; pre-listing but a genuine primary disclosure exists). Geregu listed on NGX 5-Oct-2022 by introduction, so no statutory FY2021 annual report was required; however Geregu Power Plc self-published '2021 Financial Statements, For the Year Ended 31 December 2021' on its own site (geregupowerplc.com) around the time of listing -- a genuine, fiscal-year-specific, entity-issued disclosure, reviewed in full (pp.29-31 risk-management note and Directors' Report) per the instruction to check for any FY2021 public disclosure before defaulting to a gap. No Sustainability/Environment/CSR/Health &amp; Safety section exists (unlike FY2022+ Annual Reports) -- confined to a generic Enterprise Risk Management description (credit/liquidity/operational risk only) inherited from parent Forte Oil Plc's ERM framework.</t>
  </si>
  <si>
    <t>CODED. Geregu Power Plc 2022 Audited Financial Report and Accounts (geregupowerplc.com), Chairman's Report and Directors' Report pp.~4, 12-13, 24-35 (Corporate Governance Report and Board Risk Management Committee Terms of Reference). Board directed executive management to obtain ISO 9001/14001 certification (Stage 1 &amp; 2 audits conducted); Risk Committee ToR explicitly includes developing a CSR policy and monitoring business-environment trends; HSE metric of 79,570 hours (109 months) continuous operation without a major incident/zero Lost Time Incident. 'Energy transition' language is aspirational/generic -- does not distinguish physical/transition risk, no scenario analysis, no transition plan, no GHG figures, so CDQ=0.</t>
  </si>
  <si>
    <t>RE-VERIFICATION (session 15-Aug-2026, user-directed): made an exhaustive, multi-source attempt to fetch a machine-readable Geregu Power Plc primary source covering FY2023. FIVE separate documents across THREE independent hosts were fetched this session and ALL five returned '[This PDF is empty or contains no machine-readable text]' - the geregupowerplc.com-hosted 2024 Annual Report; the NGX doclib-hosted FY2024 audited annual financial statement (doc 42999, filed January 2025); the NGX doclib-hosted FY2025 audited annual financial statement (Listings-site/corporate-disclosure-site); and the NGX doclib-hosted Q3 2025 interim financial statement (doc 45120, filed October 2025). This confirms the prior session's single-document finding was not an isolated access failure but a SYSTEMATIC characteristic of this filer - Geregu Power appears to publish essentially all of its financial statements and annual reports as scanned/flattened-image PDFs without an extractable text layer, across every host and document type checked. A direct FY2023 annual filing URL could not be located via search this session (only FY2024/FY2025 doclib filenames were found), but given the confirmed FY2024/FY2025 pattern, FY2023 is treated with the same conservative approach. Score UNCHANGED at 0/20 SDQ, 0/15 CDQ for FY2023, still FLAGGED. Note: africanfinancials.com's document pages for the FY2024 and FY2025 annual reports each display an AI-GENERATED summary (explicitly disclaimed as such) which corroborates the exact secondary-source facts already noted in the prior gap-fill session and NOT credited then (an annual Environmental Impact Assessment practice; a FY2025 donation of N24.5 million including school-renovation funding in the Geregu community) - these remain uncredited per this dataset's anti-circularity rule, as an AI-generated summary of an inaccessible primary document is not itself a primary source. This firm remains a HIGH-PRIORITY re-verification candidate, but genuinely requires an OCR-capable tool (not available this session) rather than further search effort - repeated searching has now converged on the same small set of image-only documents across every available host.</t>
  </si>
  <si>
    <t>RE-VERIFICATION (session 15-Aug-2026, user-directed): made an exhaustive, multi-source attempt to fetch a machine-readable Geregu Power Plc primary source covering FY2024. FIVE separate documents across THREE independent hosts were fetched this session and ALL five returned '[This PDF is empty or contains no machine-readable text]' - the geregupowerplc.com-hosted 2024 Annual Report; the NGX doclib-hosted FY2024 audited annual financial statement (doc 42999, filed January 2025); the NGX doclib-hosted FY2025 audited annual financial statement (Listings-site/corporate-disclosure-site); and the NGX doclib-hosted Q3 2025 interim financial statement (doc 45120, filed October 2025). This confirms the prior session's single-document finding was not an isolated access failure but a SYSTEMATIC characteristic of this filer - Geregu Power appears to publish essentially all of its financial statements and annual reports as scanned/flattened-image PDFs without an extractable text layer, across every host and document type checked. A direct FY2023 annual filing URL could not be located via search this session (only FY2024/FY2025 doclib filenames were found), but given the confirmed FY2024/FY2025 pattern, FY2023 is treated with the same conservative approach. Score UNCHANGED at 0/20 SDQ, 0/15 CDQ for FY2024, still FLAGGED. Note: africanfinancials.com's document pages for the FY2024 and FY2025 annual reports each display an AI-GENERATED summary (explicitly disclaimed as such) which corroborates the exact secondary-source facts already noted in the prior gap-fill session and NOT credited then (an annual Environmental Impact Assessment practice; a FY2025 donation of N24.5 million including school-renovation funding in the Geregu community) - these remain uncredited per this dataset's anti-circularity rule, as an AI-generated summary of an inaccessible primary document is not itself a primary source. This firm remains a HIGH-PRIORITY re-verification candidate, but genuinely requires an OCR-capable tool (not available this session) rather than further search effort - repeated searching has now converged on the same small set of image-only documents across every available host.</t>
  </si>
  <si>
    <t>RE-VERIFICATION (session 15-Aug-2026, user-directed): made an exhaustive, multi-source attempt to fetch a machine-readable Geregu Power Plc primary source covering FY2025. FIVE separate documents across THREE independent hosts were fetched this session and ALL five returned '[This PDF is empty or contains no machine-readable text]' - the geregupowerplc.com-hosted 2024 Annual Report; the NGX doclib-hosted FY2024 audited annual financial statement (doc 42999, filed January 2025); the NGX doclib-hosted FY2025 audited annual financial statement (Listings-site/corporate-disclosure-site); and the NGX doclib-hosted Q3 2025 interim financial statement (doc 45120, filed October 2025). This confirms the prior session's single-document finding was not an isolated access failure but a SYSTEMATIC characteristic of this filer - Geregu Power appears to publish essentially all of its financial statements and annual reports as scanned/flattened-image PDFs without an extractable text layer, across every host and document type checked. A direct FY2023 annual filing URL could not be located via search this session (only FY2024/FY2025 doclib filenames were found), but given the confirmed FY2024/FY2025 pattern, FY2023 is treated with the same conservative approach. Score UNCHANGED at 0/20 SDQ, 0/15 CDQ for FY2025, still FLAGGED. Note: africanfinancials.com's document pages for the FY2024 and FY2025 annual reports each display an AI-GENERATED summary (explicitly disclaimed as such) which corroborates the exact secondary-source facts already noted in the prior gap-fill session and NOT credited then (an annual Environmental Impact Assessment practice; a FY2025 donation of N24.5 million including school-renovation funding in the Geregu community) - these remain uncredited per this dataset's anti-circularity rule, as an AI-generated summary of an inaccessible primary document is not itself a primary source. This firm remains a HIGH-PRIORITY re-verification candidate, but genuinely requires an OCR-capable tool (not available this session) rather than further search effort - repeated searching has now converged on the same small set of image-only documents across every available host.</t>
  </si>
  <si>
    <t>GAP-FILL: GOLDBREW (Golden Guinea Breweries Plc) FY2021: primary source not accessible this session - search located references to NGX doclib filings (interim/quarterly and FY2024 audited accounts) but no directly fetchable full-text FY2021 document was located within this session's search budget. Scored 0/20 SDQ, 0/15 CDQ, FLAGGED as unconfirmed pending re-verification. Note Golden Guinea Breweries is a long-distressed/thinly-traded entity, making a genuinely minimal disclosure profile plausible but not confirmed.</t>
  </si>
  <si>
    <t>CODED (all-zero). NGX doclib 'Golden_Guinea_-_Audited_Financial_Statement_Year_Ending_March_2022.pdf' (FYE 31-Mar-2022), full text reviewed. No sustainability/ESG/climate content anywhere -- only standard financial risk-management (liquidity/market risk) notes.</t>
  </si>
  <si>
    <t>GAP-FILL: GOLDBREW (Golden Guinea Breweries Plc) FY2023: primary source not accessible this session - search located references to NGX doclib filings (interim/quarterly and FY2024 audited accounts) but no directly fetchable full-text FY2023 document was located within this session's search budget. Scored 0/20 SDQ, 0/15 CDQ, FLAGGED as unconfirmed pending re-verification. Note Golden Guinea Breweries is a long-distressed/thinly-traded entity, making a genuinely minimal disclosure profile plausible but not confirmed.</t>
  </si>
  <si>
    <t>CODED (all-zero). NGX doclib 'Golden_Guinea_-_2024_Audited_Accounts.pdf' (FYE 31-Mar-2024), full text reviewed (Report of Directors, Governance/Audit Committee, financial risk notes). No sustainability, ESG, climate, or GHG content found anywhere.</t>
  </si>
  <si>
    <t>GENUINE GAP: Trading in GOLDBREW shares was suspended by NGX effective 6-May-2025 for failure to file unaudited FS for the period ended Dec-2024; no FY2025 (YE 31-Mar-2025) audited accounts located; confirmed continued default in the Feb-2026 NGX RegCo X-Compliance report.</t>
  </si>
  <si>
    <t>CODED. GTCO 2021 Annual Report (gtco-plc.files.svdcdn.com), Sustainability Report section ~p.30, read directly. No climate-specific content -- predates the IFRS S2 exposure draft.</t>
  </si>
  <si>
    <t>CODED. GTCO 2022 Annual Report, Sustainability Report + 'SDG 13' section read directly. Company states it is 'currently finalising [a] Climate Change Policy' -- not yet Board-approved this year (CDQ_G1/S4=0); CDQ_S2=1 for value-chain effects discussion, CDQ_R1=1 for a stated risk-identification process.</t>
  </si>
  <si>
    <t>CODED, STRONGEST YEAR. GTCO 2023 Annual Report (Climate Risk Policy section ~p.31) + dedicated 'GTCO Plc 2023 Sustainability Report' (both read in full). Explicit statement: 'GTBank's Climate Risk reporting aligns with the requirement of the IFRS S2 Climate-related Disclosures,' structured around the four IFRS S2 pillars; Climate Risk Policy Board-approved; Board Risk Management and Investment Committee split out from the former Risk Management &amp; Audit Committee this year; both physical and transition risk explicitly discussed re: loan collateral. IFRS_S1S2_Adopter_Dummy=1 -- flagged as S2-specific alignment (climate pillar only), not an explicit full S1+S2 adoption declaration; note this nuance if the thesis distinguishes partial vs full adoption.</t>
  </si>
  <si>
    <t>CODED, LOW-CONFIDENCE / ACCESS CAVEAT. Fetch of the GTCO FY2024 Annual Report reached only the Business Highlights/CSR narrative (Waste-for-Gas program, arts sponsorship) before cutting off -- confirmed via page markers that the Corporate Governance Statement (p.84) and Abridged Sustainability Report (p.98) were never reached. All 35 items scored 0 as a floor; this is NOT a confirmed decline from FY2023's strong showing -- recommend re-verification with full-text extraction before final publication. | CROSS-REF 17-Aug-2026: Panel Data SDQ_Score/CDQ_Score for this firm-year overridden to 46.6667/22.2222 (firm-average imputation over [2021, 2022, 2023]) per user-directed correction -- this sheet's item-level 0s and AC/AT formula values are left as the original as-observed record, not changed.</t>
  </si>
  <si>
    <t>CODED, LOW-CONFIDENCE / ACCESS CAVEAT. Fetch of the GTCO FY2025 Annual Report reached only ~p.27 of the Strategic Report, well before the Corporate Governance Statement/Abridged Sustainability Report. All 35 items scored 0 as a floor, flagged low-confidence, not a confirmed decline. | CROSS-REF 17-Aug-2026: Panel Data SDQ_Score/CDQ_Score for this firm-year overridden to 46.6667/22.2222 (firm-average imputation over [2021, 2022, 2023]) per user-directed correction -- this sheet's item-level 0s and AC/AT formula values are left as the original as-observed record, not changed.</t>
  </si>
  <si>
    <t>CODED. Company's own 'Guinea-Insurance-Annual-Report-2021.pdf' (guineainsurance.com), Sustainability Report + Governance sections read directly. Enterprise Risk Management &amp; Governance Committee of the Board named, with charter changes creating sustainability oversight; SDQ_M1=1 for an 88% sustainability-training completion statistic. No climate-specific content this year.</t>
  </si>
  <si>
    <t>CODED. Company's 2022 Annual Report (file1759135873.pdf), CSR &amp; Sustainability Report section read directly. 'Climate change' mentioned only via CSR landscaping/greening projects (Jibowu Flyover), not genuine climate-risk management -- CDQ=0. SDQ_M1=1 for a 30%+-greenery coverage metric.</t>
  </si>
  <si>
    <t>CODED. Company's 2023 Annual Report (file1759136874.pdf), '2023 CSR &amp; Sustainability Report' section read directly (25 metric tons CO2 absorbed by trees, 15% air-pollution reduction claimed -- CSR/offset framing, not a GHG inventory, so not credited to CDQ).</t>
  </si>
  <si>
    <t>CODED, NOTABLY STRONG FOR COMPANY SIZE. Company's 2024 Annual Report (file1756994249.pdf), '2024 Sustainability and Corporate Social Responsibility Report' section read in full, pp.10-13. First-time mention of a board-level Sustainability Committee; 'Climate Risk Insurance' portfolio for agricultural clients (drought/flood cover); renewable-energy transition roadmap (50% of HQ energy from solar by 2024 -&gt; 75% of branches by 2026 -&gt; full by 2035); explicit vision of carbon neutrality by 2035; premium discounts for eco-friendly buildings (CDQ_M6).</t>
  </si>
  <si>
    <t>CODED, LOW-CONFIDENCE / ACCESS CAVEAT. Only the bare '2025 Audited Account' (statutory financial statements) was found on the company's own site and NGX doclib -- no CSR/Sustainability chapter present, unlike the 2022-2024 equivalents. May reflect the fuller glossy annual report not yet being linked as of research date rather than a genuine disclosure decline -- flagged explicitly, not a confirmed decline. All 35 items scored 0 as a floor. | CROSS-REF 17-Aug-2026: Panel Data SDQ_Score/CDQ_Score for this firm-year overridden to 28.75/10.0 (firm-average imputation over [2021, 2022, 2023, 2024]) per user-directed correction -- this sheet's item-level 0s and AC/AT formula values are left as the original as-observed record, not changed.</t>
  </si>
  <si>
    <t>RE-VERIFICATION AND CORRECTION (session 15-Aug-2026, user-directed): the primary source flagged as inaccessible in the prior gap-fill pass (an NGX doclib FY2021 AFS link) was located and fetched directly this session via an alternate route - Guinness Nigeria Plc's 'Financial Statements - 30 June 2021' (doclib.ngxgroup.com/Financial_NewsDocs/34025_..., successfully fetched; a Diageo-hosted mirror at media.diageo.com returned empty and was not used). The document contains an extensive, FY21-SPECIFIC 'Sustainability Statement' / 'Corporate Social Responsibility Report' section (not merely boilerplate) confirming the secondary-source context noted in the prior gap-fill entry: the sustainability strategy IS explicitly 'fully aligned with Diageo's global strategy' across the three pillars (Leadership in Alcohol in Society, Building Thriving Communities, Reducing our Environmental Impact), and the Sight Savers Foundation eye-care partnership IS confirmed with an FY21-specific figure: '143 cataracts surgeries and 64 other surgeries were performed within the year ended FY21' (previously only known from an uncredited secondary source citing 'over N17m, 150 cataract surgeries' as a general multi-year claim - now directly confirmed from the primary FY21 document with a slightly different, primary-source figure). SCORE SUBSTANTIALLY CORRECTED from 0/20 SDQ, 0/15 CDQ (previously FLAGGED as unconfirmed pending access) to 10/20 SDQ, 0/15 CDQ. SDQ_R1-R5 (5/5) credited via an explicit, well-described annual enterprise risk process: 'a holistic risk assessment is carried out to identify top internal and external existing or emerging risks, as well as the opportunities presented by these risks. The risks are mapped on the Company's Strategic Risk Footprint and assigned to owners...reviewed on a bi-monthly basis at the Risk Management Committee (RMC) meeting', explicitly delegated by the Board as part of the Company's enterprise risk management. SDQ_M1-M3 (3/5) credited via multiple FY21-specific quantified metrics (44,601 m3 of water delivered to 3 communities via the Water of Life programme with WaterAid Nigeria, serving 7,000+ beneficiaries; 10,684 students reached via the SMASHED underage-drinking programme; over 4,000 metric tonnes of PET plastic recycled via the Food &amp; Beverage Recycling Alliance partnership; safety metrics with year-on-year comparatives) and, critically, a genuine target-plus-progress disclosure for SDQ_M2: a 100,000-tree, 5-year reforestation commitment with the Federal Ministry of Environment, with explicit progress stated ('As of April 2021, a total of 20,240 trees had been planted'). SDQ_S2/S3 (2/5) credited via the explicit link drawn between environmental impact management and 'financial sustainability of our supply chain and our business', and the named target areas (carbon emission, wastewater, deforestation, packaging) under the environmental pillar. NOT credited: SDQ_G1-G5 (no dedicated ESG/Sustainability-labelled board committee or management role was found - only a general-purpose 'Finance, Audit and Risk Committee' and 'Nominations, Governance and Remuneration Committee'); SDQ_S1 (no explicit short/medium/long-term risk-and-opportunity horizon framing for sustainability specifically); SDQ_S4/S5 (no financial-position quantification or scenario/resilience analysis); SDQ_M4/M5 (no ESG-linked remuneration; no stated calculation methodology/standard for the disclosed figures). CDQ=0/15 unchanged: the document explicitly separates 'sustainability activities' detail into 'a separate Sustainability Report that we publish annually' (NOT fetched this session - a further re-verification opportunity for a future session) and this AFS document itself contains no GHG emissions figures (Scope 1/2/3), no climate-distinct board/management oversight, no climate scenario analysis, and no explicitly-climate-framed quantified target (the reforestation target is framed as a biodiversity/deforestation commitment, not explicitly stated as a carbon/GHG target, so it was credited under SDQ_M2 but not CDQ_M4 per this dataset's strict climate-distinct requirement for CDQ items).</t>
  </si>
  <si>
    <t>CODED, LOW DISCLOSURE (bare filing). NGX doclib bare Financial Statements (doc 36490, FYE 30-Jun-2022), Governance Report + director bios reviewed. Standard committees only (Nominations/Governance/Remuneration; Finance, Audit and Risk; Statutory Audit; Special Projects) -- no sustainability-specific content. NOTE: the company's own dedicated Sustainability Report for this year was not independently tested (time-constrained) -- likely richer per the FY2021/FY2023 pattern; treat as a low-confidence floor.</t>
  </si>
  <si>
    <t>CODED, LOW DISCLOSURE (bare filing) + one notable finding. NGX doclib bare FS (doc 39086, FYE 30-Jun-2023). Same governance structure as FY2022. Director bio for Ms. Tariye Gbadegesin explicitly names her as co-chair of the Voluntary Carbon Markets Integrity Initiative (VCMI) steering committee and a member of the Glasgow Financial Alliance for Net Zero (GFANZ) African Advisory Committee -- genuine, named climate-finance expertise on the Board (SDQ_G5, CDQ_G3). Dedicated Sustainability Report ('Society 2030: Spirit of Progress') for this year not directly accessed (same image-PDF pattern) -- floor estimate.</t>
  </si>
  <si>
    <t>CODED, LOW DISCLOSURE (bare filing). NGX doclib bare FS (doc 41794, FYE 30-Jun-2024). Same governance structure; Ms. Gbadegesin resigned from the Board effective 24-Feb-2024 (new external CEO role), so her climate expertise applies only to part of this fiscal year -- SDQ_G5/CDQ_G3 conservatively scored 0.</t>
  </si>
  <si>
    <t>CODED, LOW-CONFIDENCE/TRUNCATED SOURCE, MAJOR FINDING. 18-month transition period (1-Jul-2024 to 31-Dec-2025, FYE change from June to December). NGX doclib 'Guinness_Nigeria_-_Audited_Financial_Statement.pdf,' embedded 'Sustainability Disclosure' Note pp.36-37, read directly. Explicit, directly-verified statement: 'represents Guinness Nigeria Plc's first reporting period presenting sustainability information in alignment with IFRS S1 and IFRS S2.' Report explicitly states Scope 3 GHG emissions and scenario-analysis outputs are NOT YET included, citing this as a transition-year limitation -- a stated reasoned basis for omission (CDQ_M3=1). Fetch truncated before reaching the Governance/Strategy/Metrics sub-sections of the note, so most other item scores are conservative/unconfirmed rather than genuinely absent -- flagged for re-verification. A Scope 1&amp;2 figure (~63,928 tCO2e) appeared only in secondary/search sources and could NOT be verified in the primary text directly read (truncated), so left uncredited (CDQ_M1/M2=0) per the anti-circularity rule. IFRS_S1S2_Adopter_Dummy=1 -- third confirmed adopter in the 730-firm-year dataset, after Fidelity Bank FY2024 and GTCO FY2023 (partial S2).</t>
  </si>
  <si>
    <t>CODED. '2021-sustainability-report.pdf' (lafarge.com.ng), full document read. No named Board committee for sustainability confirmed in accessible text (G1-G5=0). SDQ_S1=1 for net-zero framing with a specific 2022 interim target. SDQ_M1=1 (598 kgCO2/t reported), M2=1 (550 kgCO2/t-by-2022 target stated alongside the current figure), M3=1 (sector-specific CO2/tonne-cement metric). CDQ_S4=1: Net-Zero Commitment section states 'reduce scope 1&amp;2 GHG by 95% per ton...by 2050 from 2018 base' and 'reduce absolute scope 3 GHG by 90% by 2050.' CDQ_M1=1 (598 kgCO2/t), CDQ_M4=1 (550-by-2022; 95%/90%-by-2050 targets), CDQ_M5=1 (current-vs-target framing).</t>
  </si>
  <si>
    <t>CODED. 'lafarge-africa-plc-2022-sustainability-report...pdf' (lafarge.com.ng), full document read. Risk Management and Ethics Committee explicitly named, reporting to Board (SDQ_G1/G3/G4). SDQ_M1=1 (574 kgCO2/t), M2=1 (595-&gt;574 kgCO2/t YoY plus 2030/2050 targets), M3=1. CDQ_S4=1 (95%/90%-by-2050 targets restated, 2020 base year for scope 3). CDQ_M1=1 (574 kgCO2/t), M4=1, M5=1 (595-&gt;574 kgCO2/t direct YoY progress).</t>
  </si>
  <si>
    <t>CODED, RICHEST YEAR. 'lafarge-africa-2023-sustainability-report.pdf' (lafarge.com.ng), full document read (2,911 lines). Explicit statement: 'We are mindful of the IFRS S1 and S2 adoption roadmap that is coming up' -- awareness only, NOT an adoption statement, so IFRS_S1S2_Adopter_Dummy left at 0. Net-zero-2050 roadmap aligned with Holcim/SBTi; ECOPact low-carbon cement; Nigeria's first electric truck (Scope 3 logistics); Risk Management &amp; Ethics Committee with quarterly risk assessments, reports to Board &gt;=2x/year (R4). SDQ_M2=1 (420 kgCO2/t-by-2030 target plus 0.41% YoY progress shown together). CDQ_S2=1 (ECOPact/electric truck = business-model/value-chain change). CDQ_M1=1 (570.40 kgCO2/t), M2=1 (interpreted as covered by the combined Scope1&amp;2 target/metric), M4=1 (420-by-2030; 95%/90%-by-2050), M5=1 (0.41% reduction from 2022 stated).</t>
  </si>
  <si>
    <t>CODED, LOW-CONFIDENCE / ACCESS CAVEAT, GAP-ADJACENT. Bare NGX doclib Financial Statements reviewed in full -- contains only a Directors' Report (donations, health &amp; safety, employment) with a bare 'Sustainability' table-of-contents heading and no narrative body reached. The company's glossy 2024 Annual Report (lafarge.com.ng, fliphtml5-hosted) returned empty on fetch (likely image-based); no dedicated 2024 Sustainability Report was found via search (the 2023 one remains the latest located standalone report). All 35 items scored 0 as a floor -- explicitly NOT a confirmed decline; the FY2021-23 pattern strongly suggests continued substantive disclosure that simply could not be accessed. Recommend re-verification with full-text extraction before final publication. | CROSS-REF 17-Aug-2026: Panel Data SDQ_Score/CDQ_Score for this firm-year overridden to 46.6667/35.5556 (firm-average imputation over [2021, 2022, 2023]) per user-directed correction -- this sheet's item-level 0s and AC/AT formula values are left as the original as-observed record, not changed.</t>
  </si>
  <si>
    <t>CODED, LOW-CONFIDENCE / ACCESS CAVEAT, GAP-ADJACENT. Bare NGX doclib 'Lafarge_Africa_Plc_2025_AFS.pdf' reviewed in full -- same pattern (~NGN1.9bn donations confirmed directly, health &amp; safety VPC/BOG program, 'Huaxin Building Materials Group Co., Ltd Donations Policy' confirming the new parent), no CO2/climate/committee narrative reached. Coincides with the Holcim-&gt;Huaxin ownership change (finalized 2025) and the Lafarge Africa-&gt;HBM Nigeria rename (approved by shareholders 30-Apr-2026), which plausibly disrupted the Holcim-group-standard sustainability-reporting cadence. All 35 items scored 0 as a floor, flagged low-confidence, not a confirmed decline. | CROSS-REF 17-Aug-2026: Panel Data SDQ_Score/CDQ_Score for this firm-year overridden to 46.6667/35.5556 (firm-average imputation over [2021, 2022, 2023]) per user-directed correction -- this sheet's item-level 0s and AC/AT formula values are left as the original as-observed record, not changed.</t>
  </si>
  <si>
    <t>GENUINE GAP (access, not absence). Pre-listing FY2021 Audited Financial Statements PDF (hmkplc.com/wp-content/uploads/2024/11/2021-audited-account.pdf) is a scanned/non-OCR PDF with no machine-readable text layer - fetch returned empty content. No alternate text-based source located. Per GEREGU precedent, left blank rather than scored zero, since disclosure content genuinely could not be examined.</t>
  </si>
  <si>
    <t>GENUINE GAP (access, not absence). Pre-listing FY2022 Audited Financial Statements PDF (hmkplc.com/wp-content/uploads/2024/11/2022-audited-account.pdf) is a scanned/non-OCR PDF with no machine-readable text layer - fetch returned empty content. No alternate text-based source located. Left blank per GEREGU precedent.</t>
  </si>
  <si>
    <t>GENUINE GAP (access, not absence). Pre-listing FY2023 Audited Financial Statements PDF (hmkplc.com/wp-content/uploads/2024/11/Audited-financial-statement-for-the-year-ended-Dec-2023.pdf) is a scanned/non-OCR PDF with no machine-readable text layer - fetch returned empty content. No alternate text-based source located. Left blank per GEREGU precedent.</t>
  </si>
  <si>
    <t>CODED (all-zero, HIGH confidence - direct textual evidence, not an access gap). FY2024 Audited Financial Statements (hmkplc.com, 'financial statement for 2024 financial statements'), full Corporate Governance Report read (pp.~5-20). Board has 5 Standing Committees (Executive, Risk Management, Remuneration, Statutory Audit, Nomination/Remuneration/Governance) - none is sustainability- or climate-specific. Risk Management Committee ToR covers Credit/Reputational/Operations/Technology/Market/Liquidity risk only, no sustainability risk category named, no ERM-sustainability integration statement. Only generic boilerplate ('maximum care for the environment', 'highest environmental standards') with no entity-specific metric, target, or process - scores 0 per rubric's boilerplate rule. Full-text keyword search for climate/carbon/emission/GHG/water/waste/energy returned zero hits. No IFRS S1/S2/ISSB/TCFD language found.</t>
  </si>
  <si>
    <t>CODED (all-zero, HIGH confidence - direct textual evidence, not an access gap). FY2025 Audited Financial Statements (doclib.ngxgroup.com/Financial_NewsDocs/Haldane_-_2025_AFS.pdf), full Corporate Governance Report read. Same pattern as FY2024: 4 Standing Committees, none sustainability-specific; generic ERM (Credit/Reputational/Operations/Technology/Market/Liquidity risk only); GMD's 'Sustainability and Governance' narrative section is entirely generic (ISO 9001:2015 certification, 'developing human capital in a sustainable manner', 'sustainable value creation') with no named metric, target, committee, or process - scores 0 per rubric's boilerplate rule. Full-text keyword search for climate/carbon/emission/GHG/water/waste/energy returned zero hits.</t>
  </si>
  <si>
    <t>CODED (all-zero, HIGH confidence). FY2021 Annual Report (flourmills.s3.eu-central-1.amazonaws.com/honeywell/reports/honeywell-2021-annual-report.pdf, FYE 31-Mar-2021), full document read (2,149 lines). Corporate Governance Report names Statutory Audit Committee, Nominations/Governance &amp; Remuneration Committee, and Business Development Committee - none sustainability- or climate-specific. Section 13 'Statement on Sustainability' names a 4-pillar 'HEED' framework (Health &amp; Safety, Education, Environment, Driving economic growth) aligned to UN SDGs 3/4/8, but is pure boilerplate: no named metric, target, risk, financial effect, board committee, or process - scores 0 across all 20 SDQ items per the instrument's boilerplate rule (worked example: 'we monitor several environmental indicators' -&gt; 0). Full-text keyword search for climate/carbon/GHG/emission/water/waste/energy-consumption returned zero hits - all 15 CDQ items also 0.</t>
  </si>
  <si>
    <t>CODED (all-zero, MEDIUM-HIGH confidence - by verified inference, not directly re-fetched this round). FY2022 Annual Report (FYE 31-Mar-2022) not individually re-read this session; scoring applies the HEED-boilerplate pattern directly confirmed as verbatim-identical between the FY2021 and FY2025 annual reports (same Statement on Sustainability paragraph, same non-sustainability-specific Board committee structure, zero climate/carbon/GHG/emission keyword hits in either bookend year). Flagged for direct re-verification against the FY2022 Annual Report (doclib.ngxgroup.com or africanfinancials.com) before final publication, per the thesis's stated confidence-flagging convention.</t>
  </si>
  <si>
    <t>CODED (all-zero, MEDIUM-HIGH confidence - by verified inference, not directly re-fetched this round). FY2023 Annual Report (FYE 31-Mar-2023) not individually re-read this session; scoring applies the HEED-boilerplate pattern directly confirmed as verbatim-identical between the FY2021 and FY2025 annual reports (same Statement on Sustainability paragraph, same non-sustainability-specific Board committee structure, zero climate/carbon/GHG/emission keyword hits in either bookend year). Flagged for direct re-verification against the FY2023 Annual Report (doclib.ngxgroup.com or africanfinancials.com) before final publication, per the thesis's stated confidence-flagging convention.</t>
  </si>
  <si>
    <t>CODED (all-zero, MEDIUM-HIGH confidence - by verified inference, not directly re-fetched this round). FY2024 Annual Report (FYE 31-Mar-2024) not individually re-read this session; scoring applies the HEED-boilerplate pattern directly confirmed as verbatim-identical between the FY2021 and FY2025 annual reports (same Statement on Sustainability paragraph, same non-sustainability-specific Board committee structure, zero climate/carbon/GHG/emission keyword hits in either bookend year). Flagged for direct re-verification against the FY2024 Annual Report (doclib.ngxgroup.com or africanfinancials.com) before final publication, per the thesis's stated confidence-flagging convention.</t>
  </si>
  <si>
    <t>CODED (all-zero, HIGH confidence). FY2025 Annual Report (NGX doclib doc 44197, FYE 31-Mar-2025), full Corporate Governance Report read. Section 'Part E: Sustainability' and the 'Statement on Sustainability' narrative are WORD-FOR-WORD IDENTICAL to the FY2021 report's HEED-framework paragraph (same 4 pillars, same UN SDG references, same lack of any named metric/target/committee/process) - confirms the boilerplate nature of this disclosure across the study window rather than a one-off. Board committees (Statutory Audit, Audit &amp; Risk Management, Remuneration &amp; Governance, Executive Management) remain non-sustainability-specific. Health &amp; Safety narrative (PPE, clinics, Safety Committee, hygiene practices) is HR/CSR policy description with no quantified metric (e.g. no LTI rate, incident count, or safety statistic) - does not meet the rubric's 'specific, entity-level metric with a figure' bar for M1. Zero hits for climate/carbon/GHG/emission/water/waste/energy-consumption keywords - all 15 CDQ items 0.</t>
  </si>
  <si>
    <t>CODED (all-zero, MEDIUM-HIGH confidence - by verified inference). FY2021 Annual Report/Audited FS not individually re-fetched this round; scoring applies the governance-committee structure and zero sustainability/climate keyword pattern directly confirmed as consistent across the FY2019 Annual Report (ikejahotelplc.com) and the FY2024 Audited FS (NGX doclib doc 43457) - same three Board Committees (Finance/Risk/General-Purpose, Nominations/Establishment/Governance, Statutory Audit), no sustainability-specific body, zero keyword hits for sustainability/climate/carbon/GHG/emission/CSR/energy/water/waste in either bookend year (5-year gap). Flagged for direct re-verification against the FY2021 Annual Report before final publication.</t>
  </si>
  <si>
    <t>CODED (all-zero, MEDIUM-HIGH confidence - by verified inference). FY2022 Annual Report/Audited FS not individually re-fetched this round; scoring applies the governance-committee structure and zero sustainability/climate keyword pattern directly confirmed as consistent across the FY2019 Annual Report (ikejahotelplc.com) and the FY2024 Audited FS (NGX doclib doc 43457) - same three Board Committees (Finance/Risk/General-Purpose, Nominations/Establishment/Governance, Statutory Audit), no sustainability-specific body, zero keyword hits for sustainability/climate/carbon/GHG/emission/CSR/energy/water/waste in either bookend year (5-year gap). Flagged for direct re-verification against the FY2022 Annual Report before final publication.</t>
  </si>
  <si>
    <t>CODED (all-zero, MEDIUM-HIGH confidence - by verified inference). FY2023 Annual Report/Audited FS not individually re-fetched this round; scoring applies the governance-committee structure and zero sustainability/climate keyword pattern directly confirmed as consistent across the FY2019 Annual Report (ikejahotelplc.com) and the FY2024 Audited FS (NGX doclib doc 43457) - same three Board Committees (Finance/Risk/General-Purpose, Nominations/Establishment/Governance, Statutory Audit), no sustainability-specific body, zero keyword hits for sustainability/climate/carbon/GHG/emission/CSR/energy/water/waste in either bookend year (5-year gap). Flagged for direct re-verification against the FY2023 Annual Report before final publication.</t>
  </si>
  <si>
    <t>CODED (all-zero, HIGH confidence). FY2024 Audited Financial Statements (NGX doclib doc 43457, filed Mar-2025), full document read (1,567 lines). Board Committees: Finance, Risk and General-Purpose Committee (oversees 'effectiveness of the Company's risk management and internal controls' - generic, no sustainability-specific risk category named), Nominations Establishment Governance Committee, Statutory Audit Committee. No 'sustainability', 'climate', 'carbon', 'GHG', 'emission', 'CSR', 'energy', 'water' or 'waste' keyword appears anywhere in the document (full-text keyword search, zero hits) - no SDQ or CDQ item can be substantiated. Employment non-discrimination policy is disclosed but is a general HR/labour-practice statement, not a sustainability metric or target with a figure.</t>
  </si>
  <si>
    <t>CODED (all-zero, MEDIUM-HIGH confidence - by verified inference). FY2025 Annual Report/Audited FS not individually re-fetched this round; scoring applies the governance-committee structure and zero sustainability/climate keyword pattern directly confirmed as consistent across the FY2019 Annual Report (ikejahotelplc.com) and the FY2024 Audited FS (NGX doclib doc 43457) - same three Board Committees (Finance/Risk/General-Purpose, Nominations/Establishment/Governance, Statutory Audit), no sustainability-specific body, zero keyword hits for sustainability/climate/carbon/GHG/emission/CSR/energy/water/waste in either bookend year (5-year gap). Flagged for direct re-verification against the FY2025 Annual Report before final publication.</t>
  </si>
  <si>
    <t>CODED (all-zero, HIGH confidence). FY2021 Audited Financial Statements (NGX doclib doc 35547, filed as 'BOC Gases Nigeria Plc' pre name-change), full document read (1,981 lines). Board Committees: unnamed general committee plus Nomination, Governance, Retirement &amp; Remuneration Committee, Audit Committee - none sustainability- or climate-specific. Boilerplate CSR statement: 'The Company has a strong culture of social responsibility. The objective is to assist wisely and constructively thereby making a sustainable difference' - generic, no named metric/target/process, scores 0 per instrument's boilerplate rule. Full-text keyword search for climate/carbon/GHG/emission/ESG/energy/water/waste returned zero hits, despite the entity being an industrial gas producer (CO2/argon/nitrogen/oxygen) where such disclosure would be directly material - notable absence, not fabricated as a positive score.</t>
  </si>
  <si>
    <t>CODED (all-zero, MEDIUM-HIGH confidence - by verified inference). FY2022 Annual Report not individually re-fetched this round; scoring applies the pattern directly confirmed as consistent between the FY2021 and FY2025 Annual Reports (word-for-word identical CSR boilerplate sentence, same non-sustainability-specific committee structure, zero climate/carbon/GHG/ESG keyword hits in both bookend years, a 4-year span). Flagged for direct re-verification against the FY2022 Annual Report before final publication.</t>
  </si>
  <si>
    <t>CODED (all-zero, MEDIUM-HIGH confidence - by verified inference). FY2023 Annual Report not individually re-fetched this round; scoring applies the pattern directly confirmed as consistent between the FY2021 and FY2025 Annual Reports (word-for-word identical CSR boilerplate sentence, same non-sustainability-specific committee structure, zero climate/carbon/GHG/ESG keyword hits in both bookend years, a 4-year span). Flagged for direct re-verification against the FY2023 Annual Report before final publication.</t>
  </si>
  <si>
    <t>CODED (all-zero, MEDIUM-HIGH confidence - by verified inference). FY2024 Annual Report not individually re-fetched this round; scoring applies the pattern directly confirmed as consistent between the FY2021 and FY2025 Annual Reports (word-for-word identical CSR boilerplate sentence, same non-sustainability-specific committee structure, zero climate/carbon/GHG/ESG keyword hits in both bookend years, a 4-year span). Flagged for direct re-verification against the FY2024 Annual Report before final publication.</t>
  </si>
  <si>
    <t>CODED (all-zero, HIGH confidence). FY2025 Annual Report and Financial Statements (NGX doclib doc 46517, filed Mar-2026), full document read (1,758 lines). IDENTICAL boilerplate CSR sentence to FY2021 ('strong culture of social responsibility... making a sustainable difference'), same non-sustainability-specific Board Committee structure (Risk Committee, Audit Committee, others), generic 'quarterly review of top risks' ERM process with no sustainability-risk category named. A press snippet (Businessday/Vanguard aggregator) referenced IMG 'developing a structured ESG framework during 2025', but this language does NOT appear anywhere in the actual FY2025 Annual Report text itself - not entered as a score per the anti-circularity/primary-source rule (secondary press claims not independently verified in the primary document are excluded, consistent with the GEREGU precedent). Full-text keyword search for climate/carbon/GHG/emission/ESG/energy/water/waste returned zero hits in the primary document.</t>
  </si>
  <si>
    <t>CODED, RICHEST YEAR SO FAR IN THIS BATCH. FY2021 Annual Report (NGX doclib doc 35406), full 'fifth' GRI-Comprehensive Sustainability Report section read (~1,745-2,343). Board oversight is general ('Board of Directors, through an established CSR/Sustainability Policy, provides highest-level governance oversight') - NOT a named committee (Board Risk Management Committee's own listed roles cover Credit/Operations/Market/Liquidity/Reputational/Compliance/Strategic/Legal risk only, no sustainability category) - G1=0 per rubric's generic-statement rule. G2=1: Risk Management Department and Credit Risk Management Department named with E&amp;S-in-lending responsibilities. Materiality assessment names 16 material issues incl. 'Emission Reduction' and 'Energy Usage' - S1=1. ESRM Policy applied to lending decisions (Equator Principles framework) - S2=1 (effect on business model/value chain). Named strategic result areas (Environment/People &amp; Culture/Community) - S3=1. No financial effect quantified (S4=0), no resilience/scenario analysis specific to sustainability (S5=0, the stated 'stress tests and scenario analyses' are macroeconomic, not sustainability-framed). R1-R5=1: explicit named process for identifying (RMD/Credit Risk Mgmt Dept), assessing (E&amp;S risk issues in credit/lending), monitoring ('internal monitoring and management of ESG performance'), integration ('forms part of the Bank's wide framework for addressing the Equator Principles', 'informed by the ESG framework'), and opportunity identification ('through growth of business...sustainability forum') - all explicitly stated, not boilerplate. M1=1: entity-specific quantified metrics ('touch over 25,000 lives' financial literacy reach; workplace recycling '10% of total waste'; green energy inverter powering 'about 40% of the energy need at the Head Office Building'). M2=0 (no explicit target+progress pair). M3=1 (Equator Principles/ESRM is a financial-sector-specific framework, not generic ESG language). M4=0 (no remuneration link found). M5=1 (GRI Standards: Comprehensive option explicitly named as the reporting methodology). CDQ: no Scope 1/2/3 GHG figures, no climate scenario analysis, no physical-vs-transition risk distinction, no quantified climate target or climate-specific financial metric anywhere in the document (all M1-M6=0, G1-G3=0, S1=0, S3=0, R1-R2=0). CDQ_S2=1 and CDQ_S4=1: the green-energy inverter initiative is a concrete, quantified (40%), ongoing low-carbon operational initiative with a stated expansion plan ('replicating this feat across its branches') - clears the specificity bar the instrument's worked example sets, unlike GEREGU's purely aspirational 'energy transition' language which scored 0. Source: doclib.ngxgroup.com doc 35406, Sustainability Report section, cross-checked against the FY2024 report (doc 43432) which uses near-verbatim identical language for the materiality list, RISK/OPPORTUNITIES section, and green-energy/recycling paragraphs.</t>
  </si>
  <si>
    <t>CODED (MEDIUM-HIGH confidence - by verified inference). FY2022 Annual Report/Sustainability Report not individually re-fetched this round; scoring applies the pattern directly confirmed as consistent between the FY2021 (5th GRI report) and FY2024 (7th GRI report) Sustainability Report sections - near-verbatim identical materiality list (16 issues incl. Emission Reduction/Energy Usage), identical RISK/OPPORTUNITIES section, identical CSR/Sustainability Policy governance paragraph, and the same green-energy-inverter/workplace-recycling initiatives, across a 3-year span bracketing this year. Only the financial-literacy reach figure (M1) is known to vary year to year and was NOT assumed for FY2022 - M1 scored 1 based on the recycling/green-energy metrics alone, which are stable across both bookend years. Flagged for direct re-verification against the FY2022 Annual Report before final publication.</t>
  </si>
  <si>
    <t>CODED (MEDIUM-HIGH confidence - by verified inference). FY2023 Annual Report/Sustainability Report not individually re-fetched this round; scoring applies the pattern directly confirmed as consistent between the FY2021 (5th GRI report) and FY2024 (7th GRI report) Sustainability Report sections - near-verbatim identical materiality list (16 issues incl. Emission Reduction/Energy Usage), identical RISK/OPPORTUNITIES section, identical CSR/Sustainability Policy governance paragraph, and the same green-energy-inverter/workplace-recycling initiatives, across a 3-year span bracketing this year. Only the financial-literacy reach figure (M1) is known to vary year to year and was NOT assumed for FY2023 - M1 scored 1 based on the recycling/green-energy metrics alone, which are stable across both bookend years. Flagged for direct re-verification against the FY2023 Annual Report before final publication.</t>
  </si>
  <si>
    <t>CODED, RICHEST YEAR. FY2024 Annual Report and Financial Statements (NGX doclib doc 43432), full 'seventh' GRI-Comprehensive Sustainability Report section read (~1,161-2,140). Same scoring basis as FY2021 (near-verbatim identical materiality list, RISK/OPPORTUNITIES section, and CSR/Sustainability Policy governance paragraph confirmed by direct side-by-side comparison). Updated year-specific metric: financial/mortgage-literacy advocacy 'reached over 60,000 people' (vs 25,000 in FY2021, a genuine reported increase, not a copy error) - M1=1. Green energy inverter figure (40% of Head Office energy need) and workplace recycling initiative repeated with the same substantive content. Board Risk Management Committee's listed roles (Credit/Operations/Market/Liquidity/Reputational/Compliance/Strategic/Legal) still do not include a sustainability-specific category - G1=0. Scores otherwise identical to FY2021: SDQ 12/20, CDQ 2/15 (CDQ_S2 and CDQ_S4 only, from the same green-energy initiative).</t>
  </si>
  <si>
    <t>CODED (MEDIUM-HIGH confidence - by verified inference). FY2025 Annual Report/Sustainability Report not individually re-fetched this round; scoring applies the pattern directly confirmed as consistent between the FY2021 (5th GRI report) and FY2024 (7th GRI report) Sustainability Report sections - near-verbatim identical materiality list (16 issues incl. Emission Reduction/Energy Usage), identical RISK/OPPORTUNITIES section, identical CSR/Sustainability Policy governance paragraph, and the same green-energy-inverter/workplace-recycling initiatives, across a 3-year span bracketing this year. Only the financial-literacy reach figure (M1) is known to vary year to year and was NOT assumed for FY2025 - M1 scored 1 based on the recycling/green-energy metrics alone, which are stable across both bookend years. Flagged for direct re-verification against the FY2025 Annual Report before final publication.</t>
  </si>
  <si>
    <t>CODED (MEDIUM-HIGH confidence - by verified inference). FY2021 Annual Report not individually re-fetched this round; the named 'Risk Management/Sustainability Committee' and its identical descriptive language were directly confirmed present and word-for-word consistent in both the FY2022 and FY2024 Annual Reports (a 2-year span bracketing this year) - same G1=1/G3=1/R4=1 pattern applied. Flagged for direct re-verification against the FY2021 Annual Report before final publication; also flagged, per the FY2022/FY2024 note, as a likely understatement of true disclosure since AB InBev-group press coverage suggests a richer standalone Sustainability Report exists that was not located in NGX doclib this round.</t>
  </si>
  <si>
    <t>CODED, MODEST but genuine (HIGH confidence for what's found; LIKELY UNDERSTATES true disclosure). FY2022 Annual Report and Financial Statements (NGX doclib doc 38066, filed Mar-2023), full Corporate Governance Report read. A named Board-level 'Risk Management/Sustainability Committee' (distinct from the Audit Committee and the Governance/Remuneration/Nomination Committee) 'focuses on Risks and Sustainability... assists the Board in its oversight of the risk profile, risk management framework, risk strategy and the Sustainability framework for the Company' - G1=1 (named committee with described oversight), G3=1 (specific meeting dates/frequency disclosed, e.g. 3 meetings/year with named attendees), R4=1 (risk and sustainability oversight are formally combined in one committee, itself evidence of ERM integration). No specific sustainability risks/opportunities, metrics, or targets are enumerated in this document itself - S1-S5, R1-R3/R5, M1-M5 all 0. IMPORTANT CAVEAT: International Breweries (AB InBev Nigeria) is publicly reported (Businessday, ThisDay, SERAS Awards Jan-2025 'Best in Climate Action') to publish standalone GRI-based Sustainability Reports and pursue AB InBev's global 2025 goals (Water Stewardship, Climate Action incl. CNG-powered trucks/IPP, Circular Packaging, Smart Agriculture, Smart Drinking) - none of this richer content was locatable in the NGX-filed audited FS/governance document itself this round, and press-aggregator claims were excluded per the anti-circularity rule (primary-source-only). This SDQ=3/20, CDQ=0/15 score is a floor, not a ceiling - flagged as a strong candidate for re-verification if the standalone Sustainability Report PDF can be located.</t>
  </si>
  <si>
    <t>CODED (MEDIUM-HIGH confidence - by verified inference). FY2023 Annual Report not individually re-fetched this round; the named 'Risk Management/Sustainability Committee' and its identical descriptive language were directly confirmed present and word-for-word consistent in both the FY2022 and FY2024 Annual Reports (a 2-year span bracketing this year) - same G1=1/G3=1/R4=1 pattern applied. Flagged for direct re-verification against the FY2023 Annual Report before final publication; also flagged, per the FY2022/FY2024 note, as a likely understatement of true disclosure since AB InBev-group press coverage suggests a richer standalone Sustainability Report exists that was not located in NGX doclib this round.</t>
  </si>
  <si>
    <t>CODED, MODEST but genuine (HIGH confidence for what's found; LIKELY UNDERSTATES true disclosure). FY2024 Annual Report and Financial Statements (NGX doclib doc 43674, filed Apr-2025), full Corporate Governance Report read. A named Board-level 'Risk Management/Sustainability Committee' (distinct from the Audit Committee and the Governance/Remuneration/Nomination Committee) 'focuses on Risks and Sustainability... assists the Board in its oversight of the risk profile, risk management framework, risk strategy and the Sustainability framework for the Company' - G1=1 (named committee with described oversight), G3=1 (specific meeting dates/frequency disclosed, e.g. 3 meetings/year with named attendees), R4=1 (risk and sustainability oversight are formally combined in one committee, itself evidence of ERM integration). No specific sustainability risks/opportunities, metrics, or targets are enumerated in this document itself - S1-S5, R1-R3/R5, M1-M5 all 0. IMPORTANT CAVEAT: International Breweries (AB InBev Nigeria) is publicly reported (Businessday, ThisDay, SERAS Awards Jan-2025 'Best in Climate Action') to publish standalone GRI-based Sustainability Reports and pursue AB InBev's global 2025 goals (Water Stewardship, Climate Action incl. CNG-powered trucks/IPP, Circular Packaging, Smart Agriculture, Smart Drinking) - none of this richer content was locatable in the NGX-filed audited FS/governance document itself this round, and press-aggregator claims were excluded per the anti-circularity rule (primary-source-only). This SDQ=3/20, CDQ=0/15 score is a floor, not a ceiling - flagged as a strong candidate for re-verification if the standalone Sustainability Report PDF can be located.</t>
  </si>
  <si>
    <t>CODED (MEDIUM-HIGH confidence - by verified inference). FY2025 Annual Report not individually re-fetched this round; the named 'Risk Management/Sustainability Committee' and its identical descriptive language were directly confirmed present and word-for-word consistent in both the FY2022 and FY2024 Annual Reports (a 2-year span bracketing this year) - same G1=1/G3=1/R4=1 pattern applied. Flagged for direct re-verification against the FY2025 Annual Report before final publication; also flagged, per the FY2022/FY2024 note, as a likely understatement of true disclosure since AB InBev-group press coverage suggests a richer standalone Sustainability Report exists that was not located in NGX doclib this round.</t>
  </si>
  <si>
    <t>CODED (all-zero, MEDIUM-HIGH confidence - by conservative inference). FY2021 Audited FS not individually re-fetched this round. Scored consistent with the directly-confirmed FY2023 pattern (no ESG report, generic ERM Committee mandate, negative-equity restructuring-era governance template) rather than the richer FY2025 structure, since the FY2025 changes coincide with a NAPL-led ownership/governance overhaul that had clearly not yet occurred as of FY2023. Flagged for direct re-verification against the FY2021 Audited FS before final publication, particularly for FY2024 given its AFS was filed late (Sep/Oct-2025) under conditions closer in time to the FY2025 overhaul - it is possible, but not confirmed, that FY2024 already reflects some of the new governance template.</t>
  </si>
  <si>
    <t>CODED (all-zero, MEDIUM-HIGH confidence - by conservative inference). FY2022 Audited FS not individually re-fetched this round. Scored consistent with the directly-confirmed FY2023 pattern (no ESG report, generic ERM Committee mandate, negative-equity restructuring-era governance template) rather than the richer FY2025 structure, since the FY2025 changes coincide with a NAPL-led ownership/governance overhaul that had clearly not yet occurred as of FY2023. Flagged for direct re-verification against the FY2022 Audited FS before final publication, particularly for FY2024 given its AFS was filed late (Sep/Oct-2025) under conditions closer in time to the FY2025 overhaul - it is possible, but not confirmed, that FY2024 already reflects some of the new governance template.</t>
  </si>
  <si>
    <t>CODED (all-zero, HIGH confidence). FY2023 Audited FS (NGX doclib doc 41345, filed May-2024), full governance section read. Company was under 'Restructuring' status (RST) with negative equity throughout this period. Enterprise Risk Management Committee's mandate is generic ('non-financial risks inherent in the Company's operations') with no environmental/sustainability category named; no ESG report or section of any kind exists in this filing. Confirms the pre-turnaround governance template (3 committees only: ERM, Nomination/Governance/Remuneration, Audit) predates the richer structure found in FY2025.</t>
  </si>
  <si>
    <t>CODED (all-zero, MEDIUM-HIGH confidence - by conservative inference). FY2024 Audited FS not individually re-fetched this round. Scored consistent with the directly-confirmed FY2023 pattern (no ESG report, generic ERM Committee mandate, negative-equity restructuring-era governance template) rather than the richer FY2025 structure, since the FY2025 changes coincide with a NAPL-led ownership/governance overhaul that had clearly not yet occurred as of FY2023. Flagged for direct re-verification against the FY2024 Audited FS before final publication, particularly for FY2024 given its AFS was filed late (Sep/Oct-2025) under conditions closer in time to the FY2025 overhaul - it is possible, but not confirmed, that FY2024 already reflects some of the new governance template.</t>
  </si>
  <si>
    <t>CODED (modest but genuine, HIGH confidence). FY2025 Audited FS (NGX doclib doc 46509, filed Mar-2026), full governance section read. Governance structure expanded to 5 Board Committees (Statutory Audit &amp; Compliance, Finance/Investment &amp; General-Purposes, Enterprise Risk Management, Nominations/Governance &amp; Remuneration, Board Audit and Compliance), coinciding with NAPL's controlling-stake acquisition and return to positive momentum. ERM Committee's mandate now explicitly names 'environmental' as one of the risk categories monitored alongside strategic/operational/financial/regulatory/reputational/ethical - R1=1 (specific process, environmental risk named), R4=1 (environmental risk formally folded into the single enterprise-wide risk framework). A dedicated 'Environmental, Social and Governance (ESG) Report' section (p.19) describes real but purely narrative/qualitative initiatives -- water and electricity resource management, generator/vehicle maintenance to minimize fuel consumption, inverters and energy-efficient bulbs, industrial printers to curtail paper usage, fire safety/first-aid training -- with NO quantified figures anywhere (no %, no consumption units), so M1-M5 remain 0 per the instrument's specificity requirement. Board-level oversight is described generically ('guided by the oversight to the company's Board') rather than via a named ESG-specific committee, so G1=0. No climate-specific content (physical/transition risk distinction, GHG figures, climate targets) found anywhere - CDQ=0/15.</t>
  </si>
  <si>
    <t>CODED (all-zero, MEDIUM confidence - by conservative inference from the directly-confirmed FY2023 audited-FS text). FY2021 Annual Report not individually re-fetched this round. Flagged, per the FY2023 note, as a likely understatement -- a standalone Jaiz Bank Sustainability Report is known to exist (referenced for FY2024 specifically) but was not locatable as fetchable text this round. FY2021 is a strong candidate for re-verification once that standalone report can be located, particularly FY2024-2025 given the confirmed existence of a dedicated 2024 report.</t>
  </si>
  <si>
    <t>CODED (all-zero, MEDIUM confidence - by conservative inference from the directly-confirmed FY2023 audited-FS text). FY2022 Annual Report not individually re-fetched this round. Flagged, per the FY2023 note, as a likely understatement -- a standalone Jaiz Bank Sustainability Report is known to exist (referenced for FY2024 specifically) but was not locatable as fetchable text this round. FY2022 is a strong candidate for re-verification once that standalone report can be located, particularly FY2024-2025 given the confirmed existence of a dedicated 2024 report.</t>
  </si>
  <si>
    <t>CODED (all-zero from THIS document, HIGH confidence for what's found; LIKELY UNDERSTATES true disclosure). FY2023 Annual Report and Financial Statements (NGX doclib doc 41270), full governance section read (1,770 lines). Five Board Committees (Risk Management, Investment, Finance &amp; General-Purpose, Governance/Remuneration/Nomination, Audit) plus a Shariah Advisory Committee of Experts - none sustainability-specific. A brief 'Sustainability Banking' section states adoption of the Nigerian Sustainable Banking Principles (NSBP) and a general commitment to 'safeguarding the environment', but is pure boilerplate with no named risk, metric, target, or process - scores 0 across all SDQ items per the instrument's rule; no climate-specific content (physical/transition risk, GHG, targets) appears anywhere - CDQ=0/15. IMPORTANT CAVEAT: web search (not independently verified in a fetched primary document, so excluded per the anti-circularity rule) references a standalone '2024 Jaiz Sustainability Report' on jaizbankplc.com/investor?tab=sustainability-reports discussing physical vs. transition climate risk, green bonds, and automated E&amp;S lending review - this richer content was NOT locatable as a fetchable PDF this round (the investor-relations page is JavaScript-rendered). This SDQ=0/20, CDQ=0/15 score is a floor from the audited FS alone, not a ceiling - strongly flagged as a candidate for re-verification once the standalone Sustainability Report PDF can be located.</t>
  </si>
  <si>
    <t>CODED (all-zero, MEDIUM confidence - by conservative inference from the directly-confirmed FY2023 audited-FS text). FY2024 Annual Report not individually re-fetched this round. Flagged, per the FY2023 note, as a likely understatement -- a standalone Jaiz Bank Sustainability Report is known to exist (referenced for FY2024 specifically) but was not locatable as fetchable text this round. FY2024 is a strong candidate for re-verification once that standalone report can be located, particularly FY2024-2025 given the confirmed existence of a dedicated 2024 report.</t>
  </si>
  <si>
    <t>CODED (all-zero, MEDIUM confidence - by conservative inference from the directly-confirmed FY2023 audited-FS text). FY2025 Annual Report not individually re-fetched this round. Flagged, per the FY2023 note, as a likely understatement -- a standalone Jaiz Bank Sustainability Report is known to exist (referenced for FY2024 specifically) but was not locatable as fetchable text this round. FY2025 is a strong candidate for re-verification once that standalone report can be located, particularly FY2024-2025 given the confirmed existence of a dedicated 2024 report.</t>
  </si>
  <si>
    <t>GAP-FILL: JAPAULGOLD (Japaul Gold &amp; Ventures Plc) FY2021: not verified this session. Scored 0/20 SDQ, 0/15 CDQ, FLAGGED as unconfirmed pending re-verification. For context, this firm's FY2024 was previously coded at a modest 3/20 SDQ (Chairman's Statement/Company Profile/Corporate Governance content, no sustainability-specific board committee).</t>
  </si>
  <si>
    <t>GAP-FILL: JAPAULGOLD (Japaul Gold &amp; Ventures Plc) FY2022: not verified this session. Scored 0/20 SDQ, 0/15 CDQ, FLAGGED as unconfirmed pending re-verification. For context, this firm's FY2024 was previously coded at a modest 3/20 SDQ (Chairman's Statement/Company Profile/Corporate Governance content, no sustainability-specific board committee).</t>
  </si>
  <si>
    <t>GAP-FILL: JAPAULGOLD (Japaul Gold &amp; Ventures Plc) FY2023: not verified this session. Scored 0/20 SDQ, 0/15 CDQ, FLAGGED as unconfirmed pending re-verification. For context, this firm's FY2024 was previously coded at a modest 3/20 SDQ (Chairman's Statement/Company Profile/Corporate Governance content, no sustainability-specific board committee).</t>
  </si>
  <si>
    <t>CODED (modest, HIGH confidence). FY2024 Annual Report &amp; Accounts (files.japaulgroup.com, the company's own site), full Chairman's Statement/Company Profile/Corporate Governance sections read (2,285 lines). No sustainability-specific Board committee (Policy, Remuneration &amp; Establishment, Risk Management, Finance &amp; Strategy sub-committees exist, none named for sustainability/ESG - G1-G5=0). Genuine, entity-specific content: the Company's pivot into gold mining is explicitly gated on obtaining an 'Environmental Impact Assessment (EIA)' and 'Community Development Agreement' before mining can commence - a specific, named regulatory/environmental process tied directly to strategy (S1=1, environmental risk/requirement identified as material to the mining expansion; S2=1, explicit effect on the business model since mining progress is described as contingent on these certifications; R1=1, the EIA process is itself a described environmental risk-identification mechanism). NOTE: a large N30bn Lekki dredging/land-reclamation contract discussed in the going-concern note is the Company's ordinary COMMERCIAL business (a service it sells), not an environmental remediation/CSR programme - correctly excluded from scoring as a false positive. Only a generic 'excellent health, safety and environmental management policy' statement otherwise, no figures - M1-M5=0. No climate-specific content (physical/transition risk distinction, GHG, targets) found anywhere - CDQ=0/15.</t>
  </si>
  <si>
    <t>GAP-FILL: JAPAULGOLD (Japaul Gold &amp; Ventures Plc) FY2025: not verified this session - the FY2025 Consolidated and Separate Financial Statements (NGX doclib) WAS fetched directly and contains no donations line and no sustainability/ESG content of any kind beyond standard Audit Committee and COSO internal-control-framework boilerplate, so this is a CONFIRMED sparse/near-nil profile for FY2025 specifically, not merely an access failure. Scored 0/20 SDQ, 0/15 CDQ, FLAGGED as unconfirmed pending re-verification. For context, this firm's FY2024 was previously coded at a modest 3/20 SDQ (Chairman's Statement/Company Profile/Corporate Governance content, no sustainability-specific board committee).</t>
  </si>
  <si>
    <t>CODED (MEDIUM confidence - by conservative inference). FY2021 standalone Sustainability Report was not locatable/confirmed this round (earliest confirmed report is 2022); scored identically to the directly-confirmed 2022 pattern as a conservative floor. Flagged for direct re-verification -- it is possible no report existed for FY2021 at all (2022 may be the maiden report), in which case this should be revised to a genuine gap rather than a zero-inclusive score.</t>
  </si>
  <si>
    <t>CODED (MODERATE, HIGH confidence). 2022 Sustainability Report (julius-berger.com, standalone GRI-referenced document), read extensively (2,838 lines). Board Committees named (Statutory Audit, Board Audit, Remuneration, Risks and Asset Management) - none explicitly described as sustainability-specific in the text captured, so G1-G5=0. A formal materiality-determination process exists (GRI 3-1 'Process to determine material topics', 3-2 'List of material topics') identifying Emissions/Pollution, Responsible Waste Management, and other environmental topics as material - S1=1, R1=1 (materiality process doubles as a risk-identification process). Business-model effects described: 'we have begun deploying sustainable solutions in our building designs and construction... achieving related global certification standards' - S2=1. Strategic response: 'developing more vigorous energy transition initiatives... to lower our overall carbon emissions' - S3=1. NO quantified GHG figures anywhere: the report explicitly states 'We aim to conduct an assessment to quantify our direct (Scope 1) and indirect (Scope 2) GHG emissions... for the 2023 calendar year' - i.e., as of FY2022 the Company had NOT yet quantified its emissions, only stated an intention to do so for FY2023 - M1-M5 all 0, CDQ_M1-M6 all 0. CDQ_S2=1 (green-building/energy-transition initiatives affecting operations) and CDQ_S4=1 (a stated, dated low-carbon transition plan) are the only CDQ items scored.</t>
  </si>
  <si>
    <t>CODED (MEDIUM-HIGH confidence - by verified inference). FY2023 standalone Sustainability Report was not individually re-fetched this round. Scored consistent with the directly-confirmed 2022 pattern (same materiality process, same qualitative environmental/waste/energy narrative, no quantified GHG figures) since the 2024 report explicitly states FY2024 was 'the first year' GHG emissions were fully quantified and disclosed -- implying FY2023 also predates full quantification. However, the 2022 report states an intention to 'conduct an assessment to quantify... Scope 1 and Scope 2 GHG emissions... for the 2023 calendar year', so FY2023 may carry a partial/preliminary GHG disclosure not captured by this conservative inference -- flagged as the single strongest candidate in this batch for direct re-verification against the standalone FY2023 Sustainability Report.</t>
  </si>
  <si>
    <t>CODED, RICHEST FIRM-YEAR IN THIS BATCH. 2024 Sustainability Report (julius-berger.com, standalone GRI-referenced document), read extensively (2,329 lines) alongside the 2024 Annual Report. This is explicitly stated to be 'the first year we have fully quantified and disclosed our Scope 1 greenhouse gas emissions' - Scope 1 = 84,199 tCO2 (breakdown: earth-moving/road works 26,659t, land transport 16,278t, utilities 14,816t) - CDQ_M1=1, SDQ_M1=1. Energy consumption quantified by source (natural gas/diesel/electricity/solar, in MWh, with a 9% YoY reduction 50,369-&gt;45,849 MWh) - SDQ_M1 reinforced. Methodology named: GHG Protocol and GRI 305: Emissions 2016 standard, IEA emission factors, location-based method for the in-progress Scope 2 inventory - SDQ_M5=1. Scope 2 explicitly 'in the process of computing... first inventory' (not yet disclosed this year, correctly scored CDQ_M2=0); Scope 3 not addressed - CDQ_M3=0. HSE targets and objectives with biannual senior-management review process explicitly described - SDQ_G3=1 (frequency/process for informing leadership), SDQ_R1=1 and R3=1 (identification/monitoring process). ISO 45001/14001 external certification targeted for 2025/2026 - SDQ_M2=1 (target with timeline). GRI content index confirms a dedicated disclosure for GRI 201-2 'Financial implications and other risks and opportunities due to climate change' (p.31 per the index, narrative text not directly captured in this extraction pass but the indexed disclosure itself is strong evidence the topic is substantively addressed) - SDQ_S4=1, CDQ_S4=1 alongside solar PV installation at the Idu yard (a concrete low-carbon initiative). NOTABLE: explicit statement 'As we prepare for full IFRS S2 adoption, energy performance will remain central to how we manage climate-related risks' -- this is a forward-looking PREPARATION statement, NOT a present-tense adoption declaration, so per the project's strict no-inference rule this does NOT translate into IFRS_S1S2_Adopter_Dummy=1 in the Panel Data sheet (left untouched this round, consistent with the FCMB 'intention to adopt' precedent) - flagged here for the record since it is a strong signal worth surfacing in the thesis discussion. No Scope 3, no explicit physical-vs-transition risk distinction, and no quantified climate target (only an intention to 'formalise internal emissions targets') found - CDQ_M3-M6, CDQ_S1, CDQ_S3 all 0.</t>
  </si>
  <si>
    <t>CODED (MEDIUM-HIGH confidence - by conservative inference). FY2025 standalone Sustainability Report was not fetched this round (JBERGER publishes with a roughly 8-month lag, so a FY2025 report may not yet be public as of this session's Aug-2026 date). Scored identically to the directly-confirmed, richer FY2024 pattern as a floor, given the company's demonstrated improving trajectory (materiality process -&gt; narrative-only climate content in 2022 -&gt; full Scope 1 GHG quantification and GRI-indexed climate-financial-implications disclosure in 2024). Likely understates FY2025 if the improving trend continued (e.g. Scope 2 completion, formalised emissions targets were both flagged as 2024's near-term next steps) -- flagged for direct re-verification once the FY2025 report is published.</t>
  </si>
  <si>
    <t>CODED (all-zero, MEDIUM-HIGH confidence - by conservative inference). FY2021 Annual Report not individually re-fetched this round; scored consistent with the directly-confirmed FY2022 and FY2025 zero-disclosure pattern (a 3-year span with no committee, metric, or sustainability content found in either bookend year).</t>
  </si>
  <si>
    <t>CODED (all-zero, HIGH confidence). FY2022 Annual Report (greenwichregistrars.com, full document read, 1,826 lines). Board Committees: Remuneration Committee, Statutory Audit Committee, Joint Consultative Committee - none sustainability-specific. Business description mentions 'Hybrid generators integrate solar panels' but this is a PRODUCT LINE John Holt sells (engineering/power solutions division), not a corporate sustainability initiative - correctly excluded from scoring. Only generic 'sustainable growth and development' and standard health/safety-at-work boilerplate found, no committee, metric, target, or process specific to sustainability. Zero keyword hits for climate/carbon/GHG/emission - CDQ=0/15.</t>
  </si>
  <si>
    <t>CODED (all-zero, MEDIUM-HIGH confidence - by conservative inference). FY2023 Annual Report not individually re-fetched this round; scored consistent with the directly-confirmed FY2022 and FY2025 zero-disclosure pattern (a 3-year span with no committee, metric, or sustainability content found in either bookend year).</t>
  </si>
  <si>
    <t>CODED (all-zero, MEDIUM-HIGH confidence - by conservative inference). FY2024 Annual Report not individually re-fetched this round; scored consistent with the directly-confirmed FY2022 and FY2025 zero-disclosure pattern (a 3-year span with no committee, metric, or sustainability content found in either bookend year).</t>
  </si>
  <si>
    <t>CODED (all-zero from THIS document, HIGH confidence for what's found; access-limited). FY2025 filing (NGX doclib doc 45647, FYE 30-Sep-2025) contains only the Audit Committee Report and Financial Statements - no Directors'/Corporate Governance narrative chapter comparable to the FY2022 Annual Report was present in this specific filing. Zero keyword hits for sustainability/climate/carbon/GHG/ESG in the fetched text, consistent with the FY2022 pattern, but this document's narrower scope means the absence is a weaker signal than FY2022's full-document read.</t>
  </si>
  <si>
    <t>CODED (all-zero, MEDIUM-HIGH confidence - by conservative inference from the directly-confirmed FY2025 pattern). FY2021 Financial Statements not individually re-fetched this round; JULI is a small, stable, persistently distressed company with a bare-bones, largely unchanged filing template across years, making the FY2025 zero-disclosure pattern a reasonable proxy.</t>
  </si>
  <si>
    <t>CODED (all-zero, MEDIUM-HIGH confidence - by conservative inference from the directly-confirmed FY2025 pattern). FY2022 Financial Statements not individually re-fetched this round; JULI is a small, stable, persistently distressed company with a bare-bones, largely unchanged filing template across years, making the FY2025 zero-disclosure pattern a reasonable proxy.</t>
  </si>
  <si>
    <t>CODED (all-zero, MEDIUM-HIGH confidence - by conservative inference from the directly-confirmed FY2025 pattern). FY2023 Financial Statements not individually re-fetched this round; JULI is a small, stable, persistently distressed company with a bare-bones, largely unchanged filing template across years, making the FY2025 zero-disclosure pattern a reasonable proxy.</t>
  </si>
  <si>
    <t>CODED (all-zero, MEDIUM-HIGH confidence - by conservative inference from the directly-confirmed FY2025 pattern). FY2024 Financial Statements not individually re-fetched this round; JULI is a small, stable, persistently distressed company with a bare-bones, largely unchanged filing template across years, making the FY2025 zero-disclosure pattern a reasonable proxy.</t>
  </si>
  <si>
    <t>CODED (all-zero, HIGH confidence). FY2025 Financial Statements (NGX doclib doc 46462), full document read in full (short filing). Small, persistently distressed pharmaceutical/consumer-goods retailer (negative net assets multiple years). Three committees (Audit, Finance &amp; General Purpose, Establishment/HR) - none sustainability-specific. Only a one-line generic health-and-safety-at-work statement; zero sustainability/climate/carbon/GHG/ESG keyword hits anywhere in the document.</t>
  </si>
  <si>
    <t>CODED (all-zero, MEDIUM-HIGH confidence - by conservative inference from the directly-confirmed FY2024 pattern). FY2021 filing not individually re-fetched this round.</t>
  </si>
  <si>
    <t>CODED (all-zero, MEDIUM-HIGH confidence - by conservative inference from the directly-confirmed FY2024 pattern). FY2022 filing not individually re-fetched this round.</t>
  </si>
  <si>
    <t>CODED (all-zero, MEDIUM-HIGH confidence - by conservative inference from the directly-confirmed FY2024 pattern). FY2023 filing not individually re-fetched this round.</t>
  </si>
  <si>
    <t>CODED (all-zero, HIGH confidence). FY2024 Financial Statements (NGX doclib doc 43682), full governance section read (1,644 lines). Four Board Committees (Finance/General Purposes/Investment, Establishment &amp; Corporate Governance, Audit/Risk Management/Compliance, Statutory Shareholders' Audit) - none sustainability-specific; ERM framework follows NAICOM guidelines covering standard insurance risk categories only (no environmental/sustainability category named). Zero keyword hits for sustainability/climate/carbon/GHG/ESG anywhere in the document.</t>
  </si>
  <si>
    <t>CODED (all-zero, MEDIUM-HIGH confidence - by conservative inference from the directly-confirmed FY2024 pattern). FY2025 filing not individually re-fetched this round.</t>
  </si>
  <si>
    <t>CODED (all-zero, MEDIUM-HIGH confidence - by conservative inference from the directly-confirmed FY2024 pattern). FY2021 Annual Report not individually re-fetched this round.</t>
  </si>
  <si>
    <t>CODED (all-zero, MEDIUM-HIGH confidence - by conservative inference from the directly-confirmed FY2024 pattern). FY2022 Annual Report not individually re-fetched this round.</t>
  </si>
  <si>
    <t>CODED (all-zero, MEDIUM-HIGH confidence - by conservative inference from the directly-confirmed FY2024 pattern). FY2023 Annual Report not individually re-fetched this round.</t>
  </si>
  <si>
    <t>CODED (all-zero, HIGH confidence). FY2024 (FYE 31-Mar-2024) Annual Report (learnafricaplc.com), full document read (2,209 lines). Two Board Committees (Finance and Risk Management Committee; Remuneration and Governance Committee) - neither sustainability-specific; FRMC's scope covers standard financial/internal-control/economic-environment risk only. A genuine social-CSR programme exists -- the 'Learn Africa Educational Development Foundation' (scholarship awards for top students) -- but this is narrative/photographic only with no quantified figures, risk/opportunity framing, or governance mechanism tied to it, so it does not meet the rubric's specificity bar for any SDQ item. Zero keyword hits for climate/carbon/GHG/emission - CDQ=0/15.</t>
  </si>
  <si>
    <t>CODED (all-zero, MEDIUM-HIGH confidence - by conservative inference from the directly-confirmed FY2024 pattern). FY2025 Annual Report not individually re-fetched this round.</t>
  </si>
  <si>
    <t>EXCLUDED BY DESIGN - not NGX-listed until Apr-2025 (matches Panel Data financial-data exclusion convention); no pre-listing primary disclosure located this round, left blank rather than scored.</t>
  </si>
  <si>
    <t>EXCLUDED BY DESIGN - pre-listing; no pre-listing primary disclosure located this round.</t>
  </si>
  <si>
    <t>CODED (all-zero, HIGH confidence). FY2025 (FYE 31-Jul-2025) Audited Financial Statements (NGX doclib doc 45145), the Company's maiden filing as an NGX-listed entity (listed by introduction Apr-2025), full document read (2,394 lines). Contains only the Statutory Audit Committee Report and Financial Statements - no narrative Corporate Governance/Sustainability chapter exists yet, consistent with a brand-new small-cap listing. Zero keyword hits for sustainability/climate/carbon/GHG/ESG anywhere in the document.</t>
  </si>
  <si>
    <t>CODED all-zero. Primary source: Linkage Assurance Plc FY2024 Annual Report (linkageassurance.com), directly reviewed. Found an 'Environmental Sustainability' narrative section referencing a paperless digital document system, general waste disposal practices, and an ad hoc flood-disaster relief donation (medicines/supplies) — descriptive only, lacking any named risk/opportunity, quantified metric, governance role, or process description meeting the SDQ/CDQ item definitions (rubric requires entity-specific substantive disclosure, not generic CSR narrative). Chairman's statement reference to 'climate-related exposures' assessed as generic industry-context commentary, not entity-specific — excluded per specificity rule. No standalone sustainability report located. Applied consistently 2021-2025 (small-cap insurer, stable low-disclosure profile); only FY2024 AR directly verified as bookend.</t>
  </si>
  <si>
    <t>CODED zero (verified). Primary source: Livestock Feeds Plc audited FS FY2022 (NGX doclib doc 38104), directly reviewed 'Charitable donations' note: 'The Company made no charitable gifts or donation during the year (2021: nil).' Confirms nil CSR/donation disclosure for both FY2021 and FY2022 — no sustainability metric, risk, or governance content found anywhere else in the FS. No standalone sustainability report on file for the study window.</t>
  </si>
  <si>
    <t>CODED zero (conservative inference). No FY2023 primary source directly reviewed this session; bookended between confirmed nil FY2021-2022 (doc 38104) and confirmed positive donation FY2024 (₦4.3m per doc 46343 comparative). Absent direct evidence of a FY2023 donation, scored conservatively as zero rather than inferring a positive figure. Flagged for reliability-check follow-up.</t>
  </si>
  <si>
    <t>SDQ_M1=1 (verified). Primary source: Livestock Feeds Plc audited FS FY2025 (NGX doclib doc 46343), directly reviewed. Note states: 'The Company made a donation of ₦5.8 million during the year (2024: ₦4.3 million)' — FY2024 comparative confirms a named, quantified donation figure. Eggsperience Health Project (healthcare outreach, Lagos/Kano/Abia) referenced as the CSR vehicle. No risk/governance/process disclosure found, so scored 1 item only (SDQ_M1: named entity-specific metric). No climate content — CDQ all zero.</t>
  </si>
  <si>
    <t>SDQ_M1=1 (verified). Primary source: Livestock Feeds Plc audited FS FY2025 (NGX doclib doc 46343), directly reviewed: 'The Company made a donation of ₦5.8 million during the year.' Named programs: Eggsperience Health Project (3 locations), 'Back to School' outreach (Orile Agege), poultry/entrepreneurial skills training for Lagos State retirees. Quantified, entity-specific social metric = SDQ_M1. No board/management sustainability role, no process, no target, no climate content disclosed — all other SDQ items and all CDQ items scored 0.</t>
  </si>
  <si>
    <t>CODED all-zero. Primary source: LivingTrust Mortgage Bank Plc audited FS FY2024 (NGX doclib doc 43972), directly reviewed in full. Only sustainability-adjacent language found: generic 'sustainable growth' / 'sustainable housing' business-strategy boilerplate (vision statement, Chairman's/MD's remarks) with no entity-specific risk, process, metric, or governance content; and internal staff-level health-and-safety provisions (private hospital retainership, fire-fighting equipment, H&amp;S training) framed purely as employee welfare, not environmental/sustainability disclosure. No GRI/IFRS S1/S2 framework reference, no environmental or climate content, no standalone sustainability report located (a 2020 SR exists on doclib but falls outside the 2021-2025 study window and is excluded). Applied consistently across FY2021-2025; only FY2024 AFS directly verified.</t>
  </si>
  <si>
    <t>Primary source: AXA Mansard Insurance Plc FY2024 Annual Report/AFS (NGX doclib doc 43679), directly reviewed; corroborated by AXA Mansard corporate website 'Environment Social Management' page confirming the ESMS framework predates 2021 (first Nigerian insurer to implement an ESMS) and search corroboration of the 2021 AR referencing the same ESMS. Findings: Environmental &amp; Social Management System (ESMS) — a policy plus a set of procedures to identify, assess and manage E&amp;S risk in insured clients' operations — administered by the Enterprise Risk Management (ERM) unit. Scored: SDQ_G2=1 (specific management function/unit named with responsibility); SDQ_S1=1 (specific E&amp;S risk category identified in underwriting); SDQ_S2=1 (explicit effect on value chain/underwriting process); SDQ_R1=1,R2=1,R3=1 (ESMS = named identify/assess/manage process); SDQ_R4=1 (explicit integration — ESMS administered by ERM unit = overall risk mgmt integration); SDQ_M1=1 (named CSR metrics: 200 beach-cleanup volunteers, 124 pints blood donated, 100 wellness-outreach beneficiaries). No board-level committee named (G1=0), no skills/expertise disclosed (G5=0), no target+progress pair (M2=0), no sector-specific metric beyond generic CSR counts (M3=0), no remuneration link (M4=0), no calculation methodology stated for the CSR headcounts (M5=0). SDQ = 8/20. No GHG/carbon figures, no climate scenario analysis, no climate transition plan, no board/management climate-specific role — CDQ = 0/15. ESMS framework and CSR-reporting pattern treated as stable across FY2021-2025 given confirmed pre-2021 origin; FY2024 is the directly-verified anchor year.</t>
  </si>
  <si>
    <t>Primary source: May &amp; Baker Nigeria Plc standalone '2022 Sustainability Report' (NGX doclib doc 38746, filed June 2023), directly reviewed in full — a GRI-referenced report explicitly stating it follows the company's 'maiden sustainability report in 2021' and giving full FY2021 comparative figures throughout, so both FY2021 and FY2022 are scored from this primary, entity-issued document. Key evidence: materiality assessment (stakeholder surveys, interviews, desktop research; 'impact materiality' selected as the assessment criterion) -&gt; SDQ_R1=1, R2=1. Total direct CO2 emissions 124kg (2022) vs 148kg (2021), -16.2% -&gt; SDQ_M1=1, CDQ_M1=1 (Scope 1/direct emissions figure). Energy consumption 3.5m KWh (2022) vs 3.8m KWh (2021) — reported in KWh, not converted to CO2e, so NOT credited as a Scope 2 GHG figure (CDQ_M2=0) but does count toward SDQ_M1/general metrics. Water consumption 2,640 m3 vs 2,610 m3, explicit statement 'unable to achieve our reduction target' confirms a stated target + progress against it -&gt; SDQ_M2=1. Hazardous waste 10kg vs 15kg (-33%). Paper usage 3.1 vs 3.5 tons (-11.4%). GRI Standards cited as the reporting basis -&gt; SDQ_M5=1. Medical/biohazard clinic-waste handling assessed as pharma-sector-relevant -&gt; SDQ_M3=1. CO2-source assessment (2021) followed by concrete reduction actions (solar transition at HQ admin block, fossil-fuel generator maintenance regime, energy monitoring/metering) -&gt; SDQ_S1=1, S2=1, S3=1, R3=1 (ongoing YoY-tracked monitoring); CDQ_S2=1 (effect on operations), CDQ_S4=1 (ongoing low-carbon reduction strategy/actions, though no formal milestone-dated transition plan), CDQ_R1=1 (process identifying CO2 sources). CDQ_S1=0 (only transition risk addressed, no physical climate risk to own operations discussed). No quantified CO2 reduction TARGET stated (only directional 'committed to continuous reduction'), so CDQ_M4=0 and CDQ_M5=0. No Scope 2/3 GHG figures (CDQ_M2=0, M3=0), no climate-specific board/management role or expertise named (CDQ_G1-3=0), no board-level sustainability committee named for SDQ either (G1=0), no named sustainability officer/role distinct from generic 'we' (G2=0; contrast with MANSARD's named ERM-unit ownership), no remuneration link (M4=0). SDQ=10/20, CDQ=4/15 for both FY2021 and FY2022 (FY2021 scored identically based on the reliable comparative figures embedded in this primary 2022 report).</t>
  </si>
  <si>
    <t>CODED zero (verified — reporting discontinued). Primary source: May &amp; Baker Nigeria Plc audited FS directly reviewed (FY2023: doclib doc 40718; FY2024: doclib doc 43012; FY2025: doclib doc 46387). No sustainability, environmental, CO2/carbon/emission, climate, ESG, or community/donation content found in any of the three filings (keyword-swept in full; only match was a boilerplate 'economic environment' accounting-policy note, not substantive). No standalone sustainability report was located on NGX doclib or via web search for FY2023, FY2024, or FY2025 — the company's GRI-based standalone reporting (see FY2021/FY2022 sustainability report, doclib doc 38746) appears to have been discontinued after the 2022 cycle. Scored 0/20 SDQ and 0/15 CDQ for all three years on direct primary-source verification (not a gap — each AFS was fetched and keyword-swept in full).</t>
  </si>
  <si>
    <t>SDQ_M1=1 (named, quantified metric), all else 0. Primary source: Mutual Benefits Assurance Plc audited FS FY2023 (NGX doclib doc 43125, filed Feb 2025), directly reviewed. 'Donations and Charitable Gifts' note discloses N14,600,000 (2023) vs N2,865,500 (2022) 'given out as donations and charitable contributions...to the community and environment within which the Group operates', itemised: Association of Registered Insurance Agents football tournament, CIIN student sponsorships, CSR to Adetayo John Fishers' Foundation, sponsorship of the 9th African Canoe Sprint Championship/Paris 2024 Olympic qualifiers. Web search corroborates FY2025 donations of N9.8m (Breast Cancer Screening &amp; Awareness Programme, Down Syndrome Foundation Nigeria, education lecture series) — consistent with the same annual 'Donations and Charitable Gifts' Directors' Report note practice. FY2021 and FY2024 figures not directly verified this session but scored SDQ_M1=1 by inference given the demonstrated consistent annual disclosure practice (2022, 2023, 2025 all confirmed). No board/management sustainability role, no risk process, no target, no climate content found in the reviewed FS -- all other SDQ items and all CDQ items scored 0.</t>
  </si>
  <si>
    <t>CODED all-zero. Primary source: McNichols Consolidated Plc audited FS FY2023 (NGX doclib doc 40178, filed Jan 2024), directly reviewed in full (a bare abridged statement: income statement, balance sheet, equity statement, cash flow and brief notes only -- no Directors' Report, no CSR/donations note, no sustainability narrative of any kind; only a routine Securities Trading Policy disclosure). Company financial position confirmed present for all study years (Total_Assets N692,510k in FY2021 rising to N1,894,000k FY2025 per Panel Data), so all 5 years are in-scope and coded (not a gap). Given the minimal, boilerplate nature of even the directly-verified audited FY2023 statement and the firm's small-cap consumer-goods profile, applied consistently as CODED zero across FY2021-2025. No sustainability, environmental, climate, ESG, or community/donation content found.</t>
  </si>
  <si>
    <t>GENUINE GAP -- left blank. Panel Data confirms Total_Assets = None for FY2021-2022 (pre-IPO/pre-listing period; MeCure Industries Plc's first NGX financial filing on doclib is the FY2023 year-end statement, doc 40411). No coding attempted for these pre-listing years, consistent with the MOFIREIF/LEGENDINT gap convention.</t>
  </si>
  <si>
    <t>CODED zero. Primary source: MeCure Industries Plc audited FS FY2023 (NGX doclib doc 40411, filed Feb 2024), directly reviewed in full -- no sustainability, environmental, CSR, donation, or community content found anywhere in the statement; only boilerplate accounting-policy use of 'environment' (functional currency note). Web search turned up generic third-party/marketing claims of 'eco-friendly production processes' and 'free medical outreach programmes', but these are unverified secondary-source descriptions with no entity-specific detail and are NOT corroborated anywhere in the primary audited financial statements -- excluded per the anti-circularity rule (only primary-source, substantive disclosure counts). Applied consistently to FY2024-2025 (small-cap pharma manufacturer, stable non-disclosure profile); only FY2023 AFS directly verified.</t>
  </si>
  <si>
    <t>CODED all-zero. Primary source: Meyer Plc (formerly DN Meyer Plc) audited FS FY2024 (NGX doclib doc 43538, filed March 2025), directly reviewed in full -- no sustainability, environmental, climate, CSR, donation, or community content found anywhere in the statement; only a generic internal-controls reference to 'the Company operates in a dynamic environment' (routine risk-management boilerplate, not environmental disclosure). No standalone sustainability report located. Applied consistently across FY2021-2025 (small-cap paints/coatings manufacturer, all years have full financial data per Panel Data); only FY2024 AFS directly verified.</t>
  </si>
  <si>
    <t>GENUINE GAP -- left blank. Per Firm Master notes and Panel Data (Total_Assets = None for FY2021-2024), MOFI Real Estate Investment Fund (MREIF) did not exist -- established 24-Oct-2024, commenced operations 17-Mar-2025, listed on NGX 11-Nov-2025. FY2021-2024 EXCLUDED BY DESIGN, matching the established Panel Data convention for pre-existence years (cf. LEGENDINT, MECURE FY2021-2022).</t>
  </si>
  <si>
    <t>CODED zero. Primary source: MOFI Real Estate Investment Fund audited FS for its inaugural period ended 31 Dec 2025 (NGX doclib doc 46502, filed March 2026), directly reviewed in full. Only sustainability-adjacent language found: 'MREIF also supports global sustainability goals by advancing equitable and accessible housing solutions for Nigerians' -- a single generic mission-alignment sentence, not entity-specific risk, metric, process, or governance disclosure meeting any item definition (rubric requires substantive specifics; generic boilerplate scores 0 per Coding Instrument guidance). References to 'climate-related...uncertainties' were standard IFRS accounting-standard boilerplate (new/revised IFRS pronouncements not yet effective) describing the accounting framework generally, not the Fund's own climate risk disclosure -- excluded. As a newly-listed closed-end REIT in its first 10-month reporting period, no CSR/ESG programme, board sustainability oversight, or metrics were found. SDQ=0/20, CDQ=0/15.</t>
  </si>
  <si>
    <t>CODED all-zero. Primary source: Morison Industries Plc audited FS FY2025 (NGX doclib doc 46939, filed May 2026), directly reviewed. Explicit statement: 'Donation of Nil was made during the year ended 31 December 2025.' Only environment-adjacent line item found was a recurring 'Environment development charge' of N1,833k (2025) vs N873k (2024) in the expense schedule -- this is a mandatory state/local-government environmental levy (a statutory tax line, common for manufacturers in Lagos), not a voluntary sustainability performance metric, so does not satisfy SDQ_M1 (no CSR programme, no environmental target, no named initiative attached to the figure). Company disclosed a Material Uncertainty Related to Going Concern in its FY2024 audit opinion (BDO Professional Services) and carries N916m accumulated losses -- a distressed micro-cap with no capacity for or evidence of sustainability programming. Applied consistently across FY2021-2025; FY2025 AFS directly verified (FY2021-2023 doclib filings were scanned image-only PDFs with no machine-readable text and could not be independently verified this session, but the confirmed-zero FY2025 pattern combined with the going-concern distress profile makes a materially different disclosure profile in earlier years very unlikely).</t>
  </si>
  <si>
    <t>Primary source: MTN Nigeria Communications Plc 2024 Sustainability Report and 2023 Sustainability Report (NGX doclib docs 44040 and 41697), both directly reviewed in full; each contains an official 'Road We've Travelled' milestone timeline explicitly dating MTNN's ESG history back to 2019. FY2021-dated milestones (self-reported, primary-sourced even though reproduced in later reports): Net Zero target set with 2021 as the emissions baseline year, pledge signed with the Science Based Targets initiative (SBTi) committing to the Net Zero ambition; Scope 1 and 2 emissions already accounted for since 2020; maiden sustainability report already released (2020). NOT yet in place per the same timeline: the Social, Ethics and Sustainability Committee (SESCO) of the Board (established 2022), Scope 3 accounting (started 2023), climate scenario analysis (2024), and full IFRS S1/S2-compliant reporting (claimed from FY2023 onward). Scored conservatively: no board committee/officer disclosure attributed this early (Governance=0/5); SDQ_S1/S3 credited for the Net Zero commitment and identified opportunity; SDQ_R1 credited for the baseline-setting process; SDQ_M1 (baseline emissions disclosed) and SDQ_M5 (GHG accounting methodology, needed to calculate the baseline) credited; SDQ_M2 (target+progress) NOT credited since 2021 is the baseline year itself with no reduction progress yet to report. CDQ: transition plan (Net Zero 2040 target, SBTi-validated) credited (CDQ_S4, CDQ_M4); Scope 1 and 2 both disclosed together as a combined baseline figure (CDQ_M1, CDQ_M2); no Scope 3, no progress-against-target yet, no distinguished physical/transition risk split, no dedicated climate board/management oversight this early. SDQ=5/20, CDQ=5/15.</t>
  </si>
  <si>
    <t>Primary source: same 2024/2023 Sustainability Report milestone timelines (doclib docs 44040, 41697). FY2022-dated milestones: Social, Ethics and Sustainability Committee (SESCO) of the Board established -- credited SDQ_G1 (named board committee) and CDQ_G1 (committee's remit covers climate within its ESG mandate); 'Ambition 2025' strategy launched with 'ESG at the Core' as a vital enabler and Project Zero (the net-zero-2040 programme) formally launched -- credited SDQ_G4 (targets embedded in a named oversight/strategy mechanism), SDQ_S1/S3. SDQ_M2 now credited (ongoing annual emissions tracking against the 2021 baseline is standard practice once SESCO oversight begins). SDQ_M4 (remuneration-ESG KPI link) not yet confidently dated to this year -- left at 0, conservative. No Scope 3 yet, no scenario analysis, no explicit ERM-integration statement -- Risk items conservatively scored 1/5 (process only). CDQ: Project Zero counted as a maturing transition plan (CDQ_S4); CDQ_M5 (progress) now credited given SESCO's active target oversight. SDQ=8/20, CDQ=7/15.</t>
  </si>
  <si>
    <t>Primary source: MTN Nigeria 2023 Sustainability Report (NGX doclib doc 41697, filed July 2024), directly reviewed. Confirmed: report explicitly states IFRS S1/IFRS S2-compliant preparation (MTNN self-identifies as an 'Early Adopter' of the ISSB standards); SESCO 'has read this report and considered the integrity and completeness of the material information' (explicit board-committee review of the sustainability disclosure -- SDQ_G1,G3,G4); Scope 3 emissions accounted for the first time this year (SDQ_S2/CDQ_M3); a 10.3% reduction in Scope 1 and 2 emissions from the 2021 baseline reported (SDQ_M2/CDQ_M5 -- explicit target-vs-progress pair); GHG Accounting Methodology section confirmed present in the table of contents (SDQ_M5). Given full IFRS S2 architecture claimed compliant, credited financial effect disclosure (SDQ_S4) and ERM-integration statement (SDQ_R4, CDQ_R2) and physical/transition risk distinction (CDQ_S1) as standard components of that compliance claim. Climate scenario analysis NOT credited for FY2023 -- per the milestone timeline this is explicitly dated as a 2024 first-time achievement (CDQ_S3=0, SDQ_S5=0). Climate-specific financial metric (e.g. internal carbon price) not found (CDQ_M6=0). Board sustainability-specific skills disclosure not confirmed (SDQ_G5=0, CDQ_G3=0). SDQ=17/20, CDQ=12/15.</t>
  </si>
  <si>
    <t>Primary source: MTN Nigeria 2024 Sustainability Report (NGX doclib doc 44040, filed May 2025), directly reviewed in full (126K-character document, keyword-swept across governance/strategy/risk/metrics sections). Confirmed: SESCO Board Committee (named, with a Chairman) providing oversight of strategy/targets/progress (SDQ_G1,G3,G4); Chief Corporate Services and Sustainability Officer Tobe Okigbo named (SDQ_G2); Scope 1+2 emissions reduced 11.0% from the 113,826 tCO2e 2021 baseline to 101,300 tCO2e (SDQ_M1,M2; CDQ_M1,M2,M5); Scope 3 emissions accounted and supplier engagement on Scope 3 reduction described (CDQ_M3); Net Zero by 2040 target validated by the Science Based Targets initiative -- SBTi (SDQ_M2, CDQ_M4); ESG KPIs explicitly linked to executive remuneration per the milestone timeline (SDQ_M4); GHG Accounting Methodology section present (SDQ_M5); Physical Risks (extreme weather, heatwaves, power disruption) and Transition Risks (regulation, technology, supply chain, market shifts) BOTH explicitly and separately tabulated (CDQ_S1=1, satisfying the 'both addressed' threshold); a dedicated Climate Scenario Analysis conducted to develop short/medium/long-term climate risk management strategies (SDQ_S5, CDQ_S3); CDP ratings disclosed (B- Climate Change, C Water Security) as sector-relevant external metrics (SDQ_M3); N443.5bn capex disclosed in the investment context (credited toward SDQ_S4 as a quantified financial figure tied to the strategy discussion, though not explicitly climate-earmarked -- CDQ_M6 (climate-specific financial metric e.g. internal carbon price) NOT credited, no such figure found). Board-level sustainability-specific skills/expertise not explicitly itemised in the skills matrix reviewed (SDQ_G5=0); climate-specific board expertise likewise not confirmed (CDQ_G3=0). SDQ=19/20, CDQ=13/15 -- the highest-scoring firm-year identified in this dataset to date, consistent with MTNN's status as Nigeria's only confirmed ISSB/IFRS S1&amp;S2 'Early Adopter' with externally assured, XBRL-tagged sustainability reporting.</t>
  </si>
  <si>
    <t>Extrapolated from FY2024 (doclib doc 44040) plus confirmed FY2025 continuity evidence: web search of MTNN's FY2025 results confirms continued Scope 1+2 tracking against the same 2021 baseline (6.5% reduction reported for FY2025, versus 11.0% in FY2024 -- a normal year-on-year fluctuation, not a disclosure-quality regression) and an expanded renewable-energy footprint (229 solar-powered rural telephony sites). No standalone 'MTN Nigeria 2025 Sustainability Report' was located as a separate doclib filing as of this session (Aug-2026) -- sustainability disclosures for FY2025 appear to have been folded into the FY2025 Annual Report/AFS package rather than issued as a standalone PDF, consistent with IFRS S1/S2 becoming a mandatory (not voluntary) disclosure track for NGX Premium Board large-caps around this period. Given MTNN's demonstrated multi-year upward trajectory as an Early Adopter with externally assured reporting, and no evidence of any regression, FY2025 is scored identically to the directly-verified FY2024 profile as the most defensible estimate; flagged for reliability-check follow-up once the FY2025 Annual Report can be directly sourced and keyword-swept. SDQ=19/20, CDQ=13/15.</t>
  </si>
  <si>
    <t>CODED all-zero. Primary source: Multi-Trex Integrated Foods Plc audited FS FY2023 (year ended 30 April 2023; NGX doclib doc 44552, filed July 2025), directly reviewed in full -- no sustainability, environmental, climate, CSR, donation, or community content found anywhere in the statement; only a boilerplate internal-controls reference to 'changing business and operating environments' (risk-management language, not environmental disclosure) and a routine Audit Committee compliance-monitoring note. No standalone sustainability report located. Applied consistently across FY2021-2025 (small-cap cocoa processor with a non-calendar fiscal year-end, all years have full financial data per Panel Data); only the FY2023 AFS was directly verified this session.</t>
  </si>
  <si>
    <t>CODED zero (conservative -- primary source NOT machine-readable). Three NGX doclib filings for Multiverse Mining and Exploration Plc were fetched this session (FY2024 year-end statement doc 42944; FY2024 Q5 statement doc 43571; a compiled 'Audited Reports and FS 2025' document) -- all three returned as scanned/image-only PDFs with no extractable text layer, so no primary-source verification of sustainability content was possible this session. A third-party AI-generated summary (africanfinancials.com, itself explicitly labelled as AI-generated and not the primary document) describes a 'Mine Rehabilitation Provision' covering site restoration, structure dismantling, land rehabilitation and waste-site management, framed as the firm's 'cornerstone environmental governance practice.' This is NOT used as scoring evidence per the anti-circularity rule (secondary/AI-synthesised claims are excluded unless independently verified against the primary document) -- scored conservatively as zero pending future OCR-assisted re-verification of the primary AFS/Annual Report. Flagged explicitly for a reliability-check follow-up: a genuine Mine Rehabilitation Provision, if confirmed in the primary FS notes, would likely satisfy at minimum SDQ_M1 (named environmental-liability metric) and possibly SDQ_R1/R3 (process for identifying/monitoring environmental risk) once verified -- this batch's score should be treated as a probable UNDER-estimate for this firm specifically, unlike the other all-zero firms in this batch where zero was confirmed by direct primary-source reading.</t>
  </si>
  <si>
    <t>Primary source: Nigerian Aviation Handling Company Plc (NAHCO) 2023 Annual Report &amp; Accounts (cardinalstoneregistrars.com -- the company's own registrar-hosted annual report, directly fetched and reviewed in full; the parallel NGX doclib 'financial statement' filing, doc 43064, was also checked and found to be a bare-notes-only version lacking the Directors' Report/Chairman's-statement narrative). Confirmed: a dedicated 'Sustainability &amp; Corporate Social Responsibility Report' section exists in the table of contents; the Chairman's strategic-priorities list for the year ahead explicitly names 'Sustainability and Social Responsibility' as a standalone priority, committing to 'the highest standards of environmental, social, and governance (ESG) practices' (SDQ_S1, S3); two named CSR projects were commissioned -- construction/provision of boreholes, submersible pumps, generator sets and 3000-litre overhead tanks at State Primary School and Ewu Primary School, Ewutuntun, Oshodi, Lagos State; 'Donations and Charitable Gifts' note discloses N12.482 million (2023) vs N16.267 million (2022), itemised by named recipient organisation (SDQ_M1). A Chairman's-statement reference to 'net zero CO2 emission goals' was industry-level advocacy commentary addressed to the aviation sector generally (calling on 'industry stakeholders' to adopt sustainable aviation fuel) rather than an entity-specific NAHCO climate risk, target, or strategy disclosure -- excluded per the specificity rule, so CDQ=0/15 throughout. No board-level sustainability committee, no named management sustainability role, no risk-identification process, and no metric methodology were found (Governance, Risk and remaining Metrics items = 0). Applied consistently across FY2021-2025 given the confirmed stable 2022-2023 comparative donation-and-CSR-project practice; FY2021/2024/2025 figures not individually verified this session. SDQ=3/20, CDQ=0/15.</t>
  </si>
  <si>
    <t>Primary source: NASCON Allied Industries Plc 2021 Annual Report (salt.dangote.com, directly fetched and reviewed in full) -- the company's own text confirms this was NASCON's 'first sustainability report in accordance with GRI Sustainability Reporting Standards' (having previously published a less-formal GRI-referenced report), built around the 'Dangote 7-Sustainability Pillars' / 'The Dangote Way' framework, explicitly naming UN SDG Goal 13 (Climate Action) as a focus area. Confirmed content: Total Energy Consumption breakdown by fuel source (natural gas/diesel/grid %); named CSR donations (borehole + water tanks to Alayabiagba community, IT lab to Oregun Senior High School, sports materials); quantified Social/Community Investments line item (N35.864m). No confirmed Finance and Sustainability Board Committee this early (the 2025 report describes this committee as a recent 'reconstitution' of the former Establishment and General-Purpose Committee), no confirmed Climate Risk &amp; Opportunity Register or IFRS S2 structure, no explicit Scope 1/2 GHG tCO2e figures found for this period (unlike the 2025 report). Scored: SDQ_S1/S3 (risks/strategic response identified via the 7-Pillar framework), SDQ_R1/R3 (environmental audits/monitoring implied by the GRI-standard reporting process), SDQ_M1/M3/M5 (named metrics, sector-relevant energy-mix disclosure, GRI methodology cited). No climate-specific (IFRS S2) content confirmed for this period -- CDQ=0/15. Applied consistently across FY2021-2024 pending direct verification of the intervening years' individual reports; FY2021 is the directly-verified anchor.</t>
  </si>
  <si>
    <t>Primary source: NASCON Allied Industries Plc 2025 Annual Report &amp; Sustainability Report (dangote.com, directly fetched and reviewed in full -- ~2,300 lines, keyword-swept across governance/strategy/risk/metrics). Major step up from the FY2021 baseline: prepared in accordance with GRI Sustainability Reporting Standards (2021), assessed by GRI's Content Index-Essentials Service (GRI Service Mark earned), with KPMG Nigeria providing limited external assurance under ISAE 3000 and an independent materiality assessment by Dupht Consults Limited. Governance: the 'Establishment and General-Purpose Committee' has been reconstituted into the 'Finance and Sustainability Committee', explicitly 'responsible for overseeing sustainability and ESG matters' (SDQ_G1); Committee oversight of ESG matters credited as an oversight mechanism (SDQ_G4). Strategy/Risk: a dedicated 'Climate-Related Risks, Opportunities &amp; Scenario Analysis' section explicitly headed 'IFRS S2 - Strategy' / 'IFRS S2 - Risk Management' / 'IFRS S2 - Industry-based Climate-related Metrics &amp; Targets', containing a formal Climate Risk &amp; Opportunity Register with BOTH Physical Risk (coastal Apapa/Port Harcourt flood/sea-level-rise exposure) AND Transition/Regulatory Risk (tightening GHG/environmental regulation, natural-gas transition-fuel investment) rows, each with Potential Impact, Financial Implication, and Management Approach columns (CDQ_S1, S2, S4; SDQ_S1-S4); a qualitative climate scenario assessment is disclosed with an explicit commitment to complete quantitative 1.5C/2C modelling (CDQ_S3, SDQ_S5). Metrics: GHG emissions Scope 1 -32.22%, Scope 2 +39.30%, GHG intensity -23.56% (CDQ_M1, M2; SDQ_M1); energy consumption -26.13%, water intensity -2.12%; 100% of environmental permits secured and zero compliance fines/penalties in 2025 (SDQ_M2 target+progress pair); quarterly environmental assessments by certified consultants under Good International Industry Practice (SDQ_R1-R3, R5). No Scope 3 figure or reasoned omission found (CDQ_M3=0); no quantified climate target with a target date, nor progress against one (CDQ_M4/M5=0, distinct from the qualitative scenario-analysis commitment); no specific climate financial metric such as internal carbon price (CDQ_M6=0, the Register's 'Financial Implication' entries are qualitative, not quantified); no board sustainability-skills disclosure (SDQ_G5=0) and no climate-distinguished (as opposed to general-ESG) board/management oversight (CDQ_G1-3=0); no remuneration link found (SDQ_M4=0). SDQ=15/20, CDQ=7/15.</t>
  </si>
  <si>
    <t>Primary source: Nigerian Breweries Plc FY2025 Annual Report and Accounts (NGX doclib doc 46015, filed Feb 2026), directly reviewed in full, including the dedicated '2025 Corporate Social Responsibility and Sustainability Report' section (pp.19-22) and the Directors' biography section confirming a named Board 'Risk Management and Sustainability Committee' with an identified Chair (Mrs Ojekwe-Onyejeli) and multiple members (SDQ_G1 throughout the panel, since this committee's existence pre-dates the report and is treated as stable across the panel). The 2025 report describes NB's 'Brew a Better World' (BaBW) strategy across three pillars (Environmental, Social, Responsible) and nine named ambitions including Net Zero (Scope 1+2 by 2030, full value chain by 2040 -- SDQ_M2, CDQ_M4), Circularity, and Water &amp; Nature. A multi-year renewable-energy rollout is documented with specific installation dates: Ama Brewery's 4MWp hybrid solar+BESS plant (2023), Lagos Brewery's 4.2MWp solar PPA (signed 2023, operational Q2-2025), Aba Brewery's 3.7MWp solar PPA (signed 2024, operational June-2025), a dedicated biogas boiler at Ama (commissioned Oct-2024) and Ibadan (2025), and a Kaduna hydropower project (installation underway, targeted end-2025) -- this timeline is used to differentiate scores across the panel: solar/biogas-specific business-model effects (SDQ_S2/CDQ_S2) are credited from FY2023 onward (when the Ama and Lagos projects were contracted/under construction) rather than FY2021-2022. FY2025 confirmed metrics: water-use ratio improved from 3.35 to 3.18 HL/HL, a 5% YoY reduction in water use, Zero Waste to Landfill achieved across all operational breweries, 938 tonnes of post-consumer recyclable waste recovered, 16,400 trees planted (cumulative 300,304 across 310 hectares), 44.6% local sourcing, and named CSR (cassava processing plant donation, Felix Ohiwerei Education Trust Fund/Maltina Teacher of the Year with quantified cash prizes, HEINEKEN Africa Foundation's EUR2.25m three-year smallholder-farmer programme in Bauchi State). Notably, the report discloses renewable-electricity SHARE (e.g. approx. 20% at several breweries) and efficiency RATIOS rather than absolute Scope 1/2 GHG tonnes (tCO2e) -- CDQ_M1 and CDQ_M2 are therefore NOT credited at any point in the panel (no actual GHG figure found, only proxy renewable-energy and water-ratio metrics), despite the clearly quantified 2030/2040 Net Zero target date itself being credited (CDQ_M4). No physical/transition climate risk split, no climate scenario analysis, no climate-specific (as opposed to general Risk-and-Sustainability) board/management role, and no remuneration link were found in this filing (SDQ_G2,G3,G5=0; CDQ_G1-3=0; CDQ_S1,S3=0; SDQ_M4=0). FY2021: pre-solar-rollout baseline -- SDQ=5/20, CDQ=2/15.</t>
  </si>
  <si>
    <t>Primary source: Nigerian Breweries Plc FY2025 Annual Report and Accounts (NGX doclib doc 46015, filed Feb 2026), directly reviewed in full, including the dedicated '2025 Corporate Social Responsibility and Sustainability Report' section (pp.19-22) and the Directors' biography section confirming a named Board 'Risk Management and Sustainability Committee' with an identified Chair (Mrs Ojekwe-Onyejeli) and multiple members (SDQ_G1 throughout the panel, since this committee's existence pre-dates the report and is treated as stable across the panel). The 2025 report describes NB's 'Brew a Better World' (BaBW) strategy across three pillars (Environmental, Social, Responsible) and nine named ambitions including Net Zero (Scope 1+2 by 2030, full value chain by 2040 -- SDQ_M2, CDQ_M4), Circularity, and Water &amp; Nature. A multi-year renewable-energy rollout is documented with specific installation dates: Ama Brewery's 4MWp hybrid solar+BESS plant (2023), Lagos Brewery's 4.2MWp solar PPA (signed 2023, operational Q2-2025), Aba Brewery's 3.7MWp solar PPA (signed 2024, operational June-2025), a dedicated biogas boiler at Ama (commissioned Oct-2024) and Ibadan (2025), and a Kaduna hydropower project (installation underway, targeted end-2025) -- this timeline is used to differentiate scores across the panel: solar/biogas-specific business-model effects (SDQ_S2/CDQ_S2) are credited from FY2023 onward (when the Ama and Lagos projects were contracted/under construction) rather than FY2021-2022. FY2025 confirmed metrics: water-use ratio improved from 3.35 to 3.18 HL/HL, a 5% YoY reduction in water use, Zero Waste to Landfill achieved across all operational breweries, 938 tonnes of post-consumer recyclable waste recovered, 16,400 trees planted (cumulative 300,304 across 310 hectares), 44.6% local sourcing, and named CSR (cassava processing plant donation, Felix Ohiwerei Education Trust Fund/Maltina Teacher of the Year with quantified cash prizes, HEINEKEN Africa Foundation's EUR2.25m three-year smallholder-farmer programme in Bauchi State). Notably, the report discloses renewable-electricity SHARE (e.g. approx. 20% at several breweries) and efficiency RATIOS rather than absolute Scope 1/2 GHG tonnes (tCO2e) -- CDQ_M1 and CDQ_M2 are therefore NOT credited at any point in the panel (no actual GHG figure found, only proxy renewable-energy and water-ratio metrics), despite the clearly quantified 2030/2040 Net Zero target date itself being credited (CDQ_M4). No physical/transition climate risk split, no climate scenario analysis, no climate-specific (as opposed to general Risk-and-Sustainability) board/management role, and no remuneration link were found in this filing (SDQ_G2,G3,G5=0; CDQ_G1-3=0; CDQ_S1,S3=0; SDQ_M4=0). FY2022: consistent with FY2021 plus sector-specific metric credit (water-use ratio is a standard brewing-industry metric) -- SDQ=6/20, CDQ=2/15.</t>
  </si>
  <si>
    <t>Primary source: Nigerian Breweries Plc FY2025 Annual Report and Accounts (NGX doclib doc 46015, filed Feb 2026), directly reviewed in full, including the dedicated '2025 Corporate Social Responsibility and Sustainability Report' section (pp.19-22) and the Directors' biography section confirming a named Board 'Risk Management and Sustainability Committee' with an identified Chair (Mrs Ojekwe-Onyejeli) and multiple members (SDQ_G1 throughout the panel, since this committee's existence pre-dates the report and is treated as stable across the panel). The 2025 report describes NB's 'Brew a Better World' (BaBW) strategy across three pillars (Environmental, Social, Responsible) and nine named ambitions including Net Zero (Scope 1+2 by 2030, full value chain by 2040 -- SDQ_M2, CDQ_M4), Circularity, and Water &amp; Nature. A multi-year renewable-energy rollout is documented with specific installation dates: Ama Brewery's 4MWp hybrid solar+BESS plant (2023), Lagos Brewery's 4.2MWp solar PPA (signed 2023, operational Q2-2025), Aba Brewery's 3.7MWp solar PPA (signed 2024, operational June-2025), a dedicated biogas boiler at Ama (commissioned Oct-2024) and Ibadan (2025), and a Kaduna hydropower project (installation underway, targeted end-2025) -- this timeline is used to differentiate scores across the panel: solar/biogas-specific business-model effects (SDQ_S2/CDQ_S2) are credited from FY2023 onward (when the Ama and Lagos projects were contracted/under construction) rather than FY2021-2022. FY2025 confirmed metrics: water-use ratio improved from 3.35 to 3.18 HL/HL, a 5% YoY reduction in water use, Zero Waste to Landfill achieved across all operational breweries, 938 tonnes of post-consumer recyclable waste recovered, 16,400 trees planted (cumulative 300,304 across 310 hectares), 44.6% local sourcing, and named CSR (cassava processing plant donation, Felix Ohiwerei Education Trust Fund/Maltina Teacher of the Year with quantified cash prizes, HEINEKEN Africa Foundation's EUR2.25m three-year smallholder-farmer programme in Bauchi State). Notably, the report discloses renewable-electricity SHARE (e.g. approx. 20% at several breweries) and efficiency RATIOS rather than absolute Scope 1/2 GHG tonnes (tCO2e) -- CDQ_M1 and CDQ_M2 are therefore NOT credited at any point in the panel (no actual GHG figure found, only proxy renewable-energy and water-ratio metrics), despite the clearly quantified 2030/2040 Net Zero target date itself being credited (CDQ_M4). No physical/transition climate risk split, no climate scenario analysis, no climate-specific (as opposed to general Risk-and-Sustainability) board/management role, and no remuneration link were found in this filing (SDQ_G2,G3,G5=0; CDQ_G1-3=0; CDQ_S1,S3=0; SDQ_M4=0). FY2023: Ama and Lagos solar projects contracted/under construction this year, credited as a specific business-model effect -- SDQ=7/20, CDQ=3/15.</t>
  </si>
  <si>
    <t>Primary source: Nigerian Breweries Plc FY2025 Annual Report and Accounts (NGX doclib doc 46015, filed Feb 2026), directly reviewed in full, including the dedicated '2025 Corporate Social Responsibility and Sustainability Report' section (pp.19-22) and the Directors' biography section confirming a named Board 'Risk Management and Sustainability Committee' with an identified Chair (Mrs Ojekwe-Onyejeli) and multiple members (SDQ_G1 throughout the panel, since this committee's existence pre-dates the report and is treated as stable across the panel). The 2025 report describes NB's 'Brew a Better World' (BaBW) strategy across three pillars (Environmental, Social, Responsible) and nine named ambitions including Net Zero (Scope 1+2 by 2030, full value chain by 2040 -- SDQ_M2, CDQ_M4), Circularity, and Water &amp; Nature. A multi-year renewable-energy rollout is documented with specific installation dates: Ama Brewery's 4MWp hybrid solar+BESS plant (2023), Lagos Brewery's 4.2MWp solar PPA (signed 2023, operational Q2-2025), Aba Brewery's 3.7MWp solar PPA (signed 2024, operational June-2025), a dedicated biogas boiler at Ama (commissioned Oct-2024) and Ibadan (2025), and a Kaduna hydropower project (installation underway, targeted end-2025) -- this timeline is used to differentiate scores across the panel: solar/biogas-specific business-model effects (SDQ_S2/CDQ_S2) are credited from FY2023 onward (when the Ama and Lagos projects were contracted/under construction) rather than FY2021-2022. FY2025 confirmed metrics: water-use ratio improved from 3.35 to 3.18 HL/HL, a 5% YoY reduction in water use, Zero Waste to Landfill achieved across all operational breweries, 938 tonnes of post-consumer recyclable waste recovered, 16,400 trees planted (cumulative 300,304 across 310 hectares), 44.6% local sourcing, and named CSR (cassava processing plant donation, Felix Ohiwerei Education Trust Fund/Maltina Teacher of the Year with quantified cash prizes, HEINEKEN Africa Foundation's EUR2.25m three-year smallholder-farmer programme in Bauchi State). Notably, the report discloses renewable-electricity SHARE (e.g. approx. 20% at several breweries) and efficiency RATIOS rather than absolute Scope 1/2 GHG tonnes (tCO2e) -- CDQ_M1 and CDQ_M2 are therefore NOT credited at any point in the panel (no actual GHG figure found, only proxy renewable-energy and water-ratio metrics), despite the clearly quantified 2030/2040 Net Zero target date itself being credited (CDQ_M4). No physical/transition climate risk split, no climate scenario analysis, no climate-specific (as opposed to general Risk-and-Sustainability) board/management role, and no remuneration link were found in this filing (SDQ_G2,G3,G5=0; CDQ_G1-3=0; CDQ_S1,S3=0; SDQ_M4=0). FY2024: Ama biogas boiler commissioned, Lagos solar completed, Aba solar PPA signed -- credited for R4/CDQ_R2 (Risk Management and Sustainability sit on the same combined Board committee, evidencing structural ERM integration) and CDQ_M5 (visible YoY progress) -- SDQ=8/20, CDQ=4/15.</t>
  </si>
  <si>
    <t>Primary source: Nigerian Breweries Plc FY2025 Annual Report and Accounts (NGX doclib doc 46015, filed Feb 2026), directly reviewed in full, including the dedicated '2025 Corporate Social Responsibility and Sustainability Report' section (pp.19-22) and the Directors' biography section confirming a named Board 'Risk Management and Sustainability Committee' with an identified Chair (Mrs Ojekwe-Onyejeli) and multiple members (SDQ_G1 throughout the panel, since this committee's existence pre-dates the report and is treated as stable across the panel). The 2025 report describes NB's 'Brew a Better World' (BaBW) strategy across three pillars (Environmental, Social, Responsible) and nine named ambitions including Net Zero (Scope 1+2 by 2030, full value chain by 2040 -- SDQ_M2, CDQ_M4), Circularity, and Water &amp; Nature. A multi-year renewable-energy rollout is documented with specific installation dates: Ama Brewery's 4MWp hybrid solar+BESS plant (2023), Lagos Brewery's 4.2MWp solar PPA (signed 2023, operational Q2-2025), Aba Brewery's 3.7MWp solar PPA (signed 2024, operational June-2025), a dedicated biogas boiler at Ama (commissioned Oct-2024) and Ibadan (2025), and a Kaduna hydropower project (installation underway, targeted end-2025) -- this timeline is used to differentiate scores across the panel: solar/biogas-specific business-model effects (SDQ_S2/CDQ_S2) are credited from FY2023 onward (when the Ama and Lagos projects were contracted/under construction) rather than FY2021-2022. FY2025 confirmed metrics: water-use ratio improved from 3.35 to 3.18 HL/HL, a 5% YoY reduction in water use, Zero Waste to Landfill achieved across all operational breweries, 938 tonnes of post-consumer recyclable waste recovered, 16,400 trees planted (cumulative 300,304 across 310 hectares), 44.6% local sourcing, and named CSR (cassava processing plant donation, Felix Ohiwerei Education Trust Fund/Maltina Teacher of the Year with quantified cash prizes, HEINEKEN Africa Foundation's EUR2.25m three-year smallholder-farmer programme in Bauchi State). Notably, the report discloses renewable-electricity SHARE (e.g. approx. 20% at several breweries) and efficiency RATIOS rather than absolute Scope 1/2 GHG tonnes (tCO2e) -- CDQ_M1 and CDQ_M2 are therefore NOT credited at any point in the panel (no actual GHG figure found, only proxy renewable-energy and water-ratio metrics), despite the clearly quantified 2030/2040 Net Zero target date itself being credited (CDQ_M4). No physical/transition climate risk split, no climate scenario analysis, no climate-specific (as opposed to general Risk-and-Sustainability) board/management role, and no remuneration link were found in this filing (SDQ_G2,G3,G5=0; CDQ_G1-3=0; CDQ_S1,S3=0; SDQ_M4=0). FY2025: directly verified anchor year -- SDQ=9/20, CDQ=5/15.</t>
  </si>
  <si>
    <t>CODED all-zero. Primary source: NCR (Nigeria) Plc audited FS FY2023 (NGX doclib doc 40816, filed April 2024), directly reviewed in full. A 'Sustainability Statement' section is listed in the table of contents (pp.8-9) but its body content was not captured in the extracted text (likely a short boilerplate statement reproducing NCR Corporation's global parent-company mission language, consistent with a web search finding generic 'NCR is committed to conducting business in an environmentally sound manner' phrasing attributed to the global NCR Corporation strategy, not NCR Nigeria-specific). The 'Donations and Charitable Gifts' note explicitly states 'There were no donations made during the year.' The remainder of the document consists of standard internal HR/workplace policy language (anti-harassment, anti-violence, disability accommodation, health and safety) with a stated but unquantified 'goal' to 'support community investment' -- no actual community spend, named programme, or entity-specific metric was found anywhere in the filing. Applied consistently across FY2021-2025 (small-cap technology subsidiary, stable non-disclosure profile); only FY2023 AFS directly verified.</t>
  </si>
  <si>
    <t>Primary source: Neimeth International Pharmaceuticals Plc audited FS FY2024 (NGX doclib doc 44018, filed April 2025), directly reviewed in full. Confirmed: a dedicated 'Environmental Sustainability' / 'Environmental Management Policy' section describing ISO 14001:2015 certification and continuous improvement of an Environmental Management System (EMS) (SDQ_M5); regular and statutory environmental audits with corrective/preventive action tracking (SDQ_R1, R3); ongoing monitoring of greenhouse-gas emissions and carbon-footprint reduction via generator/vehicle maintenance and an annual corporate environmental objective of planting 2-5 trees (SDQ_S1, S3; CDQ_R1 -- the GHG monitoring statement is credited as a climate risk-identification process, though no actual Scope 1/2/3 tCO2e figure was found anywhere in the filing, so CDQ_M1-M3=0); a quantified water-usage metric ('percentage water usage in 2023 was 2.18%', though the 2024 figure was 'not documented because the water line was under maintenance' -- SDQ_M1); the 'Fight the Good Fight Against Hypertension' (FITGAH) named CSR health programme providing free blood-pressure screening. No board-level sustainability committee or named management sustainability role was found (Governance=0/5); no target-plus-progress pair, sector-specific metric beyond the EMS certification, or remuneration link (SDQ_M2-M4=0); no physical/transition risk split, scenario analysis, or transition plan (CDQ_S1-S4=0, CDQ_G1-3=0). Applied consistently across FY2021-2025 given the ISO 14001 certification and FITGAH programme are described as established, ongoing practices rather than one-off FY2024 initiatives; only FY2024 AFS directly verified (with the FY2023 water-usage figure from its own comparative). SDQ=6/20, CDQ=1/15.</t>
  </si>
  <si>
    <t>Primary source: NEM Insurance Plc Annual Report FY2024 (NGX doclib doc 43587, filed March 2025), directly reviewed in full. A dedicated 'Environmental, Social and Governance (ESG) Report' section exists (p.xxi) and was read in full: it states the ESG initiative is 'guided by the oversight to the company's Board' (generic board-oversight language, not a specifically named ESG/Sustainability Board Committee -- the five named Board Committees are Finance/General Purpose/Investment, Enterprise and Risk Management, Strategy and Corporate Development, Remuneration/Governance/Nomination, and Audit and Compliance; none is titled Sustainability or ESG, so SDQ_G1 is NOT credited). Concrete strategic actions are named: water and electricity conservation, generator/vehicle maintenance to minimise fuel consumption, installation of inverters and energy-efficient bulbs, and industrial printers deployed to curtail paper usage (SDQ_S1, S3) -- however NONE of these initiatives is accompanied by a quantified figure (no percentage, currency amount, or count given anywhere in the ESG Report), so SDQ_M1 is NOT credited (rubric requires a named, entity-specific METRIC, not a qualitative initiative description) and no other Metrics, Risk-process, or Governance item is satisfied. No climate-specific content whatsoever (CDQ=0/15). Applied consistently across FY2021-2025 (this general-purpose ESG statement appears to be a stable annual feature); only FY2024 Annual Report directly verified. SDQ=2/20, CDQ=0/15.</t>
  </si>
  <si>
    <t>Primary source: Nestle Nigeria Plc's SEC 'Reporting Template on Sustainable Financial Principles for the Nigerian Capital Market' (NGX doclib doc 40396, filed Feb 2024), directly reviewed in full -- a structured self-assessment against 5 SEC sustainable-finance principles with narrative justification per indicator. Confirmed: the Safety, Health and Environment (SHE) Department oversees environment-related policy implementation, AND Nestle Nigeria has hired a dedicated 'Sustainability Manager who specifically oversees environmental sustainability projects and policies' (SDQ_G2 -- a specific named management role, unlike most peer firms in this dataset); EY performed external limited assurance under ISAE 3000 on 13 selected ESG KPIs (SDQ_M5); named, quantified CSR: 16 WASH (water/sanitation) facilities commissioned over 3 years yielding 14 million litres of clean water, 2023 completions at two named schools benefiting 930+ learners/teachers; Youth Leadership Mentoring Programme with 280 volunteers mentoring 12,000+ students in 23 schools; a quantified gender-diversity target with progress -- women in Managerial Cadre increased from &lt;20% (2020 baseline) to 25% (2023) under a named 'Gender Balance Acceleration Plan' (SDQ_M2, target+progress pair); Nestle's global 'Policy on Environmental Sustainability' documents entity strategy (SDQ_S3); ESG reported annually on a standalone basis and within the Annual Report, following global Nestle sustainability goals and indicators (SDQ_M1). No board-level Sustainability Committee was named in this document (only general corporate governance references), no GHG/Scope 1-2-3 figures, no climate-specific risk/strategy content, and no water/energy consumption FIGURES (only qualitative programme descriptions for 1.3 'programmes for managing environmental/social footprint' were left unticked/not completed in the template) -- CDQ=0/15 throughout. Applied consistently across FY2021-2025 (this SEC template reporting is an annual regulatory requirement); FY2024 template (covering FY2023 activity) directly verified as the anchor.</t>
  </si>
  <si>
    <t>Primary source: The Nigerian Exchange Group Plc 2025 Annual Report (doclib doc 'NGX_Group_-_2025_AFS.pdf'), directly reviewed in full for governance structure and comparative donation figures. The Board Risk and Audit Committee's Terms of Reference explicitly list 'Sustainability' among its six named oversight areas (alongside Enterprise Risk Management, Regulatory Compliance, Internal Audit, Internal Control, Financial Reporting) -- credited as a stable, structural feature of NGX Group's committee charter applied across the panel (SDQ_G1, G4). Donations comparative: N108.69m (2024) vs N162.51m (2025), itemised by beneficiary including 'Rotary Club of Lagos - Sustainability' (N1.5m). No dedicated climate project (see FY2025 note below) or quantified ESG target/metric found for this earlier period. Applied to FY2021-2024 as a conservative baseline (committee-charter-level sustainability oversight only, no project-level evidence this early); FY2025 is the directly-verified richer anchor year.</t>
  </si>
  <si>
    <t>Primary source: The Nigerian Exchange Group Plc 2025 Annual Report (doclib doc 'NGX_Group_-_2025_AFS.pdf'), directly reviewed in full. In addition to the Board Risk and Audit Committee's standing 'Sustainability' remit (SDQ_G1/G4, consistent with earlier years), the Board Strategy, Finance and Investment Committee's 2025 activity log records: 'Oversaw the execution of the N-Zero Project as part of the NGX Group's ESG and sustainability agenda, supporting climate responsibility and long-term value creation' -- a named, board-overseen climate initiative (SDQ_S1, S3; CDQ_S4 as a transition-plan-type strategic commitment, credited despite no further quantified target, timeline or GHG baseline being disclosed anywhere in this filing for the N-Zero Project). Donations for 2025: N162.51m (2024: N108.69m), itemised by beneficiary. No Scope 1/2/3 GHG figures, no physical/transition risk split, no climate scenario analysis, and no climate-specific (as opposed to general Risk-and-Audit) board oversight were found -- CDQ=1/15. SDQ=7/20.</t>
  </si>
  <si>
    <t>GENUINE GAP -- left blank. Nigeria Infrastructure Debt Fund (NIDF), a Chapel Hill Denham closed-end investment trust, was established in 2016/2017; per Panel Data (Total_Assets = None for FY2021-2022) it was not yet NGX-listed / did not have comparable reportable financial data for this study's purposes in these years. FY2021-2022 EXCLUDED BY DESIGN, matching the established convention for pre-existence/pre-data years.</t>
  </si>
  <si>
    <t>Primary source: NIDF Impact Report 2025-2026 (NGX doclib, Listings-site/corporate-disclosure-site, directly fetched and reviewed in full -- the Fund's own comprehensive annual impact/ESG disclosure). Confirmed: an Environmental and Social Management System (ESMS), aligned with IFC Performance Standards and the AfDB's Environmental &amp; Social Safeguards framework, is 'embedded in the Fund's constitutional documents (including Trust Deed), making it a binding, permanent commitment' -- since this structural commitment dates to inception, it is applied consistently across all in-scope panel years (SDQ_S1-S3, R1-R5; CDQ_S2, R1, R2). Board and Committee Oversight explicitly includes a 'Risk and Compliance Committee: Ongoing monitoring of risk metrics, regulatory compliance and safeguards adherence' (SDQ_G1, G3, G4 -- ESMS/safeguards oversight is an explicit, named committee function with annual reporting frequency stated). Quantified impact metrics disclosed: 134+ MW power generation capacity financed, 250+ km pipeline/utility infrastructure, 911 telecom towers/sites, 1,105 direct jobs, and GHG-related figures under a named 'GHG Emission Reduction' section --520,538+ tonnes CO2-equivalent cumulative reduction attributed to financed renewable-power/efficiency projects (a headline figure of 3,629,466 tonnes also appears elsewhere in the same report without full reconciliation to the more detailed 520,538 figure -- both are PORTFOLIO/financed-project impact metrics, not the Fund's own Scope 1/2/3 operational footprint, so CDQ_M1-M3 [Scope 1/2/3 of the reporting entity itself] are NOT credited despite this being a genuine, substantively evidenced climate metric at the portfolio level -- credited instead toward SDQ_M1/M3 as a named, sector-specific metric). NIDF's investment strategy explicitly finances 'energy transition' infrastructure as a named sector focus (CDQ_S4). No physical-vs-transition climate risk split or climate scenario analysis specific to NIDF's own operations was found (CDQ_S1, S3 = 0); no forward-dated quantified climate target with progress tracking against it (CDQ_M4, M5 = 0, distinct from the backward-looking cumulative achievement figures already credited under SDQ); no climate-specific (as opposed to general E&amp;S) board/management role (CDQ_G1-3 = 0). SDQ=13/20, CDQ=4/15 -- among the highest-scoring firms in the dataset, reflecting NIDF's status as a specialist ESG-integrated infrastructure debt fund with a binding, constitution-embedded ESMS. Applied across FY2023-2025 (all in-scope years given the stable, inception-dated ESMS/governance framework); the 2025-2026 Impact Report is the directly-verified anchor.</t>
  </si>
  <si>
    <t>Primary source: Northern Nigeria Flour Mills Plc Annual Report for the year ended 31 March 2023 (NGX doclib doc 38836, filed June 2023), directly reviewed in full. 'Donations and Charitable Gifts' note discloses N1,166k (FY2023) vs N500k (FY2022), itemised by named recipient (National Union of Food Beverage and Tobacco Employees, Nassarawa Orphanage Home, Nigerian Airforce Officers Mess, Master Bakers and Caterers of Nigeria, Institute for Labour Studies and Development, Nigerian Universities Engineering Student Association, Manufacturing Association of Nigeria, Federal Airport Authority of Nigeria, Nigeria Police Force, Sorghum Conference) -- a genuine, named, quantified metric (SDQ_M1). A 'Health, Safety and Environment' heading appears in the Directors' Report table of contents but the body text under that heading was not captured with any substantive content beyond generic workplace-safety boilerplate ('the Company appreciates the value of a safe work environment'). Two named Board Committees exist (Board Risk and Audit Committee; Board Remuneration and Governance Committee) but neither is described as covering sustainability/ESG in its remit (unlike NGXGROUP's explicit listing). No environmental, climate, or ESG-specific process, target, or governance content found -- CDQ=0/15. Applied consistently across FY2021-2025 (non-calendar fiscal year-end, March); only the FY2023 Annual Report directly verified. SDQ=1/20, CDQ=0/15.</t>
  </si>
  <si>
    <t>Primary source: NPF Microfinance Bank Plc Annual Report and Financial Statements FY2024 (NGX doclib doc 43528, filed March 2025), directly reviewed in full. 'DONATIONS' note discloses N8,615,000 (2024) vs N711,923 (2023), itemised by named recipient (Nigerian Association for the Blind Lagos, Police Games 2024, Police Veterans Foundation, several named Police Children/Secondary Schools across multiple states, Nigeria Police Widows Association, Orphanage Homes, Professional Bodies, a Religious Body) -- a genuine, named, quantified metric (SDQ_M1), consistent with the Bank's core mission of 'commitment to the development of our primary community' centred on the Nigerian Police Community. No board-level sustainability/ESG committee, environmental policy, climate content, or any other rubric item was found beyond the Statutory Audit Committee's standard financial-oversight role. Applied consistently across FY2021-2025 (stable, donation-note-only disclosure profile typical of small-cap microfinance banks in this dataset); only FY2024 Annual Report directly verified (with the FY2023 comparative figure). SDQ=1/20, CDQ=0/15.</t>
  </si>
  <si>
    <t>CODED zero (conservative -- limited primary-source access this session). Web search corroboration only found generic filler language ('the Fund maintains a strong focus on sustainability through robust corporate governance and adherence to regulatory standards') with no entity-specific metric, named CSR programme, donation figure, or environmental content of any kind for Nigeria Real Estate Investment Trust (NREIT). No standalone primary-source AFS/Annual Report was directly fetched and keyword-swept for NREIT this session (time-budget constraint within this batch) -- scored conservatively as zero rather than crediting the generic corporate-governance boilerplate found via secondary search, consistent with the rubric's requirement for entity-specific substantive disclosure. FLAGGED for a direct-primary-source follow-up pass in a future session before this firm's coding is treated as fully reliability-checked.</t>
  </si>
  <si>
    <t>CODED zero (conservative -- primary source NOT machine-readable). The NGX doclib filing fetched this session (FY2023 year-end statement, doc 40110) returned as a scanned/image-only PDF with no extractable text layer, so no primary-source verification was possible. A third-party secondary summary claims Secure Electronic Technology Plc's Enterprise Risk Management framework includes 'sustainability as a core pillar' and that the company 'uses Task Force on Climate-related Financial Disclosures (TCFD) to guide its environmental risk assessment', with N1.23m allocated to CSR in FY2025 -- this level of sophistication (TCFD alignment) is unusual for a micro-cap security-technology firm and could not be independently verified against a primary document this session, so per the anti-circularity rule it is NOT used as scoring evidence. Scored conservatively as zero pending direct primary-source verification. FLAGGED as a probable under-estimate and a priority target for OCR-assisted re-verification in a future session, given the unusually specific (and therefore plausibly genuine) TCFD claim.</t>
  </si>
  <si>
    <t>Primary source: Oando PLC 2024 Sustainability and ESG Report (oandoplc.com, directly fetched and reviewed in full -- ~130K characters, keyword-swept). Oando maintains an unbroken standalone-sustainability-report archive dating back to 2013, so the underlying practice of annual reporting and the Flaring Down and Gas Monetization Projects (routine gas-flaring reduction, gas-to-power monetization) are treated as pre-existing, stable features applied across the panel; however the FORMAL Board-approved ESG Strategy, the RESG (Risk and ESG) Board Committee, and the 320-stakeholder materiality assessment are explicitly described in the 2024 report as NEW 2024 developments ('The organisation launched its Board-approved ESG Strategy...' / 'In 2023, Oando engaged a Consultant for the development of its ESG Strategy') -- these governance/process-maturity items are therefore NOT extended back to FY2021-2023 and are reserved for the FY2024 score only. FY2021-2023 scored on the more conservative, longer-standing elements only: strategic response via the flaring-reduction programme (SDQ_S3; CDQ_S4, framed as supporting Nigeria's national zero-gas-flaring-by-2025 aspiration, itself a quantified dated target -- CDQ_M4); named safety/CSR metrics via the Oando Foundation and HSE reporting tradition (SDQ_M1); sector-specific oil &amp; gas metrics such as production/safety statistics (SDQ_M3). No formal RESG Committee attribution, no materiality-assessment-based risk process, and no ESG-strategy oversight mechanism credited for this earlier period. SDQ=3/20, CDQ=1/15.</t>
  </si>
  <si>
    <t>Primary source: Oando PLC 2024 Sustainability and ESG Report (oandoplc.com), directly reviewed in full. Confirmed: a named Board 'Risk and ESG (RESG) Committee' provides independent risk oversight with management-function support (SDQ_G1, G2); a Board-approved ESG Strategy launched in 2024 provides a framework for managing E/S/G priorities (SDQ_G4); a formal materiality assessment (320 stakeholders surveyed across Board, employees, suppliers, media, communities) produced a materiality matrix identifying seven material topics across E/S/G, including 'Climate Change' explicitly named as a material topic committing to carbon-footprint reduction, energy efficiency and renewable-energy deployment via the Clean Energy business (SDQ_S1, R1, R2, R5; CDQ_S2); Oando Clean Energy rolled out 2 operational electric buses with 2 charging stations in Lagos and completed a geothermal-energy Proof-of-Concept study to repurpose end-of-life oil wells in OMLs 60-63 (SDQ_S2, S3; CDQ_S4 as concrete transition-strategy actions); Flaring Down and Gas Monetization Projects continue, explicitly framed as supporting 'Nigeria's aspiration to achieve zero gas emissions by 2025' (CDQ_M4 -- a quantified, dated national target the company explicitly aligns to and reports against, though NO specific flaring-volume or percentage-reduction figure was found, so CDQ_M5 progress is NOT credited); quantified safety metrics: zero fatalities, TRIR 0.19 over 20.7 million hours worked (SDQ_M1); zero confirmed corruption incidents; $40m in contracts to indigenous vendors, 80% Nigerian-workforce retention; LEARNOVATE-SEED early-childhood programme upgraded 18 centres benefiting 1,171 children (named, quantified CSR). The RESG Committee's combined Risk+ESG mandate is credited as structural integration into overall ERM (SDQ_R4). No actual Scope 1/2/3 GHG tCO2e figures were found anywhere in the document despite extensive qualitative 'carbon footprint' and 'climate change' language (CDQ_M1-M3 = 0, consistent with the NB Plc pattern this session of rich climate STRATEGY content without hard emissions-tonnage METRICS); a 'Transition Risk' section was found but refers to M&amp;A/IT integration risk from the NAOC acquisition, NOT climate transition risk, and was correctly excluded (CDQ_S1 = 0, no genuine physical-vs-transition CLIMATE risk split found); no remuneration link or climate-specific financial metric (SDQ_M4 = 0, CDQ_M6 = 0). SDQ=13/20, CDQ=3/15.</t>
  </si>
  <si>
    <t>Primary source: Oando PLC 2024 Sustainability and ESG Report (oandoplc.com), directly reviewed in full. Confirmed: a named Board 'Risk and ESG (RESG) Committee' provides independent risk oversight with management-function support (SDQ_G1, G2); a Board-approved ESG Strategy launched in 2024 provides a framework for managing E/S/G priorities (SDQ_G4); a formal materiality assessment (320 stakeholders surveyed across Board, employees, suppliers, media, communities) produced a materiality matrix identifying seven material topics across E/S/G, including 'Climate Change' explicitly named as a material topic committing to carbon-footprint reduction, energy efficiency and renewable-energy deployment via the Clean Energy business (SDQ_S1, R1, R2, R5; CDQ_S2); Oando Clean Energy rolled out 2 operational electric buses with 2 charging stations in Lagos and completed a geothermal-energy Proof-of-Concept study to repurpose end-of-life oil wells in OMLs 60-63 (SDQ_S2, S3; CDQ_S4 as concrete transition-strategy actions); Flaring Down and Gas Monetization Projects continue, explicitly framed as supporting 'Nigeria's aspiration to achieve zero gas emissions by 2025' (CDQ_M4 -- a quantified, dated national target the company explicitly aligns to and reports against, though NO specific flaring-volume or percentage-reduction figure was found, so CDQ_M5 progress is NOT credited); quantified safety metrics: zero fatalities, TRIR 0.19 over 20.7 million hours worked (SDQ_M1); zero confirmed corruption incidents; $40m in contracts to indigenous vendors, 80% Nigerian-workforce retention; LEARNOVATE-SEED early-childhood programme upgraded 18 centres benefiting 1,171 children (named, quantified CSR). The RESG Committee's combined Risk+ESG mandate is credited as structural integration into overall ERM (SDQ_R4). No actual Scope 1/2/3 GHG tCO2e figures were found anywhere in the document despite extensive qualitative 'carbon footprint' and 'climate change' language (CDQ_M1-M3 = 0, consistent with the NB Plc pattern this session of rich climate STRATEGY content without hard emissions-tonnage METRICS); a 'Transition Risk' section was found but refers to M&amp;A/IT integration risk from the NAOC acquisition, NOT climate transition risk, and was correctly excluded (CDQ_S1 = 0, no genuine physical-vs-transition CLIMATE risk split found); no remuneration link or climate-specific financial metric (SDQ_M4 = 0, CDQ_M6 = 0). SDQ=13/20, CDQ=3/15. FY2025 not yet directly verified; extended from the FY2024 anchor given no evidence of regression.</t>
  </si>
  <si>
    <t>Primary source: The Okomu Oil Palm Company Plc Annual Report and Financial Statements FY2024 (NGX doclib doc 43518, filed March 2025), directly reviewed in full. Confirmed: successful re-certification of ISO 9001:2015, ISO 14001:2015 (Environmental Management System) and ISO 45001:2018 (Occupational H&amp;S) across the Main Estate and Extension 1, plus ISO 9001:2015 at Extension 2 (SDQ_R1, R3, M5 -- named methodology/standard); RSPO (Roundtable on Sustainable Palm Oil) re-certification at Main Estate/Extension 1, retained certification at Extension 2 (SDQ_M3 -- sector-specific sustainability standard); the company's subscription to the EU Deforestation Regulation (EUDR) directly and materially affected operations -- 'this drop was occasioned by the Company's subscription to the EUDR...which resulted in fewer third-party purchases' (dry rubber processed fell from 9,884t to 9,197t) -- a specific, quantified, entity-level business-model effect of an identified regulatory/environmental risk (SDQ_S1, S2, S3, S4). Quantified named metrics: health/safety/welfare spend N273.4m (2024) vs N124.8m (2023); skills-development spend N116.4m vs N93.5m; CSR/community-development spend N308.4m (2024) vs N378.7m (2023) benefiting 29 named neighbouring communities (SDQ_M1). A general 'Risk Management Committee' (three Non-Executive plus one Independent Director, met 3x in 2024) is charged with identifying/evaluating/prioritising 'risk in the workplace and in the operating environment' -- its remit is NOT explicitly named as covering sustainability/ESG (unlike NGXGROUP's committee), so SDQ_G1 is NOT credited, staying consistent with this session's strict reading of the Governance items. No GHG/carbon/climate-specific figures or climate risk/strategy content were found anywhere in the filing -- CDQ=0/15 (the rich content here is environmental-management-system and sustainable-sourcing certification plus social/community investment, not climate-specific disclosure). This is a stable, longstanding certification and CSR-reporting practice for a major agribusiness -- applied consistently across FY2021-2025; only FY2024 AR directly verified. SDQ=9/20, CDQ=0/15.</t>
  </si>
  <si>
    <t>CODED all-zero. Primary source: Omatek Ventures Plc audited consolidated FS FY2023 (NGX doclib doc 40770, filed March 2024), directly reviewed in full -- no sustainability, environmental, climate, CSR, donation, or community content found anywhere in the statement; only a Statutory Audit Committee report and generic Group-level internal-control/risk-management boilerplate ('the Group Audit Committee oversees how management monitors compliance with the Group's risk management policies'). Web search corroborates no dedicated sustainability/CSR reporting found for this firm. Applied consistently across FY2021-2025 (small-cap ICT holding company, stable non-disclosure profile); only FY2023 AFS directly verified.</t>
  </si>
  <si>
    <t>Source: NGX doclib 35527, Pharma-Deko Plc Audited FS FY2021. Directors' Report explicitly states 'There were no donations and/or charitable gifts made during the year 2021.' No sustainability/ESG committee, no named management sustainability role, no risk-management or metrics disclosure of any kind found. SDQ=0/20, CDQ=0/15.</t>
  </si>
  <si>
    <t>Pharma-Deko was suspended from NGX trading (11-Jul-2023) for failing to file an audited FY2022 AFS; only unaudited/abridged Q4 2022 figures are publicly available (Proshare), with no CSR/ESG narrative content. Scored 0/20 SDQ, 0/15 CDQ consistent with the confirmed FY2021 nil-disclosure pattern for this firm. FLAGGED: no audited primary source located for FY2022 - conservative/unverified estimate, candidate for re-verification if an audited FY2022 AFS surfaces later.</t>
  </si>
  <si>
    <t>Genuine gap: Total_Assets blank in Panel Data (company in restructuring/suspended; no audited FS filed for this year).</t>
  </si>
  <si>
    <t>Source: NGX doclib 46377, Premier Paints Plc Audited FS FY2025 (most recent full AFS located; earlier years' filings not separately fetched). Corporate Governance Report covers only generic Board/committee structure (Finance &amp; Strategy, Audit &amp; Risk, Nominations &amp; Governance committees - none tasked with sustainability/ESG), generic 'Employees' involvement and training' and 'Health, safety and welfare of employees' paragraphs with no named metrics, targets, processes, or donations/CSR section at all. No climate content whatsoever. SDQ=0/20, CDQ=0/15. FLAGGED: scored uniformly across FY2021-2025 based on the FY2025 filing's profile - this is a small-cap thin discloser with no apparent year-on-year change in governance disclosure depth; treat as conservative/unverified for years other than FY2025 if revisited.</t>
  </si>
  <si>
    <t>Source: presco-plc.com FY2024 AFS (direct PDF) - no FY2021-specific document fetched; scored conservatively as 0/20 SDQ (Host Communities programme expenditure and BARGC ESG-oversight listing only confirmed from FY2023 onward - see FY2023 note), 0/15 CDQ (no GHG/climate content found for any year reviewed). FLAGGED unverified for this specific year.</t>
  </si>
  <si>
    <t>Source: presco-plc.com FY2024 AFS (direct PDF) - no FY2022-specific document fetched; scored conservatively as 0/20 SDQ (Host Communities programme expenditure and BARGC ESG-oversight listing only confirmed from FY2023 onward - see FY2023 note), 0/15 CDQ (no GHG/climate content found for any year reviewed). FLAGGED unverified for this specific year.</t>
  </si>
  <si>
    <t>Source: presco-plc.com FY2024 AFS (direct PDF), Note 10 'Community Development Projects/Community Relations': 'The Company's Host Communities' Development Programme continued... Total expenditure in respect of the programme was N281,266,000 (2023: N188,266,819)' - this FY2023 comparative figure is a specific, entity-level, quantified metric -&gt; SDQ_M1=1. BARGC's explicit 'Sustainability (ESG)' oversight remit not yet confirmed for FY2023 (committee described as newly restructured in the FY2024 report) -&gt; SDQ_G1=0 this year. No GHG/Scope 1-3 figures, no climate strategy/scenario/transition-plan content -&gt; CDQ=0/15. SDQ=1/20.</t>
  </si>
  <si>
    <t>Source: presco-plc.com FY2024 AFS (direct PDF). SDQ_G1=1: Board Audit, Risk &amp; Governance Committee (BARGC) charter explicitly lists 'Sustainability (ESG)' among its named oversight areas (item e, alongside Risk Management, Internal Control, etc.) - a specific committee named with a described oversight remit. SDQ_M1=1: Host Communities' Development Programme expenditure N281,266,000 for FY2024, a specific quantified entity-level metric (Note 10). Company is also a 'foremost sponsor' of RSPO certification for Nigerian palm oil (Environment, Health and Safety section) - certification/sponsorship without a reported tonnage/hectare figure, does not meet SDQ_M3's bar for a quantified sector metric -&gt; 0. No GHG/Scope 1-3 emissions figures, no climate risk/scenario/transition-plan narrative found anywhere in the document -&gt; CDQ=0/15 despite the strong environmental-compliance and RSPO content (compliance narrative =/= climate-specific quantified disclosure, consistent with the NB/OANDO pattern flagged elsewhere in this dataset). SDQ=2/20.</t>
  </si>
  <si>
    <t>Source: presco-plc.com FY2024 AFS (direct PDF) - FY2025 AFS not separately fetched; BARGC's ESG remit and the Host Communities Development Programme are ongoing structural features so continuation is assumed (SDQ_G1=1, SDQ_M1=1) but the FY2025 expenditure figure is unconfirmed. CDQ=0/15 (no climate-specific content found in any year reviewed). SDQ=2/20. FLAGGED unverified/estimated for this specific year - candidate for re-verification against the actual FY2025 AFS.</t>
  </si>
  <si>
    <t>Source: NGX doclib 40215, Prestige Assurance Plc Audited FS FY2023 (earlier/later years not separately fetched). Standard insurance-company AFS: reinsurance/IFRS 17 technical disclosure, generic 'training and empowerment of workforce' and Board Credit and Risk Committee (financial risk only, not sustainability/ESG). No board or management sustainability/ESG oversight structure, no risk-identification process for sustainability risks, no named metrics/targets/donations/CSR section, no climate content of any kind found. SDQ=0/20, CDQ=0/15. FLAGGED: scored uniformly across FY2021-2025 based on the FY2023 filing's profile - conservative/unverified for years other than FY2023 if revisited.</t>
  </si>
  <si>
    <t>Source: NGX doclib 44952, PZ Cussons Nigeria Plc Audited FS FY2025 (year ended 31 May 2025) - earlier years' filings not separately fetched. Board Audit and Risk Management Committee and Governance and People Committee are the only two standing committees disclosed; neither is tasked with sustainability/ESG specifically. No sustainability metrics, targets, or donation figures independently confirmed for FY2021 (PZ Foundation donation figures are only evidenced for FY2024/FY2025 via the FY2025 report's comparative note - see those years). No climate content of any kind found. SDQ=0/20, CDQ=0/15. FLAGGED conservative/unverified for this specific year.</t>
  </si>
  <si>
    <t>Source: NGX doclib 44952, PZ Cussons Nigeria Plc Audited FS FY2025 (year ended 31 May 2025) - earlier years' filings not separately fetched. Board Audit and Risk Management Committee and Governance and People Committee are the only two standing committees disclosed; neither is tasked with sustainability/ESG specifically. No sustainability metrics, targets, or donation figures independently confirmed for FY2022 (PZ Foundation donation figures are only evidenced for FY2024/FY2025 via the FY2025 report's comparative note - see those years). No climate content of any kind found. SDQ=0/20, CDQ=0/15. FLAGGED conservative/unverified for this specific year.</t>
  </si>
  <si>
    <t>Source: NGX doclib 44952, PZ Cussons Nigeria Plc Audited FS FY2025 (year ended 31 May 2025) - earlier years' filings not separately fetched. Board Audit and Risk Management Committee and Governance and People Committee are the only two standing committees disclosed; neither is tasked with sustainability/ESG specifically. No sustainability metrics, targets, or donation figures independently confirmed for FY2023 (PZ Foundation donation figures are only evidenced for FY2024/FY2025 via the FY2025 report's comparative note - see those years). No climate content of any kind found. SDQ=0/20, CDQ=0/15. FLAGGED conservative/unverified for this specific year.</t>
  </si>
  <si>
    <t>Source: NGX doclib 44952, PZ Cussons Nigeria Plc Audited FS FY2025, Directors' Report 'Gifts and donations' note: 'The Group did not contribute any gifts or donation during the year ended 31 May 2025 (2024: N60 million) to PZ Foundation. The Foundation commissioned a number of sustainable projects to the benefit of various communities...' - the FY2024 N60m figure is a specific, entity-level, quantified donation metric with a named recipient -&gt; SDQ_M1=1. No sustainability/ESG board committee, no named management sustainability role, no risk process, no target, no methodology disclosed -&gt; other SDQ items=0. No climate/GHG content anywhere -&gt; CDQ=0/15. SDQ=1/20.</t>
  </si>
  <si>
    <t>Source: NGX doclib 44952, PZ Cussons Nigeria Plc Audited FS FY2025, Directors' Report 'Gifts and donations' note: 'The Group did not contribute any gifts or donation during the year ended 31 May 2025 (2024: N60 million) to PZ Foundation.' The explicit nil-figure with a named recipient/prior-year comparative is still a specific, entity-level, quantified metric -&gt; SDQ_M1=1. All other SDQ items=0 (no sustainability/ESG committee, role, process, target, or methodology found). No climate/GHG content anywhere in the document -&gt; CDQ=0/15. SDQ=1/20.</t>
  </si>
  <si>
    <t>Source: NGX doclib 44405, Red Star Express Plc Audited FS FYE 31-Mar-2025 - earlier years' filings not separately fetched. Donation figures confirmed only for FY2024/FY2025 via this report's comparative note; no other quantified sustainability metric found. No sustainability/ESG board committee, no climate content. SDQ=0/20, CDQ=0/15. FLAGGED conservative/unverified for FY2021.</t>
  </si>
  <si>
    <t>Source: NGX doclib 44405, Red Star Express Plc Audited FS FYE 31-Mar-2025 - earlier years' filings not separately fetched. Donation figures confirmed only for FY2024/FY2025 via this report's comparative note; no other quantified sustainability metric found. No sustainability/ESG board committee, no climate content. SDQ=0/20, CDQ=0/15. FLAGGED conservative/unverified for FY2022.</t>
  </si>
  <si>
    <t>Source: NGX doclib 44405, Red Star Express Plc Audited FS FYE 31-Mar-2025 - earlier years' filings not separately fetched. Donation figures confirmed only for FY2024/FY2025 via this report's comparative note; no other quantified sustainability metric found. No sustainability/ESG board committee, no climate content. SDQ=0/20, CDQ=0/15. FLAGGED conservative/unverified for FY2023.</t>
  </si>
  <si>
    <t>Source: NGX doclib 44405, Red Star Express Plc Audited FS FYE 31-Mar-2025, Note 12 Donations: Embassy of USA N375,000 + Courier and Logistics Management Institute N250,000 = N625,000 total FY2024 - specific, entity-level, quantified metric -&gt; SDQ_M1=1. No sustainability/ESG board committee (Audit, Strategy &amp; Business Development, Risk Management, Governance Nomination &amp; Remuneration committees are all generic) -&gt; other SDQ items=0. No climate/GHG content anywhere -&gt; CDQ=0/15. SDQ=1/20.</t>
  </si>
  <si>
    <t>Source: NGX doclib 44405, Red Star Express Plc Audited FS FYE 31-Mar-2025, Note 12 Donations: NBCC Maritime and Logistics N1,000,000 + Special Persons Association of Nigeria N200,000 = N1,200,000 total FY2025 - specific, entity-level, quantified metric -&gt; SDQ_M1=1. No sustainability/ESG board committee -&gt; other SDQ items=0. No climate/GHG content anywhere -&gt; CDQ=0/15. SDQ=1/20.</t>
  </si>
  <si>
    <t>Source: NGX doclib 47547, Regency Alliance Insurance Plc Audited FS FYE 31-Dec-2025 - earlier years' filings not separately fetched; the detailed SUSTAINABILITY section is reporting-year (FY2025) specific and not confirmed for earlier years. SDQ=0/20, CDQ=0/15. FLAGGED conservative/unverified for FY2021.</t>
  </si>
  <si>
    <t>Source: NGX doclib 47547, Regency Alliance Insurance Plc Audited FS FYE 31-Dec-2025 - earlier years' filings not separately fetched; the detailed SUSTAINABILITY section is reporting-year (FY2025) specific and not confirmed for earlier years. SDQ=0/20, CDQ=0/15. FLAGGED conservative/unverified for FY2022.</t>
  </si>
  <si>
    <t>Source: NGX doclib 47547, Regency Alliance Insurance Plc Audited FS FYE 31-Dec-2025 - earlier years' filings not separately fetched; the detailed SUSTAINABILITY section is reporting-year (FY2025) specific and not confirmed for earlier years. SDQ=0/20, CDQ=0/15. FLAGGED conservative/unverified for FY2023.</t>
  </si>
  <si>
    <t>Source: NGX doclib 47547, Regency Alliance Insurance Plc Audited FS FYE 31-Dec-2025, Note 6 Donations and Charitable Gifts: itemised donations to 13 named institutions totalling N1,550,000 for FY2024 (comparative column) - specific, entity-level, quantified metric -&gt; SDQ_M1=1. The detailed FY2025 SUSTAINABILITY section narrative is not confirmed as applying to FY2024 -&gt; other SDQ items=0. No climate/GHG figures -&gt; CDQ=0/15. SDQ=1/20.</t>
  </si>
  <si>
    <t>Source: NGX doclib 47547, Regency Alliance Insurance Plc Audited FS FYE 31-Dec-2025. Note 6 Donations: 13 named beneficiary institutions totalling N12,916,000 - specific, entity-level, quantified metric -&gt; SDQ_M1=1. Corporate Governance Report Section 5 'SUSTAINABILITY' describes concrete FY2025 actions - waste reduction/recycling, energy management (Total Annual Energy Consumption 313,916.10 kWh, 100 KVA solar inverter), occupational H&amp;S (zero injuries/fatalities), DEI workforce tables, 28 avg. training hours/employee, 14.69% employee turnover, CSR reach of 20,000+ individuals - concrete strategic/operational responses -&gt; SDQ_S3=1. No named sustainability/ESG board committee, no risk-ID process with stated criteria, no forward target with reported progress, no insurance-sector-specific ESG metric, no calculation methodology cited -&gt; other SDQ items=0. CDQ: only qualitative 'carbon footprint' reduction language + an energy-consumption kWh figure (not a GHG tCO2e figure) and no quantified climate target/date -&gt; CDQ=0/15 per this dataset's established rule that energy/qualitative-carbon language does not satisfy CDQ_M1-M4. SDQ=2/20.</t>
  </si>
  <si>
    <t>Source: NGX doclib 40769, Ronchess Global Resources Plc UNAUDITED Q4 2023 Financial Statements (quarter ended 31-Dec-2023) - the only filing located with meaningful narrative content; no full audited annual report with a Directors' Report was found on NGX doclib or AfricanFinancials for this small-cap construction firm. The document contains only financial statements and notes with no donations/CSR/sustainability/governance-committee narrative section at all (a bare 'CSR' reference appears once, apparently a stray table-of-contents/heading artifact with no accompanying body text). No climate/GHG content of any kind. SDQ=0/20, CDQ=0/15. FLAGGED: scored uniformly across FY2021-2025 - conservative/unverified given the thinness of the only primary source located; candidate for re-verification if a full audited AFS is later found.</t>
  </si>
  <si>
    <t>Source: NGX doclib 41567, Royal Exchange Plc Audited FS FYE 31-Dec-2023 - earlier years' filings not separately fetched. The document's own 'net zero roadmap... by the end of 2024' and forward-looking 'we will further embed sustainability' language indicate the Sustainability Policy content is a recent/new initiative as of FY2023, not retroactively applicable. SDQ=0/20, CDQ=0/15. FLAGGED conservative/unverified for FY2021 - this firm's sustainability disclosure pre-dates confirmation.</t>
  </si>
  <si>
    <t>Source: NGX doclib 41567, Royal Exchange Plc Audited FS FYE 31-Dec-2023 - earlier years' filings not separately fetched. The document's own 'net zero roadmap... by the end of 2024' and forward-looking 'we will further embed sustainability' language indicate the Sustainability Policy content is a recent/new initiative as of FY2023, not retroactively applicable. SDQ=0/20, CDQ=0/15. FLAGGED conservative/unverified for FY2022 - this firm's sustainability disclosure pre-dates confirmation.</t>
  </si>
  <si>
    <t>Source: NGX doclib 41567, Royal Exchange Plc Audited FS FYE 31-Dec-2023, dedicated 'Sustainability Policy' section (p.13). SDQ_S1=1: names 'Climate change and health' as a distinguished material topic (alongside inclusion/diversity, ethical conduct) rather than generic ESG language. SDQ_S2=1/CDQ_S2=1: describes effect on investment portfolio/value chain - 'committed to investing and managing our portfolio in line with global net zero scope 1 and 2 GHG emissions by 2040'. SDQ_S3=1: concrete strategy response (net-zero roadmap, stated targets e.g. 'zero injuries within our offices and on our fleet'). SDQ_S5=1: qualitative resilience statement ('continue to invest in the adaptation and resilience of our portfolio to improve early detection of potential risks'). SDQ_R1=1: materiality-identification process described ('we identify these by evaluating the environmental, social and economic impacts of our business in close partnership with external stakeholders'). SDQ_G1=0: 'ESG Oversight Committee' is explicitly a FUTURE plan ('we will further embed sustainability... by the creation of ESG Oversight Committee'), not yet established -&gt; not credited. Donations note: 'There were no donations during the period December 2023 (2022: Nil)' -&gt; SDQ_M1=0 (no other quantified metric found). No target-progress, no sector metric, no remuneration link, no methodology cited -&gt; other SDQ items=0. SDQ=5/20. CDQ_S4=1: the net-zero roadmap is a genuine climate transition plan. CDQ_M4=1: the 'net zero scope 1 and 2 GHG emissions by 2040' commitment is a specific, quantified, dated climate target. CDQ_S1=0: only transition risk is addressed (no physical-risk discussion), so the item's 'both physical and transition' bar is not met. No actual Scope 1/2/3 tCO2e FIGURE is reported (target only, no current-year metric) -&gt; CDQ_M1-M3=0; no progress against the target reported -&gt; CDQ_M5=0; no climate-specific financial metric -&gt; CDQ_M6=0; no board/management climate-specific governance yet (ESG Oversight Committee still a future plan) -&gt; CDQ_G1-G3=0; no distinct climate risk-ID process beyond the general ESG materiality process -&gt; CDQ_R1-R2=0. CDQ=3/15.</t>
  </si>
  <si>
    <t>Source: NGX doclib 41567, Royal Exchange Plc Audited FS FYE 31-Dec-2023 - FY2024 filing not separately fetched; the Sustainability Policy, net-zero roadmap and materiality process are structural/ongoing commitments so continuation into FY2024 is assumed at the same profile as the confirmed FY2023 disclosure (SDQ=5/20: S1,S2,S3,S5,R1; CDQ=3/15: S2,S4,M4). FLAGGED unverified/estimated for this specific year - candidate for re-verification against the actual FY2024 AFS (which may show the planned ESG Oversight Committee established by then, potentially unlocking SDQ_G1/CDQ_G1).</t>
  </si>
  <si>
    <t>Source: NGX doclib 41567, Royal Exchange Plc Audited FS FYE 31-Dec-2023 - FY2025 filing not separately fetched; the Sustainability Policy, net-zero roadmap and materiality process are structural/ongoing commitments so continuation into FY2025 is assumed at the same profile as the confirmed FY2023 disclosure (SDQ=5/20: S1,S2,S3,S5,R1; CDQ=3/15: S2,S4,M4). FLAGGED unverified/estimated for this specific year - candidate for re-verification against the actual FY2025 AFS (which may show the planned ESG Oversight Committee established by then, potentially unlocking SDQ_G1/CDQ_G1).</t>
  </si>
  <si>
    <t>Source: NGX doclib 46407, R.T. Briscoe (Nigeria) Plc Audited FS FYE 31-Dec-2025 - earlier years' filings not separately fetched. Donation figures confirmed only for FY2024/FY2025 via this report's comparative note; no other quantified sustainability metric found. No sustainability/ESG board committee (Audit, Business Strategy, Governance committees are all generic), no climate content. SDQ=0/20, CDQ=0/15. FLAGGED conservative/unverified for FY2021.</t>
  </si>
  <si>
    <t>Source: NGX doclib 46407, R.T. Briscoe (Nigeria) Plc Audited FS FYE 31-Dec-2025 - earlier years' filings not separately fetched. Donation figures confirmed only for FY2024/FY2025 via this report's comparative note; no other quantified sustainability metric found. No sustainability/ESG board committee (Audit, Business Strategy, Governance committees are all generic), no climate content. SDQ=0/20, CDQ=0/15. FLAGGED conservative/unverified for FY2022.</t>
  </si>
  <si>
    <t>Source: NGX doclib 46407, R.T. Briscoe (Nigeria) Plc Audited FS FYE 31-Dec-2025 - earlier years' filings not separately fetched. Donation figures confirmed only for FY2024/FY2025 via this report's comparative note; no other quantified sustainability metric found. No sustainability/ESG board committee (Audit, Business Strategy, Governance committees are all generic), no climate content. SDQ=0/20, CDQ=0/15. FLAGGED conservative/unverified for FY2023.</t>
  </si>
  <si>
    <t>Source: NGX doclib 46407, R.T. Briscoe (Nigeria) Plc Audited FS FYE 31-Dec-2025, Directors' Report Donations note: 'The Group donated N4,910,000 (2024: N1,750,000) to the following charitable institutions' - FY2024 comparative figure of N1,750,000, itemised beneficiaries not broken out for 2024 specifically but the total is a specific, entity-level, quantified metric -&gt; SDQ_M1=1. No sustainability/ESG board committee -&gt; other SDQ items=0. No climate/GHG content anywhere -&gt; CDQ=0/15. SDQ=1/20.</t>
  </si>
  <si>
    <t>Source: NGX doclib 46407, R.T. Briscoe (Nigeria) Plc Audited FS FYE 31-Dec-2025, Directors' Report Donations note: 'The Group donated N4,910,000 (2024: N1,750,000) to the following charitable institutions during the year' - itemised: Rumuokwurushi Community Town Council &amp; Youth Sports Festival N600,000; CSR Support for Graceland Diabetes Foundation N550,000; Sponsorship LCCI Automobile Sector Annual Conf N700,000; Donation to Fed. Polytechnic Ilaro Accountancy dept N500,000; sponsorship support for Insurance Council/AFMLSN/NAJA/Independent Shareholders Association N2,100,000 - specific, entity-level, quantified, itemised metric -&gt; SDQ_M1=1. No sustainability/ESG board committee (Audit, Business Strategy, Governance committees are all generic corporate-governance bodies) -&gt; other SDQ items=0. No climate/GHG content anywhere in the document -&gt; CDQ=0/15. SDQ=1/20.</t>
  </si>
  <si>
    <t>Source: NGX doclib 40710, SCOA Nigeria Plc Audited FS FYE 31-Dec-2023 (earlier/later years not separately fetched). Directors' Report explicitly states 'The Company made no donation in the year 2023 (2022: Nil)'. Three board committees (Governance and Remuneration, Risk Management, Audit) - none tasked with sustainability/ESG. Generic 'Health, Safety and Welfare' and 'Employees Involvement and Training' paragraphs with no named metrics or targets. No climate/GHG/environment/sustainability content found anywhere in the document (confirmed via targeted keyword search). SDQ=0/20, CDQ=0/15. FLAGGED: scored uniformly across FY2021-2025 based on the FY2023 filing's profile - a thin-discloser conglomerate with no apparent ESG disclosure practice; conservative/unverified for years other than FY2023 if revisited.</t>
  </si>
  <si>
    <t>Source: NGX doclib 41597, Seplat Energy Plc 2023 Sustainability Report - FY2021 standalone Sustainability Report not separately fetched (Seplat is confirmed via web search to publish standalone Sustainability Reports for FY2021, FY2022 and FY2023 at minimum, with historic Scope 1/2 GHG data existing back to at least FY2020/2021 per a disclosed restatement). Given this firm's well-established, multi-year, GRI/SASB/TCFD-aligned reporting practice, the confirmed FY2023 profile (SDQ=14/20, CDQ=11/15) is applied as a continuation estimate for FY2021. FLAGGED unverified/estimated for this specific year - candidate for re-verification against the actual FY2021 Sustainability Report, which may show a different (likely lower for FY2021-2022, given the year-on-year improvement trajectory described in the FY2023 report; or similar/higher for FY2024-2025) item-level profile.</t>
  </si>
  <si>
    <t>Source: NGX doclib 41597, Seplat Energy Plc 2023 Sustainability Report - FY2022 standalone Sustainability Report not separately fetched (Seplat is confirmed via web search to publish standalone Sustainability Reports for FY2021, FY2022 and FY2023 at minimum, with historic Scope 1/2 GHG data existing back to at least FY2020/2021 per a disclosed restatement). Given this firm's well-established, multi-year, GRI/SASB/TCFD-aligned reporting practice, the confirmed FY2023 profile (SDQ=14/20, CDQ=11/15) is applied as a continuation estimate for FY2022. FLAGGED unverified/estimated for this specific year - candidate for re-verification against the actual FY2022 Sustainability Report, which may show a different (likely lower for FY2021-2022, given the year-on-year improvement trajectory described in the FY2023 report; or similar/higher for FY2024-2025) item-level profile.</t>
  </si>
  <si>
    <t>Source: NGX doclib 41597, Seplat Energy Plc 2023 Sustainability Report. SDQ_G1=1: named board-level Sustainability Committee with a Chair's Statement describing its oversight role. SDQ_S1-S5=1: material risks/opportunities named (Energy Transition chapter), effects on Upstream/Midstream Gas business model described, decarbonisation strategy and Net Zero 2050 target described, quantified financial commitment ($41.5m decarbonising programme, $5.7m flaring reduction), and an explicit resilience statement ('Our evaluation confirms our business's resilience across all climate change scenarios'). SDQ_R1/R2/R3/R5=1: risk management processes covering 'risks most sensitive to climate change' are described, a materiality-assessment process (SASB/GRI-aligned) covers both risk identification/prioritisation and opportunity identification, and a GHG accounting system (Noobyia) provides ongoing monitoring. SDQ_R4=0 (no explicit ERM-integration statement located in the reviewed text). SDQ_M1/M2/M3/M5=1: named GHG and other metrics with figures, Net Zero 2050 target with reported progress (LDAR-driven reduction of 4,571 MtCO2e), GRI 11 Oil &amp; Gas Sector Standard / SASB sector metrics, and an explicitly stated GHG-accounting methodology (operated-asset method disclosed, changed from equity method, with the change itself explained). SDQ_M4=0 (no remuneration link found). SDQ=14/20. CDQ_S1=1: both physical risk ('extreme weather events and changing climate patterns can disrupt our operations and infrastructure') and transition risk (Net Zero roadmap) are addressed. CDQ_S2=1: effects on Upstream/Midstream Gas business segments described. CDQ_S3=1: climate scenario resilience statement. CDQ_S4=1: explicit Short-term/Medium-term/Long-term decarbonisation transition plan. CDQ_R1=1: risk-management process explicitly covers climate-sensitive risks. CDQ_R2=0 (no explicit ERM-integration statement located). CDQ_M1=1: Scope 1 GHG figure reported (tCO2e). CDQ_M2=1: Scope 2 GHG figure reported (2,198 tCO2e, 2023). CDQ_M3=1: Scope 3 GHG figure reported (14,915 tCO2e, 2023). CDQ_M4=1: dated, quantified climate targets (Net Zero by 2050; end routine flaring by end of 2025). CDQ_M5=1: progress against targets reported (LDAR-driven 4,571 MtCO2e reduction; Scope 1 down 37% vs 2020 baseline per search-confirmed public disclosure, consistent with the primary source's reduction figures). CDQ_M6=1: quantified climate-related financial metrics ($41.5m decarbonising programme, $5.7m flaring-reduction capex). CDQ_G1-G3=0: the Sustainability Committee is a general ESG oversight body, not explicitly distinguished as climate-specific, and no named climate-specific management role/board expertise was located in the reviewed text. CDQ=11/15.</t>
  </si>
  <si>
    <t>Source: NGX doclib 41597, Seplat Energy Plc 2023 Sustainability Report - FY2024 standalone Sustainability Report not separately fetched (Seplat is confirmed via web search to publish standalone Sustainability Reports for FY2021, FY2022 and FY2023 at minimum, with historic Scope 1/2 GHG data existing back to at least FY2020/2021 per a disclosed restatement). Given this firm's well-established, multi-year, GRI/SASB/TCFD-aligned reporting practice, the confirmed FY2023 profile (SDQ=14/20, CDQ=11/15) is applied as a continuation estimate for FY2024. FLAGGED unverified/estimated for this specific year - candidate for re-verification against the actual FY2024 Sustainability Report, which may show a different (likely lower for FY2021-2022, given the year-on-year improvement trajectory described in the FY2023 report; or similar/higher for FY2024-2025) item-level profile.</t>
  </si>
  <si>
    <t>Source: NGX doclib 41597, Seplat Energy Plc 2023 Sustainability Report - FY2025 standalone Sustainability Report not separately fetched (Seplat is confirmed via web search to publish standalone Sustainability Reports for FY2021, FY2022 and FY2023 at minimum, with historic Scope 1/2 GHG data existing back to at least FY2020/2021 per a disclosed restatement). Given this firm's well-established, multi-year, GRI/SASB/TCFD-aligned reporting practice, the confirmed FY2023 profile (SDQ=14/20, CDQ=11/15) is applied as a continuation estimate for FY2025. FLAGGED unverified/estimated for this specific year - candidate for re-verification against the actual FY2025 Sustainability Report, which may show a different (likely lower for FY2021-2022, given the year-on-year improvement trajectory described in the FY2023 report; or similar/higher for FY2024-2025) item-level profile.</t>
  </si>
  <si>
    <t>Source: NGX doclib 40652, SFS Real Estate Investment Trust Annual Report FYE 31-Dec-2023 (earlier/later years not separately fetched, though the fund's structure is unchanged across the panel per the Five-Year Financial Summary in this report). SFS REIT is a passive, externally managed close-ended real estate investment trust with no employees and no operations of its own (all PPE/staff belong to the Fund Manager, SFS Capital Nigeria Limited, not the Fund). The document's only governance content is a standard financial Risk Management Analysis (credit, liquidity, market, operational risk via Management Risk/Credit Committees) - purely financial-risk oriented, with no sustainability/ESG/climate committee, metric, target, donation or CSR content of any kind. This mirrors the precedent already established in this dataset for NIDF (investment-fund/trust entities score conservatively on operating-company-oriented SDQ/CDQ items). SDQ=0/20, CDQ=0/15. FLAGGED: scored uniformly across FY2021-2025 given the fund's static no-employee structure confirmed by the Five-Year Summary.</t>
  </si>
  <si>
    <t>Source: NGX doclib 37958, SAHCO Plc Audited FS FYE 31-Dec-2022, Note 10 Gifts and Donations: AAA Foundation N12,000,000 + Others N60,254,800 = N72,254,800 total for FY2021 (comparative column) - specific, entity-level, quantified metric -&gt; SDQ_M1=1. A separate 'ENVIRONMENTAL POLICY' section states only generic aspirational language ('aims to ensure that the highest standard of environmental care is achieved... will continually seek new ways to maintain and improve') with no specific process, metric or figure -&gt; does not unlock any additional item. No sustainability/ESG board committee (Audit, Governance and Nominations committees are generic) -&gt; other SDQ items=0. No climate/GHG content anywhere -&gt; CDQ=0/15. SDQ=1/20.</t>
  </si>
  <si>
    <t>Source: NGX doclib 37958, SAHCO Plc Audited FS FYE 31-Dec-2022, Note 10 Gifts and Donations: AAA Foundation N12,000,000 + Others N59,649,375 = N71,649,375 total FY2022 - specific, entity-level, quantified metric -&gt; SDQ_M1=1. Same generic Environmental Policy / governance-committee profile as FY2021 -&gt; other SDQ items=0. No climate/GHG content -&gt; CDQ=0/15. SDQ=1/20.</t>
  </si>
  <si>
    <t>Source: NGX doclib 37958, SAHCO Plc Audited FS FYE 31-Dec-2022 - FY2023 filing not separately fetched; donation-note practice confirmed for FY2021-2022 assumed to continue but the FY2023 figure itself is unconfirmed. SDQ=0/20 (FLAGGED conservative - no confirmed FY2023 metric), CDQ=0/15.</t>
  </si>
  <si>
    <t>Source: NGX doclib 37958, SAHCO Plc Audited FS FYE 31-Dec-2022 - FY2024 filing not separately fetched; donation-note practice confirmed for FY2021-2022 assumed to continue but the FY2024 figure itself is unconfirmed. SDQ=0/20 (FLAGGED conservative - no confirmed FY2024 metric), CDQ=0/15.</t>
  </si>
  <si>
    <t>Source: NGX doclib 37958, SAHCO Plc Audited FS FYE 31-Dec-2022 - FY2025 filing not separately fetched; donation-note practice confirmed for FY2021-2022 assumed to continue but the FY2025 figure itself is unconfirmed. SDQ=0/20 (FLAGGED conservative - no confirmed FY2025 metric), CDQ=0/15.</t>
  </si>
  <si>
    <t>Source: NGX doclib 44202, Sovereign Trust Insurance Plc Audited FS FYE 31-Dec-2024 (earlier/later years not separately fetched). Four board committees disclosed (Enterprise Risk Management and Governance Committee, Finance/Investment/General Purposes Committee, Audit and Compliance Committee, Nomination Remuneration and Governance Committee) - the 'Enterprise Risk Management and Governance' name was checked closely but its described purpose and NAICOM-guideline basis are generic prudential/financial-risk oversight, not sustainability/ESG-specific -&gt; SDQ_G1=0. No Gifts/Donations/CSR/Sustainability section was located in the reviewed text (a public web summary references FY2025 donations of approx. N9.5m, but this is a secondary aggregation, not a primary source, and refers to a different fiscal year than the document reviewed here - per this dataset's anti-circularity rule, it is not credited). Generic 'Employee Involvement and Training' paragraph only. No climate/GHG content anywhere. SDQ=0/20, CDQ=0/15. FLAGGED: scored uniformly across FY2021-2025 based on the FY2024 filing's profile - conservative/unverified for years other than FY2024, and a candidate for re-verification of FY2025 specifically once a primary FY2025 AFS is fetched (given the donation figure referenced in secondary sources).</t>
  </si>
  <si>
    <t>Genuine gap: Total_Assets blank in Panel Data (company is a confirmed NGX delinquent filer).</t>
  </si>
  <si>
    <t>STACO Insurance Plc is a confirmed NGX delinquent filer - non-rendition of audited financial statements for 2018-2023 per NGX X-Compliance reports; catch-up filings located on NGX doclib cover only FY2018-2020 (filed extremely late in Jan/Feb 2026), and no FY2024 audited AFS could be located on NGX doclib, AfricanFinancials, or via web search despite extensive attempts. The Panel Data Total_Assets figure of N2,000,000 for FY2024 is a placeholder/estimated value that could not be verified against a primary source this session. Scored conservatively at 0/20 SDQ, 0/15 CDQ. FLAGGED: no primary source located - candidate for re-verification if/when STACO files an audited FY2024 AFS.</t>
  </si>
  <si>
    <t>Source: NGX doclib 43483, Stanbic IBTC Holdings Plc Audited FS FYE 31-Dec-2024 - FY2021 filing not separately fetched; donation figures confirmed only for FY2023/FY2024 via this report's disclosure. SDQ=0/20, CDQ=0/15. FLAGGED conservative/unverified for FY2021 - see FY2024 note regarding the unverified standalone Group Sustainability Report.</t>
  </si>
  <si>
    <t>Source: NGX doclib 43483, Stanbic IBTC Holdings Plc Audited FS FYE 31-Dec-2024 - FY2022 filing not separately fetched; donation figures confirmed only for FY2023/FY2024 via this report's disclosure. SDQ=0/20, CDQ=0/15. FLAGGED conservative/unverified for FY2022 - see FY2024 note regarding the unverified standalone Group Sustainability Report.</t>
  </si>
  <si>
    <t>Source: NGX doclib 43483, Stanbic IBTC Holdings Plc Audited FS FYE 31-Dec-2024. Directors' Report 'Donations and Charitable Gifts': an itemised table of 23 named beneficiary organisations/projects (e.g. Lagos State Security Trust Fund N50m, flood-relief via Bankers' Committee N20m, Nigerian Montane Forest Project for Ecology Research N5m, multiple hospital/school renovations) totalling N1,025,456,625 (Group) / N848,340,113 (Company) for FY2024, with a stated FY2023 comparative of N794 million (Group) / N790 million (Company) - specific, entity-level, quantified metrics -&gt; SDQ_M1=1 for both years. Corporate Governance Report states the Board will 'continue to drive environmental, social, governance goals and practices in line with the Central Bank of Nigeria sustainability principles' - names a specific external framework (CBN Sustainable Banking Principles) rather than generic ESG language -&gt; SDQ_S1=1. No board committee is explicitly named/tasked with sustainability/ESG oversight in this AFS (only Statutory Audit Committee and Board Audit Committee found) -&gt; SDQ_G1=0; no other specific process/target/methodology found in this document -&gt; other SDQ items=0. SDQ=2/20. No GHG/climate figures of any kind found in this AFS -&gt; CDQ=0/15. NOTE: Stanbic IBTC is independently confirmed (via web search) to publish a separate, standalone Group Sustainability Report (e.g. a 2020 edition reporting a 1.67-tonne carbon emission reduction and hybrid-solar branch deployment) which was NOT fetched or verified this session - this AFS-only scoring is therefore conservative and likely understates the firm's true group-level SDQ/CDQ profile; flagged as a strong candidate for re-verification against the standalone Sustainability Report.</t>
  </si>
  <si>
    <t>Source: NGX doclib 43483, Stanbic IBTC Holdings Plc Audited FS FYE 31-Dec-2024 - FY2025 filing not separately fetched; donation figures confirmed only for FY2023/FY2024 via this report's disclosure. SDQ=0/20, CDQ=0/15. FLAGGED conservative/unverified for FY2025 - see FY2024 note regarding the unverified standalone Group Sustainability Report.</t>
  </si>
  <si>
    <t>Source: sterlingholdco.ng, Sterling Financial Holdings Company Plc Annual Report &amp; Financial Statements 2024, which explicitly states that 'FY2024 marks the inaugural reporting cycle that consolidates emissions data for the entire Sterling Financial Holdings Company' - meaning the rich, quantified GHG/ESG profile confirmed for FY2024 (SDQ=12/20, CDQ=8/15) is a NEW disclosure practice not in place in FY2021-2023. Scored conservatively at 0/20 SDQ, 0/15 CDQ for FY2021. FLAGGED: no primary source fetched for this specific year; this firm plausibly had some earlier-stage sustainability narrative (Sterling is independently known for its long-standing Sterling One Foundation CSR initiative) that was not verified this session.</t>
  </si>
  <si>
    <t>Source: sterlingholdco.ng, Sterling Financial Holdings Company Plc Annual Report &amp; Financial Statements 2024, which explicitly states that 'FY2024 marks the inaugural reporting cycle that consolidates emissions data for the entire Sterling Financial Holdings Company' - meaning the rich, quantified GHG/ESG profile confirmed for FY2024 (SDQ=12/20, CDQ=8/15) is a NEW disclosure practice not in place in FY2021-2023. Scored conservatively at 0/20 SDQ, 0/15 CDQ for FY2022. FLAGGED: no primary source fetched for this specific year; this firm plausibly had some earlier-stage sustainability narrative (Sterling is independently known for its long-standing Sterling One Foundation CSR initiative) that was not verified this session.</t>
  </si>
  <si>
    <t>Source: sterlingholdco.ng, Sterling Financial Holdings Company Plc Annual Report &amp; Financial Statements 2024, which explicitly states that 'FY2024 marks the inaugural reporting cycle that consolidates emissions data for the entire Sterling Financial Holdings Company' - meaning the rich, quantified GHG/ESG profile confirmed for FY2024 (SDQ=12/20, CDQ=8/15) is a NEW disclosure practice not in place in FY2021-2023. Scored conservatively at 0/20 SDQ, 0/15 CDQ for FY2023. FLAGGED: no primary source fetched for this specific year; this firm plausibly had some earlier-stage sustainability narrative (Sterling is independently known for its long-standing Sterling One Foundation CSR initiative) that was not verified this session.</t>
  </si>
  <si>
    <t>Source: sterlingholdco.ng, Sterling Financial Holdings Company Plc Annual Report &amp; Financial Statements 2024. Explicitly GRI/IFRS S1&amp;S2/UNGC/SDGs/TCFD/NSBPs/GHG-Protocol-aligned reporting. SDQ_S1=1: named material topics (climate-related risk management, financial inclusion, gender equity, decarbonization), not generic ESG language. SDQ_S2=1: sustainability strategy tied to lending activity (N89bn credit disbursed under ESG-aligned initiatives). SDQ_S3=1: net-zero ambition and decarbonisation initiatives (solarization, hybrid power) described as strategic responses. SDQ_S4=1: quantified lending figure tied to the sustainability strategy. SDQ_R1=1: 'proactive assessment of climate-related financial risks, regulatory changes, and shifting market dynamics' is an explicit risk-identification process. SDQ_R3=1: 'comprehensive monitoring system to track our monthly energy usage across all our offices'. SDQ_R4=1: explicit statement that climate risk management is 'integrated into our ESG framework, ensuring that our financial operations remain resilient'. SDQ_R5=1: same ESG framework process covers opportunity identification (decarbonisation/green-financing initiatives). SDQ_M1=1: multiple named quantified metrics (diesel litres, electricity kWh, paper reams/kg, water litres, GHG tCO2e). SDQ_M2=1: net-zero ambition (target) plus reported progress (116.5 tCO2e emissions savings in 2024, up 28% from 90.7 tCO2e in 2023, from the Head Office solarization project). SDQ_M3=1: banking-sector-specific metric (sustainable-finance credit disbursement volume). SDQ_M5=1: methodology explicitly cited (GHG Protocol, GRI Standards, IFRS S1&amp;S2, TCFD). SDQ_G1-G5=0 (no board committee/named management role/reporting-frequency/remuneration-link/board-expertise found in the reviewed text). SDQ=12/20. CDQ_M1=1: Scope 1 GHG figures reported in a dedicated 'Scope 1 &amp; 2 Emission Trend (in tCO2e)' table, broken out by Sterling Bank, Alternative Bank and HoldCo, with a diesel emission driver. CDQ_M2=1: Scope 2 (electricity) figures reported in the same table. CDQ_M3=1: Scope 3 (petrol, 'All other Indirect Emissions') figures reported for Sterling Bank/HoldCo (explicit nil for Alternative Bank). CDQ_S2=1: effect on business model described (lending activity, branch/ATM network solarization). CDQ_S4=1: transition actions described (955kWp Head Office solarization project, IFC EDGE Advanced certification, 46 branches on hybrid/renewable power, 196 solar-powered ATMs = 48.3% of network). CDQ_R1=1/R2=1: as per SDQ_R1/R4 above, now credited on the climate-specific reading since the described risks are explicitly climate-related. CDQ_M5=1: quantified progress (116.5 tCO2e savings, +28% YoY). CDQ_G1-G3=0 (no board-level committee/role/expertise distinguished as climate-specific was found). CDQ_S1=0 (only transition-related content was found; no physical-risk discussion located in the reviewed text). CDQ_S3=0 (TCFD alignment is claimed but no explicit scenario-analysis narrative was located). CDQ_M4=0 (net-zero is described only as 'our overall long-term goal' with no stated target date). CDQ_M6=0 (the N89bn lending figure is general sustainable-finance activity, not a climate-specific financial metric such as internal carbon pricing or climate-transition capex/opex). CDQ=8/15. IMPORTANT: the report explicitly states '2024 marks the inaugural reporting cycle that consolidates emissions data for the entire Sterling Financial Holdings Company' - this rich profile is therefore NOT applied retroactively to FY2021-2023 (see those years' notes).</t>
  </si>
  <si>
    <t>Source: sterlingholdco.ng, Sterling Financial Holdings Company Plc Annual Report &amp; Financial Statements 2024 - FY2025 filing not separately fetched; the FY2024 consolidated GHG-reporting practice (the 'inaugural reporting cycle') is assumed to continue into FY2025 at the same confirmed profile (SDQ=12/20, CDQ=8/15). FLAGGED unverified/estimated for this specific year - candidate for re-verification against the actual FY2025 AFS.</t>
  </si>
  <si>
    <t>Source: NGX doclib 43629, Sunu Assurances Nigeria Plc Audited FS FYE 31-Dec-2024 (earlier/later years not separately fetched). Corporate Governance Report covers only standard governance machinery - Board Remuneration, Nomination and Governance Committee (director appointment/education process, not sustainability/ESG), Audit Committee, COSO-based internal control framework. No donations/CSR/sustainability/environment section of any kind was located in the reviewed text (targeted keyword search for donation/sustainab/environment/committee/CSR/climate/emission/carbon/GHG confirmed no relevant hits beyond generic governance-committee references). SDQ=0/20, CDQ=0/15. FLAGGED: scored uniformly across FY2021-2025 based on the FY2024 filing's profile - conservative/unverified for years other than FY2024 if revisited.</t>
  </si>
  <si>
    <t>Source: tantalizersng.com, Tantalizers Plc Annual Report 2022 (the NGX doclib FY2023 AFS, doc 40410, was an image-only scanned PDF with no machine-readable text and could not be used; earlier/later years not separately fetched). A genuine 'CORPORATE SOCIAL RESPONSIBILITY' section states: 'Tantalizers Plc continues to discharge its obligation as a socially responsible corporate organisation... Give-back Projects to the communities where its outlets are located... Products, Cash and Gift donations, environmental beautification, Seminars, Lectures, etc.' - this names specific CSR activity types but gives no quantified figure/amount for any of them, so it does not meet SDQ_M1's bar of a named metric WITH a figure -&gt; SDQ_M1=0. Three board committees (Remuneration/Governance, Finance/Risk Assessment, Audit) - none tasked with sustainability/ESG specifically. No climate/GHG content found. SDQ=0/20, CDQ=0/15. FLAGGED: scored uniformly across FY2021-2025 based on the FY2022 filing's profile - conservative/unverified for years other than FY2022 if revisited; a genuine (if unquantified) CSR narrative exists for this firm, distinguishing it from firms with zero CSR content at all, but it does not cross this instrument's scoring threshold for any item.</t>
  </si>
  <si>
    <t>Source attempt: NGX doclib 27294 (2019 filing, the only readable-URL candidate located for this firm) returned '[This PDF is empty or contains no machine-readable text]' - an image-only scan. No other readable NGX doclib filing could be located despite multiple targeted searches (only africanfinancials aggregator listings for 2011/2024 reports were found, neither with a working direct-fetch source). Thomas Wyatt Nigeria Plc is a small-cap printing/publishing firm with no independent evidence of any sustainability disclosure practice. Scored conservatively at 0/20 SDQ, 0/15 CDQ. FLAGGED: primary source genuinely inaccessible (image-only PDF, consistent with the MULTIVERSE/NSLTECH precedent established earlier in this dataset) - candidate for OCR-assisted re-verification.</t>
  </si>
  <si>
    <t>Source: NGX doclib 43440, The Initiates Plc Audited FS FYE 31-Dec-2024 - FY2021 filing not separately fetched; donation figures confirmed only for FY2023/FY2024. SDQ=0/20, CDQ=0/15. FLAGGED conservative/unverified for FY2021.</t>
  </si>
  <si>
    <t>Source: NGX doclib 43440, The Initiates Plc Audited FS FYE 31-Dec-2024 - FY2022 filing not separately fetched; donation figures confirmed only for FY2023/FY2024. SDQ=0/20, CDQ=0/15. FLAGGED conservative/unverified for FY2022.</t>
  </si>
  <si>
    <t>Source: NGX doclib 43440, The Initiates Plc Audited FS FYE 31-Dec-2024, Statement of Comprehensive Income expense note: 'Donation &amp; Gift 500,000' for FY2023 (comparative column) - specific, entity-level, quantified metric -&gt; SDQ_M1=1. The Initiates Plc is a waste-management/industrial-cleaning services company for the Oil &amp; Gas sector; a note on 'non-current portion of costs on environmental evaluation study as required by the Ministry of Environment' reflects a regulatory compliance cost, not a voluntary sustainability metric/process, so does not unlock any further item. No sustainability/ESG board committee found (only a standard Audit Committee). No climate/GHG content found. CDQ=0/15. SDQ=1/20.</t>
  </si>
  <si>
    <t>Source: NGX doclib 43440, The Initiates Plc Audited FS FYE 31-Dec-2024, Statement of Comprehensive Income expense note: 'Donation &amp; Gift 1,890,000' for FY2024 - specific, entity-level, quantified metric -&gt; SDQ_M1=1. No sustainability/ESG board committee, no climate/GHG content found. SDQ=1/20, CDQ=0/15.</t>
  </si>
  <si>
    <t>Source: NGX doclib 43440, The Initiates Plc Audited FS FYE 31-Dec-2024 - FY2025 filing not separately fetched; donation figures confirmed only for FY2023/FY2024. SDQ=0/20, CDQ=0/15. FLAGGED conservative/unverified for FY2025.</t>
  </si>
  <si>
    <t>Source: NGX doclib 43707, TotalEnergies Marketing Nigeria Plc Audited FS FYE 31-Dec-2024 - FY2021 filing not separately fetched; the FY2024 donations note gave no prior-year comparative figure, so this year's profile is unconfirmed. SDQ=0/20, CDQ=0/15. FLAGGED conservative/unverified for FY2021 - see FY2024 note regarding the unverified standalone Sustainability Report.</t>
  </si>
  <si>
    <t>Source: NGX doclib 43707, TotalEnergies Marketing Nigeria Plc Audited FS FYE 31-Dec-2024 - FY2022 filing not separately fetched; the FY2024 donations note gave no prior-year comparative figure, so this year's profile is unconfirmed. SDQ=0/20, CDQ=0/15. FLAGGED conservative/unverified for FY2022 - see FY2024 note regarding the unverified standalone Sustainability Report.</t>
  </si>
  <si>
    <t>Source: NGX doclib 43707, TotalEnergies Marketing Nigeria Plc Audited FS FYE 31-Dec-2024 - FY2023 filing not separately fetched; the FY2024 donations note gave no prior-year comparative figure, so this year's profile is unconfirmed. SDQ=0/20, CDQ=0/15. FLAGGED conservative/unverified for FY2023 - see FY2024 note regarding the unverified standalone Sustainability Report.</t>
  </si>
  <si>
    <t>Source: NGX doclib 43707, TotalEnergies Marketing Nigeria Plc Audited FS FYE 31-Dec-2024. Note 15 Donations: itemised breakdown totalling N124,556,045 - SOS Villages Annual Corporate Sponsorship N25.7m, Skills Acquisition Program, 'Green Initiative on Climate and Environmental Preservation' N7.7m, Sustainability Event Sponsorships N5.6m, Annual Corporate Donation to Charity N6m, CSR Legacy Projects (Saint Theresa's Primary School renovation) N40.98m, Koko Scholarship Scheme N1.67m, among others - specific, entity-level, quantified metric -&gt; SDQ_M1=1. SDQ_S1=1: CSR/societal strategy explicitly tied to named SDGs (Goal 12 'Responsible Consumption and Production', Goal 13 'Climate Action') rather than generic ESG language. SDQ_S3=1: 'societal actions in 2024 were in line with the Company's CSR strategy' - an explicit strategic framing. SDQ_M3=1: sector-specific operational metrics (251 solarized retail stations, 15 T-Air Projects, 10 Mobility Shops, 8 new QAS bays, 9 Auto-Fast twin-bays) relevant to a fuel retail network. CDQ_S2=1: retail network/business-model effect described (station solarization programme). CDQ_S4=1: transition actions described (solarization, T-Air projects, renewable electricity generation investment). The text states 'through the Company's various initiatives and investments in renewable Electricity Generation, we have continued to reduce our GHG emissions' - this is QUALITATIVE language with no absolute Scope 1/2/3 tCO2e figure disclosed anywhere in the reviewed text, so CDQ_M1-M3=0 per this dataset's established rule that qualitative GHG-reduction language and renewable-share proxies do not satisfy the metrics items; no dated/quantified climate target found -&gt; CDQ_M4=0; no climate-specific board/management governance found -&gt; CDQ_G1-G3=0. SDQ=4/20, CDQ=2/15. NOTE: the document explicitly states 'Extensive information on our societal actions can be found in our sustainability report www.service.totalenergies.ng' - a standalone Sustainability Report exists and was NOT fetched this session; this AFS-only scoring is conservative and likely understates the firm's true profile, particularly on GHG figures, given TotalEnergies SE's parent-level TCFD-aligned reporting - flagged as a priority re-verification candidate.</t>
  </si>
  <si>
    <t>Source: NGX doclib 43707, TotalEnergies Marketing Nigeria Plc Audited FS FYE 31-Dec-2024 - FY2025 filing not separately fetched; the FY2024 donations note gave no prior-year comparative figure, so this year's profile is unconfirmed. SDQ=0/20, CDQ=0/15. FLAGGED conservative/unverified for FY2025 - see FY2024 note regarding the unverified standalone Sustainability Report.</t>
  </si>
  <si>
    <t>Source: transcorphotels.com, Transcorp Hotels Plc 2024 Annual Report - FY2021 filing not separately fetched, and even the FY2024 profile is itself understated (see FY2024 note - the dedicated ESG Report section was not captured). Scored conservatively at 0/20 SDQ, 0/15 CDQ for FY2021. FLAGGED unverified.</t>
  </si>
  <si>
    <t>Source: transcorphotels.com, Transcorp Hotels Plc 2024 Annual Report - FY2022 filing not separately fetched, and even the FY2024 profile is itself understated (see FY2024 note - the dedicated ESG Report section was not captured). Scored conservatively at 0/20 SDQ, 0/15 CDQ for FY2022. FLAGGED unverified.</t>
  </si>
  <si>
    <t>Source: transcorphotels.com, Transcorp Hotels Plc 2024 Annual Report - FY2023 filing not separately fetched, and even the FY2024 profile is itself understated (see FY2024 note - the dedicated ESG Report section was not captured). Scored conservatively at 0/20 SDQ, 0/15 CDQ for FY2023. FLAGGED unverified.</t>
  </si>
  <si>
    <t>Source: transcorphotels.com, Transcorp Hotels Plc 2024 Annual Report &amp; Financial Statements - the report's Table of Contents confirms a dedicated 'ESG Report' (p.53) and 'Statement of the Board on the Company's ESG Activities' (p.57), but the fetched text extraction was truncated before reaching those pages (captured content ran only to approximately p.34, the CEO's Statement/2025 outlook) and could not be re-fetched within this session's time budget - the scoring below is therefore based ONLY on the CEO's Statement/Business Review sections that WERE captured, and is a conservative floor, not a full assessment. SDQ_S1=1: climate explicitly named as a distinguished strategic topic ('challenges of climate change while enhancing the long-term viability of our business'). SDQ_M1=1: a quantified metric is given - 'renewable energy solutions, such as solar power and energy-efficient systems, reducing carbon footprints by an average of 25%'. CDQ_S2=1: climate strategy tied explicitly to business viability. CDQ_S4=1: renewable-energy/solar transition actions described, plus a forward 'Sustainability &amp; ESG Initiatives - Embedding environmentally responsible practices across our operations' commitment for 2025. CDQ_M1-M3=0: the '25% average' figure is a relative/qualitative carbon-footprint reduction claim, not an absolute Scope 1/2/3 tCO2e figure, so per this dataset's established rule it does not satisfy the GHG metric items. SDQ=2/20, CDQ=2/15. FLAGGED: this is very likely a significant under-count given the un-reviewed dedicated ESG Report (pp.53-57) - HIGH-PRIORITY candidate for re-verification with a full/paginated fetch of this document.</t>
  </si>
  <si>
    <t>Source: transcorphotels.com, Transcorp Hotels Plc 2024 Annual Report - FY2025 filing not separately fetched, and even the FY2024 profile is itself understated (see FY2024 note - the dedicated ESG Report section was not captured). Scored conservatively at 0/20 SDQ, 0/15 CDQ for FY2025. FLAGGED unverified.</t>
  </si>
  <si>
    <t>Source: NGX doclib 43303, Transnational Corporation of Nigeria Plc Audited FS FYE 31-Dec-2024 - FY2021 filing not separately fetched; donation figures confirmed only for FY2023/FY2024. SDQ=0/20, CDQ=0/15. FLAGGED conservative/unverified for FY2021 - see FY2024 note regarding the unverified 2025 Group-wide ESG Strategy/ISO 14001 certification, which is a strong candidate to lift FY2025's true profile above this conservative floor.</t>
  </si>
  <si>
    <t>Source: NGX doclib 43303, Transnational Corporation of Nigeria Plc Audited FS FYE 31-Dec-2024 - FY2022 filing not separately fetched; donation figures confirmed only for FY2023/FY2024. SDQ=0/20, CDQ=0/15. FLAGGED conservative/unverified for FY2022 - see FY2024 note regarding the unverified 2025 Group-wide ESG Strategy/ISO 14001 certification, which is a strong candidate to lift FY2025's true profile above this conservative floor.</t>
  </si>
  <si>
    <t>Source: NGX doclib 43303, Transnational Corporation of Nigeria Plc Audited FS FYE 31-Dec-2024. Note 12 Donations: itemised, e.g. 'Donation of Items to Kuchingoro Old People's Home 520' (N'000), totalling N23,037,000 (2024) vs N15,847,000 (2023) - specific, entity-level, quantified metric -&gt; SDQ_M1=1 for both years. Corporate Governance Report references a Group Sustainability Policy covering named dimensions - 'Stakeholder Engagement, Corporate Governance, Preserving the Environment, Employee related matters, Vendors Engagement and Supplies, Safety, Health and Environment Management, Community Investment and Corporate Social Responsibility, and Ethics and Whistle Blowing' - specific named dimensions rather than generic ESG language -&gt; SDQ_S1=1. The Board Audit &amp; Governance Committee (BAGC) has general oversight of risk management, not sustainability/ESG specifically -&gt; SDQ_G1=0. No GHG/climate figures found anywhere in this AFS (targeted keyword search for climate/emission/carbon/GHG/ISO 14001/renewable/solar returned no matches) -&gt; CDQ=0/15. SDQ=2/20. NOTE: independent web-search evidence indicates Transcorp Group approved a comprehensive Group-wide ESG Strategy and Roadmap in 2025 and holds ISO 14001 Environmental Management certification with smart energy monitoring systems and a 'Water: Save Every Drop' conservation initiative - none of this was verified from a primary source this session (it postdates or sits outside this FY2024 AFS), so this scoring is conservative and likely understates the firm's more recent/group-level profile - flagged as a priority re-verification candidate, especially for FY2025.</t>
  </si>
  <si>
    <t>Source: NGX doclib 43303, Transnational Corporation of Nigeria Plc Audited FS FYE 31-Dec-2024 - FY2025 filing not separately fetched; donation figures confirmed only for FY2023/FY2024. SDQ=0/20, CDQ=0/15. FLAGGED conservative/unverified for FY2025 - see FY2024 note regarding the unverified 2025 Group-wide ESG Strategy/ISO 14001 certification, which is a strong candidate to lift FY2025's true profile above this conservative floor.</t>
  </si>
  <si>
    <t>Source: NGX doclib 40677 - FY2021 filing not separately fetched; no comparative figure available for this year. SDQ=0/20, CDQ=0/15. FLAGGED conservative/unverified.</t>
  </si>
  <si>
    <t>Source: NGX doclib 40677, Trans-Nationwide Express Plc Audited FS FYE 31-Dec-2023, Note on Donations explicitly states '(2022: Nil)' - a confirmed nil donation for FY2022, not an unverified gap. No other sustainability content found for this firm. SDQ=0/20, CDQ=0/15.</t>
  </si>
  <si>
    <t>Source: NGX doclib 40677, Trans-Nationwide Express Plc Audited FS FYE 31-Dec-2023. Directors' Report: 'The company made a donation of N50,000 to the New Heartbeat Foundation - a non-governmental organization (NGO) during the year 2023 (2022: Nil)' - specific, entity-level, quantified metric -&gt; SDQ_M1=1. Two board committees (Business Development/Finance/General Purpose, Risk Management &amp; Governance) - neither ESG-specific. No climate/GHG content found. SDQ=1/20, CDQ=0/15.</t>
  </si>
  <si>
    <t>Source: NGX doclib 40677, Trans-Nationwide Express Plc Audited FS FYE 31-Dec-2023 - FY2024 filing not separately fetched; the FY2023 donation note explicitly confirms FY2022 was Nil, so FY2022 is also scored 0 (not flagged - this is a confirmed nil, not an unverified gap). SDQ=0/20, CDQ=0/15.</t>
  </si>
  <si>
    <t>Source: NGX doclib 40677, Trans-Nationwide Express Plc Audited FS FYE 31-Dec-2023 - FY2025 filing not separately fetched; the FY2023 donation note explicitly confirms FY2022 was Nil, so FY2022 is also scored 0 (not flagged - this is a confirmed nil, not an unverified gap). SDQ=0/20, CDQ=0/15.</t>
  </si>
  <si>
    <t>Genuine gap: Total_Assets blank in Panel Data.</t>
  </si>
  <si>
    <t>Source: NGX doclib 45984, Transcorp Power Plc Audited FS FYE 31-Dec-2025 (earlier years not separately fetched, but this Technical Committee structure is a standing/structural board feature applied consistently across the in-scope years). Board Committees: Technical Committee (TC), Finance and Investment Committee (FIC), Board Audit and Governance Committee (BAGC), plus a Statutory Audit Committee. The TC's Terms of Reference explicitly include providing 'strategic oversight on technical matters, as well as health, safety and environmental (HSE) issues related to the Company's operations' - a specific board committee named with an explicit environmental-oversight remit (analogous to the PRESCO BARGC precedent already established in this dataset) -&gt; SDQ_G1=1. Donations/Charitable Gifts note explicitly states 'There were no donations made during the year (2024: Nil)' - confirmed nil for both FY2024 and FY2025, not an unverified gap. No other sustainability metric, target, or climate/GHG content found. SDQ=1/20, CDQ=0/15.</t>
  </si>
  <si>
    <t>Source: NGX doclib 44344, Tripple Gee and Company Plc Audited FS FYE 31-Mar-2025 (earlier years not separately fetched). Pure audit-committee/internal-control-framework boilerplate (COSO-based ICFR assessment, Statutory Audit Committee report) - no donations/CSR/sustainability section, no board committee tasked with ESG/sustainability, and no climate/GHG content of any kind found anywhere in the document. SDQ=0/20, CDQ=0/15. FLAGGED: scored uniformly across FY2022-2025 based on the FY2025 filing's profile - a thin-discloser small-cap manufacturer with no apparent ESG disclosure practice.</t>
  </si>
  <si>
    <t>Source: NGX doclib 38046, UAC of Nigeria Plc Audited FS FYE 31-Dec-2022. Directors' Report Donations note: itemised list of in-kind and cash donations (UAC Foods product donations to host communities, renovation of Adeniji-Adele Lagos Health Centre toilets, construction of a poultry pen and donation of cages/feeds to a Government Girls Senior Secondary School in Kano, dental sponsorship for 85 secondary school students in Agege, waterline extension to Kerang community, diesel donation for host community water supply) with 'Charitable donations amounted to N25.3million (2021: N114.5million) for the Group and N7.3million (2021: N100million) for the Company' - specific, entity-level, quantified metrics -&gt; SDQ_M1=1 for both FY2021 and FY2022. Corporate Governance report scope references 'environmental and social risks and opportunities' and 'the scope of corporate social responsibility through the approval of relevant policies', but this is boilerplate governance-report framing rather than named, entity-specific material topics, so it does not meet SDQ_S1's bar -&gt; 0. Two board committees (Risk Management, Governance and Remuneration) plus Statutory Audit Committee - none ESG-specific -&gt; SDQ_G1=0. No climate/carbon/emission/GHG content found anywhere in the document. SDQ=1/20, CDQ=0/15.</t>
  </si>
  <si>
    <t>Source: NGX doclib 38046, UAC of Nigeria Plc Audited FS FYE 31-Dec-2022 - FY2023 filing not separately fetched (a fetch attempt on the more recent uacnplc.com-hosted FY2024 AFS PDF returned no extractable content, likely an access/format issue, and could not be resolved within this session's time budget). Donation figures confirmed only for FY2021/FY2022. SDQ=0/20, CDQ=0/15. FLAGGED conservative/unverified for FY2023 - candidate for re-verification, especially given UACN's confirmed multi-year CSR donation practice which plausibly continued.</t>
  </si>
  <si>
    <t>Source: NGX doclib 38046, UAC of Nigeria Plc Audited FS FYE 31-Dec-2022 - FY2024 filing not separately fetched (a fetch attempt on the more recent uacnplc.com-hosted FY2024 AFS PDF returned no extractable content, likely an access/format issue, and could not be resolved within this session's time budget). Donation figures confirmed only for FY2021/FY2022. SDQ=0/20, CDQ=0/15. FLAGGED conservative/unverified for FY2024 - candidate for re-verification, especially given UACN's confirmed multi-year CSR donation practice which plausibly continued.</t>
  </si>
  <si>
    <t>Source: NGX doclib 38046, UAC of Nigeria Plc Audited FS FYE 31-Dec-2022 - FY2025 filing not separately fetched (a fetch attempt on the more recent uacnplc.com-hosted FY2024 AFS PDF returned no extractable content, likely an access/format issue, and could not be resolved within this session's time budget). Donation figures confirmed only for FY2021/FY2022. SDQ=0/20, CDQ=0/15. FLAGGED conservative/unverified for FY2025 - candidate for re-verification, especially given UACN's confirmed multi-year CSR donation practice which plausibly continued.</t>
  </si>
  <si>
    <t>UBA CORRECTION (re-verification session, 15-Aug-2026, per user request): FY2021 SDQ_G and SDQ_S re-derived item-by-item against the Coding Instrument's exact criteria using the actual 2021 Annual Sustainability Report (fetched directly, full text read). SDQ_G1=0: the report states only that 'The Board takes overall responsibility for ESG matters and their integration into the Bank's strategies' - a generic statement with no named committee or described oversight ACTIVITY, which the Instrument explicitly scores 0. SDQ_G2=1: the E&amp;S Risk Management Policy section describes a specific 'E&amp;S unit' that 'reviews and documents the potential risk, the E&amp;S risk mitigation measures, and makes appropriate recommendations' with decisions 'formalized and incorporated as covenants in loan documentation' - a named function with described delegated authority. SDQ_G3=0: no board reporting frequency stated (the 'sustainability team renders internal and external reports to regulatory bodies and stakeholders' does not specify a board-reporting cadence). SDQ_G4=0: no concrete oversight mechanism (e.g. committee minutes, target review) is described. SDQ_G5=0: Board Diversity content covers gender/age/culture mix only, not sustainability-specific expertise; AML/ABC training for the Board is compliance training, not sustainability-oversight expertise. SDQ_S1-S5: a full-text search of the document confirms ZERO occurrences of 'risks and opportunities' framing anywhere in the report, confirming the user's concern that the previous uniform S=5/5 was unsupported. Only SDQ_S3=1 holds up, via the Chairman's Statement explicitly describing strategic deliberation over the Bank's net-zero-target pursuit ('I advised that we must be thoughtful so that we articulate and deliver an inclusive transition') - a named strategic response. S1 (no short/medium/long-term risk/opportunity horizon language), S2 (no specific business-model/value-chain effect), S4 (no financial-position effect described), and S5 (only generic/metaphorical 'resilience' mentions, no scenario analysis) are NOT supported in this report and are corrected to 0. SDQ_R4/R5 also corrected from 1 to 0 while reviewing this same source material: no 'enterprise risk management' integration language and no distinct opportunities-IDENTIFICATION process appear anywhere in the FY2021 report (contrast with FY2022-2024 below, where both are explicit) - R1-R3 remain 1, fully supported by the described E&amp;S Screening/Assessment/Monitoring process. CDQ_G1-G3 remain 0/3: all content found is general-ESG, not climate-DISTINCT as the Instrument requires for CDQ_G items. SDQ_M and CDQ_S/R/M items left unchanged (outside the scope of this correction; not independently re-verified this pass). Corrected SDQ = 9/20 (down from 14/20); CDQ unchanged at 12/15.</t>
  </si>
  <si>
    <t>UBA CORRECTION (re-verification session, 15-Aug-2026): FY2022 SDQ_G and SDQ_S re-derived against the 2022 Annual Sustainability Report (fetched directly), which shows a materially richer, IFRS-S1/S2-style structure than FY2021. SDQ_G1=1: 'The Board Audit &amp; Governance Committee, as part of its Charter, is responsible for the Bank's ESG/Sustainability initiatives and practices' - a specifically named committee with a described oversight remit. SDQ_G2=1: a named 'Sustainability Committee/Champions' management structure is disclosed (Head, ESG; CEO UBA Foundation; Group Legal Counsel; Group Head HR; Group Head of Operations; Head Credit Risk Management; Head Customer Fulfilment Centre; Head Corporate Services), convened via the Group Chief Risk Officer/Executive Management Committee. SDQ_G3=1: 'ESG updates [are] a part of the quarterly Board meeting agenda' - an explicit reporting frequency. SDQ_G4=1: 'The relevant board committees met during the period to consider the ESG issues that were material to the bank' - a concrete oversight mechanism. SDQ_G5=0: no board-level sustainability-specific expertise/credential is named (Board Diversity content is demographic only). SDQ_S1-S5 ALL=1: a dedicated 'Sustainability-related Risks &amp; Opportunities Identification' section explicitly analyses risk/opportunity horizons across the 'first decade (2020-2030)', an escalating-impact period '2031, towards the early periods of 2050', and 'Beyond 2050' (S1, short/medium/long-term horizons, satisfied); a subsection literally titled 'Impact of Sustainability-Related Risks and Opportunities on Business Model' (S2, satisfied); the same section ties this to the Bank's 'enterprise risk management policy' and strategic decision-making 'from formulation level to the business unit decision-making stage' (S3, satisfied); explicitly states 'the implications of these for the bank's cash flow and financial performance are clearly articulated' (S4, satisfied); and the entire risk/opportunity horizon assessment is explicitly 'drawn from the International Energy Agency's (IEA) 1.5C emissions scenario by 2050' (S5, scenario-based resilience analysis, satisfied). SDQ_R4=1 and R5=1 confirmed (not just carried over): R4 via the explicit 'enterprise risk management policy' integration language quoted above; R5 via the dedicated Risk &amp; Opportunities IDENTIFICATION section. CDQ_G1=0 (no climate-DISTINCT board committee, only the general ESG-charter committee above); CDQ_G2=1 (climate-specific risk screening explicitly integrated into 'the Bank's credit risk policies', administered via the named E&amp;S unit/Head Credit Risk Management function); CDQ_G3=0 (no climate-specific training/expertise explicitly named for FY2022, unlike FY2023/2024 below). CDQ S/R/M items independently confirmed as well-supported (Scope 1+2+3 emissions of 44,188.74 tCO2e disclosed with prior-year comparative; explicit net-zero-by-2050 target and pathway; 34.54% of Nigeria loan book quantified as transition-risk-exposed; TCFD-aligned disclosure; PCAF partnership) - left unchanged. Corrected SDQ = 18/20 (up from 14/20); CDQ = 13/15 (up from 12/15).</t>
  </si>
  <si>
    <t>UBA CORRECTION (re-verification session, 15-Aug-2026): FY2023 SDQ_G and SDQ_S re-derived against the 2023 Annual Sustainability Report (fetched directly), which confirms the same structure as FY2022, now with an even more specifically named management role. SDQ_G1=1: identical 'Board Audit &amp; Governance Committee...responsible for the Bank's ESG/Sustainability initiatives and practices' language, explicitly 'as part of its Charter'. SDQ_G2=1: management structure now names a 'Chief Sustainability Head (Executive Director)' specifically (in addition to CEO UBA Foundation, Group Legal Counsel, Head HCM, Head of Operations, Head Credit Risk Management, Head Customer Fulfilment Centre, Head Corporate Services, and Head ESRM/Sustainability) - the most specific named sustainability governance role found across all 5 years. SDQ_G3=1: 'ESG updates are a part of the quarterly Board meeting agenda' (identical language to FY2022). SDQ_G4=1: 'The relevant board committees met during the period to consider the ESG issues that were material to the bank' (identical). SDQ_G5=0: still no sustainability-specific board expertise/credential named. SDQ_S1-S5 ALL=1: the report contains the identical dedicated 'Sustainability Related Risks &amp; Opportunities Identification' section (ToC item 34) and an explicit 'Climate-Related Scenario Analysis' section (ToC item 63) - even richer than FY2022, now citing specific IPCC SSP pathways (e.g. 'SSP 1-2.6') alongside the IEA 1.5C basis, and an explicit 41%-annual-reduction pathway to meet net-zero by 2050 from a stated 2020 baseline - satisfying S1 (short/medium/long-term horizon), S2 (business-model impact section), S3 (enterprise risk management policy/strategic decision-making linkage), S4 ('implications...for cash flow and financial performance...clearly articulated'), and S5 (explicit multi-scenario resilience analysis). CDQ_G1=0 (still no climate-DISTINCT board committee); CDQ_G2=1 (climate risk screening integrated into credit risk policy, as FY2022); CDQ_G3=1 (NEW this year - the report explicitly states UBA is 'partnering with PCAF and acquiring the PCAF training on analysing and reporting our financed emission', i.e. named climate-specific staff training, satisfying the Instrument's explicit-training-named criterion). CDQ S/R/M items independently confirmed (Scope 1 21,918.86 tCO2e, Scope 2 33,058.23 tCO2e disclosed separately with a 29.56% YoY increase; PCAF-Standard-based financed-emissions methodology explicitly named; detailed IPCC-scenario-based Climate-Related Scenario Analysis section) - left unchanged. Corrected SDQ = 18/20 (up from 14/20); CDQ = 14/15 (up from 12/15).</t>
  </si>
  <si>
    <t>UBA CORRECTION (re-verification session, 15-Aug-2026, directly responding to the user's specific citation of this report): FY2024 SDQ_G and SDQ_S re-derived against the 2024 ESG/Sustainability Report (fetched directly, full governance and strategy sections read). The Chairman's Statement explicitly confirms 'the establishment of a specialized board committee responsible for supervising the Bank's ESG governance and practices...assigned to the Board Audit, Governance, Nomination and Remuneration Committee' - directly contradicting the previous SDQ_G1-G5=0 scoring the user flagged. SDQ_G1=1 (named committee with described charter responsibility); SDQ_G2=1 (named senior-management structure: Chief Sustainability Head (Executive Director), CEO UBA Foundation, Group Legal Counsel, Head HCM, Head of Operations, Head Credit Risk Management, Head Customer Fulfilment Centre, Head Corporate Services, Head ESRM/Sustainability - plus a separate 'ESG Risk team [that] collaborates with credit and lending teams to evaluate environmental and climate change risks', which addressed '5,620 internal requests' in 2024); SDQ_G3=1 ('ESG updates are a part of the quarterly Board meeting agenda'); SDQ_G4=1 ('The relevant board committees met during the period to consider the ESG issues that were material to the bank'); SDQ_G5=0 (still no sustainability-specific board expertise/credential named - Board Diversity content remains demographic-only). On the user's specific Strategy concern: the 2024 report DOES contain an explicit 'Strategy' section ('Our ESG strategy is anchored on three pillars - Environmental Stewardship, Social Inclusion and Governance...embedded in our business model') as well as the same dedicated 'Sustainability-related Risks &amp; Opportunities Identification' section found in FY2022/2023, with identical short/medium/long-term horizon language ('In the first decade (2020-2030), we do not anticipate any major shift...'), an explicit 'Impact of Sustainability-Related Risks and Opportunities on Business Model' subsection, and the statement that cash-flow/financial-performance implications 'are clearly articulated in the annual report' - satisfying S1, S2, S3 (via the enterprise risk management policy linkage and credit-risk-policy integration), S4, and S5 (via the dedicated 'Climate Related Scenario Analysis' section, IEA 1.5C-based). All five S-items are therefore genuinely supported for FY2024, not merely carried over. CDQ_G1=0 (climate oversight still routed through the general ESG-chartered committee, not a climate-distinct one); CDQ_G2=1 (the named 'ESG Risk team' evaluating 'environmental and climate change risks' specifically); CDQ_G3=1 ('acquiring the PCAF training on analysing and reporting our financed emission' - named climate-specific training). CDQ S/R/M items independently confirmed (Scope 1 26,153.90 tCO2e, Scope 2 26,593.37 tCO2e, Scope 3 upstream 1,938.94 tCO2e, plus separately disclosed financed emissions of 804,727/602,146/378,879.66 tCO2e across the reported years; explicit physical AND transition risk treatment; TCFD alignment; IEA-1.5C scenario analysis) - left unchanged. Corrected SDQ = 18/20 (up from 14/20); CDQ = 14/15 (up from 12/15).</t>
  </si>
  <si>
    <t>UBA CORRECTION (re-verification session, 15-Aug-2026): FY2025 SDQ_G and SDQ_S corrected from the previous erroneous uniform-across-all-5-years pattern (G=0/5, S=5/5, blindly copied without per-year verification) to a conservative 0/5 and 0/5 respectively, FLAGGED as unconfirmed rather than assumed identical to the now-confirmed rich FY2022-2024 pattern. Verified via the official ubagroup.com/our-impact/sustainability page (fetched this session) that NO standalone FY2025 Sustainability/ESG Report has been published yet (the page lists only the 2022, 2023 and 2024 reports and carries a July-2025 last-modified timestamp, predating FY2025's own year-end). The user-supplied FY2025 Annual Report and Accounts (Google Drive link, file 'ng-uba-2025-ar-00.pdf') could not be retrieved this session - the web-fetch tool returned empty/unparseable results across multiple Google Drive URL patterns (view, uc?export=download, drive.usercontent.google.com/download), likely because it is a large binary PDF served through Google Drive's interstitial viewer rather than a direct static PDF URL as with the ubagroup.com-hosted reports. CAVEAT: SDQ_R1-R5, SDQ_M1-M5, and all 15 CDQ items for FY2025 were LEFT UNCHANGED this pass (still reflecting the same unverified uniform-extrapolation pattern as G and S previously did) because correcting them was outside the explicit scope of this session's request (Governance and Strategy only); however, since they derive from the identical unconfirmed-extrapolation methodology now known to be unreliable, they should be treated as an unresolved follow-up and re-verified once either UBA's FY2025 standalone Sustainability Report is published or the FY2025 Annual Report becomes fetchable. FY2025 remains a HIGH-PRIORITY re-verification candidate for Governance and Strategy specifically. Corrected SDQ = 9/20 (down from 14/20, reflecting removal of unconfirmed credit rather than any negative finding); CDQ unchanged at 12/15 pending the same future re-verification.
 EAS/IFRS_S1S2_Adopter_Dummy RESOLUTION (follow-up, 15-Aug-2026, user-requested): user asked to reconsider UBA for inclusion among the 13 confirmed adopters. Re-checked all 4 fetched UBA Sustainability/ESG Reports (FY2021-2024) with broadened search terms (ifrs s, issb, sustainability disclosure standard, international sustainability, roadmap, Financial Reporting Council) - no additional matches found beyond the FY2022 'shall be adopting...in the coming years' (future intent) and FY2023 'in preparedness for adoption' (still preparing) language already on record; FY2021 and FY2024 remain silent. Additionally fetched UBA's actual audited Financial Statements (not the ESG Report) for FY2024 (NGX doclib #43402) and FY2025 (NGX doclib #46757, filed April 2026) specifically to check the 'Standards issued/amended but not yet effective' note (referenced in both documents' own Table of Contents at p.56/p.65 respectively) where several of the 13 confirmed adopters' evidence originated - both fetches were truncated by the extraction tool before reaching that note (captured only through the primary financial statements, not the notes section), so the note's exact wording could not be read directly. A targeted web search for the note's content did surface a paraphrase indicating 'UBA Plc is preparing for the voluntary adoption of IFRS S1 and S2 sustainability disclosure standards starting in the 2026 financial year' - i.e. FY2026, not FY2025 - consistent with the FY2022/FY2023 primary-source trajectory of persistent 'preparing to adopt' language rather than a completed-adoption declaration; this specific phrase was NOT independently re-verified against the primary FS text itself (the note remains inaccessible via direct fetch) and should be treated as corroborating context, not primary confirmation. CONCLUSION: across 6 total documents checked this session (4 ESG Reports FY2021-2024, 2 audited FS FY2024/FY2025 partial), UBA shows a consistent multi-year 'preparing/not yet adopted' posture and never an explicit adoption or implementation declaration for any year through FY2025 - this is exactly the 'mentioned IFRS S1/S2 but did not adopt' pattern the strict coding rule is designed to exclude. EAS/IFRS_S1S2_Adopter_Dummy for UBA remains 0 for all 5 years (2021-2025). Re-open this determination if UBA's FY2025 or FY2026 Annual Report/Sustainability Report 'Standards not yet effective' note becomes directly fetchable and contains different wording than this session's corroborating search evidence suggests.</t>
  </si>
  <si>
    <t>Attempted source: NGX doclib press release (43254, FY2024 earnings) was found but is a brief earnings summary, not a full AFS with a Directors' Report/CSR section; the full audited FS PDF (referenced via unitedcapitalplcgroup.com/investor-relations and an AWS-hosted NGX doclib link) could not be successfully fetched within this session's time budget. Independent web-search evidence (a secondary source, not directly verified) indicates United Capital's sustainability strategy is structured around three pillars (Environmental Stewardship, People and Communities, Responsible Business) with a 2025 CSR spend of ~N1.1bn (4% of PAT) including a Tony Elumelu Foundation partnership - per this dataset's anti-circularity rule, this secondary-source information is NOT credited without primary-source confirmation. Scored conservatively at 0/20 SDQ, 0/15 CDQ. FLAGGED: HIGH-PRIORITY re-verification candidate - strong external signals of a substantive CSR/sustainability programme exist but could not be confirmed from a primary document this session.</t>
  </si>
  <si>
    <t>Source: NGX doclib 40791, UH Real Estate Investment Trust (formerly Union Homes REIT) Audited FS FYE 31-Dec-2023 (earlier/later years not separately fetched). Like SFSREIT and NIDF elsewhere in this dataset, this is a passive, externally-managed close-ended REIT with no employees/operations of its own. The only governance content found relates to standard financial risk management (Investment Committee, and references to the CBN Monetary Policy Committee's macroeconomic actions, which are not the reporting entity's own governance body) - no donations/CSR/sustainability/climate content of any kind found. SDQ=0/20, CDQ=0/15. FLAGGED: scored uniformly across FY2021-2025 given this fund's static no-employee structure, consistent with the REIT precedent established earlier in this dataset.</t>
  </si>
  <si>
    <t>Source: unilevernigeria.com, Unilever Nigeria Plc 'Nigeria Sustainability Report 2024' (SR24) - the FY2021 standalone report was not separately fetched this session, but the report's own statement that Unilever Nigeria has published standalone sustainability reports continuously since 2019 supports applying the confirmed 2024 profile (SDQ=13/20, CDQ=7/15) as a continuation estimate. FLAGGED unverified/estimated for this specific year's exact item-level figures and Scope 1 tonnage - candidate for re-verification against the actual FY2021 report (noting the confirmed year-on-year decline in Unilever Nigeria's own Scope 1 figures, 9,693.79 tonnes CO2 in 2022 down to 370.59 in 2024, which may mean earlier years merit a similar item-count but with materially different, higher, underlying emissions figures).</t>
  </si>
  <si>
    <t>Source: unilevernigeria.com, Unilever Nigeria Plc 'Nigeria Sustainability Report 2024' (SR24) - the FY2022 standalone report was not separately fetched this session, but the report's own statement that Unilever Nigeria has published standalone sustainability reports continuously since 2019 supports applying the confirmed 2024 profile (SDQ=13/20, CDQ=7/15) as a continuation estimate. FLAGGED unverified/estimated for this specific year's exact item-level figures and Scope 1 tonnage - candidate for re-verification against the actual FY2022 report (noting the confirmed year-on-year decline in Unilever Nigeria's own Scope 1 figures, 9,693.79 tonnes CO2 in 2022 down to 370.59 in 2024, which may mean earlier years merit a similar item-count but with materially different, higher, underlying emissions figures).</t>
  </si>
  <si>
    <t>Source: unilevernigeria.com, Unilever Nigeria Plc 'Nigeria Sustainability Report 2024' (SR24) - the FY2023 standalone report was not separately fetched this session, but the report's own statement that Unilever Nigeria has published standalone sustainability reports continuously since 2019 supports applying the confirmed 2024 profile (SDQ=13/20, CDQ=7/15) as a continuation estimate. FLAGGED unverified/estimated for this specific year's exact item-level figures and Scope 1 tonnage - candidate for re-verification against the actual FY2023 report (noting the confirmed year-on-year decline in Unilever Nigeria's own Scope 1 figures, 9,693.79 tonnes CO2 in 2022 down to 370.59 in 2024, which may mean earlier years merit a similar item-count but with materially different, higher, underlying emissions figures).</t>
  </si>
  <si>
    <t>Source: unilevernigeria.com, Unilever Nigeria Plc 'Nigeria Sustainability Report 2024' (SR24). SDQ_G1=1: the '2024 Sustainability Steering Committee' is explicitly named as the company's 'highest governance body in sustainability reporting' (per the report's own GRI-index cross-reference). SDQ_G2=1: a distinct '2024 Sustainability Working Committee' is named as the management-level implementation body. SDQ_S1=1: named, distinguished risk/opportunity categories (Climate Risks and Opportunities, Regulatory Risks, Physical Environmental Risks, Opportunities) rather than generic ESG language. SDQ_S2=1: strategy explicitly framed 'across our value chain by 2039'. SDQ_S3=1: a named 'Climate Transition Action Plan' (CTAP) constitutes an explicit strategic response. SDQ_R1/R2/R3/R5=1: a structured 'Strategy and Risk Management' section with named risk categories (identification), an explicit materiality approach (assessment/prioritisation), a stated commitment to 'regularly monitor our energy consumption and carbon emissions' (monitoring), and a distinctly named 'Opportunities' subsection (opportunity identification). SDQ_R4=0 (no explicit ERM-integration statement located). SDQ_M1=1: multiple named quantified metrics - multi-year energy consumption tables in GJ by location/source, Scope 1 GHG emissions in Tonnes CO2 for the Agbara factory (2024: 370.59; 2023: 6,055.29; 2022: 9,693.79), and 2,800+ metric tonnes of plastic collected via the Wecyclers partnership. SDQ_M2=1: a 'Net Zero by 2039' target (the CTAP ambition) with the Scope 1 progress trend above serving as reported progress. SDQ_M3=1: sector-specific FMCG/packaging metric (plastics collection volume vs. target, exceeded). SDQ_M4=0 (no remuneration link found). SDQ_M5=1: methodology explicitly cited via a detailed GRI content index with specific GRI codes (e.g. 302-1 through 302-4 for energy, 305-2 for Scope 2), plus IFRS S1&amp;S2/SASB/UNGC alignment. SDQ=13/20. CDQ_S1=1: both physical risk ('Physical Environmental Risks' named subsection) and transition risk (the CTAP) are explicitly addressed. CDQ_S2=1: value-chain framing of the 2039 target. CDQ_S4=1: the Climate Transition Action Plan is itself a named transition plan. CDQ_R1=1: the structured climate-risk-category identification/assessment process described above, read on a climate-specific basis. CDQ_R2=0 (no explicit ERM-integration statement). CDQ_M1=1: Scope 1 tonnes CO2 figures reported (see above). CDQ_M2=0: the GRI index EXPLICITLY states Scope 2 emissions are 'Not available. To be provided in subsequent reporting years' - a transparent but confirmed non-disclosure, so scored 0 per the instrument's literal 'if not reported' rule. CDQ_M3=0: the only Scope 3 reference found is Unilever's GLOBAL parent-level ambition to 'reduce absolute Scope 3 greenhouse gas emissions by 2030' - a target statement, not a current Nigeria-entity Scope 3 figure or a reasoned Nigeria-specific basis for omission, so does not meet CDQ_M3's bar. CDQ_M4=1: 'Net Zero by 2039' is a specific, dated, quantified climate target. CDQ_M5=1: the declining Scope 1 emissions trend (2022 to 2024) is reported progress. CDQ_M6=0 (no climate-specific financial metric found). CDQ_G1-G3=0 (the Sustainability Steering/Working Committees are general ESG governance bodies, not explicitly distinguished as climate-specific). CDQ=7/15. NOTE: the report explicitly states 'Since 2019, we have proactively published our standalone sustainability report - well before it became a mandatory requirement for listed companies in Nigeria', confirming a genuine, demonstrated multi-year reporting practice.</t>
  </si>
  <si>
    <t>Source: unilevernigeria.com, Unilever Nigeria Plc 'Nigeria Sustainability Report 2024' (SR24) - the FY2025 standalone report was not separately fetched this session, but the report's own statement that Unilever Nigeria has published standalone sustainability reports continuously since 2019 supports applying the confirmed 2024 profile (SDQ=13/20, CDQ=7/15) as a continuation estimate. FLAGGED unverified/estimated for this specific year's exact item-level figures and Scope 1 tonnage - candidate for re-verification against the actual FY2025 report (noting the confirmed year-on-year decline in Unilever Nigeria's own Scope 1 figures, 9,693.79 tonnes CO2 in 2022 down to 370.59 in 2024, which may mean earlier years merit a similar item-count but with materially different, higher, underlying emissions figures).</t>
  </si>
  <si>
    <t>Source: NGX doclib 43476, Union Dicon Salt Plc Statements of Accounts FYE 31-Dec-2024 - FY2021 filing not separately fetched; the Five-Year Financial Summary in this document confirms the company has been loss-making/distressed across the panel period. SDQ=0/20, CDQ=0/15. FLAGGED conservative/unverified for FY2021.</t>
  </si>
  <si>
    <t>Source: NGX doclib 43476, Union Dicon Salt Plc Statements of Accounts FYE 31-Dec-2024 - FY2022 filing not separately fetched; the Five-Year Financial Summary in this document confirms the company has been loss-making/distressed across the panel period. SDQ=0/20, CDQ=0/15. FLAGGED conservative/unverified for FY2022.</t>
  </si>
  <si>
    <t>Source: NGX doclib 43476, Union Dicon Salt Plc Statements of Accounts FYE 31-Dec-2024. Union Dicon Salt is a severely distressed shell-like company (negative equity of approx. -N1.4bn, explicitly 'not currently trading' - Revenue=Nil both years, going-concern measures include a joint venture arrangement for supplementary income). Note 10 (Administrative Expenses) includes a line item 'Donation 500' (N'000, i.e. N500,000), appearing in the FY2023 comparative column - a specific, quantified figure -&gt; SDQ_M1=1 for FY2023. No equivalent donation line appears in the FY2024 column (implicitly nil/absent). No sustainability/ESG board committee, no climate/GHG content found; the Board's only described oversight is generic financial/credit/liquidity risk management. CDQ=0/15 both years. SDQ=1/20 (FY2023) / 0/20 (FY2024, no donation this year).</t>
  </si>
  <si>
    <t>Source: NGX doclib 43476, Union Dicon Salt Plc Statements of Accounts FYE 31-Dec-2024 - no donation line item found for FY2024 in the Administrative Expenses note (only a FY2023 'Donation 500' entry exists). Company remains severely distressed/not trading. SDQ=0/20, CDQ=0/15.</t>
  </si>
  <si>
    <t>Source: NGX doclib 43476, Union Dicon Salt Plc Statements of Accounts FYE 31-Dec-2024 - FY2025 filing not separately fetched; the Five-Year Financial Summary in this document confirms the company has been loss-making/distressed across the panel period. SDQ=0/20, CDQ=0/15. FLAGGED conservative/unverified for FY2025.</t>
  </si>
  <si>
    <t>Source: NGX doclib 43170, Unity Bank Plc Audited FS FYE 31-Dec-2023 - FY2021 filing not separately fetched; CSR figures confirmed only for FY2022/FY2023. SDQ=0/20, CDQ=0/15. FLAGGED conservative/unverified.</t>
  </si>
  <si>
    <t>Source: NGX doclib 43170, Unity Bank Plc Audited FS FYE 31-Dec-2023. Directors' Report includes an itemised 'Corporate Social Responsibility (CSR)' schedule for both FY2023 and FY2022 (e.g. Osun State Ministry of Local Govt Workers Training N20,000k; FITC Professional Development N15,000k), with total CSR expenditure of N55.5 million for FY2023 (December 2022: N33.5 million) covering Education/Capacity Building, Trade Promotions, Value Reorientation, Professional Development, Community Interventions, Sports and Health - specific, entity-level, quantified metrics -&gt; SDQ_M1=1 for both FY2022 and FY2023. Five standing Board Committees (Risk Management &amp; Audit, Credit, Finance and General Purpose, Governance &amp; Nominations, Statutory Audit) - none tasked with sustainability/ESG specifically -&gt; SDQ_G1=0. No climate/GHG content found in this AFS. SDQ=1/20, CDQ=0/15 for both years. NOTE: independent web-search evidence indicates Unity Bank engaged KPMG in 2025 to overhaul its Sustainability Strategy Policy (NSBP/WEP signatory, 52% paper-usage reduction, 44% energy-consumption reduction via solar mini-grids) - this postdates the FY2023 AFS reviewed here and was not independently verified from a primary source this session; also note the Central Bank of Nigeria approved Unity Bank's merger with Providus Bank in 2024, consistent with FY2025 being a genuine gap in this dataset's Panel Data.</t>
  </si>
  <si>
    <t>Source: NGX doclib 43170, Unity Bank Plc Audited FS FYE 31-Dec-2023 - FY2024 filing not separately fetched (Unity Bank's 2024 audited FS were affected by the CBN-approved Providus Bank merger process). SDQ=0/20, CDQ=0/15. FLAGGED conservative/unverified - a priority candidate given the independently-confirmed 2025 Sustainability Strategy overhaul may reflect developments already underway in FY2024.</t>
  </si>
  <si>
    <t>Genuine gap: Total_Assets blank in Panel Data (Unity Bank merged with Providus Bank in 2024/2025; no standalone FY2025 audited FS for the legacy Unity Bank entity).</t>
  </si>
  <si>
    <t>UNIVINSURE FY2021: not verified this session (no primary source fetched) - scored 0/20 SDQ, 0/15 CDQ, FLAGGED as unconfirmed gap pending re-verification. See FY2025 note for this batch's fetched source.</t>
  </si>
  <si>
    <t>UNIVINSURE FY2022: not verified this session (no primary source fetched) - scored 0/20 SDQ, 0/15 CDQ, FLAGGED as unconfirmed gap pending re-verification. See FY2025 note for this batch's fetched source.</t>
  </si>
  <si>
    <t>UNIVINSURE FY2023: not verified this session (no primary source fetched) - scored 0/20 SDQ, 0/15 CDQ, FLAGGED as unconfirmed gap pending re-verification. See FY2025 note for this batch's fetched source.</t>
  </si>
  <si>
    <t>UNIVINSURE FY2024: not verified this session (no primary source fetched) - scored 0/20 SDQ, 0/15 CDQ, FLAGGED as unconfirmed gap pending re-verification. See FY2025 note for this batch's fetched source.</t>
  </si>
  <si>
    <t>UNIVINSURE FY2025 (2025 Annual Report &amp; Accounts, NGX doclib, fetched directly): SDQ_M1=1 - Directors' Report item 14 'DONATIONS AND CHARITABLE GIFT' states 'The Company did make donations in the year to the tune of N34,788million'. FLAG: this figure (~N34.8bn) appears implausibly large relative to the Company's overall scale/PAT and is very likely a units/typo error in the source document (probably meant N34,788 or N34,788,000); scored as disclosed per the instrument's literal disclosure rule regardless of the figure's internal plausibility, with this discrepancy explicitly flagged for the thesis's data-quality/limitations discussion. No board-level sustainability/ESG committee found (governance section is generic NAICOM/SEC Code boilerplate referencing 'long-term sustainability' only in the generic corporate-governance sense, not IFRS-S1-style board oversight of sustainability risks - SDQ_G1 not credited). No climate/GHG content found. All other years (FY2021-2024) not verified this session for lack of accessible primary sources - scored 0/20 and FLAGGED as unconfirmed rather than confirmed nil.</t>
  </si>
  <si>
    <t>UPDC Plc FY2021: not verified this session (only the FY2023 Annual Report was fetched) - scored 0/20 SDQ, 0/15 CDQ, FLAGGED as unconfirmed but consistent with the HR-focused, ESG-light disclosure pattern confirmed for FY2023.</t>
  </si>
  <si>
    <t>UPDC Plc FY2022: not verified this session (only the FY2023 Annual Report was fetched) - scored 0/20 SDQ, 0/15 CDQ, FLAGGED as unconfirmed but consistent with the HR-focused, ESG-light disclosure pattern confirmed for FY2023.</t>
  </si>
  <si>
    <t>UPDC Plc FY2023 (Annual Report and Financial Statements, updcplc.com, fetched directly - the only full primary source located and reviewed this session): SDQ=0/20, CDQ=0/15. The Directors' Report contains an extensive, detailed Human Capital/Employee Relations section (Diversity and Inclusion, Health/Safety/Employee Welfare, Employee Wellness and Wellbeing, IT upgrades, Internship Programme) but NO donations/charitable-gift line item, NO named sustainability/ESG board committee (only generic Finance/Investment/Operations, Risk/Audit/Compliance, Remuneration/Governance and Statutory Audit committees, none with an environmental or sustainability-specific remit), and only a single boilerplate reference to 'Definition of the scope of corporate social responsibility through the approval of relevant policies' within a Board Committee's general terms-of-reference list (too generic to credit SDQ_G1 per this dataset's anti-boilerplate rule - no concrete oversight activity or CSR content described anywhere else in the document). No climate/GHG/environmental metrics found anywhere in the report.</t>
  </si>
  <si>
    <t>UPDC Plc FY2024: not verified this session (only the FY2023 Annual Report was fetched) - scored 0/20 SDQ, 0/15 CDQ, FLAGGED as unconfirmed but consistent with the HR-focused, ESG-light disclosure pattern confirmed for FY2023.</t>
  </si>
  <si>
    <t>UPDC Plc FY2025: not verified this session (only the FY2023 Annual Report was fetched) - scored 0/20 SDQ, 0/15 CDQ, FLAGGED as unconfirmed but consistent with the HR-focused, ESG-light disclosure pattern confirmed for FY2023.</t>
  </si>
  <si>
    <t>UPDCREIT (UPDC Real Estate Investment Trust, managed by Stanbic IBTC Asset Management Limited) all five years: 0/20 SDQ, 0/15 CDQ. FY2025 Annual Report and Financial Statements (NGX doclib, fetched directly) explicitly states 'Charitable donations or gifts: The Trust did not make any charitable donations or gifts during the [year]' - a CONFIRMED nil. This is a passive, externally-managed REIT with no employees or direct operations (governed by an Investment Committee of the Fund Manager applying COSO ERM Framework to real-estate asset allocation decisions only) - consistent with the SFSREIT/UHOMREIT/NIDF precedent established in prior batches this session, where such passive investment-fund structures score conservatively near-zero on operating-company-oriented SDQ/CDQ items. No board-level sustainability committee, no CSR programme, no climate/GHG content found. FY2021-2024 not separately fetched this session but scored consistently with the REIT precedent and the confirmed FY2025 nil-donations disclosure.</t>
  </si>
  <si>
    <t>UPL FY2021: not verified this session (only the FY2025 AFS, with FY2024 comparative, was fetched) - scored 0/20 SDQ, 0/15 CDQ, FLAGGED as unconfirmed pending re-verification.</t>
  </si>
  <si>
    <t>UPL FY2022: not verified this session (only the FY2025 AFS, with FY2024 comparative, was fetched) - scored 0/20 SDQ, 0/15 CDQ, FLAGGED as unconfirmed pending re-verification.</t>
  </si>
  <si>
    <t>UPL FY2023: not verified this session (only the FY2025 AFS, with FY2024 comparative, was fetched) - scored 0/20 SDQ, 0/15 CDQ, FLAGGED as unconfirmed pending re-verification.</t>
  </si>
  <si>
    <t>UPL (University Press Plc) FY2024: SDQ_M1=1 - the SAME FY2025 Audited Financial Statements document (Note 12, Administrative Expenses, comparative column) discloses a GENUINE prior-year comparative Donations figure of N387,000 for the year ended 31 March 2024, satisfying SDQ_M1 as a confirmed (not estimated) figure. All other items scored 0/20 for the same reasons as FY2025 (no sustainability-specific board committee, boilerplate CSR environment pillar, no climate/GHG content) - see FY2025 note for full detail.</t>
  </si>
  <si>
    <t>UPL (University Press Plc) FY2025 (fiscal year ended 31 March 2025, Audited Financial Statements, NGX doclib, fetched directly): SDQ_M1=1 - Directors' Report item 9 'DONATIONS' states 'Donations made during the year under review amounted to N1,484,000.00'; the FY2025 Administrative Expenses note (Note 12) separately shows a 'Donations' line of N1,554,000 (minor basis/consolidation difference from the Directors' Report figure, not material to the scoring decision). The Directors' Report also contains a named 'Corporate Social Responsibility' section explicitly structuring CSR around three pillars - Community Development, Education, and Environment ('We believe in the need to protect and restore the natural environment in which we operate') - but this is boilerplate policy language with no specific programme, target, or figure attached, so it was NOT credited toward SDQ_S1/S2 per the anti-boilerplate rule. A named Board Risk Management Committee exists ('performs oversight functions on the Company's Risk Management processes... setting risk management policies that ensure material risks... are identified and mitigated') but its remit is generic enterprise risk, not sustainability-specific, so SDQ_G1/R1-R4 were not credited, consistent with this session's TRANSPOWER-derived precedent (only committees with an EXPLICIT environmental/sustainability remit in their stated terms of reference are credited). No climate/GHG content found anywhere in the document.</t>
  </si>
  <si>
    <t>VERITASKAP FY2021: not verified this session (only the FY2025 Annual Report was fetched) - scored 0/20 SDQ, 0/15 CDQ, FLAGGED as unconfirmed pending re-verification.</t>
  </si>
  <si>
    <t>VERITASKAP FY2022: not verified this session (only the FY2025 Annual Report was fetched) - scored 0/20 SDQ, 0/15 CDQ, FLAGGED as unconfirmed pending re-verification.</t>
  </si>
  <si>
    <t>VERITASKAP FY2023: not verified this session (only the FY2025 Annual Report was fetched) - scored 0/20 SDQ, 0/15 CDQ, FLAGGED as unconfirmed pending re-verification.</t>
  </si>
  <si>
    <t>VERITASKAP FY2024: not verified this session (only the FY2025 Annual Report was fetched) - scored 0/20 SDQ, 0/15 CDQ, FLAGGED as unconfirmed pending re-verification.</t>
  </si>
  <si>
    <t>VERITASKAP (Veritas Kapital Assurance Plc) FY2025 (Annual Report and Consolidated/Separate Financial Statements, NGX doclib, fetched directly): SDQ_G2=1 - a named, documented 'Health, Safety and Environment (HSE) Program' with defined policies/procedures, roles, and explicit objectives including 'Foster environmental responsibility in operational activities' and 'Monitoring of environmental and workplace safety standards' constitutes a specific management-level function for managing sustainability-adjacent risks (credited per this session's established pattern for named operational programmes with an explicit environmental remit, distinct from generic HR/safety boilerplate). SDQ_G1 NOT credited - the Board Risk Management Committee's oversight is of the generic Enterprise Risk Management (ERM) Framework (covering strategic, claims, legal/compliance, pandemic/emerging risk categories) with 'Sustainable Growth and Long-Term Stability' listed only as one of five general outcome objectives, not a distinguished sustainability-oversight remit. A detailed 'Corporate Social Responsibility' section describes two named 2025 initiatives (a Health Awareness Road Walk with Waka Community International Foundation, 29 March 2025; an Industrial Visit for Actuarial Science and Insurance Students Association LASU students, 19 June 2025) with objectives/outcomes narrative but NO quantified spend/donation figure was captured from the extracted text (the Directors' Report 'Donations' line item table values were not machine-extracted), so SDQ_M1 was NOT credited - flagged as a possible under-count pending re-verification with a cleaner document extraction. CDQ=0/15: the only climate-adjacent reference found is a single bullet ('climate events') buried within a generic 'Pandemic and Emerging Risk' category of the ERM framework, alongside geopolitical shifts and emerging threats - not a distinct climate risk treatment, and insufficient for any CDQ credit per this dataset's rules. No GHG/emissions figures, no climate scenario analysis, no climate transition plan found.</t>
  </si>
  <si>
    <t>VFDGROUP FY2021: not verified this session (only the FY2025 AFS, with FY2024 comparative, was fetched) - scored 0/20 SDQ, 0/15 CDQ, FLAGGED as unconfirmed pending re-verification.</t>
  </si>
  <si>
    <t>VFDGROUP FY2022: not verified this session (only the FY2025 AFS, with FY2024 comparative, was fetched) - scored 0/20 SDQ, 0/15 CDQ, FLAGGED as unconfirmed pending re-verification.</t>
  </si>
  <si>
    <t>VFDGROUP FY2023: not verified this session (only the FY2025 AFS, with FY2024 comparative, was fetched) - scored 0/20 SDQ, 0/15 CDQ, FLAGGED as unconfirmed pending re-verification.</t>
  </si>
  <si>
    <t>VFDGROUP FY2024: SDQ_M1=1 - the SAME FY2025 AFS discloses a GENUINE prior-year comparative donation figure of N10.7m for FY2024, satisfying SDQ_M1 as a confirmed (not estimated) figure. All other items scored 0/20 for the same reasons as FY2025 - see FY2025 note for full detail.</t>
  </si>
  <si>
    <t>VFDGROUP FY2025 (Consolidated and Separate Financial Statements, NGX doclib, fetched directly): SDQ_M1=1 - Directors' Report states 'The value of donations made by the Company during the year amounted to N21m (2024: N10.7m)'. No sustainability-specific board committee found among the six standing Board Committees (Corporate Governance &amp; Nomination, Finance &amp; General-Purpose, Audit, Risk Management &amp; Compliance, Remuneration, Investment) - all generic remits with no explicit environmental/sustainability terms of reference. The Corporate Governance Report's opening boilerplate references 'environmental and social risks' only in the context of general SEC Code of Corporate Governance compliance, too generic to credit. An IFRS 9 accounting-policy note discusses classification of financial instruments with 'ESG-linked features' - this is a technical accounting disclosure, not a substantive sustainability disclosure, and was not credited. No climate/GHG content found anywhere in the document.</t>
  </si>
  <si>
    <t>VITAFOAM FY2021: not verified this session (only the FY2024 AFS was fetched) - scored 0/20 SDQ, 0/15 CDQ, FLAGGED as unconfirmed pending re-verification.</t>
  </si>
  <si>
    <t>VITAFOAM FY2022: not verified this session (only the FY2024 AFS was fetched) - scored 0/20 SDQ, 0/15 CDQ, FLAGGED as unconfirmed pending re-verification.</t>
  </si>
  <si>
    <t>VITAFOAM FY2023: not verified this session (only the FY2024 AFS was fetched) - scored 0/20 SDQ, 0/15 CDQ, FLAGGED as unconfirmed pending re-verification.</t>
  </si>
  <si>
    <t>VITAFOAM FY2024 (fiscal year ended 30 September 2024, Consolidated and Separate Financial Statements, NGX doclib, fetched directly - mapped to panel FY2024 per the filing's own year-end label): SDQ=6/20, the richest manufacturing-sector operational/environmental-management profile found in the dataset to date. Credited: SDQ_G2 (a named 'HSE Manager' oversees all Health, Safety and Environment matters including 'coordination and timely analysis of environmental data' - a specific management function); SDQ_R1 (a dedicated 'Sustainability Report' section describes Environmental Impact Assessments (EIA) conducted for all new projects - a named risk-identification process); SDQ_R2 (Environmental Audits and Environmental Management Plans (EMP) - a named risk-assessment process); SDQ_R3 (Environmental Compliance Monitoring - a named ongoing-monitoring process); SDQ_M1 (quantified donations - N9,556,298 Group / N8,389,773 Company, itemised by beneficiary); SDQ_M3 (a specific sector-relevant waste metric - '98% of solid waste, are recyclable and are sent to foam recycling plants'). The Environmental Management Plan itself is unusually detailed for a non-extractive/non-oil&amp;gas NGX filing, covering Energy, Air Quality (fume extractors/activated carbon filters for foam-blowing VOC emissions), Noise/Vibration, Water, Waste, Waste Oil, Chemical Storage and Fire Safety management, plus a subsidiary (Vitapur Nigeria Limited) holding ISO 14001:2015 Environmental Management System certification. NOT credited: SDQ_G1 (no board-level sustainability committee - oversight runs through a generic Risk, Finance and General Purposes Committee with no environmental-specific remit), SDQ_R4 (no explicit statement that environmental risk is integrated into the Bank's overall ERM framework), SDQ_M2/M4/M5 (no target-plus-progress pairing, no remuneration link, no stated calculation methodology/standard for the waste-recycling percentage). CDQ=0/15: despite the detailed 'Air Quality Management' section addressing foam-blowing emissions (acetic acid, oxides), this addresses local air-quality/occupational-exposure compliance, not GHG/climate metrics - no Scope 1/2/3 tCO2e figures, no climate target, no scenario analysis found anywhere in the document.</t>
  </si>
  <si>
    <t>VITAFOAM FY2025: not verified this session (only the FY2024 AFS was fetched) - scored 0/20 SDQ, 0/15 CDQ, FLAGGED as unconfirmed pending re-verification; the confirmed FY2024 Sustainability Report content (see FY2024 note) makes FY2025 a strong candidate for a similarly rich profile once re-verified.</t>
  </si>
  <si>
    <t>WAPIC FY2021: not verified this session (only the FY2024 Annual Report, with FY2023 comparative, was fetched) - scored 0/20 SDQ, 0/15 CDQ, FLAGGED as unconfirmed pending re-verification.</t>
  </si>
  <si>
    <t>WAPIC FY2022: not verified this session (only the FY2024 Annual Report, with FY2023 comparative, was fetched) - scored 0/20 SDQ, 0/15 CDQ, FLAGGED as unconfirmed pending re-verification.</t>
  </si>
  <si>
    <t>WAPIC FY2023: SDQ_M1=1 - the SAME FY2024 Annual Report discloses a GENUINE prior-year comparative donation figure of N32,477,438 for FY2023, satisfying SDQ_M1 as a confirmed (not estimated) figure. All other items scored 0/20 for the same reasons as FY2024 - see FY2024 note for full detail.</t>
  </si>
  <si>
    <t>WAPIC (Coronation Insurance Plc, formerly Wapic Insurance Plc) FY2024 (Annual Report and Audited Consolidated and Separate Financial Statements, NGX doclib, fetched directly): SDQ_M1=1 - Directors' Report states 'The Company made contributions to charitable and non-charitable organizations amounting to N41,593,353 (2023: N32,477,438)', with a full itemised beneficiary table (22 line items covering sponsorships, conferences, sports, education, community initiatives). The Corporate Governance Report separately notes the Board's use of 'a secure electronic portal for the circulation of Board papers... underscores the commitment of the Board to embrace environment sustainability by reducing paper usage' - a specific, concrete practice, but too narrow/isolated to independently credit any Governance or Strategy item under this dataset's rules (no named committee, no broader environmental policy or process described). No sustainability-specific board committee found among the extensive Board Committee structure (Audit, Risk Management, Establishment &amp; Remuneration, Investment &amp; General-Purpose, Compliance, IT). No climate/GHG content found anywhere in the document.</t>
  </si>
  <si>
    <t>WAPIC FY2025: not verified this session (only the FY2024 Annual Report was fetched) - scored 0/20 SDQ, 0/15 CDQ, FLAGGED as unconfirmed pending re-verification.</t>
  </si>
  <si>
    <t>WEMABANK FY2021: not verified this session (only the FY2025 Annual Report was fetched, which explicitly confirms FY2025 as Wema Bank's first IFRS S1/S2-aligned reporting year) - scored 0/20 SDQ, 0/15 CDQ, FLAGGED as unconfirmed pending re-verification; Wema Bank likely had SOME sustainability disclosure in earlier years (CBN Sustainable Banking Principles compliance is bank-sector-standard), but not at the IFRS-S1/S2 depth confirmed for FY2025, and not verified this session.</t>
  </si>
  <si>
    <t>WEMABANK FY2022: not verified this session - scored 0/20 SDQ, 0/15 CDQ, FLAGGED as unconfirmed pending re-verification. See FY2021 note for context.</t>
  </si>
  <si>
    <t>WEMABANK FY2023: not verified this session - scored 0/20 SDQ, 0/15 CDQ, FLAGGED as unconfirmed pending re-verification. See FY2021 note for context.</t>
  </si>
  <si>
    <t>WEMABANK FY2024: not verified this session - scored 0/20 SDQ, 0/15 CDQ, FLAGGED as unconfirmed pending re-verification. See FY2021 note for context.</t>
  </si>
  <si>
    <t>WEMABANK FY2025 (2025 Annual Report, NGX doclib, fetched directly - extraction covered the front matter, full Corporate Governance Report, and the dedicated Sustainability Report section up to p.37; the later Directors' Report at p.87 with the Donations line was NOT reached before the extraction limit): SDQ=12/20. IMPORTANT CONTEXT: the report explicitly states '2025 represented a significant milestone for Wema Bank with adoption of IFRS S1 and IFRS S2, marking our formal alignment with globally recognized sustainability and climate-related disclosure standards' - i.e. this is confirmed as Wema Bank's FIRST IFRS-S1/S2-aligned reporting year, so this rich profile is applied ONLY to FY2025, not retroactively. Credited: SDQ_G1 (Board Risk Management Committee's terms of reference explicitly 'Defines and reviews the Bank's risk appetite for sustainability related risks and opportunities'); SDQ_G2 (a named management-level 'Sustainability Committee', chaired by the Deputy Managing Director with named senior-management members including the Chief Risk Officer, developing/reviewing the corporate sustainability strategy); SDQ_G3 (Sustainability Committee meets quarterly, reports/recommends to the Board); SDQ_G4 (sustainability 'more firmly anchored within the Bank's governance, risk management, and strategic decision-making processes' with a defined Committee reporting mechanism); SDQ_G5 ('Corporate Sustainability training facilitated by Financial Reporting Council of Nigeria' for relevant personnel); SDQ_S1 (a detailed Materiality Matrix explicitly names 23 specific material topics including 'Climate Change and Carbon Emissions', 'Environmental and Social Risk Management', 'Energy Efficiency'); SDQ_R1/R2 (a structured materiality-assessment methodology - stakeholder engagement across customers/employees/regulators/investors/communities - identifies and ranks material ESG topics via a Materiality Matrix); SDQ_R4 (materiality assessment explicitly 'informs risk management decisions... shapes our reporting frameworks, including alignment with IFRS S1, IFRS S2'); SDQ_M1 (multiple entity-specific figures: 6,654,230 kWh electricity consumed in 2025 vs 6,212,110 kWh in 2024; 2,326,109 litres diesel; 9,532 kg recyclables evacuated vs 6,519 kg in 2024; water usage 17.7m litres vs 18.5m litres in 2024); SDQ_M2 (as a UNEP-FI PRB founding signatory, the Bank states it is 'exceeding targets across our distinct areas of materiality - Financial Inclusion and Women's Economic Empowerment', an explicit target-plus-progress statement); SDQ_M3 (banking-sector-specific metrics - solar-powered branch count (36), % of branch energy from solar (38%), hybrid-power ATM network). NOT credited: SDQ_S2-S5 (no specific business-model/value-chain effect, strategic decision, financial-statement-line impact, or resilience/scenario assessment described in the captured text), SDQ_R3 (no distinct ongoing-monitoring process described beyond the periodic materiality assessment), SDQ_R5 (no process for identifying OPPORTUNITIES specifically described), SDQ_M4/M5 (no remuneration link found; no stated calculation methodology/standard for the reported energy/waste/water figures). CDQ=2/15: credited CDQ_S4 (a concrete, if informal, low-carbon strategy in practice - solar-powered branches, hybrid-power ATMs, energy-shutdown policies, explicitly framed as supporting 'the Nigerian Energy Transition Plan and the global Net-Zero emissions target') and CDQ_R1 (the Materiality Matrix explicitly identifies and ranks 'Climate Change and Carbon Emissions' as a distinct material risk topic via the structured assessment process). NOT credited: CDQ_G1-G3 (no board/management oversight distinguished as CLIMATE-specific rather than general sustainability in the captured text), CDQ_S1 (only transition-related actions described; no physical climate risk - e.g. flooding, extreme heat impact on branches - addressed), CDQ_S3 (no climate scenario analysis found), CDQ_R2, CDQ_M1-M6 (no actual Scope 1/2/3 GHG inventory figures reported - only a '998 tCO2e' AVOIDED/displaced-emissions estimate from solar generation, which is not an actual emissions inventory figure; no dated, quantified company-specific climate target found in the captured text, though external secondary sources reference solar-related carbon-emission-reduction achievements not verified from this primary source this session; no remuneration or internal-carbon-price disclosure found). FLAG: the Directors' Report (p.87, containing the Donations line item) was beyond the extraction's reach this session and should be re-verified for additional SDQ_M1 signal.</t>
  </si>
  <si>
    <t>ZENITHBANK FY2021: not verified this session (only the FY2025 Annual Report was fetched) - scored 0/20 SDQ, 0/15 CDQ, FLAGGED as unconfirmed pending re-verification; Zenith Bank is independently known to have published standalone GRI-aligned sustainability reports since 2016, making this year a strong candidate for a materially-above-zero score pending dedicated re-verification against that year's own standalone report.</t>
  </si>
  <si>
    <t>ZENITHBANK FY2022: not verified this session - scored 0/20 SDQ, 0/15 CDQ, FLAGGED as unconfirmed pending re-verification. See FY2021 note for context on Zenith's known long-running sustainability-reporting practice.</t>
  </si>
  <si>
    <t>ZENITHBANK FY2023: not verified this session - scored 0/20 SDQ, 0/15 CDQ, FLAGGED as unconfirmed pending re-verification. See FY2021 note for context on Zenith's known long-running sustainability-reporting practice.</t>
  </si>
  <si>
    <t>ZENITHBANK FY2024: SDQ_M1=1 - the SAME FY2025 Annual Report discloses a GENUINE prior-year comparative donation figure of N4,750m for FY2024 (Directors' Report note 13), satisfying SDQ_M1 as a confirmed (not estimated) figure. All other items scored 0/20, and CDQ=0/15, consistent with this batch's conservative treatment of FY2025 as Zenith's confirmed first year of IFRS-S1/S2-structured disclosure (see FY2025 note) - FY2024 is NOT assumed to carry the same governance/strategy/risk-management depth without separate confirmation, despite Zenith's well-known long-running (pre-IFRS-S1/S2) sustainability reporting practice.</t>
  </si>
  <si>
    <t>ZENITHBANK FY2025 (Zenith Bank Plc Annual Report, NGX doclib, fetched directly - extraction covered the Directors' Report/Corporate Governance Report and a substantial portion of the Bank's first standalone 'Sustainability Related Financial Disclosure' section, IFRS S1/S2-aligned): the RICHEST SDQ/CDQ profile in the entire dataset - SDQ=17/20, CDQ=10/15, surpassing UBA (Batch 25, 14/20-12/15) on the SDQ dimension. The report explicitly states this is 'Zenith Bank Group's first sustainability report in compliance with IFRS S1 and S2 Disclosure Standards' while also noting 'this marks the eleventh year of disclosing Zenith Bank's sustainability commitments and performance' (i.e. a mature, decade-plus practice newly reformatted to the IFRS standard in 2025) - per this session's STERLINGNG-derived precedent for explicit 'first/inaugural reporting cycle' disclaimers, this rich IFRS-S1/S2-structured score is applied ONLY to FY2025, not retroactively, despite Zenith's well-documented long-running sustainability reporting history (independently known as the first African bank to publish a standalone GRI-aligned sustainability report, in 2016) making FY2021-2024 strong candidates for a materially-above-zero score pending dedicated re-verification against those years' own standalone sustainability reports (not fetched this session). GOVERNANCE (5/5): a two-tier Board oversight structure - the Board Risk Management Committee explicitly serves as the 'Board Sustainability Committee' (quarterly CRO reporting, annual risk-map review) and the Board Audit and Compliance Committee explicitly serves as the 'Board Committee on Sustainability Reporting' (oversight of IFRS S1/S2 adoption and of internal controls over sustainability reporting); a management-level 'Sustainability Steering Committee' (quarterly meetings, reports to the Board Sustainability Committee) and a dedicated 'Sustainability Unit' led by a 'Head of Sustainability'; a published Board skills/competency matrix explicitly names 'Climate and Sustainability' as one of five designated competency areas mapped to specific directors, and confirms Board members underwent 'certified trainings on IFRS S1 and S2... by external consultants'. STRATEGY (5/5): explicit defined time horizons (short 0-3yrs/medium 3-10yrs/long 10-30yrs) applied to sustainability and climate risk assessment; detailed value-chain risk mapping across Core Operations/Suppliers &amp; IT Infrastructure/Customers &amp; Portfolio; specific financial-statement line items named as impacted (interest income, customer deposits, impairment charge); and an explicit reference to a dedicated 'Climate Scenario Analysis' section (confirmed to exist via cross-reference, though its full numeric content fell just beyond this session's extraction limit). RISK MANAGEMENT (5/5): a formal 4-step materiality-assessment methodology (topic identification, stakeholder identification, engagement/analysis, prioritisation) producing a Materiality Matrix; Internal Control &amp; Audit Department performs 'Internal Controls over Sustainability Reporting (ICSR)' evaluations; explicit integration statement ('sustainability is systematically integrated into the Bank's strategy, risk management, target setting and decision-making'); and distinct 'Opportunities' sections mapped alongside both physical and transition risk categories. METRICS (2/5): SDQ_M1 credited via quantified donations (N5,664m FY2025 per the Directors' Report, itemised by beneficiary category); SDQ_M5 credited via the Bank's ISSB Disclosure Policy explicitly 'requir[ing] the application of the provisions of the GHG Protocol method in estimating its emissions' (a stated calculation methodology). NOT credited: SDQ_M2-M4 - the numeric Metrics-and-Targets tables (including any actual GHG tCO2e figures, dated reduction targets, and remuneration linkage) fell beyond this session's extraction limit and could not be confirmed from the primary text, despite secondary-source web search results referencing a 60,945 mtCO2e FY2025 Scope 1&amp;2 figure and a 50%-by-2030 reduction target - per this dataset's anti-circularity rule, these were NOT credited without primary-source confirmation, and are flagged as the HIGHEST-PRIORITY re-verification candidate in this batch (very likely to raise this already-leading score further). CDQ=10/15: CDQ_G1-G3 credited via the same climate-distinguishing Board structure detail (the Board Sustainability Committee's climate-specific policy - the 'Climate related Risk Management Policy', CRMP - has its own governance arrangements distinct from general sustainability governance; the Board skills matrix explicitly separates out 'Climate and Sustainability' as a competency; a named 'Environmental Risk Management Unit' sits among the Bank's cross-functional 'Sustainability Champions'). CDQ_S1-S4 all credited: BOTH physical risk (acute/chronic, with named examples - flash floods, sea-level rise) AND transition risk (carbon taxes, stranded assets) are extensively and distinctly addressed with full value-chain mapping for each; a dedicated Climate Scenario Analysis section is referenced; the CRMP explicitly targets 'lower carbon outcomes across operations and the credit portfolio' (a low-carbon strategy). CDQ_R1-R2 credited via the same materiality/integration evidence as the SDQ risk items, applied specifically to the named climate risk categories. CDQ_M3 (Scope 3, or reasoned omission) uniquely and explicitly credited: 'In accordance with IFRS S2 transition relief, Scope 3 greenhouse gas emissions have not been disclosed in this reporting period. As a first-time reporter, Zenith Bank Group currently enjoys Scope 3 emission relief' - a textbook example of a reasoned, standards-based omission. CDQ_M1, M2, M4, M5, M6 NOT credited - the actual Scope 1/2 tCO2e figures, dated targets, target progress, and any internal carbon-price/transition-capex figures all fall in the numeric Metrics-and-Targets tables beyond this session's extraction limit (same flag as SDQ_M2-M4 above).</t>
  </si>
  <si>
    <t>ZICHIS FY2021: GENUINE DATA GAP (Total_Assets = None in Panel Data) - per the Firm Master notes, Zichis operated as a private entity (Zichis Farms Limited) with no publicly available financial statements for FY2021-FY2023; it converted to a public company and was renamed Zichis Agro Allied Industries Plc in May 2024, listing on the NGX Growth Board on 20-Jan-2026 (after the study window). SDQ/CDQ left BLANK (not scored as zero) consistent with this dataset's genuine-gap convention, distinct from a coded zero.</t>
  </si>
  <si>
    <t>ZICHIS FY2022: GENUINE DATA GAP (Total_Assets = None in Panel Data) - per the Firm Master notes, Zichis operated as a private entity (Zichis Farms Limited) with no publicly available financial statements for FY2021-FY2023; it converted to a public company and was renamed Zichis Agro Allied Industries Plc in May 2024, listing on the NGX Growth Board on 20-Jan-2026 (after the study window). SDQ/CDQ left BLANK (not scored as zero) consistent with this dataset's genuine-gap convention, distinct from a coded zero.</t>
  </si>
  <si>
    <t>ZICHIS FY2023: GENUINE DATA GAP (Total_Assets = None in Panel Data) - per the Firm Master notes, Zichis operated as a private entity (Zichis Farms Limited) with no publicly available financial statements for FY2021-FY2023; it converted to a public company and was renamed Zichis Agro Allied Industries Plc in May 2024, listing on the NGX Growth Board on 20-Jan-2026 (after the study window). SDQ/CDQ left BLANK (not scored as zero) consistent with this dataset's genuine-gap convention, distinct from a coded zero.</t>
  </si>
  <si>
    <t>ZICHIS FY2024: not verified this session - the only primary source fetched was the FY2025 Annual Report and Accounts (NGX doclib), whose Chairman's Statement, 'Environment Sustainability, Health, Education &amp; Safety' section, and Corporate Social Responsibility narrative are all explicitly framed around 'in 2025' / 'during the year' (i.e. FY2025-specific) with no distinct FY2024 narrative captured. FY2024 was also the company's transition year from private (Zichis Farms Limited) to public entity (converted/renamed May 2024), so its FY2024 disclosure practices may differ materially from the FY2025 profile. Scored 0/20 SDQ, 0/15 CDQ, FLAGGED as unconfirmed pending re-verification against the FY2024 comparative figures within this same FY2025 AFS or a separate FY2024 filing.</t>
  </si>
  <si>
    <t>ZICHIS FY2025 (Annual Reports &amp; Accounts for the year ended 31 December 2025, NGX doclib, fetched directly - Zichis's first audited financial statements as a newly-converted public company, RC: 1026336, auditor V.O. Olafamoye &amp; Co.): SDQ=1/20 - SDQ_S2 credited via specific, entity-tailored (not generic-boilerplate) descriptions of environmental practices integrated into the farm's operating/business model: 'All Poultry litters is dried and used as manure for the crop farming to grow healthy crops and solar powered pumps are used to deliver clean water to the Fish ponds' - a genuine closed-loop/circular-economy practice specific to this agro-allied operation. A dedicated 'Environment Sustainability, Health, Education &amp; Safety' section and a separate 'Corporate Social Responsibility' section both exist in the Chairman's Statement and Directors' Report (CSR activities named: fertilizer/bird-dropping-manure provision, education/skills training, access-road maintenance, borehole water access for host communities), but NOT credited toward SDQ_M1 because no quantified CSR spend figure was found anywhere in the document - the Directors' Report states only that 'The Company expended a huge sum of money on corporate social responsibility projects during the year' with no amount disclosed (unlike most other NGX filings reviewed this session, which typically itemise a Naira donations figure). No sustainability-specific board committee found - the company's Risk Management Committee has a purely generic operational-risk remit ('identifying risk in the workplace and in the operating environment, evaluating and prioritizing... risks the company may encounter'), not credited per this session's anti-boilerplate rule. CDQ=0/15: no climate/GHG content of any kind found anywhere in the document - unsurprising for a first-time filer / newly-public small agro company. This is the FINAL firm-year coded in the 146-firm alphabetical panel.</t>
  </si>
  <si>
    <t>Year_Incorporation</t>
  </si>
  <si>
    <t>Date_Listed_NGX</t>
  </si>
  <si>
    <t>Auditor</t>
  </si>
  <si>
    <t>Big4_Auditor</t>
  </si>
  <si>
    <t>NGX_Compliance_Status (CSI)</t>
  </si>
  <si>
    <t>Compliance_Notes (as of 20-Feb-2026 X-Compliance Report)</t>
  </si>
  <si>
    <t>Notes</t>
  </si>
  <si>
    <t>ABBEYBANK</t>
  </si>
  <si>
    <t>Abbey Mortgage Bank Plc</t>
  </si>
  <si>
    <t>FINANCIAL SERVICES</t>
  </si>
  <si>
    <t>21-Oct-2008</t>
  </si>
  <si>
    <t>PricewaterhouseCoopers</t>
  </si>
  <si>
    <t>Abbey Mortgage Bank Plc - primary mortgage bank, Financial Services sector. Incorporated 1991, NGX-listed 21-Oct-2008. Auditor PricewaterhouseCoopers (Big4) throughout the study window. FY2025 figures are marked UNAUDITED/provisional in the source filing pending the final Annual Report - flagged in the Panel Data Notes for that year. Strong asset growth across FY2021-2025 (N34.5bn to N165.6bn Total Assets).</t>
  </si>
  <si>
    <t>ABCTRANS</t>
  </si>
  <si>
    <t>ABC Transport Plc</t>
  </si>
  <si>
    <t>SERVICES</t>
  </si>
  <si>
    <t>20-Dec-2006</t>
  </si>
  <si>
    <t>Forvis Mazars</t>
  </si>
  <si>
    <t>ABC Transport Plc - road transport/logistics operator, Services sector. Incorporated 1993, NGX-listed 20-Dec-2006. Auditor Forvis Mazars (non-Big4). Shares outstanding rose from 1.6577bn to 2.3926bn via a rights issue completed during 2022 - the FY2021 and FY2022 figures use the correct period-specific share count per the company's own disclosure, not a blended average.</t>
  </si>
  <si>
    <t>ACADEMY</t>
  </si>
  <si>
    <t>Academy Press Plc</t>
  </si>
  <si>
    <t>15-Jun-1995</t>
  </si>
  <si>
    <t>Ernst &amp; Young</t>
  </si>
  <si>
    <t>Academy Press Plc - printing/publishing company, Services sector. Incorporated 1964, NGX-listed 15-Jun-1995. Auditor Ernst &amp; Young (Big4). FISCAL YEAR END IS 31-MARCH, not 31-December like most firms in this sample - Study Year N maps to FYE 31-Mar-N, and Share_Price_YearEnd uses the calendar 31-Dec-N proxy (same numbered year). FY2025 (FYE 31-Mar-2025) is a documented DATA GAP: the only located 'audited' figures came from an unaudited interim that materially disagreed with a secondary summary of the real audited accounts, so all FY2025 financials were left blank rather than risk using unreliable figures - see the FY2025 Panel Data Notes.</t>
  </si>
  <si>
    <t>ACCESSCORP</t>
  </si>
  <si>
    <t>Access Holdings Plc</t>
  </si>
  <si>
    <t>1998 (predecessor Access Bank Plc); Access Holdings Plc from 2022 restructuring</t>
  </si>
  <si>
    <t>KPMG Professional Services</t>
  </si>
  <si>
    <t>Access Holdings Plc - Tier-1 banking group, Financial Services sector. The FY2021 entity was legally Access Bank Plc; a March-2022 Scheme of Arrangement created the non-operating holding company Access Holdings Plc as the new listed parent, continuing under the same NGX ticker (ACCESSCORP) - treated as one continuous listing for this study. Auditor KPMG Professional Services (Big4). Shares outstanding rose from 35.545bn to 53.318bn via a rights issue completed July 2024. FY2025 Total Assets/Total Liabilities are DERIVED from a Q1'26 percentage-change disclosure rather than a primary financial-statement line - lower confidence than other years, flagged in the FY2025 Panel Data Notes.</t>
  </si>
  <si>
    <t>AFRINSURE</t>
  </si>
  <si>
    <t>African Alliance Insurance Plc</t>
  </si>
  <si>
    <t>17-Sep-2009</t>
  </si>
  <si>
    <t>Deloitte &amp; Touche</t>
  </si>
  <si>
    <t>MRF</t>
  </si>
  <si>
    <t>Missing audited FS 2023-2024</t>
  </si>
  <si>
    <t>African Alliance Insurance Plc - life/general insurer, Financial Services sector. Incorporated 1960, NGX-listed 17-Sep-2009. Auditor Deloitte &amp; Touche (Big4). NGX Compliance Status: MRF (Missed Regulatory Filing) - the company failed to render audited financial statements for FY2023-2024. Share price has been frozen at N0.20 since the last recorded trade around 30-Jun-2022 (over 3 years untraded), and NAICOM dissolved the company's board/management in October 2024 over solvency concerns (negative equity). A firm under regulatory takeover is not making a normal voluntary sustainability-disclosure choice, so FY2022 onward is treated with reduced weight for the disclosure-quality analysis even though the frozen price is retained as a real (if stale) market data point.</t>
  </si>
  <si>
    <t>AFRIPRUD</t>
  </si>
  <si>
    <t>Africa Prudential Plc</t>
  </si>
  <si>
    <t>17-Jan-2013</t>
  </si>
  <si>
    <t>Africa Prudential Plc - share registration/fintech services, Financial Services sector. Incorporated 2006, NGX-listed 17-Jan-2013. Auditor Ernst &amp; Young (Big4). Shares outstanding doubled from 2.0bn to 4.0bn via a 1-for-1 bonus share issue completed during 2025.</t>
  </si>
  <si>
    <t>AFROMEDIA</t>
  </si>
  <si>
    <t>Afromedia Plc</t>
  </si>
  <si>
    <t>2-Jul-2008 (converted to public)</t>
  </si>
  <si>
    <t>SIAO Partners</t>
  </si>
  <si>
    <t>Missing audited FS 2022-2024</t>
  </si>
  <si>
    <t>Afromedia Plc - outdoor advertising/media company, Services sector. Incorporated 1959, converted to a public company and NGX-listed 2-Jul-2008. Auditor SIAO Partners (non-Big4). NGX Compliance Status: MRF - official X-Compliance Report confirms non-rendition of audited financial statements for FY2022-2024, with unaudited figures only through FY2025 Q4. FY2021 is AUDITED (going concern note: negative equity of -N3.22bn already present that year); FY2022 uses UNAUDITED management-report figures; FY2023-2025 are EXCLUDED from the panel entirely (all fields blank) per the confirmed MRF filing gap.</t>
  </si>
  <si>
    <t>AIICO</t>
  </si>
  <si>
    <t>AIICO Insurance Plc</t>
  </si>
  <si>
    <t>3-Dec-1990</t>
  </si>
  <si>
    <t>AIICO Insurance Plc - composite (life + general) insurer, Financial Services sector. Incorporated 1970, NGX-listed 3-Dec-1990. Auditor Ernst &amp; Young (Big4). Clean, fully audited data series across all 5 study years with strong asset growth (N222.4bn to N579.7bn Total Assets) and full share-price coverage.</t>
  </si>
  <si>
    <t>AIRTELAFRI</t>
  </si>
  <si>
    <t>Airtel Africa Plc</t>
  </si>
  <si>
    <t>ICT</t>
  </si>
  <si>
    <t>Jun-2019 (secondary listing; primary listing LSE)</t>
  </si>
  <si>
    <t>Deloitte LLP</t>
  </si>
  <si>
    <t>Airtel Africa Plc - pan-African telecoms group, ICT sector. Incorporated 2010 (UK holding company for the African Airtel operations), primary listing on the London Stock Exchange with a secondary NGX listing from Jun-2019. Auditor Deloitte LLP (Big4, UK-appointed). SPECIAL CASE: reports in USD with a 31-March fiscal year end (unlike every other firm in this sample); Total_Assets/Total_Liabilities/Net_Income are USD-to-NGN converted using the best available year-specific exchange rate, with LOW-MEDIUM confidence flagged for FY2023-2024 specifically because the Naira's June-2023 FX unification devaluation means a December reference rate is a poor proxy for a March fiscal year-end in those two years - see the per-year Panel Data Notes. Share_Price_YearEnd, by contrast, is the NGX-quoted NGN price directly (not a currency conversion) - Airtel Africa trades at a high nominal Naira price on NGX (hundreds to low thousands of Naira per share) because it is a large-cap cross-listed stock, not a typical small-denomination NGX equity.</t>
  </si>
  <si>
    <t>ALEX</t>
  </si>
  <si>
    <t>Aluminium Extrusion Industries Plc</t>
  </si>
  <si>
    <t>NATURAL RESOURCES</t>
  </si>
  <si>
    <t>3-Oct-1986</t>
  </si>
  <si>
    <t>Madu, Onyekwena &amp; Co</t>
  </si>
  <si>
    <t>BMF</t>
  </si>
  <si>
    <t>Free-float deficient (16.61%%, due Aug-2027) + missed 2025 Q4 quarterly filing</t>
  </si>
  <si>
    <t>Aluminium Extrusion Industries Plc - aluminium profile manufacturer, Natural Resources sector. Incorporated 1982, NGX-listed 3-Oct-1986. Auditor Madu, Onyekwena &amp; Co (non-Big4). NGX Compliance Status: BMF (Below Listing Standard + Missed Regulatory Filing) - free-float deficient (16.61%, cure period due Aug-2027) and missed the 2025 Q4 quarterly filing. Data quality is genuinely patchy for this small-cap firm independent of the compliance flag: FY2022 Total Assets/Liabilities were blocked by a scanned, non-machine-readable filing; FY2023 similarly unresolved for the balance sheet; FY2024-2025 rely partly on interim rather than full-year audited figures - see the per-year Panel Data Notes for the specific caveats. | EXCLUDED FROM 'Final Sample' (stricter, 17-Aug-2026), ALL 5 YEARS: Condition 5 (Section 3.6): NGX compliance status 'BMF' not among retained exceptions (BLS/MRF/RST).</t>
  </si>
  <si>
    <t>ARADEL</t>
  </si>
  <si>
    <t>Aradel Holdings Plc</t>
  </si>
  <si>
    <t>OIL AND GAS</t>
  </si>
  <si>
    <t>14-Oct-2024 (previously traded on NASD OTC from Aug-2013)</t>
  </si>
  <si>
    <t>Deloitte &amp; Touche (FY2025); KPMG from FY2026</t>
  </si>
  <si>
    <t>Aradel Holdings Plc (formerly Niger Delta Exploration &amp; Production Plc, rebranded May-2023) - independent oil &amp; gas exploration/production company, Oil and Gas sector. Incorporated 1992; traded on the NASD OTC exchange from Aug-2013 but was NOT NGX-listed until 14-Oct-2024. FY2021-2023 are EXCLUDED BY DESIGN (all fields blank) because no NGX market value existed for those years - including them would mean fabricating a Tobin's Q input. Auditor Deloitte &amp; Touche (Big4) for FY2025, moving to KPMG from FY2026 (post-study-window, informational only). FY2025 Total Assets grew ~5.7x due to a major step-acquisition (ND Western Ltd + Renaissance Africa Energy) consolidated as subsidiaries on 31-Dec-2025 - a genuine structural break, not a data error.</t>
  </si>
  <si>
    <t>AUSTINLAZ</t>
  </si>
  <si>
    <t>Austin Laz &amp; Company Plc</t>
  </si>
  <si>
    <t>INDUSTRIAL GOODS</t>
  </si>
  <si>
    <t>2012 (Growth Board)</t>
  </si>
  <si>
    <t>David Ugiagbe &amp; Co.</t>
  </si>
  <si>
    <t>RST</t>
  </si>
  <si>
    <t>Restructuring status (2yr) - but also listed as an Early Filer for 2025 AFS, so likely not delinquent</t>
  </si>
  <si>
    <t>Austin Laz &amp; Company Plc - building materials trading/distribution, Industrial Goods sector. Incorporated 1982, NGX-listed 2012 (Growth Board). Auditor David Ugiagbe &amp; Co. (non-Big4). NGX Compliance Status: RST (Restructuring, 2-year status) but the company is also an Early Filer for its 2025 Annual Financial Statements, so the restructuring flag likely does not indicate a genuine filing delinquency. FY2025 financials are Q3-2025 INTERIM ONLY (the company reported zero revenue in 2025 due to an ongoing 'retooling' operational halt) - flagged LOW-MEDIUM confidence in the Panel Data Notes.</t>
  </si>
  <si>
    <t>AVAIF</t>
  </si>
  <si>
    <t>AVA Infrastructure Fund</t>
  </si>
  <si>
    <t>CONSTRUCTION/REAL ESTATE</t>
  </si>
  <si>
    <t>10-May-2024</t>
  </si>
  <si>
    <t>N/A - not an operating company</t>
  </si>
  <si>
    <t>EXCLUDED</t>
  </si>
  <si>
    <t>Not an operating company - closed-end infrastructure investment fund (unitholders, NAV-based, not conventional equity structure). NGX-listed only from 10-May-2024. Tobin's Q not conceptually applicable to a fund. Excluded from sample entirely, not a CSI-based exclusion.</t>
  </si>
  <si>
    <t>AVA Infrastructure Fund - closed-end infrastructure investment fund (unitholders, NAV-based reporting), Construction/Real Estate sector classification on NGX. NGX-listed only from 10-May-2024. EXCLUDED FROM THE SAMPLE ENTIRELY: this is not an operating company and does not have the disclosure architecture that IFRS S1/S2's four pillars are built to assess; Tobin's Q is not conceptually applicable to a fund structure. This is a structural exclusion, not a CSI/compliance-based one - all Panel Data fields are blank by design for every study year. | EXCLUDED FROM 'Final Sample' (stricter, 17-Aug-2026), ALL 5 YEARS: Condition 5 (Section 3.6): closed-end REIT/investment fund. Condition 5 (Section 3.6): NGX compliance status 'EXCLUDED' not among retained exceptions (BLS/MRF/RST).</t>
  </si>
  <si>
    <t>BAPLC</t>
  </si>
  <si>
    <t>Briclinks Africa Plc (trading as Btel)</t>
  </si>
  <si>
    <t>5-Feb-2021</t>
  </si>
  <si>
    <t>Emmanuel Osuagwu &amp; Co.</t>
  </si>
  <si>
    <t>Briclinks Africa Plc, trading as Btel (formerly recorded in early research as British American Tobacco Nigeria before this was corrected to the true identity) - internet service provider, ICT sector. Incorporated 2015, NGX-listed 5-Feb-2021 (so FY2021 is effectively its IPO year). Auditor Emmanuel Osuagwu &amp; Co. (non-Big4). Approximately 96% of the company's liabilities consist of a single Director's Loan Account rather than conventional third-party debt - relevant context for interpreting the Leverage ratio. Share price has been flat at N6.25 across the entire study window per stockanalysis.com, consistent with a thinly-traded micro-cap rather than a data error. FY2025 Total Assets is a documented gap (genuine 31-Dec-2025 figure not yet located; the FY2024 figure itself is an approximation from a 30-Jun-2024 interim snapshot) - see the per-year Panel Data Notes.</t>
  </si>
  <si>
    <t>BERGER</t>
  </si>
  <si>
    <t>Berger Paints Nigeria Plc</t>
  </si>
  <si>
    <t>14-Mar-1974</t>
  </si>
  <si>
    <t>Pannell Kerr Forster</t>
  </si>
  <si>
    <t>Berger Paints Nigeria Plc - paints/coatings manufacturer, Industrial Goods sector. AUDITOR TRANSITION: KPMG Professional Services (Big4) audited FY2021-2023; changed to Pannell Kerr Forster (non-Big4) from FY2024 onward. Per the workbook's auditor-transition convention, this Firm Master field holds the current/most-recent auditor (PKF); the FY2021-2023 KPMG years are documented per-year in the Panel Data Notes and correctly reflected in the per-row Big4_Auditor column (1,1,1,0,0).</t>
  </si>
  <si>
    <t>BETAGLAS</t>
  </si>
  <si>
    <t>Beta Glass Plc</t>
  </si>
  <si>
    <t>2-Jul-1986</t>
  </si>
  <si>
    <t>Beta Glass Plc - glass packaging manufacturer, Industrial Goods sector. Incorporated 1974, NGX-listed 2-Jul-1986. Auditor Ernst &amp; Young (Big4). Shares outstanding constant at 599,970,000 across the full study window (corrected this session - see the workbook's consistency-pass README entry for the prior corrupted figures). Total Assets/Liabilities were UNRESOLVED for FY2021-2023 despite confirmed Total Equity and Net Income figures - a reproducible Statement of Financial Position extraction barrier across multiple sources/attempts, documented per-year in the Panel Data Notes. Majority shareholding was sold to Helios Investment Partners in Feb-2026 (a subsequent event, outside the study window).</t>
  </si>
  <si>
    <t>BUACEMENT</t>
  </si>
  <si>
    <t>BUA Cement Plc</t>
  </si>
  <si>
    <t>9-Jan-2020</t>
  </si>
  <si>
    <t>BUA Cement Plc - cement manufacturer, Industrial Goods sector. Incorporated 2014, NGX-listed 9-Jan-2020. Auditor PricewaterhouseCoopers (Big4). Shares outstanding constant at 33,864,354,060 across the full study window (corrected this session - the FY2022-2025 figures on file previously were corrupted, off by two to three orders of magnitude; see the workbook's consistency-pass README entry). FY2021 Total Assets/Liabilities remain an UNRESOLVED data gap (Total Equity and the IFRS S1/S2 adoption status ARE confirmed for that year) - the Statement of Financial Position page did not extract despite multiple attempts.</t>
  </si>
  <si>
    <t>BUAFOODS</t>
  </si>
  <si>
    <t>BUA Foods Plc</t>
  </si>
  <si>
    <t>CONSUMER GOODS</t>
  </si>
  <si>
    <t>5-Jan-2022</t>
  </si>
  <si>
    <t>BUA Foods Plc - integrated food products manufacturer (sugar, flour, pasta, edible oils), Consumer Goods sector. Incorporated 2005, NGX-listed 5-Jan-2022. Auditor PricewaterhouseCoopers (Big4). Shares outstanding constant at 18,000,000,000 across the full study window (corrected this session - the figures on file previously were corrupted, off by roughly 35x to 260x; see the workbook's consistency-pass README entry). FY2021 Share_Price_YearEnd is a genuine, permanent DATA GAP rather than an unresolved-sourcing issue: the company was not NGX-listed until 6-Jan-2022, so no 31-Dec-2021 market price exists - Total_Assets/Total_Liabilities/Net_Income for FY2021 are still populated from the pre-IPO audited accounts, only the market-price-dependent fields (Share_Price_YearEnd, Market_Value_Equity, Tobin's Q) are left blank for that one year.</t>
  </si>
  <si>
    <t>CADBURY</t>
  </si>
  <si>
    <t>Cadbury Nigeria Plc</t>
  </si>
  <si>
    <t>1976</t>
  </si>
  <si>
    <t>PricewaterhouseCoopers (stepping down after FY2026 - 10yr CAMA limit)</t>
  </si>
  <si>
    <t>Cadbury Nigeria Plc - confectionery/beverages manufacturer, Consumer Goods sector (majority-owned by Mondelez International). Incorporated 1965, NGX-listed 1976. Auditor PricewaterhouseCoopers (Big4) - stepping down after FY2026 per the 10-year CAMA mandatory-rotation limit. Shares_Outstanding and Share_Price_YearEnd were CORRUPTED/SWAPPED on file prior to this session's consistency pass (two years even carried impossible negative Shares_Outstanding) - corrected using the company's own balance-sheet share count (1,878,000,000 for FY2021-2023; 2,280,000,000 for FY2024-2025) and Share_Price_YearEnd recomputed from Dec-31 market cap / shares. Total_Assets/Total_Liabilities/Net_Income were already correct and untouched by the correction. FY2022 figures were RESTATED per a Note 32 correction to the 1-Jan-2023 opening balances.</t>
  </si>
  <si>
    <t>CAP</t>
  </si>
  <si>
    <t>Chemical and Allied Products Plc</t>
  </si>
  <si>
    <t>24-May-1978</t>
  </si>
  <si>
    <t>Chemical and Allied Products Plc (CAP) - paints/coatings manufacturer, Industrial Goods sector. Incorporated 1965, NGX-listed 24-May-1978. Auditor KPMG Professional Services (Big4). Absorbed Portland Paints and Products Nigeria Plc via merger effective 1-Jul-2021 (relevant to the FY2021 step-change in scale). Shares_Outstanding and Share_Price_YearEnd were CORRUPTED/SWAPPED on file prior to this session's consistency pass (the price column held a shares-like figure ~10-figure number, and the shares column held small unrelated values that don't reconcile to any real per-share price) - corrected using the company's own balance-sheet share count (788,260,000 for FY2021; 814,747,500 for FY2022-2025, unchanged since a 2022 scrip dividend) and Share_Price_YearEnd recomputed from Dec-31 market cap / shares. Subsidiary of UAC of Nigeria Plc (57.85% holding, also in this sample) - a related-party link relevant to Ownership Concentration.</t>
  </si>
  <si>
    <t>CAVERTON</t>
  </si>
  <si>
    <t>Caverton Offshore Support Group Plc</t>
  </si>
  <si>
    <t>4-Jul-2008 (commenced business 1-Jul-2008)</t>
  </si>
  <si>
    <t>Caverton Offshore Support Group Plc - marine/aviation offshore logistics support, Services sector. Incorporated 2008, NGX-listed 4-Jul-2008 (commenced business 1-Jul-2008). Auditor PricewaterhouseCoopers (Big4). Shares outstanding constant at 3,350,509,750 across the full study window - confirmed against the company's own balance-sheet filings, no correction needed.</t>
  </si>
  <si>
    <t>CHAMPION</t>
  </si>
  <si>
    <t>Champion Breweries Plc</t>
  </si>
  <si>
    <t>1997</t>
  </si>
  <si>
    <t>KPMG (through 2021); Deloitte &amp; Touche (2022 AGM onward)</t>
  </si>
  <si>
    <t>BLS</t>
  </si>
  <si>
    <t>Free-float deficient only (16.98%%, due Oct-2026) - no audited FS filing gap</t>
  </si>
  <si>
    <t>Champion Breweries Plc - beer/malt beverage brewer, Consumer Goods sector (majority-owned by Heineken since a 2020-2021 acquisition). Incorporated 1974, NGX-listed 1997. Auditor KPMG (through the 2021 audit cycle), Deloitte &amp; Touche from the 2022 AGM onward. NGX Compliance Status: BLS (Below Listing Standard) - free-float deficient only (16.98%, cure period due Oct-2026), NOT an audited-filing gap, so the underlying financial data is unaffected. Shares outstanding rose from 7.829bn to 8.948bn via a corporate action completed during 2024.</t>
  </si>
  <si>
    <t>CHAMS</t>
  </si>
  <si>
    <t>Chams Holding Company Plc</t>
  </si>
  <si>
    <t>8-Sep-2008</t>
  </si>
  <si>
    <t>PKF Professional Services</t>
  </si>
  <si>
    <t>Chams Holding Company Plc - ICT/identity-management and payments technology group, ICT sector. Incorporated 1985, NGX-listed 8-Sep-2008. Auditor PKF Professional Services (non-Big4). Shares outstanding roughly doubled from 4.696bn to 9.0bn via a corporate action completed during 2025. FY2021-2022 share prices were flat at N0.2193, consistent with a thinly-traded stock in that period rather than a data error.</t>
  </si>
  <si>
    <t>CHELLARAM</t>
  </si>
  <si>
    <t>Chellarams Plc</t>
  </si>
  <si>
    <t>29-Nov-1974</t>
  </si>
  <si>
    <t>BDO Professional Services (2021-2023); PKF Professional Services (by FY2025)</t>
  </si>
  <si>
    <t>Chellarams Plc - diversified trading/distribution conglomerate (industrial products, FMCG distribution), Industrial Goods sector. Incorporated 1947, NGX-listed 29-Nov-1974. Auditor BDO Professional Services (2021-2023), transitioning to PKF Professional Services by FY2025 (both non-Big4, so the Big4_Auditor=0 coding is unaffected by the transition). Shares outstanding constant at 722,925,000 across the full study window. Note: the company's own fiscal year runs April-March per some source pages, but the market-cap history and this workbook both use standard calendar year-end reference points.</t>
  </si>
  <si>
    <t>CILEASING</t>
  </si>
  <si>
    <t>C &amp; I Leasing Plc</t>
  </si>
  <si>
    <t>Dec-1997</t>
  </si>
  <si>
    <t>C &amp; I Leasing Plc - equipment/fleet leasing and outsourced logistics services, Services sector. Incorporated 1990, NGX-listed Dec-1997. Auditor Ernst &amp; Young (Big4). SHARES OUTSTANDING CORRECTED this session: the figure previously on file (781,646,167, constant) was stale/inconsistent with the company's own Book-Value-Per-Share disclosures and its live market quote - replaced with 1,303,000,000 for FY2021-2023 and 2,949,000,000 for FY2024-2025 (a real dilution event, not a data-entry error), both cross-checked via Total Equity / BVPS reconciliation. See the workbook's consistency-pass README entry.</t>
  </si>
  <si>
    <t>CMFC</t>
  </si>
  <si>
    <t>Critical Minerals Financing Corp Plc (formerly Deap Capital Management &amp; Trust Plc)</t>
  </si>
  <si>
    <t>17-Dec-2007 (as Deap Capital Management &amp; Trust Plc)</t>
  </si>
  <si>
    <t>N/A - excluded, SEC Interim Management Team in place</t>
  </si>
  <si>
    <t>DWL</t>
  </si>
  <si>
    <t>EXCLUDED - Critical Minerals Financing Corp Plc, formerly Deap Capital Management &amp; Trust Plc. SEC intervened, set up Interim Management Team per official X-Compliance Report.</t>
  </si>
  <si>
    <t>Critical Minerals Financing Corp Plc (formerly Deap Capital Management &amp; Trust Plc) - EXCLUDED from the sample. SEC intervened and installed an Interim Management Team, per the official NGX X-Compliance Report (CSI: DWL - Delisting Watch-list). All Panel Data fields are blank by design for every study year; this is a governance-intervention exclusion, not a voluntary-disclosure data point that belongs in the analysis. | EXCLUDED FROM 'Final Sample' (stricter, 17-Aug-2026), ALL 5 YEARS: Condition 5 (Section 3.6): NGX compliance status 'DWL' not among retained exceptions (BLS/MRF/RST).</t>
  </si>
  <si>
    <t>CNIF</t>
  </si>
  <si>
    <t>Coronation Infrastructure Fund</t>
  </si>
  <si>
    <t>25-Aug-2025</t>
  </si>
  <si>
    <t>Not an operating company - Coronation Infrastructure Fund, closed-end fund (units not shares). Excluded, same logic as AVAIF.</t>
  </si>
  <si>
    <t>Coronation Infrastructure Fund - EXCLUDED from the sample. A closed-end infrastructure fund (units, not conventional equity shares; NAV-based reporting), NGX-listed only from 25-Aug-2025 - same exclusion logic as AVA Infrastructure Fund (row 14): not an operating company, IFRS S1/S2's four-pillar disclosure architecture does not meaningfully apply, and Tobin's Q is not conceptually valid for a fund structure. All Panel Data fields are blank by design for every study year. | EXCLUDED FROM 'Final Sample' (stricter, 17-Aug-2026), ALL 5 YEARS: Condition 5 (Section 3.6): closed-end REIT/investment fund. Condition 5 (Section 3.6): NGX compliance status 'EXCLUDED' not among retained exceptions (BLS/MRF/RST).</t>
  </si>
  <si>
    <t>CONHALLPLC</t>
  </si>
  <si>
    <t>Consolidated Hallmark Holdings Plc (formerly Consolidated Hallmark Insurance Plc)</t>
  </si>
  <si>
    <t>Consolidated Hallmark Holdings Plc (formerly Consolidated Hallmark Insurance Plc, renamed following a holding-company restructuring) - composite insurer, Financial Services sector. Incorporated 1991, NGX-listed 1997. Auditor KPMG Professional Services (Big4). Shares_Outstanding was completely missing on file prior to this session - filled in at 10,840,000,000 (constant across the full study window), cross-checked via the company's own Book-Value-Per-Share disclosures and its live market quote.</t>
  </si>
  <si>
    <t>CONOIL</t>
  </si>
  <si>
    <t>Conoil Plc</t>
  </si>
  <si>
    <t>1989 (year only, exact date unconfirmed)</t>
  </si>
  <si>
    <t>Nexia Agbo Abel &amp; Co</t>
  </si>
  <si>
    <t>Conoil Plc - petroleum products marketing/distribution, Oil and Gas sector (formerly the Nigerian operating arm of the Chevron/Texaco downstream business before a 1993 Nigerian ownership transition led by Mike Adenuga). Incorporated 1960. Auditor Nexia Agbo Abel &amp; Co (non-Big4). Date_Listed_NGX filled this session as 1989 (year-only, LOW-MEDIUM confidence - multiple independent sources confirm 1989 as the year the company was registered with the then-Nigerian Stock Exchange as a public company, but no source surfaced an exact day/month). Shares outstanding constant at 693,952,117 across the full study window - confirmed against the company's own balance-sheet filings.</t>
  </si>
  <si>
    <t>CORNERST</t>
  </si>
  <si>
    <t>Cornerstone Insurance Plc</t>
  </si>
  <si>
    <t>1997 (year only, exact date unconfirmed)</t>
  </si>
  <si>
    <t>KPMG Professional Services (through 2023); Deloitte (by FY2025)</t>
  </si>
  <si>
    <t>Cornerstone Insurance Plc - composite insurer, Financial Services sector. Incorporated 26-Jul-1991 as a private limited company, converted to a public limited company and NGX-listed in 1997 per the company's own corporate history page (multiple independent sources corroborate 1997; no exact day/month confirmed - MEDIUM confidence). Date_Listed_NGX CORRECTED this session: the value previously on file, 1-Jan-1970, was a classic software null-date placeholder bug, not a real value. Auditor KPMG Professional Services (through the FY2023 audit cycle), Deloitte by FY2025. Shares outstanding constant at 18,166,392,725 across the full study window (a fetched balance-sheet cross-check came in about 0.7% lower at ~18,039M-18,032M, immaterial to two decimal places on the computed price - kept the on-file figure).</t>
  </si>
  <si>
    <t>CUSTODIAN</t>
  </si>
  <si>
    <t>Custodian Investment Plc</t>
  </si>
  <si>
    <t>CONGLOMERATES</t>
  </si>
  <si>
    <t>29-Sep-2006</t>
  </si>
  <si>
    <t>Deloitte</t>
  </si>
  <si>
    <t>Incorporated 22-Aug-1991 as Accident and General Insurance Company Limited; became a public limited company 29-Sep-2006. Auditor: Deloitte (Messrs Deloitte), confirmed Big4.</t>
  </si>
  <si>
    <t>CUTIX</t>
  </si>
  <si>
    <t>Cutix Plc</t>
  </si>
  <si>
    <t>Ngozi Monica Okonkwo &amp; Co.</t>
  </si>
  <si>
    <t>Incorporated 4-Nov-1982. First company East of the Niger to be listed on the Nigerian Exchange. Auditor Ngozi Monica Okonkwo &amp; Co. (appointed Nov-2020) - NOT a Big4 firm. FYE is 30 April (not 31 December) - see Panel Data notes for year-mapping convention. Received an NGX caution letter 28-Feb-2025 for insider dealing during a closed period (governance flag, not a filing-compliance issue - does not warrant exclusion).</t>
  </si>
  <si>
    <t>CWG</t>
  </si>
  <si>
    <t>CWG Plc</t>
  </si>
  <si>
    <t>15-Nov-2013</t>
  </si>
  <si>
    <t>Incorporated 1-Feb-2005 as a private limited liability company (Computer Warehouse Group); became public and listed on NGX 15-Nov-2013. Auditor not confirmed this session. Auditor confirmed: PKF Professional Services (not Big4).</t>
  </si>
  <si>
    <t>DAARCOMM</t>
  </si>
  <si>
    <t>DAAR Communications Plc</t>
  </si>
  <si>
    <t>2008 (became public 23-Apr-2007)</t>
  </si>
  <si>
    <t>Baker Tilly Nigeria</t>
  </si>
  <si>
    <t>Missed 2025 Q4 quarterly filing only - annual audited data likely unaffected</t>
  </si>
  <si>
    <t>Incorporated as a limited liability company 31-Aug-1988; converted to public limited company 23-Apr-2007; listed on NGX in 2008.  Auditor confirmed: Baker Tilly Nigeria (not Big4).</t>
  </si>
  <si>
    <t>DANGCEM</t>
  </si>
  <si>
    <t>Dangote Cement Plc</t>
  </si>
  <si>
    <t>26-Oct-2010</t>
  </si>
  <si>
    <t>Incorporated as a public limited company 4-Nov-1992; listed on NGX 26-Oct-2010. Auditor KPMG Professional Services (as of 2024), Big4 confirmed.</t>
  </si>
  <si>
    <t>DANGSUGAR</t>
  </si>
  <si>
    <t>Dangote Sugar Refinery Plc</t>
  </si>
  <si>
    <t>8-Mar-2007</t>
  </si>
  <si>
    <t>Commenced operation 1-Jan-2006; listed on NGX 8-Mar-2007. Auditor PricewaterhouseCoopers, Big4 confirmed.</t>
  </si>
  <si>
    <t>EKOCORP</t>
  </si>
  <si>
    <t>Ekocorp Plc</t>
  </si>
  <si>
    <t>HEALTHCARE</t>
  </si>
  <si>
    <t>Confirmed missing audited financials for part of the 2021-2025 window per official NGX RegCo X-Compliance Report (20-Feb-2026).</t>
  </si>
  <si>
    <t>RE-VERIFIED this session per user request to close the gap (unaudited financials permitted) - EXCLUSION CONFIRMED, not just carried over. EkoCorp Plc was suspended from NGX trading on 1-July-2022 for failing to file its FY2021 audited financial statements after the standard 90-day cure period; last trading day was 9-June-2022 at N5.79/share. The company has NOT filed ANY audited or unaudited annual financial statements for FY2021 through FY2024 since then - confirmed via WebSearch of NGX compliance reporting. It is currently in 'Delisting In Process (DIP)' status (delisting approved March 2025, on hold pending litigation as of the source consulted). The only unaudited filing found on NGX doclib for the study window is a Q2/half-year 2021 report (doc 33798, filed before the suspension) - but its Statement of Financial Position and Results-at-a-Glance pages are embedded as non-extractable scanned images in the PDF (a recurring 'SFP extraction barrier' seen elsewhere in this project); repeated fetch attempts returned only the accounting-policy boilerplate text, not the actual figures. Even if those H1 2021 figures were extracted, they would be a half-year, not full-year, data point, and would need annualising or flagging as partial-year. Separately, because trading has been suspended since June 2022, there is no NGX market price for FY2022-2025, meaning Market_Value_Equity and Tobin's Q could not be computed for those years even with balance-sheet data in hand. RECOMMENDATION: keep EKOCORP excluded from the panel - this is a genuine data-availability dead end (company stopped filing, not just a case of the aggregator lacking coverage), not a sourcing gap that a different source could close. If the researcher wants to pursue further, the only remaining option is a manual/OCR read of the scanned H1 2021 PDF tables, which would still only yield a half-year, unaudited, sub-full-year data point. | EXCLUDED FROM 'Final Sample' (stricter, 17-Aug-2026), ALL 5 YEARS: Condition 4 (Section 3.6): no firm-year in the FY2021-2025 window has usable financial/disclosure data (comprehensive data gap).</t>
  </si>
  <si>
    <t>ELLAHLAKES</t>
  </si>
  <si>
    <t>Ellah Lakes Plc</t>
  </si>
  <si>
    <t>AGRICULTURE</t>
  </si>
  <si>
    <t>16-Jun-1992 (converted to Plc; incorporated 22-Aug-1980)</t>
  </si>
  <si>
    <t>Olabode Akande &amp; Co.</t>
  </si>
  <si>
    <t>Incorporated 22-Aug-1980; converted to a public limited company 16-Jun-1992. Agricultural producer (palm oil, cassava, soybean, maize, rice plantations). Auditor Olabode Akande &amp; Co. (Chartered Accountants), NOT Big4. FYE changed from 31-July to 31-December during 2025 (17-month transition period reported) - see Panel Data notes. Loss-making every year in the study window; heavy share dilution (1.79bn to 3.86bn shares between FY2022 and FY2025) alongside a large recent public offer (18.8bn new shares at N12.50, announced 2026, outside the study window) - flag for methodology chapter if relevant to control variable interpretation.</t>
  </si>
  <si>
    <t>ENAMELWA</t>
  </si>
  <si>
    <t>Nigerian Enamelware Plc</t>
  </si>
  <si>
    <t>28-Dec-1979 (went public); renamed to Nigerian Enamelware Plc 6-Jun-1991</t>
  </si>
  <si>
    <t>OOP and Partners (Chartered Accountants)</t>
  </si>
  <si>
    <t>Incorporated 21-May-1960 as a limited liability company; went public 28-Dec-1979 (Indigenisation Decree 1977 compliance); adopted current name 'Nigerian Enamelware Plc' 6-Jun-1991. Consumer goods manufacturer (enamelware/kitchenware). FYE is 30 April (1-May to 30-Apr), same non-standard-FYE convention as CUTIX/ENAMELWA-family firms - FYE-labelled year mapped directly to study Year column. Auditor: OOP and Partners (Chartered Accountants), NOT Big4. IMPORTANT DATA QUALITY FLAG: firm moved into negative shareholders' equity from FY2024 onward (per stockanalysis.com balance sheet: equity -N744m FY2024, -N729m FY2025, -N773m FY2026), driven by large negative retained earnings after a ~N2.6bn operating loss in FY2024. This is a real going-concern-type financial condition, not a data error - flag for methodology chapter alongside similar DAARCOMM/DANGSUGAR negative-equity cases. Total Assets/Liabilities/Net Income/Shares/Price sourced from stockanalysis.com (S&amp;P Global Market Intelligence), MEDIUM-HIGH confidence. Study Year 2021 (FYE Apr-2021) is a GAP - stockanalysis.com data starts at FY2022 (Apr-2022), same pattern as CUTIX/ELLAHLAKES; not resolved this session.</t>
  </si>
  <si>
    <t>ETERNA</t>
  </si>
  <si>
    <t>Eterna Plc</t>
  </si>
  <si>
    <t>Aug-1998 (listed on NGX)</t>
  </si>
  <si>
    <t>Eterna Plc - oil &amp; gas downstream distribution/marketing company. Incorporated 13-Jan-1989 as Eterna Oil &amp; Gas Limited, re-registered as a public limited company 1997, first listed on NGX 1-Aug-1998. Standard calendar FYE (31-Dec). Auditor: PricewaterhouseCoopers (PwC), Big4. Total Assets/Liabilities/Net Income/Shares/Price sourced from stockanalysis.com (S&amp;P Global Market Intelligence), MEDIUM-HIGH confidence, full 5-year coverage (FY2021-2025), no gaps.</t>
  </si>
  <si>
    <t>ETI</t>
  </si>
  <si>
    <t>Ecobank Transnational Incorporated</t>
  </si>
  <si>
    <t>11-Sep-2006</t>
  </si>
  <si>
    <t>Deloitte and Grant Thornton (joint auditors)</t>
  </si>
  <si>
    <t>Ecobank Transnational Incorporated - pan-African banking group headquartered in Lome, Togo; cross-listed on NGX (also BRVM/Ghana). Reports in USD at Group level but files an official NGN-translated companion statement with NGX each period - used for this panel instead of an independently estimated FX conversion (see Panel Data notes for full source detail and the June-2023 devaluation caveat). Auditors: Deloitte and Grant Thornton (joint audit), Big4 (Deloitte). Incorporated 1985 in Lome, Togo; listed on NGX 11-Sep-2006 (also cross-listed on Ghana Stock Exchange and BRVM).</t>
  </si>
  <si>
    <t>ETRANZACT</t>
  </si>
  <si>
    <t>eTranzact International Plc</t>
  </si>
  <si>
    <t>07-Aug-2009</t>
  </si>
  <si>
    <t>eTranzact International Plc - fintech/electronic payments processor, ICT sector. Standard calendar FYE (31-Dec). Auditor Ernst &amp; Young (Big4) confirmed via the FY2025 audited financial statements (EY indicated willingness to continue in office per Section 401(2) CAMA 2020, NGX doclib filing). Shares outstanding grew from 6.635bn (FY2021) to 9.2bn (FY2022 onward) via issuance during 2022 - reflected in the period-end Shares_Outstanding figures used, not the EPS-weighted-average. Incorporated 2003; listed on NGX 07-Aug-2009.</t>
  </si>
  <si>
    <t>EUNISELL</t>
  </si>
  <si>
    <t>Eunisell Chemicals Plc</t>
  </si>
  <si>
    <t>Renamed Eunisell Interlinked Plc 25-May-2022 (previously Interlinked Technologies Plc)</t>
  </si>
  <si>
    <t>ANOC Professional Services</t>
  </si>
  <si>
    <t>Eunisell Interlinked Plc - specialty chemicals/oilfield services (Services sector per Firm Master, though the underlying business is industrial chemicals). Incorporated 1981 as Raychem Nigeria Limited; renamed Interlinked Technologies Plc in 1993; renamed Eunisell Interlinked Plc 25-May-2022 (merger/rebrand). FYE is 30 June (1-Jul to 30-Jun) - FYE-labelled year mapped directly to study Year column, same convention as CUTIX/ELLAHLAKES/ENAMELWA. FY2021 (FYE Jun-2021) is a GAP - stockanalysis.com data starts at FY2022. Auditor ANOC Professional Services (Chartered Accountants, non-Big4) confirmed via multiple NGX doclib annual financial statement filings (FY2023-2025). Share price rose sharply from N3.20 (FY2024) to N12.95 (FY2025) to N210 (FY2026, out of study window) - dramatic re-rating, consistent with the large revenue/earnings growth reported (revenue N277m FY2023 to N1.4bn FY2025).</t>
  </si>
  <si>
    <t>FCMB</t>
  </si>
  <si>
    <t>FCMB Group Plc</t>
  </si>
  <si>
    <t>21-Jun-2013</t>
  </si>
  <si>
    <t>Deloitte and Touche</t>
  </si>
  <si>
    <t>FCMB Group Plc - banking group, Financial Services sector. Standard calendar FYE, full 5-year coverage. Auditor Deloitte and Touche (Big4), 4 years' tenure as at FY2024 per search results. FY2025 figures are UNAUDITED as filed (per FCMB's own January-2026 filing) - flagged in Panel Data notes. Share count roughly doubled FY2023-2025 (19.8bn to 42.8bn) via capital raise(s), consistent with the sector-wide NGX recapitalisation exercise for banks. FCMB Group Plc (the listed holding entity) was incorporated June 2013 as a non-operating holding company under CBN Regulation 3 (2010), which required banks to separate non-banking businesses; listed on NGX 21-Jun-2013. The underlying First City Monument Bank Limited has an older history, incorporated 20-Apr-1982 and granted a banking licence 11-Aug-1983 - Year_Incorporation uses the listed holding entity's date for consistency with FIRSTHOLDCO/other holdco treatment.</t>
  </si>
  <si>
    <t>FIDELITYBK</t>
  </si>
  <si>
    <t>Fidelity Bank Plc</t>
  </si>
  <si>
    <t>17-May-2005</t>
  </si>
  <si>
    <t>Fidelity Bank Plc - banking group, Financial Services sector. Standard calendar FYE, full 5-year coverage. Auditor Deloitte &amp; Touche (Big4), confirmed via WebSearch (Nairametrics 2025 auditor-market analysis). Share count grew from 28.96bn (FY2021-2022) to 50.2bn (FY2024-2025) via capital raises, consistent with the sector-wide NGX bank recapitalisation exercise. Incorporated 19-Nov-1987 as Fidelity Union Merchant Bank; converted to a commercial bank 16-Jul-1999; re-registered as a public limited company 10-Aug-1999; listed on NGX 17-May-2005.</t>
  </si>
  <si>
    <t>FIDSON</t>
  </si>
  <si>
    <t>Fidson Healthcare Plc</t>
  </si>
  <si>
    <t>06-Apr-2008</t>
  </si>
  <si>
    <t>Fidson Healthcare Plc - pharmaceutical manufacturer, Healthcare sector. Standard calendar FYE, full 5-year coverage, no gaps. Auditor Deloitte and Touche (Big4), confirmed via WebSearch (2023 annual report willingness-to-continue disclosure; EY was the auditor circa 2008, so a change occurred at some point pre-study-window). Strong share-price re-rating (N4.71 to N49.35 over the window) alongside consistent revenue growth. Incorporated 1995; listed on NGX 06-Apr-2008.</t>
  </si>
  <si>
    <t>FIRSTHOLDCO</t>
  </si>
  <si>
    <t>FirstHoldCo Plc (First Bank Holding)</t>
  </si>
  <si>
    <t>26-Nov-2012</t>
  </si>
  <si>
    <t>First HoldCo Plc (formerly FBN Holdings Plc; renamed 2024) - banking group holding First Bank of Nigeria, Financial Services sector. Standard calendar FYE, full 5-year coverage, no gaps. Auditor KPMG Professional Services (Big4), confirmed via WebSearch. Net Income dropped sharply from N670.8bn (FY2024) to N132.7bn (FY2025) despite continued revenue growth - consistent with a large prior-year one-off gain (FY2024 'Gain (Loss) on Sale of Investments' was -N47bn while non-interest income was unusually elevated) reversing; not flagged as a data error, but worth a note if FY2025 profitability looks anomalous in analysis. Share count grew from 35.9bn to 44.5bn via capital raise, consistent with the sector-wide NGX bank recapitalisation exercise. FBN Holdings Plc (renamed First HoldCo Plc, 2024) was incorporated 14-Oct-2010 as a non-operating holding company under CBN Regulation 3, listed on NGX 26-Nov-2012. The underlying First Bank of Nigeria has a much older history, founded 31-Mar-1894 - Year_Incorporation uses the listed holding entity's date for consistency with FCMB/other holdco treatment.</t>
  </si>
  <si>
    <t>FTGINSURE</t>
  </si>
  <si>
    <t>Fortis Global Insurance Plc (formerly Standard Alliance Insurance Plc)</t>
  </si>
  <si>
    <t>19-Dec-2003</t>
  </si>
  <si>
    <t>Muhtari Dangana &amp; Co (2021-2024); TAC Professional Services (2025)</t>
  </si>
  <si>
    <t>Fortis Global Insurance Plc (formerly Standard Alliance Insurance Plc; renamed May-2025), non-life insurer, Financial Services sector. Standard calendar FYE. IMPORTANT COMPLIANCE HISTORY: trading was SUSPENDED on NGX from 2-Jul-2019 through 4-Feb-2026 (over 6.5 years) for failing to file accounts within the cure period; suspension was lifted only after the company caught up on ALL outstanding filings. Financial statements (Total Assets/Liabilities/Net Income) WERE filed with regulators throughout and are used here for FY2021-2025, but Share_Price_YearEnd is left BLANK for all 5 years - the entire study window falls within the suspension period, so there was no active NGX market price at any fiscal year-end (stockanalysis.com shows an identical frozen 'market cap' of N2,582m for FY2021 through FY2025, confirming no real price discovery occurred; trading only resumed in Feb-2026, after the FY2025 year-end). Market_Value_Equity and Tobin's Q will not compute for this firm for any study year as a result - this is a genuine data-unavailability, not an oversight. NEGATIVE SHAREHOLDERS' EQUITY FY2021-2024 (-N3.1bn to -N1.1bn), turning positive only in FY2025 (+N9.35bn) likely via a capital injection/asset revaluation tied to the recapitalisation needed to resume trading - real financial distress, not a data error, flag alongside DAARCOMM/DANGSUGAR/ENAMELWA. Auditor: Muhtari Dangana &amp; Co (Chartered Accountants) for FY2021-2024 (reappointed 2022, confirmed for FY2023); TAC Professional Services newly appointed for FY2025. Neither is Big4. Incorporated 1981 as Jubilee Insurance Company Limited; renamed Standard Alliance Insurance Plc Aug-1996; renamed Fortis Global Insurance Plc May-2025. Listed on NGX 19-Dec-2003 (as Standard Alliance/predecessor entity). Share_Price_YearEnd resolved using N0.20 (last traded price, 28-Jun-2019, pre-suspension) carried forward for FY2021-2025 - see Panel Data notes for full caveat on this being a stale, non-market-validated price.</t>
  </si>
  <si>
    <t>FTNCOCOA</t>
  </si>
  <si>
    <t>FTN Cocoa Processors Plc</t>
  </si>
  <si>
    <t>Sep-2008</t>
  </si>
  <si>
    <t>Restructuring status</t>
  </si>
  <si>
    <t>FTN Cocoa Processors Plc - cocoa processing, Agriculture sector. Standard calendar FYE. PREVIOUSLY FLAGGED as a possible X-Compliance exclusion candidate - RE-VERIFIED this session: the firm is NOT suspended or delisted. It is under an NGX-approved restructuring status (effective Oct-2024, phased completion by Oct-2026) requiring quarterly compliance reports, but trading continued throughout the study window and financial statements were filed - included in the panel normally. Heavy losses and negative shareholders' equity in FY2021-2022, large one-off FX-translation losses drove very large FY2023/2024 net losses (N10.65bn and N9.53bn respectively, vs modest operating figures) - flag alongside DAARCOMM/DANGSUGAR/ENAMELWA/FTGINSURE as a real, not data-error, distress pattern. Share count jumped from 2.2bn to 3.9bn during 2021/2022 via a capital raise tied to the restructuring. Auditor: Baker Tilly Nigeria (Chartered Accountants), not Big4. Registered 1991 as Fantastic Traders Nigeria Limited; renamed FTN Cocoa Processors Plc; listed on NGX Sep-2008.</t>
  </si>
  <si>
    <t>GEREGU</t>
  </si>
  <si>
    <t>Geregu Power Plc</t>
  </si>
  <si>
    <t>UTILITIES</t>
  </si>
  <si>
    <t>05-Oct-2022</t>
  </si>
  <si>
    <t xml:space="preserve"> Incorporated 10-Nov-2006 (per afx.kwayisi.org company profile); listed NGX Main Board by way of introduction on 5-Oct-2022 (2.5bn ordinary shares admitted at N100/share; first power-generating company listed on NGX). Auditor: PKF Professional Services (Chartered Accountants) - CONFIRMED HIGH CONFIDENCE, sourced directly from the company's NGX Listing Memorandum (Oct-2022), 'Relationship between the Company and its Advisers' table, which names 'Auditor to the Company: PKF Professional Services'. Not a Big 4 firm. Company's 2019 pre-listing audited FS were also filed under PKF, indicating continuity.</t>
  </si>
  <si>
    <t>GOLDBREW</t>
  </si>
  <si>
    <t>Golden Guinea Breweries Plc</t>
  </si>
  <si>
    <t>01-Jan-1979</t>
  </si>
  <si>
    <t>Mokuolu Rubens &amp; Co</t>
  </si>
  <si>
    <t>Below listing std + missed filing; missing audited FS 2025 (FYE March); SUSPENDED from trading since 6-May-2025</t>
  </si>
  <si>
    <t xml:space="preserve"> Incorporated 1962 (originally Independence Brewery Ltd; renamed Golden Guinea Breweries 1971). Listed NGX 1979 (exact date approximate - sources give '1-Jan-1979' as a nominal listing-year marker; precise day/month not independently confirmed). Auditor: Mokuolu Rubens &amp; Co (Chartered Accountants, Lagos) - HIGH CONFIDENCE, confirmed directly from the company's own FY2024 Audited Financial Statements (NGX doclib primary source). Not Big4. FYE is 31 March (not 31 December) - see Panel Data notes for year-mapping convention, same as CUTIX/ENAMELWA. Currently SUSPENDED from trading since 6-May-2025 for failure to file FY2025 (FYE 31-Mar-2025) audited/unaudited financials. | EXCLUDED FROM 'Final Sample' (stricter, 17-Aug-2026), ALL 5 YEARS: Condition 5 (Section 3.6): NGX compliance status 'BMF' not among retained exceptions (BLS/MRF/RST).</t>
  </si>
  <si>
    <t>GTCO</t>
  </si>
  <si>
    <t>Guaranty Trust Holding Company Plc</t>
  </si>
  <si>
    <t>24-Jun-2021</t>
  </si>
  <si>
    <t>Guaranty Trust Holding Company Plc incorporated as a public limited company 24-Jul-2020, licensed as a non-operating financial holding company by CBN 14-Apr-2021, as part of a Scheme of Arrangement restructuring the Guaranty Trust Group (bank + non-bank subsidiaries) under CBN holdco regulation. Shares listed on NGX 24-Jun-2021 (one source states 28-Jun-2021 for the closing-gong ceremony) - used the earlier listing date as Date_Listed_NGX; GDRs cross-listed on LSE 25-Jun-2021. Year_Incorporation reflects the HOLDING ENTITY itself (consistent with FCMB/FIRSTHOLDCO convention), NOT the older operating bank: Guaranty Trust Bank Plc (now Guaranty Trust Bank Ltd, GTCO's banking subsidiary) was itself incorporated 1990 and first listed on NGX in 1996 - noted here for context/consistency. Auditor: Ernst &amp; Young (EY) - HIGH CONFIDENCE, confirmed in Nairametrics' 29-Jul-2026 Nigerian audit market survey, which explicitly lists 'Guaranty Trust Holding Company' in EY's client portfolio. Big4=1.</t>
  </si>
  <si>
    <t>GUINEAINS</t>
  </si>
  <si>
    <t>Guinea Insurance Plc</t>
  </si>
  <si>
    <t>17-Jan-1991</t>
  </si>
  <si>
    <t>BDO Professional Services</t>
  </si>
  <si>
    <t>Incorporated as private limited liability company 3-Dec-1958; became Public Limited Company and listed NGX same day, 17-Jan-1991. Overseas shareholders divested their 40% stake to Nigerian shareholders in 1988 (now 100% Nigerian-owned). Stopped underwriting Life business in 2007, now General insurance only. Auditor: BDO Professional Services - HIGH CONFIDENCE, confirmed in Nairametrics' 29-Jul-2026 Nigerian audit market survey, which explicitly lists 'Guinea Insurance Plc' in BDO's client portfolio. Not Big4.</t>
  </si>
  <si>
    <t>GUINNESS</t>
  </si>
  <si>
    <t>Guinness Nigeria Plc</t>
  </si>
  <si>
    <t>1965 (exact day/month not independently confirmed)</t>
  </si>
  <si>
    <t>Incorporated 29-Apr-1950. Listed NGX 1965 (per general company-history sources; precise day/month not independently pinned down this session - flagged for a follow-up spot-check). Auditor: PricewaterhouseCoopers - HIGH CONFIDENCE, confirmed directly in the company's own FY2021 Audited Financial Statements (NGX doclib primary source), signed by partner Edafe Erhie (FRCN ICAN 00000001143). Big4=1. IMPORTANT FYE NOTE: Guinness Nigeria's fiscal year was 1-July to 30-June through FY2024 (FYE 30-Jun), then the company changed its FYE to 31-December during 2025, filing an 18-MONTH TRANSITION PERIOD statement covering 1-Jul-2024 to 31-Dec-2025 (per company announcements: 'aligns fiscal year with calendar year'). Mapped this firm's FYE-labelled year directly to the study's Year column for FY2021-FY2024 (FYE 30-Jun-2021=Year 2021, etc), same convention as CUTIX/ELLAHLAKES/ENAMELWA. For Study Year 2025, used the REGULAR 12-month FYE 30-Jun-2025 figures (NOT the 18-month transition-period figures) to preserve consistency with all other years in the panel - same approach used for ELLAHLAKES. Future data collection (Study Year 2026 onward, if the panel is extended) should expect this firm to report on a calendar-year basis.</t>
  </si>
  <si>
    <t>HBMNG</t>
  </si>
  <si>
    <t>HBM Nigeria Plc (formerly Lafarge Africa)</t>
  </si>
  <si>
    <t>1979 (exact day/month not independently confirmed)</t>
  </si>
  <si>
    <t>Incorporated in Nigeria 24-Feb-1959 (as West African Portland Cement Company, ticker still WAPCO on most aggregators); listed NGX 1979. Formerly Lafarge Africa Plc - shareholders approved a rename to HBM Nigeria Plc at the 30-Apr-2026 AGM, following Holcim's Dec-2024 sale of its ~84% stake to Huaxin Building Materials (HBM) for ~$1bn; rebrand took effect during 2026, entirely outside this study's 2021-2025 window - the underlying entity, incorporation date, and listing history are unchanged. Auditor: Ernst &amp; Young - HIGH confidence, confirmed in the company's own audited financial statements. Big4=1.</t>
  </si>
  <si>
    <t>HMCALL</t>
  </si>
  <si>
    <t>Haldane McCall Plc</t>
  </si>
  <si>
    <t>20-Nov-2024</t>
  </si>
  <si>
    <t>Funsho Owoyemi &amp; Co</t>
  </si>
  <si>
    <t>Real Estate and Hospitality group. Incorporated 27-Mar-2012 as a private Limited Company; converted to Public Liability Company in 2021; listed on NGX Main Board by way of introduction 20-Nov-2024 (3.122bn ordinary shares of 50k each at N3.84/share, ~N11.98bn initial market cap). Auditor: Funsho Owoyemi &amp; Co (Chartered Accountants) - HIGH confidence, confirmed directly in the company's own FY2024 Audited Financial Statements. Not Big4. Sanctioned by NGX Regulation in Apr-2025 for an insider-dealing/closed-period breach (Rule 17.18) - noted for governance context, does not affect financial figures.</t>
  </si>
  <si>
    <t>HONYFLOUR</t>
  </si>
  <si>
    <t>Honeywell Flour Mills Plc</t>
  </si>
  <si>
    <t>20-Oct-2009</t>
  </si>
  <si>
    <t>Baker Tilly Nigeria (FY2021-2023); Ernst &amp; Young (FY2024-2025)</t>
  </si>
  <si>
    <t>Registered as Gateway Honeywell Flour Mills Ltd 21-Jun-1983; listed NGX 20-Oct-2009. FYE is 31-March, not 31-December - mapped FYE-labelled year directly to study Year, same convention as CUTIX/ENAMELWA. Became a subsidiary of Flour Mills of Nigeria Plc (FMN) following an ~N80bn acquisition around 2021-2022 - relevant context for the FY2022 loss and subsequent volatility. AUDITOR TRANSITION RESOLVED: Baker Tilly Nigeria audited FY2021-FY2023 (HIGH confidence for FY2021, from the company's own Audited FS; MEDIUM confidence for FY2022-2023 inferred from continuity). Ernst &amp; Young took over starting FY2024 (year ended 31-Mar-2024) - confirmed HIGH confidence directly from the FY2024 Independent Auditor's Report, which states the prior year (FYE 31-Mar-2023) financial statements 'were audited by another auditor' (i.e. not EY) who signed off 28-Aug-2023, and separately lists EY as the FY2024 Independent Auditor. EY continued for FY2025 per the FY2025 annual report. Panel Data Big4_Auditor (col 25) set to 0 for 2021-2023 and 1 for 2024-2025 to reflect the year-specific auditor; Firm Master Auditor field and Big4_Auditor (col 8) reflect the current/most-recent auditor (EY).</t>
  </si>
  <si>
    <t>IKEJAHOTEL</t>
  </si>
  <si>
    <t>Ikeja Hotel Plc</t>
  </si>
  <si>
    <t>1983</t>
  </si>
  <si>
    <t>Ugochukwu, Ike &amp; Co / Ahmed Zakari &amp; Co (Joint Auditors)</t>
  </si>
  <si>
    <t>Incorporated 18-Nov-1972 as Property Development Company; renamed Ikeja Hotel Limited in 1980; became a public company and listed on the NGX in 1983 (source: Wikipedia/company history; exact listing-day date not independently confirmed - stockanalysis.com's market-cap history series begins 11-Sep-2007, which is a data-coverage start date, not the actual IPO date). Name changed to present form 5-Feb-1991. Owns Sheraton Lagos Hotel, Sheraton Abuja Hotel (indirect via Hans Gremlins Ltd), and a shareholding in Tourist Company of Nigeria Plc (Federal Palace Hotel). Trading was suspended by NSE 10-Nov-2016 amid an Ibru-family boardroom/ownership dispute; suspension lifted 21-May-2018 - outside study window (2021-2025), no impact on data. Auditors: joint audit by Ugochukwu, Ike &amp; Co and Ahmed Zakari &amp; Co (both non-Big4 Nigerian firms) - MEDIUM confidence, sourced from EMIS company profile.</t>
  </si>
  <si>
    <t>IMG</t>
  </si>
  <si>
    <t>Industrial and Medical Gases Nigeria Plc</t>
  </si>
  <si>
    <t>1979</t>
  </si>
  <si>
    <t>Incorporated 12-Nov-1959 as Industrial Gases (Nigeria) Limited; renamed Industrial Gases Limited 10-Jul-1961, then BOC Gases Nigeria Plc 17-Mar-1997, then Industrial and Medical Gases Nigeria Plc (current name/ticker IMG) in 2021 following TY Holdings Limited's increase of its stake to 72% (Aug-2021), making the company wholly Nigerian-owned. Quoted on the NGX since 1979. Auditor: Ernst &amp; Young (Big4) - HIGH confidence, per company's own AGM notice/annual report language ('Messrs Ernst &amp; Young have expressed willingness to continue in office'). FY2025 Shares_Outstanding jumped from 549.44m to 731.06m per stockanalysis balance sheet (period-end count) while the income statement's weighted-average diluted count for FY2025 EPS is only ~610m - consistent with a mid-year 2025 share issuance; Shares_Outstanding entered here uses the period-end (731.06m) balance-sheet count for consistency with the Market_Value_Equity calculation convention used elsewhere in this dataset.</t>
  </si>
  <si>
    <t>INFINITY</t>
  </si>
  <si>
    <t>Infinity Trust Mortgage Bank Plc</t>
  </si>
  <si>
    <t>11-Dec-2013</t>
  </si>
  <si>
    <t>Free-float deficient only (1.26%%, due Apr-2027) - no audited FS filing gap</t>
  </si>
  <si>
    <t>Incorporated 28-Jan-2002 as Infinity Trust Savings &amp; Loans Limited; converted to Infinity Trust Mortgage Bank and listed on the NGX 11-Dec-2013. Auditor: Aminu Ibrahim &amp; Co held the audit for 10 continuous years prior; PKF Professional Services (Chartered Accountants) was newly appointed at the 2024 AGM, effective for the 2024 accounting period onward - PKF entered here as the auditor of record for the study's most recent years; MEDIUM-HIGH confidence (Nairametrics/proxy coverage of AGM resolutions), not independently cross-checked against the full signed audit opinion page.</t>
  </si>
  <si>
    <t>INTBREW</t>
  </si>
  <si>
    <t>International Breweries Plc</t>
  </si>
  <si>
    <t>1995</t>
  </si>
  <si>
    <t>PricewaterhouseCoopers (PwC)</t>
  </si>
  <si>
    <t>Incorporated 22-Dec-1971 as a private company, converted to public limited company 26-Mar-1992, listed on the NGX in 1995. Majority-owned by Anheuser-Busch InBev (AB InBev) following the 2016 SABMiller merger. Auditor: PwC (Big4) confirmed for the FY2025 annual report; Deloitte &amp; Touché was the proposed auditor as of the 2018 filing and Baker Tilly Nigeria audited FY2014 - exact year(s) of each transition within the 2021-2025 study window not individually pinned down, but all three candidate firms (PwC/Deloitte/Baker Tilly-for-2014-only) mean the Big4 status for the recent years is PwC (Big4=1) with reasonable confidence given it's the most recently confirmed auditor of record. FY2021-2023 shows heavy net losses driven largely by FX/currency translation losses (naira devaluation) and high finance costs; a large capital raise occurred in FY2024 (shares outstanding grew from 26.862bn to 168.292bn, ~6.3x) that materially reduced leverage and coincided with a return to profitability in FY2025 - consistent with AB InBev's publicly reported deleveraging of the Nigerian subsidiary.</t>
  </si>
  <si>
    <t>INTENEGINS</t>
  </si>
  <si>
    <t>International Energy Insurance Plc</t>
  </si>
  <si>
    <t>13-Jul-2007</t>
  </si>
  <si>
    <t>Doyin Owolabi &amp; Co</t>
  </si>
  <si>
    <t>Restructuring status till 30-Nov-2025; largest late-filing penalty in report history (N28.2m)</t>
  </si>
  <si>
    <t>Incorporated 1969, NGX-listed 13-Jul-2007. Auditor: Doyin Owolabi &amp; Co (Chartered Accountants, non-Big4) - MEDIUM confidence, per NGX company profile. Balance sheet shows negative shareholders' equity throughout FY2021-2024 (accumulated losses) before turning positive in FY2025, coinciding with NAPL's acquisition of a 50.61% controlling stake (649.8m shares). Trading was suspended by NGX 1-Sep-2025 for failing to file the FY2024 audited financial statements on time; suspension lifted 2-Oct-2025 once the accounts were released - the FY2024 figures entered here reflect the eventually-filed audited numbers (post-suspension), no impact on data quality, only on timing.</t>
  </si>
  <si>
    <t>JAIZBANK</t>
  </si>
  <si>
    <t>Jaiz Bank Plc</t>
  </si>
  <si>
    <t>10-Feb-2017</t>
  </si>
  <si>
    <t>Established 2003 as a public limited liability company (Nigeria's first full-fledged non-interest/Islamic bank); NGX-listed 10-Feb-2017. Auditor: Deloitte &amp; Touche (Big4) confirmed for the FY2025 annual report ('indicated willingness to continue in office'); one search snippet also referenced Ahmed Zakari &amp; Co, which may reflect a joint-audit arrangement (common for Nigerian banks above a certain size under CBN rules) rather than a straightforward auditor change - not fully disambiguated this round. Big4_Auditor set to 1 based on Deloitte being the most recently confirmed primary auditor.</t>
  </si>
  <si>
    <t>JAPAULGOLD</t>
  </si>
  <si>
    <t>Japaul Gold &amp; Ventures Plc</t>
  </si>
  <si>
    <t>10-Aug-2005</t>
  </si>
  <si>
    <t>Incorporated 29-Jun-1994 as Japaul Oil &amp; Maritime Services Plc (private co., commenced business Jan-1997); NGX-listed 10-Aug-2005; later rebranded Japaul Gold &amp; Ventures Plc as the business pivoted toward gold mining. Auditor: SIAO Partners (Chartered Accountants, non-Big4) - MEDIUM confidence, per the FY2025 Independent Auditor's Report. Company had negative shareholders' equity FY2022-2023 (accumulated losses) before a large capital raise in FY2024 (shares outstanding grew from 6.263bn to 14.263bn) turned equity positive; also completed a further ~N20bn share listing in Sep-2024 tied to its mining capital programme.</t>
  </si>
  <si>
    <t>JBERGER</t>
  </si>
  <si>
    <t>Julius Berger Nigeria Plc</t>
  </si>
  <si>
    <t>20-Sep-1991</t>
  </si>
  <si>
    <t>Incorporated 1970 (Julius Berger Nigeria Ltd, German-parent construction group); NGX-listed 20-Sep-1991. Auditor: PwC (Big4) - MEDIUM-HIGH confidence, PwC's publicly listed audit portfolio includes Julius Berger among major Nigerian corporates; not independently cross-checked against the signed opinion page of a specific year's annual report. FY2024-2025 show large negative Operating Income despite strong overall profitability - driven by big non-operating FX/interest gains, a known feature of naira-devaluation-era Nigerian corporate results in this period.</t>
  </si>
  <si>
    <t>JOHNHOLT</t>
  </si>
  <si>
    <t>John Holt Plc</t>
  </si>
  <si>
    <t>May-1974</t>
  </si>
  <si>
    <t>Nigerian entity incorporated 1961 as a subsidiary of the Liverpool-based John Holt &amp; Co (founded 19th century); NGX-listed May-1974. FYE is 30-September, not 31-December - mapped FYE-labelled year directly to study Year, same convention as CUTIX/ENAMELWA/HONYFLOUR. Share_Price_YearEnd is approximated from stockanalysis.com's calendar Dec-31 market-cap series (nearest available annual price point to the Sep-30 fiscal year-end, ~3 months later) since no Sep-30-specific price series was available - LOW-MEDIUM confidence on price specifically, MEDIUM-HIGH on balance sheet/income figures (which are genuine FYE-Sep-30 figures). Auditor: Baker Tilly Nigeria (non-Big4) - HIGH confidence, per NGX company profile. Volatile results across the window including large FX losses in FY2023-2024 and asset writedowns most years.</t>
  </si>
  <si>
    <t>JULI</t>
  </si>
  <si>
    <t>Juli Plc</t>
  </si>
  <si>
    <t>7-Nov-1986</t>
  </si>
  <si>
    <t>Ayinde Saheed &amp; Co</t>
  </si>
  <si>
    <t>Incorporated 14-Sep-1972 (RC: 10566); NGX-listed 7-Nov-1986. Auditor: Ayinde Saheed &amp; Co (Chartered Accountants/Tax Consultants, non-Big4) - MEDIUM-HIGH confidence, per the company's own FY2023 filing letterhead. Negative shareholders' equity throughout FY2021-2024 (accumulated losses), resolved by FY2025 via a capital raise (Common Stock 100m-&gt;275m, plus new Additional Paid-In Capital of ~525m).</t>
  </si>
  <si>
    <t>LASACO</t>
  </si>
  <si>
    <t>Lasaco Assurance Plc</t>
  </si>
  <si>
    <t>1991</t>
  </si>
  <si>
    <t>Incorporated 20-Dec-1979; NGX-listed 1991. Auditor: BDO Professional Services (Chartered Accountants, non-Big4) - HIGH confidence, confirmed consistently across the FY2022-2025 annual reports. FY2025 shares outstanding jumped from 1.834bn to 11.084bn (a ~6x capital raise) coinciding with a large market-cap increase; FY2025 also shows a net loss (-2,801,000 thousand) despite the recapitalisation, driven by a large underwriting/policy-benefits expense increase per the income statement.</t>
  </si>
  <si>
    <t>LEARNAFRCA</t>
  </si>
  <si>
    <t>Learn Africa Plc</t>
  </si>
  <si>
    <t>23-Jul-1991</t>
  </si>
  <si>
    <t>Formerly Longman Nigeria Plc (renamed Learn Africa Plc Nov-2011); operating in Nigeria since 1961, converted to a Public Limited Company 28-May-1991 and NGX-listed 23-Jul-1991 (one source also references a 1-Jan-1971 listing date, likely a data artifact from an earlier corporate predecessor - not used here). FYE is 31-March, mapped directly to study Year per the CUTIX/ENAMELWA/HONYFLOUR convention. Auditor: PKF Professional Services (non-Big4), confirmed as of the FY2022 financial statements. FY2021 (FYE 31-Mar-2021) data point is a DOCUMENTED GAP - stockanalysis.com's balance sheet/income-statement history for this ticker starts at FY2022, and a primary-source figure for the FYE-Mar-2021 audited statement was not located this round; left blank rather than estimated. Share_Price_YearEnd for FY2022-2025 approximated from the nearest PRECEDING calendar Dec-31 market-cap point (3 months before the Mar-31 fiscal year-end, closer than the following Dec-31 which is 9 months after) - e.g. study Year 2022 (FYE Mar-2022) paired with the Dec-31-2021 market cap.</t>
  </si>
  <si>
    <t>LEGENDINT</t>
  </si>
  <si>
    <t>Legend Internet Plc</t>
  </si>
  <si>
    <t>24-Apr-2025</t>
  </si>
  <si>
    <t>Poju Professional Services</t>
  </si>
  <si>
    <t>Incorporated 17-Aug-2021; listed on the NGX Main Board 24-Apr-2025 (2 billion ordinary shares), the first new NGX listing of 2025. FYE is 31-July. Auditor: Poju Professional Services (non-Big4), per the company's own FY2024 (year ended 31-Jul-2024) Audited FS. FY2021-2024 marked EXCLUDED BY DESIGN per the ARADEL/BUAFOODS/GEREGU/HMCALL pre-listing convention - not NGX-listed until Apr-2025, so no NGX market value existed for those years; all data fields left blank. FY2025 (the listing year) uses the nearest-year-end-price convention: Dec-31-2025 market cap (10.58B) / 2bn shares as a low-medium confidence proxy reflecting only a partial year of post-listing market discovery. FY2025 Total_Assets/Total_Liabilities are INDIRECTLY DERIVED (LOW-MEDIUM confidence): press coverage (Nairametrics) reported Shareholders' Funds of N2.87bn representing ~86% of total assets for the year ended 31-Jul-2025, implying Total_Assets ~N3.337bn and Total_Liabilities ~N0.467bn by subtraction - not independently verified against the primary audited FS line items. Net_Income (N142,457,000, profit after tax) is HIGH confidence, taken directly from the reported figure.</t>
  </si>
  <si>
    <t>LINKASSURE</t>
  </si>
  <si>
    <t>Linkage Assurance Plc</t>
  </si>
  <si>
    <t>18-Nov-2003</t>
  </si>
  <si>
    <t>Ernst &amp; Young (FY2021-2024); KPMG Professional Services (FY2025)</t>
  </si>
  <si>
    <t>Incorporated 26-Mar-1991; NGX-listed 18-Nov-2003. Auditor transitioned from EY to KPMG at/around FY2025 - both Big4, so Big4_Auditor=1 throughout, but Panel Data Auditor_Name/Big4 per-row reflects the actual auditor for that year. Shares outstanding constant at 18.48bn across all 5 years. Source: stockanalysis.com (S&amp;P Global Market Intelligence aggregator).</t>
  </si>
  <si>
    <t>LIVESTOCK</t>
  </si>
  <si>
    <t>Livestock Feeds Plc</t>
  </si>
  <si>
    <t>1978</t>
  </si>
  <si>
    <t>Ernst &amp; Young (since 20-Sep-2018 AGM)</t>
  </si>
  <si>
    <t>Incorporated 20-Mar-1963; NGX-listed 1978. Auditor Ernst &amp; Young (Big4) appointed at the 20-Sep-2018 AGM, held throughout the study window. Shares outstanding constant at 3.0bn across all 5 years. Source: stockanalysis.com (S&amp;P Global Market Intelligence aggregator).</t>
  </si>
  <si>
    <t>LIVINGTRUST</t>
  </si>
  <si>
    <t>Living Trust Mortgage Bank Plc</t>
  </si>
  <si>
    <t>Formerly Omoluabi Savings &amp; Loans Plc (to 2016), then Omoluabi Mortgage Bank Plc (to 2020); renamed LivingTrust Mortgage Bank Plc in 2020 after Cititrust Holdings Plc took a controlling stake. Incorporated 9-Mar-1993 (as Osun State-owned entity); converted to Plc 25-Jan-2013 and NGX-listed 11-Dec-2013 (per the company's own FY2024 Audited FS corporate profile - doclib.ngxgroup.com). Auditor: PKF Professional Services (non-Big4) - confirmed via the FY2024 Audited FS 'Corporate Information' page (HIGH confidence, resolved this round after WebSearch alone was inconclusive). Shares outstanding constant at 5.0bn across all 5 years.</t>
  </si>
  <si>
    <t>MANSARD</t>
  </si>
  <si>
    <t>AXA Mansard Insurance Plc</t>
  </si>
  <si>
    <t>Nov-2009</t>
  </si>
  <si>
    <t>Incorporated 1989; NGX-listed Nov-2009. Auditor KPMG Professional Services (Big4) - confirmed via search cross-referencing KPMG's published major-client list. Shares outstanding constant at 8.944bn (balance sheet period-end figure) across all 5 years. Source: stockanalysis.com (S&amp;P Global Market Intelligence aggregator).</t>
  </si>
  <si>
    <t>MAYBAKER</t>
  </si>
  <si>
    <t>May &amp; Baker Nigeria Plc</t>
  </si>
  <si>
    <t>1994</t>
  </si>
  <si>
    <t>Incorporated 4-Dec-1944 (one of Nigeria's oldest pharmaceutical manufacturers); NGX-listed 1994. Auditor PKF Professional Services (non-Big4) per the company's 2019 AFS - most recent confirmation found; the company used Akintola Williams Deloitte (Big4) in 2013, so an auditor transition occurred between 2013 and 2019 - not further disambiguated within the study window (2021-2025) due to time constraints, PKF assumed to have continued given no later transition found. Shares outstanding constant at 1.725bn across all 5 years.</t>
  </si>
  <si>
    <t>MBENEFIT</t>
  </si>
  <si>
    <t>Mutual Benefits Assurance Plc</t>
  </si>
  <si>
    <t>28-May-2002</t>
  </si>
  <si>
    <t>Incorporated 18-Apr-1995; NGX-listed 28-May-2002. Auditor KPMG Professional Services (Big4) - confirmed HIGH confidence via the company's own FY2025 (unaudited/interim) financial statement's 'Corporate Information' page (doclib.ngxgroup.com), which explicitly lists KPMG as Auditor. Shares outstanding: balance sheet's period-end figure (20.061bn) used constant across all 5 study years per dataset convention, though the income statement's weighted-average share count for FY2021 (15.531bn) reflects a large in-year share issuance that year - flagged for context, does not affect the entered Shares_Outstanding figure.</t>
  </si>
  <si>
    <t>MCNICHOLS</t>
  </si>
  <si>
    <t>McNichols Consolidated Plc</t>
  </si>
  <si>
    <t>18-Dec-2009</t>
  </si>
  <si>
    <t>Not independently confirmed</t>
  </si>
  <si>
    <t>Incorporated 26-Apr-2004; NGX-listed 18-Dec-2009. AUDITOR UNRESOLVED: multiple WebSearch attempts (including targeted queries against the FY2024/2025 annual report titles) could not surface the current auditor's name from visible snippets; the NGX doclib FY2025 Q5 filing PDF returned no machine-readable text (scanned/image-based), and the AfricanFinancials annual report link points to a Google Drive-hosted PDF not amenable to text extraction here. The oldest available reference (2010-2012 IPO prospectus) names Abraham Shallom &amp; Co, but this is over a decade stale and not used. Big4_Auditor defaulted to 0 (non-Big4 assumed, consistent with the company's small-cap profile) but flagged LOW confidence pending further primary-source confirmation - documented as a gap rather than guessed, per dataset convention.</t>
  </si>
  <si>
    <t>MECURE</t>
  </si>
  <si>
    <t>Mecure Industries Plc</t>
  </si>
  <si>
    <t>7-Nov-2023</t>
  </si>
  <si>
    <t>Alexander Johnson &amp; Co</t>
  </si>
  <si>
    <t>Incorporated 16-Mar-2005; NGX-listed 7-Nov-2023. Auditor Alexander Johnson &amp; Co (non-Big4). Pre-listing years (FY2021-2022) marked EXCLUDED BY DESIGN per the ARADEL/BUAFOODS/GEREGU/HMCALL/LEGENDINT convention - no NGX market value existed. FY2023 is the listing year (Nov-2023), uses the nearest-year-end-price convention. Shares outstanding grew sharply pre-listing (20 -&gt; 683.33m -&gt; 4,000m), consistent with a pre-IPO capital restructuring/subdivision.</t>
  </si>
  <si>
    <t>MEYER</t>
  </si>
  <si>
    <t>Meyer Plc</t>
  </si>
  <si>
    <t>Formerly DN Meyer Plc, renamed Meyer Plc in Aug-2016. Incorporated 20-May-1960; converted to a Public Company and NGX-listed 1979. Auditor BDO Professional Services (non-Big4) - confirmed via the company's FY2024 annual report. Shares outstanding: balance sheet's constant period-end figure (497.73m) used across all 5 years, though the income statement's weighted-average FY2021 count (481m) reflects an in-year share change. Note: Meyer became inactively traded on the NGX around March 2026, outside the study window (2021-2025), so this does not affect the panel data.</t>
  </si>
  <si>
    <t>MOFIREIF</t>
  </si>
  <si>
    <t>Moove Fire REIT</t>
  </si>
  <si>
    <t>11-Nov-2025</t>
  </si>
  <si>
    <t>MOFI Real Estate Investment Fund (MREIF): a closed-end REIT structured as a unit trust, sponsored by Ministry of Finance Incorporated (est. 24-Oct-2024) and managed by ARM Investment Managers Limited. Commenced operations 17-Mar-2025 after SEC clearance of its Series 1/Series 2 N250bn issuance; NGX-listed 11-Nov-2025. FY2021-2024 marked EXCLUDED BY DESIGN - the fund did not exist and no NGX market value existed. FY2025 is the fund's inaugural (10-month) reporting period; 'shares' are trust units, 'Shares_Outstanding' approximated at 2.5bn units (N250bn capital raised / N100 initial unit price). Auditor not independently confirmed this round. Given its unit-trust structure (not a conventional operating company), the standard Tobin's Q / Leverage / ROA panel metrics may be less economically meaningful for this entity than for operating firms - flagged for awareness in later analysis chapters. | EXCLUDED FROM 'Final Sample' (stricter, 17-Aug-2026), ALL 5 YEARS: Condition 5 (Section 3.6): closed-end REIT/investment fund.</t>
  </si>
  <si>
    <t>MORISON</t>
  </si>
  <si>
    <t>Morison Industries Plc</t>
  </si>
  <si>
    <t>Formerly J. L Morison, Sons and Jones (Nigeria) Limited. Incorporated 29-Jun-1955; became a public quoted company and NGX-listed 1978. Auditor BDO Professional Services (non-Big4). Deeply negative retained earnings across the study window (partly offset by a large revaluation/comprehensive-income reserve keeping total equity positive); genuine reported net losses FY2021-2024 turning to a small profit in FY2025 alongside a share-count increase (989.16m -&gt; 1,256m).</t>
  </si>
  <si>
    <t>MTNN</t>
  </si>
  <si>
    <t>MTN Nigeria Communications Plc</t>
  </si>
  <si>
    <t>16-May-2019</t>
  </si>
  <si>
    <t>Incorporated as a private company 8-Nov-2000; re-registered as a Plc 18-Apr-2019 and NGX-listed by introduction on the Premium Board 16-May-2019. Auditor Ernst &amp; Young (Big4) - confirmed for FY2025; assumed consistent across the study window. Nigeria's largest mobile network operator by revenue/market cap. FY2023-2024 show large reported net losses driven by naira-devaluation FX losses (a well-documented sector-wide phenomenon for telecom/import-heavy Nigerian corporates in this period), with a strong recovery in FY2025.</t>
  </si>
  <si>
    <t>MULTITREX</t>
  </si>
  <si>
    <t>Multi-Trex Integrated Foods Plc</t>
  </si>
  <si>
    <t>2-Nov-2010</t>
  </si>
  <si>
    <t>Delisting watchlist (2yr); missing audited FS 2025 (FYE April)</t>
  </si>
  <si>
    <t>Incorporated 1999; NGX-listed c. 2-Nov-2010 (approximated from the earliest available market-cap history date - MEDIUM confidence, not independently verified against a primary listing notice). FYE 30-April, mapped directly to the study Year per the established FYE-mapping convention (e.g. FYE 30-Apr-2025 -&gt; study Year 2025). Auditor Baker Tilly Nigeria (non-Big4). Illiquid stock with an unchanged market cap (N1.34bn) across Dec-2021 to Dec-2023, reflected in the flat Share_Price_YearEnd for study Years 2021-2023. Share_Price_YearEnd approximated using the nearest PRECEDING calendar Dec-31 market cap (closer in time to the Apr-30 FYE than the following Dec-31), per the LEARNAFRCA/JOHNHOLT precedent; for study Year 2021 the true preceding point (Dec-2020) was unavailable from the source, so the nearest available point (Dec-2021, same value as neighbors) was used as a LOW-MEDIUM confidence fallback. | EXCLUDED FROM 'Final Sample' (stricter, 17-Aug-2026), ALL 5 YEARS: Condition 5 (Section 3.6): NGX compliance status 'DWL' not among retained exceptions (BLS/MRF/RST).</t>
  </si>
  <si>
    <t>MULTIVERSE</t>
  </si>
  <si>
    <t>Multiverse Mining and Exploration Plc</t>
  </si>
  <si>
    <t>8-Oct-2008</t>
  </si>
  <si>
    <t>Olukayode Aina &amp; Co</t>
  </si>
  <si>
    <t>Solid-minerals miner (lead, zinc, copper, gold, tantalite, tin, barite). Incorporated 20-Jun-2002 (per the company's own Corporate Information page); NGX-listed 8-Oct-2008. Auditor Olukayode Aina &amp; Co (Chartered Accountants, non-Big4) - confirmed via the company's own Corporate Information page (HIGH confidence). Constant 426.19m shares across all 5 years; steady growth in revenue/net income and declining leverage across the study window.</t>
  </si>
  <si>
    <t>NAHCO</t>
  </si>
  <si>
    <t>Nigerian Aviation Handling Company (NAHCO) Plc</t>
  </si>
  <si>
    <t>27-Nov-2006</t>
  </si>
  <si>
    <t>Nigerian Aviation Handling Company Plc - ground-handling/cargo services provider at Nigerian airports. Incorporated 1979; NGX-listed 27-Nov-2006. Auditor Ernst &amp; Young (Big4). Strong revenue/profit growth across the study window (aviation-sector post-pandemic recovery), with a 1.1428571429 forward stock split in May-2026 (after the study window, not applied retroactively).</t>
  </si>
  <si>
    <t>NASCON</t>
  </si>
  <si>
    <t>NASCON Allied Industries Plc</t>
  </si>
  <si>
    <t>20-Oct-1992</t>
  </si>
  <si>
    <t>NASCON Allied Industries Plc - salt/seasoning/edible-oil manufacturer, a Dangote Group subsidiary. Incorporated 30-Apr-1973; NGX-listed 20-Oct-1992. Auditor PricewaterhouseCoopers (PwC, Big4). Constant 2.702bn shares across the study window; strong, consistent revenue and net income growth throughout FY2021-2025.</t>
  </si>
  <si>
    <t>NB</t>
  </si>
  <si>
    <t>Nigerian Breweries Plc</t>
  </si>
  <si>
    <t>1973</t>
  </si>
  <si>
    <t>Deloitte &amp; Touche (FY2021-2024); KPMG Professional Services (FY2025, appointed 16-Apr-2025)</t>
  </si>
  <si>
    <t>Nigerian Breweries Plc - Nigeria's largest brewer (Heineken-affiliated). Incorporated 1946; NGX-listed 1973. AUDITOR TRANSITION WITHIN THE STUDY WINDOW: Deloitte &amp; Touche served as auditor FY2021-2024, succeeded by KPMG Professional Services, appointed 16-Apr-2025 (FY2025 audit) - both Big4, so Big4_Auditor = 1 for all 5 years, but Panel Data column 26 Auditor_Name will resolve via the static per-row Big4_Auditor/formula convention; each row's Notes documents the specific auditor for that year. FY2023-2024 large reported net losses driven by naira-devaluation FX losses and a working-capital-financing cost squeeze (sector-wide pattern also seen at MTNN for the same years); large share-count increase in FY2024 (10.276bn -&gt; 30.983bn) reflecting a major capital-raise/rights issue that also restored the balance sheet, followed by a strong FY2025 recovery to profit.</t>
  </si>
  <si>
    <t>NCR</t>
  </si>
  <si>
    <t>NCR (Nigeria) Plc</t>
  </si>
  <si>
    <t>30-May-1979</t>
  </si>
  <si>
    <t>Grant Thornton</t>
  </si>
  <si>
    <t>NCR (Nigeria) Plc - formerly National Cash Register Company (West Africa) Limited; ICT/financial-services and business-solutions provider. Incorporated 9-Dec-1949; NGX-listed 30-May-1979. Auditor Grant Thornton (Chartered Accountants, non-Big4). Constant 108m shares across the study window. Genuine multi-year financial distress: Shareholders' Equity has been persistently and increasingly NEGATIVE across all 5 years (-N0.84bn in FY2021 widening to -N4.68bn in FY2025), driven by accumulated retained-earnings deficits; net losses in FY2022-2024 with small profits in FY2021 and FY2025. Flagged for awareness: Tobin's Q/Leverage/ROA interpretation should account for the negative-equity condition in later analysis chapters.</t>
  </si>
  <si>
    <t>NEIMETH</t>
  </si>
  <si>
    <t>Neimeth International Pharmaceuticals Plc</t>
  </si>
  <si>
    <t>21-Sep-1979</t>
  </si>
  <si>
    <t>Neimeth International Pharmaceuticals Plc - formerly Pfizer Products of Nigeria, renamed 1997 after a 1997 management buyout. Incorporated 30-Aug-1957; NGX-listed 21-Sep-1979 (MEDIUM confidence on the exact listing date - sources conflict, one citing a later 1999 date possibly referring to a subsequent rights issue/listing event, not the original listing). Auditor BDO Professional Services (non-Big4, per FY2025 financial statements). FYE TRANSITION: the company's fiscal year end changed from 30-September to 31-December around 2022; stockanalysis.com's free tier and the company's own FY2022 interim filing show internally inconsistent Total Assets/Total Liabilities figures for the FYE 30-Sep-2021 period (a capital-management note in the 30-Jun-2022 interim report gives Total liabilities/Total assets figures that do not reconcile with the report's own 5-year 'Financial Summary' net-assets table by ~N369m) - FY2021 Total_Liabilities/Total_Assets/Net_Income are therefore DATA GAP (not estimated), while Shares_Outstanding and Share_Price_YearEnd for FY2021 are filled from independently-reliable market-cap-history/common-stock-par-value data. FY2023 shows a 125% share-count increase (1.899bn-&gt;4.273bn) from a bonus/capital-raise issue.</t>
  </si>
  <si>
    <t>NEM</t>
  </si>
  <si>
    <t>NEM Insurance Plc</t>
  </si>
  <si>
    <t>5-Sep-1990</t>
  </si>
  <si>
    <t>NEM Insurance Plc - general insurance underwriter, founded 1948 as an agent for Edward Turner &amp; Co; NGX-listed 5-Sep-1990. Auditor KPMG Professional Services (Big4). Constant 5.016bn shares across the study window; strong, consistent revenue and profit growth throughout FY2021-2025.</t>
  </si>
  <si>
    <t>NESTLE</t>
  </si>
  <si>
    <t>Nestle Nigeria Plc</t>
  </si>
  <si>
    <t>20-Apr-1979</t>
  </si>
  <si>
    <t>Nestle Nigeria Plc - FMCG manufacturer (Nestle Group subsidiary). Incorporated 6-May-1961; NGX-listed 20-Apr-1979. Auditor Ernst &amp; Young (Big4). Constant 792.66m shares across the study window. FY2023-2024 show large reported net losses (-N79.5bn and -N164.6bn) driven by naira-devaluation-related FX losses (a well-documented sector-wide phenomenon for import-heavy Nigerian multinationals in this period, also seen at MTNN and NB), pushing Shareholders' Equity NEGATIVE in FY2023-2024 (-N78.0bn and -N92.3bn) before a strong FY2025 recovery to profit (N104.97bn) and positive equity.</t>
  </si>
  <si>
    <t>NGXGROUP</t>
  </si>
  <si>
    <t>Nigerian Exchange Group Plc</t>
  </si>
  <si>
    <t>15-Oct-2021</t>
  </si>
  <si>
    <t>The Nigerian Exchange Group Plc - the holding company that operates the NGX itself (formerly the Nigerian Stock Exchange/Lagos Stock Exchange), incorporated as a private company limited by shares 15-Sep-1960 (as the Lagos Stock Exchange; renamed the Nigerian Stock Exchange 15-Dec-1977); demutualized and NGX-listed by introduction 15-Oct-2021 as NGX Group Plc, a SEC-registered Capital Market Holding Company. Auditor Ernst &amp; Young (Big4). NOTE: NGXGROUP is the exchange on which all other sampled firms (and itself) trade - a self-referential listing worth flagging for the thesis's discussion of sample composition. Listed just before the FY2021 year-end so FY2021 is included (not pre-listing-excluded, per the established mid-year-listing convention). Strong, consistent revenue/profit growth and share-price appreciation across the study window.</t>
  </si>
  <si>
    <t>NIDF</t>
  </si>
  <si>
    <t>Nigeria Infrastructure Debt Fund</t>
  </si>
  <si>
    <t>5-Oct-2023</t>
  </si>
  <si>
    <t>PwC Nigeria</t>
  </si>
  <si>
    <t>Chapel Hill Denham Nigeria Infrastructure Debt Fund - a closed-ended infrastructure debt unit trust managed by Chapel Hill Denham Management Limited, the first listed infrastructure debt fund in Nigeria/Sub-Saharan Africa. Established as a unit trust 7-Feb-2017; NGX-listed (Main Board) 5-Oct-2023. Auditor PwC Nigeria (Big4), confirmed via the Fund's own Q3-2024 Quarterly Investor Report. FY2021-2022 EXCLUDED BY DESIGN (fund not yet NGX-listed) per the established convention. Non-standard entity (debt fund, not a conventional operating company) - standard Tobin's Q/Leverage/ROA metrics may be less economically meaningful, similar to MOFIREIF; Shares_Outstanding uses Units in Issue and Share_Price_YearEnd uses NAV per Unit as a MEDIUM confidence proxy (no independent daily traded-price series located), consistent with the MOFIREIF precedent. | EXCLUDED FROM 'Final Sample' (stricter, 17-Aug-2026), ALL 5 YEARS: Condition 5 (Section 3.6): closed-end REIT/investment fund.</t>
  </si>
  <si>
    <t>NNFM</t>
  </si>
  <si>
    <t>Northern Nigeria Flour Mills Plc</t>
  </si>
  <si>
    <t>KPMG Professional Services and Ahmed Zakari &amp; Co. (joint auditors)</t>
  </si>
  <si>
    <t>Northern Nigeria Flour Mills Plc - a Flour Mills of Nigeria Plc subsidiary (53.06% held). Incorporated as a private company 29-Oct-1971; converted to a Plc and NGX-listed 1978 (exact date not independently confirmed). FYE 31-March, mapped directly to the study Year per the established FYE-mapping convention (e.g. FYE 31-Mar-2025 -&gt; study Year 2025). Joint auditors KPMG Professional Services and Ahmed Zakari &amp; Co. (KPMG is Big4). Share_Price_YearEnd approximated using the nearest PRECEDING calendar Dec-31 market cap (3 months before the Mar-31 FYE, closer than the following Dec-31 which is 9 months after) per the established FYE-Mar/Apr convention; for study Year 2021 the true preceding point (Dec-2020) was unavailable from the source (Pro-only), so the nearest available point (Dec-2021) was used as a LOW-MEDIUM confidence fallback - the same fallback pattern used for MULTITREX. FY2021 Total_Liabilities/Total_Assets are DATA GAP: the company's own Annual Report for the year ended 31-Mar-2021 (fetched directly from NGX doclib) did not yield extractable Statement-of-Financial-Position total figures (only the Directors' Report results summary and Statement of Changes in Equity were extractable), so these two fields were left blank rather than estimated; Net_Income (N69.919m, from the Directors' Report) and Shares_Outstanding (178.2m, from the constant N89.1m share-capital par value) were reliably obtained and filled.</t>
  </si>
  <si>
    <t>NPFMCRFBK</t>
  </si>
  <si>
    <t>NPF Microfinance Bank Plc</t>
  </si>
  <si>
    <t>1-Dec-2010</t>
  </si>
  <si>
    <t>Deloitte &amp; Touche (from FY2023, appointed 1-Jun-2023); prior auditor (FY2021-2022) unconfirmed</t>
  </si>
  <si>
    <t>NPF Microfinance Bank Plc - microfinance bank originally sponsored by the Nigeria Police Force Cooperative. Incorporated 19-May-1993; NGX-listed 1-Dec-2010. AUDITOR TRANSITION: Deloitte &amp; Touche was appointed effective 1-Jun-2023 (approved at the 29th AGM) - Big4 for FY2023-2025; the prior FY2021-2022 auditor could not be confirmed after multiple search attempts, so Big4_Auditor for those two years is documented as an unresolved LOW-confidence gap (defaulted to 0) rather than guessed, consistent with the MCNICHOLS precedent. Large share-count increase in FY2022 (2.541bn-&gt;5.993bn, +135.9%) from a capital-raise; steady growth in deposits/loans and net income across the study window.</t>
  </si>
  <si>
    <t>NREIT</t>
  </si>
  <si>
    <t>24-Jan-2014</t>
  </si>
  <si>
    <t>UPDC Real Estate Investment Trust - a closed-ended property fund sponsored by UACN Property Development Company (UPDC) in June 2013 (3.0bn units issued at N10 each), NGX-listed 24-Jan-2014 (the fund's first trading day per stockanalysis.com's market-cap history). NOTE: this firm trades on NGX under ticker UPDCREIT; the workbook's ticker 'NREIT' refers to the same entity (Nigeria Real Estate Investment Trust / UPDC REIT) - flagged here for audit-trail clarity. Auditor Forvis Mazars (non-Big4, confirmed for the FY2025 annual report; assumed consistent across the study window, not independently verified for earlier years). Constant 2.668bn units across the study window. Genuine reported net LOSS in FY2021 (-N4.48bn, pandemic-related per company commentary), turning to consistent profitability from FY2022 onward. | EXCLUDED FROM 'Final Sample' (stricter, 17-Aug-2026), ALL 5 YEARS: Condition 5 (Section 3.6): closed-end REIT/investment fund.</t>
  </si>
  <si>
    <t>NSLTECH</t>
  </si>
  <si>
    <t>Secure Electronic Technology Plc</t>
  </si>
  <si>
    <t>14-Dec-2007</t>
  </si>
  <si>
    <t>Auditor unresolved (LOW confidence)</t>
  </si>
  <si>
    <t>Secure Electronic Technology Plc - formerly National Sports Lottery Plc, renamed Dec-2011; incorporated 2000 (RC 372333), NGX-listed 14-Dec-2007. Lottery/online-gaming infrastructure provider. Auditor name could not be confirmed after multiple search attempts (NGX doclib filings reference audited/unaudited statements but do not surface the signing firm in accessible excerpts) - documented as a LOW-confidence unresolved gap per the MCNICHOLS precedent, Big4_Auditor defaulted to 0. Source: stockanalysis.com (S&amp;P Global Market Intelligence), MEDIUM-HIGH confidence for financials.</t>
  </si>
  <si>
    <t>OANDO</t>
  </si>
  <si>
    <t>Oando Plc</t>
  </si>
  <si>
    <t>24-Feb-1992</t>
  </si>
  <si>
    <t>Ernst &amp; Young (FY2021); BDO Professional Services (FY2022-2025)</t>
  </si>
  <si>
    <t>Oando Plc - incorporated 1956 as ESSO West Africa Incorporated (Exxon subsidiary), renamed Unipetrol Nigeria in 1976 following government acquisition, NGX-listed 24-Feb-1992 following 1991 privatization, renamed Oando Plc Dec-2003. Major integrated energy conglomerate. AUDITOR TRANSITION WITHIN THE STUDY WINDOW: Ernst &amp; Young (Big4) audited FY2021, resigned effective 13-Jul-2022; BDO Professional Services (non-Big4) appointed and has audited FY2022-2025 (re-appointed Aug-2025 AGM). Each Panel Data row's Notes/Big4_Auditor reflects the specific year's actual auditor per the established multi-year-auditor convention. FY2022 net loss (-N78.7bn) and persistently negative Shareholders' Equity throughout FY2021-2025 (widening from -N126.9bn to -N553.8bn) are genuine reported conditions reflecting Oando's heavy leverage/FX exposure - flagged for cautious interpretation of Leverage/Tobin's Q. FY2025 shares outstanding restated to 14,590m per period-end balance sheet (total issued capital unchanged; large treasury-stock buyback reduced FY2025 weighted-average basic shares to 9,568m for EPS purposes only).</t>
  </si>
  <si>
    <t>OKOMUOIL</t>
  </si>
  <si>
    <t>The Okomu Oil Palm Company Plc</t>
  </si>
  <si>
    <t>9-Sep-1997</t>
  </si>
  <si>
    <t>The Okomu Oil Palm Company Plc - incorporated as a private limited liability company 3-Dec-1979, NGX-listed 9-Sep-1997. Nigeria's largest palm-oil producer (SOCFIN-affiliated). Auditor Ernst &amp; Young (Big4) confirmed for FY2024 audit opinion; assumed continuous across FY2021-2025 given no auditor-change disclosure found (MEDIUM-HIGH confidence assumption for years not individually confirmed). Strong consistent revenue/profit growth throughout the study window, constant 953.91m shares outstanding.</t>
  </si>
  <si>
    <t>OMATEK</t>
  </si>
  <si>
    <t>Omatek Ventures Plc</t>
  </si>
  <si>
    <t>27-Jan-2009</t>
  </si>
  <si>
    <t>Olaolu Olabimtan &amp; Co. (Chartered Accountants)</t>
  </si>
  <si>
    <t>Omatek Ventures Plc - computer/electronics manufacturing and distribution holding company, incorporated 1988, converted to a public company 2008, NGX-listed 27-Jan-2009. Auditor Olaolu Olabimtan &amp; Co. (non-Big4 chartered accountants) confirmed across multiple NGX-doclib audited filings (2016-2019, 2022); assumed continuity through FY2021-2025 (MEDIUM confidence). Severely distressed penny stock with near-negligible revenue (as low as ~N0.5m/year) and persistently negative Shareholders' Equity throughout FY2021-2024 (only marginally positive by FY2025); genuine reported condition reflecting a largely dormant operating business - flagged for cautious interpretation of ROA/Leverage/Tobin's Q. FY2021-2022 year-end market cap was identical (N588.36m), suggesting minimal/no trading activity in that period - Share_Price_YearEnd for those two years is a LOW-MEDIUM confidence stale-price proxy.</t>
  </si>
  <si>
    <t>PHARMDEKO</t>
  </si>
  <si>
    <t>Pharma-Deko Plc</t>
  </si>
  <si>
    <t>Aug-1979</t>
  </si>
  <si>
    <t>SIAO Partners (Chartered Accountants), through FY2022; SUSPENDED 11-Jul-2023</t>
  </si>
  <si>
    <t>MRS</t>
  </si>
  <si>
    <t>Restructuring status; missing audited FS 2023-2024</t>
  </si>
  <si>
    <t>Pharma-Deko Plc - incorporated 1967 as Parke-Davis &amp; Co. (Nig.) Ltd, renamed Pharma Deko Ltd 1980, NGX-listed Aug-1979. Auditor SIAO Partners Chartered Accountants (non-Big4) confirmed for the FY2021 audited financial statements. NGX SUSPENDED THE STOCK FROM TRADING effective 11-Jul-2023 for failure to file audited financial statements for the year ended 31-Dec-2022 on a timely basis; last trade recorded 10-Jul-2023 at N1.83/share. FY2023-2025 Total_Liabilities/Total_Assets/Net_Income are DATA GAP - no audited financial statements have been located as filed for these years, consistent with the ongoing suspension. Total_Common_Shares_Outstanding (216.93m) is treated as reliably constant across the full window (no capital actions reported). Share_Price_YearEnd for FY2023-2025 uses the frozen last-traded price (N1.83, unchanged in the market-cap history through Dec-2025) as a LOW-MEDIUM confidence proxy, since no genuine market-clearing price exists post-suspension. | EXCLUDED FROM 'Final Sample' (stricter, 17-Aug-2026), ALL 5 YEARS: Condition 5 (Section 3.6): NGX compliance status 'MRS' not among retained exceptions (BLS/MRF/RST).</t>
  </si>
  <si>
    <t>PREMPAINTS</t>
  </si>
  <si>
    <t>Premier Paints Plc</t>
  </si>
  <si>
    <t>7-Nov-1995</t>
  </si>
  <si>
    <t>Premier Paints Plc - incorporated 24-Aug-1982 as a private family business, converted to a public company and NGX-listed 7-Nov-1995. Small paints manufacturer. Auditor name could not be confirmed after multiple search attempts (NGX-doclib filings reference auditor's reports but the signing firm was not surfaced in accessible excerpts) - documented as a LOW-confidence unresolved gap per the MCNICHOLS precedent, Big4_Auditor defaulted to 0. Persistently negative Shareholders' Equity throughout FY2021-2025 (-N200m to -N226m, genuine reported condition - near-dormant/thinly traded micro-cap). Year-end market cap was IDENTICAL (N1.23bn) for four of the five study years (2021, 2023, 2024, 2025), with only FY2022 differing due to a temporary share-count increase (123m-&gt;135.33m, reverting to 123m the following year) - strongly indicative of minimal/no trading activity; Share_Price_YearEnd for all five years is a LOW-MEDIUM confidence stale-price proxy.</t>
  </si>
  <si>
    <t>PRESCO</t>
  </si>
  <si>
    <t>Presco Plc</t>
  </si>
  <si>
    <t>10-Oct-2002</t>
  </si>
  <si>
    <t>Deloitte &amp; Touche (FY2021-2024); KPMG Professional Services (FY2025)</t>
  </si>
  <si>
    <t>Presco Plc - incorporated 24-Sep-1991, NGX-listed 10-Oct-2002. SOCFIN-affiliated palm-oil producer, sister company to Okomu Oil. AUDITOR TRANSITION WITHIN THE STUDY WINDOW: Deloitte &amp; Touche (Big4) audited through FY2024, succeeded by KPMG Professional Services (Big4) from FY2025; both Big4 so Big4_Auditor=1 throughout, each row's Notes names the specific year's auditor per the established multi-year-auditor convention. Strong consistent revenue/profit growth throughout the window; FY2025 share count increased from 1,000m to 1,167m following a rights issue (Nov-2025).</t>
  </si>
  <si>
    <t>PRESTIGE</t>
  </si>
  <si>
    <t>Prestige Assurance Plc</t>
  </si>
  <si>
    <t>Free-float deficient only (15.49%%, due Aug-2027) - no audited FS filing gap</t>
  </si>
  <si>
    <t>Prestige Assurance Plc - incorporated 6-Jan-1970, NGX-listed 3-Dec-1990. General insurer. Auditor name could not be confirmed after multiple search attempts (NGX-doclib annual report references audit opinions but the signing firm was not surfaced in accessible excerpts) - documented as a LOW-confidence unresolved gap per the MCNICHOLS precedent, Big4_Auditor defaulted to 0. Constant 13,253m shares outstanding; consistent profitability across the window with a strong FY2024 spike (N3.24bn net income) partly FX-driven, followed by a FY2025 pullback.</t>
  </si>
  <si>
    <t>PZ</t>
  </si>
  <si>
    <t>PZ Cussons Nigeria Plc</t>
  </si>
  <si>
    <t>18-Feb-1974</t>
  </si>
  <si>
    <t>PZ Cussons Nigeria Plc - incorporated 4-Dec-1948 (originally P.B. Nicholas and Company Ltd, later Paterson Zochonis Industries Plc, renamed PZ Cussons Nigeria Plc 2006), NGX-listed 18-Feb-1974. FMCG/consumer-goods subsidiary of the UK's PZ Cussons Group. Auditor PricewaterhouseCoopers (Big4), assumed continuous across FY2021-2025 (no transition disclosure found). NON-STANDARD FISCAL YEAR END (30-June to 31-May, not 31-December) - FYE-labelled year mapped directly to the study Year column for Total_Liabilities/Total_Assets/Net_Income per the established FYE-mapping convention (e.g. stockanalysis's 'FY2021' column, period ending 31-May-2021, maps to study Year=2021). Share_Price_YearEnd uses the nearest-PRECEDING-Dec-31 convention (i.e. the most recent calendar year-end price known as of each FYE): FY2021 required a LOW-MEDIUM confidence fallback to Dec-2021 (the true nearest-preceding point, Dec-2020, is Pro-locked/unavailable); FY2022-FY2025 use the genuine nearest-preceding Dec-31 market cap (Dec-2021 through Dec-2024 respectively), MEDIUM confidence. FY2024 (FYE 31-May-2024) posted a large net loss (-N82.7bn) driven by a massive currency-devaluation FX loss (-N157.9bn), pushing Shareholders' Equity sharply negative (-N27.5bn) before a partial FY2025 recovery (still -N17.3bn) - genuine reported condition, flagged for cautious interpretation of Leverage/Tobin's Q/ROA.</t>
  </si>
  <si>
    <t>REDSTAREX</t>
  </si>
  <si>
    <t>Red Star Express Plc</t>
  </si>
  <si>
    <t>14-Nov-2007</t>
  </si>
  <si>
    <t>Red Star Express Plc - FedEx's Nigerian partner, incorporated as a private company 10-Jul-1992, converted to a public company Jul-2007 and NGX-listed 14-Nov-2007. Auditor KPMG Professional Services (Big4), assumed continuous across FY2021-2025. NON-STANDARD FISCAL YEAR END (1-April to 31-March, not 31-December). FYE-labelled year mapped directly to study Year for Total_Liabilities/Total_Assets/Net_Income per the established FYE-mapping convention. Study Year 2021 (FYE 31-Mar-2021) TL/TA/NI are DATA GAP - stockanalysis.com's free tier only provides data back to FY2022 (period ending 31-Mar-2022), the FY2021 column is Pro-locked/unavailable; Shares_Outstanding for 2021 filled as 954.42m (assumed constant, matching every other year in the window, MEDIUM confidence). Share_Price_YearEnd uses the nearest-PRECEDING-Dec-31 convention: Study Year 2021 required a LOW-MEDIUM fallback to Dec-2021 (true nearest-preceding Dec-2020 unavailable); Study Years 2022-2025 use the genuine nearest-preceding Dec-31 market cap (Dec-2021 through Dec-2024 respectively), MEDIUM confidence. Strong consistent revenue/profit growth across the window.</t>
  </si>
  <si>
    <t>REGALINS</t>
  </si>
  <si>
    <t>Regency Alliance Insurance Plc</t>
  </si>
  <si>
    <t>27-May-2008</t>
  </si>
  <si>
    <t>Brief suspension 1-8 Sep 2025 for late 2024 AFS, resolved within a week - not currently flagged</t>
  </si>
  <si>
    <t>Regency Alliance Insurance Plc - incorporated 16-Jun-1993 (RC223946), NGX-listed 27-May-2008. Auditor name could not be confirmed after multiple search attempts (NGX-doclib filings reference audit review processes but the signing firm was not surfaced in accessible excerpts) - documented as a LOW-confidence unresolved gap per the MCNICHOLS precedent, Big4_Auditor defaulted to 0. Consistent profitability with a strong FY2023-2024 spike before a FY2025 pullback; FY2025 share count increased slightly (16,005m-&gt;16,024m).</t>
  </si>
  <si>
    <t>RONCHESS</t>
  </si>
  <si>
    <t>Ronchess Global Resources Plc</t>
  </si>
  <si>
    <t>2021</t>
  </si>
  <si>
    <t>Shelze Professional Services</t>
  </si>
  <si>
    <t>Ronchess Global Resources Plc - construction/traffic-solutions/real-estate conglomerate, founded 2008, converted to a public company and NGX-listed in 2021 (exact date not confirmed - MEDIUM confidence on year only). Auditor Shelze Professional Services (non-Big4). EXTREMELY THIN TRADING/DATA COVERAGE: stockanalysis.com (S&amp;P Global Market Intelligence) provides NO balance sheet or income statement coverage for this ticker (both pages return empty), and only 1.46m of the firm's 91.00m shares outstanding are free-floating (98.40% insider-owned per the Statistics page) - consistent with essentially no genuine secondary-market trading. The firm's own 'market-cap-history' table shows an IDENTICAL N7.37bn figure for every year-end from 2021 through 2025 (91.00m shares x the current N81.00 price applied retroactively), which is not a real historical price series but a static placeholder - therefore NOT used for Share_Price_YearEnd. Total_Liabilities/Total_Assets/Net_Income for ALL FIVE study years (2021-2025) are DATA GAP - not available via any accessible source within the time available for this batch (full audited PDF financial statements exist on NGX-doclib but were not fully extractable); Shares_Outstanding (91.00m, current figure, assumed applicable across the window) is filled as MEDIUM-LOW confidence, Share_Price_YearEnd left blank given the static/non-market-clearing nature of the only available price series.</t>
  </si>
  <si>
    <t>ROYALEX</t>
  </si>
  <si>
    <t>Royal Exchange Plc</t>
  </si>
  <si>
    <t>Deloitte &amp; Touche (FY2021-2022); Grant Thornton Nigeria (FY2023-2025)</t>
  </si>
  <si>
    <t>Royal Exchange Plc - incorporated as Royal Exchange Assurance (Nigeria) Plc, a private company, 29-Dec-1969, converted to a public company 15-Jul-1989, NGX-listed 3-Dec-1990. AUDITOR TRANSITION WITHIN THE STUDY WINDOW: Deloitte &amp; Touche (Big4) confirmed for the FY2021 financial statements, Grant Thornton Nigeria (non-Big4) confirmed for the FY2023 financial statements - exact transition year between FY2022-FY2023 not independently confirmed, FY2022 assumed to still be Deloitte (MEDIUM confidence assumption); each row's Notes/Big4_Auditor reflects this per the established multi-year-auditor convention. Large FY2021 net loss (-N1.70bn, including a discontinued-operations charge of -N1.68bn) followed by continued losses through FY2023, then a strong recovery to profitability FY2024-2025; share count increased in FY2024 (5,145m-&gt;7,738m) and again FY2025 (-&gt;8,267m) from capital raises.</t>
  </si>
  <si>
    <t>RTBRISCOE</t>
  </si>
  <si>
    <t>R.T. Briscoe Nigeria Plc</t>
  </si>
  <si>
    <t>15-Mar-1974</t>
  </si>
  <si>
    <t>Auditor unresolved pre-2023 (LOW confidence); Crowe Dafinone (FY2023-2025)</t>
  </si>
  <si>
    <t>R.T. Briscoe (Nigeria) Plc - authorised Toyota dealer, incorporated 9-Mar-1957, converted to a public company 1973, NGX-listed 15-Mar-1974. AUDITOR TRANSITION: Crowe Dafinone (non-Big4) appointed by shareholder resolution at the 26-Sep-2023 AGM; prior auditor (FY2021-2022) unresolved after search attempts, documented as a LOW-confidence gap (Big4_Auditor defaulted to 0) per the MCNICHOLS precedent, FY2023-2025 assigned to Crowe Dafinone (non-Big4). PERSISTENTLY NEGATIVE Shareholders' Equity throughout the entire study window (-N8.11bn in FY2021, narrowing to -N5.66bn by FY2025) - genuine reported multi-year financial distress despite a strong revenue/profit recovery from FY2024 onward - flagged for cautious interpretation of Leverage/Tobin's Q/ROA in later analysis chapters. Constant 1,176m shares outstanding across the window.</t>
  </si>
  <si>
    <t>SCOA</t>
  </si>
  <si>
    <t>SCOA Nigeria Plc</t>
  </si>
  <si>
    <t>1977-01-01</t>
  </si>
  <si>
    <t>BBC Professionals Chartered Accountants</t>
  </si>
  <si>
    <t>SCOA Nigeria Plc - Nigerian corporate entity incorporated Jun-1969 (RC 6293), NGX-listed 1977; note the SCOA trading-house lineage in Nigeria traces back to 1926 (Societe Commerciale de l'Ouest Africain) but the Nigerian Plc registration used for NGX filings dates to 1969. Auditor: BBC Professionals Chartered Accountants (non-Big4), confirmed via NGX doclib FY2023 filing, assumed continuous FY2021-2025.</t>
  </si>
  <si>
    <t>SEPLAT</t>
  </si>
  <si>
    <t>Seplat Energy Plc</t>
  </si>
  <si>
    <t>2014-04-14</t>
  </si>
  <si>
    <t>Seplat Energy Plc - DUAL-CURRENCY-REPORTING SPECIAL CASE (new convention this batch): Seplat's audited financial statements (Balance Sheet, Income Statement) are reported in USD millions, while its NGX equity trades and is quoted in NGN. Total_Liabilities/Total_Assets/Net_Income were converted from USD millions to NGN'000 using approximate CBN/NFEM year-end closing USD/NGN rates sourced via WebSearch (NOT independently cross-verified against CBN's official archive - MEDIUM confidence): Dec-31-2021 ~413.29, Dec-31-2022 ~461.50, Dec-31-2023 ~899.39, Dec-31-2024 ~1,535.00, Dec-31-2025 ~1,450.30. Formula: USD_millions x FX_rate x 1,000 = NGN'000. Share_Price_YearEnd uses the NGX's own NGN-denominated closing price directly (no conversion needed) for FY2025 (N5,809.00, directly confirmed); FY2021-2024 prices derived from stockanalysis.com's NGN market-cap history divided by shares outstanding. FY2025 Net_Income is a DATA GAP: only pre-tax profit ($497.8M) was confirmed via multiple sources (Nairametrics FY2025 audited-results coverage, Feb-2026); the audited post-tax net income attributable to shareholders could not be reliably confirmed and was not estimated. AUDITOR GAP CLOSED: PricewaterhouseCoopers (PwC, Big4) confirmed as auditor for FY2021 and FY2022 audited results releases, and re-appointed continuing through the 13th AGM (covering FY2024/2025) - applied as Big4_Auditor=1 for the full FY2021-2025 study window.</t>
  </si>
  <si>
    <t>SFSREIT</t>
  </si>
  <si>
    <t>SFS Real Estate Investment Trust</t>
  </si>
  <si>
    <t>2008-02-28</t>
  </si>
  <si>
    <t>Dele Olufon &amp; Co. (as of FY2020 statements; unconfirmed FY2021-2025)</t>
  </si>
  <si>
    <t>SFS Real Estate Investment Trust - NON-STANDARD ENTITY (REIT convention, per the MOFIREIF/NIDF/NREIT precedent): Shares_Outstanding = Units in Issue (constant 20 million units across FY2021-2025); Share_Price_YearEnd = derived from stockanalysis.com's NGN market-cap history divided by 20m units (MEDIUM confidence proxy for NAV/unit trading price). IPO of 20 million units at N100 each on 23-Jul-2007; NGX-listed 28-Feb-2008. Auditor Dele Olufon &amp; Co. confirmed only as of FY2020 statements (non-Big4); assumed continuous through FY2021-2025 but unconfirmed for those specific years (MEDIUM-LOW confidence). Strong steady revenue/NI growth throughout the study window. | EXCLUDED FROM 'Final Sample' (stricter, 17-Aug-2026), ALL 5 YEARS: Condition 5 (Section 3.6): closed-end REIT/investment fund.</t>
  </si>
  <si>
    <t>SKYAVN</t>
  </si>
  <si>
    <t>Skyway Aviation Handling Company Plc</t>
  </si>
  <si>
    <t>2019-04-24</t>
  </si>
  <si>
    <t>Gbenga Badejo &amp; Co. (non-Big4, FY2021-2025); succeeded by Deloitte Nigeria from 16th AGM 19-Jun-2026 (POST-STUDY-WINDOW, informational only)</t>
  </si>
  <si>
    <t>Skyway Aviation Handling Company Plc (SAHCO) - incorporated Apr-2009 (originally Skypower Aviation Handling Company Limited), NGX-listed 24-Apr-2019. AUDITOR NOTE: Deloitte Nigeria was appointed the company's new external auditor at the 16th AGM (19-Jun-2026), succeeding Gbenga Badejo &amp; Co. - this transition falls AFTER the FY2021-2025 study window, so Gbenga Badejo &amp; Co. (non-Big4) is applied for all five study years, Big4_Auditor=0. Strong consistent growth throughout, aviation-handling sector, constant 1,354m shares.</t>
  </si>
  <si>
    <t>SOVRENINS</t>
  </si>
  <si>
    <t>Sovereign Trust Insurance Plc</t>
  </si>
  <si>
    <t>2006-11-29</t>
  </si>
  <si>
    <t>Sovereign Trust Insurance Plc - incorporated 1980 (formerly Grand Union Assurances Ltd, renamed Jan-1995), NGX-listed 29-Nov-2006. AUDITOR GAP CLOSED: PKF Professional Services (non-Big4) confirmed via FY2022, FY2023, and FY2025 NGX doclib filings referencing PKF continuously as statutory auditor - applied as Big4_Auditor=0 (non-Big4, MEDIUM confidence) for the full FY2021-2025 study window. Share count increased 8,593m-&gt;14,228m in FY2023 (65.58% growth, capital raise); consistent profitability throughout with an FX-related dip in FY2025 net income despite continued premium growth.</t>
  </si>
  <si>
    <t>STACO</t>
  </si>
  <si>
    <t>Staco Insurance Plc</t>
  </si>
  <si>
    <t>2007-07-25</t>
  </si>
  <si>
    <t>UNRESOLVED for study window (PKF Professional Services confirmed only as of FY2020)</t>
  </si>
  <si>
    <t>Delisting watchlist (3yr, from Feb-2025); missing audited FS 2020-2024</t>
  </si>
  <si>
    <t>Staco Insurance Plc - incorporated 1991 (formerly Standard Trust Assurance Plc, renamed Oct-2006). NGX-listed 25-Jul-2007 (LISTING DATE GAP CLOSED this pass). COMPREHENSIVE DATA GAP for FY2021-2025: stockanalysis.com has NO balance-sheet/income-statement coverage beyond FY2019 for this ticker (last reported financials: FY2019, showing persistently negative Shareholders' Equity), and its 'market cap history' for Dec-2021 through Dec-2025 is a flat, unchanging N4.48bn figure (= current 0.48 price x 9,341m shares, applied retroactively) - i.e. a static price artifact, NOT genuine historical trading data, consistent with the RONCHESS precedent. Total_Liabilities/Total_Assets/Net_Income and Share_Price_YearEnd are therefore DATA GAP across all five study years; Shares_Outstanding (9,341m, last confirmed FY2019) filled as MEDIUM-LOW confidence constant proxy. Auditor remains UNRESOLVED for the FY2021-2025 study window despite further search - PKF Professional Services' address appears in a 2018 STACO filing but this does not confirm an ongoing engagement, and independent reporting confirms STACO's FY2019-2023 audited financial statements were still outstanding as of Dec-2024 (corroborating the comprehensive DATA GAP applied to this firm). LOW confidence, Big4_Auditor=0 retained per the MCNICHOLS precedent. | EXCLUDED FROM 'Final Sample' (stricter, 17-Aug-2026), ALL 5 YEARS: Condition 5 (Section 3.6): NGX compliance status 'DWL' not among retained exceptions (BLS/MRF/RST).</t>
  </si>
  <si>
    <t>STANBIC</t>
  </si>
  <si>
    <t>Stanbic IBTC Holdings Plc</t>
  </si>
  <si>
    <t>2012-11-23</t>
  </si>
  <si>
    <t>Stanbic IBTC Holdings Plc - current HoldCo entity incorporated 14-Mar-2012, NGX-listed 23-Nov-2012 (a 2012 HoldCo restructuring of the pre-existing Stanbic IBTC Bank, itself formed from the 2007 merger of Stanbic Bank Nigeria and IBTC Chartered Bank; stockanalysis's continuous market-cap history traces back further, 'since Apr-26-2005', reflecting the predecessor entity's original listing - not used here, current HoldCo's own dates applied instead). Auditor PricewaterhouseCoopers (Big4) confirmed throughout FY2021-2025 study window; PwC announced retirement as auditor effective the May-2026 AGM (POST-STUDY-WINDOW, informational only). Tier-1 bank with strong consistent growth; share count increased 12,957m-&gt;15,902m in FY2025 (capital raise).</t>
  </si>
  <si>
    <t>STERLINGNG</t>
  </si>
  <si>
    <t>Sterling Financial Holdings Company Plc</t>
  </si>
  <si>
    <t>2023-04-06</t>
  </si>
  <si>
    <t>Sterling Financial Holdings Company Plc - HOLDCO-RESTRUCTURING SPECIAL CASE: current legal entity incorporated 13-Oct-2021 (private), re-registered public 16-Nov-2022, NGX-listed 6-Apr-2023 via scheme of arrangement. Continuous trading history (per stockanalysis market-cap chart) actually traces back to 29-Nov-2006 as Sterling Bank Plc, the predecessor bank formed from the 2006 CBN-consolidation merger of five banks (NAL Bank, Magnum Trust Bank, NBM Bank, Trust Bank of Africa, Indo-Nigeria Bank), with NAL Bank's own heritage reportedly dating to 1960 - the current HoldCo's own verified incorporation/listing dates are used here rather than the predecessor's, for consistency with how this thesis treats legal-entity identity elsewhere. Auditor Deloitte &amp; Touche (Big4) confirmed. Strong consistent growth; share count increased significantly in FY2024-2025 (28,790m-&gt;45,457m-&gt;54,690m, capital raises).</t>
  </si>
  <si>
    <t>SUNUASSUR</t>
  </si>
  <si>
    <t>Sunu Assurances Nigeria Plc</t>
  </si>
  <si>
    <t>Free-float deficient only (13.22%%, due Nov-2026) - no audited FS filing gap</t>
  </si>
  <si>
    <t>Sunu Assurances Nigeria Plc - incorporated 13-Dec-1984 (formerly Equity Assurance Plc). NGX listing date unconfirmed via available sources (left blank rather than estimated). AUDITOR GAP CLOSED: SIAO Partners (Chartered Accountants, non-Big4) confirmed via NGX doclib FY2025 filing (willingness to continue per Sec 4.1 CAMA) and independently cross-verified via web search - applied as Big4_Auditor=0, MEDIUM-HIGH confidence, for the full FY2021-2025 study window. Strong revenue growth throughout; a pronounced FY2024 market-cap spike (877% YoY) followed by a FY2025 pullback (-48.84%) is genuine reported market data, not a data artifact.</t>
  </si>
  <si>
    <t>TANTALIZER</t>
  </si>
  <si>
    <t>Tantalizers Plc</t>
  </si>
  <si>
    <t>2008-06-23</t>
  </si>
  <si>
    <t>Abiodun Aina &amp; Co</t>
  </si>
  <si>
    <t>Tantalizers Plc - incorporated 1997, NGX-listed 23-Jun-2008. AUDITOR GAP CLOSED: Abiodun Aina &amp; Co (Chartered Accountants, non-Big4) confirmed via africanfinancials 2025 annual report filing and independently cross-verified (also appears in 2017/2022 annual reports as continuing auditor) - applied as Big4_Auditor=0, MEDIUM-HIGH confidence, for the full FY2021-2025 study window. Persistently negative operating income and net losses FY2021-2024, returning to a small profit in FY2025; share count increased 3,212m-&gt;5,000m in FY2024. Dec-2021 and Dec-2022 market-cap figures are identical (N642.33M both years, 0% YoY change reported), indicating a frozen/stale price during a thinly-traded period - Share_Price_YearEnd for those two years is flagged LOW-MEDIUM confidence.</t>
  </si>
  <si>
    <t>THOMASWY</t>
  </si>
  <si>
    <t>Thomas Wyatt Nigeria Plc</t>
  </si>
  <si>
    <t>1978-10-26</t>
  </si>
  <si>
    <t>Restructuring status; missing audited FS 2025 (FYE March); SUSPENDED from trading since 31-Oct-2025</t>
  </si>
  <si>
    <t>Thomas Wyatt Nigeria Plc - incorporated 1948, NGX-listed 26-Oct-1978. NON-STANDARD FISCAL YEAR END (1-Apr to 31-Mar): FYE-labelled year mapped directly to study Year for TL/TA/NI per the established FYE-mapping convention (e.g. Study Year 2022 = FY2022, period ending 31-Mar-2022). Study Year 2021 (FY2021, period ending 31-Mar-2021) is a DATA GAP - stockanalysis's free-tier coverage only extends back to FY2022. Share_Price_YearEnd uses the nearest-preceding-Dec-31 convention (e.g. Study Year 2022 uses the Dec-31-2021 market-cap point). NGX suspended THOMASWY's shares effective 11-Feb-2025 for failure to file audited financial statements within the required timeframe; the company subsequently filed and FY2025/FY2026 data is present in stockanalysis's coverage, so no additional DATA GAP was required for the study window beyond the pre-existing 2021 gap - noted here for transparency. AUDITOR GAP CLOSED: Nexia Agbo Abel &amp; Co (Chartered Accountants, non-Big4, member of the Nexia International network) confirmed via NGX doclib FY2024 filing - applied as Big4_Auditor=0, MEDIUM confidence (primary-source NGX filing; independent web cross-check could not further corroborate the specific engagement but the firm itself is independently verified as a legitimate, active Nigerian audit practice), for the full FY2021-2025 study window. Persistently near break-even/loss-making paper-products manufacturer with thin trading volumes. | EXCLUDED FROM 'Final Sample' (stricter, 17-Aug-2026), ALL 5 YEARS: Condition 5 (Section 3.6): NGX compliance status 'MRS' not among retained exceptions (BLS/MRF/RST).</t>
  </si>
  <si>
    <t>TIP</t>
  </si>
  <si>
    <t>The Initiates Plc</t>
  </si>
  <si>
    <t>2016-10-25</t>
  </si>
  <si>
    <t>Madu, Onyekwena &amp; Co.</t>
  </si>
  <si>
    <t>The Initiates Plc - incorporated 1995, converted to public company 24-Jun-2015, NGX-listed 25-Oct-2016. First waste-management company listed on NGX; Industrial Cleaning Services / Waste Management Services (inc. e-waste). Auditor Madu, Onyekwena &amp; Co. (Chartered Accountants, non-Big4) confirmed via NGX doclib FY2022/FY2024/FY2025 audited-account filings. Explosive revenue and profit growth throughout the study window (revenue 333.9m-&gt;11,699m, net income turned from a loss in FY2021/22 to N3.39bn profit by FY2025); market cap grew from ~N329m (Dec-2021) to ~N24bn (Aug-2026), a &gt;70x increase.</t>
  </si>
  <si>
    <t>TOTAL</t>
  </si>
  <si>
    <t>TotalEnergies Marketing Nigeria Plc</t>
  </si>
  <si>
    <t>1979-01-01</t>
  </si>
  <si>
    <t>TotalEnergies Marketing Nigeria Plc - incorporated 1-Jun-1956, NGX-listed 1979 (exact day/month unconfirmed, Jan-1 placeholder used). Auditor PricewaterhouseCoopers (Big4) confirmed. Large, well-covered downstream petroleum marketer; revenue grew strongly through FY2024 (N1.04trn) before falling back in FY2025 (N767.6bn) alongside a swing to a FY2025 net loss (-N13.85bn) driven by margin compression - genuine reported results, not a data artifact. FY2025 Share_Price_YearEnd (640.00) independently cross-checks against the live quoted price as of this fetch, corroborating the market-cap-derived calculation methodology.</t>
  </si>
  <si>
    <t>TRANSCOHOT</t>
  </si>
  <si>
    <t>Transcorp Hotels Plc</t>
  </si>
  <si>
    <t>2015-01-15</t>
  </si>
  <si>
    <t>Transcorp Hotels Plc - incorporated 12-Jul-1994, NGX-listed 15-Jan-2015 (IPO). Auditor Deloitte &amp; Touche (Big4) confirmed ('served four years, willing to continue' per AGM language). Part of the Transcorp Group (see also TRANSCORP, TRANSPOWER, same auditor pattern). Very strong sustained growth throughout the study window: revenue 21,418m-&gt;97,038m, net income 1,144m-&gt;21,871m; market cap grew from ~N55bn (Dec-2021) to ~N2.48trn (Aug-2026), driven substantially by a large FY2023 re-rating (+1,023% market cap growth that year).</t>
  </si>
  <si>
    <t>TRANSCORP</t>
  </si>
  <si>
    <t>Transnational Corporation of Nigeria Plc</t>
  </si>
  <si>
    <t>2006-12-01</t>
  </si>
  <si>
    <t>Transnational Corporation of Nigeria Plc - incorporated 16-Nov-2004, NGX-listed Dec-2006 (exact day unconfirmed, 1-Dec placeholder used). Auditor Deloitte &amp; Touche (Big4) confirmed (same continuing-auditor language and timing as TRANSCOHOT, consistent with both being Transcorp Group entities). NOTE: Common Stock par-value reclassified from 20,324m to 5,081m between FY2023 and FY2024, but this is a capital-structure reclassification only - Total Common Shares Outstanding remained constant at 10,162m throughout FY2021-2025, so Shares_Outstanding and Market_Value_Equity are unaffected. Parent holding company with Power, Hospitality, and Corporate Centre segments; strong consistent growth, revenue 111,219m-&gt;544,141m, net income 13,964m-&gt;85,789m.</t>
  </si>
  <si>
    <t>TRANSEXPR</t>
  </si>
  <si>
    <t>Trans-Nationwide Express Plc</t>
  </si>
  <si>
    <t>1993-09-14</t>
  </si>
  <si>
    <t>Trans-Nationwide Express Plc - incorporated 28-Mar-1984 as TNT Skypak Nigeria Limited (private), renamed Trans-Nationwide Express Plc and re-registered public 6-Sep-1992, NGX-listed 14-Sep-1993. Auditor Baker Tilly Nigeria (non-Big4) confirmed via 33rd AGM (3-Jun-2026) reappointment resolution reported by Investors King. Small, thinly-traded logistics/courier company with declining revenue (678.5m-&gt;196.8m FY2021-2025) and persistent losses in most years (net losses in FY2021, FY2024, FY2025); shareholders' equity fell close to zero by FY2025 (N38.35m) after cumulative retained-earnings erosion, flagged for interpretation caution in leverage/ROA calculations.</t>
  </si>
  <si>
    <t>TRANSPOWER</t>
  </si>
  <si>
    <t>Transcorp Power Plc</t>
  </si>
  <si>
    <t>2024-03-04</t>
  </si>
  <si>
    <t>Transcorp Power Plc - incorporated 24-Sep-2012 as Transcorp Ughelli Power Limited (private generation company), renamed Transcorp Power Plc Jan-2024, NGX-listed 4-Mar-2024 via Listing by Introduction (7.5bn shares admitted at N240/share). Auditor Deloitte &amp; Touche (Big4) confirmed (part of the Transcorp Group, same auditor as TRANSCOHOT/TRANSCORP). PRE-LISTING DATA GAP: as a private company before Mar-2024, no publicly-reported audited financials are available for FY2021, and no market price exists for FY2021-2023 (DATA GAP for Share_Price_YearEnd in those three years). A major share reclassification occurred between FY2022 and FY2023 (79.15m -&gt; 7,500m shares, ~94.75x), part of pre-listing restructuring - flagged so this is not mistaken for a dilution event when interpreting Shares_Outstanding/MVE trends.</t>
  </si>
  <si>
    <t>TRIPPLEG</t>
  </si>
  <si>
    <t>Trippleg / Triple Gee &amp; Co Plc</t>
  </si>
  <si>
    <t>1991-01-01</t>
  </si>
  <si>
    <t>UNRESOLVED</t>
  </si>
  <si>
    <t>Tripple Gee &amp; Company Plc - incorporated Apr-1980 (private), NGX-listed 1991 (exact day/month unconfirmed, 1-Jan placeholder used). Manufactures/prints security documents, labels and packaging. NON-STANDARD FISCAL YEAR END (1-Apr to 31-Mar): FYE-mapping convention applied. Auditor UNRESOLVED despite multiple search attempts (LOW confidence, Big4_Auditor=0 per the MCNICHOLS precedent). Deep financial distress emerging in FY2025 (period ending Mar-2025): a large net loss (-N1,385m) driven by a spike in interest expense, pushing Shareholders' Equity negative (-N588m) - genuine reported deterioration, not a data artifact.</t>
  </si>
  <si>
    <t>UACN</t>
  </si>
  <si>
    <t>UAC of Nigeria Plc</t>
  </si>
  <si>
    <t>UAC of Nigeria Plc - incorporated 22-Apr-1931, one of Nigeria's oldest conglomerates (Edibles &amp; Feed, Paints, Packaged Food &amp; Beverages, QSR segments). NGX listing date unconfirmed via available sources (left blank rather than estimated; UACN is a long-listed blue-chip predating most available NGX listing records). Auditor KPMG Professional Services (Big4) confirmed. Strong turnaround from a FY2022 net loss (-N3,079m) to consistent profitability FY2023-2025, with a large FY2025 balance-sheet expansion (Total Assets 157,726m-&gt;597,058m) driven substantially by a major FY2025 capital raise/debt increase (Long-Term Debt 10,322m-&gt;159,584m).</t>
  </si>
  <si>
    <t>UBA</t>
  </si>
  <si>
    <t>United Bank for Africa Plc</t>
  </si>
  <si>
    <t>1970-01-01</t>
  </si>
  <si>
    <t>United Bank for Africa Plc - incorporated 23-Feb-1961, NGX-listed 1970 (exact day/month unconfirmed, 1-Jan placeholder used) - the first Nigerian bank to undertake an IPO. Auditor Ernst &amp; Young (Big4) confirmed for FY2024/2025 audited results; applied across the full study window as the well-established continuing auditor. Tier-1 pan-African bank with very strong sustained growth (Total Assets 8.5trn-&gt;33.2trn FY2021-2025); a major FY2025 capital raise increased Shares_Outstanding from 34,199m to 44,196m.</t>
  </si>
  <si>
    <t>UCAP</t>
  </si>
  <si>
    <t>United Capital Plc</t>
  </si>
  <si>
    <t>2013-01-17</t>
  </si>
  <si>
    <t>United Capital Plc - incorporated 3-Aug-2012, NGX-listed 17-Jan-2013 (the first Investment Bank in Nigeria to list on the NGX). Auditor PricewaterhouseCoopers (Big4) confirmed. Investment banking/asset management group with very strong sustained growth throughout the study window (Total Assets 453,598m-&gt;1,761,337m, Net Income 11,259m-&gt;28,147m); Shares_Outstanding constant at 18,000m throughout.</t>
  </si>
  <si>
    <t>UHOMREIT</t>
  </si>
  <si>
    <t>Union Homes REIT</t>
  </si>
  <si>
    <t>2008-02-05</t>
  </si>
  <si>
    <t>UH Real Estate Investment Trust (formerly Union Homes REIT) - NGX-listed 5-Feb-2008, commenced full operations Feb-2009 with an initial net asset base of ~N12.876bn; Year_Incorporation left blank (unconfirmed - REIT establishment date distinct from listing date, not independently verified). Managed by SFS Capital Nigeria Limited. Auditor UNRESOLVED despite multiple search attempts (LOW confidence, Big4_Auditor=0 per the MCNICHOLS precedent). REIT convention: Shares_Outstanding = Units in Issue (188.13m, constant); genuine market cap/unit-price data exists (not a NAV proxy) but is flat/static across Dec-2021 through Dec-2024 (all four years identically N6.89bn, consistent with thin secondary-market trading typical of Nigerian REITs) before a real FY2025 jump to N9.75bn - flagged MEDIUM-LOW confidence for the four static years. FY2025 Net_Income shows an unusually large spike (N18,218m vs ~N1,045m in FY2024) driven by a one-off N16,446m 'Asset Writedown' reversal / unusual gain per the income statement - genuine reported figure, flagged here for interpretation caution given its outlier scale relative to the REIT's typical rental-income profile. | EXCLUDED FROM 'Final Sample' (stricter, 17-Aug-2026), ALL 5 YEARS: Condition 5 (Section 3.6): closed-end REIT/investment fund.</t>
  </si>
  <si>
    <t>UNILEVER</t>
  </si>
  <si>
    <t>Unilever Nigeria Plc</t>
  </si>
  <si>
    <t>1973-04-01</t>
  </si>
  <si>
    <t>Unilever Nigeria Plc - incorporated 1923, NGX-listed 1-Apr-1973. Auditor: Forvis Mazars newly appointed as Independent Auditor per the company's 2024 annual report (confirmed current as of the FY2025 financial statements); the identity of the predecessor auditor for FY2021-2023 could not be independently confirmed via available search results, so Forvis Mazars is applied across the full study window as the best-available single Firm-Master auditor entry, with this change flagged here for transparency (non-Big4; Big4_Auditor=0 for the full window, though the true FY2021-2023 auditor may have differed). Major FMCG company with strong accelerating growth, especially FY2024-2025 (Net Income 8,440m-&gt;15,143m-&gt;32,199m); market cap roughly quintupled from FY2023 to FY2025.</t>
  </si>
  <si>
    <t>UNIONDICON</t>
  </si>
  <si>
    <t>Union Dicon Salt Plc</t>
  </si>
  <si>
    <t>Felix Akinyeye &amp; Co.</t>
  </si>
  <si>
    <t>Delisting watchlist (2yr, from Nov-2024)</t>
  </si>
  <si>
    <t>Union Dicon Salt Plc - incorporated 1984, Date_Listed_NGX unconfirmed (left blank, DATA GAP). Auditor Felix Akinyeye &amp; Co. (Chartered Accountants, non-Big4) confirmed via FY2024 audited accounts. Salt-processing company (also cassava/starch) with PERSISTENT NEGATIVE SHAREHOLDERS' EQUITY throughout the study window (-1,374m to -1,428m), on the NGX Delisting Watchlist per a Mar-2026 Nairametrics article - flagged for leverage/going-concern interpretation caution. Revenue not separately disclosed by the data source for FY2021-2024 (recorded '-'), though Net_Income is available for all years from the income statement. | EXCLUDED FROM 'Final Sample' (stricter, 17-Aug-2026), ALL 5 YEARS: Condition 5 (Section 3.6): NGX compliance status 'DWL' not among retained exceptions (BLS/MRF/RST).</t>
  </si>
  <si>
    <t>UNITYBNK</t>
  </si>
  <si>
    <t>Unity Bank Plc</t>
  </si>
  <si>
    <t>Missing audited FS 2024 only</t>
  </si>
  <si>
    <t>Unity Bank Plc - incorporated 27-Apr-1987 as Intercity Bank Limited (one of the pre-2005 predecessor banks), renamed Unity Bank Plc 30-Dec-2005 following the CBN-driven consolidation merger of nine banks (same continuous legal entity, not a HoldCo restructuring). Date_Listed_NGX unconfirmed (left blank, DATA GAP). Auditor KPMG Professional Services (Big4) confirmed. FY2025 is a COMPREHENSIVE DATA GAP: the data source's balance sheet/income statement tables terminate at FY2024 with no FY2025 column, and Unity Bank shareholders approved a merger with Providus Bank in Sep-2025 (99.32% approval), under which Unity Bank's shares will be cancelled and delisted from NGX upon completion, its capital base absorbed into the enlarged 'Providus-Unity Bank' entity - this corporate event plausibly explains both the missing standalone FY2025 financials and the market cap being frozen identically at N17.65bn for both Dec-2024 and Dec-2025 (trading effectively static pending merger close). TA/TL/NI/Shares_Outstanding/Share_Price_YearEnd for FY2025 left blank rather than estimated. FY2021-2024: severe, worsening financial distress - persistent deeply negative shareholders' equity (-N275bn to -N447bn) driven by legacy non-performing loans, with net losses accelerating in FY2023 (-N62.6bn) and FY2024 (-N114.9bn) - genuine reported results, not a data artifact; this financial distress is the backdrop for the CBN-supported Providus merger.</t>
  </si>
  <si>
    <t>UNIVINSURE</t>
  </si>
  <si>
    <t>Universal Insurance Plc</t>
  </si>
  <si>
    <t>2009-02-11</t>
  </si>
  <si>
    <t>IKEJI &amp; CO</t>
  </si>
  <si>
    <t>Brief suspension 1-3 Sep 2025, resolved within days - not currently flagged</t>
  </si>
  <si>
    <t>Universal Insurance Plc - incorporated 1961, NGX-listed 11-Feb-2009. AUDITOR TRANSITION: Ukwuegbu, Ogbeleje &amp; Co. (non-Big4) audited through at least FY2023; IKEJI &amp; CO (Chartered Accountants, non-Big4) audited the FY2025 consolidated and separate financial statements. IKEJI &amp; CO applied across the study window as the best-available single Firm Master entry (current auditor) since the exact FY2024 transition point could not be independently confirmed - flagged, MEDIUM confidence on auditor field pre-2025, Big4=0 throughout either way (both firms non-Big4, so Big4_Auditor status is unaffected by the ambiguity). Small general-insurance underwriter; strong accelerating growth throughout, especially FY2024-2025 (net income 151m-&gt;4,495m); Dec-2021 and Dec-2022 market cap both static at N3.20bn (thin secondary trading in early years, MEDIUM-LOW confidence those two years) before genuine re-rating from FY2023 onward.</t>
  </si>
  <si>
    <t>UPDC</t>
  </si>
  <si>
    <t>UPDC Plc</t>
  </si>
  <si>
    <t>1998-01-01</t>
  </si>
  <si>
    <t>Free-float deficient only (4.89%%, due Feb-2026) - no audited FS filing gap</t>
  </si>
  <si>
    <t>UPDC Plc (formerly UACN Property Development Company) - incorporated 1997, NGX-listed 1998 (exact day/month unconfirmed, Jan-1 placeholder used). Auditor UNRESOLVED despite extensive search - multiple annual-report and doclib sources were checked but none clearly stated UPDC Plc's own external auditor (as distinct from its sponsored subsidiary UPDC REIT, which has a separately-confirmed auditor - see UPDCREIT). Per the MCNICHOLS precedent, Auditor = 'UNRESOLVED' and Big4_Auditor = 0, LOW confidence. Property/real-estate development company; turnaround from a FY2021 net loss (-N1.93bn) to sustained FY2022-2025 profitability, with a large FY2025 market-cap re-rating (+208% YoY).</t>
  </si>
  <si>
    <t>UPDCREIT</t>
  </si>
  <si>
    <t>UPDC Real Estate Investment Trust</t>
  </si>
  <si>
    <t>2014-01-24</t>
  </si>
  <si>
    <t>UPDC Real Estate Investment Trust - sponsored by UPDC Plc and established Jun-2013 (3,000,000,000 units issued at N10 each), NGX-listed 24-Jan-2014 per the earliest available market-cap history date. REIT CONVENTION APPLIED: Shares_Outstanding = 2,668m Units in Issue (constant throughout). AUDITOR TRANSITION: PricewaterhouseCoopers (Big4) audited the FY2023 financial statements; Forvis Mazars (non-Big4) audited the FY2025 annual report. Forvis Mazars applied across the study window as the best-available single Firm Master entry (most current auditor) since the exact transition point could not be independently confirmed - flagged, MEDIUM confidence on auditor field for years predating the confirmed Forvis Mazars appointment, Big4_Auditor = 0 throughout per this convention (consistent with the UNILEVER auditor-transition precedent). FY2021 shows a large net loss (-N4.48bn) driven by a -N5.09bn Asset Writedown (property revaluation), followed by strong, consistent FY2022-2025 growth in both rental income and asset value. | EXCLUDED FROM 'Final Sample' (stricter, 17-Aug-2026), ALL 5 YEARS: Condition 5 (Section 3.6): closed-end REIT/investment fund.</t>
  </si>
  <si>
    <t>UPL</t>
  </si>
  <si>
    <t>University Press Plc</t>
  </si>
  <si>
    <t>University Press Plc - incorporated 14-Aug-1978 (operating in Nigeria as a branch of Oxford University Press since 1949); Date_Listed_NGX unconfirmed (left blank, DATA GAP). Auditor PKF Professional Services (non-Big4) confirmed. NON-STANDARD FYE (Apr-Mar): the FYE-labelled year maps directly to the study Year column for TL/TA/NI, per the TRIPPLEG-precedent convention; FY2021 is a comprehensive DATA GAP (source data begins at FY2022, ending Mar-2022) - no financials or market price available for study Year 2021. Publishing/educational-materials company; volatile earnings with a FY2024 net loss (-N157.7m) amid otherwise growing revenue, followed by a strong FY2025 recovery.</t>
  </si>
  <si>
    <t>VERITASKAP</t>
  </si>
  <si>
    <t>Veritas Kapital Assurance Plc</t>
  </si>
  <si>
    <t>2009-12-17</t>
  </si>
  <si>
    <t>Veritas Kapital Assurance Plc - incorporated 1973 (private), NGX-listed 17-Dec-2009. Auditor Ernst &amp; Young (Big4) confirmed. General insurance underwriter; volatile earnings (large FY2024 net loss of -N1.22bn amid a -N5.65bn operating-income swing, followed by a strong FY2025 recovery to N3.73bn net income); substantial market-cap re-rating from FY2024 onward (268% growth that year).</t>
  </si>
  <si>
    <t>VFDGROUP</t>
  </si>
  <si>
    <t>VFD Group Plc</t>
  </si>
  <si>
    <t>INVESTMENT</t>
  </si>
  <si>
    <t>2023-10-06</t>
  </si>
  <si>
    <t>VFD Group Plc - originally incorporated as ViadazFD Limited in Jul-2009 (private), converted to a Public Company (name changed to VFD Group Plc) 28-Jan-2019, NGX-listed 6-Oct-2023 via Listing by Introduction. Auditor PricewaterhouseCoopers (Big4) confirmed. PRE-LISTING DATA GAP: the data source's financials begin only at FY2022 (no FY2021 column at all) and no market price exists before the Oct-2023 listing - FY2021 is a COMPREHENSIVE DATA GAP (TA/TL/NI/Shares_Outstanding/Share_Price_YearEnd all blank), and FY2022's Share_Price_YearEnd is also a DATA GAP (pre-listing, TA/TL/NI filled from available financials). A large share increase occurred between FY2023 and FY2024 (5,701m-&gt;7,601m, +33.3%), coinciding with the post-listing period - flagged so it is not mistaken for an error. Diversified financial holding group (banking, asset management); strong revenue growth throughout, FY2023 net loss (-N2.46bn) driven by heavy interest expense, followed by strong FY2024-2025 recovery.</t>
  </si>
  <si>
    <t>VITAFOAM</t>
  </si>
  <si>
    <t>Vitafoam Nigeria Plc</t>
  </si>
  <si>
    <t>1978-01-01</t>
  </si>
  <si>
    <t>Vitafoam Nigeria Plc - incorporated 4-Aug-1962, NGX-listed 1978 (exact day/month unconfirmed, Jan-1 placeholder used). Auditor PricewaterhouseCoopers (Big4) confirmed via the FY2024 audited financial statements (unqualified opinion, Engagement Partner Edafe Erhie, dated 23-Dec-2024). NON-STANDARD FYE (Oct-Sep): the FYE-labelled year maps directly to the study Year column for TL/TA/NI (all five years FY2021-FY2025 available from the source, no gap); Share_Price_YearEnd uses the NEAREST Dec-31 market-cap point, which for this Oct-Sep FYE falls only ~3 months AFTER fiscal year-end (e.g., FYE Sep-2021 -&gt; Dec-31-2021 price) rather than ~9 months before, since that is the closer/more representative point - a refinement of the TRIPPLEG nearest-Dec-31 convention for FYEs where the calendar year-end follows rather than precedes the fiscal year-end. Foam/mattress manufacturer; strong sustained growth with a temporary FY2024 profit-margin compression (net income fell to N359.7m amid a large -N12.72bn currency exchange loss) before a very strong FY2025 rebound (N13.51bn) and a major market-cap re-rating (+300% in 2025).</t>
  </si>
  <si>
    <t>WAPIC</t>
  </si>
  <si>
    <t>Coronation Insurance Plc (formerly Wapic Insurance Plc)</t>
  </si>
  <si>
    <t>1990-01-01</t>
  </si>
  <si>
    <t>Coronation Insurance Plc - incorporated 14-Mar-1958 as West African Provincial Insurance Company Limited (private), became a public limited liability company and NGX-listed in 1990 (exact day/month unconfirmed, Jan-1 placeholder used). The Company changed its name from Wapic Insurance Plc to Coronation Insurance Plc with effect from 12-Aug-2020 (shareholder approval at AGM, followed by new CAC certificate of incorporation and NAICOM re-registration; NGX implemented the name change per notice dated 3-Sep-2020); the NGX trading symbol remains WAPIC. Auditor Ernst &amp; Young (Big4) confirmed - sole external auditor since the FY2020 financial year. Composite life/non-life insurer with Nigeria and Ghana operations; volatile early-window losses (FY2021-2022) followed by very strong sustained growth and profitability from FY2023 onward, with a major market-cap re-rating (231% growth in FY2024 alone).</t>
  </si>
  <si>
    <t>WEMABANK</t>
  </si>
  <si>
    <t>Wema Bank Plc</t>
  </si>
  <si>
    <t>Wema Bank Plc - incorporated 1945 as Agbonmagbe Bank Limited (private), NGX-listed Jan-1990 (exact day unconfirmed, Jan-1 placeholder used). AUDITOR TRANSITION: Deloitte &amp; Touche served as auditor per the FY2020 financial statements; KPMG Professional Services Chartered Accountants serve as the Independent Auditors per more recent (2025) filings. KPMG Professional Services applied across the study window as the best-available single Firm Master entry (current auditor) since the exact transition point could not be independently confirmed - flagged, MEDIUM confidence on auditor field for earlier years, Big4=1 unaffected either way (both firms Big4). Commercial bank; very strong sustained growth throughout, with major capital-raising activity reflected in a sharp share-count increase (12,858m-&gt;21,430m FY2023-&gt;FY2024, then -&gt;40,119m FY2025, consistent with CBN recapitalization-driven rights issues, not a data error) alongside a major market-cap re-rating (820% cumulative growth FY2023-2025).</t>
  </si>
  <si>
    <t>ZENITHBANK</t>
  </si>
  <si>
    <t>Zenith Bank Plc</t>
  </si>
  <si>
    <t>2004-10-21</t>
  </si>
  <si>
    <t>Zenith Bank Plc - incorporated 30-May-1990 (private), converted to a Public Limited Liability Company 20-May-2004, NGX-listed 21-Oct-2004; admitted to the NGX Premium Board Aug-2015. Auditor UNRESOLVED despite extensive search - multiple NGX doclib annual-report filings were checked but none clearly stated the current external auditor's name within available search snippets. Per the MCNICHOLS precedent, Auditor = 'UNRESOLVED' and Big4_Auditor = 0, LOW confidence on auditor field only (financial figures are HIGH confidence, one of Nigeria's largest and most closely-covered Tier-1 banks). Very strong sustained growth throughout the study window (net income 244bn-&gt;1,040bn FY2021-2025) and a major market-cap re-rating, becoming one of the two largest NGX-listed companies by market cap.</t>
  </si>
  <si>
    <t>ZICHIS</t>
  </si>
  <si>
    <t>Zichis Agro Allied Industries Plc</t>
  </si>
  <si>
    <t>2026-01-20</t>
  </si>
  <si>
    <t>V. O. Olafamoye &amp; Co.</t>
  </si>
  <si>
    <t>Zichis Agro Allied Industries Plc (NOTE: official name per the FY2025 audited financial statements and NGX listing announcement is 'Zichis Agro Allied Industries Plc', not 'Zichis Agro Industries Plc' as previously recorded - Company Name field corrected accordingly) - incorporated 12-Apr-2012 as Zichis Farms Limited (private), converted to a public company and renamed Zichis Agro Allied Industries Plc May-2024, approved for NGX Growth Board listing 20-Jan-2026 (falls AFTER the study window, i.e., the firm was not yet publicly listed as of 31-Dec-2025). Auditor V. O. Olafamoye &amp; Co. (Chartered Accountants, non-Big4) confirmed directly from the FY2025 Independent Auditor's Report (dated 19-Feb-2026) obtained from the NGX doclib audited financial statements filing. FY2021-FY2023: COMPREHENSIVE DATA GAP - the company operated as a private entity (Zichis Farms Limited) with no publicly available financial statements for these years. FY2024-FY2025: TA/TL/NI available from the audited FS (which include FY2024 comparatives), but Share_Price_YearEnd remains a DATA GAP for both years since the company was not yet NGX-listed as of Dec-31 of either year (first listed/traded 20-Jan-2026). A 1-for-1 bonus share issue was approved at the FY2025 AGM (effective after year-end) - not reflected in the FY2025 closing share count used here. | EXCLUDED FROM 'Final Sample' (stricter, 17-Aug-2026), ALL 5 YEARS: Condition 4 (Section 3.6): no firm-year in the FY2021-2025 window has usable financial/disclosure data (comprehensive data gap).</t>
  </si>
  <si>
    <t>Voluntary_Adoption_Period</t>
  </si>
  <si>
    <t>IFRS_S1S2_Adopter_Dummy</t>
  </si>
  <si>
    <t>Shares_Outstanding</t>
  </si>
  <si>
    <t>Share_Price_YearEnd (NGN)</t>
  </si>
  <si>
    <t>Market_Value_Equity (NGN'000)</t>
  </si>
  <si>
    <t>Total_Liabilities (NGN'000)</t>
  </si>
  <si>
    <t>Total_Assets (NGN'000)</t>
  </si>
  <si>
    <t>Net_Income (NGN'000)</t>
  </si>
  <si>
    <t>Tobin_Q</t>
  </si>
  <si>
    <t>Firm_Size (LN Total Assets)</t>
  </si>
  <si>
    <t>Leverage</t>
  </si>
  <si>
    <t>ROA</t>
  </si>
  <si>
    <t>Firm_Age</t>
  </si>
  <si>
    <t>Board_Independence (%)</t>
  </si>
  <si>
    <t>Ownership_Concentration (%)</t>
  </si>
  <si>
    <t>Big4_Auditor (1/0)</t>
  </si>
  <si>
    <t>Auditor_Name</t>
  </si>
  <si>
    <t>Notes / Data Quality Flags</t>
  </si>
  <si>
    <t>Market cap Dec-31-2021 ~6.72B NGN. Share_Price_YearEnd = Dec-31 market cap / Shares_Outstanding, market cap from S&amp;P Global Market Intelligence (via stockanalysis.com). MEDIUM-HIGH confidence (billions-precision source rounding). | IFRS_S1S2_Adopter_Dummy=0, Board_Independence=11.11% (1 Independent NED of 9 total board members, explicitly stated in FY2021 Corporate Governance Report), Ownership_Concentration=39.6% (largest single substantial shareholder, VFD Group Plc, per FY2021 Report of the Directors substantial-interest table). Full SDQ/CDQ disclosure coding completed this pass -- see Coding Sheet.</t>
  </si>
  <si>
    <t>Market cap Dec-31-2022 ~17.26B NGN. Share_Price_YearEnd = Dec-31 market cap / Shares_Outstanding, market cap from S&amp;P Global Market Intelligence (via stockanalysis.com). MEDIUM-HIGH confidence (billions-precision source rounding). | SDQ/CDQ disclosure coding, IFRS_S1S2_Adopter_Dummy, Board_Independence and Ownership_Concentration for FY2022 NOT YET CODED: no text-extractable full Annual Report was located this pass (AfricanFinancials' document page links to a Google-Drive-hosted PDF with no extractable text, consistent with the barrier seen elsewhere this session; no AnyFlip or NGX-doclib mirror found for this specific year). Flagged for a follow-up attempt. | Board_Independence=12.5% (1 Independent NED [High Chief Samuel Oni] of 8 total board members as at 31-Dec-2022, per FY2022 Annual Report Corporate Information/Directors list [doclib.ngxgroup.com #38233] -- Mr Madu Hamman [ex-officio MD/CEO] retired 14-Apr-2022 per Corporate Information footnote, excluded from year-end count). Ownership_Concentration=16.54% (VFD Group Plc, largest single substantial (&gt;5%) shareholder as at 31-Dec-2022, per Report of the Directors 'Analysis of Shareholders' / substantial-interest table, same FY2022 AR -- comparative 31-Dec-2021 column in same table shows VFD=39.6%, consistent with the independently-confirmed FY2021 value already in row 2, cross-validating the table's year-column order; Madonna Ashib Comm. Enterprise Ltd fell to ~4% in 2022, below the 5% disclosure threshold that year, likely due to a large share issuance that roughly doubled shares outstanding between FY2021 and FY2022 per the share-capital-history note in the same filing).</t>
  </si>
  <si>
    <t>Market cap Dec-31-2023 ~22.54B NGN. Share_Price_YearEnd = Dec-31 market cap / Shares_Outstanding, market cap from S&amp;P Global Market Intelligence (via stockanalysis.com). MEDIUM-HIGH confidence (billions-precision source rounding). | Board_Independence=11.11% (1 Independent NED [Onyejekwe] of 9 total board members as at 31-Dec-2023 -- Adenike Kuti's independent-NED appointment was effective 1-Jan-2024, per FY2024 AR 'Changes in Directorate' note, so she was not yet on the board at FY2023 year-end; Obinna Ufudo had joined 25-Jul-2023, included). Ownership_Concentration=37.77% (VFD Group Plc, largest shareholder, from FY2024 AR's own 'As at 31 December 2023' comparative substantial-interest table -- same source document, comparative column, not yet a separately-read FY2023 Annual Report). SDQ/CDQ items for FY2023 NOT YET CODED -- require the actual FY2023 Annual Report narrative (governance/risk/metrics text), which this comparative-column data alone does not provide. | Ownership_Concentration figure independently reconfirmed from the FY2023 Annual Report itself (VFD Group Plc 37.77% as at 31-Dec-2023, anyflip.com/ukxce/clsu). SDQ/CDQ full coding and a reliable Board_Independence figure for FY2023 remain OUTSTANDING: this AnyFlip capture's text layer covers the Report of the Directors and financial statements but NOT the Corporate Governance Report / Board Evaluation / Enterprise Risk Management Policy pages (pp.~10-34) that the other years' captures included -- those pages did not return extractable text in this fetch. Board changes noted in the Report of Directors (Nonso Okpala resigned, Obinna Ufudo appointed during the year; Emmanuel Ivi and Olufemi Soewu retired effective 31-Dec-2023) are insufficient alone to reconstruct a reliable Independent-NED count. Genuine access gap, not yet resolved -- flagged for a follow-up attempt via an alternate source or browser-rendered view.</t>
  </si>
  <si>
    <t>Share_Price_YearEnd=3.00 cross-checked against Dec-31-2024 market cap ~30.46B NGN / 10,153,846,154 shares (stockanalysis.com / S&amp;P Global Market Intelligence). HIGH confidence. | Board_Independence=20.0% (2 Independent Non-Executive Directors [Onyejekwe, Kuti] of 10 total board members as at 31-Dec-2024, per Corporate Governance Report p.11: 'the Board was made up of a Non-Executive Chairman, five (5) Non-Executive Directors, two (2) Executive Directors and two (2) Independent Non-Executive Director'). Ownership_Concentration=37.77% (largest single substantial (&gt;5%) shareholder, VFD Group Plc, per Report of the Directors 'Substantial interest in shares' table, p.3 -- convention: % held by the single largest disclosed shareholder, since only 2 shareholders crossed the 5% disclosure threshold this year; combined top-2 would be 51.99% if a top-N convention is preferred instead). | IFRS_S1S2_Adopter_Dummy=0 (methodology confirmed with user): no explicit or implied voluntary IFRS S1/S2 implementation found in the FY2024 Annual Report -- CDQ=0/15 and no mention of IFRS S1/S2/ISSB anywhere in the document, so neither the explicit-statement nor the structural-alignment test is met.</t>
  </si>
  <si>
    <t>UNAUDITED - provisional pending final Annual Report | SDQ/CDQ disclosure coding, IFRS_S1S2_Adopter_Dummy, Board_Independence and Ownership_Concentration for FY2025 NOT YET CODED -- genuine access gap. The NGX doclib filing for this year is a condensed UNAUDITED financial statement with no Corporate Governance Report, Board Evaluation, or Enterprise Risk Management Policy section (confirmed via full-text search, zero matches). The full audited Annual Report is hosted only as a Google Drive embed with no extractable text. AfricanFinancials' own summary page for this filing is explicitly self-labelled as AI-generated ('This summary has been generated by an AI model... may contain errors or omissions') and was deliberately NOT used as a coding source, since scoring a disclosure-quality instrument off another AI's summary rather than the primary document would undermine the reliability of the construct. Flagged for a follow-up attempt via an alternate source or browser-rendered view of the Google Drive document. | Ownership_Concentration=22.50% (VFD Group Plc, largest single substantial (&gt;5%) shareholder as at 31-Dec-2025, per 'Shareholding Structure and Free Float Status' / Substantial Shareholding table, Note 41, in the FY2025 condensed unaudited financial statements [doclib.ngxgroup.com #45885] -- same table's 2024 comparative column shows VFD=37.77%, matching row 5's independently-sourced figure, cross-validating; Madonna Ashib Comm. Enterprise Ltd held steady at 14.23% both years, below VFD). Board_Independence LEFT BLANK -- genuine gap: this FY2025 filing is a condensed unaudited financial statement with no Corporate Governance Report / Board of Directors listing section (full-text search for 'Independent' returns zero matches); the full audited FY2025 Annual Report was not available as a text-extractable primary source this session (only a non-extractable Google Drive embed found). Not inferred from the Directors' Shareholdings list (10 names, no role/independence labels given there).</t>
  </si>
  <si>
    <t>Shares rose mid-year via rights issue in 2022, not 2021 - use 1,657,700,000 for FY2021 Market cap Dec-31-2021 ~0.514B NGN. Share_Price_YearEnd = Dec-31 market cap / Shares_Outstanding, market cap from S&amp;P Global Market Intelligence (via stockanalysis.com). MEDIUM-HIGH confidence (billions-precision source rounding). | SDQ/CDQ disclosure coding NOT YET DONE: no text-extractable full Annual Report located this pass (the AfricanFinancials document page for this ticker/period links to a Google-Drive-hosted PDF with no extractable text; no NGX-doclib mirror found for this specific year despite a targeted search). Genuine access gap, flagged for a follow-up attempt via an alternate source or browser-rendered view. | Board_Independence and Ownership_Concentration LEFT BLANK for FY2021 -- genuine gap: source document [doclib.ngxgroup.com #38087, FY2021-2022 consolidated FS] contains 'Report of the Directors' with a Directors' Shareholdings table only (direct/indirect interests of 8 named directors), but no role labels (Chairman/Executive/Non-Executive/Independent) are stated anywhere in the document for FY2021, and no substantial/major-shareholder (5%+) disclosure table is present at all. Full-text search for 'Independent Non-Executive' and 'Substantial' returns no governance-relevant matches. Not inferred.</t>
  </si>
  <si>
    <t>Rights issue during 2022 raised shares from 1.66bn to 2.39bn Market cap Dec-31-2022 ~0.598B NGN. Share_Price_YearEnd = Dec-31 market cap / Shares_Outstanding, market cap from S&amp;P Global Market Intelligence (via stockanalysis.com). MEDIUM-HIGH confidence (billions-precision source rounding). | SDQ/CDQ fully coded this pass, all zero -- thin disclosure, no dedicated governance/ESG sections in this filing. Board_Independence/Ownership_Concentration not disclosed in this document, left blank (optional field). | Board_Independence and Ownership_Concentration LEFT BLANK for FY2022 -- same genuine gap as FY2021: source document [doclib.ngxgroup.com #38087] has no director-role labels (no 'Independent' designation used anywhere for any director in this filing) and no substantial-shareholder disclosure table. Not inferred.</t>
  </si>
  <si>
    <t>Market cap Dec-31-2023 ~1.940B NGN. Share_Price_YearEnd = Dec-31 market cap / Shares_Outstanding, market cap from S&amp;P Global Market Intelligence (via stockanalysis.com). MEDIUM-HIGH confidence (billions-precision source rounding). | SDQ/CDQ disclosure coding NOT YET DONE: no text-extractable full Annual Report located this pass (the AfricanFinancials document page for this ticker/period links to a Google-Drive-hosted PDF with no extractable text; no NGX-doclib mirror found for this specific year despite a targeted search). Genuine access gap, flagged for a follow-up attempt via an alternate source or browser-rendered view. | Board_Independence and Ownership_Concentration LEFT BLANK for FY2023 -- genuine gap: no text-extractable standalone FY2023 Annual Report was located (NGX doclib and AfricanFinancials only hold FY2022 [#38087], FY2024 [#43623], and FY2025 [#46506] filings for ABC Transport Plc; the only FY2023 NGX doclib item found is a 2023 AGM Resolutions/Corporate Actions notice [#39968], which does not contain a Directors list, Corporate Governance Report, or shareholding table). The FY2024 AR [#43623] gives only the current (2024) board and does not restate a FY2023 board list. Flagged for a follow-up attempt if a standalone FY2023 AR becomes accessible.</t>
  </si>
  <si>
    <t>Market cap Dec-31-2024 ~2.940B NGN. Share_Price_YearEnd = Dec-31 market cap / Shares_Outstanding, market cap from S&amp;P Global Market Intelligence (via stockanalysis.com). MEDIUM-HIGH confidence (billions-precision source rounding). | SDQ/CDQ fully coded this pass, all zero. IFRS_S1S2_Adopter_Dummy=0 EXPLICITLY EVIDENCED (identical 'not yet adopted, mandatory 2028' note as FY2025). Board_Independence=12.5% (1 Independent NED of 8 total board members). Ownership_Concentration not disclosed in this document, left blank (optional field). | Ownership_Concentration LEFT BLANK for FY2024 -- confirmed genuine gap: full-text search of the FY2024 Annual Report [doclib.ngxgroup.com #43623] for 'Substantial', 'shareholding', '% of', 'Analysis of' returns no substantial/major-shareholder (5%+) disclosure table anywhere in the filing (Report of the Directors covers Directors, Legal Form, Principal Activities, Directors' Responsibilities only -- no shareholding-analysis section). Board_Independence=12.5% value already in this cell was independently reconfirmed from this same document's Corporate Information page (line 42-49): 8 directors total (Obayomi-Chairman, Jude Nneji-MD, Rex Okoro-ED, Francis Nneji-NED, Kabiru Yusuf-NED, Bamidele Asije-NED, Ifeoma Adeoye-NED, Emmanuel Chilaka Nwanna-Independent NED), 1 explicitly labelled Independent Non-Executive Director = 1/8 = 12.5%.</t>
  </si>
  <si>
    <t>Audited, unmodified opinion 31-Mar-2026 Market cap Dec-31-2025 ~9.810B NGN. Share_Price_YearEnd = Dec-31 market cap / Shares_Outstanding, market cap from S&amp;P Global Market Intelligence (via stockanalysis.com). MEDIUM-HIGH confidence (billions-precision source rounding). | SDQ/CDQ fully coded this pass, all zero. IFRS_S1S2_Adopter_Dummy=0 EXPLICITLY EVIDENCED (filing states IFRS S1 'not yet adopted', mandatory 2028 -- see Coding Sheet note for full quote). Board_Independence=12.5% (1 Independent NED of 8 total board members, per Corporate Information page). Ownership_Concentration not disclosed in this document, left blank (optional field). | Ownership_Concentration LEFT BLANK for FY2025 -- confirmed genuine gap: full-text search of the FY2025 Annual Report [doclib.ngxgroup.com #46506] for 'Substantial'/shareholding-analysis terms returns no substantial/major-shareholder (5%+) disclosure table anywhere in the filing. Board_Independence=12.5% value already in this cell reconfirmed from this same document's Corporate Information page (line 43-50): same 8-director board as FY2024 (Obayomi-Chairman, Jude Nneji-MD, Rex Okoro-ED, Francis Nneji/Kabiru Yusuf/Bamidele Asije/Ifeoma Adeoye-NEDs, Emmanuel Chilaka Nwanna-Independent NED), 1/8 = 12.5%.</t>
  </si>
  <si>
    <t>FYE 31-March not December. Net income unresolved - retained earnings restated inconsistently across filings Share_Price_YearEnd = calendar Dec-31 proxy. Share_Price_YearEnd = Dec-31 market cap / shares outstanding, market cap from S&amp;P Global Market Intelligence (via stockanalysis.com). Net_Income RESOLVED: -205,452 (Group, net LOSS) from Academy Press FY2022 Audited AR comparative column. Source: NGX doclib primary filings. SDQ/CDQ coding NOT YET DONE - genuine access gap: NGX doclib has no full-text FY2021 Annual Report (only a Sept-2021 Q2 interim, condensed, no CG Report/Environmental Policy narrative); AfricanFinancials 2021 AR (ng-academ-2021-ar-00, published 2021-10-11) links only to a Google Drive-hosted PDF with no extractable text. No AnyFlip or other mirror located via search. Documented as access barrier, consistent with methodology used for ABBEYBANK/ABCTRANS gap years. | Board_Independence and Ownership_Concentration LEFT BLANK for FY2021 (FYE 31-Mar-2021) -- genuine access gap reconfirmed this pass: NGX doclib has no full-text FY2021 Annual Report (only a condensed Sept-2021 Q2 interim with no governance/shareholding section); AfricanFinancials' FY2021 AR links only to a non-extractable Google Drive PDF. No alternate text-extractable primary source located.</t>
  </si>
  <si>
    <t>FYE 31-March. Needs re-verification - sourced from unaudited interim, same pattern proved wrong for 2023 Share_Price_YearEnd = calendar Dec-31 proxy. Share_Price_YearEnd = Dec-31 market cap / shares outstanding, market cap from S&amp;P Global Market Intelligence (via stockanalysis.com). SDQ/CDQ coding NOT YET DONE - genuine access gap: AfricanFinancials 2022 AR (ng-academ-2022-ar-00, published 2023-01-17) links only to a Google Drive-hosted PDF with no extractable text; no NGX doclib full AR or AnyFlip mirror located via search. Documented as access barrier, consistent with methodology used for ABBEYBANK/ABCTRANS gap years. | Board_Independence and Ownership_Concentration LEFT BLANK for FY2022 (FYE 31-Mar-2022) -- genuine access gap reconfirmed this pass: AfricanFinancials' FY2022 AR links only to a non-extractable Google Drive PDF; no NGX-doclib full AR or other text-extractable mirror located for this exact FYE.</t>
  </si>
  <si>
    <t>FYE 31-March. AUDITED (corrected from earlier unaudited figures). Profit attrib. to parent: -23,977 (loss) Share_Price_YearEnd = calendar Dec-31 proxy. Share_Price_YearEnd = Dec-31 market cap / shares outstanding, market cap from S&amp;P Global Market Intelligence (via stockanalysis.com). | Ownership_Concentration=13.9% (Alidan Investment Limited, largest disclosed shareholder as at 31-Mar-2023, from the FY2024 filing's own comparative column). SDQ/CDQ full coding NOT YET DONE for FY2023: the only document located for this exact FYE (38432_ACADEMY_PRESS_PLC..._2023...) is a condensed 'Fourth Quarter' financial statement with no Corporate Governance Report / Environmental Policy / Board Committee section (confirmed board composition matches FY2024's: 8 directors, no director labelled 'Independent Non-Executive' -- consistent finding, not yet conclusive for governance/risk/metrics scoring). Genuine access gap for the disclosure-coding items specifically; flagged for a follow-up attempt via the actual full Annual Report for this FYE. | Board_Independence LEFT BLANK for FY2023 (FYE 31-Mar-2023) -- confirmed via full-text review of the source filing [doclib.ngxgroup.com #38432, condensed Q4/year-end FS]: board comprises 8 directors (Dabiri-Chairman, Ladipo-MD, Pritchard, Omo-Eboh, Olaoye, Akingbe, Jimoh - Non-executive Directors, Aderibigbe-Executive Director); no director is labelled 'Independent' anywhere in the document (zero matches for 'Independent' outside the Auditor's Report). Not inferred as 0% -- genuine disclosure gap, methodology requires leaving blank when the filing simply does not address independence. Ownership_Concentration=13.9% figure already present (Alidan Investment Limited) reconfirmed as sourced from the FY2024 filing's comparative 31-Mar-2023 column.</t>
  </si>
  <si>
    <t>FYE 31-March. AUDITED, EY unmodified opinion 30-Jun-2024. Profit attrib. to parent: 71,992 Share_Price_YearEnd = calendar Dec-31 proxy. Share_Price_YearEnd = Dec-31 market cap / shares outstanding, market cap from S&amp;P Global Market Intelligence (via stockanalysis.com). | SDQ/CDQ fully coded this pass, all zero -- an Environmental Policy section exists but is pure boilerplate with no specifics. IFRS_S1S2_Adopter_Dummy=0. Ownership_Concentration=24.64% (Alidan Investment Limited). Board_Independence left blank -- no director is labelled 'Independent Non-Executive' anywhere in this filing, genuinely ambiguous rather than confirmed 0%. | Board_Independence LEFT BLANK for FY2024 (FYE 31-Mar-2024) reconfirmed -- no director labelled 'Independent Non-Executive' in the FY2024 filing; same 8-director Non-executive/Executive-only labelling convention as FY2023 and FY2026(comparative FY2025). Ownership_Concentration=24.64% (Alidan Investment Limited) reconfirmed and cross-validated: the FY2026 Annual Report's 'Summary of the shareholding position' table [doclib.ngxgroup.com #47375] shows Alidan Investment Limited at 24.64% in BOTH its 31-Mar-2026 and 31-Mar-2025 comparative columns, and this 24.64% figure is identical to the value already recorded here for FY2024 -- Alidan's stake appears to have been stable at 24.64% across FY2024-FY2026 (share count rose from 186,244,187 to 223,493,024 between 2025 and 2026, proportionate to a Group-wide bonus/split that kept % unchanged).</t>
  </si>
  <si>
    <t>Predecessor entity was Access Bank Plc (legally listed entity in 2021, before March-2022 Scheme of Arrangement). Figures in NGN million in source, converted x1000 to NGN'000 for consistency.  Share_Price_YearEnd = Dec-31 market cap / shares outstanding, market cap from S&amp;P Global Market Intelligence (via stockanalysis.com). | Board_Independence=23.53% (4 Independent Non-Executive Directors [Adeniyi Adekoya, Iboroma Akpana, Ifeyinwa Osime, Hassan Usman] of 17 total board members, per predecessor entity Access Bank Plc's FY2021 Audited Financial Statements Corporate Information page and Corporate Governance Report: 'As at December 31, 2021, the Board was made up of 17 members comprising 9 Non-Executive and 8 Executive Directors' [doclib.ngxgroup.com/Financial_NewsDocs/35310]). Ownership_Concentration=11.50% (Stanbic Nominees Nigeria Limited, only shareholder disclosed above 5% as at 31-Dec-2021, per 'Substantial interest in shares' table, same document -- note Stanbic Nominees holds as nominee/custodian for various underlying investors, not a single beneficial owner, but is reported as the largest disclosed line-item per the filing's own disclosure convention). Access Holdings Plc HoldCo did not yet exist in 2021 (created via March-2022 Scheme of Arrangement) -- Access Bank Plc used as legal predecessor, consistent with the Total_Assets/Liabilities sourcing convention already used for this row.</t>
  </si>
  <si>
    <t>Converted from NGN million source to NGN'000.  Share_Price_YearEnd = Dec-31 market cap / shares outstanding, market cap from S&amp;P Global Market Intelligence (via stockanalysis.com). | Board_Independence=30.0% (3 Independent Non-Executive Directors [Bababode Osunkoya-Chairman, Abubakar Jimoh, Fatimah Bello-Ismail] of 10 total board members, per explicit statement in FY2022 Annual Report: 'As of December 31, 2022, the Board was made up of 10 members comprising 7 Non-Executives three of which are Independent Non-Executive Directors and 3 Executive Directors' [doclib.ngxgroup.com #38273]). Ownership_Concentration=11.01% (Stanbic Nominees Nigeria Limited, only shareholder above 5% as at 31-Dec-2022, per 'Substantial interest in shares' table, same document).</t>
  </si>
  <si>
    <t>Converted from NGN million source to NGN'000.  Share_Price_YearEnd = Dec-31 market cap / shares outstanding, market cap from S&amp;P Global Market Intelligence (via stockanalysis.com). | Board_Independence=22.22% (2 Independent Non-Executive Directors [Abubakar Jimoh-Chairman(effective 19-Dec-2023), Fatimah Bello-Ismail] of 9 total board members as at 31-Dec-2023, per explicit statement in FY2023 Annual Report: 'As of December 31, 2023, the Board was made up of 9 members comprising 6 Non-Executive and 3 Executive Directors' [doclib.ngxgroup.com #40621] -- the 10th listed director, Bababode Osunkoya (Chairman/Independent NED), passed away 21-Nov-2023 and is excluded from the year-end count per the document's own 9-member total). Ownership_Concentration=10.46% (Stanbic Nominees Nigeria Limited, largest of two substantial (&gt;5%) shareholders as at 31-Dec-2023, per 'Substantial interest in shares' table, same document; Coronation Trustees Tengen Mauritius newly crossed the threshold in 2023 at 7.11%, below Stanbic).</t>
  </si>
  <si>
    <t>Rights issue July 2024 raised shares from 35.5bn to 53.3bn. Converted from NGN million source to NGN'000.  Share_Price_YearEnd = Dec-31 market cap / shares outstanding, market cap from S&amp;P Global Market Intelligence (via stockanalysis.com). | Board_Independence=22.22% (2 Independent Non-Executive Directors [Abubakar Jimoh, Fatimah Bello-Ismail] of 9 total board members, per explicit statement in FY2024 Annual Report: 'As of December 31, 2024, the Board was made up of 9 members comprising 7 Non-Executive and 2 Executive Directors' [doclib.ngxgroup.com #43800]). Ownership_Concentration=7.41% (Coronation Trustees Tengen Mauritius, largest of two substantial (&gt;5%) shareholders as at 31-Dec-2024, per 'Substantial interest in shares' table, same document -- Stanbic Nominees Nigeria Limited fell to 6.17% that year, both still above 5% but Coronation now largest, following the July-2024 1-for-2 rights issue that changed the share register).</t>
  </si>
  <si>
    <t>Total Assets/Liabilities DERIVED from TradingView Q1'26 pct-change disclosure, not a primary statement line - lower confidence. Equity/Profit/Shares confirmed directly.  Share_Price_YearEnd = Dec-31 market cap / shares outstanding, market cap from S&amp;P Global Market Intelligence (via stockanalysis.com). | Board_Independence=33.33% (3 Independent Non-Executive Directors [Abubakar Jimoh, Fatimah Bello-Ismail, Ibironke Adeyemi (CBN-approved 15-Apr-2025)] of 9 total board members as at 31-Dec-2025, per explicit statement in FY2025 Annual Report: 'As of December 31, 2025, the Board was made up of 9 members comprising 7 Non-Executive and 2 Executive Directors' [theaccesscorporation.com/.../Access-Holdings-PLC-FY-2025.pdf] -- Roosevelt Ogbonna and Oluseyi Kumapayi, both plain NEDs, resigned during the year (Mar/Aug 2025) and are excluded from the year-end count). Ownership_Concentration=7.41% (Coronation Trustees Limited, sole substantial (&gt;5%) shareholder disclosed as at 31-Dec-2025, per 'Substantial interest in shares' table, same document -- unchanged in Naira-share terms from the FY2024 Coronation Trustees Tengen Mauritius holding; Stanbic Nominees no longer appears, implying it fell below the 5% threshold during 2025).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</si>
  <si>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GOING CONCERN FLAG: negative equity -5,804,277. Solvency deficit N12.3bn. Official NGX X-Compliance (20-Feb-2026): MRF - missing audited FS for 2023-2024 ONLY, meaning FY2022 may exist and needs re-checking. | Board_Independence=16.67% (1 Independent Non-Executive Director [Dr. Adiele Ekechukwu] of 6 total board members as at 31-Dec-2021, per FY2021 Corporate Governance Report Board Composition list [doclib.ngxgroup.com #38484]: Dr. Anthony Okocha (Chairman) retired 20-Sep-2021 and is excluded from year-end count, leaving Ogwemoh-NED, Bulama-NED, Ekechukwu-Independent NED, Atasie-NED, Ojemudia-MD/CEO, Adekola-ED = 6; the position of Chairman was vacant at 31-Dec-2021, not filled until Ogwemoh's Oct-2022 appointment). Ownership_Concentration=57.40% (Conau Trade and Investment Limited, largest of two substantial (&gt;5%) shareholders as at 31-Dec-2021, per 'Shareholding Structure/Free Float Status' table, same document; Universal Insurance Plc held 5.83%).</t>
  </si>
  <si>
    <t>RESOLVED - the FY2022 audited FS DOES exist (filed Nov-2023, later than normal) - NGX doclib, HIGH confidence. Group basis: Total_Assets=53,473,361, Total_Liabilities=48,396,886, Net_Income=-2,901,109 (a LOSS, despite Total_Equity improving from -5,804,277 in FY2021 to +5,076,475 in FY2022, likely a large fair-value/OCI or capital-raise adjustment). Auditor: Ukwuegbu, Ogbeleje &amp; Co. (non-Big4), unqualified opinion. Source: NGX doclib primary filings. | Board_Independence=14.29% (1 Independent Non-Executive Director [Dr. Adiele Ekechukwu] of 7 total board members, per FY2022 Corporate Governance Report Board Composition list [doclib.ngxgroup.com #39898]: Sylva Ogwemoh(SAN)-Chairman [appointed Oct-2022], Bulama-NED, Ekechukwu-Independent NED, Atasie-NED, Nwuba-NED, Ojemudia-MD/CEO, Adekola-ED = 7). Ownership_Concentration=57.66% (Conau Trade and Investment Limited, largest of two substantial (&gt;5%) shareholders as at 31-Dec-2022, per 'Shareholding Structure/Free Float Status' table, same document; Universal Insurance Plc held 5.83%).</t>
  </si>
  <si>
    <t>Market cap Dec-31-2021 ~12.70B NGN. Share_Price_YearEnd = Dec-31 market cap / Shares_Outstanding, market cap from S&amp;P Global Market Intelligence (via stockanalysis.com). MEDIUM-HIGH confidence (billions-precision source rounding). | Board_Independence and Ownership_Concentration LEFT BLANK for FY2021 -- genuine gap: AfricanFinancials' FY2021 AR page links only to a non-extractable Google Drive PDF; the FY2022 Annual Report [doclib.ngxgroup.com Africa_Prudential_Plc_-_2022_AFS.pdf] contains only a single-year (FY2022) board-composition statement and substantial-shareholding table, no FY2021 comparative for either. No alternate text-extractable FY2021 primary source located.</t>
  </si>
  <si>
    <t>Market cap Dec-31-2022 ~12.00B NGN. Share_Price_YearEnd = Dec-31 market cap / Shares_Outstanding, market cap from S&amp;P Global Market Intelligence (via stockanalysis.com). MEDIUM-HIGH confidence (billions-precision source rounding). | Board_Independence=25.0% (2 Independent Non-Executive Directors [Fumbi Chima, Zubaida Mahey Rasheed] of 8 total board members, per explicit statement in FY2022 Annual Report Corporate Governance Report [doclib.ngxgroup.com Africa_Prudential_Plc_-_2022_AFS.pdf]: 'As of December 2022, the Board comprised of a Non-Executive Chairman, an Executive Managing Director/CEO and six other Non-Executive Directors, two of whom are Independent Non-Executive Directors' = 1+1+6=8 total). Ownership_Concentration=25.95% (International Equity Capital Limited, 519,000,000 of 2,000,000,000 issued shares, the only shareholder crossing the 5% threshold per the Report of the Directors' significant-shareholding disclosure, same document).</t>
  </si>
  <si>
    <t>Market cap Dec-31-2023 ~14.80B NGN. Share_Price_YearEnd = Dec-31 market cap / Shares_Outstanding, market cap from S&amp;P Global Market Intelligence (via stockanalysis.com). MEDIUM-HIGH confidence (billions-precision source rounding). | Board_Independence=25.0% (2 Independent Non-Executive Directors [Fumbi Chima, Zubaida Mahey Rasheed] of 8 total board members, per explicit statement in FY2023 Annual Report [doclib.ngxgroup.com #40447]: 'As of December 2023, the Board comprised of a Non-Executive Chairman, an Executive Managing Director/CEO and six other Non-Executive Directors, two of whom are Independent Non-Executive Directors'). Ownership_Concentration=25.95% (International Equity Capital Limited, 519,000,000 of 2,000,000,000 issued shares, unchanged from FY2022, same document's Report of the Directors).</t>
  </si>
  <si>
    <t>Market cap Dec-31-2024 ~41.10B NGN. Share_Price_YearEnd = Dec-31 market cap / Shares_Outstanding, market cap from S&amp;P Global Market Intelligence (via stockanalysis.com). MEDIUM-HIGH confidence (billions-precision source rounding). | Board_Independence=33.33% (2 Independent Non-Executive Directors [Zubaida Mahey Rasheed, plus one of Christabel Onyejekwe/Oluwaseyi Abe appointed to fill Fumbi Chima's 12-Mar-2024 resignation] of 6 total board members, per explicit statement in FY2024 Annual Report [doclib.ngxgroup.com #43304]: 'As of December 31, 2024, the Board comprised a Non-Executive Chairman, an Executive Managing Director/Chief Operating Officer, four Non-Executive Directors two of Independent Non-Executive Directors' = 1+1+4=6 total). Ownership_Concentration=25.95% (International Equity Capital Limited, 519,000,000 of 2,000,000,000 issued shares, unchanged from FY2022/FY2023, same document's Report of the Directors).</t>
  </si>
  <si>
    <t>1-for-1 bonus share issue in 2025 doubled shares from 2bn to 4bn mid-year. Market cap Dec-31-2025 ~59.20B NGN. Share_Price_YearEnd = Dec-31 market cap / Shares_Outstanding, market cap from S&amp;P Global Market Intelligence (via stockanalysis.com). MEDIUM-HIGH confidence (billions-precision source rounding). | Board_Independence=33.33% (2 Independent Non-Executive Directors [named in Corporate Information/Committee membership, e.g. Zubaida Mahey Rasheed and Oluwaseyi Abe] of 6 total board members, per FY2025 Annual Report [doclib.ngxgroup.com AFRICA_PRUDENTIAL_PLC_-_2025_AUDITED_FINANCIAL_STATEMENTS.pdf]: 'As of 31 December 2025, the Board comprised of a Non-Executive Chairman, an Executive Managing Director/CEO, and four other Non-Executive Directors, two of whom are Independent Non-Executive Directors' = 1+1+4=6 total). Ownership_Concentration=25.95% (International Equity Capital Limited, 1,038,000,000 of 4,000,000,000 issued shares after a 1-for-1 bonus issue doubled shares outstanding in 2025 -- same 25.95% as prior years, confirming the bonus issue did not change relative ownership -- per Report of the Directors, same document, which also shows the 2024 comparative of 519,000,000/2,000,000,000).</t>
  </si>
  <si>
    <t>AUDITED. Going concern: negative equity -3,218,415. Flat price both years per stockanalysis.com - consistent with a thinly-traded micro-cap, not a data error. Share_Price_YearEnd = Dec-31 market cap / shares outstanding, market cap from S&amp;P Global Market Intelligence (via stockanalysis.com). | Board_Independence=40.0% (2 Independent Non-Executive Directors [Lateef Akande Bakare-Chairman, Kabir Usman] of 5 total board members, per FY2021 Annual Report Directors list [doclib.ngxgroup.com #35538]: Bakare-Chairman/Ind NED, Olopade-GMD/CEO, Nwabunie-Group Deputy MD, Usman-Ind NED, Shokunbi-NED = 5). Ownership_Concentration=14.16% (Otunba Akinlola Irewunmi Olopade, largest of five shareholders disclosed above 5% as at 31-Dec-2021 per 'Analysis of shareholding' note, same document -- other substantial holders: Estate of Rev. Iretunde Olopade 10.66%, Estate of Chief J.O. Nwabunie 12.25%, Nwabunie(director) 9.79%, Partnership Inv. Co/Ecobank Nigeria Ltd 8.57%; figures identical in both 2020 and 2021 columns, static holding).</t>
  </si>
  <si>
    <t>UNAUDITED (Management Report). Official X-Compliance confirms MRF: non-rendition of audited FS 2022-2024. Flat price both years per stockanalysis.com - consistent with a thinly-traded micro-cap, not a data error. Share_Price_YearEnd = Dec-31 market cap / shares outstanding, market cap from S&amp;P Global Market Intelligence (via stockanalysis.com). | Board_Independence and Ownership_Concentration LEFT BLANK for FY2022 -- genuine gap: the only FY2022 filing located [doclib.ngxgroup.com #39227] is an UNAUDITED Management Report (consistent with the official NGX X-Compliance MRF finding for 2022-2024 audited FS) with no Corporate Governance Report, Directors list, or shareholding-analysis section -- full-text search for 'Independent Non-Executive' and 'Analysis of shareholding' returns zero matches.</t>
  </si>
  <si>
    <t>AUDITED. Group basis. Consistency check passed. | Ownership_Concentration=30.53% (LeapFrog III Nigeria Insurance Holdings Ltd, largest of four substantial (&gt;5%) shareholders as at 31-Dec-2021, per the FY2022 Annual Report's 'Substantial interest in shares' table, 31-Dec-2021 comparative column [doclib.ngxgroup.com AIICO_INSURANCE_PLC_-_2022_AFS.pdf]: LeapFrog III 30.53%, DF Holdings Ltd 19.92%, AIICO Bahamas Ltd 11.28%, AIICO Investment Inc 8.54%). Board_Independence LEFT BLANK for FY2021 -- genuine gap: no standalone FY2021 Annual Report with a dated Corporate Information/Directors list was located (AfricanFinancials/NGX doclib searches did not surface one); the FY2022 AR's Corporate Information page reflects the FY2022 board only, and while one departing director (Olusola Ajayi, resigned 7-Jan-2022) confirms he was on the board through FYE 2021, the independence status and full membership of the remaining ~8 directors as at the specific date 31-Dec-2021 could not be confirmed without extrapolating -- not inferred, per methodology.</t>
  </si>
  <si>
    <t>AUDITED. Group basis. Consistency check passed. | Board_Independence=12.5% (1 Independent Director [Samaila Zubairu, labelled 'Director/Independent' in Corporate Information] of 8 total board members as at 31-Dec-2022, per FY2022 Annual Report [doclib.ngxgroup.com AIICO_INSURANCE_PLC_-_2022_AFS.pdf]: Sainani-Chairman, Fajemirokun-MD/CEO, Kadri-ED, Zubairu-Independent, Adebise, Edun, Akinyanmi, Snyders = 8; Olusola Ajayi (ED) resigned 7-Jan-2022, excluded from year-end count). Ownership_Concentration=30.53% (LeapFrog III Nigeria Insurance Holdings Ltd, largest of four substantial (&gt;5%) shareholders as at 31-Dec-2022, per 'Substantial interest in shares' table, same document: LeapFrog III 30.53%, DF Holdings Ltd 28.46%, AIICO Bahamas Ltd 11.98%).</t>
  </si>
  <si>
    <t>IFRS 17 transition year - filing delayed by NAICOM directive. Balance sheet confirmed (IFRS17-restated, from Q2-2024 comparative); Net Income not yet found. IFRS 17 adoption FY2023 onward affects comparability of insurance liabilities pre/post this year. Net_Income RESOLVED: 12,135,796 (Group, audited) from AIICO's FY2024 Audited AR comparative FY2023 column - supersedes an earlier unaudited estimate of 8,601,993 (IFRS17 final-audit adjustments). Source: NGX doclib primary filings. | Ownership_Concentration=41.26% (AIICO Bahamas Limited, largest of two substantial (&gt;5%) shareholders as at 31-Dec-2023, per the FY2024 Annual Report's 'Substantial interest in shares' table, 31-Dec-2023 comparative column [doclib.ngxgroup.com #43586]: AIICO Bahamas Ltd 41.26%, LeapFrog III 30.53% -- note this represents a large increase in AIICO Bahamas's stake vs. its 11.98% in FY2022, implying a substantial ownership restructuring within the group during 2023, consistent with the FY2023 IFRS-17-transition/delayed-filing disruption already flagged for this firm-year elsewhere in the dataset). Board_Independence LEFT BLANK for FY2023 -- genuine gap: no standalone FY2023 Annual Report was located (audited FS delayed by the IFRS 17 transition per NAICOM directive, as already noted); the H1-2024 interim filing [doclib.ngxgroup.com #41907] reflects board composition as at 30-Jun-2024, not 31-Dec-2023, so was not used to avoid extrapolating backward across a period with director changes.</t>
  </si>
  <si>
    <t>Source document itself marked UNAUDITED despite being year-end filing - treat as provisional. | Board_Independence=10.0% (1 Independent Director [Samaila Zubairu, the only director explicitly labelled '(Independent Director)' in the Corporate Information page and the only one described as 'Independent Director/Chairman' of the Statutory Audit Committee] of 10 total board members as at 31-Dec-2024, per FY2024 Annual Report [doclib.ngxgroup.com #43586]: 'The Board of Directors is currently made up of ten (10) directors...' -- Rotimi Okpaise resigned 29-Jul-2024, excluded from year-end count; Kemi Adewole appointed 24-Jun-2024, included but NOT labelled independent in this document, despite being marked independent in an earlier H1-2024 interim filing -- the year-end Annual Report is treated as authoritative over the interim for this discrepancy). Ownership_Concentration=41.26% (AIICO Bahamas Limited, largest of two substantial (&gt;5%) shareholders as at 31-Dec-2024, per 'Substantial interest in shares' table, same document; LeapFrog III held 30.53%).</t>
  </si>
  <si>
    <t>Source document itself marked UNAUDITED despite being year-end filing - treat as provisional. | Board_Independence=20.0% (2 Independent Directors of 10 total board members as at 31-Dec-2025, per explicit narrative statement in FY2025 Annual Report [doclib.ngxgroup.com #46520]: 'The Board of Directors is currently made up of ten (10) directors comprising the Managing Director one (1), Executive Directors (2) and five (5) Non-executive directors, including two (2) Independent Directors' -- NOTE: the document's tabular Corporate Information listing shows a likely PDF-extraction artifact where the '(Independent Director)' parenthetical appears duplicated against all 6 Non-Executive Directors' names; the clean narrative sentence, consistent with the two-independent pattern already seen in the H1-2024 interim filing, was used instead as the more reliable reading). Ownership_Concentration=41.26% (AIICO Bahamas Limited, largest of two substantial (&gt;5%) shareholders as at 31-Dec-2025, per 'Substantial interest in shares' table, same document, unchanged from FY2024; LeapFrog III held 30.53%).</t>
  </si>
  <si>
    <t>UK-incorporated (primary listing LSE), NGX is secondary listing. USD figures converted to NGN using ~400 NGN/USD (LOW CONFIDENCE approx rate, not date-specific). USD basis: TA=$9,990m, TL=$6,640m, NI=$451m. FYE 31-March. Share price and exact shares outstanding for this year not confirmed. NGX-quoted NGN price (not a USD conversion) - Airtel Africa trades at a high nominal Naira price as a large-cap cross-listed stock. Share_Price_YearEnd = Dec-31 market cap / shares outstanding, market cap from S&amp;P Global Market Intelligence (via stockanalysis.com). | Board_Independence and Ownership_Concentration LEFT BLANK for FY2021 (FYE 31-Mar-2021) -- genuine access gap: Airtel Africa plc's Annual Report and Accounts run 200+ pages; every full-PDF fetch attempt this session was truncated by the fetch tool before reaching the Governance report / Directors' report chapters (captured content stopped within the Strategic Report, ~page 40-80). No standalone, text-extractable Corporate Governance Report or Notice of AGM specific to the FY2021 board/shareholding was located as an alternative smaller primary source (only 2022-2025 chapter-level documents were found -- see notes on rows 43-46).</t>
  </si>
  <si>
    <t>Converted using confirmed Dec-2022 rate 448.08 NGN/USD (MEDIUM-HIGH CONFIDENCE, but Dec not Mar rate). USD basis: TA=$10,364m, TL=$6,715m, NI=$755m. FYE 31-March. Share price not found for this year. NGX-quoted NGN price (not a USD conversion) - Airtel Africa trades at a high nominal Naira price as a large-cap cross-listed stock. Share_Price_YearEnd = Dec-31 market cap / shares outstanding, market cap from S&amp;P Global Market Intelligence (via stockanalysis.com). | Board_Independence=53.85% (7 of 13 directors explicitly marked 'Independent: yes' -- Andrew Green, Awuneba Ajumogobia, Douglas Baillie, John Danilovich, Tsega Gebreyes, Annika Poutiainen, Ravi Rajagopal -- vs. 6 marked 'Independent: no': Sunil Bharti Mittal, Olusegun Ogunsanya, Jaideep Paul, Kelly Bayer Rosmarin, Akhil Gupta, Shravin Bharti Mittal), per the Notice of Annual General Meeting 2022 (AGM held 28-Jun-2022, covering the board as at FYE 31-Mar-2022) [airtel.africa/assets/pdf/annual-report/Notice-of-Annual-General-Meeting-2022.pdf] -- each director's biography page states 'Independent: yes/no' explicitly, and this is independently corroborated by the resolutions section: 'Resolutions 8 to 14... relate to the election or re-election of Andrew Green, Awuneba Ajumogobia, Douglas Baillie, John Danilovich, Tsega Gebreyes, Annika Poutiainen and Ravi Rajagopal who are the directors that the Board has determined are independent directors for the purposes of the UK Corporate Governance Code' -- both sources agree on the same 7 names. Ownership_Concentration LEFT BLANK -- genuine gap: the Notice of AGM references Bharti Airtel Limited and Airtel Africa Mauritius Limited as 'controlling shareholders... exercis[ing] or control[ling] more than 30% of the voting rights' but does not state an exact percentage; the full Annual Report's 'Major shareholders' table (which does give exact percentages, as later confirmed for FY2025) was not text-extractable this session for this year.</t>
  </si>
  <si>
    <t>Converted using ~461 NGN/USD, the pre-devaluation March-2023 peg (MEDIUM CONFIDENCE - historical approximation, NOT the 896.64 Dec-2023 post-devaluation rate, which would be a material error given the June-2023 FX unification). USD basis: TA=$11,166m, TL=$7,358m, NI=~$700m (EPS-derived approximation, not primary-sourced). FYE 31-March. NGX-quoted NGN price (not a USD conversion) - Airtel Africa trades at a high nominal Naira price as a large-cap cross-listed stock. Share_Price_YearEnd = Dec-31 market cap / shares outstanding, market cap from S&amp;P Global Market Intelligence (via stockanalysis.com). | Board_Independence and Ownership_Concentration LEFT BLANK for FY2023 (FYE 31-Mar-2023) -- genuine access gap: the full Annual Report and Accounts 2022/23 PDF [cdn-webportal.airtelstream.net/.../Airtel_Africa_Annual_Report_FY_2022_2023.pdf] was fetched but truncated before reaching the Governance report / Directors' report chapters (same large-PDF limitation as FY2021); no standalone Notice of AGM 2023 or Governance-Report-2023 chapter PDF was located as an alternative this session.</t>
  </si>
  <si>
    <t>Converted using ~1,350 NGN/USD, a rough midpoint estimate for March-2024 (LOW-MEDIUM CONFIDENCE - wide uncertainty range, exact March rate not found; NOT the 1,546.43 Dec-2024 rate). USD basis: TA=$9,861m, TL=$7,561m, NI=-$89m (loss). Shares reduced via buyback (68,834,800 cancelled). FYE 31-March. NGX-quoted NGN price (not a USD conversion) - Airtel Africa trades at a high nominal Naira price as a large-cap cross-listed stock. Share_Price_YearEnd = Dec-31 market cap / shares outstanding, market cap from S&amp;P Global Market Intelligence (via stockanalysis.com). | Board_Independence=54.55% (6 of 11 directors explicitly marked 'Independent: yes' -- Andrew Green, Awuneba Ajumogobia, John Danilovich, Tsega Gebreyes, Ravi Rajagopal, Annika Poutiainen -- vs. 5 marked 'Independent: no': Sunil Bharti Mittal, Olusegun Ogunsanya, Jaideep Paul, Akhil Gupta, Shravin Bharti Mittal), per the standalone 'Governance report' chapter of the FY2024 Annual Report [cdn-webportal.airtelstream.net/website/investor/main/pdf/annual-report/Governance-Report-2024.pdf], 'Our Board of directors' section, each director's page explicitly stating 'Independent: yes/no'. Ownership_Concentration LEFT BLANK -- genuine gap: this Governance-Report-2024 chapter (a split-out PDF covering only the Governance section) does not include the 'Major shareholders' table, which sits in the separate Directors' report chapter; that chapter's FY2024-specific PDF/URL was not located this session (only the FY2025 equivalent, used for row 46, and the full combined AR PDF, which truncates before reaching it, were found).</t>
  </si>
  <si>
    <t>Converted using Dec-2025 rate 1,448.06 NGN/USD (MEDIUM-HIGH CONFIDENCE, reasonably close to March-2025 given relative stability by then). USD basis: TA=$12,023m, TL=$9,248m, NI=$328m. Shares further reduced via second buyback tranche. FYE 31-March. Share price only have non-FYE spot quotes (N715 Sep-2021, N2,270-3,323 in 2026) - historical FYE prices for 2022-2024 not found (stockanalysis.com history page only exposes rolling 6-month window via fetch). NGX-quoted NGN price (not a USD conversion) - Airtel Africa trades at a high nominal Naira price as a large-cap cross-listed stock. Share_Price_YearEnd = Dec-31 market cap / shares outstanding, market cap from S&amp;P Global Market Intelligence (via stockanalysis.com). | Board_Independence=50.0% (6 of 12 directors explicitly marked 'Independent: yes' -- Andrew Green, Awuneba Ajumogobia, Paul Arkwright, Tsega Gebreyes, Annika Poutiainen, Ravi Rajagopal -- vs. 6 marked 'Independent: no': Sunil Bharti Mittal, Sunil Taldar, Jaideep Paul, Akhil Gupta, Shravin Bharti Mittal, Gopal Vittal), per the 'Our Board of directors' web chapter of the FY2025 Annual Report and Accounts [cdn-webportal.airtelstream.net/website/investor/main/AR2025/reports/p033-our-board-of-directors-13845.html], each director's profile explicitly stating 'Independent: yes/no'. Ownership_Concentration=62.35% (Airtel Africa Mauritius Limited, largest of three notified major shareholders as at 31-Mar-2025, per the 'Major shareholders' table in the FY2025 Directors' report chapter [same site, p054-directors-report-13853.html]: 'Airtel Africa Mauritius Limited 2,288,691,385 voting rights / 62.35%; Indian Continent Investment Limited 595,204,251 / 16.22%; Qatar Holding LLC 134,726,964 / 3.67%', disclosed under FCA Disclosure Guidance and Transparency Rule 5).</t>
  </si>
  <si>
    <t>AUDITED. Company basis. Consistency check passed (off by N1,000 rounding).  Share_Price_YearEnd = Dec-31 market cap / shares outstanding, market cap from S&amp;P Global Market Intelligence (via stockanalysis.com). | Ownership_Concentration=67.55% (Tower Aluminum Nigeria Limited, largest of three substantial (&gt;5%) shareholders as at 31-Dec-2021, per 'Details of Interest in Shareholding' table, FY2021 Annual Report [greenwichregistrars.com/wp-content/uploads/2022/11/ALEX-FYE-2021-Annual-Report-Accounts.pdf]: Tower Aluminum Nigeria Ltd 67.55%, Imo State Government (Ministry of Finance Incorporated) 8.27%, Abia State Government (Ministry of Finance Incorporated) 6.14%). Board_Independence LEFT BLANK -- genuine gap: 'Board Composition' section states 'The Board is made up of four(4) Directors. Three (3) Non-Executive Directors and one (1) Executive Director' (Dr. Pascal G. Dozie-Chairman, Chief (Dr.) Jinesh C. Dugad-NED, Chief (Barr) Peter C. Mgbenwelu-NED, Dr. John Nwaiwu-NED, plus one Executive Director) -- no director anywhere in the document is labelled 'Independent'. Not inferred as 0%. | EXCLUDED FROM 'Final Sample' (stricter, 17-Aug-2026): Condition 5 (Section 3.6): NGX compliance status 'BMF' is not among the retained exception codes (BLS/MRF/RST).</t>
  </si>
  <si>
    <t>PARTIALLY RESOLVED, medium-high confidence: NGX doclib source PDFs for ALEX are scanned images (no text layer) - figures instead from stockanalysis.com/S&amp;P Global Market Intelligence, cross-validated against independent primary snippets (Reuters/NGX wire for FY2024, AfricanFinancials Q3-2025 primary figure) at two other points in the series. Share_Price_YearEnd for FY2022 remains an open gap. | FY2022 Board_Independence: GENUINE GAP - FY2022 Quarter 5 audited FS (NGX doclib #37867, filed Mar-2023) is a scanned image, no machine-readable text; no FY2022-specific NCCG compliance report located for ALEX; board known (Dozie-Chairman/NED, Nwaiwu, Mgbenwelu-NED, Ganesh-MD) but no document explicitly labels any director 'Independent' for FY2022 specifically -- not inferred, per methodology. FY2022 Ownership_Concentration=67.55%: largest shareholder = Tower Aluminium Nigeria Plc (In Receivership), 148,586,921 shares = 67.55% of issued share capital, same block later transferred 2-Nov-2023 to Tower Alloys Industries Ltd at identical 67.55% (NGX 'Change in Shareholding' disclosure, doclib ref 45225808), consistent with FY2021 AR (Greenwich Registrars ALEX-FYE-2021 Annual Report) confirmed 67.55% Tower Aluminium Nigeria Ltd holding carried unchanged into FY2022 (no intervening change disclosed). | Share_Price_YearEnd=6.5 sourced from the firm's own corporate/investor-relations website, manually verified by user (Ben) and supplied directly, 17-Aug-2026 -- resolves the previously-flagged Share_Price_YearEnd open gap. Market_Value_Equity and Tobin_Q recompute automatically via existing workbook formulas. | EXCLUDED FROM 'Final Sample' (stricter, 17-Aug-2026): Condition 5 (Section 3.6): NGX compliance status 'BMF' is not among the retained exception codes (BLS/MRF/RST).</t>
  </si>
  <si>
    <t>Net Income confirmed via AfricanFinancials summary of FY2024 AR comparative (Revenue N502.5m, NPAT N117.1m). Total Assets/Liabilities not yet located from any source. Total_Assets/Total_Liabilities added (medium-high confidence, same secondary source as FY2022, cross-validated - see FY2022 note). Share_Price_YearEnd remains an open gap. | FY2023 Board_Independence: GENUINE GAP - FY2023 Annual Report (africanfinancials.com/document/ng-alex-2023-ar-00) only accessible via non-extractable Google Drive embed; FY2023 Quarter 5 FS (NGX doclib #40224) confirmed scanned/non-machine-readable (empty PDF). Board known to include Dozie(Chairman/NED), Nwaiwu, Mgbenwelu(NED), Ganesh(MD), and Chief Jinesh Dugad(NED, appointed 20-Sep-2023 per MarketScreener corporate action report of NGX disclosure), but no accessible document explicitly labels any director 'Independent' for FY2023 specifically -- not inferred, per methodology. FY2023 Ownership_Concentration=67.55%: largest shareholder as at FY-end = Tower Alloys Industries Limited, 148,586,921 shares = 67.55%, acquired from Tower Aluminium Nigeria Plc (In Receivership) on 2-Nov-2023 per NGX 'Change in Shareholding' corporate disclosure (doclib ref 45225808), corroborated by Nairametrics (2-Nov-2023) and AlCircle reporting of the same NGX filing. | Share_Price_YearEnd=7.15 sourced from the firm's own corporate/investor-relations website, manually verified by user (Ben) and supplied directly, 17-Aug-2026 -- resolves the previously-flagged Share_Price_YearEnd open gap. Market_Value_Equity and Tobin_Q recompute automatically via existing workbook formulas. | EXCLUDED FROM 'Final Sample' (stricter, 17-Aug-2026): Condition 5 (Section 3.6): NGX compliance status 'BMF' is not among the retained exception codes (BLS/MRF/RST).</t>
  </si>
  <si>
    <t>Total Assets/Liabilities/Equity confirmed via HY2025 interim comparative. Full-year Net Income not yet found (only 9-month interim figures available).  Share_Price_YearEnd = Dec-31 market cap / shares outstanding, market cap from S&amp;P Global Market Intelligence (via stockanalysis.com). Net_Income added: -200,250 (net LOSS), medium-high confidence - matches an independent Reuters/NGX wire figure (-186.3m pre-tax) within a plausible tax-adjustment margin. | FY2024 Board_Independence=20% (1/5): source = NGX doclib #43578 'Report on Compliance with the NCCG 2018' for ALEX (filed/signed 28-Mar-2025, covering FY2024). Board Details table lists 5 members: Dr. Pascal E. Dozie CON (Chairman, designation=Chairman/NED per Q iii 'Chairman is a NED'), Dr. John Nwaiwu FPSN (Independent Non-Executive Director, appointed 15-Sep-2006), Chief (Barr.) Peter Mgbenwelu (Non-Executive Director), Mr. Veeraraghavan Ganesh (Managing Director), Chief Jinesh Dugad (Non-Executive Director, appointed 20-Sep-2023). 1 of 5 explicitly labelled 'Independent Non-Executive Director' = 20%. FY2024 Ownership_Concentration=67.55%: Tower Alloys Industries Limited, 148,586,921 shares = 67.55%, unchanged since 2-Nov-2023 acquisition (NGX Change in Shareholding disclosure, doclib ref 45225808); no further change in substantial shareholding found disclosed through FY2024 in searched NGX corporate actions. | EXCLUDED FROM 'Final Sample' (stricter, 17-Aug-2026): Condition 5 (Section 3.6): NGX compliance status 'BMF' is not among the retained exception codes (BLS/MRF/RST).</t>
  </si>
  <si>
    <t>Q3-2025 INTERIM ONLY, not full-year audited. Total Liabilities not separately stated in source. NGX Compliance: BMF - free-float deficient (16.61%%) + missed 2025 Q4 quarterly filing.  Share_Price_YearEnd = Dec-31 market cap / shares outstanding, market cap from S&amp;P Global Market Intelligence (via stockanalysis.com). Total_Liabilities added (medium-high confidence, AfricanFinancials Q3-2025 primary-sourced figure, cross-validated against Total_Assets already on file). | FY2025 Board_Independence &amp; Ownership_Concentration: GENUINE GAP - no FY2025 Annual Report, Quarter 5 audited FS, or NCCG compliance report for ALEX could be located/accessed as of this research (Aug-2026); Q3-2025 interim FS (NGX doclib #45392) confirmed scanned/non-machine-readable. FY2024 NCCG report (20% BI, Tower Alloys 67.55% OC) is the latest confirmed primary-source data point but is NOT carried forward per non-extrapolation methodology since no FY2025-specific filing was found to confirm the board/shareholding was unchanged. | EXCLUDED FROM 'Final Sample' (stricter, 17-Aug-2026): Condition 5 (Section 3.6): NGX compliance status 'BMF' is not among the retained exception codes (BLS/MRF/RST).</t>
  </si>
  <si>
    <t>AUDITED. Group basis. Consistency check passed exactly. NGX-listed only from 14-Oct-2024 - share price is the LISTING-DAY price, not a true 31-Dec year-end close (LOW-MEDIUM CONFIDENCE on price only; balance sheet figures are high confidence). | Aradel Holdings Plc 2024 Annual Report &amp; Accounts (NGX doclib #43494, 'Sustaining Momentum' AR, filed Mar-2025), first Annual Report as NGX-listed entity (listed by introduction 14-Oct-2024). Corporate Governance Report + Report of the Directors, full text extracted and read. Board_Independence=11.11% (1/9): as at 31-Dec-2024 -- Ladi Jadesimi(Chairman), Adegbite Falade(CEO/MD), Adegbola Adesina(CFO/FD), Ede Osayande(NED), Osten Olorunsola(NED), Thierry Georger(NED, resigned effective 31/12/2024 -- included as serving the full FY2024 year per the filing's own point-in-time footnote), Afolabi Oladele(NED), Gbenga Adetoro(NED), Patricia Simon-Hart(Independent Non-Executive Director) = 9 total, 1 Independent. (Kerin Jayne Gunter excluded -- appointed 2/1/2025, after FY2024 year-end.) Ownership_Concentration=8.31% (Petrolin Ocean Limited): SOURCE-REVISED -- this AR's own 'Shareholding Analysis' section only provides a range-analysis table (no named holders); the NGX Listing Memorandum (doclib, filed ~Oct-2024) shows a differently-dated 'Shareholding Structure' table naming Capital Alliance Private Equity IV Limited at 16.49% as at the Listing Memorandum date, but the more precise, later-dated FY2025 Annual Report (NGX doclib #47218)'s 'Share Capital' note explicitly states 'As at 31 December 2024, the below shareholders held 5% or more...': Petrolin Ocean Limited 360,899,945 shares=8.31%, Adeola Fola 240,002,980=5.52%, Badagry Creek FZE 229,034,760=5.27% (Capital Alliance Private Equity IV Limited no longer appears in this Dec-31-2024-dated table, implying its stake fell below 5% between the Oct-2024 Listing Memorandum date and FY-end). The Dec-31-2024-dated figure is preferred as more precisely matching the required fiscal-year-end point-in-time definition. Largest = Petrolin Ocean Limited, 8.31%.</t>
  </si>
  <si>
    <t>AUDITED. Group basis. Consistency check passed exactly. Total Assets grew ~5.7x due to a major, auditor-flagged step acquisition (ND Western Ltd + Renaissance Africa Energy) consolidated as subsidiaries on 31-Dec-2025 - a real structural break, not a data error. Share price confirmed as 2026 opening price (=31-Dec-2025 close). | Aradel Holdings Plc FY2025 Consolidated and Separate Financial Statements (NGX doclib #47218, 'Quarter 5' filing, filed Jun-2026 -- supersedes the earlier, less-complete #45966 'Year End' Feb-2026 filing which lacked the full Report of Directors). Full text extracted and read. Board_Independence=20% (2/10): as at 31-Dec-2025 -- Osten/Augustine Olorunsola(Chairman, succeeded Ladi Jadesimi who resigned 8/7/2025), Adegbite Falade(CEO/MD), Adegbola Adesina(CFO), Afolabi Oladele(NED), Olugbenga Adetoro(NED), Patricia Simon-Hart(Independent NED), Kerin Jayne Gunter(NED, appointed 2/1/2025), Olusola Adeeyo(NED, appointed 25/7/2025), George Osahon(NED, appointed 25/7/2025), Mahmud Tukur(Independent NED, appointed 25/7/2025) = 10 total, 2 explicitly labelled Independent. (Excluded: Ladi Jadesimi -- resigned 8/7/2025, before year-end; Nnoli Akpedeye, Independent NED -- appointed 2/2/2026, AFTER FY2025 year-end; Thierry Georger and Ede Osayande -- resigned 31/12/2024, before FY2025 began.) Ownership_Concentration=8.31% (Petrolin Ocean Limited): 'Report of the Directors - Share Capital' note states 'As at 31 December 2025, the below shareholders held 5% or more of the issued and fully paid shares': Petrolin Ocean Limited 360,899,945=8.31%, Petrolin Trading Limited 171,793,774=3.95% (below threshold, listed due to relatedness), Adeola Fola 240,002,980=5.52%, Badagry Creek FZE 230,034,760=5.29%. Largest = Petrolin Ocean Limited, 8.31% (unchanged from FY2024).</t>
  </si>
  <si>
    <t>AUDITED balance sheet; Net Income DERIVED from equity change (liabilities held flat), not a primary income statement line.  Share_Price_YearEnd = Dec-31 market cap / shares outstanding, market cap from S&amp;P Global Market Intelligence (via stockanalysis.com). | Austin Laz &amp; Co. Plc, Statement of Affairs FYE 31-Dec-2021 (NGX doclib #34832), full text extracted and read. Board_Independence: GENUINE GAP - Corporate Information lists 6 directors: Prof. Pat Utomi(Chairman), Dr. A.L. Asimonye(Vice Chairman/CEO), Barr.(Mrs.) C.O. Asimonye(Director), Barr. Ifeanyi Ofor(Director), Engr. Charles Odita(Director), Dr. Oguike Tempe(Director) -- none labelled 'Non-Executive' or 'Independent', simply 'Director'/'Chairman'/'Vice Chairman-CEO'; not inferred. (Note: 'The members of the Audit Committee are not required to be independent' is boilerplate specific to the separate Statutory Audit Committee, not the main board.) Ownership_Concentration=9.26%: 'Substantial Shareholders Interest' table, 'On the record of the register of members as at December 31, 2021': Arin Labs Int'l Ltd, Unibake Ltd, and Resort Securities Ltd EACH hold 100,000,000 shares -- a three-way tie for largest. Total issued shares = 1,079,860,000 (derived from the Range Analysis table's 'Above 50,000,000' row: 6 holders/1,047,860,000 units/97.03%, implying total ~1,079,860,000, consistent with the Directors' Report's own statement 'about 1,079,860 shares are held by about 370 Nigerians' read in thousands). 100,000,000/1,079,860,000 = 9.26% each (tied largest); company operationally dormant/suspended since Q3-2019 (zero turnover).</t>
  </si>
  <si>
    <t>AUDITED balance sheet; Net Income DERIVED from equity change (liabilities held flat), not a primary income statement line.  Share_Price_YearEnd = Dec-31 market cap / shares outstanding, market cap from S&amp;P Global Market Intelligence (via stockanalysis.com). | Austin Laz &amp; Co. Plc FY2022: no standalone FY2022 Annual Report/Statement of Affairs was located on NGX doclib distinct from the FY2021 and FY2023 filings. Derived via the sanctioned comparative-column method from the FY2023 Statement of Affairs (NGX doclib #40358, filed Feb-2024), full text extracted and read: Corporate Information lists the IDENTICAL 6 directors as FY2021 (Prof. Pat Utomi-Chairman, Dr. A.L. Asimonye-Vice Chairman/CEO, Barr.(Mrs.) C.O. Asimonye-Director, Barr. Ifeanyi Ofor-Director, Engr. Charles Odita-Director, Dr. Oguike Tempe-Director), and the 'Directors Interest in Shares' table's 2022 column shows unchanged holdings from 2021 -- Board_Independence: GENUINE GAP, no director labelled Independent (same reasoning as FY2021). Ownership_Concentration=9.26%: the FY2023 filing's 'Substantial Shareholders Interest' table is explicitly captioned 'as at December 31, 2022' (i.e. this filing's own labelled FY2022 data): Arin Labs Int'l Ltd, Unibake Ltd, Resort Securities Ltd each 100,000,000 shares = 9.26% (three-way tie), total issued shares 1,079,860,000 (unchanged). Company remained dormant (zero turnover, identical Total Assets 1,302,578 in both 2022 and 2023 columns) throughout the year.</t>
  </si>
  <si>
    <t>AUDITED, directly stated.  Share_Price_YearEnd = Dec-31 market cap / shares outstanding, market cap from S&amp;P Global Market Intelligence (via stockanalysis.com). | Austin Laz &amp; Co. Plc, Statement of Affairs FYE 31-Dec-2023 (NGX doclib #40358, filed Feb-2024), full text extracted and read. Board_Independence: GENUINE GAP - same 6 directors as FY2021/FY2022 (Utomi-Chairman, A.L.Asimonye-Vice Chairman/CEO, C.O.Asimonye-Director, Ofor-Director, Odita-Director, Tempe-Director), none labelled Independent. Ownership_Concentration=9.26%: SOURCE CAVEAT - this filing's 'Substantial Shareholders Interest' table is captioned 'as at December 31, 2022' (an apparent un-updated label/copy-paste artifact carried over from the prior year's template, since this is nominally the FY2023 filing), showing Arin Labs Int'l Ltd, Unibake Ltd, Resort Securities Ltd each 100,000,000 shares = 9.26% (tied largest) of 1,079,860,000 total issued shares. Applied to FY2023 on the basis that the company was completely dormant with zero share-capital or shareholding changes all year (Total Assets, Paid-up Share Capital, and all Directors' share-interest figures are IDENTICAL between the 2023 and 2022 columns throughout this filing, confirming no share transactions occurred).</t>
  </si>
  <si>
    <t>AUDITED, directly stated. Consistency check passed exactly.  Share_Price_YearEnd = Dec-31 market cap / shares outstanding, market cap from S&amp;P Global Market Intelligence (via stockanalysis.com). | Austin Laz &amp; Co. Plc, Audited Financial Statements FYE 31-Dec-2024 (NGX doclib #43103, filed Feb-2025), full text extracted and read. Operations resumed this year (Turnover N1,316,125,000, first revenue since Q3-2019 suspension). Board_Independence: GENUINE GAP - board reconstituted to 8 directors: Engr.(Dr) Austin L. Asimonye(Chairman/CEO), Chief(Engr.) Andrew C. Ojogbo(NED), Bar.(Mrs.) C.O. Asimonye(NED), Engr. Kingsley Oyakhire(NED), Mr. Abel Enechezian(NED), Mr. Christopher Eromosele Itua(NED), Engr. Judith Asimonye(NED), Mr. Nyemike Ogbechie(NED) -- all explicitly 'NON-EXECUTIVE DIRECTOR' except the Chairman/CEO, but none labelled 'Independent Non-Executive Director'; not inferred from Non-Executive status alone. Ownership_Concentration=9.26%: 'Substantial Shareholders Interest ... as at December 31, 2024': Arin Labs Int'l Ltd, Unibake Ltd, Resort Securities Ltd each 100,000,000 shares = 9.26% (tied largest) of 1,079,860,000 total issued shares (unchanged from prior years).</t>
  </si>
  <si>
    <t>Q3-2025 INTERIM ONLY (9-month figures), not full-year audited. Company reported ZERO revenue in 2025 due to ongoing 'retooling' operational halt. Share price is 2026 opening price (~31-Dec-2025 close proxy). | Austin Laz &amp; Co. Plc, Financial Statements FYE 31-Dec-2025 (NGX doclib #45913, filed Jan-2026), full text extracted and read. Directors' Report states the company 'was inactive in most part of 2024 and throughout the year 2025 due to the moribund condition of the productive capacity' -- zero turnover confirmed. Board_Independence: GENUINE GAP - 9 directors: Mr. Christopher Eromosele Itua(Chairman, promoted from NED), Engr.(Dr) Austin L. Asimonye(CEO), Chief(Engr.) Andrew C. Ojogbo(NED), Bar.(Mrs.) C.O. Asimonye(NED), Engr. Kingsley Oyakhire(NED), Mr. Abel Enechezian(NED), Engr. Judith Asimonye(NED), Mr. Nyemike Ogbechie(NED), Rear Admiral Julius Nwagu RTD(NED, new appointee) -- none labelled Independent. Ownership_Concentration=9.26%: 'Substantial Shareholders Interest ... as at December 31, 2025': only Arin Labs Int'l Ltd and Unibake Ltd now listed, each still 100,000,000 shares = 9.26% (tied largest) of 1,079,860,000 total issued shares (Resort Securities Ltd no longer appears in this year's table vs. prior years -- stake presumably fell below disclosure threshold or was omitted; not independently verifiable from this filing).</t>
  </si>
  <si>
    <t>AUDITED. CORRECTED IDENTITY: original list mislabeled this ticker as British American Tobacco Nigeria - verified BAPLC is actually Briclinks Africa Plc, an internet service provider. ~96%% of liabilities is a single Director's Loan Account, not conventional debt. Flat price across the window per stockanalysis.com, matches the live quote - consistent with an illiquid micro-cap, not a data error. Share_Price_YearEnd = Dec-31 market cap / shares outstanding, market cap from S&amp;P Global Market Intelligence (via stockanalysis.com).</t>
  </si>
  <si>
    <t>AUDITED. Consistency check passed exactly. Flat price across the window per stockanalysis.com, matches the live quote - consistent with an illiquid micro-cap, not a data error. Share_Price_YearEnd = Dec-31 market cap / shares outstanding, market cap from S&amp;P Global Market Intelligence (via stockanalysis.com).</t>
  </si>
  <si>
    <t>Balance sheet AUDITED; Net Income DERIVED from retained earnings change (filing itself only shows Q4-only income statement, a filing-format quirk for this small company). Flat price across the window per stockanalysis.com, matches the live quote - consistent with an illiquid micro-cap, not a data error. Share_Price_YearEnd = Dec-31 market cap / shares outstanding, market cap from S&amp;P Global Market Intelligence (via stockanalysis.com).</t>
  </si>
  <si>
    <t>CORRECTED this session: the prior TA figure (767,000,000) was an approximation based on a stale 30-Jun-2024 interim snapshot. NGX doclib primary filings (Q1-2025 report's audited 31-Dec-2024 comparative column) confirm the REAL year-end position is far larger: Total_Assets=8,169,037k, Total_Liabilities=8,113,557k, Total_Equity=55,480k. The ~10x jump vs mid-2024 is REAL, not a data error - driven by a large intangible-asset addition (+N6.02bn) funded by a matching new non-current liability (+N7.38bn), with no explanatory note disclosed in the filings (flagged for scrutiny - looks like an undisclosed related-party asset injection). HIGH confidence (primary NGX doclib source, machine-readable). | CORRECTED 17-Aug-2026 (user-supplied, manually verified): Net_Income FY2024 changed from 38000000 to 22363.63 (raw NGN 22,363,630 converted to NGN'000), superseding the prior related-party-injection-flagged figure of 38,000,000.</t>
  </si>
  <si>
    <t>RESOLVED, moderate confidence: the earlier 'REJECTED' N8.18bn figure was in fact directionally correct (see FY2024 note - a real, large balance-sheet expansion occurred in Dec-2024, not FY2025). FY2025 figures built from primary NGX doclib Q1/Q2 interims (high confidence) plus AfricanFinancials AI-summarized Q3/Q4 interims (secondary, moderate confidence) that roll forward consistently from the audited base: Total_Assets and Total_Liabilities are Q4-2025 (Dec-31) snapshot; Net_Income is the sum of all 4 quarters (10,582+9,272+11,075+9,990=40,919). Share_Price_YearEnd remains an open gap. | Share_Price_YearEnd=6.25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</si>
  <si>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AUDITED. Consistency check passed exactly. Auditor: KPMG (Big4=1).</t>
  </si>
  <si>
    <t>AUDITED, Company basis (first year with Swift Painting subsidiary). Auditor: KPMG (Big4=1).</t>
  </si>
  <si>
    <t>Group basis, secondary AI-summarized source (medium confidence). AUDITOR CHANGED to Pannell Kerr Forster (NOT Big4) - Big4_Auditor=0 for this year, overriding default. Share_Price_YearEnd=20.0122 from Dec-31-2024 market cap ~5.80B NGN (stockanalysis.com / S&amp;P Global Market Intelligence).</t>
  </si>
  <si>
    <t>Group basis, secondary AI-summarized source (medium confidence). Auditor Pannell Kerr Forster - Big4_Auditor=0 for this year, overriding default. Share_Price_YearEnd=47.9947 from Dec-31-2025 market cap ~13.91B NGN (stockanalysis.com / S&amp;P Global Market Intelligence).</t>
  </si>
  <si>
    <t>RESOLVED, HIGH confidence: Beta Glass Plc 2021 Annual Report ('Results at a Glance' + MD&amp;A), CardinalStone Registrars. TA-TL=42,127,418 matches already-confirmed Total_Equity exactly. Source: NGX doclib / registrar-hosted primary annual report. | Net_Income=5,457,671 backfilled this pass (was confirmed in this note but never written to cell).</t>
  </si>
  <si>
    <t>RESOLVED, HIGH confidence: Beta Glass Plc 2022 Annual Report, CardinalStone Registrars (full Statement of Financial Position reconstructed from PPE/ROU/Intangibles/current-assets and deferred-tax/borrowings/payables/tax/dividend line items). TA-TL=46,263,350 matches already-confirmed Total_Equity exactly. Source: NGX doclib / registrar-hosted primary annual report. | Net_Income=4,685,414 backfilled this pass (was confirmed in this note but never written to cell).</t>
  </si>
  <si>
    <t>RESOLVED, HIGH confidence: Total_Assets=106,851,901, Total_Liabilities=54,846,891, Net_Income=6,442,220 sourced from Beta Glass Plc Audited 2023 Annual Report (Statement of Financial Position &amp; Statement of Profit or Loss), user-supplied and cross-verified: TA-TL=52,005,010 matches already-confirmed Total_Equity=52,005,006 (rounding), NI matches already-confirmed 6,442,223 (rounding). Trend-consistent with FY2022 TA=75,944,552 and FY2024 TA=134,352,197. SFP extraction barrier from prior session (scanned doclib PDF) resolved via alternate source (fliphtml5-hosted annual report).</t>
  </si>
  <si>
    <t>FULLY RESOLVED - audited, consistency check passed exactly. Source: company's own IR site, not NGX doclib (failed 3 times). Shares_Outstanding CORRECTED this session (was wrong/inconsistent - see Firm Master Notes). Share_Price_YearEnd = Dec-31 market cap / shares outstanding, market cap from S&amp;P Global Market Intelligence (via stockanalysis.com).</t>
  </si>
  <si>
    <t>FULLY RESOLVED - audited, consistency check passed exactly. Majority shareholding sold to Helios Investment Partners, Feb-2026 (subsequent event). Shares_Outstanding CORRECTED this session (was wrong/inconsistent - see Firm Master Notes). Share_Price_YearEnd = Dec-31 market cap / shares outstanding, market cap from S&amp;P Global Market Intelligence (via stockanalysis.com).</t>
  </si>
  <si>
    <t>Total Equity=398,116,748 confirmed audited. Total Assets/Liabilities UNRESOLVED - SFP page did not extract. Price for completeness only - Total_Assets/Liabilities remain an unresolved data gap for FY2021 (see note above). Share_Price_YearEnd = Dec-31 market cap / shares outstanding, market cap from S&amp;P Global Market Intelligence (via stockanalysis.com). RESOLVED, MEDIUM confidence (rounded to nearest ~N0.1bn): ThisDayLive coverage (4-Apr-2022) of the audited FY2021 results - the article's P&amp;L figures (Revenue 257,327,091; PBT 102,873,325; PAT 90,079,011) match the primary audited FS exactly, lending confidence to the rounded balance-sheet figures too, though the primary doclib SOFP page itself is image-only/non-extractable. TA-TL=398,100,000 approx. matches already-confirmed Total_Equity=398,116,748.</t>
  </si>
  <si>
    <t>AUDITED. Consistency check passed exactly. Shares_Outstanding CORRECTED this session (was off by 2-3 orders of magnitude - see Firm Master Notes). Share_Price_YearEnd = Dec-31 market cap / shares outstanding, market cap from S&amp;P Global Market Intelligence (via stockanalysis.com).</t>
  </si>
  <si>
    <t>AUDITED. Consistency check passed exactly. IFRS_S1S2_Adopter_Dummy=0 evidenced - notes discuss IFRS S1/S2 as 'not yet adopted', mandatory 2028. Shares_Outstanding CORRECTED this session (was off by 2-3 orders of magnitude - see Firm Master Notes). Share_Price_YearEnd = Dec-31 market cap / shares outstanding, market cap from S&amp;P Global Market Intelligence (via stockanalysis.com).</t>
  </si>
  <si>
    <t>Medium confidence - from AR press summary/secondary source, not primary SFP line yet. Shares_Outstanding CORRECTED this session (was off by 2-3 orders of magnitude - see Firm Master Notes). Share_Price_YearEnd = Dec-31 market cap / shares outstanding, market cap from S&amp;P Global Market Intelligence (via stockanalysis.com).</t>
  </si>
  <si>
    <t>AUDITED. Consistency check passed exactly. Shares_Outstanding CORRECTED this session (was off by 35x-260x - see Firm Master Notes). Share_Price_YearEnd = Dec-31 market cap / shares outstanding, market cap from S&amp;P Global Market Intelligence (via stockanalysis.com).</t>
  </si>
  <si>
    <t>AUDITED. Consistency check passed exactly. IFRS_S1S2_Adopter_Dummy=0 explicitly evidenced. Shares_Outstanding CORRECTED this session (was off by 35x-260x - see Firm Master Notes). Share_Price_YearEnd = Dec-31 market cap / shares outstanding, market cap from S&amp;P Global Market Intelligence (via stockanalysis.com).</t>
  </si>
  <si>
    <t>Medium confidence - unaudited full-year press release, not yet primary-confirmed. Shares_Outstanding CORRECTED this session (was off by 35x-260x - see Firm Master Notes). Share_Price_YearEnd = Dec-31 market cap / shares outstanding, market cap from S&amp;P Global Market Intelligence (via stockanalysis.com).</t>
  </si>
  <si>
    <t>AUDITED. Consistency check passed exactly. CORRECTED this session: Shares_Outstanding and Share_Price_YearEnd were corrupted/swapped (had a value resembling shares outstanding sitting in the price column, and garbage/negative values in the shares column). Restored Shares_Outstanding=1,878,000,000 from the balance sheet; Share_Price_YearEnd=8.8019 computed from Dec-31-2021 market cap ~16.53B NGN. Share_Price_YearEnd = Dec-31 market cap / Shares_Outstanding, market cap from S&amp;P Global Market Intelligence (via stockanalysis.com). MEDIUM-HIGH confidence (billions-precision source rounding).</t>
  </si>
  <si>
    <t>RESTATED (Note 32 correction) - 1-Jan-2023 restated opening balance = 31-Dec-2022 closing. NI confirmed independently. CORRECTED this session: Shares_Outstanding and Share_Price_YearEnd were corrupted/swapped (had a value resembling shares outstanding sitting in the price column, and garbage/negative values in the shares column). Restored Shares_Outstanding=1,878,000,000 from the balance sheet; Share_Price_YearEnd=11.901 computed from Dec-31-2022 market cap ~22.35B NGN. Share_Price_YearEnd = Dec-31 market cap / Shares_Outstanding, market cap from S&amp;P Global Market Intelligence (via stockanalysis.com). MEDIUM-HIGH confidence (billions-precision source rounding).</t>
  </si>
  <si>
    <t>RESTATED, audited - CORRECTED from an earlier unaudited version with materially different figures. Consistency check passed exactly. CORRECTED this session: Shares_Outstanding and Share_Price_YearEnd were corrupted/swapped (had a value resembling shares outstanding sitting in the price column, and garbage/negative values in the shares column). Restored Shares_Outstanding=1,878,000,000 from the balance sheet; Share_Price_YearEnd=19.0043 computed from Dec-31-2023 market cap ~35.69B NGN. Share_Price_YearEnd = Dec-31 market cap / Shares_Outstanding, market cap from S&amp;P Global Market Intelligence (via stockanalysis.com). MEDIUM-HIGH confidence (billions-precision source rounding).</t>
  </si>
  <si>
    <t>GENUINELY AUDITED, PwC unqualified opinion 31-Mar-2025. Shares rose via Feb-2024 debt-to-equity conversion. Consistency check passed exactly. CORRECTED this session: Shares_Outstanding and Share_Price_YearEnd were corrupted/swapped (had a value resembling shares outstanding sitting in the price column, and garbage/negative values in the shares column). Restored Shares_Outstanding=2,280,000,000 from the balance sheet; Share_Price_YearEnd=21.5044 computed from Dec-31-2024 market cap ~49.03B NGN. Share_Price_YearEnd = Dec-31 market cap / Shares_Outstanding, market cap from S&amp;P Global Market Intelligence (via stockanalysis.com). MEDIUM-HIGH confidence (billions-precision source rounding).</t>
  </si>
  <si>
    <t>GENUINELY AUDITED, PwC unqualified opinion 31-Mar-2026. Consistency check passed exactly. PwC steps down after FY2026 (10yr CAMA limit). CORRECTED this session: Shares_Outstanding and Share_Price_YearEnd were corrupted/swapped (had a value resembling shares outstanding sitting in the price column, and garbage/negative values in the shares column). Restored Shares_Outstanding=2,280,000,000 from the balance sheet; Share_Price_YearEnd=59.9079 computed from Dec-31-2025 market cap ~136.59B NGN. Share_Price_YearEnd = Dec-31 market cap / Shares_Outstanding, market cap from S&amp;P Global Market Intelligence (via stockanalysis.com). MEDIUM-HIGH confidence (billions-precision source rounding).</t>
  </si>
  <si>
    <t>AUDITED. Consistency check passed exactly. Absorbed Portland Paints and Products Nigeria Plc via merger effective 1-Jul-2021. CORRECTED this session: Shares_Outstanding and Share_Price_YearEnd were corrupted/swapped (see Firm Master Notes). Share_Price_YearEnd = Dec-31 market cap / shares outstanding, market cap from S&amp;P Global Market Intelligence (via stockanalysis.com).</t>
  </si>
  <si>
    <t>AUDITED. Consistency check passed exactly. Shares rose via 2022 scrip dividend. CORRECTED this session: Shares_Outstanding and Share_Price_YearEnd were corrupted/swapped (see Firm Master Notes). Share_Price_YearEnd = Dec-31 market cap / shares outstanding, market cap from S&amp;P Global Market Intelligence (via stockanalysis.com).</t>
  </si>
  <si>
    <t>AUDITED. Consistency check passed exactly. CORRECTED this session: Shares_Outstanding and Share_Price_YearEnd were corrupted/swapped (see Firm Master Notes). Share_Price_YearEnd = Dec-31 market cap / shares outstanding, market cap from S&amp;P Global Market Intelligence (via stockanalysis.com).</t>
  </si>
  <si>
    <t>AUDITED (explicit 'FY 2025 Audited Results'). Consistency check passed exactly. Subsidiary of UAC of Nigeria Plc (57.85%%), also in this sample - related-party link. CORRECTED this session: Shares_Outstanding and Share_Price_YearEnd were corrupted/swapped (see Firm Master Notes). Share_Price_YearEnd = Dec-31 market cap / shares outstanding, market cap from S&amp;P Global Market Intelligence (via stockanalysis.com).</t>
  </si>
  <si>
    <t>AUDITED. Consistency check passed exactly (Total Equity=17,306,920).  Share_Price_YearEnd = Dec-31 market cap / shares outstanding, market cap from S&amp;P Global Market Intelligence (via stockanalysis.com).</t>
  </si>
  <si>
    <t>AUDITED. Consistency check passed exactly (Total Equity=12,145,206).  Share_Price_YearEnd = Dec-31 market cap / shares outstanding, market cap from S&amp;P Global Market Intelligence (via stockanalysis.com).</t>
  </si>
  <si>
    <t>AUDITED. Consistency check passed exactly (Total Equity=-747,635). Equity turns negative this year.  Share_Price_YearEnd = Dec-31 market cap / shares outstanding, market cap from S&amp;P Global Market Intelligence (via stockanalysis.com).</t>
  </si>
  <si>
    <t>AUDITED. Consistency check passed exactly (Total Equity=-54,607,451). Deep going-concern losses.  Share_Price_YearEnd = Dec-31 market cap / shares outstanding, market cap from S&amp;P Global Market Intelligence (via stockanalysis.com).</t>
  </si>
  <si>
    <t>AUDITED (board approved Jul-2026). Consistency check passed exactly (Total Equity=-8,761,365). Asset jump vs H1 driven by a N59.7bn one-off property revaluation gain.  Share_Price_YearEnd = Dec-31 market cap / shares outstanding, market cap from S&amp;P Global Market Intelligence (via stockanalysis.com).</t>
  </si>
  <si>
    <t>AUDITED (Group). Consistency check passed exactly (Total Equity=9,532,384). NI for this year not found.  Share_Price_YearEnd = Dec-31 market cap / shares outstanding, market cap from S&amp;P Global Market Intelligence (via stockanalysis.com). Net_Income RESOLVED: 984,233, HIGH confidence - Champion Breweries Plc Annual Report FY2021 (audited, KPMG), NGX doclib, confirms the earlier secondary-source estimate. NOTE: the same primary document's Statement of Financial Position shows Total equity=9,219,643 / TA=13,486,815 / TL=4,267,172 (single-entity, no Group/Company split found - Champion appears to have no subsidiaries), a small (~0.1%) reconciliation difference vs. the TA=13,473,094/TL=3,940,710/Equity=9,532,384 already on file - flagged for awareness, not overwritten since the on-file figures are internally consistent and the variance is immaterial.</t>
  </si>
  <si>
    <t>AUDITED (Group), restated. Consistency check passed exactly (Total Equity=10,914,460).  Share_Price_YearEnd = Dec-31 market cap / shares outstanding, market cap from S&amp;P Global Market Intelligence (via stockanalysis.com).</t>
  </si>
  <si>
    <t>AUDITED (Group), restated per Note 36. Consistency check passed exactly (Total Equity=11,195,299).  Share_Price_YearEnd = Dec-31 market cap / shares outstanding, market cap from S&amp;P Global Market Intelligence (via stockanalysis.com).</t>
  </si>
  <si>
    <t>AUDITED (Group). Consistency check passed exactly (Total Equity=12,056,086). Bonus share issue in 2024.  Share_Price_YearEnd = Dec-31 market cap / shares outstanding, market cap from S&amp;P Global Market Intelligence (via stockanalysis.com).</t>
  </si>
  <si>
    <t>AUDITED (Group). Consistency check passed exactly (Total Equity=13,077,096). Heineken exited stake, replaced by EnjoyCorp Limited as ultimate parent.  Share_Price_YearEnd = Dec-31 market cap / shares outstanding, market cap from S&amp;P Global Market Intelligence (via stockanalysis.com).</t>
  </si>
  <si>
    <t>AUDITED (Group). Consistency check passed exactly (Total Equity=4,734,635).  Share_Price_YearEnd = Dec-31 market cap / shares outstanding, market cap from S&amp;P Global Market Intelligence (via stockanalysis.com).</t>
  </si>
  <si>
    <t>AUDITED (Group). Consistency check passed exactly (Total Equity=9,449,453). Renamed Chams Plc -&gt; Chams Holding Company Plc, 12-May-2022.  Share_Price_YearEnd = Dec-31 market cap / shares outstanding, market cap from S&amp;P Global Market Intelligence (via stockanalysis.com).</t>
  </si>
  <si>
    <t>AUDITED (Group). Consistency check passed exactly (Total Equity=9,667,349).  Share_Price_YearEnd = Dec-31 market cap / shares outstanding, market cap from S&amp;P Global Market Intelligence (via stockanalysis.com).</t>
  </si>
  <si>
    <t>AUDITED (Group). Consistency check passed exactly (Total Equity=9,993,325).  Share_Price_YearEnd = Dec-31 market cap / shares outstanding, market cap from S&amp;P Global Market Intelligence (via stockanalysis.com).</t>
  </si>
  <si>
    <t>AUDITED (Group). Consistency check passed exactly (Total Equity=19,521,496). Shares roughly doubled via capital-raising transaction.  Share_Price_YearEnd = Dec-31 market cap / shares outstanding, market cap from S&amp;P Global Market Intelligence (via stockanalysis.com).</t>
  </si>
  <si>
    <t>AUDITED (Group), FYE 31-March. Consistency check passed exactly (Total Equity=-7,022,809). Going concern: persistent negative equity.  Share_Price_YearEnd = Dec-31 market cap / shares outstanding, market cap from S&amp;P Global Market Intelligence (via stockanalysis.com).</t>
  </si>
  <si>
    <t>AUDITED (Group), FYE 31-March. Consistency check passed exactly (Total Equity=-3,814,160).  Share_Price_YearEnd = Dec-31 market cap / shares outstanding, market cap from S&amp;P Global Market Intelligence (via stockanalysis.com).</t>
  </si>
  <si>
    <t>AUDITED (Group), FYE 31-March. Consistency check within small rounding tolerance (Total Equity=-25,600).  Share_Price_YearEnd = Dec-31 market cap / shares outstanding, market cap from S&amp;P Global Market Intelligence (via stockanalysis.com).</t>
  </si>
  <si>
    <t>MEDIUM CONFIDENCE. Total Equity(-1,897,831) and NI confirmed directly (matches Chairman's Statement 'N3.00bn loss'); TL/TA DERIVED from components. FYE 31-March.  Share_Price_YearEnd = Dec-31 market cap / shares outstanding, market cap from S&amp;P Global Market Intelligence (via stockanalysis.com).</t>
  </si>
  <si>
    <t>AUDITED (Group), FYE 31-March. Consistency check passed exactly (Total Equity=2,295,625). NI confirmed matching Chairman's Statement 'N2.58bn loss' exactly.  Share_Price_YearEnd = Dec-31 market cap / shares outstanding, market cap from S&amp;P Global Market Intelligence (via stockanalysis.com).</t>
  </si>
  <si>
    <t>AUDITED (Group). Consistency check passed (Total Equity=13,862,555, off by N1,000 rounding). Source: company's own IR site. Shares_Outstanding CORRECTED this session (was stale - see Firm Master Notes). Share_Price_YearEnd = Dec-31 market cap / shares outstanding, market cap from S&amp;P Global Market Intelligence (via stockanalysis.com).</t>
  </si>
  <si>
    <t>AUDITED (Group). Consistency check passed exactly (Total Equity=16,714,240). Shares_Outstanding CORRECTED this session (was stale - see Firm Master Notes). Share_Price_YearEnd = Dec-31 market cap / shares outstanding, market cap from S&amp;P Global Market Intelligence (via stockanalysis.com).</t>
  </si>
  <si>
    <t>AUDITED (Group). Consistency check passed exactly (Total Equity=26,396,206). Only leasing company listed on NGX. Shares_Outstanding CORRECTED this session (was stale - see Firm Master Notes). Share_Price_YearEnd = Dec-31 market cap / shares outstanding, market cap from S&amp;P Global Market Intelligence (via stockanalysis.com).</t>
  </si>
  <si>
    <t>Medium-high confidence - AfricanFinancials interim summary, consistency check passed (Total Equity=48,150,000). Shares_Outstanding CORRECTED this session (was stale - see Firm Master Notes). Share_Price_YearEnd = Dec-31 market cap / shares outstanding, market cap from S&amp;P Global Market Intelligence (via stockanalysis.com).</t>
  </si>
  <si>
    <t>Medium confidence - unaudited full-year interim summary (Total Equity=45,560,000). Shares_Outstanding CORRECTED this session (was stale - see Firm Master Notes). Share_Price_YearEnd = Dec-31 market cap / shares outstanding, market cap from S&amp;P Global Market Intelligence (via stockanalysis.com).</t>
  </si>
  <si>
    <t>RESOLVED - Group/Consolidated Total Assets = N15,674,166,000 and Total Liabilities = N6,662,383,000 as at 31-Dec-2021, extracted directly from chiplc.com's own '2022 AUDITED FINANCIAL STATEMENTS' PDF (Results at a Glance summary table, page 5, Dec-2021 comparative column, Group basis) - a different, cleaner-extracting source than NGX doclib, which had failed on this firm 4 times. HIGH confidence, primary source. Matches the earlier secondary-source estimate (~N15.7bn) almost exactly. Shares_Outstanding was completely missing on file - filled this session (see Firm Master Notes). Share_Price_YearEnd = Dec-31 market cap / shares outstanding, market cap from S&amp;P Global Market Intelligence (via stockanalysis.com). Net_Income RESOLVED: 790,638, from the 'Results at a Glance' summary in the FY2022 Audited FS (NGX doclib) - matches already-confirmed TA/TL exactly. Source: NGX doclib primary filings.</t>
  </si>
  <si>
    <t>RESOLVED - Group/Consolidated Total Assets = N18,535,742,000 and Total Liabilities = N8,726,725,000 as at 31-Dec-2022, extracted directly from chiplc.com's own '2022 AUDITED FINANCIAL STATEMENTS' PDF (Results at a Glance summary table, page 5, Group basis). HIGH confidence, primary source. Matches the earlier secondary-source estimate (~N18.2-18.54bn) almost exactly. Shares_Outstanding was completely missing on file - filled this session (see Firm Master Notes). Share_Price_YearEnd = Dec-31 market cap / shares outstanding, market cap from S&amp;P Global Market Intelligence (via stockanalysis.com). Net_Income RESOLVED: 995,985, same source as FY2021. Source: NGX doclib primary filings.</t>
  </si>
  <si>
    <t>Total Assets = N26.2bn per Group CEO Eddie Efekoha's statement at the 2nd AGM, reported in Tribune Online (1-Sep-2025), corroborated by a separate search summary citing the NGX doclib FY2023 filing (40250) as source context. MEDIUM confidence - management-cited at a public AGM and reported by a mainstream Nigerian business paper, but not independently verified against the primary SFP line-item (NGX doclib extraction failed a 4th time on this firm's FY2023 filing, same reproducible barrier noted for 2021/2022). Total Liabilities NOT found in any source - still a gap. Do not compute Leverage/Tobin's Q for this row until Total Liabilities is resolved. Shares_Outstanding was completely missing on file - filled this session (see Firm Master Notes). Share_Price_YearEnd = Dec-31 market cap / shares outstanding, market cap from S&amp;P Global Market Intelligence (via stockanalysis.com). Total_Liabilities/Net_Income added, MODERATE confidence (rounded press figures from BusinessDay/ThisDay/Nairametrics coverage of the audited FY2023 results and AGM statements - the primary PDF's Statement of Financial Position could not be reached, document too long to extract past accounting-policy notes).</t>
  </si>
  <si>
    <t>PARTIAL, IMPROVED - Revenue N49.04bn, Net Income N22.63bn previously confirmed. Total Assets NOW ADDED: N56.9bn per Group CEO Eddie Efekoha's statement at the 2nd AGM (Tribune Online, 1-Sep-2025) - '117% asset growth, rising from N26.2bn in 2023 to N56.9bn in 2024'. MEDIUM confidence (management-cited, mainstream press-reported, internally consistent with the 2023 figure's 117% growth claim), but not independently verified against the primary SFP line-item - NGX doclib extraction (43061) failed a 4th time on this firm. Total Liabilities NOT found in any source - still a gap. Do not compute Leverage/Tobin's Q for this row until Total Liabilities is resolved. Shares_Outstanding was completely missing on file - filled this session (see Firm Master Notes). Share_Price_YearEnd = Dec-31 market cap / shares outstanding, market cap from S&amp;P Global Market Intelligence (via stockanalysis.com). Total_Liabilities added (21,900,000, moderate confidence, same press sourcing as FY2023). Net_Income=22,630,000 CONFIRMED genuine audited PAT (independently corroborated by BusinessDay and Nairametrics, both citing the audited FY2024 statements directly) - not a mislabeled Revenue/Gross Premium figure as initially suspected.</t>
  </si>
  <si>
    <t>RESOLVED - Group/Consolidated Total Assets = N75,939,296,064 and Total Liabilities = N33,782,035,797 as at 31-Dec-2025, extracted directly from the primary source: CONSOLIDATED_HALLMARK_HOLDINGS_PLC Q1 2026 unaudited financial statements (NGX doclib doc 46914, filed April 2026), 'Financial highlights' table, December 2025 comparative column (Group basis). HIGH confidence - genuine primary-source figure, not a secondary estimate. First CONHALLPLC fiscal year with a fully resolved Total Assets/Total Liabilities pair; Tobin_Q, Firm_Size and Leverage should now compute for this row once Share_Price_YearEnd and Shares_Outstanding are filled in. Shares_Outstanding was completely missing on file - filled this session (see Firm Master Notes). Share_Price_YearEnd = Dec-31 market cap / shares outstanding, market cap from S&amp;P Global Market Intelligence (via stockanalysis.com). Net_Income RESOLVED: 8,440,000 (a 65% YoY profit decline vs FY2024), from Nairametrics' coverage of the audited FY2025 results (03-Apr-2026), HIGH confidence.</t>
  </si>
  <si>
    <t>AUDITED (marked Unaudited in source, a recurring pattern for this firm). Consistency check passed exactly (Total Equity=21,789,368).  Share_Price_YearEnd = Dec-31 market cap / shares outstanding, market cap from S&amp;P Global Market Intelligence (via stockanalysis.com).</t>
  </si>
  <si>
    <t>Consistency check passed exactly (Total Equity=26,275,993).  Share_Price_YearEnd = Dec-31 market cap / shares outstanding, market cap from S&amp;P Global Market Intelligence (via stockanalysis.com).</t>
  </si>
  <si>
    <t>Consistency check passed exactly (Total Equity=33,145,573).  Share_Price_YearEnd = Dec-31 market cap / shares outstanding, market cap from S&amp;P Global Market Intelligence (via stockanalysis.com).</t>
  </si>
  <si>
    <t>Confirmed via HY2025 interim comparative. Consistency check passed (Total Equity=39,490,000).  Share_Price_YearEnd = Dec-31 market cap / shares outstanding, market cap from S&amp;P Global Market Intelligence (via stockanalysis.com).</t>
  </si>
  <si>
    <t>Unaudited (recurring pattern for this firm - 2025 AFS under filing extension to 30-Jun-2026). Consistency check passed (Total Equity=39,240,000).  Share_Price_YearEnd = Dec-31 market cap / shares outstanding, market cap from S&amp;P Global Market Intelligence (via stockanalysis.com).</t>
  </si>
  <si>
    <t>AUDITED (Group), restated for IFRS17. Consistency check passed exactly (Total Equity=19,068,250). NI not directly stated for this year.  Share_Price_YearEnd = Dec-31 market cap / shares outstanding, market cap from S&amp;P Global Market Intelligence (via stockanalysis.com). Net_Income RESOLVED: 3,535,935 (Group, Profit for the year, pre-IFRS17 original-audited basis), MEDIUM-HIGH confidence - Cornerstone Insurance Plc 2021 Annual Report &amp; Accounts ('Consolidated Results at a Glance'). Note: IFRS17 first-time adoption only restates the balance sheet at transition (1-Jan-2022) and the immediately-preceding year's P&amp;L (2022) - it does NOT restate FY2021's income statement, so this original-audited figure is the correct one to pair with the already-confirmed restated Total_Equity=19,068,250. Minor uncertainty whether this is total profit or attributable-to-owners only (NCI was ~1.4% of total equity, so the difference would be small).</t>
  </si>
  <si>
    <t>AUDITED (Group), restated. Consistency check passed exactly (Total Equity=18,245,287).  Share_Price_YearEnd = Dec-31 market cap / shares outstanding, market cap from S&amp;P Global Market Intelligence (via stockanalysis.com).</t>
  </si>
  <si>
    <t>AUDITED (Group). Consistency check passed exactly (Total Equity=33,918,772). Big jump driven by IFRS17 transition + N21.5bn investment return gain.  Share_Price_YearEnd = Dec-31 market cap / shares outstanding, market cap from S&amp;P Global Market Intelligence (via stockanalysis.com).</t>
  </si>
  <si>
    <t>AUDITED (Group), from primary SFP. Consistency check passed exactly (Total Equity=60,496,726). Supersedes earlier lower-confidence secondary-source estimate.  Share_Price_YearEnd = Dec-31 market cap / shares outstanding, market cap from S&amp;P Global Market Intelligence (via stockanalysis.com).</t>
  </si>
  <si>
    <t>AUDITED (Group), from primary SFP. Consistency check passed exactly (Total Equity=69,834,078). Auditor changed KPMG-&gt;Deloitte by this year.  Share_Price_YearEnd = Dec-31 market cap / shares outstanding, market cap from S&amp;P Global Market Intelligence (via stockanalysis.com).</t>
  </si>
  <si>
    <t>Total Assets/Liabilities/Net Income/Shares Outstanding from stockanalysis.com (S&amp;P Global Market Intelligence, Insurance template) 5-year balance sheet + income statement tables, cross-checked against NGX doclib filing list (documents exist for all 5 years: 37840, 41372, 43021/43585, 45898/46512) but not individually re-extracted line-by-line given this firm's data was cleanly available via the aggregator. MEDIUM-HIGH confidence (reputable aggregator, not hand-verified against primary PDF for each year). Share_Price_YearEnd NOT found - still a gap, consistent with the dataset-wide share price shortfall already flagged in the README; Market_Value_Equity and Tobin_Q will not compute until it is filled. Share_Price_YearEnd back-calculated from stockanalysis.com Ratios page (Market Capitalization / Shares Outstanding for each fiscal year, since this firm's Ratios page did not show a direct 'Last Close Price' row) - cross-checked against PE Ratio x EPS for FY2021 (4.36 x 1.81 = 7.89, matches the back-calculated 7.90). MEDIUM-HIGH confidence.</t>
  </si>
  <si>
    <t>RESOLVED - Total Assets N4,792,191,000, Total Liabilities N2,636,402,000, Net Income N594,023,000, Shares in issue 1,761,321,000 as at 30-Apr-2021, all extracted directly from Cutix Plc's own FY2022 Annual Report 'Financial Highlights' comparative table (primary source, cutixplc.com.ng). HIGH confidence. Share_Price_YearEnd for Apr-2021 still not found (a calendar-year-2021 price of N2.30 was found but doesn't reliably represent the Apr-2021 fiscal year-end point - not entered). Share_Price_YearEnd RESOLVED: 5.2803, from Dec-31-2021 market cap (N9.30bn, stockanalysis.com/S&amp;P Global) / 1,761,321,000 shares (the FY2021-dated share count already on file, pre-dating a later ~4x bonus/split - verified as period-consistent).</t>
  </si>
  <si>
    <t>FYE is 30 April, not 31 December like most firms in this sample (per NGX doclib filing titles: 'AUDITED FINANCIAL STATEMENTS FOR THE YEAR ENDED 30TH APRIL [year]'). Mapped this firm's FYE-labelled year directly to the study's 'Year' column (i.e. FYE 30-Apr-2022 = Year 2022), same convention as ACADEMY's existing FYE flag. Total Assets/Liabilities/Net Income from stockanalysis.com (S&amp;P Global Market Intelligence) 5-year balance sheet + income statement tables. MEDIUM-HIGH confidence (reputable aggregator, not hand-verified against primary PDF for each year). Share_Price_YearEnd NOT found - still a gap. IMPORTANT CORRECTION: Shares_Outstanding was previously entered as a flat 7,045,000,000 for all 5 years (from stockanalysis.com's 'Total Common Shares Outstanding', which applies the CURRENT share count retroactively to all historical years - a known aggregator limitation after a stock split/bonus issue). CORRECTED using primary-source data: Cutix Plc's own FY2022 Annual Report 'Financial Highlights' table confirms 1,761,321,000 shares in issue at 30-Apr-2021 and 3,522,644,000 at 30-Apr-2022 (a 1-for-1 bonus issue occurred during FY2022). A second 1-for-1 bonus issue was announced July-2024 (qualification date 16-Aug-2024, register closed 19-23-Aug-2024) - this falls within FY2025 (May-2024 to Apr-2025), bringing shares to 7,045,288,000 - matching stockanalysis.com's figure for FY2025 specifically. FY2023 and FY2024 shares assumed unchanged at 3,522,644,000 (no bonus/split evidence found for those two years) - not individually re-verified against each year's own annual report, flagged for a follow-up spot-check.</t>
  </si>
  <si>
    <t>Total Assets/Liabilities/Net Income/Shares Outstanding from stockanalysis.com (S&amp;P Global Market Intelligence) 5-year balance sheet + income statement tables. MEDIUM-HIGH confidence (reputable aggregator, not hand-verified against primary NGX doclib PDF for each year, though filings confirmed to exist for all 5 years). Share_Price_YearEnd NOT found - still a gap. Auditor NOT confirmed this session (search did not surface the specific firm name) - flagged for follow-up.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</si>
  <si>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Total Assets/Liabilities/Net Income/Shares Outstanding from stockanalysis.com (S&amp;P Global Market Intelligence) 5-year tables. MEDIUM-HIGH confidence aggregator data, not hand-verified against primary NGX doclib PDF for each year. Firm has persistent negative Net Income and large accumulated deficit (Retained Earnings ~-N18.5bn by 2025) across the full panel window - real reported figures, not a data error; Shareholders' Equity remains positive throughout due to large paid-in capital/share premium. Share_Price_YearEnd NOT found - still a gap. Auditor NOT confirmed this session (varies by year per search result, specific name not surfaced) - flagged for follow-up.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</si>
  <si>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Total Assets/Liabilities/Net Income/Shares Outstanding from stockanalysis.com (S&amp;P Global Market Intelligence) 5-year tables, cross-checked against NGX doclib/Dangote Cement IR filing list (documents confirmed to exist for all 5 years). MEDIUM-HIGH confidence aggregator data, not hand-verified line-by-line against primary PDF for each year given clean availability. Shares Outstanding declines slightly year to year due to treasury stock buybacks (17,000m in 2021 down to 16,752m by 2024-2025) - year-specific values used, not held constant. Share_Price_YearEnd NOT found - still a gap.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</si>
  <si>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Total Assets/Liabilities/Net Income/Shares Outstanding from stockanalysis.com (S&amp;P Global Market Intelligence) 5-year tables. MEDIUM-HIGH confidence aggregator data, not hand-verified line-by-line against primary PDF for each year. Firm swings from strong profit (2021-2022) to large losses (2023-2025), driven mainly by FX/currency exchange losses on USD-denominated debt following the naira devaluation - real reported figures, not a data error; Retained Earnings turns negative by 2024. Share_Price_YearEnd NOT found - still a gap.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</si>
  <si>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RESOLVED, HIGH confidence: Ellah Lakes Plc 2021 Annual Report &amp; Accounts (year ended 31-Jul-2021, audited by Olabode Akande &amp; Co.), CardinalStone Registrars, Group/consolidated basis. Loss of -563,279 (of which -562,924 attributable to owners, -355 to NCI). TA-TL=7,121,283 matches reported Total_Equity (incl. NCI 799,900). Shares=2,000,000,000 (50 kobo par value, cross-checked against the shareholding-range table). Share_Price_YearEnd remains an open gap. Source: NGX doclib / registrar-hosted primary annual report. | Share_Price_YearEnd=4.25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</si>
  <si>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MEDIUM-HIGH confidence. FYE is 31 July (not 31 December) for FY2022-2025 - mapped FYE-labelled year directly to the study's Year column (FYE 31-Jul-2022 = Year 2022), same convention as CUTIX/ACADEMY. IMPORTANT: the company changed its fiscal year-end to 31 December during 2025, filing a 17-month transition-period statement covering Aug-2024 to Dec-2025 (Total Assets N28.257bn, Total Liabilities N7.827bn, Net Income -N3.251bn, per that stub filing) - NOT used here, to preserve consistency with the FYE-Jul convention for all other years; the regular FYE 31-Jul-2025 annual figures were used instead for Study Year 2025. Future data collection should watch for this firm reporting on a calendar-year basis in Study Year 2026 onward. Total Assets/Liabilities/Net Income/Shares Outstanding/Share Price from stockanalysis.com (S&amp;P Global Market Intelligence) balance sheet, income statement and ratios pages. MEDIUM-HIGH confidence aggregator data.</t>
  </si>
  <si>
    <t>RESOLVED, HIGH confidence (P&amp;L/equity) / MEDIUM-HIGH (TA/TL derived): Nigerian Enamelware Plc audited FS for year ended 30-Apr-2021, NGX doclib primary source. Net loss confirmed directly (-275,533); Total_Equity=555,806 confirmed directly (stated in 3 places). TA/TL reconstructed from note-level line items (PPE+Inventories+Receivables+Cash; Payables+Tax+DeferredTax) since the SOFP page itself didn't extract as text - both reconcile exactly to the confirmed equity (1,507,040-951,234=555,806). Shares=76,032,000 (50k par value). Share_Price_YearEnd remains an open gap. Source: NGX doclib / registrar-hosted primary annual report. | Share_Price_YearEnd=16.2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</si>
  <si>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MEDIUM-HIGH confidence. FYE is 30 April (1-May to 30-Apr) - mapped FYE-labelled year directly to study Year column (FYE 30-Apr-2022 = Year 2022), same convention as CUTIX/ELLAHLAKES. Total Assets/Total Liabilities/Net Income/Shares Outstanding/Share Price (Last Close) from stockanalysis.com (S&amp;P Global Market Intelligence) balance sheet, income statement, and ratios pages. Auditor: OOP and Partners (Chartered Accountants) per FY2023 NGX-filed financial statements, NOT Big4.</t>
  </si>
  <si>
    <t>MEDIUM-HIGH confidence. FYE is 30 April (1-May to 30-Apr) - mapped FYE-labelled year directly to study Year column (FYE 30-Apr-2022 = Year 2022), same convention as CUTIX/ELLAHLAKES. Total Assets/Total Liabilities/Net Income/Shares Outstanding/Share Price (Last Close) from stockanalysis.com (S&amp;P Global Market Intelligence) balance sheet, income statement, and ratios pages. Auditor: OOP and Partners (Chartered Accountants) per FY2023 NGX-filed financial statements, NOT Big4. DATA QUALITY FLAG: firm in negative shareholders'-equity position this year (per stockanalysis.com balance sheet) - real financial distress, not a data error; see Firm Master note.</t>
  </si>
  <si>
    <t>MEDIUM-HIGH confidence. Standard FYE 31-Dec, no year-mapping adjustment needed. Total Assets/Total Liabilities/Net Income/Shares Outstanding/Share Price (Last Close) from stockanalysis.com (S&amp;P Global Market Intelligence) balance sheet, income statement, and ratios pages. Auditor: PricewaterhouseCoopers, Big4, per search of NGX-filed annual reports/AGM notices.</t>
  </si>
  <si>
    <t>GAP CLOSED per user instruction. HIGH confidence - unlike the initial USD-only stockanalysis.com pull, ETI's own NGX-filed 'Quarter 5 / Year-End' financial statements include an official company-prepared 'Consolidated statement of financial position - NGN' companion statement (translated from the USD Group consolidated accounts at each period's applicable exchange rate), used here instead of an independently estimated FX conversion. Sourced from three NGX doclib filings: doc 46650 (FY2025 vs FY2024 restated NGN comparatives), doc 41114 (FY2023 vs FY2022 NGN comparatives), and doc 37946 (FY2022 filing, whose FY2021 NGN comparative column supplies the FY2021 figures). The large NGN asset growth from FY2022 to FY2023 (+94%) reflects the June-2023 naira devaluation/unification, not real operating growth - a currency-translation effect inherent to any NGN-denominated view of this USD-functional-currency group; flag for methodology chapter if Firm_Size/Leverage trends for this firm look anomalous relative to NGN-functional-currency peers. Auditor: Deloitte and Grant Thornton (joint auditors), Big4 (Deloitte). Shares Outstanding: FY2021 uses the company's own reported period-end count (24.73bn, FY2021 earnings release); FY2022-2025 use stockanalysis.com balance-sheet period-end counts (24.593bn 2022-2024, 24.566bn 2025, reflecting a small buyback). Share Price (Last Close, already NGN-denominated on NGX) from stockanalysis.com Ratios page.</t>
  </si>
  <si>
    <t>MEDIUM-HIGH confidence. Standard FYE 31-Dec, no year-mapping adjustment needed. Total Assets/Total Liabilities/Net Income from stockanalysis.com (S&amp;P Global Market Intelligence) balance sheet and income statement pages. Shares_Outstanding uses period-end balance sheet count (not the EPS-weighted-average shown on the income statement page, which differs for FY2021-2022 due to a mid-year share issuance/rights issue). Share Price (Last Close) from ratios page. Auditor name NOT confirmed this session - a search of NGX doclib/africanfinancials.com listings did not surface the specific audit firm name in the returned snippets; left blank pending a direct read of the FY2024/2025 annual report PDF as a follow-up. Auditor: Ernst &amp; Young (Big4), confirmed via FY2025 audited FS. HIGH confidence.</t>
  </si>
  <si>
    <t>MEDIUM-HIGH confidence. FYE is 30 June - mapped FYE-labelled year directly to study Year column (FYE 30-Jun-2022 = Year 2022), same convention as CUTIX/ELLAHLAKES/ENAMELWA. Total Assets/Liabilities/Net Income/Shares/Price from stockanalysis.com (S&amp;P Global Market Intelligence) balance sheet, income statement, ratios pages. Auditor not confirmed this session. Auditor: ANOC Professional Services (non-Big4), confirmed via NGX doclib filings. MEDIUM-HIGH confidence.</t>
  </si>
  <si>
    <t>MEDIUM-HIGH confidence. Standard FYE 31-Dec, no year-mapping adjustment needed. Total Assets/Total Liabilities/Net Income (Group total, before preferred-dividend adjustment)/Shares Outstanding/Share Price from stockanalysis.com (S&amp;P Global Market Intelligence). Auditor Deloitte and Touche (Big4) confirmed via WebSearch.</t>
  </si>
  <si>
    <t>MEDIUM-HIGH confidence. Standard FYE 31-Dec, no year-mapping adjustment needed. Total Assets/Total Liabilities/Net Income (Group total, before preferred-dividend adjustment)/Shares Outstanding/Share Price from stockanalysis.com (S&amp;P Global Market Intelligence). Auditor Deloitte and Touche (Big4) confirmed via WebSearch. NOTE: FY2025 figures are UNAUDITED as filed by the company (year-end results released January 2026 ahead of the audited annual report) - flag for methodology chapter if full-sample audited-vs-unaudited consistency is discussed.</t>
  </si>
  <si>
    <t>MEDIUM-HIGH confidence. Standard FYE 31-Dec, no year-mapping adjustment needed. Total Assets/Total Liabilities/Net Income/Shares Outstanding from stockanalysis.com (S&amp;P Global Market Intelligence) balance sheet and income statement (Banks template). Share Price (Last Close, Dec 31 fiscal year-end) cross-checked against the quarterly ratios breakdown. Auditor Deloitte &amp; Touche (Big4) confirmed via WebSearch.</t>
  </si>
  <si>
    <t>MEDIUM-HIGH confidence. Standard FYE 31-Dec, no year-mapping adjustment needed. Total Assets/Total Liabilities/Net Income/Shares Outstanding from stockanalysis.com (S&amp;P Global Market Intelligence) balance sheet and income statement (Banks template). Share Price (Last Close, Dec 31 fiscal year-end) cross-checked against the quarterly ratios breakdown. Auditor Deloitte &amp; Touche (Big4) confirmed via WebSearch. | EAS FORWARD-FILLED 17-Aug-2026 (user-directed methodology correction): IFRS_S1S2_Adopter_Dummy changed from 0 to 1. Firm first made an explicit voluntary-adoption statement in FY2024; per corrected methodology, firms are not assumed to un-adopt a standard they've voluntarily aligned with, so all subsequent years are coded 1 even where a later report is quiet on the topic.</t>
  </si>
  <si>
    <t>MEDIUM-HIGH confidence. Standard FYE 31-Dec, no year-mapping adjustment needed. Total Assets/Total Liabilities/Net Income/Shares Outstanding/Share Price from stockanalysis.com (S&amp;P Global Market Intelligence). Auditor Deloitte and Touche (Big4) confirmed via WebSearch.</t>
  </si>
  <si>
    <t>MEDIUM-HIGH confidence. Standard FYE 31-Dec, no year-mapping adjustment needed. Total Assets/Total Liabilities/Net Income (Group total, before minority-interest adjustment)/Shares Outstanding/Share Price from stockanalysis.com (S&amp;P Global Market Intelligence). Auditor KPMG Professional Services (Big4) confirmed via WebSearch.</t>
  </si>
  <si>
    <t>MEDIUM-HIGH confidence for Total Assets/Total Liabilities/Net Income/Shares Outstanding (from stockanalysis.com balance sheet and income statement, S&amp;P Global Market Intelligence). Share_Price_YearEnd deliberately LEFT BLANK - NGX trading was suspended for this entire study window (2-Jul-2019 to 4-Feb-2026), so no genuine year-end market price exists; the aggregator's flat N2,582m 'market cap' across all 5 years reflects a frozen pre-suspension price, not real price discovery, and using it would corrupt Market_Value_Equity/Tobin's Q. See Firm Master notes for full detail. RESOLVED (per user request): using N0.20 as Share_Price_YearEnd for all 5 study years (2021-2025) - this is the LAST GENUINE TRADED PRICE (Friday 28-Jun-2019, the trading day immediately before the 2-Jul-2019 suspension), carried forward as a stale/frozen reference price since NO trading occurred at any point during the entire FY2021-2025 study window (suspension ran 2-Jul-2019 to 4-Feb-2026). This is a standard convention for illiquid/suspended securities in panel datasets (last-observed-price-carried-forward) but should be read with the caveat that it does NOT reflect genuine price discovery for these specific fiscal year-ends - Market_Value_Equity and Tobin's Q computed from it are therefore a LOWER-CONFIDENCE estimate for this firm only, not a market-validated figure like every other firm-year in the panel. IMPORTANT SUBSEQUENT EVENT (outside study window, for context): the company completed a 4-for-1 share capital reconstruction in Jun/Jul-2026, reducing shares from 12.911bn to 3.228bn and relisting at a reference price of N3.96 on 2-Jul-2026 - the pre-reconstruction 12.911bn share count used throughout FY2021-2025 in this panel is correct for those years and should NOT be adjusted retroactively for the later reconstruction.</t>
  </si>
  <si>
    <t>MEDIUM-HIGH confidence. Standard FYE 31-Dec, no year-mapping adjustment needed. Total Assets/Total Liabilities/Net Income/Share Price from stockanalysis.com (S&amp;P Global Market Intelligence). Shares_Outstanding uses balance-sheet period-end counts (2.2bn FY2021, 3.9bn FY2022-2025) rather than the EPS-weighted-average shown on the income statement page, which differs materially for FY2021 due to a large in-year share issuance. Auditor Baker Tilly Nigeria (non-Big4) confirmed via WebSearch. Large net losses FY2023-2024 driven primarily by FX-translation charges (naira devaluation impact on foreign-currency liabilities), consistent with the pattern seen for other firms with material FX exposure in this panel (DAARCOMM, DANGSUGAR).</t>
  </si>
  <si>
    <t>MEDIUM-HIGH confidence. Balance sheet/income statement from stockanalysis.com (S&amp;P Global Market Intelligence). Share_Price_YearEnd derived from stockanalysis.com's official NGX market-cap-history snapshot (nearest year-end trading day) divided by constant 2.5bn shares outstanding: Dec-30-2022 cap N372.50bn-&gt;N149.00; Dec-29-2023 cap N997.50bn-&gt;N399.00 (cross-checked against Nairametrics 28-Dec-2023 report of ~N399/share); Dec-31-2024 cap N2.88trn-&gt;N1,152.00; Dec-31-2025 cap N2.85trn-&gt;N1,140.00 (cross-checked against afx.kwayisi.org recent quote ~N1,141.50).</t>
  </si>
  <si>
    <t>MEDIUM-HIGH confidence. FYE is 31-March (not 31-Dec) - filing titled 'AUDITED FINANCIAL STATEMENTS FOR THE YEAR ENDED 31ST MARCH [year]'; mapped FYE-labelled year directly to study's Year column (FYE 31-Mar-2021=Year 2021), same convention as CUTIX/ENAMELWA. Total_Assets/Total_Liabilities/Net_Income from stockanalysis.com (S&amp;P Global Market Intelligence) 5-year balance sheet/income statement tables - not independently hand-verified against a primary PDF for this specific year (unlike FY2023/FY2024 below). Shares_Outstanding: 1,003,344,000 (1,003,344,000 ordinary shares of 50k each), confirmed primary-source constant across all years in FY2024 Audited FS shareholding structure table - no bonus/split evidence found. Share_Price_YearEnd: calendar 31-Dec proxy (nearest trading day), derived from stockanalysis.com official NGX market-cap-history (Dec-30-2021 and Dec-30-2022 both N812.71m cap / 1.003344bn shares = N0.81 - stock was flat/illiquid both years). | EXCLUDED FROM 'Final Sample' (stricter, 17-Aug-2026): Condition 5 (Section 3.6): NGX compliance status 'BMF' is not among the retained exception codes (BLS/MRF/RST).</t>
  </si>
  <si>
    <t>HIGH CONFIDENCE. FYE 31-March, mapped directly to study Year (FYE 31-Mar-2023=Year 2023, FYE 31-Mar-2024=Year 2024). Total_Assets, Net_Income, Shares_Outstanding (1,003,344,000) hand-verified DIRECTLY against Golden Guinea Breweries Plc's own FY2024 Audited Financial Statements (NGX doclib primary source, includes FY2023 comparatives) - Statement of Financial Position and shareholding structure table. Total_Liabilities = Total_Assets - Total_Equity (Equity figures also confirmed in primary source: N1,453.68m at 31-Mar-2023, N1,344.18m at 31-Mar-2024). These primary figures matched stockanalysis.com's aggregator figures exactly, cross-validating both sources. Share_Price_YearEnd: calendar 31-Dec proxy from stockanalysis.com market-cap-history (Dec-29-2023 cap N3.16bn-&gt;N3.15; Dec-31-2024 cap N8.67bn-&gt;N8.64). | EXCLUDED FROM 'Final Sample' (stricter, 17-Aug-2026): Condition 5 (Section 3.6): NGX compliance status 'BMF' is not among the retained exception codes (BLS/MRF/RST).</t>
  </si>
  <si>
    <t>HIGH-MEDIUM confidence. Total_Assets/Total_Liabilities/Net_Income/Shares_Outstanding from stockanalysis.com (S&amp;P Global Market Intelligence) audited consolidated balance sheet + income statement, calendar FYE 31-Dec (standard). Shares_Outstanding grew materially in 2024-2025 (28.0bn-&gt;29.6bn-&gt;34.6bn) due to GTCO's capital raise/public offer to meet the CBN's revised N500bn minimum capital requirement for holding companies (2024 bank recapitalisation programme) - a genuine structural event, not a data error. Share_Price_YearEnd derived from stockanalysis.com's official NGX market-cap-history (nearest year-end trading day) divided by that year's exact shares outstanding: Dec-31-2021 N765.21bn/27.981bn-&gt;N27.35; Dec-30-2022 N676.92bn/28.022bn-&gt;N24.16; Dec-29-2023 N1.19trn/28.022bn-&gt;N42.47; Dec-31-2024 N1.68trn/29.554bn-&gt;N56.85; Dec-31-2025 N3.30trn/34.601bn-&gt;N95.37.</t>
  </si>
  <si>
    <t>HIGH-MEDIUM confidence. Total_Assets/Total_Liabilities/Net_Income/Shares_Outstanding from stockanalysis.com (S&amp;P Global Market Intelligence) audited consolidated balance sheet + income statement, calendar FYE 31-Dec (standard). Shares_Outstanding grew materially in 2024-2025 (28.0bn-&gt;29.6bn-&gt;34.6bn) due to GTCO's capital raise/public offer to meet the CBN's revised N500bn minimum capital requirement for holding companies (2024 bank recapitalisation programme) - a genuine structural event, not a data error. Share_Price_YearEnd derived from stockanalysis.com's official NGX market-cap-history (nearest year-end trading day) divided by that year's exact shares outstanding: Dec-31-2021 N765.21bn/27.981bn-&gt;N27.35; Dec-30-2022 N676.92bn/28.022bn-&gt;N24.16; Dec-29-2023 N1.19trn/28.022bn-&gt;N42.47; Dec-31-2024 N1.68trn/29.554bn-&gt;N56.85; Dec-31-2025 N3.30trn/34.601bn-&gt;N95.37.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 | SDQ/CDQ IMPUTED 17-Aug-2026 (user-directed): original score of 0/0 was an explicitly-flagged 'floor' value (document fetch cut off before reaching governance/ESG sections, NOT a confirmed disclosure decline -- see Coding Sheet Coding_Notes). Replaced with this firm's average SDQ/CDQ across its 3 genuinely-read panel years ([2021, 2022, 2023]): SDQ=46.6667, CDQ=22.2222. Coding Sheet's item-level codes and AC/AT formulas left untouched as the as-observed historical record.</t>
  </si>
  <si>
    <t>MEDIUM-HIGH confidence. Standard calendar FYE 31-Dec. Total_Assets/Total_Liabilities/Net_Income/Shares_Outstanding from stockanalysis.com (S&amp;P Global Market Intelligence) balance sheet + income statement tables. Shares_Outstanding rose from 6.14bn to 7.943bn between FY2022 and FY2023 (+29.36%, confirmed in stockanalysis's own YoY figure) - a genuine capital raise, consistent with NAICOM's tightened minimum capital requirements for Nigerian insurers around 2022-2023, not a data error. Share_Price_YearEnd derived from stockanalysis.com's official NGX market-cap-history (nearest year-end trading day) divided by that year's exact shares outstanding: Dec-31-2021 and Dec-30-2022 both N1.23bn cap/6.14bn shares-&gt;N0.20 (flat/illiquid both years); Dec-29-2023 N2.30bn/7.943bn-&gt;N0.29; Dec-31-2024 N6.43bn/7.943bn-&gt;N0.81; Dec-31-2025 N10.56bn/7.943bn-&gt;N1.33.</t>
  </si>
  <si>
    <t>MEDIUM-HIGH confidence. Standard calendar FYE 31-Dec. Total_Assets/Total_Liabilities/Net_Income/Shares_Outstanding from stockanalysis.com (S&amp;P Global Market Intelligence) balance sheet + income statement tables. Shares_Outstanding rose from 6.14bn to 7.943bn between FY2022 and FY2023 (+29.36%, confirmed in stockanalysis's own YoY figure) - a genuine capital raise, consistent with NAICOM's tightened minimum capital requirements for Nigerian insurers around 2022-2023, not a data error. Share_Price_YearEnd derived from stockanalysis.com's official NGX market-cap-history (nearest year-end trading day) divided by that year's exact shares outstanding: Dec-31-2021 and Dec-30-2022 both N1.23bn cap/6.14bn shares-&gt;N0.20 (flat/illiquid both years); Dec-29-2023 N2.30bn/7.943bn-&gt;N0.29; Dec-31-2024 N6.43bn/7.943bn-&gt;N0.81; Dec-31-2025 N10.56bn/7.943bn-&gt;N1.33. | SDQ/CDQ IMPUTED 17-Aug-2026 (user-directed): original score of 0/0 was an explicitly-flagged 'floor' value (document fetch cut off before reaching governance/ESG sections, NOT a confirmed disclosure decline -- see Coding Sheet Coding_Notes). Replaced with this firm's average SDQ/CDQ across its 4 genuinely-read panel years ([2021, 2022, 2023, 2024]): SDQ=28.75, CDQ=10.0. Coding Sheet's item-level codes and AC/AT formulas left untouched as the as-observed historical record.</t>
  </si>
  <si>
    <t>HIGH CONFIDENCE. FYE 30-Jun-2021, mapped to study Year 2021. Total_Assets (N169,406,525k), Total_Liabilities (N95,119,950k), Net_Income (N1,255,338k, a small profit - NOT a loss, despite FY2022-2024 all showing losses) and Shares_Outstanding (2,190,382,819 ordinary shares of 50k each) hand-verified DIRECTLY from Guinness Nigeria Plc's own FY2021 Audited Financial Statements (NGX doclib primary source, signed 25-Aug-2021). Share_Price_YearEnd: calendar 31-Dec-2021 proxy from stockanalysis.com market-cap-history (N85.42bn / 2,190,382,819 shares = N39.00) - note this is a Dec-2021 price against a Jun-2021 balance sheet (6-month lag), a known limitation of the FYE-mapping convention applied consistently across all non-standard-FYE firms in this panel.</t>
  </si>
  <si>
    <t>MEDIUM-HIGH confidence. FYE 30-Jun, mapped directly to study Year (FYE 30-Jun-2022=Year 2022).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</si>
  <si>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FYE 30-Jun, mapped directly to study Year (FYE 30-Jun-2023=Year 2023).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</si>
  <si>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FYE 30-Jun, mapped directly to study Year (FYE 30-Jun-2024=Year 2024).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</si>
  <si>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FYE 30-Jun, mapped directly to study Year (FYE 30-Jun-2025=Year 2025).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</si>
  <si>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Total_Assets/Total_Liabilities/Net_Income/Shares_Outstanding from stockanalysis.com (S&amp;P Global Market Intelligence) balance sheet + income statement, standard calendar FYE 31-Dec. Company traded/reported under the name 'Lafarge Africa Plc' for the entirety of this study window (2021-2025) - the HBM Nigeria rebrand only took effect in 2026. Share_Price_YearEnd derived from stockanalysis.com's official NGX market-cap-history / 16.108bn shares: Dec-31-2021 N385.78bn-&gt;N23.95; Dec-30-2022 N386.59bn-&gt;N24.00; Dec-29-2023 N507.40bn-&gt;N31.50; Dec-31-2024 N1.13trn-&gt;N70.15; Dec-31-2025 N2.17trn-&gt;N134.71.</t>
  </si>
  <si>
    <t>MEDIUM-HIGH confidence. Total_Assets/Total_Liabilities/Net_Income/Shares_Outstanding from stockanalysis.com (S&amp;P Global Market Intelligence) balance sheet + income statement, standard calendar FYE 31-Dec. Company traded/reported under the name 'Lafarge Africa Plc' for the entirety of this study window (2021-2025) - the HBM Nigeria rebrand only took effect in 2026. Share_Price_YearEnd derived from stockanalysis.com's official NGX market-cap-history / 16.108bn shares: Dec-31-2021 N385.78bn-&gt;N23.95; Dec-30-2022 N386.59bn-&gt;N24.00; Dec-29-2023 N507.40bn-&gt;N31.50; Dec-31-2024 N1.13trn-&gt;N70.15; Dec-31-2025 N2.17trn-&gt;N134.71. | SDQ/CDQ IMPUTED 17-Aug-2026 (user-directed): original score of 0/0 was an explicitly-flagged 'floor' value (document fetch cut off before reaching governance/ESG sections, NOT a confirmed disclosure decline -- see Coding Sheet Coding_Notes). Replaced with this firm's average SDQ/CDQ across its 3 genuinely-read panel years ([2021, 2022, 2023]): SDQ=46.6667, CDQ=35.5556. Coding Sheet's item-level codes and AC/AT formulas left untouched as the as-observed historical record.</t>
  </si>
  <si>
    <t>HIGH CONFIDENCE. Total_Assets (N21,994,814k), Total_Liabilities (N5,338,909k), Net_Income (N679,625k) hand-verified DIRECTLY from Haldane McCall Plc's own FY2024 Audited Financial Statements (company-hosted primary source). Shares_Outstanding: 3,122,000,000 (per NGX listing announcement, 20-Nov-2024). Share_Price_YearEnd: N4.78, the 31-Dec-2024 NGX close per stockanalysis.com's official market-cap-history (N14.92bn / 3.122bn shares) - this is only ~6 weeks after listing, so should be read as an early post-listing price, not a price reflecting a full year of market discovery (similar caveat to ARADEL's FY2024 row).</t>
  </si>
  <si>
    <t>MEDIUM-HIGH confidence. Net_Income (N642,461k) hand-confirmed from company results coverage (FY2025, Revenue N2,276,222k, PBT N754,899k). Total_Assets (N21.83bn) and Total_Liabilities (derived: N21.83bn TA - N17.15bn Shareholders' Equity = N4.68bn) from the same FY2025 results coverage - not independently cross-checked against the full primary audited FS PDF for exact to-the-naira figures. Share_Price_YearEnd: N4.00, from stockanalysis.com's official 31-Dec-2025 market-cap-history (N12.49bn / 3.122bn shares).</t>
  </si>
  <si>
    <t>HIGH CONFIDENCE. FYE 31-Mar-2021, mapped to study Year 2021. Total_Assets (N147,394,656k), Total_Liabilities (N89,425,978k, cross-checked: TA-TL=Shareholders' Fund N57,968,678k matches exactly), Net_Income (N1,125,864k) and Shares_Outstanding (7,930,198,000, derived from N3,965,099k share capital at 50k par) hand-verified DIRECTLY from Honeywell Flour Mills Plc's own FY2021 Annual Report (company S3-hosted primary source). Share_Price_YearEnd: calendar 31-Dec-2021 proxy from stockanalysis.com market-cap-history (N26.96bn / 7.93bn shares = N3.40). AUDITOR: Baker Tilly Nigeria (non-Big4) - HIGH confidence for FY2021 (primary source), MEDIUM confidence FY2022-2023 (confirmed non-EY per FY2024 Auditor's Report reference to prior year being audited 'by another auditor', but Baker Tilly specifically not independently re-verified for FY2022-2023).</t>
  </si>
  <si>
    <t>MEDIUM-HIGH confidence. FYE 31-March, mapped directly to study Year (FYE 31-Mar-2022=Year 2022). Total_Assets/Total_Liabilities/Net_Income/Shares_Outstanding from stockanalysis.com (S&amp;P Global Market Intelligence). Share_Price_YearEnd: calendar year-end proxy from stockanalysis.com market-cap-history / 7.93bn shares. AUDITOR: Baker Tilly Nigeria (non-Big4) - HIGH confidence for FY2021 (primary source), MEDIUM confidence FY2022-2023 (confirmed non-EY per FY2024 Auditor's Report reference to prior year being audited 'by another auditor', but Baker Tilly specifically not independently re-verified for FY2022-2023).</t>
  </si>
  <si>
    <t>MEDIUM-HIGH confidence. FYE 31-March, mapped directly to study Year (FYE 31-Mar-2023=Year 2023). Total_Assets/Total_Liabilities/Net_Income/Shares_Outstanding from stockanalysis.com (S&amp;P Global Market Intelligence). Share_Price_YearEnd: calendar year-end proxy from stockanalysis.com market-cap-history / 7.93bn shares. AUDITOR: Baker Tilly Nigeria (non-Big4) - HIGH confidence for FY2021 (primary source), MEDIUM confidence FY2022-2023 (confirmed non-EY per FY2024 Auditor's Report reference to prior year being audited 'by another auditor', but Baker Tilly specifically not independently re-verified for FY2022-2023).</t>
  </si>
  <si>
    <t>MEDIUM-HIGH confidence. FYE 31-March, mapped directly to study Year (FYE 31-Mar-2024=Year 2024). Total_Assets/Total_Liabilities/Net_Income/Shares_Outstanding from stockanalysis.com (S&amp;P Global Market Intelligence). Share_Price_YearEnd: calendar year-end proxy from stockanalysis.com market-cap-history / 7.93bn shares. AUDITOR: Ernst &amp; Young (Big4) confirmed HIGH confidence from FY2024 Independent Auditor's Report (doclib.ngxgroup.com), which also confirms FY2023 was audited by a different (non-EY) firm.</t>
  </si>
  <si>
    <t>MEDIUM-HIGH confidence. FYE 31-March, mapped directly to study Year (FYE 31-Mar-2025=Year 2025). Total_Assets/Total_Liabilities/Net_Income/Shares_Outstanding from stockanalysis.com (S&amp;P Global Market Intelligence). Share_Price_YearEnd: calendar year-end proxy from stockanalysis.com market-cap-history / 7.93bn shares. AUDITOR: Ernst &amp; Young (Big4) confirmed HIGH confidence from FY2024 Independent Auditor's Report (doclib.ngxgroup.com), which also confirms FY2023 was audited by a different (non-EY) firm.</t>
  </si>
  <si>
    <t>MEDIUM-HIGH confidence: balance sheet/income statement figures from stockanalysis.com (S&amp;P Global Market Intelligence aggregator). Share_Price_YearEnd derived by dividing stockanalysis.com's year-end Market Cap by shares outstanding for that year (own quoted trading price not independently cross-checked against an NGX closing-price data feed). FY2022 net income is a genuine reported loss (-3,954,000 thousand), consistent with a sharp operating-margin decline that year per the same source.</t>
  </si>
  <si>
    <t>IMG Plc (name not yet fully confirmed - ticker verified active/trading)</t>
  </si>
  <si>
    <t>MEDIUM-HIGH confidence: balance sheet/income statement figures from stockanalysis.com (S&amp;P Global Market Intelligence aggregator). Share_Price_YearEnd derived by dividing stockanalysis.com's year-end Market Cap by shares outstanding for that year. See Firm Master Notes re: FY2025 shares-outstanding jump (balance-sheet period-end count vs EPS weighted-average count) - used the higher period-end figure for consistency with dataset convention.</t>
  </si>
  <si>
    <t>MEDIUM-HIGH confidence: balance sheet/income statement figures from stockanalysis.com (S&amp;P Global Market Intelligence aggregator). Share_Price_YearEnd derived by dividing stockanalysis.com's year-end Market Cap by the constant 8.341bn shares outstanding. NOTE: stockanalysis.com's own market-cap history shows an IDENTICAL 29.19B figure for both Dec-2024 and Dec-2025 year-ends, which may indicate the FY2025 data point had not yet been refreshed by the aggregator as of data-pull date (5-Aug-2026) rather than a genuine flat year - flagged as a LOW-MEDIUM confidence point for the FY2025 Share_Price_YearEnd specifically; all other years and the balance-sheet/income-statement figures are MEDIUM-HIGH confidence.</t>
  </si>
  <si>
    <t>MEDIUM-HIGH confidence: balance sheet/income statement figures from stockanalysis.com (S&amp;P Global Market Intelligence aggregator). Share_Price_YearEnd derived by dividing year-end Market Cap by period-end Shares_Outstanding (balance-sheet 'Total Common Shares Outstanding' figure, not the lower EPS-weighted-average count) for consistency with dataset convention. FY2024 Shares_Outstanding reflects a large in-year capital raise (~6.3x share count increase) - genuine corporate event, not a data error, consistent with AB InBev's publicly reported deleveraging of the Nigerian subsidiary around this time.</t>
  </si>
  <si>
    <t>MEDIUM-HIGH confidence: balance sheet/income statement figures from stockanalysis.com (S&amp;P Global Market Intelligence aggregator). Share_Price_YearEnd derived by dividing year-end Market Cap by shares outstanding. NOTE: source shows an IDENTICAL 487.95M market cap for both Dec-2021 and Dec-2022 year-ends - plausible for a distressed micro-cap with negative equity and thin trading, but flagged LOW-MEDIUM confidence for those two Share_Price_YearEnd points specifically since it could also reflect a stale/illiquid quote. Total_Liabilities exceeds Total_Assets for FY2021-2024 (genuine negative equity, matches company's reported accumulated losses), turning positive in FY2025 after the NAPL recapitalisation.</t>
  </si>
  <si>
    <t>MEDIUM-HIGH confidence: balance sheet/income statement figures from stockanalysis.com (S&amp;P Global Market Intelligence aggregator). Share_Price_YearEnd derived by dividing year-end Market Cap by period-end Shares_Outstanding. FY2025 Shares_Outstanding increase (34.541bn to 44.589bn) reflects a capital raise, consistent with CBN's ongoing bank recapitalisation programme affecting the whole Nigerian banking sector in this period.</t>
  </si>
  <si>
    <t>MEDIUM-HIGH confidence: balance sheet/income statement figures from stockanalysis.com (S&amp;P Global Market Intelligence aggregator). Share_Price_YearEnd derived by dividing year-end Market Cap by period-end Shares_Outstanding. Total_Liabilities exceeded Total_Assets-linked equity in FY2022-2023 (genuine negative equity from accumulated losses), resolved by the FY2024 capital raise.</t>
  </si>
  <si>
    <t>MEDIUM-HIGH confidence: balance sheet/income statement figures from stockanalysis.com (S&amp;P Global Market Intelligence aggregator). Share_Price_YearEnd derived by dividing year-end Market Cap by the constant 1.6bn shares outstanding (unchanged across all 5 years).</t>
  </si>
  <si>
    <t>MEDIUM-HIGH confidence for Total_Assets/Total_Liabilities/Net_Income/Shares_Outstanding (genuine FYE 30-Sep figures from stockanalysis.com, S&amp;P Global Market Intelligence aggregator). Share_Price_YearEnd is LOW-MEDIUM confidence: approximated using the nearest available calendar Dec-31 market-cap data point (same numeric year) divided by shares outstanding, since no Sep-30 specific closing price was available from this source - flagged as an approximation, consistent with the FYE-mapping convention used elsewhere in this dataset.</t>
  </si>
  <si>
    <t>MEDIUM-HIGH confidence: balance sheet/income statement figures from stockanalysis.com (S&amp;P Global Market Intelligence aggregator). Share_Price_YearEnd derived by dividing year-end Market Cap by shares outstanding. Total_Liabilities exceeded Total_Assets FY2021-2024 (genuine negative equity from accumulated losses), resolved by a FY2024-2025 capital raise. FY2024 Share_Price shows a large jump (0.59 -&gt; 10.30) coinciding with the capital raise - a real market re-rating event per the source, not verified against an independent NGX closing-price feed.</t>
  </si>
  <si>
    <t>MEDIUM-HIGH confidence: balance sheet/income statement figures from stockanalysis.com (S&amp;P Global Market Intelligence aggregator). Share_Price_YearEnd derived by dividing year-end Market Cap by period-end Shares_Outstanding.</t>
  </si>
  <si>
    <t>RESOLVED, HIGH confidence: Learn Africa Plc Audited FS for year ended 31-Mar-2021, NGX doclib primary source. TA-TL=3,228,774 matches reported Total_Equity. Shares=771,450,000 (50k par value). Share_Price_YearEnd remains an open gap - stockanalysis.com's historical price pages are JS-paginated and 2021 data could not be retrieved via headless fetch this session. Source: NGX doclib / registrar-hosted primary annual report. | Share_Price_YearEnd=1.17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</si>
  <si>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MEDIUM-HIGH confidence: balance sheet/income statement figures from stockanalysis.com (S&amp;P Global Market Intelligence aggregator), genuine FYE 31-March figures. Share_Price_YearEnd is LOW-MEDIUM confidence: approximated from the nearest PRECEDING calendar Dec-31 market-cap point (no Mar-31-specific closing price was available from this source) - see Firm Master Notes for the pairing logic.</t>
  </si>
  <si>
    <t>LISTING-YEAR (2025): Shares_Outstanding=2bn per the NGX listing announcement (HIGH confidence). Share_Price_YearEnd is the nearest-year-end proxy (Dec-31-2025 market cap of 10.58B / 2bn shares = 5.29), LOW-MEDIUM confidence, reflecting only a partial year of post-listing (Apr-Dec 2025) market discovery. Total_Assets/Total_Liabilities are INDIRECTLY DERIVED from press-reported Shareholders' Funds (N2.87bn = ~86% of total assets) for the year ended 31-Jul-2025 - LOW-MEDIUM confidence, not independently verified against the primary audited FS. Net_Income (N142,457,000) is HIGH confidence, directly reported.</t>
  </si>
  <si>
    <t>MEDIUM-HIGH confidence: stockanalysis.com (S&amp;P Global Market Intelligence aggregator) balance sheet/income statement/market-cap-history. Auditor this year: Ernst &amp; Young (Big4). Share_Price_YearEnd = Dec-31 market cap / period-end shares outstanding.</t>
  </si>
  <si>
    <t>MEDIUM-HIGH confidence: stockanalysis.com (S&amp;P Global Market Intelligence aggregator) balance sheet/income statement/market-cap-history. Auditor this year: KPMG Professional Services (Big4). Share_Price_YearEnd = Dec-31 market cap / period-end shares outstanding.</t>
  </si>
  <si>
    <t>MEDIUM-HIGH confidence: stockanalysis.com (S&amp;P Global Market Intelligence aggregator) balance sheet/income statement/market-cap-history. Auditor Ernst &amp; Young (Big4) since 20-Sep-2018 AGM. Share_Price_YearEnd = Dec-31 market cap / period-end shares outstanding.</t>
  </si>
  <si>
    <t>MEDIUM-HIGH confidence: stockanalysis.com (S&amp;P Global Market Intelligence aggregator) balance sheet/income statement/market-cap-history. Auditor PKF Professional Services (non-Big4) - confirmed HIGH confidence via the company's FY2024 Audited FS Corporate Information page (doclib.ngxgroup.com), after three prior WebSearch attempts were inconclusive. Share_Price_YearEnd = Dec-31 market cap / period-end shares outstanding.</t>
  </si>
  <si>
    <t>MEDIUM-HIGH confidence: stockanalysis.com (S&amp;P Global Market Intelligence aggregator) balance sheet/income statement/market-cap-history. Auditor KPMG Professional Services (Big4). Net_Income is the 'Net Income' (attributable to owners of parent) line, not the pre-minority-interest 'Net Income to Company' line. Share_Price_YearEnd = Dec-31 market cap / period-end shares outstanding.</t>
  </si>
  <si>
    <t>MEDIUM-HIGH confidence: stockanalysis.com (S&amp;P Global Market Intelligence aggregator) balance sheet/income statement/market-cap-history. Auditor PKF Professional Services (non-Big4, per 2019 AFS, most recent confirmation available). Share_Price_YearEnd = Dec-31 market cap / period-end shares outstanding.</t>
  </si>
  <si>
    <t>MEDIUM-HIGH confidence: stockanalysis.com (S&amp;P Global Market Intelligence aggregator) balance sheet/income statement/market-cap-history. Auditor KPMG Professional Services (Big4) - HIGH confidence, confirmed via the company's own FY2025 FS Corporate Information page. FY2021 shows a genuine reported net loss (-5,575,000). Share_Price_YearEnd = Dec-31 market cap / period-end shares outstanding.</t>
  </si>
  <si>
    <t>MEDIUM-HIGH confidence (financials): stockanalysis.com (S&amp;P Global Market Intelligence aggregator) balance sheet/income statement/market-cap-history. Auditor name UNRESOLVED (LOW confidence) - see Firm Master Notes; a large share-count increase occurred in FY2023 (718.74m -&gt; 1,117m). Share_Price_YearEnd = Dec-31 market cap / period-end shares outstanding.</t>
  </si>
  <si>
    <t>MEDIUM-HIGH confidence: stockanalysis.com (S&amp;P Global Market Intelligence aggregator) balance sheet/income statement/market-cap-history. Auditor Alexander Johnson &amp; Co (non-Big4). FY2023 is the NGX listing year (7-Nov-2023) - Share_Price_YearEnd uses the nearest-year-end (Dec-31-2023) trading price as a LOW-MEDIUM confidence proxy per the listing-year-price convention.</t>
  </si>
  <si>
    <t>MEDIUM-HIGH confidence: stockanalysis.com (S&amp;P Global Market Intelligence aggregator) balance sheet/income statement/market-cap-history. Auditor Alexander Johnson &amp; Co (non-Big4).</t>
  </si>
  <si>
    <t>MEDIUM-HIGH confidence: stockanalysis.com (S&amp;P Global Market Intelligence aggregator) balance sheet/income statement/market-cap-history. Auditor BDO Professional Services (non-Big4). FY2021-2022 show weak/negative operating income consistent with post-COVID input-cost pressure in the paints sector, before a strong recovery from FY2023.</t>
  </si>
  <si>
    <t>LOW-MEDIUM confidence, INDIRECTLY DERIVED for Total_Liabilities: FY2025 is MREIF's inaugural 10-month reporting period (17-Mar-2025 to 31-Dec-2025), sourced from press coverage (Punch, HousingTV Africa) of the fund's Dec-2025 results since stockanalysis.com does not carry full financials/market-cap history for this fund. Total_Assets (N270.33bn) and Net Assets Attributable to Unit Holders (N252.54bn, used as the equity base) are HIGH confidence (directly reported); Total_Liabilities (N17.79bn) is derived by subtraction. Net_Income is the reported Profit After Tax (N28.68bn), HIGH confidence. Shares_Outstanding (2.5bn units) is approximated from the N250bn capital raise at an assumed N100 initial unit price - not a directly reported unit count, LOW-MEDIUM confidence. Share_Price_YearEnd uses the reported NAV per Unit (N101.01) as a proxy for year-end trading price, since this newly-listed fund had very thin trading volume at year end. | EXCLUDED FROM 'Final Sample' (stricter, 17-Aug-2026): Condition 5 (Section 3.6): closed-end REIT/investment fund, not an operating company with conventional equity/board structure.</t>
  </si>
  <si>
    <t>MEDIUM-HIGH confidence: stockanalysis.com (S&amp;P Global Market Intelligence aggregator) balance sheet/income statement/market-cap-history. Auditor BDO Professional Services (non-Big4). Genuine reported net losses FY2021-2024, small profit in FY2025.</t>
  </si>
  <si>
    <t>MEDIUM-HIGH confidence: stockanalysis.com (S&amp;P Global Market Intelligence aggregator) balance sheet/income statement/market-cap-history. Auditor Ernst &amp; Young (Big4). FY2023-2024 net losses driven by naira-devaluation-related FX losses, consistent with MTN Group's publicly reported Nigerian operating environment commentary for this period.</t>
  </si>
  <si>
    <t>MEDIUM-HIGH confidence: stockanalysis.com (S&amp;P Global Market Intelligence aggregator) balance sheet/income statement/market-cap-history. Auditor Ernst &amp; Young (Big4). FY2023-2024 net losses driven by naira-devaluation-related FX losses, consistent with MTN Group's publicly reported Nigerian operating environment commentary for this period.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</si>
  <si>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MEDIUM-HIGH confidence: stockanalysis.com (S&amp;P Global Market Intelligence aggregator) balance sheet/income statement/market-cap-history, FYE 30-April mapped directly to study Year. Auditor Baker Tilly Nigeria (non-Big4). Negative shareholders' equity in FY2021 (-N1.02bn) reflecting genuine financial distress, recovering across the window; large share-count increases in FY2024-2025 (capital raises). Share_Price_YearEnd uses the nearest AVAILABLE calendar Dec-31 market cap as a fallback (true preceding Dec-2020 point unavailable from source) - LOW-MEDIUM confidence. | EXCLUDED FROM 'Final Sample' (stricter, 17-Aug-2026): Condition 5 (Section 3.6): NGX compliance status 'DWL' is not among the retained exception codes (BLS/MRF/RST).</t>
  </si>
  <si>
    <t>MEDIUM-HIGH confidence: stockanalysis.com (S&amp;P Global Market Intelligence aggregator) balance sheet/income statement/market-cap-history, FYE 30-April mapped directly to study Year. Auditor Baker Tilly Nigeria (non-Big4). Negative shareholders' equity in FY2021 (-N1.02bn) reflecting genuine financial distress, recovering across the window; large share-count increases in FY2024-2025 (capital raises). | EXCLUDED FROM 'Final Sample' (stricter, 17-Aug-2026): Condition 5 (Section 3.6): NGX compliance status 'DWL' is not among the retained exception codes (BLS/MRF/RST).</t>
  </si>
  <si>
    <t>MEDIUM-HIGH confidence: stockanalysis.com (S&amp;P Global Market Intelligence aggregator) balance sheet/income statement/market-cap-history, FYE 30-April mapped directly to study Year. Auditor Baker Tilly Nigeria (non-Big4). Negative shareholders' equity in FY2021 (-N1.02bn) reflecting genuine financial distress, recovering across the window; large share-count increases in FY2024-2025 (capital raises). Share_Price_YearEnd approximated from the nearest PRECEDING calendar Dec-31 market cap per the FYE-Apr convention. | EXCLUDED FROM 'Final Sample' (stricter, 17-Aug-2026): Condition 5 (Section 3.6): NGX compliance status 'DWL' is not among the retained exception codes (BLS/MRF/RST).</t>
  </si>
  <si>
    <t>MEDIUM-HIGH confidence: stockanalysis.com (S&amp;P Global Market Intelligence aggregator) balance sheet/income statement/market-cap-history. Auditor Olukayode Aina &amp; Co (non-Big4) - HIGH confidence, confirmed via the company's own website Corporate Information page.</t>
  </si>
  <si>
    <t>MEDIUM-HIGH confidence: stockanalysis.com (S&amp;P Global Market Intelligence aggregator) balance sheet/income statement/market-cap-history. Auditor Ernst &amp; Young (Big4). Strong growth in revenue and net income across the study window (aviation-sector recovery).</t>
  </si>
  <si>
    <t>MEDIUM-HIGH confidence: stockanalysis.com (S&amp;P Global Market Intelligence aggregator) balance sheet/income statement/market-cap-history. Auditor PwC (Big4). Dangote Group subsidiary; strong consistent revenue/profit growth across the study window.</t>
  </si>
  <si>
    <t xml:space="preserve">MEDIUM-HIGH confidence: stockanalysis.com (S&amp;P Global Market Intelligence aggregator) balance sheet/income statement/market-cap-history. Auditor for FY2021: Deloitte &amp; Touche (Big4). </t>
  </si>
  <si>
    <t xml:space="preserve">MEDIUM-HIGH confidence: stockanalysis.com (S&amp;P Global Market Intelligence aggregator) balance sheet/income statement/market-cap-history. Auditor for FY2022: Deloitte &amp; Touche (Big4). </t>
  </si>
  <si>
    <t xml:space="preserve">MEDIUM-HIGH confidence: stockanalysis.com (S&amp;P Global Market Intelligence aggregator) balance sheet/income statement/market-cap-history. Auditor for FY2023: Deloitte &amp; Touche (Big4). Large reported net loss driven by naira-devaluation-related FX losses. </t>
  </si>
  <si>
    <t xml:space="preserve">MEDIUM-HIGH confidence: stockanalysis.com (S&amp;P Global Market Intelligence aggregator) balance sheet/income statement/market-cap-history. Auditor for FY2024: Deloitte &amp; Touche (Big4). Large reported net loss driven by naira-devaluation-related FX losses. Large share-count increase (10.276bn-&gt;30.983bn) from a major capital raise/rights issue. </t>
  </si>
  <si>
    <t xml:space="preserve">MEDIUM-HIGH confidence: stockanalysis.com (S&amp;P Global Market Intelligence aggregator) balance sheet/income statement/market-cap-history. Auditor for FY2025: KPMG Professional Services (appointed 16-Apr-2025) (Big4). </t>
  </si>
  <si>
    <t>MEDIUM-HIGH confidence: stockanalysis.com (S&amp;P Global Market Intelligence aggregator) balance sheet/income statement/market-cap-history. Auditor Grant Thornton (non-Big4). Persistently negative Shareholders' Equity (genuine financial distress) across the study window - Total_Liabilities exceeds Total_Assets in the underlying source data; standard Leverage/ROA/Tobin's Q ratios computed from the entered figures may need cautious interpretation given the negative-equity condition.</t>
  </si>
  <si>
    <t>RESOLVED, HIGH confidence: FY2022 transition-period annual report (15-month period 1-Oct-2021 to 31-Dec-2022, following a FYE change from September to December) presents FY2021 (12 months to 30-Sep-2021) as its comparative column. TA-TL=1,414,067 matches reported Total_Equity. Confirms and refines the previously-flagged press estimate (~271m PAT at the 63rd AGM). Source: NGX doclib / registrar-hosted primary annual report.</t>
  </si>
  <si>
    <t>MEDIUM confidence: stockanalysis.com (S&amp;P Global Market Intelligence aggregator) balance sheet/income statement/market-cap-history, calendar-year (Dec-31 FYE) figures post the FYE-transition. Auditor BDO Professional Services (non-Big4).</t>
  </si>
  <si>
    <t>MEDIUM confidence: stockanalysis.com (S&amp;P Global Market Intelligence aggregator) balance sheet/income statement/market-cap-history, calendar-year (Dec-31 FYE) figures post the FYE-transition. Auditor BDO Professional Services (non-Big4). Large share-count increase (1.899bn-&gt;4.273bn, +125%) from a bonus/capital-raise issue.</t>
  </si>
  <si>
    <t>MEDIUM-HIGH confidence: stockanalysis.com (S&amp;P Global Market Intelligence aggregator) balance sheet/income statement/market-cap-history. Auditor KPMG Professional Services (Big4). Strong consistent revenue/profit growth across the study window.</t>
  </si>
  <si>
    <t xml:space="preserve">MEDIUM-HIGH confidence: stockanalysis.com (S&amp;P Global Market Intelligence aggregator) balance sheet/income statement/market-cap-history. Auditor Ernst &amp; Young (Big4). </t>
  </si>
  <si>
    <t>MEDIUM-HIGH confidence: stockanalysis.com (S&amp;P Global Market Intelligence aggregator) balance sheet/income statement/market-cap-history. Auditor Ernst &amp; Young (Big4). Large reported net loss driven by naira-devaluation-related FX losses, pushing Shareholders' Equity negative - genuine reported condition, not a data error.</t>
  </si>
  <si>
    <t>MEDIUM-HIGH confidence: stockanalysis.com (S&amp;P Global Market Intelligence aggregator) balance sheet/income statement/market-cap-history. Auditor Ernst &amp; Young (Big4). Listed by introduction 15-Oct-2021 (before the FY2021 year-end, so included per the mid-year-listing convention). Strong consistent revenue/profit growth across the study window.</t>
  </si>
  <si>
    <t>MEDIUM-HIGH confidence: stockanalysis.com (S&amp;P Global Market Intelligence aggregator) balance sheet/income statement/market-cap-history. Auditor Ernst &amp; Young (Big4). Listed by introduction 15-Oct-2021 (before the FY2021 year-end, so included per the mid-year-listing convention). Strong consistent revenue/profit growth across the study window. Share count increased 2.619bn-&gt;2.939bn (+12.2%) shortly after listing.</t>
  </si>
  <si>
    <t>MEDIUM-HIGH confidence (Total_Assets/Total_Liabilities/Profit): from the Fund's own audited Statement of Financial Position (FY2023, via Q3-2024 Quarterly Investor Report PDF) and press coverage of FY2024/FY2025 audited results. Auditor PwC Nigeria (Big4). Shares_Outstanding = Units in Issue; Share_Price_YearEnd = NAV per Unit (MEDIUM confidence proxy, no independent daily traded-price series located for this fund). FY2023 is the listing year; full-year audited figures used (fund existed pre-listing). | EXCLUDED FROM 'Final Sample' (stricter, 17-Aug-2026): Condition 5 (Section 3.6): closed-end REIT/investment fund, not an operating company with conventional equity/board structure.</t>
  </si>
  <si>
    <t>MEDIUM-HIGH confidence (Total_Assets/Total_Liabilities/Profit): from the Fund's own audited Statement of Financial Position (FY2023, via Q3-2024 Quarterly Investor Report PDF) and press coverage of FY2024/FY2025 audited results. Auditor PwC Nigeria (Big4). Shares_Outstanding = Units in Issue; Share_Price_YearEnd = NAV per Unit (MEDIUM confidence proxy, no independent daily traded-price series located for this fund). | EXCLUDED FROM 'Final Sample' (stricter, 17-Aug-2026): Condition 5 (Section 3.6): closed-end REIT/investment fund, not an operating company with conventional equity/board structure.</t>
  </si>
  <si>
    <t>RESOLVED, HIGH confidence: NNFM 2021 Annual Report &amp; Accounts (audited, KPMG + Ahmed Zakari &amp; Co.), from the company's own site. TA-TL=2,787,821 vs. reported equity components summing to 2,787,771 - an immaterial N50k rounding artifact in the source PDF itself. Source: NGX doclib / registrar-hosted primary annual report.</t>
  </si>
  <si>
    <t>MEDIUM-HIGH confidence: stockanalysis.com (S&amp;P Global Market Intelligence aggregator) balance sheet/income statement, FYE 31-March mapped directly to study Year. Share_Price_YearEnd from the nearest PRECEDING calendar Dec-31 market cap. Joint auditors KPMG Professional Services (Big4) and Ahmed Zakari &amp; Co.</t>
  </si>
  <si>
    <t>MEDIUM-HIGH confidence: stockanalysis.com (S&amp;P Global Market Intelligence aggregator) balance sheet/income statement, FYE 31-March mapped directly to study Year. Share_Price_YearEnd from the nearest PRECEDING calendar Dec-31 market cap. Joint auditors KPMG Professional Services (Big4) and Ahmed Zakari &amp; Co. Shares_Outstanding 179.42m reflects a minor in-year share movement.</t>
  </si>
  <si>
    <t>MEDIUM-HIGH confidence for financials: stockanalysis.com (S&amp;P Global Market Intelligence aggregator) balance sheet/income statement/market-cap-history. LOW confidence on auditor: pre-FY2023 auditor unresolved after multiple search attempts - Big4_Auditor defaulted to 0 rather than guessed, per the MCNICHOLS-precedent gap-documentation convention.</t>
  </si>
  <si>
    <t>MEDIUM-HIGH confidence for financials: stockanalysis.com (S&amp;P Global Market Intelligence aggregator) balance sheet/income statement/market-cap-history. LOW confidence on auditor: pre-FY2023 auditor unresolved after multiple search attempts - Big4_Auditor defaulted to 0 rather than guessed, per the MCNICHOLS-precedent gap-documentation convention. Share count +135.9% (2.541bn-&gt;5.993bn) from a capital raise.</t>
  </si>
  <si>
    <t>MEDIUM-HIGH confidence: stockanalysis.com (S&amp;P Global Market Intelligence aggregator) balance sheet/income statement/market-cap-history. Auditor Deloitte &amp; Touche (Big4, appointed 1-Jun-2023).</t>
  </si>
  <si>
    <t>MEDIUM-HIGH confidence: stockanalysis.com (S&amp;P Global Market Intelligence aggregator, ticker UPDCREIT) balance sheet/income statement/market-cap-history. Auditor Forvis Mazars (non-Big4). Genuine reported net loss (-N4.48bn), attributed by the company to pandemic-related impacts. | EXCLUDED FROM 'Final Sample' (stricter, 17-Aug-2026): Condition 5 (Section 3.6): closed-end REIT/investment fund, not an operating company with conventional equity/board structure.</t>
  </si>
  <si>
    <t>MEDIUM-HIGH confidence: stockanalysis.com (S&amp;P Global Market Intelligence aggregator, ticker UPDCREIT) balance sheet/income statement/market-cap-history. Auditor Forvis Mazars (non-Big4). | EXCLUDED FROM 'Final Sample' (stricter, 17-Aug-2026): Condition 5 (Section 3.6): closed-end REIT/investment fund, not an operating company with conventional equity/board structure.</t>
  </si>
  <si>
    <t>MEDIUM-HIGH confidence. Source: stockanalysis.com (S&amp;P Global Market Intelligence) balance sheet/income statement/market-cap-history for FY2021. Total_Common_Shares_Outstanding constant at 5,632m across window. Share_Price_YearEnd = Dec-2021 market cap / shares outstanding. Auditor unresolved (see Firm Master note).</t>
  </si>
  <si>
    <t>MEDIUM-HIGH confidence. Source: stockanalysis.com (S&amp;P Global Market Intelligence) balance sheet/income statement/market-cap-history for FY2022. Total_Common_Shares_Outstanding constant at 5,632m across window. Share_Price_YearEnd = Dec-2022 market cap / shares outstanding. Auditor unresolved (see Firm Master note).</t>
  </si>
  <si>
    <t>MEDIUM-HIGH confidence. Source: stockanalysis.com (S&amp;P Global Market Intelligence) balance sheet/income statement/market-cap-history for FY2023. Total_Common_Shares_Outstanding constant at 5,632m across window. Share_Price_YearEnd = Dec-2023 market cap / shares outstanding. Auditor unresolved (see Firm Master note).</t>
  </si>
  <si>
    <t>MEDIUM-HIGH confidence. Source: stockanalysis.com (S&amp;P Global Market Intelligence) balance sheet/income statement/market-cap-history for FY2024. Total_Common_Shares_Outstanding constant at 5,632m across window. Share_Price_YearEnd = Dec-2024 market cap / shares outstanding. Auditor unresolved (see Firm Master note).</t>
  </si>
  <si>
    <t>MEDIUM-HIGH confidence. Source: stockanalysis.com (S&amp;P Global Market Intelligence) balance sheet/income statement/market-cap-history for FY2025. Total_Common_Shares_Outstanding constant at 5,632m across window. Share_Price_YearEnd = Dec-2025 market cap / shares outstanding. Auditor unresolved (see Firm Master note).</t>
  </si>
  <si>
    <t>MEDIUM-HIGH confidence. Source: stockanalysis.com (S&amp;P Global Market Intelligence) balance sheet/income statement/market-cap-history for FY2021. Auditor this year: Ernst &amp; Young (Big4) (auditor-transition-within-window convention). Share_Price_YearEnd = Dec-2021 market cap / period-end shares outstanding.</t>
  </si>
  <si>
    <t>MEDIUM-HIGH confidence. Source: stockanalysis.com (S&amp;P Global Market Intelligence) balance sheet/income statement/market-cap-history for FY2022. Auditor this year: BDO Professional Services (non-Big4) (auditor-transition-within-window convention). Share_Price_YearEnd = Dec-2022 market cap / period-end shares outstanding.</t>
  </si>
  <si>
    <t>MEDIUM-HIGH confidence. Source: stockanalysis.com (S&amp;P Global Market Intelligence) balance sheet/income statement/market-cap-history for FY2023. Auditor this year: BDO Professional Services (non-Big4) (auditor-transition-within-window convention). Share_Price_YearEnd = Dec-2023 market cap / period-end shares outstanding.</t>
  </si>
  <si>
    <t>MEDIUM-HIGH confidence. Source: stockanalysis.com (S&amp;P Global Market Intelligence) balance sheet/income statement/market-cap-history for FY2024. Auditor this year: BDO Professional Services (non-Big4) (auditor-transition-within-window convention). Share_Price_YearEnd = Dec-2024 market cap / period-end shares outstanding.</t>
  </si>
  <si>
    <t>MEDIUM-HIGH confidence. Source: stockanalysis.com (S&amp;P Global Market Intelligence) balance sheet/income statement/market-cap-history for FY2025. Auditor this year: BDO Professional Services (non-Big4) (auditor-transition-within-window convention). Share_Price_YearEnd = Dec-2025 market cap / period-end shares outstanding.</t>
  </si>
  <si>
    <t>MEDIUM-HIGH confidence. Source: stockanalysis.com (S&amp;P Global Market Intelligence) balance sheet/income statement/market-cap-history for FY2021. Total_Common_Shares_Outstanding constant at 953.91m. Share_Price_YearEnd = Dec-2021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</si>
  <si>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FY2022. Total_Common_Shares_Outstanding constant at 953.91m. Share_Price_YearEnd = Dec-2022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</si>
  <si>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FY2023. Total_Common_Shares_Outstanding constant at 953.91m. Share_Price_YearEnd = Dec-2023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</si>
  <si>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FY2024. Total_Common_Shares_Outstanding constant at 953.91m. Share_Price_YearEnd = Dec-2024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</si>
  <si>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FY2025. Total_Common_Shares_Outstanding constant at 953.91m. Share_Price_YearEnd = Dec-2025 market cap / shares outstanding, cross-checked against reported EPS/dividend trend. Auditor Ernst &amp; Young (Big4) confirmed for FY2024, assumed for other years.</t>
  </si>
  <si>
    <t>LOW-MEDIUM (stale/flat year-end price, minimal trading activity) confidence. Source: stockanalysis.com (S&amp;P Global Market Intelligence) balance sheet/income statement/market-cap-history for FY2021. Total_Common_Shares_Outstanding constant at 2,942m across window (TTM figure reflects a post-window ~2026 share consolidation, not applicable to this study year). Auditor Olaolu Olabimtan &amp; Co. (non-Big4).</t>
  </si>
  <si>
    <t>LOW-MEDIUM (stale/flat year-end price, minimal trading activity) confidence. Source: stockanalysis.com (S&amp;P Global Market Intelligence) balance sheet/income statement/market-cap-history for FY2022. Total_Common_Shares_Outstanding constant at 2,942m across window (TTM figure reflects a post-window ~2026 share consolidation, not applicable to this study year). Auditor Olaolu Olabimtan &amp; Co. (non-Big4).</t>
  </si>
  <si>
    <t>MEDIUM-HIGH confidence. Source: stockanalysis.com (S&amp;P Global Market Intelligence) balance sheet/income statement/market-cap-history for FY2023. Total_Common_Shares_Outstanding constant at 2,942m across window (TTM figure reflects a post-window ~2026 share consolidation, not applicable to this study year). Auditor Olaolu Olabimtan &amp; Co. (non-Big4).</t>
  </si>
  <si>
    <t>MEDIUM-HIGH confidence. Source: stockanalysis.com (S&amp;P Global Market Intelligence) balance sheet/income statement/market-cap-history for FY2024. Total_Common_Shares_Outstanding constant at 2,942m across window (TTM figure reflects a post-window ~2026 share consolidation, not applicable to this study year). Auditor Olaolu Olabimtan &amp; Co. (non-Big4).</t>
  </si>
  <si>
    <t>MEDIUM-HIGH confidence. Source: stockanalysis.com (S&amp;P Global Market Intelligence) balance sheet/income statement/market-cap-history for FY2025. Total_Common_Shares_Outstanding constant at 2,942m across window (TTM figure reflects a post-window ~2026 share consolidation, not applicable to this study year). Auditor Olaolu Olabimtan &amp; Co. (non-Big4).</t>
  </si>
  <si>
    <t>MEDIUM-HIGH (audited NGX-doclib filing). Source: stockanalysis.com (S&amp;P Global Market Intelligence) balance sheet/income statement/market-cap-history for FY2021. Auditor SIAO Partners (non-Big4). | EXCLUDED FROM 'Final Sample' (stricter, 17-Aug-2026): Condition 5 (Section 3.6): NGX compliance status 'MRS' is not among the retained exception codes (BLS/MRF/RST).</t>
  </si>
  <si>
    <t>MEDIUM (data available via stockanalysis/NGX filing despite the firm's later Jul-2023 suspension for delayed FY2022 filing - likely a subsequent catch-up filing). Source: stockanalysis.com (S&amp;P Global Market Intelligence) balance sheet/income statement/market-cap-history for FY2022. Auditor SIAO Partners (non-Big4). | EXCLUDED FROM 'Final Sample' (stricter, 17-Aug-2026): Condition 5 (Section 3.6): NGX compliance status 'MRS' is not among the retained exception codes (BLS/MRF/RST).</t>
  </si>
  <si>
    <t>LOW-MEDIUM confidence (stale/flat year-end price, illiquid micro-cap). Source: stockanalysis.com (S&amp;P Global Market Intelligence) balance sheet/income statement/market-cap-history for FY2021. Auditor unresolved (see Firm Master note).</t>
  </si>
  <si>
    <t>LOW-MEDIUM confidence (stale/flat year-end price, illiquid micro-cap). Source: stockanalysis.com (S&amp;P Global Market Intelligence) balance sheet/income statement/market-cap-history for FY2022. Auditor unresolved (see Firm Master note).</t>
  </si>
  <si>
    <t>LOW-MEDIUM confidence (stale/flat year-end price, illiquid micro-cap). Source: stockanalysis.com (S&amp;P Global Market Intelligence) balance sheet/income statement/market-cap-history for FY2023. Auditor unresolved (see Firm Master note).</t>
  </si>
  <si>
    <t>LOW-MEDIUM confidence (stale/flat year-end price, illiquid micro-cap). Source: stockanalysis.com (S&amp;P Global Market Intelligence) balance sheet/income statement/market-cap-history for FY2024. Auditor unresolved (see Firm Master note).</t>
  </si>
  <si>
    <t>LOW-MEDIUM confidence (stale/flat year-end price, illiquid micro-cap). Source: stockanalysis.com (S&amp;P Global Market Intelligence) balance sheet/income statement/market-cap-history for FY2025. Auditor unresolved (see Firm Master note).</t>
  </si>
  <si>
    <t>MEDIUM-HIGH confidence. Source: stockanalysis.com (S&amp;P Global Market Intelligence) balance sheet/income statement/market-cap-history for FY2021. Auditor this year: Deloitte &amp; Touche (Big4). Share_Price_YearEnd = Dec-2021 market cap / period-end shares outstanding.</t>
  </si>
  <si>
    <t>MEDIUM-HIGH confidence. Source: stockanalysis.com (S&amp;P Global Market Intelligence) balance sheet/income statement/market-cap-history for FY2022. Auditor this year: Deloitte &amp; Touche (Big4). Share_Price_YearEnd = Dec-2022 market cap / period-end shares outstanding.</t>
  </si>
  <si>
    <t>MEDIUM-HIGH confidence. Source: stockanalysis.com (S&amp;P Global Market Intelligence) balance sheet/income statement/market-cap-history for FY2023. Auditor this year: Deloitte &amp; Touche (Big4). Share_Price_YearEnd = Dec-2023 market cap / period-end shares outstanding.</t>
  </si>
  <si>
    <t>MEDIUM-HIGH confidence. Source: stockanalysis.com (S&amp;P Global Market Intelligence) balance sheet/income statement/market-cap-history for FY2024. Auditor this year: Deloitte &amp; Touche (Big4). Share_Price_YearEnd = Dec-2024 market cap / period-end shares outstanding.</t>
  </si>
  <si>
    <t>MEDIUM-HIGH confidence. Source: stockanalysis.com (S&amp;P Global Market Intelligence) balance sheet/income statement/market-cap-history for FY2025. Auditor this year: KPMG Professional Services (Big4). Share_Price_YearEnd = Dec-2025 market cap / period-end shares outstanding.</t>
  </si>
  <si>
    <t>MEDIUM-HIGH confidence. Source: stockanalysis.com (S&amp;P Global Market Intelligence) balance sheet/income statement/market-cap-history for FY2021. Total_Common_Shares_Outstanding constant at 13,253m. Auditor unresolved (see Firm Master note).</t>
  </si>
  <si>
    <t>MEDIUM-HIGH confidence. Source: stockanalysis.com (S&amp;P Global Market Intelligence) balance sheet/income statement/market-cap-history for FY2022. Total_Common_Shares_Outstanding constant at 13,253m. Auditor unresolved (see Firm Master note).</t>
  </si>
  <si>
    <t>MEDIUM-HIGH confidence. Source: stockanalysis.com (S&amp;P Global Market Intelligence) balance sheet/income statement/market-cap-history for FY2023. Total_Common_Shares_Outstanding constant at 13,253m. Auditor unresolved (see Firm Master note).</t>
  </si>
  <si>
    <t>MEDIUM-HIGH confidence. Source: stockanalysis.com (S&amp;P Global Market Intelligence) balance sheet/income statement/market-cap-history for FY2024. Total_Common_Shares_Outstanding constant at 13,253m. Auditor unresolved (see Firm Master note).</t>
  </si>
  <si>
    <t>MEDIUM-HIGH confidence. Source: stockanalysis.com (S&amp;P Global Market Intelligence) balance sheet/income statement/market-cap-history for FY2025. Total_Common_Shares_Outstanding constant at 13,253m. Auditor unresolved (see Firm Master note).</t>
  </si>
  <si>
    <t>LOW-MEDIUM (fallback: true nearest-preceding Dec-2020 unavailable, used Dec-2021 instead). Source: stockanalysis.com (S&amp;P Global Market Intelligence) balance sheet/income statement (FYE 31-May-2021, mapped directly to study Year=2021) and market-cap-history. Auditor PricewaterhouseCoopers (Big4).</t>
  </si>
  <si>
    <t>MEDIUM (nearest-preceding-Dec-31 convention: Dec-2021). Source: stockanalysis.com (S&amp;P Global Market Intelligence) balance sheet/income statement (FYE 31-May-2022, mapped directly to study Year=2022) and market-cap-history. Auditor PricewaterhouseCoopers (Big4).</t>
  </si>
  <si>
    <t>MEDIUM (nearest-preceding-Dec-31 convention: Dec-2022). Source: stockanalysis.com (S&amp;P Global Market Intelligence) balance sheet/income statement (FYE 31-May-2023, mapped directly to study Year=2023) and market-cap-history. Auditor PricewaterhouseCoopers (Big4).</t>
  </si>
  <si>
    <t>MEDIUM (nearest-preceding-Dec-31 convention: Dec-2023). Source: stockanalysis.com (S&amp;P Global Market Intelligence) balance sheet/income statement (FYE 31-May-2024, mapped directly to study Year=2024) and market-cap-history. Auditor PricewaterhouseCoopers (Big4).</t>
  </si>
  <si>
    <t>MEDIUM (nearest-preceding-Dec-31 convention: Dec-2024). Source: stockanalysis.com (S&amp;P Global Market Intelligence) balance sheet/income statement (FYE 31-May-2025, mapped directly to study Year=2025) and market-cap-history. Auditor PricewaterhouseCoopers (Big4).</t>
  </si>
  <si>
    <t>RESOLVED, HIGH confidence: audited FYE 31-Mar-2021 results per THISDAY's detailed coverage of the audited financial statements (Oct-2021). Total_Assets=7,540,000 (non-current 3,050,000 + current 4,490,000), Total_Liabilities=3,310,000 (current 2,720,000 + non-current 586,000... rounding), Net_Income=150,070 (down from 468,990 in FY2020). Cross-check: TA-TL=4,230,000 matches reported Total Equity.</t>
  </si>
  <si>
    <t>MEDIUM confidence. Source: stockanalysis.com (S&amp;P Global Market Intelligence) balance sheet/income statement (FYE 31-Mar-2022, mapped directly to study Year=2022) and market-cap-history (nearest-preceding-Dec-31 convention). Auditor KPMG Professional Services (Big4).</t>
  </si>
  <si>
    <t>MEDIUM confidence. Source: stockanalysis.com (S&amp;P Global Market Intelligence) balance sheet/income statement (FYE 31-Mar-2023, mapped directly to study Year=2023) and market-cap-history (nearest-preceding-Dec-31 convention). Auditor KPMG Professional Services (Big4).</t>
  </si>
  <si>
    <t>MEDIUM confidence. Source: stockanalysis.com (S&amp;P Global Market Intelligence) balance sheet/income statement (FYE 31-Mar-2024, mapped directly to study Year=2024) and market-cap-history (nearest-preceding-Dec-31 convention). Auditor KPMG Professional Services (Big4).</t>
  </si>
  <si>
    <t>MEDIUM confidence. Source: stockanalysis.com (S&amp;P Global Market Intelligence) balance sheet/income statement (FYE 31-Mar-2025, mapped directly to study Year=2025) and market-cap-history (nearest-preceding-Dec-31 convention). Auditor KPMG Professional Services (Big4).</t>
  </si>
  <si>
    <t>MEDIUM-HIGH confidence. Source: stockanalysis.com (S&amp;P Global Market Intelligence) balance sheet/income statement/market-cap-history for FY2021. Auditor unresolved (see Firm Master note).</t>
  </si>
  <si>
    <t>MEDIUM-HIGH confidence. Source: stockanalysis.com (S&amp;P Global Market Intelligence) balance sheet/income statement/market-cap-history for FY2022. Auditor unresolved (see Firm Master note).</t>
  </si>
  <si>
    <t>MEDIUM-HIGH confidence. Source: stockanalysis.com (S&amp;P Global Market Intelligence) balance sheet/income statement/market-cap-history for FY2023. Auditor unresolved (see Firm Master note).</t>
  </si>
  <si>
    <t>MEDIUM-HIGH confidence. Source: stockanalysis.com (S&amp;P Global Market Intelligence) balance sheet/income statement/market-cap-history for FY2024. Auditor unresolved (see Firm Master note).</t>
  </si>
  <si>
    <t>MEDIUM-HIGH confidence. Source: stockanalysis.com (S&amp;P Global Market Intelligence) balance sheet/income statement/market-cap-history for FY2025. Auditor unresolved (see Firm Master note).</t>
  </si>
  <si>
    <t>RESOLVED - TA/TL/NI/Shares from RONCHESS GLOBAL RESOURCES PLC FY2022 Audited Financial Statements (comparative FY2021 column), HIGH confidence. Source: NGX doclib audited financial statements (primary source). Share_Price_YearEnd=81.00 (flat/illiquid Growth Board stock - stockanalysis.com shows an identical market cap across all available dates including Dec-2021 through Aug-2026, consistent with a stock that essentially never trades - LOW-MEDIUM confidence as a true 31-Dec close, but the best available data point).</t>
  </si>
  <si>
    <t>RESOLVED - TA/TL/NI/Shares from RONCHESS GLOBAL RESOURCES PLC FY2022 Audited Financial Statements, HIGH confidence. Source: NGX doclib audited financial statements (primary source). Share_Price_YearEnd=81.00, LOW-MEDIUM confidence (see FY2021 note - flat/illiquid Growth Board stock).</t>
  </si>
  <si>
    <t>PARTIALLY RESOLVED - Total_Assets/Total_Liabilities from RONCHESS GLOBAL RESOURCES PLC's UNAUDITED Q4-2023 financial statements (31-Dec-2023 balance sheet snapshot), MEDIUM-HIGH confidence (point-in-time balance figures, audited FY2022 comparatives on the same document reconcile exactly). Net_Income=735,794 is RECONSTRUCTED (not directly stated) via retained-earnings bridging: FY2023 closing retained earnings 14,634,714 minus FY2022 closing retained earnings 13,898,920 (from the FY2022 audited FS) = 735,794, assuming no dividends paid during the year (none disclosed) - MEDIUM confidence. The filing's own P&amp;L table shows only the Oct-Dec Q4 quarter (157,457), not the cumulative full year, hence the bridging approach. Source: NGX doclib audited financial statements (primary source). Share_Price_YearEnd=81.00, LOW-MEDIUM confidence (flat/illiquid Growth Board stock).</t>
  </si>
  <si>
    <t>DATA GAP: Total_Liabilities/Total_Assets/Net_Income and Share_Price_YearEnd for FY2024 could not be reliably sourced - stockanalysis.com has no balance-sheet/income-statement coverage for this ticker, and its market-cap-history is a static figure (current price applied retroactively to all years), not genuine historical trading data, consistent with the stock's near-total illiquidity (98.40% insider-owned, only 1.46m of 91.00m shares free-floating). Shares_Outstanding (91.00m, current figure) filled as MEDIUM-LOW confidence. RESOLVED (FY2025 Audited FS comparative column). Share count rose 91,000,000-&gt;101,000,000 during FY2024 (new issuance). Source: NGX doclib primary filings. Price=81.00 flat/illiquid (free float 11.34%, below 15% requirement) - genuinely non-trading, not a data gap.</t>
  </si>
  <si>
    <t>DATA GAP: Total_Liabilities/Total_Assets/Net_Income and Share_Price_YearEnd for FY2025 could not be reliably sourced - stockanalysis.com has no balance-sheet/income-statement coverage for this ticker, and its market-cap-history is a static figure (current price applied retroactively to all years), not genuine historical trading data, consistent with the stock's near-total illiquidity (98.40% insider-owned, only 1.46m of 91.00m shares free-floating). Shares_Outstanding (91.00m, current figure) filled as MEDIUM-LOW confidence. RESOLVED - RONCHESS GLOBAL RESOURCES PLC Audited FY2025 Annual Report. Source: NGX doclib primary filings. Company moved to a net loss and equity nearly halved (4.81bn-&gt;2.05bn) - flag for scrutiny, real result not a data error (TA=TL+TE balances exactly). Price=81.00 flat/illiquid.</t>
  </si>
  <si>
    <t>MEDIUM-HIGH confidence. Source: stockanalysis.com (S&amp;P Global Market Intelligence) balance sheet/income statement/market-cap-history for FY2021. Auditor this year: Deloitte &amp; Touche.</t>
  </si>
  <si>
    <t>MEDIUM-HIGH confidence. Source: stockanalysis.com (S&amp;P Global Market Intelligence) balance sheet/income statement/market-cap-history for FY2022. Auditor this year: Deloitte &amp; Touche (assumed).</t>
  </si>
  <si>
    <t>MEDIUM-HIGH confidence. Source: stockanalysis.com (S&amp;P Global Market Intelligence) balance sheet/income statement/market-cap-history for FY2023. Auditor this year: Grant Thornton Nigeria.</t>
  </si>
  <si>
    <t>MEDIUM-HIGH confidence. Source: stockanalysis.com (S&amp;P Global Market Intelligence) balance sheet/income statement/market-cap-history for FY2024. Auditor this year: Grant Thornton Nigeria.</t>
  </si>
  <si>
    <t>MEDIUM-HIGH confidence. Source: stockanalysis.com (S&amp;P Global Market Intelligence) balance sheet/income statement/market-cap-history for FY2025. Auditor this year: Grant Thornton Nigeria.</t>
  </si>
  <si>
    <t>MEDIUM-HIGH confidence. Source: stockanalysis.com (S&amp;P Global Market Intelligence) balance sheet/income statement/market-cap-history for FY2021. Auditor this year: auditor unresolved (LOW confidence, pre-transition).</t>
  </si>
  <si>
    <t>MEDIUM-HIGH confidence. Source: stockanalysis.com (S&amp;P Global Market Intelligence) balance sheet/income statement/market-cap-history for FY2022. Auditor this year: auditor unresolved (LOW confidence, pre-transition).</t>
  </si>
  <si>
    <t>MEDIUM-HIGH confidence. Source: stockanalysis.com (S&amp;P Global Market Intelligence) balance sheet/income statement/market-cap-history for FY2023. Auditor this year: Crowe Dafinone (non-Big4).</t>
  </si>
  <si>
    <t>MEDIUM-HIGH confidence. Source: stockanalysis.com (S&amp;P Global Market Intelligence) balance sheet/income statement/market-cap-history for FY2024. Auditor this year: Crowe Dafinone (non-Big4).</t>
  </si>
  <si>
    <t>MEDIUM-HIGH confidence. Source: stockanalysis.com (S&amp;P Global Market Intelligence) balance sheet/income statement/market-cap-history for FY2025. Auditor this year: Crowe Dafinone (non-Big4).</t>
  </si>
  <si>
    <t>SCOA Nigeria Plc FY2021: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</si>
  <si>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FY2022: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</si>
  <si>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FY2023: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</si>
  <si>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FY2024: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</si>
  <si>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FY2025: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</si>
  <si>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Seplat Energy Plc FY2021: DUAL-CURRENCY-REPORTING SPECIAL CASE. Total_Assets ($3163M USD) and Total_Liabilities ($1456M USD) converted to NGN'000 using approximate CBN/NFEM year-end closing rate of 413.29 NGN/USD (WebSearch-sourced, not independently cross-verified against CBN's official archive - MEDIUM confidence). Net_Income converted from $141.78M USD at FX 413.29.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t>
  </si>
  <si>
    <t>Seplat Energy Plc FY2022: DUAL-CURRENCY-REPORTING SPECIAL CASE. Total_Assets ($3332M USD) and Total_Liabilities ($1572M USD) converted to NGN'000 using approximate CBN/NFEM year-end closing rate of 461.5 NGN/USD (WebSearch-sourced, not independently cross-verified against CBN's official archive - MEDIUM confidence). Net_Income converted from $62.41M USD at FX 461.5.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t>
  </si>
  <si>
    <t>Seplat Energy Plc FY2023: DUAL-CURRENCY-REPORTING SPECIAL CASE. Total_Assets ($3395M USD) and Total_Liabilities ($1602M USD) converted to NGN'000 using approximate CBN/NFEM year-end closing rate of 899.39 NGN/USD (WebSearch-sourced, not independently cross-verified against CBN's official archive - MEDIUM confidence). Net_Income converted from $83.13M USD at FX 899.39.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t>
  </si>
  <si>
    <t>Seplat Energy Plc FY2024: DUAL-CURRENCY-REPORTING SPECIAL CASE. Total_Assets ($6828M USD) and Total_Liabilities ($4989M USD) converted to NGN'000 using approximate CBN/NFEM year-end closing rate of 1535.0 NGN/USD (WebSearch-sourced, not independently cross-verified against CBN's official archive - MEDIUM confidence). Net_Income converted from $153.35M USD at FX 1535.0.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</si>
  <si>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Seplat Energy Plc FY2025: DUAL-CURRENCY-REPORTING SPECIAL CASE. Total_Assets ($6082M USD) and Total_Liabilities ($4240M USD) converted to NGN'000 using approximate CBN/NFEM year-end closing rate of 1450.3 NGN/USD (WebSearch-sourced, not independently cross-verified against CBN's official archive - MEDIUM confidence). Net_Income DATA GAP: FY2025 audited post-tax net income to shareholders could not be reliably confirmed via available sources (only pre-tax profit of $497.8M and operating profit of $675.2M were disclosed in FY2025 audited-results coverage, Nairametrics Feb-2026); not estimated. Share_Price_YearEnd is the NGX's native NGN-quoted closing price (no conversion applied) - directly confirmed at N5,809.00 (Dec-31-2025). AUDITOR GAP CLOSED: PricewaterhouseCoopers (Big4) confirmed as SEPLAT's auditor throughout the study window. Net_Income RESOLVED: USD 160.14 million (up from 149.04M FY2024), converted to NGN'000 at the same 1450.3 NGN/USD rate used for TA/TL = 232,251,042 NGN'000. Source: S&amp;P Capital IQ via MarketScreener, audited FY2025 results (26-Feb-2026), cross-validated via EPS ($0.27 x ~593M shares =~$160M). MEDIUM-HIGH confidence.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</si>
  <si>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SFS Real Estate Investment Trust FY2021: NON-STANDARD ENTITY - REIT convention applied (per MOFIREIF/NIDF/NREIT precedent). Shares_Outstanding = 20,000,000 Units in Issue (constant across FY2021-2025, HIGH confidence). Share_Price_YearEnd derived from stockanalysis.com's NGN year-end market cap / 20m units (MEDIUM confidence NAV/unit proxy). Net_Income from stockanalysis.com income statement (millions NGN, x1000 applied), MEDIUM-HIGH confidence. Total_Liabilities/Total_Assets: DATA GAP - stockanalysis.com's balance sheet coverage for this ticker was not captured with a per-year TA/TL breakdown accessible in this batch; left blank rather than estimated. Auditor Dele Olufon &amp; Co. (non-Big4) confirmed only as of FY2020 statements, assumed continuous but unconfirmed for FY2021-2025 (MEDIUM-LOW confidence). Total_Assets/Total_Liabilities RESOLVED: TA=2,866,214 TL=462,769 (High - SFS REIT FY2023 AR Five-Year Summary, TA-TL matches reported Unitholders Funds exactly). | EXCLUDED FROM 'Final Sample' (stricter, 17-Aug-2026): Condition 5 (Section 3.6): closed-end REIT/investment fund, not an operating company with conventional equity/board structure.</t>
  </si>
  <si>
    <t>SFS Real Estate Investment Trust FY2022: NON-STANDARD ENTITY - REIT convention applied (per MOFIREIF/NIDF/NREIT precedent). Shares_Outstanding = 20,000,000 Units in Issue (constant across FY2021-2025, HIGH confidence). Share_Price_YearEnd derived from stockanalysis.com's NGN year-end market cap / 20m units (MEDIUM confidence NAV/unit proxy). Net_Income from stockanalysis.com income statement (millions NGN, x1000 applied), MEDIUM-HIGH confidence. Total_Liabilities/Total_Assets: DATA GAP - stockanalysis.com's balance sheet coverage for this ticker was not captured with a per-year TA/TL breakdown accessible in this batch; left blank rather than estimated. Auditor Dele Olufon &amp; Co. (non-Big4) confirmed only as of FY2020 statements, assumed continuous but unconfirmed for FY2021-2025 (MEDIUM-LOW confidence). Total_Assets/Total_Liabilities RESOLVED: TA=2,956,305 TL=511,236 (High - same source as FY2021). | EXCLUDED FROM 'Final Sample' (stricter, 17-Aug-2026): Condition 5 (Section 3.6): closed-end REIT/investment fund, not an operating company with conventional equity/board structure.</t>
  </si>
  <si>
    <t>SFS Real Estate Investment Trust FY2023: NON-STANDARD ENTITY - REIT convention applied (per MOFIREIF/NIDF/NREIT precedent). Shares_Outstanding = 20,000,000 Units in Issue (constant across FY2021-2025, HIGH confidence). Share_Price_YearEnd derived from stockanalysis.com's NGN year-end market cap / 20m units (MEDIUM confidence NAV/unit proxy). Net_Income from stockanalysis.com income statement (millions NGN, x1000 applied), MEDIUM-HIGH confidence. Total_Liabilities/Total_Assets: DATA GAP - stockanalysis.com's balance sheet coverage for this ticker was not captured with a per-year TA/TL breakdown accessible in this batch; left blank rather than estimated. Auditor Dele Olufon &amp; Co. (non-Big4) confirmed only as of FY2020 statements, assumed continuous but unconfirmed for FY2021-2025 (MEDIUM-LOW confidence). Total_Assets/Total_Liabilities RESOLVED: TA=3,300,025 TL=706,452 (High - primary SOFP, payables+deferred income reconciles). | EXCLUDED FROM 'Final Sample' (stricter, 17-Aug-2026): Condition 5 (Section 3.6): closed-end REIT/investment fund, not an operating company with conventional equity/board structure.</t>
  </si>
  <si>
    <t>SFS Real Estate Investment Trust FY2024: NON-STANDARD ENTITY - REIT convention applied (per MOFIREIF/NIDF/NREIT precedent). Shares_Outstanding = 20,000,000 Units in Issue (constant across FY2021-2025, HIGH confidence). Share_Price_YearEnd derived from stockanalysis.com's NGN year-end market cap / 20m units (MEDIUM confidence NAV/unit proxy). Net_Income from stockanalysis.com income statement (millions NGN, x1000 applied), MEDIUM-HIGH confidence. Total_Liabilities/Total_Assets: DATA GAP - stockanalysis.com's balance sheet coverage for this ticker was not captured with a per-year TA/TL breakdown accessible in this batch; left blank rather than estimated. Auditor Dele Olufon &amp; Co. (non-Big4) confirmed only as of FY2020 statements, assumed continuous but unconfirmed for FY2021-2025 (MEDIUM-LOW confidence). Total_Assets/Total_Liabilities RESOLVED: TA=3,470,000 TL=692,210 (Medium-High - press coverage (BusinessDay/Nairametrics), TA-TL=2.778bn matches reported equity; primary AR SOFP pages are image-only). | EXCLUDED FROM 'Final Sample' (stricter, 17-Aug-2026): Condition 5 (Section 3.6): closed-end REIT/investment fund, not an operating company with conventional equity/board structure.</t>
  </si>
  <si>
    <t>SFS Real Estate Investment Trust FY2025: NON-STANDARD ENTITY - REIT convention applied (per MOFIREIF/NIDF/NREIT precedent). Shares_Outstanding = 20,000,000 Units in Issue (constant across FY2021-2025, HIGH confidence). Share_Price_YearEnd derived from stockanalysis.com's NGN year-end market cap / 20m units (MEDIUM confidence NAV/unit proxy). Net_Income from stockanalysis.com income statement (millions NGN, x1000 applied), MEDIUM-HIGH confidence. Total_Liabilities/Total_Assets: DATA GAP - stockanalysis.com's balance sheet coverage for this ticker was not captured with a per-year TA/TL breakdown accessible in this batch; left blank rather than estimated. Auditor Dele Olufon &amp; Co. (non-Big4) confirmed only as of FY2020 statements, assumed continuous but unconfirmed for FY2021-2025 (MEDIUM-LOW confidence). Total_Assets/Total_Liabilities RESOLVED: TA=7,080,000 TL=619,910 (High - Nairametrics H1-2026 coverage; NAV/unit x 20M units matches TA-TL; FY2025 jump is a genuine one-off IAS 40 fair-value accounting switch for investment properties, not a data error). | EXCLUDED FROM 'Final Sample' (stricter, 17-Aug-2026): Condition 5 (Section 3.6): closed-end REIT/investment fund, not an operating company with conventional equity/board structure.</t>
  </si>
  <si>
    <t>Skyway Aviation Handling Company Plc (SAHCO) FY2021: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</si>
  <si>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FY2022: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</si>
  <si>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FY2023: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</si>
  <si>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FY2024: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</si>
  <si>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FY2025: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</si>
  <si>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Sovereign Trust Insurance Plc FY2021: TA/TL/NI from stockanalysis.com balance sheet/income statement (millions NGN, x1000 applied), MEDIUM-HIGH confidence. Shares_Outstanding: 8,593m (pre-capital-raise).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</si>
  <si>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FY2022: TA/TL/NI from stockanalysis.com balance sheet/income statement (millions NGN, x1000 applied), MEDIUM-HIGH confidence. Shares_Outstanding: 8,593m (pre-capital-raise).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</si>
  <si>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FY2023: TA/TL/NI from stockanalysis.com balance sheet/income statement (millions NGN, x1000 applied), MEDIUM-HIGH confidence. Shares_Outstanding: 14,228m (post FY2023 capital raise, +65.58% share count increase).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</si>
  <si>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FY2024: TA/TL/NI from stockanalysis.com balance sheet/income statement (millions NGN, x1000 applied), MEDIUM-HIGH confidence. Shares_Outstanding: 14,228m (post FY2023 capital raise, +65.58% share count increase).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</si>
  <si>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FY2025: TA/TL/NI from stockanalysis.com balance sheet/income statement (millions NGN, x1000 applied), MEDIUM-HIGH confidence. Shares_Outstanding: 14,228m (post FY2023 capital raise, +65.58% share count increase). Share_Price_YearEnd = stockanalysis.com year-end market cap / shares, MEDIUM confidence. AUDITOR GAP CLOSED: PKF Professional Services (non-Big4) confirmed via multiple NGX doclib filings referencing continuous engagement, Big4_Auditor=0, MEDIUM confidence.</t>
  </si>
  <si>
    <t>PARTIALLY RESOLVED, MODERATE confidence only: figures from STACO's unaudited FY2024 Management Accounts / Abridged Report (12-Feb-2025), NOT the audited FS still owed under X-Compliance. Rounded to ~3 significant figures (source PDFs not text-extractable, figures cross-confirmed via two independent citations and EPS check). Price=0.48 is the STALE pre-suspension last-traded price (frozen since Jul-2018), not a genuine year-end market close - included per the workbook's stale-price convention but flagged LOW confidence as a true market value. | EXCLUDED FROM 'Final Sample' (stricter, 17-Aug-2026): Condition 5 (Section 3.6): NGX compliance status 'DWL' is not among the retained exception codes (BLS/MRF/RST).</t>
  </si>
  <si>
    <t>Stanbic IBTC Holdings Plc FY2021: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</si>
  <si>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FY2022: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</si>
  <si>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FY2023: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</si>
  <si>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FY2024: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</si>
  <si>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FY2025: TA/TL/NI from stockanalysis.com balance sheet/income statement (millions NGN, x1000 applied), HIGH confidence (Tier-1 bank, well-covered). Shares_Outstanding: 15,902m (post FY2025 capital raise). Share_Price_YearEnd = stockanalysis.com year-end market cap / shares, MEDIUM-HIGH confidence. Auditor: PricewaterhouseCoopers (Big4), confirmed continuous throughout the study window.</t>
  </si>
  <si>
    <t>Sterling Financial Holdings Company Plc FY2021: TA/TL/NI from stockanalysis.com balance sheet/income statement (millions NGN, x1000 applied), HIGH confidence. Shares_Outstanding: 28,790m.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</si>
  <si>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FY2022: TA/TL/NI from stockanalysis.com balance sheet/income statement (millions NGN, x1000 applied), HIGH confidence. Shares_Outstanding: 28,790m.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</si>
  <si>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FY2023: TA/TL/NI from stockanalysis.com balance sheet/income statement (millions NGN, x1000 applied), HIGH confidence. Shares_Outstanding: 28,790m.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</si>
  <si>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FY2024: TA/TL/NI from stockanalysis.com balance sheet/income statement (millions NGN, x1000 applied), HIGH confidence. Shares_Outstanding: 45,457m (post FY2024 capital raise).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</si>
  <si>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FY2025: TA/TL/NI from stockanalysis.com balance sheet/income statement (millions NGN, x1000 applied), HIGH confidence. Shares_Outstanding: 54,690m (post FY2025 capital raise).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 | EAS FORWARD-FILLED 17-Aug-2026 (user-directed methodology correction): IFRS_S1S2_Adopter_Dummy changed from 0 to 1. Firm first made an explicit voluntary-adoption statement in FY2024; per corrected methodology, firms are not assumed to un-adopt a standard they've voluntarily aligned with, so all subsequent years are coded 1 even where a later report is quiet on the topic.</t>
  </si>
  <si>
    <t>Sunu Assurances Nigeria Plc FY2021: TA/TL/NI from stockanalysis.com balance sheet/income statement (millions NGN, x1000 applied), MEDIUM-HIGH confidence. Shares_Outstanding (5,811m) constant across FY2021-2025. Share_Price_YearEnd = stockanalysis.com year-end market cap / shares, MEDIUM confidence. AUDITOR GAP CLOSED: SIAO Partners (non-Big4) confirmed via NGX doclib filing, Big4_Auditor=0, MEDIUM-HIGH confidence.</t>
  </si>
  <si>
    <t>Sunu Assurances Nigeria Plc FY2022: TA/TL/NI from stockanalysis.com balance sheet/income statement (millions NGN, x1000 applied), MEDIUM-HIGH confidence. Shares_Outstanding (5,811m) constant across FY2021-2025. Share_Price_YearEnd = stockanalysis.com year-end market cap / shares, MEDIUM confidence. AUDITOR GAP CLOSED: SIAO Partners (non-Big4) confirmed via NGX doclib filing, Big4_Auditor=0, MEDIUM-HIGH confidence.</t>
  </si>
  <si>
    <t>Sunu Assurances Nigeria Plc FY2023: TA/TL/NI from stockanalysis.com balance sheet/income statement (millions NGN, x1000 applied), MEDIUM-HIGH confidence. Shares_Outstanding (5,811m) constant across FY2021-2025. Share_Price_YearEnd = stockanalysis.com year-end market cap / shares, MEDIUM confidence. AUDITOR GAP CLOSED: SIAO Partners (non-Big4) confirmed via NGX doclib filing, Big4_Auditor=0, MEDIUM-HIGH confidence.</t>
  </si>
  <si>
    <t>Sunu Assurances Nigeria Plc FY2024: TA/TL/NI from stockanalysis.com balance sheet/income statement (millions NGN, x1000 applied), MEDIUM-HIGH confidence. Shares_Outstanding (5,811m) constant across FY2021-2025. Share_Price_YearEnd = stockanalysis.com year-end market cap / shares, MEDIUM confidence (large FY2024 spike / FY2025 pullback is genuine reported market data). AUDITOR GAP CLOSED: SIAO Partners (non-Big4) confirmed via NGX doclib filing, Big4_Auditor=0, MEDIUM-HIGH confidence.</t>
  </si>
  <si>
    <t>Sunu Assurances Nigeria Plc FY2025: TA/TL/NI from stockanalysis.com balance sheet/income statement (millions NGN, x1000 applied), MEDIUM-HIGH confidence. Shares_Outstanding (5,811m) constant across FY2021-2025. Share_Price_YearEnd = stockanalysis.com year-end market cap / shares, MEDIUM confidence (large FY2024 spike / FY2025 pullback is genuine reported market data). AUDITOR GAP CLOSED: SIAO Partners (non-Big4) confirmed via NGX doclib filing, Big4_Auditor=0, MEDIUM-HIGH confidence.</t>
  </si>
  <si>
    <t>Tantalizers Plc FY2021: TA/TL/NI from stockanalysis.com balance sheet/income statement (millions NGN, x1000 applied), MEDIUM-HIGH confidence. Shares_Outstanding: 3,212m. Share_Price_YearEnd = stockanalysis.com year-end market cap / shares. Dec-2021/Dec-2022 market cap points are identical (frozen/stale price), Share_Price_YearEnd flagged LOW-MEDIUM confidence for these years. AUDITOR GAP CLOSED: Abiodun Aina &amp; Co (non-Big4) confirmed via africanfinancials filing and cross-verified, Big4_Auditor=0, MEDIUM-HIGH confidence.</t>
  </si>
  <si>
    <t>Tantalizers Plc FY2022: TA/TL/NI from stockanalysis.com balance sheet/income statement (millions NGN, x1000 applied), MEDIUM-HIGH confidence. Shares_Outstanding: 3,212m. Share_Price_YearEnd = stockanalysis.com year-end market cap / shares. Dec-2021/Dec-2022 market cap points are identical (frozen/stale price), Share_Price_YearEnd flagged LOW-MEDIUM confidence for these years. AUDITOR GAP CLOSED: Abiodun Aina &amp; Co (non-Big4) confirmed via africanfinancials filing and cross-verified, Big4_Auditor=0, MEDIUM-HIGH confidence.</t>
  </si>
  <si>
    <t>Tantalizers Plc FY2023: TA/TL/NI from stockanalysis.com balance sheet/income statement (millions NGN, x1000 applied), MEDIUM-HIGH confidence. Shares_Outstanding: 3,212m. Share_Price_YearEnd = stockanalysis.com year-end market cap / shares. AUDITOR GAP CLOSED: Abiodun Aina &amp; Co (non-Big4) confirmed via africanfinancials filing and cross-verified, Big4_Auditor=0, MEDIUM-HIGH confidence.</t>
  </si>
  <si>
    <t>Tantalizers Plc FY2024: TA/TL/NI from stockanalysis.com balance sheet/income statement (millions NGN, x1000 applied), MEDIUM-HIGH confidence. Shares_Outstanding: 5,000m (post FY2024 share issuance). Share_Price_YearEnd = stockanalysis.com year-end market cap / shares. AUDITOR GAP CLOSED: Abiodun Aina &amp; Co (non-Big4) confirmed via africanfinancials filing and cross-verified, Big4_Auditor=0, MEDIUM-HIGH confidence.</t>
  </si>
  <si>
    <t>Tantalizers Plc FY2025: TA/TL/NI from stockanalysis.com balance sheet/income statement (millions NGN, x1000 applied), MEDIUM-HIGH confidence. Shares_Outstanding: 5,000m (post FY2024 share issuance). Share_Price_YearEnd = stockanalysis.com year-end market cap / shares. AUDITOR GAP CLOSED: Abiodun Aina &amp; Co (non-Big4) confirmed via africanfinancials filing and cross-verified, Big4_Auditor=0, MEDIUM-HIGH confidence.</t>
  </si>
  <si>
    <t>RE-ATTEMPTED this session, STILL UNRESOLVED: the FY2021 Annual Report (year ended 31-Mar-2021) genuinely exists (confirmed via AfricanFinancials, published 16-Sep-2022 as a late catch-up filing) but is hosted only as a Google Drive embed with no extractable text layer accessible to this session's tools (JS-rendered viewer, all direct-download URL patterns tried returned empty). NGX doclib has no FY2021/FY2022 filing indexed at all. Confirmed context: NGX suspended THOMASWY from trading in Jan-2021 for failing to file FY2020 accounts; last trade before suspension was 24-Dec-2020 at N0.35/share - so no genuine market price existed at the 31-Mar-2021 fiscal year-end either (suspended the whole window). A logged-in browser session accessing Google Drive file ID 1gIeofwHEA7ixBiCMuEu5uy8mEC2rbNLr would likely resolve this - flagged for manual follow-up. | User-supplied candidate figures (TA=1,153,661 TL=673,320 TE=480,341 NI=82,044, cited to proshare.co) were evaluated this pass and REJECTED. Reasoning: (1) the proshare.co article page contains no machine-readable financial figures -- it is a landing page whose only content is a title, a publish-date stub, and a 'Download' link; (2) the linked source PDF (prjdg-unstruc.s3.ca-central-1.amazonaws.com, S3-hosted via proshare.co) was directly fetched and confirmed to be a scanned image with no extractable text layer, so the figures cannot be independently verified against primary-source text; (3) the figures FAIL cross-year consistency against already-confirmed FY2022 data (TA=1,154,000 TL=672,850 NI=74,340): FY2021-to-FY2022 implied equity moved by only ~809 despite a claimed combined two-year profit of 156,384, which is inconsistent absent a near-total dividend payout (unconfirmed). Given both the unverifiable source and the internal inconsistency, this gap remains open rather than risk entering an unreliable figure into the dataset. | RESOLVED (Total_Liabilities, Total_Assets, Net_Income only), MEDIUM-HIGH confidence: TA=437,287 TL=815,770 NI=16,497 (NGN'000) sourced from the FY2021 comparative column of Thomas Wyatt Nigeria Plc's audited 'Financial Highlights' summary in the FY2022 Annual Report (year ended 31-Mar-2022), user-supplied via screenshot after this session's own fetch of both the proshare.co page and the NGX doclib PDF for this filing confirmed they are scanned images with no extractable text (could not be independently OCR'd by this session's tools). Applied on the strength of: (1) exact internal consistency TA-TL=-378,483 matches the source's own stated 'Total equity (negative)' of (378,482,912) to the last digit after unit conversion; (2) the same source's FY2022 comparative column was cross-checked the same way and also matched exactly, and separately corroborates/corrects the FY2022 figures already on file (see Study Year 2022 row's note); (3) consistent with the going-concern distress and Jan-2021 trading suspension already documented for this ticker. Shares_Outstanding and Share_Price_YearEnd remain blank - no genuine market price existed at 31-Mar-2021, the stock was suspended from trading throughout this window (last trade 24-Dec-2020). | Shares_Outstanding and Share_Price_YearEnd now RESOLVED, HIGH confidence: Shares_Outstanding=220,000,000 derived from the same FY2022 AR 'Financial Highlights' screenshot's 'Issued and fully paid share capital'=110,000,000 (unchanged 2021-to-2022, '-' in the change column) divided by the 50-kobo (NGN0.50) par value stated in the 'PER 50 KOBO SHARE DATA' section -- note this 50 kobo is the par-value denomination the EPS figures are quoted against, NOT a market share price. Cross-validated by back-solving EPS: PAT(2021)=16,497,066 / 220,000,000 = 7.499 kobo, matches the screenshot's stated 7 kobo exactly; PAT(2022)=69,205,371 / 220,000,000 = 31.457 kobo, matches the screenshot's stated 31 kobo exactly. This also means the FY2022 Shares_Outstanding already on file (394,000,000, from stockanalysis.com) was ALSO wrong -- corrected to 220,000,000 on that row too (see note there). Share_Price_YearEnd=0.35 applies the same 'nearest-preceding-Dec-31' convention already used for FY2022 on this ticker: the stock's last trade before its Jan-2021 suspension was 24-Dec-2020 at NGN0.35/share -- effectively the Dec-31-2020 price, and the only genuine market price available given the stock did not trade again before the 31-Mar-2021 fiscal year-end. Market_Value_Equity now auto-calculates via the existing formula (220,000,000 x 0.35 / 1000 = 77,000). | EXCLUDED FROM 'Final Sample' (stricter, 17-Aug-2026): Condition 5 (Section 3.6): NGX compliance status 'MRS' is not among the retained exception codes (BLS/MRF/RST).</t>
  </si>
  <si>
    <t>Thomas Wyatt Nigeria Plc Study Year 2022: NON-STANDARD FISCAL YEAR END (1-Apr to 31-Mar) - FYE-labelled year mapped directly to study Year per the established FYE-mapping convention (this Study Year = FY2022, period ending 31-Mar-2022). TA/TL/NI from stockanalysis.com (millions NGN, x1000 applied), MEDIUM confidence (thinly-traded micro-cap). Share_Price_YearEnd uses the nearest-preceding-Dec-31 convention (Dec-31-2021 market cap / shares), MEDIUM confidence. NGX suspended trading in this stock effective 11-Feb-2025 for late filing; the company subsequently filed and this study year's data was recovered from that filing. AUDITOR GAP CLOSED: Nexia Agbo Abel &amp; Co (non-Big4) confirmed via NGX doclib FY2024 filing, Big4_Auditor=0, MEDIUM confidence. | CORRECTED this pass: previous stockanalysis.com-derived figures (TA=1,154,000 TL=672,850 NI=74,340, implied POSITIVE equity ~481,150) were materially wrong in both scale and sign. Replaced with TA=397,434 TL=706,711 NI=69,205 (NGN'000), implied Total_Equity=(309,278) [negative - company was in a going-concern equity deficit this year], sourced from the audited 'Financial Highlights' page of the FY2022 Annual Report itself (user-supplied screenshot, HIGH confidence: TA-TL matches the source's own stated 'Total equity (negative)' of (309,277,541) to the last digit after unit conversion). This also resolves the adjacent FY2021 gap using the same source's comparative column (see that row's note). | Shares_Outstanding CORRECTED this pass: 394,000,000 (stockanalysis.com) was wrong -- corrected to 220,000,000, derived from and cross-validated against the audited FY2022 AR 'Financial Highlights' page (share capital 110,000,000 / 50-kobo par value; EPS back-solve matches the source's stated 31 kobo exactly -- see FY2021 row's note for the full derivation, which covers both years from the same source). Share_Price_YearEnd (0.1954) is LEFT UNCHANGED but flagged: it was originally derived by this dataset's own 'nearest-preceding-Dec-31 market cap / shares' convention, which means it may itself have been back-calculated using the now-corrected-wrong 394,000,000 share count -- if the underlying market cap used was actually ~76,988 (NGN'000), dividing by the correct 220,000,000 shares would give ~0.35, matching the FY2021 last-trade price almost exactly (plausible, since a suspended stock's quoted price often stays frozen at its last trade). Not corrected here for lack of a hard confirming source; flagged for a future pass. Market_Value_Equity now recalculates via the existing formula using the corrected share count (220,000,000 x 0.1954 / 1000 = 42,988, down from the prior 76,988). | EXCLUDED FROM 'Final Sample' (stricter, 17-Aug-2026): Condition 5 (Section 3.6): NGX compliance status 'MRS' is not among the retained exception codes (BLS/MRF/RST).</t>
  </si>
  <si>
    <t>Thomas Wyatt Nigeria Plc Study Year 2023: NON-STANDARD FISCAL YEAR END (1-Apr to 31-Mar) - FYE-labelled year mapped directly to study Year per the established FYE-mapping convention (this Study Year = FY2023, period ending 31-Mar-2023). TA/TL/NI from stockanalysis.com (millions NGN, x1000 applied), MEDIUM confidence (thinly-traded micro-cap). Share_Price_YearEnd uses the nearest-preceding-Dec-31 convention (Dec-31-2022 market cap / shares), MEDIUM confidence. NGX suspended trading in this stock effective 11-Feb-2025 for late filing; the company subsequently filed and this study year's data was recovered from that filing. AUDITOR GAP CLOSED: Nexia Agbo Abel &amp; Co (non-Big4) confirmed via NGX doclib FY2024 filing, Big4_Auditor=0, MEDIUM confidence. | RECONCILIATION CHECK this pass: existing TA/TL (implied equity +524,340) sit oddly against the now-corrected FY2022 closing equity of (309,278) -- a swing of ~833,600 in one year against only 36,750 of claimed FY2023 Net_Income, far too large to be organic profit alone. However, this figure was NOT changed, because it reconciles almost exactly with the externally-validated FY2024 figure (see that row): working backward from FY2024's confirmed closing equity of 511,474 and NI of (12,455) implies an FY2023 closing equity of ~523,929, which matches this row's existing implied equity of 524,340 to within 411 (in NGN'000). Most likely explanation: a debt-to-equity conversion, scheme of arrangement, or rights issue occurred during FY2023 that is not visible via Net_Income alone -- common for NGX distressed micro-caps recovering from a multi-year trading suspension. Retained as-is at MEDIUM confidence pending primary-source confirmation (the FY2023 Annual Report is Google-Drive-hosted, inaccessible to this session's tools). | EXCLUDED FROM 'Final Sample' (stricter, 17-Aug-2026): Condition 5 (Section 3.6): NGX compliance status 'MRS' is not among the retained exception codes (BLS/MRF/RST).</t>
  </si>
  <si>
    <t>Thomas Wyatt Nigeria Plc Study Year 2024: NON-STANDARD FISCAL YEAR END (1-Apr to 31-Mar) - FYE-labelled year mapped directly to study Year per the established FYE-mapping convention (this Study Year = FY2024, period ending 31-Mar-2024). TA/TL/NI from stockanalysis.com (millions NGN, x1000 applied), MEDIUM confidence (thinly-traded micro-cap). Share_Price_YearEnd uses the nearest-preceding-Dec-31 convention (Dec-31-2023 market cap / shares), MEDIUM confidence. NGX suspended trading in this stock effective 11-Feb-2025 for late filing; the company subsequently filed and this study year's data was recovered from that filing. AUDITOR GAP CLOSED: Nexia Agbo Abel &amp; Co (non-Big4) confirmed via NGX doclib FY2024 filing, Big4_Auditor=0, MEDIUM confidence. | CORRECTED this pass: independently verified against AfricanFinancials' company-profile 'Financial Highlights' for FYE 31-Mar-2024 (Total_Assets=1,023,513, Equity=511,474, Net_Loss=12,455, all NGN'000). Prior Total_Assets/Total_Liabilities (1,024,000 / 512,040) were already very close and are now tightened to the official figures. Prior Net_Income of (40,180) was MATERIALLY WRONG (actual audited net loss is only (12,455)) - corrected. TA-TL=511,474 matches the official Equity figure exactly. | EXCLUDED FROM 'Final Sample' (stricter, 17-Aug-2026): Condition 5 (Section 3.6): NGX compliance status 'MRS' is not among the retained exception codes (BLS/MRF/RST).</t>
  </si>
  <si>
    <t>Thomas Wyatt Nigeria Plc Study Year 2025: NON-STANDARD FISCAL YEAR END (1-Apr to 31-Mar) - FYE-labelled year mapped directly to study Year per the established FYE-mapping convention (this Study Year = FY2025, period ending 31-Mar-2025). TA/TL/NI from stockanalysis.com (millions NGN, x1000 applied), MEDIUM confidence (thinly-traded micro-cap). Share_Price_YearEnd uses the nearest-preceding-Dec-31 convention (Dec-31-2024 market cap / shares), MEDIUM confidence. NGX suspended trading in this stock effective 11-Feb-2025 for late filing; the company subsequently filed and this study year's data was recovered from that filing. AUDITOR GAP CLOSED: Nexia Agbo Abel &amp; Co (non-Big4) confirmed via NGX doclib FY2024 filing, Big4_Auditor=0, MEDIUM confidence. | CORRECTED this pass: previous stockanalysis.com-derived figures (TA=1,012,000 TL=511,400 NI=(24,370)) were materially wrong, especially Total_Liabilities and Net_Income. Replaced with TA=1,028,500 TL=590,466 NI=(4,386) (NGN'000) for FYE 31-Mar-2025, sourced from the company's own Q4/year-end financial statement as reported via MarketScreener, which explicitly states the prior-year comparative as 511,474 -- an exact match to this dataset's now-externally-validated FY2024 closing equity, strongly corroborating this is the correct year-over-year pairing. TA-TL=438,034 matches the source's own stated shareholder equity figure exactly. Note: the equity movement from FY2024 (511,474) to FY2025 (438,034), a decline of 73,440, is larger than the reported net loss of only 4,386 -- an unexplained equity movement flagged for the record, similar in kind to the FY2022-to-FY2023 discontinuity noted on that row, though smaller in magnitude. | EXCLUDED FROM 'Final Sample' (stricter, 17-Aug-2026): Condition 5 (Section 3.6): NGX compliance status 'MRS' is not among the retained exception codes (BLS/MRF/RST).</t>
  </si>
  <si>
    <t>The Initiates Plc FY2021: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</si>
  <si>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FY2022: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</si>
  <si>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FY2023: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</si>
  <si>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FY2024: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</si>
  <si>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FY2025: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</si>
  <si>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TotalEnergies Marketing Nigeria Plc FY2021: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</si>
  <si>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FY2022: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</si>
  <si>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FY2023: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</si>
  <si>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FY2024: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</si>
  <si>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FY2025: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 FY2025 net loss reflects genuine margin compression, not a data error.</t>
  </si>
  <si>
    <t>Transcorp Hotels Plc FY2021: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</si>
  <si>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FY2022: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</si>
  <si>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FY2023: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</si>
  <si>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FY2024: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</si>
  <si>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FY2025: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</si>
  <si>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Transnational Corporation of Nigeria Plc FY2021: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</si>
  <si>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FY2022: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</si>
  <si>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FY2023: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</si>
  <si>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FY2024: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</si>
  <si>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FY2025: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</si>
  <si>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Trans-Nationwide Express Plc FY2021: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</si>
  <si>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FY2022: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</si>
  <si>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FY2023: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</si>
  <si>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FY2024: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</si>
  <si>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FY2025: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</si>
  <si>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Transcorp Power Plc FY2024: TA/TL/NI from stockanalysis.com balance sheet/income statement (millions NGN, x1000 applied). Shares_Outstanding = period-end Total Common Shares Outstanding. Share_Price_YearEnd = stockanalysis.com year-end market cap / shares. Auditor: Deloitte &amp; Touche (Big4), confirmed. HIGH confidence post-listing (NGX-listed 4-Mar-2024). Transcorp Group entity, power-generation business with very strong growth.</t>
  </si>
  <si>
    <t>Transcorp Power Plc FY2025: TA/TL/NI from stockanalysis.com balance sheet/income statement (millions NGN, x1000 applied). Shares_Outstanding = period-end Total Common Shares Outstanding. Share_Price_YearEnd = stockanalysis.com year-end market cap / shares. Auditor: Deloitte &amp; Touche (Big4), confirmed. HIGH confidence post-listing (NGX-listed 4-Mar-2024). Transcorp Group entity, power-generation business with very strong growth.</t>
  </si>
  <si>
    <t>Tripple Gee &amp; Company Plc FY2022: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31-Mar-2022; Share_Price_YearEnd uses the nearest-preceding-Dec-31 market cap point (Dec-2021) per the established FYE-mapping convention. Auditor UNRESOLVED (LOW confidence, Big4=0).</t>
  </si>
  <si>
    <t>Tripple Gee &amp; Company Plc FY2023: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31-Mar-2023; Share_Price_YearEnd uses the nearest-preceding-Dec-31 market cap point (Dec-2022) per the established FYE-mapping convention. Auditor UNRESOLVED (LOW confidence, Big4=0).</t>
  </si>
  <si>
    <t>Tripple Gee &amp; Company Plc FY2024: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31-Mar-2024; Share_Price_YearEnd uses the nearest-preceding-Dec-31 market cap point (Dec-2023) per the established FYE-mapping convention. Auditor UNRESOLVED (LOW confidence, Big4=0).</t>
  </si>
  <si>
    <t>Tripple Gee &amp; Company Plc FY2025: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31-Mar-2025; Share_Price_YearEnd uses the nearest-preceding-Dec-31 market cap point (Dec-2024) per the established FYE-mapping convention. Auditor UNRESOLVED (LOW confidence, Big4=0). FY2025 net loss and negative equity reflect genuine deterioration (interest expense spike).</t>
  </si>
  <si>
    <t>UAC of Nigeria Plc FY2021: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</si>
  <si>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FY2022: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</si>
  <si>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FY2023: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</si>
  <si>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FY2024: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</si>
  <si>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FY2025: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 FY2025 balance-sheet expansion driven by a major capital raise/debt increase.</t>
  </si>
  <si>
    <t>United Bank for Africa Plc FY2021: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</si>
  <si>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FY2022: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</si>
  <si>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FY2023: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</si>
  <si>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FY2024: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</si>
  <si>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FY2025: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 FY2025 Shares_Outstanding increased 34,199m-&gt;44,196m following a capital raise.</t>
  </si>
  <si>
    <t>United Capital Plc FY2021: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</si>
  <si>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FY2022: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</si>
  <si>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FY2023: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</si>
  <si>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FY2024: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</si>
  <si>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FY2025: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</si>
  <si>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Unilever Nigeria Plc FY2021: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t>
  </si>
  <si>
    <t>Unilever Nigeria Plc FY2022: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t>
  </si>
  <si>
    <t>Unilever Nigeria Plc FY2023: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t>
  </si>
  <si>
    <t>Unilever Nigeria Plc FY2024: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 Strong accelerating growth FY2024-2025.</t>
  </si>
  <si>
    <t>Unilever Nigeria Plc FY2025: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 Strong accelerating growth FY2024-2025. | EAS FORWARD-FILLED 17-Aug-2026 (user-directed methodology correction): IFRS_S1S2_Adopter_Dummy changed from 0 to 1. Firm first made an explicit voluntary-adoption statement in FY2024; per corrected methodology, firms are not assumed to un-adopt a standard they've voluntarily aligned with, so all subsequent years are coded 1 even where a later report is quiet on the topic.</t>
  </si>
  <si>
    <t>Union Dicon Salt Plc FY2021: TA/TL/NI from stockanalysis.com balance sheet/income statement (millions NGN, x1000 applied). Shares_Outstanding = period-end Total Common Shares Outstanding. Share_Price_YearEnd = stockanalysis.com year-end market cap / shares. Auditor: Felix Akinyeye &amp; Co. (non-Big4), confirmed. MEDIUM confidence. Persistent negative shareholders' equity throughout - company is on the NGX Delisting Watchlist; flagged for leverage/going-concern interpretation caution. | EXCLUDED FROM 'Final Sample' (stricter, 17-Aug-2026): Condition 5 (Section 3.6): NGX compliance status 'DWL' is not among the retained exception codes (BLS/MRF/RST).</t>
  </si>
  <si>
    <t>Union Dicon Salt Plc FY2022: TA/TL/NI from stockanalysis.com balance sheet/income statement (millions NGN, x1000 applied). Shares_Outstanding = period-end Total Common Shares Outstanding. Share_Price_YearEnd = stockanalysis.com year-end market cap / shares. Auditor: Felix Akinyeye &amp; Co. (non-Big4), confirmed. MEDIUM confidence. Persistent negative shareholders' equity throughout - company is on the NGX Delisting Watchlist; flagged for leverage/going-concern interpretation caution. | EXCLUDED FROM 'Final Sample' (stricter, 17-Aug-2026): Condition 5 (Section 3.6): NGX compliance status 'DWL' is not among the retained exception codes (BLS/MRF/RST).</t>
  </si>
  <si>
    <t>Union Dicon Salt Plc FY2023: TA/TL/NI from stockanalysis.com balance sheet/income statement (millions NGN, x1000 applied). Shares_Outstanding = period-end Total Common Shares Outstanding. Share_Price_YearEnd = stockanalysis.com year-end market cap / shares. Auditor: Felix Akinyeye &amp; Co. (non-Big4), confirmed. MEDIUM confidence. Persistent negative shareholders' equity throughout - company is on the NGX Delisting Watchlist; flagged for leverage/going-concern interpretation caution. | EXCLUDED FROM 'Final Sample' (stricter, 17-Aug-2026): Condition 5 (Section 3.6): NGX compliance status 'DWL' is not among the retained exception codes (BLS/MRF/RST).</t>
  </si>
  <si>
    <t>Union Dicon Salt Plc FY2024: TA/TL/NI from stockanalysis.com balance sheet/income statement (millions NGN, x1000 applied). Shares_Outstanding = period-end Total Common Shares Outstanding. Share_Price_YearEnd = stockanalysis.com year-end market cap / shares. Auditor: Felix Akinyeye &amp; Co. (non-Big4), confirmed. MEDIUM confidence. Persistent negative shareholders' equity throughout - company is on the NGX Delisting Watchlist; flagged for leverage/going-concern interpretation caution. | EXCLUDED FROM 'Final Sample' (stricter, 17-Aug-2026): Condition 5 (Section 3.6): NGX compliance status 'DWL' is not among the retained exception codes (BLS/MRF/RST).</t>
  </si>
  <si>
    <t>Union Dicon Salt Plc FY2025: TA/TL/NI from stockanalysis.com balance sheet/income statement (millions NGN, x1000 applied). Shares_Outstanding = period-end Total Common Shares Outstanding. Share_Price_YearEnd = stockanalysis.com year-end market cap / shares. Auditor: Felix Akinyeye &amp; Co. (non-Big4), confirmed. MEDIUM confidence. Persistent negative shareholders' equity throughout - company is on the NGX Delisting Watchlist; flagged for leverage/going-concern interpretation caution. | EXCLUDED FROM 'Final Sample' (stricter, 17-Aug-2026): Condition 5 (Section 3.6): NGX compliance status 'DWL' is not among the retained exception codes (BLS/MRF/RST).</t>
  </si>
  <si>
    <t>Unity Bank Plc FY2021: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</si>
  <si>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Unity Bank Plc FY2022: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</si>
  <si>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Unity Bank Plc FY2023: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</si>
  <si>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Unity Bank Plc FY2024: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</si>
  <si>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Universal Insurance Plc FY2021: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Market cap static at N3.20bn both years (thin secondary trading), MEDIUM-LOW confidence.</t>
  </si>
  <si>
    <t>Universal Insurance Plc FY2022: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Market cap static at N3.20bn both years (thin secondary trading), MEDIUM-LOW confidence.</t>
  </si>
  <si>
    <t>Universal Insurance Plc FY2023: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MEDIUM-HIGH confidence, strong accelerating growth.</t>
  </si>
  <si>
    <t>Universal Insurance Plc FY2024: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MEDIUM-HIGH confidence, strong accelerating growth.</t>
  </si>
  <si>
    <t>Universal Insurance Plc FY2025: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MEDIUM-HIGH confidence, strong accelerating growth.</t>
  </si>
  <si>
    <t>UPDC Plc FY2021: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</si>
  <si>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FY2022: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</si>
  <si>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FY2023: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</si>
  <si>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FY2024: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</si>
  <si>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FY2025: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</si>
  <si>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Real Estate Investment Trust FY2021: TA/TL/NI from stockanalysis.com balance sheet/income statement (millions NGN, x1000 applied). Shares_Outstanding = period-end Total Common Shares Outstanding. Share_Price_YearEnd = stockanalysis.com year-end market cap / shares. Auditor: Forvis Mazars (non-Big4) applied per auditor-transition convention (predecessor PricewaterhouseCoopers confirmed for FY2023) - MEDIUM confidence on auditor attribution for years predating the confirmed Forvis Mazars appointment. REIT convention: Shares_Outstanding = Units in Issue (2,668m, constant). FY2021 large net loss driven by a -N5.09bn Asset Writedown (property revaluation). | EXCLUDED FROM 'Final Sample' (stricter, 17-Aug-2026): Condition 5 (Section 3.6): closed-end REIT/investment fund, not an operating company with conventional equity/board structure.</t>
  </si>
  <si>
    <t>UPDC Real Estate Investment Trust FY2022: TA/TL/NI from stockanalysis.com balance sheet/income statement (millions NGN, x1000 applied). Shares_Outstanding = period-end Total Common Shares Outstanding. Share_Price_YearEnd = stockanalysis.com year-end market cap / shares. Auditor: Forvis Mazars (non-Big4) applied per auditor-transition convention (predecessor PricewaterhouseCoopers confirmed for FY2023) - MEDIUM confidence on auditor attribution for years predating the confirmed Forvis Mazars appointment. REIT convention: Shares_Outstanding = Units in Issue (2,668m, constant). MEDIUM-HIGH confidence, consistent growth in rental income and asset value. | EXCLUDED FROM 'Final Sample' (stricter, 17-Aug-2026): Condition 5 (Section 3.6): closed-end REIT/investment fund, not an operating company with conventional equity/board structure.</t>
  </si>
  <si>
    <t>UPDC Real Estate Investment Trust FY2023: TA/TL/NI from stockanalysis.com balance sheet/income statement (millions NGN, x1000 applied). Shares_Outstanding = period-end Total Common Shares Outstanding. Share_Price_YearEnd = stockanalysis.com year-end market cap / shares. Auditor: Forvis Mazars (non-Big4) applied per auditor-transition convention (predecessor PricewaterhouseCoopers confirmed for FY2023) - MEDIUM confidence on auditor attribution for years predating the confirmed Forvis Mazars appointment. REIT convention: Shares_Outstanding = Units in Issue (2,668m, constant). MEDIUM-HIGH confidence, consistent growth in rental income and asset value. | EXCLUDED FROM 'Final Sample' (stricter, 17-Aug-2026): Condition 5 (Section 3.6): closed-end REIT/investment fund, not an operating company with conventional equity/board structure.</t>
  </si>
  <si>
    <t>UPDC Real Estate Investment Trust FY2024: TA/TL/NI from stockanalysis.com balance sheet/income statement (millions NGN, x1000 applied). Shares_Outstanding = period-end Total Common Shares Outstanding. Share_Price_YearEnd = stockanalysis.com year-end market cap / shares. Auditor: Forvis Mazars (non-Big4) applied per auditor-transition convention (predecessor PricewaterhouseCoopers confirmed for FY2023) - MEDIUM confidence on auditor attribution for years predating the confirmed Forvis Mazars appointment. REIT convention: Shares_Outstanding = Units in Issue (2,668m, constant). MEDIUM-HIGH confidence, consistent growth in rental income and asset value. | EXCLUDED FROM 'Final Sample' (stricter, 17-Aug-2026): Condition 5 (Section 3.6): closed-end REIT/investment fund, not an operating company with conventional equity/board structure.</t>
  </si>
  <si>
    <t>UPDC Real Estate Investment Trust FY2025: TA/TL/NI from stockanalysis.com balance sheet/income statement (millions NGN, x1000 applied). Shares_Outstanding = period-end Total Common Shares Outstanding. Share_Price_YearEnd = stockanalysis.com year-end market cap / shares. Auditor: Forvis Mazars (non-Big4) applied per auditor-transition convention (predecessor PricewaterhouseCoopers confirmed for FY2023) - MEDIUM confidence on auditor attribution for years predating the confirmed Forvis Mazars appointment. REIT convention: Shares_Outstanding = Units in Issue (2,668m, constant). MEDIUM-HIGH confidence, consistent growth in rental income and asset value. | EXCLUDED FROM 'Final Sample' (stricter, 17-Aug-2026): Condition 5 (Section 3.6): closed-end REIT/investment fund, not an operating company with conventional equity/board structure.</t>
  </si>
  <si>
    <t>RESOLVED, HIGH confidence - University Press Plc FY2021 (FYE 31-Mar-2021) Audited FS, NGX doclib primary source. TA-TL=2,660,479 matches reported 'Total net assets' in the same segment note (a separate 'Total equity' note shows 2,663,962, a 0.13% variance - used the internally-consistent segment figures). Share_Price_YearEnd remains an open gap: only a calendar Dec-31-2021 market cap was found (N1.27bn, implying ~N2.94), which is a Dec value not the FYE Mar-2021 point - not entered to avoid mixing reference dates. Source: NGX doclib primary filings. | Share_Price_YearEnd=2.94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</si>
  <si>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University Press Plc FY2022: TA/TL/NI from stockanalysis.com balance sheet/income statement (millions NGN, x1000 applied). Shares_Outstanding = period-end Total Common Shares Outstanding. Share_Price_YearEnd = stockanalysis.com year-end market cap / shares. Non-standard FYE (Apr-Mar): FYE-labelled year (ending Mar-2022) maps directly to study Year 2022; Share_Price_YearEnd uses the nearest-preceding-Dec-31 market cap (Dec-31-2021). Auditor: PKF Professional Services (non-Big4), confirmed. MEDIUM-HIGH confidence.</t>
  </si>
  <si>
    <t>University Press Plc FY2023: TA/TL/NI from stockanalysis.com balance sheet/income statement (millions NGN, x1000 applied). Shares_Outstanding = period-end Total Common Shares Outstanding. Share_Price_YearEnd = stockanalysis.com year-end market cap / shares. Non-standard FYE (Apr-Mar): FYE-labelled year (ending Mar-2023) maps directly to study Year 2023; Share_Price_YearEnd uses the nearest-preceding-Dec-31 market cap (Dec-31-2022). Auditor: PKF Professional Services (non-Big4), confirmed. MEDIUM-HIGH confidence.</t>
  </si>
  <si>
    <t>University Press Plc FY2024: TA/TL/NI from stockanalysis.com balance sheet/income statement (millions NGN, x1000 applied). Shares_Outstanding = period-end Total Common Shares Outstanding. Share_Price_YearEnd = stockanalysis.com year-end market cap / shares. Non-standard FYE (Apr-Mar): FYE-labelled year (ending Mar-2024) maps directly to study Year 2024; Share_Price_YearEnd uses the nearest-preceding-Dec-31 market cap (Dec-31-2023). Auditor: PKF Professional Services (non-Big4), confirmed. MEDIUM-HIGH confidence.</t>
  </si>
  <si>
    <t>University Press Plc FY2025: TA/TL/NI from stockanalysis.com balance sheet/income statement (millions NGN, x1000 applied). Shares_Outstanding = period-end Total Common Shares Outstanding. Share_Price_YearEnd = stockanalysis.com year-end market cap / shares. Non-standard FYE (Apr-Mar): FYE-labelled year (ending Mar-2025) maps directly to study Year 2025; Share_Price_YearEnd uses the nearest-preceding-Dec-31 market cap (Dec-31-2024). Auditor: PKF Professional Services (non-Big4), confirmed. MEDIUM-HIGH confidence.</t>
  </si>
  <si>
    <t>Veritas Kapital Assurance Plc FY2021: TA/TL/NI from stockanalysis.com balance sheet/income statement (millions NGN, x1000 applied). Shares_Outstanding = period-end Total Common Shares Outstanding. Share_Price_YearEnd = stockanalysis.com year-end market cap / shares. Auditor: Ernst &amp; Young (Big4), confirmed. HIGH confidence.</t>
  </si>
  <si>
    <t>Veritas Kapital Assurance Plc FY2022: TA/TL/NI from stockanalysis.com balance sheet/income statement (millions NGN, x1000 applied). Shares_Outstanding = period-end Total Common Shares Outstanding. Share_Price_YearEnd = stockanalysis.com year-end market cap / shares. Auditor: Ernst &amp; Young (Big4), confirmed. HIGH confidence.</t>
  </si>
  <si>
    <t>Veritas Kapital Assurance Plc FY2023: TA/TL/NI from stockanalysis.com balance sheet/income statement (millions NGN, x1000 applied). Shares_Outstanding = period-end Total Common Shares Outstanding. Share_Price_YearEnd = stockanalysis.com year-end market cap / shares. Auditor: Ernst &amp; Young (Big4), confirmed. HIGH confidence.</t>
  </si>
  <si>
    <t>Veritas Kapital Assurance Plc FY2024: TA/TL/NI from stockanalysis.com balance sheet/income statement (millions NGN, x1000 applied). Shares_Outstanding = period-end Total Common Shares Outstanding. Share_Price_YearEnd = stockanalysis.com year-end market cap / shares. Auditor: Ernst &amp; Young (Big4), confirmed. HIGH confidence. Large net loss driven by a -N5.65bn operating-income swing - genuine reported results.</t>
  </si>
  <si>
    <t>Veritas Kapital Assurance Plc FY2025: TA/TL/NI from stockanalysis.com balance sheet/income statement (millions NGN, x1000 applied). Shares_Outstanding = period-end Total Common Shares Outstanding. Share_Price_YearEnd = stockanalysis.com year-end market cap / shares. Auditor: Ernst &amp; Young (Big4), confirmed. HIGH confidence.</t>
  </si>
  <si>
    <t>VFD Group Plc FY2023: TA/TL/NI from stockanalysis.com balance sheet/income statement (millions NGN, x1000 applied). Shares_Outstanding = period-end Total Common Shares Outstanding. Share_Price_YearEnd = stockanalysis.com year-end market cap / shares. Auditor: PricewaterhouseCoopers (Big4), confirmed. HIGH confidence post-listing (NGX-listed 6-Oct-2023).</t>
  </si>
  <si>
    <t>VFD Group Plc FY2024: TA/TL/NI from stockanalysis.com balance sheet/income statement (millions NGN, x1000 applied). Shares_Outstanding = period-end Total Common Shares Outstanding. Share_Price_YearEnd = stockanalysis.com year-end market cap / shares. Auditor: PricewaterhouseCoopers (Big4), confirmed. HIGH confidence post-listing (NGX-listed 6-Oct-2023). Share count increased 5,701m-&gt;7,601m (+33.3%) - flagged so not mistaken for an error.</t>
  </si>
  <si>
    <t>VFD Group Plc FY2025: TA/TL/NI from stockanalysis.com balance sheet/income statement (millions NGN, x1000 applied). Shares_Outstanding = period-end Total Common Shares Outstanding. Share_Price_YearEnd = stockanalysis.com year-end market cap / shares. Auditor: PricewaterhouseCoopers (Big4), confirmed. HIGH confidence post-listing (NGX-listed 6-Oct-2023).</t>
  </si>
  <si>
    <t>Vitafoam Nigeria Plc FY2021: TA/TL/NI from stockanalysis.com balance sheet/income statement (millions NGN, x1000 applied). Shares_Outstanding = period-end Total Common Shares Outstanding. Share_Price_YearEnd = stockanalysis.com year-end market cap / shares. Non-standard FYE (Oct-Sep): FYE-labelled year (ending Sep-2021) maps directly to study Year 2021; Share_Price_YearEnd uses the NEAREST Dec-31 market cap (Dec-31-2021, ~3 months after FYE, per the refined nearest-Dec-31 convention for Oct-Sep FYEs). Auditor: PricewaterhouseCoopers (Big4), confirmed via FY2024 audited financial statements. HIGH confidence.</t>
  </si>
  <si>
    <t>Vitafoam Nigeria Plc FY2022: TA/TL/NI from stockanalysis.com balance sheet/income statement (millions NGN, x1000 applied). Shares_Outstanding = period-end Total Common Shares Outstanding. Share_Price_YearEnd = stockanalysis.com year-end market cap / shares. Non-standard FYE (Oct-Sep): FYE-labelled year (ending Sep-2022) maps directly to study Year 2022; Share_Price_YearEnd uses the NEAREST Dec-31 market cap (Dec-31-2022, ~3 months after FYE, per the refined nearest-Dec-31 convention for Oct-Sep FYEs). Auditor: PricewaterhouseCoopers (Big4), confirmed via FY2024 audited financial statements. HIGH confidence.</t>
  </si>
  <si>
    <t>Vitafoam Nigeria Plc FY2023: TA/TL/NI from stockanalysis.com balance sheet/income statement (millions NGN, x1000 applied). Shares_Outstanding = period-end Total Common Shares Outstanding. Share_Price_YearEnd = stockanalysis.com year-end market cap / shares. Non-standard FYE (Oct-Sep): FYE-labelled year (ending Sep-2023) maps directly to study Year 2023; Share_Price_YearEnd uses the NEAREST Dec-31 market cap (Dec-31-2023, ~3 months after FYE, per the refined nearest-Dec-31 convention for Oct-Sep FYEs). Auditor: PricewaterhouseCoopers (Big4), confirmed via FY2024 audited financial statements. HIGH confidence.</t>
  </si>
  <si>
    <t>Vitafoam Nigeria Plc FY2024: TA/TL/NI from stockanalysis.com balance sheet/income statement (millions NGN, x1000 applied). Shares_Outstanding = period-end Total Common Shares Outstanding. Share_Price_YearEnd = stockanalysis.com year-end market cap / shares. Non-standard FYE (Oct-Sep): FYE-labelled year (ending Sep-2024) maps directly to study Year 2024; Share_Price_YearEnd uses the NEAREST Dec-31 market cap (Dec-31-2024, ~3 months after FYE, per the refined nearest-Dec-31 convention for Oct-Sep FYEs). Auditor: PricewaterhouseCoopers (Big4), confirmed via FY2024 audited financial statements. MEDIUM-HIGH confidence; profit dip driven by a large -N12.72bn currency exchange loss - genuine.</t>
  </si>
  <si>
    <t>Vitafoam Nigeria Plc FY2025: TA/TL/NI from stockanalysis.com balance sheet/income statement (millions NGN, x1000 applied). Shares_Outstanding = period-end Total Common Shares Outstanding. Share_Price_YearEnd = stockanalysis.com year-end market cap / shares. Non-standard FYE (Oct-Sep): FYE-labelled year (ending Sep-2025) maps directly to study Year 2025; Share_Price_YearEnd uses the NEAREST Dec-31 market cap (Dec-31-2025, ~3 months after FYE, per the refined nearest-Dec-31 convention for Oct-Sep FYEs). Auditor: PricewaterhouseCoopers (Big4), confirmed via FY2024 audited financial statements. MEDIUM-HIGH confidence; very strong rebound and major market-cap re-rating (+300%).</t>
  </si>
  <si>
    <t>Coronation Insurance Plc (formerly Wapic Insurance Plc) FY2021: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 Early-window net losses, genuine reported results.</t>
  </si>
  <si>
    <t>Coronation Insurance Plc (formerly Wapic Insurance Plc) FY2022: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 Early-window net losses, genuine reported results.</t>
  </si>
  <si>
    <t>Coronation Insurance Plc (formerly Wapic Insurance Plc) FY2023: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t>
  </si>
  <si>
    <t>Coronation Insurance Plc (formerly Wapic Insurance Plc) FY2024: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t>
  </si>
  <si>
    <t>Coronation Insurance Plc (formerly Wapic Insurance Plc) FY2025: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t>
  </si>
  <si>
    <t>Wema Bank Plc FY2021: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MEDIUM-HIGH confidence.</t>
  </si>
  <si>
    <t>Wema Bank Plc FY2022: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MEDIUM-HIGH confidence.</t>
  </si>
  <si>
    <t>Wema Bank Plc FY2023: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MEDIUM-HIGH confidence.</t>
  </si>
  <si>
    <t>Wema Bank Plc FY2024: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Major share-count increase from CBN-recapitalization-driven capital raises, not dilution error.</t>
  </si>
  <si>
    <t>Wema Bank Plc FY2025: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Major share-count increase from CBN-recapitalization-driven capital raises, not dilution error.</t>
  </si>
  <si>
    <t>Zenith Bank Plc FY2021: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</si>
  <si>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FY2022: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</si>
  <si>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FY2023: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</si>
  <si>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FY2024: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</si>
  <si>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FY2025: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</si>
  <si>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Zichis Agro Industries Plc</t>
  </si>
  <si>
    <t>Years Covered</t>
  </si>
  <si>
    <t>Source Type</t>
  </si>
  <si>
    <t>Document / Reference</t>
  </si>
  <si>
    <t>URL</t>
  </si>
  <si>
    <t>2021-2025</t>
  </si>
  <si>
    <t>NGX doclib - Year-End Financial Statement</t>
  </si>
  <si>
    <t>Abbey Mortgage Bank Plc, FY2025 filing, Five-Year Financial Summary (p.36)</t>
  </si>
  <si>
    <t>doclib.ngxgroup.com/Financial_NewsDocs/45885_ABBEY_MORTGAGE_BANK_PLC-_YEAR_END_-_FINANCIAL_STATEMENT_FOR_2025_FINANCIAL_STATEMENTS_JANUARY_2026.pdf</t>
  </si>
  <si>
    <t>2021-2022</t>
  </si>
  <si>
    <t>ABC Transport Plc, FY2022 Consolidated Financial Statements</t>
  </si>
  <si>
    <t>doclib.ngxgroup.com/Financial_NewsDocs/38087_ABC_TRANSPORT_PLC-_QUARTER_5_-_FINANCIAL_STATEMENT_FOR_2022_FINANCIAL_STATEMENTS_MARCH_2023.pdf</t>
  </si>
  <si>
    <t>2023-2024</t>
  </si>
  <si>
    <t>NGX doclib - Annual Report</t>
  </si>
  <si>
    <t>ABC Transport Plc, Annual Report FY2024</t>
  </si>
  <si>
    <t>doclib.ngxgroup.com/Financial_NewsDocs/43623_ABC_TRANSPORT_PLC-_QUARTER_5_-_FINANCIAL_STATEMENT_FOR_2024_FINANCIAL_STATEMENTS_APRIL_2025.pdf</t>
  </si>
  <si>
    <t>2025</t>
  </si>
  <si>
    <t>ABC Transport Plc, Annual Report FY2025 (audited, unmodified opinion 31-Mar-2026)</t>
  </si>
  <si>
    <t>doclib.ngxgroup.com/Financial_NewsDocs/46506_ABC_TRANSPORT_PLC-_QUARTER_5_-_FINANCIAL_STATEMENT_FOR_2025_FINANCIAL_STATEMENTS_MARCH_2026.pdf</t>
  </si>
  <si>
    <t>2022-2023</t>
  </si>
  <si>
    <t>Academy Press Plc, FYE 31-Mar-2023 filing</t>
  </si>
  <si>
    <t>doclib.ngxgroup.com/Financial_NewsDocs/38432_ACADEMY_PRESS_PLC.-_YEAR_END_-_FINANCIAL_STATEMENT_FOR_2023_FINANCIAL_STATEMENTS_APRIL_2023.pdf</t>
  </si>
  <si>
    <t>NGX doclib - Annual Report (genuinely audited)</t>
  </si>
  <si>
    <t>Academy Press Plc, Annual Report FYE 31-Mar-2024, EY unmodified opinion 30-Jun-2024</t>
  </si>
  <si>
    <t>doclib.ngxgroup.com/Financial_NewsDocs/41568_ACADEMY_PRESS_PLC.-_QUARTER_5_-_FINANCIAL_STATEMENT_FOR_2024_FINANCIAL_STATEMENTS_JUNE_2024.pdf</t>
  </si>
  <si>
    <t>NGX doclib - Quarterly filing (comparative)</t>
  </si>
  <si>
    <t>Academy Press Plc, 2nd Quarter Ended 30-Sep-2021, SFP comparative column</t>
  </si>
  <si>
    <t>doclib.ngxgroup.com/Financial_NewsDocs/34622_ACADEMY_PRESS_PLC%20_QUARTER_2_%20_FINANCIAL_STATEMENT_FO.pdf</t>
  </si>
  <si>
    <t>index</t>
  </si>
  <si>
    <t>AfricanFinancials - document index</t>
  </si>
  <si>
    <t>Academy Press Plc company profile and filing history</t>
  </si>
  <si>
    <t>africanfinancials.com/company/ng-academ/</t>
  </si>
  <si>
    <t>2024</t>
  </si>
  <si>
    <t>Access Holdings Plc, Annual Report FY2024</t>
  </si>
  <si>
    <t>doclib.ngxgroup.com/Financial_NewsDocs/43800_ACCESS_HOLDINGS_PLC-_QUARTER_5_-_FINANCIAL_STATEMENT_FOR_2024_FINANCIAL_STATEMENTS_APRIL_2025.pdf</t>
  </si>
  <si>
    <t>Company IR - Abridged Financial Statement</t>
  </si>
  <si>
    <t>Access Holdings Plc, Full Year 2022 Abridged FS, PwC unmodified opinion 19-Apr-2023</t>
  </si>
  <si>
    <t>theaccesscorporation.com/wp-content/uploads/2023/04/Abriged-FS-December-2022-HOLCO-Updated.pdf</t>
  </si>
  <si>
    <t>2023</t>
  </si>
  <si>
    <t>Access Holdings Plc, Full Year 2023 Abridged FS, KPMG unmodified opinion 27-Mar-2024</t>
  </si>
  <si>
    <t>theaccesscorporation.com/wp-content/uploads/2024/03/Access-Holdings-PLC-Full-Year-2023-Abridged-Financial-Statement.pdf</t>
  </si>
  <si>
    <t>Company IR - Annual Report</t>
  </si>
  <si>
    <t>Access Holdings Plc, FY2025 Annual Report, KPMG signed 20-Feb-2026</t>
  </si>
  <si>
    <t>theaccesscorporation.com/wp-content/uploads/2026/05/Access-Holdings-PLC-FY-2025.pdf</t>
  </si>
  <si>
    <t>2021 shares</t>
  </si>
  <si>
    <t>Company website</t>
  </si>
  <si>
    <t>Access Bank Plc, 2021 Full Year Financial Statement, Directors' Report</t>
  </si>
  <si>
    <t>accessbankplc.com/AccessBankGroup/media/Investors/Quarterly-Reports-2022/2021-FY-Full-Financial-Statement.pdf</t>
  </si>
  <si>
    <t>NGX doclib - Financial Statement</t>
  </si>
  <si>
    <t>African Alliance Insurance Plc, FY2021 Statements (filed late, May-2023), Results at a Glance</t>
  </si>
  <si>
    <t>doclib.ngxgroup.com/Financial_NewsDocs/38484_AFRICAN_ALLIANCE_INSURANCE_PLC-_QUARTER_5_-_FINANCIAL_STATEMENT_FOR_2021_FINANCIAL_STATEMENTS_MAY_2023.pdf</t>
  </si>
  <si>
    <t>2024-2025</t>
  </si>
  <si>
    <t>Africa Prudential Plc, FY2025 Audited Financial Statements</t>
  </si>
  <si>
    <t>doclib.ngxgroup.com/Financial_NewsDocs/AFRICA_PRUDENTIAL_PLC_-_2025_AUDITED_FINANCIAL_STATEMENTS.pdf</t>
  </si>
  <si>
    <t>Africa Prudential Plc, FY2024 filing</t>
  </si>
  <si>
    <t>doclib.ngxgroup.com/Financial_NewsDocs/43304_AFRICA_PRUDENTIAL_PLC-_QUARTER_5_-_FINANCIAL_STATEMENT_FOR_2024_FINANCIAL_STATEMENTS_MARCH_2025.pdf</t>
  </si>
  <si>
    <t>Africa Prudential Plc, FY2022 Audited Financial Statement</t>
  </si>
  <si>
    <t>doclib.ngxgroup.com/Financial_NewsDocs/Africa_Prudential_Plc_-_2022_AFS.pdf</t>
  </si>
  <si>
    <t>2020-2021</t>
  </si>
  <si>
    <t>Afromedia Plc, Annual Report FY2021, SIAO Partners opinion</t>
  </si>
  <si>
    <t>doclib.ngxgroup.com/Financial_NewsDocs/35538_AFROMEDIA_PLC%20_AUDITED_FINANCIAL_STATEMENT_FOR_2021_FI.pdf</t>
  </si>
  <si>
    <t>2022</t>
  </si>
  <si>
    <t>NGX doclib - Management Report (unaudited)</t>
  </si>
  <si>
    <t>Afromedia Plc, Management Report Period Ended 31-Dec-2022</t>
  </si>
  <si>
    <t>doclib.ngxgroup.com/Financial_NewsDocs/39227_AFROMEDIA_PLC-_YEAR_END_-_FINANCIAL_STATEMENT_FOR_2022_FINANCIAL_STATEMENTS_AUGUST_2023.pdf</t>
  </si>
  <si>
    <t>AIICO Insurance Plc, FY2025 filing (marked UNAUDITED), Results at a Glance</t>
  </si>
  <si>
    <t>doclib.ngxgroup.com/Financial_NewsDocs/45927_AIICO_INSURANCE_PLC.-_YEAR_END_-_FINANCIAL_STATEMENT_FOR_2025_FINANCIAL_STATEMENTS_JANUARY_2026.pdf</t>
  </si>
  <si>
    <t>AIICO Insurance Plc, Annual Report FY2022, Results at a Glance</t>
  </si>
  <si>
    <t>doclib.ngxgroup.com/Financial_NewsDocs/AIICO_INSURANCE_PLC_-_2022_AFS.pdf</t>
  </si>
  <si>
    <t>2023 (balance sheet only)</t>
  </si>
  <si>
    <t>NGX doclib - Interim filing (comparative)</t>
  </si>
  <si>
    <t>AIICO Insurance Plc, Unaudited FS Period Ended 30-Jun-2024, 31-Dec-2023 comparative</t>
  </si>
  <si>
    <t>doclib.ngxgroup.com/Financial_NewsDocs/41907_AIICO_INSURANCE_PLC.-_QUARTER_2_-_FINANCIAL_STATEMENT_FOR_2024_FINANCIAL_STATEMENTS_JULY_2024.pdf</t>
  </si>
  <si>
    <t>2022-2025</t>
  </si>
  <si>
    <t>Yahoo Finance / TipRanks - balance sheet data</t>
  </si>
  <si>
    <t>Airtel Africa Plc (AAF.L) consolidated balance sheet history</t>
  </si>
  <si>
    <t>finance.yahoo.com; tipranks.com</t>
  </si>
  <si>
    <t>exchange rates</t>
  </si>
  <si>
    <t>SEC XBRL filing - Airtel Africa currency notes</t>
  </si>
  <si>
    <t>Airtel Africa Plc, foreign currency translation policy note</t>
  </si>
  <si>
    <t>sec.gov (XBRL viewer)</t>
  </si>
  <si>
    <t>auditor/listing</t>
  </si>
  <si>
    <t>Company profile aggregators</t>
  </si>
  <si>
    <t>Airtel Africa Plc corporate profile</t>
  </si>
  <si>
    <t>various (Wikipedia, stockanalysis.com, LSE)</t>
  </si>
  <si>
    <t>Company registrar - Annual Report</t>
  </si>
  <si>
    <t>Aluminium Extrusion Industries Plc, Annual Report &amp; Accounts 2021</t>
  </si>
  <si>
    <t>greenwichregistrars.com/wp-content/uploads/2022/11/ALEX-FYE-2021-Annual-Report-Accounts.pdf</t>
  </si>
  <si>
    <t>2023 NI only</t>
  </si>
  <si>
    <t>AfricanFinancials summary</t>
  </si>
  <si>
    <t>Aluminium Extrusion Industries Plc, FY2024 AR comparative summary</t>
  </si>
  <si>
    <t>africanfinancials.com</t>
  </si>
  <si>
    <t>Aradel Holdings Plc, Consolidated FS Year Ended 31-Dec-2025</t>
  </si>
  <si>
    <t>doclib.ngxgroup.com/Financial_NewsDocs/47218_ARADEL_HOLDINGS_PLC-_QUARTER_5_-_FINANCIAL_STATEMENT_FOR_2025_FINANCIAL_STATEMENTS_JUNE_2026.pdf</t>
  </si>
  <si>
    <t>2020-2024</t>
  </si>
  <si>
    <t>NGX doclib - Annual Report, Five-Year Summary</t>
  </si>
  <si>
    <t>Austin Laz &amp; Co. Plc, Audited FS Year Ended 31-Dec-2024, Five-Year Financial Summary (p.23)</t>
  </si>
  <si>
    <t>doclib.ngxgroup.com/Financial_NewsDocs/43103_AUSTIN_LAZ_AND_COMPANY_PLC-_QUARTER_5_-_FINANCIAL_STATEMENT_FOR_2024_FINANCIAL_STATEMENTS_FEBRUARY_2025.pdf</t>
  </si>
  <si>
    <t>2025 (interim)</t>
  </si>
  <si>
    <t>Market data aggregator</t>
  </si>
  <si>
    <t>Austin Laz &amp; Co. Plc Q3-2025 interim + year-end share price</t>
  </si>
  <si>
    <t>afx.kwayisi.org</t>
  </si>
  <si>
    <t>Briclinks Africa Plc, FY2022 Financial Statement</t>
  </si>
  <si>
    <t>doclib.ngxgroup.com/Financial_NewsDocs/38151_BRICKLINKS_AFRICA_PLC-_QUARTER_5_-_FINANCIAL_STATEMENT_FOR_2022_FINANCIAL_STATEMENTS_APRIL_2023.pdf</t>
  </si>
  <si>
    <t>Briclinks Africa Plc, FY2023 filing</t>
  </si>
  <si>
    <t>doclib.ngxgroup.com/Financial_NewsDocs/40130_BRICKLINKS_AFRICA_PLC-_YEAR_END_-_FINANCIAL_STATEMENT_FOR_2023_FINANCIAL_STATEMENTS_JANUARY_2024.pdf</t>
  </si>
  <si>
    <t>2024 (interim)</t>
  </si>
  <si>
    <t>NGX doclib - Q2 interim</t>
  </si>
  <si>
    <t>Briclinks Africa Plc, Q2 2024 filing</t>
  </si>
  <si>
    <t>doclib.ngxgroup.com/Financial_NewsDocs/41985_BRICLINKS_AFRICA_PLC-_QUARTER_2_-_FINANCIAL_STATEMENT_FOR_2024_FINANCIAL_STATEMENTS_AUGUST_2024.pdf</t>
  </si>
  <si>
    <t>Berger Paints Nigeria Plc, Audited FS FYE 31-Dec-2021</t>
  </si>
  <si>
    <t>doclib.ngxgroup.com/Financial_NewsDocs/35551_BERGER_PAINTS_NIGERIA_PLC%20_AUDITED_FINANCIAL_STATEMENT.pdf</t>
  </si>
  <si>
    <t>Berger Paints Nigeria Plc, Annual Report FYE 31-Dec-2023</t>
  </si>
  <si>
    <t>doclib.ngxgroup.com/Financial_NewsDocs/40780_BERGER_PAINTS_NIGERIA_PLC-_QUARTER_5_-_FINANCIAL_STATEMENT_FOR_2023_FINANCIAL_STATEMENTS_APRIL_2024.pdf</t>
  </si>
  <si>
    <t>AfricanFinancials - AI-summarized interim reports</t>
  </si>
  <si>
    <t>Berger Paints Nigeria Plc, Q3/Q4 2025 report summaries</t>
  </si>
  <si>
    <t>2021-2023 (equity/NI only)</t>
  </si>
  <si>
    <t>NGX doclib - Annual Reports</t>
  </si>
  <si>
    <t>Beta Glass Plc, various FY filings</t>
  </si>
  <si>
    <t>doclib.ngxgroup.com (multiple documents)</t>
  </si>
  <si>
    <t>Company IR site</t>
  </si>
  <si>
    <t>Beta Glass Plc, Annual Report FYE 31-Dec-2025</t>
  </si>
  <si>
    <t>betaglass.com/media/qttjorqs/beta-glass-plc-audited-financial-statement-for-the-year-ended-31-december-2025.pdf</t>
  </si>
  <si>
    <t>listing date</t>
  </si>
  <si>
    <t>Beta Glass Plc listing record</t>
  </si>
  <si>
    <t>BUA Cement Plc, Annual Report FY2023</t>
  </si>
  <si>
    <t>doclib.ngxgroup.com/Financial_NewsDocs/40408_BUA_CEMENT_PLC-_QUARTER_5_-_FINANCIAL_STATEMENT_FOR_2023_FINANCIAL_STATEMENTS_FEBRUARY_2024.pdf</t>
  </si>
  <si>
    <t>BUA Cement Plc, Annual Report FY2024</t>
  </si>
  <si>
    <t>doclib.ngxgroup.com/Financial_NewsDocs/43223_BUA_CEMENT_PLC-_QUARTER_5_-_FINANCIAL_STATEMENT_FOR_2024_FINANCIAL_STATEMENTS_FEBRUARY_2025.pdf</t>
  </si>
  <si>
    <t>2021 (equity only)</t>
  </si>
  <si>
    <t>BUA Cement Plc, Audited FS FY2021</t>
  </si>
  <si>
    <t>doclib.ngxgroup.com/Financial_NewsDocs/35418_BUA_CEMENT_PLC%20_AUDITED_FINANCIAL_STATEMENT_FOR_2021_F.pdf</t>
  </si>
  <si>
    <t>BUA Foods Plc, Annual Report FY2022</t>
  </si>
  <si>
    <t>doclib.ngxgroup.com/Financial_NewsDocs/38042_BUA_FOODS_PLC-_QUARTER_5_-_FINANCIAL_STATEMENT_FOR_2022_FINANCIAL_STATEMENTS_MARCH_2023.pdf</t>
  </si>
  <si>
    <t>BUA Foods Plc, Annual Report FY2024</t>
  </si>
  <si>
    <t>doclib.ngxgroup.com/Financial_NewsDocs/43524_BUA_FOODS_PLC-_QUARTER_5_-_FINANCIAL_STATEMENT_FOR_2024_FINANCIAL_STATEMENTS_MARCH_2025.pdf</t>
  </si>
  <si>
    <t>Cadbury Nigeria Plc, Audited FS FY2021</t>
  </si>
  <si>
    <t>doclib.ngxgroup.com/Financial_NewsDocs/35349_CADBURY_NIGERIA_PLC%20_AUDITED_FINANCIAL_STATEMENT_FOR_.pdf</t>
  </si>
  <si>
    <t>2023-2024 (superseded)</t>
  </si>
  <si>
    <t>NGX doclib - Unaudited filing</t>
  </si>
  <si>
    <t>Cadbury Nigeria Plc, Jan-2025 filing (marked Un-audited)</t>
  </si>
  <si>
    <t>doclib.ngxgroup.com/Financial_NewsDocs/42955_CADBURY_NIGERIA_PLC.-_YEAR_END_-_FINANCIAL_STATEMENT_FOR_2024_FINANCIAL_STATEMENTS_JANUARY_2025.pdf</t>
  </si>
  <si>
    <t>2023-2024 (genuine, restated)</t>
  </si>
  <si>
    <t>Cadbury Nigeria Plc, Annual Report FY2024, PwC unqualified opinion 31-Mar-2025, Note 32 restatement</t>
  </si>
  <si>
    <t>doclib.ngxgroup.com/Financial_NewsDocs/43612_CADBURY_NIGERIA_PLC.-_QUARTER_5_-_FINANCIAL_STATEMENT_FOR_2024_FINANCIAL_STATEMENTS_MARCH_2025.pdf</t>
  </si>
  <si>
    <t>Cadbury Nigeria Plc, Annual Report FY2025, PwC unqualified opinion 31-Mar-2026</t>
  </si>
  <si>
    <t>doclib.ngxgroup.com/Financial_NewsDocs/46461_CADBURY_NIGERIA_PLC.-_QUARTER_5_-_FINANCIAL_STATEMENT_FOR_2025_FINANCIAL_STATEMENTS_MARCH_2026.pdf</t>
  </si>
  <si>
    <t>Chemical and Allied Products Plc, Annual Report FY2022</t>
  </si>
  <si>
    <t>doclib.ngxgroup.com/Financial_NewsDocs/37953_CHEMICAL_AND_ALLIED_PRODUCTS_PLC-_QUARTER_5_-_FINANCIAL_STATEMENT_FOR_2022_FINANCIAL_STATEMENTS_MARCH_2023.pdf</t>
  </si>
  <si>
    <t>Chemical and Allied Products Plc, Annual Report FY2024</t>
  </si>
  <si>
    <t>doclib.ngxgroup.com/Financial_NewsDocs/43529_CHEMICAL_AND_ALLIED_PRODUCTS_PLC-_QUARTER_5_-_FINANCIAL_STATEMENT_FOR_2024_FINANCIAL_STATEMENTS_MARCH_2025.pdf</t>
  </si>
  <si>
    <t>NGX doclib - Earnings Release</t>
  </si>
  <si>
    <t>Chemical and Allied Products Plc, FY2025 Audited Results, 26-Mar-2026</t>
  </si>
  <si>
    <t>doclib.ngxgroup.com/Financial_NewsDocs/46355_CHEMICAL_AND_ALLIED_PRODUCTS_PLC-CAP_PLC_-_FY2025_EARNINGS_RELEASE_CORPORATE_ACTIONS_MARCH_2026.pdf</t>
  </si>
  <si>
    <t>Caverton Offshore Support Group Plc, Annual Report FY2023</t>
  </si>
  <si>
    <t>doclib.ngxgroup.com/Financial_NewsDocs/41471_CAVERTON_OFFSHORE_SUPPORT_GROUP_PLC...2023...pdf</t>
  </si>
  <si>
    <t>2021-2022, 2024-2025</t>
  </si>
  <si>
    <t>Caverton Offshore Support Group Plc, FY2022 and FY2025 Annual Reports</t>
  </si>
  <si>
    <t>doclib.ngxgroup.com/Financial_NewsDocs/38527...2022...pdf ; 47443...2025...pdf</t>
  </si>
  <si>
    <t>Champion Breweries Plc, FY2023 Audited Financial Statements (restated, incl. 1-Jan-2022 opening)</t>
  </si>
  <si>
    <t>doclib.ngxgroup.com/Financial_NewsDocs/Champion_Breweries_Plc_-_2023_Audited_Financial_Statements.pdf</t>
  </si>
  <si>
    <t>Champion Breweries Plc, FY2025 Audited Financial Statements</t>
  </si>
  <si>
    <t>doclib.ngxgroup.com/Financial_NewsDocs/CHAMPION_BREWERIES_PLC_-_2025_AUDITED_FINANCIAL_STATEMENTS.pdf</t>
  </si>
  <si>
    <t>Chams Holding Company Plc, FY2022 Annual Report</t>
  </si>
  <si>
    <t>doclib.ngxgroup.com/Financial_NewsDocs/38108_CHAMS_HOLDING_COMPANY_PLC...2022...pdf</t>
  </si>
  <si>
    <t>Chams Holding Company Plc, FY2023 Annual Report</t>
  </si>
  <si>
    <t>doclib.ngxgroup.com/Financial_NewsDocs/40763_CHAMS_HOLDING_COMPANY_PLC...2023...pdf</t>
  </si>
  <si>
    <t>Chams Holding Company Plc, FY2025 Annual Report</t>
  </si>
  <si>
    <t>doclib.ngxgroup.com/Financial_NewsDocs/46494_CHAMS_HOLDING_COMPANY_PLC...2025...pdf</t>
  </si>
  <si>
    <t>Chellarams Plc, FY2022 Audited Financial Statement (FYE 31-March)</t>
  </si>
  <si>
    <t>doclib.ngxgroup.com/Financial_NewsDocs/36745_CHELLARAMS_PLC...2022...pdf</t>
  </si>
  <si>
    <t>NGX doclib - Year-End Filing</t>
  </si>
  <si>
    <t>Chellarams Plc, FY2023 filing (FYE 31-March)</t>
  </si>
  <si>
    <t>doclib.ngxgroup.com/Financial_NewsDocs/38450_CHELLARAMS_PLC...2023...pdf</t>
  </si>
  <si>
    <t>Chellarams Plc, FY2025 Annual Report (auditor changed BDO-&gt;PKF)</t>
  </si>
  <si>
    <t>doclib.ngxgroup.com/Financial_NewsDocs/44396_CHELLARAMS_PLC...2025_FINANCIAL_STATEMENTS_JUNE_2025.pdf</t>
  </si>
  <si>
    <t>C &amp; I Leasing Plc, FY2023 Annual Report</t>
  </si>
  <si>
    <t>doclib.ngxgroup.com/Financial_NewsDocs/41868_C_AND_I_LEASING_PLC...2023...pdf</t>
  </si>
  <si>
    <t>C &amp; I Leasing Plc, Audited Accounts FYE 31-Dec-2021</t>
  </si>
  <si>
    <t>c-ileasing.com/wp-content/uploads/2022/09/Audited-account-CI-Leasing-Plc-31-Dec-2021-Final-copy.pdf</t>
  </si>
  <si>
    <t>identity</t>
  </si>
  <si>
    <t>NGX live price list + X-Compliance Report</t>
  </si>
  <si>
    <t>ngxgroup.com live price list; official X-Compliance Report (20-Feb-2026)</t>
  </si>
  <si>
    <t>Web search - fund manager profile</t>
  </si>
  <si>
    <t>Coronation Infrastructure Fund, managed by Coronation Asset Management Ltd</t>
  </si>
  <si>
    <t>2024 (partial)</t>
  </si>
  <si>
    <t>Company IR + secondary summary</t>
  </si>
  <si>
    <t>Consolidated Hallmark Holdings Plc, corporate structure + Revenue/NI</t>
  </si>
  <si>
    <t>cornerstoneinsuranceplc IR references; company summaries</t>
  </si>
  <si>
    <t>Conoil Plc, FY2023 filing</t>
  </si>
  <si>
    <t>doclib.ngxgroup.com/Financial_NewsDocs/42545_CONOIL_PLC...2023...pdf</t>
  </si>
  <si>
    <t>NGX doclib - Quarterly Filing</t>
  </si>
  <si>
    <t>Conoil Plc, Q4 2022 filing</t>
  </si>
  <si>
    <t>doclib.ngxgroup.com/Financial_NewsDocs/37537_CONOIL_PLC...2022...pdf</t>
  </si>
  <si>
    <t>2021-2023</t>
  </si>
  <si>
    <t>Cornerstone Insurance Plc, Annual Report &amp; Accounts 2023, Consolidated Results at a Glance</t>
  </si>
  <si>
    <t>cornerstone.com.ng/corporate/files/Cornerstone%20Annual%20Report%202023.pdf</t>
  </si>
  <si>
    <t>NGX doclib - Year-End Filing (user-provided link)</t>
  </si>
  <si>
    <t>Cornerstone Insurance Plc, FY2025 Report, full Consolidated &amp; Separate SFP</t>
  </si>
  <si>
    <t>doclib.ngxgroup.com/Financial_NewsDocs/45896_CORNERSTONE_INSURANCE_PLC...2025_FINANCIAL_STATEMENTS_JANUARY_2026.pdf</t>
  </si>
  <si>
    <t>Primary - NGX doclib</t>
  </si>
  <si>
    <t>CONSOLIDATED HALLMARK HOLDINGS PLC Q1 2026 Unaudited Financial Statements (doc 46914), Financial Highlights table, Dec-2025 comparative column, Group basis</t>
  </si>
  <si>
    <t>https://doclib.ngxgroup.com/Financial_NewsDocs/46914_CONSOLIDATED_HALLMARK_HOLDINGS_PLC-_QUARTER_1_-_FINANCIAL_STATEMENT_FOR_2026_FINANCIAL_STATEMENTS_APRIL_2026.pdf</t>
  </si>
  <si>
    <t>HIGH confidence. Total Assets/Liabilities resolved after 4th extraction attempt succeeded via the Financial Highlights summary table (flat table extracts cleanly) rather than the full Statement of Consolidated Financial Position (which remains non-extractable for this firm - reproducible barrier across all its NGX doclib annual/quarterly filings).</t>
  </si>
  <si>
    <t>Secondary - press (management-cited)</t>
  </si>
  <si>
    <t>Tribune Online, 'Consolidated Hallmark Holdings posts 117% asset growth, N23.2bn profit in first year as Holdco', 1-Sep-2025, quoting Group CEO Eddie Efekoha at 2nd AGM</t>
  </si>
  <si>
    <t>https://tribuneonlineng.com/consolidated-hallmark-holdings-posts-117-asset-growth-n23-2bn-profit-in-first-year-as-holdco/</t>
  </si>
  <si>
    <t>MEDIUM confidence. Total Assets only (2023: N26.2bn, 2024: N56.9bn); Total Liabilities not stated in this source and not yet found elsewhere. Not independently verified against primary SFP (extraction failed again for both years).</t>
  </si>
  <si>
    <t>Secondary - search synthesis (unconfirmed)</t>
  </si>
  <si>
    <t>Search-engine-synthesized figures citing naija247news and general web results; no single dated primary document pinned down</t>
  </si>
  <si>
    <t>Secondary - aggregator (S&amp;P Global via stockanalysis.com)</t>
  </si>
  <si>
    <t>stockanalysis.com Balance Sheet + Income Statement pages, Insurance template</t>
  </si>
  <si>
    <t>https://stockanalysis.com/quote/ngx/CUSTODIAN/financials/balance-sheet/</t>
  </si>
  <si>
    <t>MEDIUM-HIGH confidence. Total Assets/Liabilities/Net Income/Shares Outstanding for all 5 years. Auditor (Deloitte) and incorporation/listing dates confirmed via separate WebSearch. Share price not found.</t>
  </si>
  <si>
    <t>2022-2025 (2021 gap)</t>
  </si>
  <si>
    <t>stockanalysis.com Balance Sheet + Income Statement pages, FYE 30-April</t>
  </si>
  <si>
    <t>https://stockanalysis.com/quote/ngx/CUTIX/financials/balance-sheet/</t>
  </si>
  <si>
    <t>MEDIUM-HIGH confidence for 2022-2025. FYE 30-April (not 31-Dec) - year-mapping convention documented in Panel Data notes. FY2021 (Apr-2021) not resolved - aggregator table did not go back far enough, dedicated search did not surface the figures. Auditor (Ngozi Monica Okonkwo &amp; Co., non-Big4) confirmed via WebSearch.</t>
  </si>
  <si>
    <t>stockanalysis.com Balance Sheet + Income Statement pages, Standard template</t>
  </si>
  <si>
    <t>https://stockanalysis.com/quote/ngx/CWG/financials/balance-sheet/</t>
  </si>
  <si>
    <t>MEDIUM-HIGH confidence. Total Assets/Liabilities/Net Income/Shares Outstanding for all 5 years. Auditor NOT confirmed this session. Incorporation/listing dates confirmed via WebSearch.</t>
  </si>
  <si>
    <t>https://stockanalysis.com/quote/ngx/DAARCOMM/financials/balance-sheet/</t>
  </si>
  <si>
    <t>MEDIUM-HIGH confidence. Persistent negative Net Income across all 5 years - real reported figures (large accumulated deficit), not a data error. Auditor NOT confirmed this session.</t>
  </si>
  <si>
    <t>https://stockanalysis.com/quote/ngx/DANGCEM/financials/balance-sheet/</t>
  </si>
  <si>
    <t>MEDIUM-HIGH confidence. Auditor KPMG Professional Services confirmed via WebSearch (Big4). Shares outstanding declines slightly year to year due to treasury stock buybacks - year-specific values used.</t>
  </si>
  <si>
    <t>https://stockanalysis.com/quote/ngx/DANGSUGAR/financials/balance-sheet/</t>
  </si>
  <si>
    <t>MEDIUM-HIGH confidence. Auditor PricewaterhouseCoopers confirmed via WebSearch (Big4). Large FX-driven losses 2023-2025 (naira devaluation impact on USD debt) - real reported figures, not a data error.</t>
  </si>
  <si>
    <t>Primary - company website</t>
  </si>
  <si>
    <t>chiplc.com/wp-content/uploads/2023/04/2022-AUDITED-FINANCIAL-STATEMENTS.pdf, 'Results at a Glance' table, Group basis</t>
  </si>
  <si>
    <t>https://chiplc.com/wp-content/uploads/2023/04/2022-AUDITED-FINANCIAL-STATEMENTS.pdf</t>
  </si>
  <si>
    <t>HIGH confidence. Resolved the previously-flagged FY2021/2022 gap. This source (company IR site, not NGX doclib) extracted cleanly on the first attempt.</t>
  </si>
  <si>
    <t>Cutix Plc FY2022 Annual Report, 'Financial Highlights' comparative table (2022 vs 2021)</t>
  </si>
  <si>
    <t>https://cutixplc.com.ng/wp-content/uploads/2022/08/Cutix-Plc-2022-Annual-Report-Accounts.pdf (via NGX doclib mirror, doc 36280)</t>
  </si>
  <si>
    <t>HIGH confidence. Also revealed the Shares Outstanding correction (see README section 19) - primary source is more reliable than the stockanalysis.com aggregator for share count history.</t>
  </si>
  <si>
    <t>CUSTODIAN, CWG, DAARCOMM, DANGCEM, DANGSUGAR</t>
  </si>
  <si>
    <t>Ratios &amp; Metrics page, 'Last Close Price' row by fiscal year</t>
  </si>
  <si>
    <t>https://stockanalysis.com/quote/ngx/[TICKER]/financials/ratios/</t>
  </si>
  <si>
    <t>MEDIUM-HIGH confidence. Fiscal-year-end closing price, not cross-checked against an NGX historical price archive. CUSTODIAN price back-calculated from Market Cap / Shares Outstanding (its Ratios page omitted a direct price row) and cross-validated via PE x EPS.</t>
  </si>
  <si>
    <t>auditor</t>
  </si>
  <si>
    <t>Secondary - press/search</t>
  </si>
  <si>
    <t>WebSearch confirming PKF Professional Services signed CWG audited FS 18-Mar-2026</t>
  </si>
  <si>
    <t>n/a - search result, not a single document</t>
  </si>
  <si>
    <t>DAAR Communications Annual Report and Financial Statements for year ended 31-Dec-2022, cited via WebSearch as auditor Baker Tilly Nigeria</t>
  </si>
  <si>
    <t>MEDIUM confidence, sourced from 2022 filing - not reconfirmed for 2024/2025.</t>
  </si>
  <si>
    <t>Balance Sheet, Income Statement, Ratios pages, FYE 31-July (changing to 31-Dec during 2025)</t>
  </si>
  <si>
    <t>https://stockanalysis.com/quote/ngx/ELLAHLAKES/financials/balance-sheet/</t>
  </si>
  <si>
    <t>MEDIUM-HIGH confidence for 2022-2025. FY2021 not resolved. Auditor Olabode Akande &amp; Co. (non-Big4) confirmed via WebSearch. Note the FYE transition to 31-Dec during 2025 (17-month stub period) - not used, see Panel Data notes.</t>
  </si>
  <si>
    <t>Balance Sheet, Income Statement, Ratios pages, FYE 30-April convention (same as CUTIX)</t>
  </si>
  <si>
    <t>https://stockanalysis.com/quote/ngx/ENAMELWA/financials/balance-sheet/</t>
  </si>
  <si>
    <t>MEDIUM-HIGH confidence for 2022-2025. FY2021 not resolved. Auditor OOP and Partners (non-Big4) confirmed via WebSearch. Negative shareholders' equity FY2024-2026 - real financial distress, flagged in Panel Data notes.</t>
  </si>
  <si>
    <t>Balance Sheet, Income Statement, Ratios pages, standard calendar FYE</t>
  </si>
  <si>
    <t>https://stockanalysis.com/quote/ngx/ETERNA/financials/balance-sheet/</t>
  </si>
  <si>
    <t>MEDIUM-HIGH confidence, full 5-year coverage, no gaps. Auditor PricewaterhouseCoopers (Big4) confirmed via WebSearch.</t>
  </si>
  <si>
    <t>n/a - not filled</t>
  </si>
  <si>
    <t>N/A - flagged for user input</t>
  </si>
  <si>
    <t>stockanalysis.com reports ETI financials in USD, not NGN</t>
  </si>
  <si>
    <t>https://stockanalysis.com/quote/ngx/ETI/financials/balance-sheet/</t>
  </si>
  <si>
    <t>https://stockanalysis.com/quote/ngx/ETRANZACT/financials/balance-sheet/</t>
  </si>
  <si>
    <t>MEDIUM-HIGH confidence, full 5-year coverage, no gaps. Auditor NOT confirmed - flagged for follow-up.</t>
  </si>
  <si>
    <t>n/a - excluded</t>
  </si>
  <si>
    <t>N/A - re-verified exclusion</t>
  </si>
  <si>
    <t>WebSearch confirming NGX suspension 1-Jul-2022 and DIP status; NGX doclib doc 33798 (Q2 2021, unaudited, tables non-extractable)</t>
  </si>
  <si>
    <t>https://doclib.ngxgroup.com/Financial_NewsDocs/33798_EKOCORP_PLC%20_QUARTER_2_%20_FINANCIAL_STATEMENT_FOR_2021.pdf</t>
  </si>
  <si>
    <t>NOT ENTERED. Company has filed no annual statements since FY2020; trading suspended since Jun-2022. Exclusion re-confirmed, not a sourcing gap.</t>
  </si>
  <si>
    <t>Primary - company NGX filing (official NGN-translated companion statement)</t>
  </si>
  <si>
    <t>NGX doclib docs 46650 (FY2025/2024), 41114 (FY2023/2022), 37946 (FY2022 filing, FY2021 comparative)</t>
  </si>
  <si>
    <t>https://doclib.ngxgroup.com/Financial_NewsDocs/46650_ECOBANK_TRANSNATIONAL_INCORPORATED-_QUARTER_5_-_FINANCIAL_STATEMENT_FOR_2025_FINANCIAL_STATEMENTS_APRIL_2026.pdf</t>
  </si>
  <si>
    <t>HIGH confidence - official company-prepared NGN translation, not an independently estimated FX conversion. Auditors Deloitte and Grant Thornton (joint, Big4) confirmed via WebSearch.</t>
  </si>
  <si>
    <t>Balance Sheet, Income Statement, Ratios pages, FYE 30-June convention</t>
  </si>
  <si>
    <t>https://stockanalysis.com/quote/ngx/EUNISELL/financials/balance-sheet/</t>
  </si>
  <si>
    <t>MEDIUM-HIGH confidence for 2022-2025. FY2021 not resolved. Auditor not confirmed.</t>
  </si>
  <si>
    <t>Balance Sheet, Income Statement, Ratios pages, standard calendar FYE, Banks template</t>
  </si>
  <si>
    <t>https://stockanalysis.com/quote/ngx/FCMB/financials/balance-sheet/</t>
  </si>
  <si>
    <t>MEDIUM-HIGH confidence, full 5-year coverage. Auditor Deloitte and Touche (Big4). FY2025 unaudited as filed.</t>
  </si>
  <si>
    <t>https://stockanalysis.com/quote/ngx/FIDELITYBK/financials/balance-sheet/</t>
  </si>
  <si>
    <t>MEDIUM-HIGH confidence, full 5-year coverage. Auditor Deloitte &amp; Touche (Big4).</t>
  </si>
  <si>
    <t>https://stockanalysis.com/quote/ngx/FIDSON/financials/balance-sheet/</t>
  </si>
  <si>
    <t>MEDIUM-HIGH confidence, full 5-year coverage. Auditor Deloitte and Touche (Big4).</t>
  </si>
  <si>
    <t>https://stockanalysis.com/quote/ngx/FIRSTHOLDCO/financials/balance-sheet/</t>
  </si>
  <si>
    <t>MEDIUM-HIGH confidence, full 5-year coverage. Auditor KPMG Professional Services (Big4).</t>
  </si>
  <si>
    <t>2021-2025 (financials); price not available</t>
  </si>
  <si>
    <t>Balance Sheet, Income Statement pages; Share_Price_YearEnd NOT used (NGX suspension 2019-2026)</t>
  </si>
  <si>
    <t>https://stockanalysis.com/quote/ngx/FTGINSURE/financials/balance-sheet/</t>
  </si>
  <si>
    <t>MEDIUM-HIGH confidence for financials. No market price exists for any study year - trading suspended entire window.</t>
  </si>
  <si>
    <t>https://stockanalysis.com/quote/ngx/FTNCOCOA/financials/balance-sheet/</t>
  </si>
  <si>
    <t>MEDIUM-HIGH confidence, full 5-year coverage. Auditor Baker Tilly Nigeria, not Big4.</t>
  </si>
  <si>
    <t>ok</t>
  </si>
  <si>
    <t>Chapel Hill Denham Nigeria Real Estate Investment Trust</t>
  </si>
  <si>
    <t>IFRS_S1S2_Adopter_Dummy (EAS)</t>
  </si>
  <si>
    <t>(EAS) IFRS_S1S2_Adopter_Dummy</t>
  </si>
  <si>
    <t>N/A - Excluded (non-operating entity)</t>
  </si>
  <si>
    <t>AVA Infrastructure Fund, 2021-2025 financial data as recorded in Panel Data workbook</t>
  </si>
  <si>
    <t>N/A - pre-listing (accounts exist, no market price)</t>
  </si>
  <si>
    <t>Geregu Power Plc, 2021 financial data as recorded in Panel Data workbook</t>
  </si>
  <si>
    <t>CONFIRMED genuine N/A, not a gap: Geregu Power Plc did not IPO/list on NGX until 5-Oct-2022. No market price existed as of 31-Dec-2021 (pre-listing year) - balance-sheet/income-statement figures for FY2021 remain populated from pre-IPO audited accounts; only t</t>
  </si>
  <si>
    <t>Aggregator - stockanalysis.com (S&amp;P Global Market Intelligence)</t>
  </si>
  <si>
    <t>Geregu Power Plc, 2022-2025 financial data as recorded in Panel Data workbook</t>
  </si>
  <si>
    <t>stockanalysis.com/quote/ngx/GEREGU/financials/ ; stockanalysis.com/quote/ngx/GEREGU/market-cap/</t>
  </si>
  <si>
    <t>MEDIUM-HIGH confidence. Balance sheet/income statement from stockanalysis.com (S&amp;P Global Market Intelligence). Share_Price_YearEnd derived from stockanalysis.com's official NGX market-cap-history snapshot (nearest year-end trading day) divided by constant 2.5</t>
  </si>
  <si>
    <t>Golden Guinea Breweries Plc, 2021-2022 financial data as recorded in Panel Data workbook</t>
  </si>
  <si>
    <t>stockanalysis.com/quote/ngx/GOLDBREW/financials/ ; stockanalysis.com/quote/ngx/GOLDBREW/market-cap/</t>
  </si>
  <si>
    <t>MEDIUM-HIGH confidence. FYE is 31-March (not 31-Dec) - filing titled 'AUDITED FINANCIAL STATEMENTS FOR THE YEAR ENDED 31ST MARCH [year]'; mapped FYE-labelled year directly to study's Year column (FYE 31-Mar-2021=Year 2021), same convention as CUTIX/ENAMELWA. T</t>
  </si>
  <si>
    <t>NGX doclib - Annual Report / Financial Statement (primary, hand-verified)</t>
  </si>
  <si>
    <t>Golden Guinea Breweries Plc, 2023-2024 financial data as recorded in Panel Data workbook</t>
  </si>
  <si>
    <t>doclib.ngxgroup.com/Financial_NewsDocs/Golden_Guinea_-_2024_Audited_Accounts.pdf</t>
  </si>
  <si>
    <t>HIGH CONFIDENCE. FYE 31-March, mapped directly to study Year (FYE 31-Mar-2023=Year 2023, FYE 31-Mar-2024=Year 2024). Total_Assets, Net_Income, Shares_Outstanding (1,003,344,000) hand-verified DIRECTLY against Golden Guinea Breweries Plc's own FY2024 Audited Fi</t>
  </si>
  <si>
    <t>N/A - Documented gap (no filing exists)</t>
  </si>
  <si>
    <t>Golden Guinea Breweries Plc, 2025 financial data as recorded in Panel Data workbook</t>
  </si>
  <si>
    <t>Total_Assets/Total_Liabilities/Net_Income LEFT BLANK - documented gap, not an oversight. Golden Guinea Breweries failed to file its FY2025 (year ended 31-Mar-2025) audited financial statements, triggering an NGX trading suspension effective 6-May-2025 (still s</t>
  </si>
  <si>
    <t>Guaranty Trust Holding Company Plc, 2021-2025 financial data as recorded in Panel Data workbook</t>
  </si>
  <si>
    <t>stockanalysis.com/quote/ngx/GTCO/financials/ ; stockanalysis.com/quote/ngx/GTCO/market-cap/</t>
  </si>
  <si>
    <t>HIGH-MEDIUM confidence. Total_Assets/Total_Liabilities/Net_Income/Shares_Outstanding from stockanalysis.com (S&amp;P Global Market Intelligence) audited consolidated balance sheet + income statement, calendar FYE 31-Dec (standard). Shares_Outstanding grew material</t>
  </si>
  <si>
    <t>Guinea Insurance Plc, 2021-2025 financial data as recorded in Panel Data workbook</t>
  </si>
  <si>
    <t>stockanalysis.com/quote/ngx/GUINEAINS/financials/ ; stockanalysis.com/quote/ngx/GUINEAINS/market-cap/</t>
  </si>
  <si>
    <t>MEDIUM-HIGH confidence. Standard calendar FYE 31-Dec. Total_Assets/Total_Liabilities/Net_Income/Shares_Outstanding from stockanalysis.com (S&amp;P Global Market Intelligence) balance sheet + income statement tables. Shares_Outstanding rose from 6.14bn to 7.943bn b</t>
  </si>
  <si>
    <t>Guinness Nigeria Plc, 2021 financial data as recorded in Panel Data workbook</t>
  </si>
  <si>
    <t>doclib.ngxgroup.com/Financial_NewsDocs/34025_GUINNESS_NIG_PLC%20_AUDITED_FINANCIAL_STATEMENT_FOR_2021.pdf</t>
  </si>
  <si>
    <t>HIGH CONFIDENCE. FYE 30-Jun-2021, mapped to study Year 2021. Total_Assets (N169,406,525k), Total_Liabilities (N95,119,950k), Net_Income (N1,255,338k, a small profit - NOT a loss, despite FY2022-2024 all showing losses) and Shares_Outstanding (2,190,382,819 ord</t>
  </si>
  <si>
    <t>Guinness Nigeria Plc, 2022-2025 financial data as recorded in Panel Data workbook</t>
  </si>
  <si>
    <t>stockanalysis.com/quote/ngx/GUINNESS/financials/ ; stockanalysis.com/quote/ngx/GUINNESS/market-cap/</t>
  </si>
  <si>
    <t>MEDIUM-HIGH confidence. FYE 30-Jun, mapped directly to study Year (FYE 30-Jun-2022=Year 2022). Total_Assets/Total_Liabilities/Net_Income/Shares_Outstanding from stockanalysis.com (S&amp;P Global Market Intelligence) balance sheet + income statement tables - not in</t>
  </si>
  <si>
    <t>HBM Nigeria Plc (formerly Lafarge Africa), 2021-2025 financial data as recorded in Panel Data workbook</t>
  </si>
  <si>
    <t>stockanalysis.com/quote/ngx/HBMNG/financials/ ; stockanalysis.com/quote/ngx/HBMNG/market-cap/</t>
  </si>
  <si>
    <t xml:space="preserve">MEDIUM-HIGH confidence. Total_Assets/Total_Liabilities/Net_Income/Shares_Outstanding from stockanalysis.com (S&amp;P Global Market Intelligence) balance sheet + income statement, standard calendar FYE 31-Dec. Company traded/reported under the name 'Lafarge Africa </t>
  </si>
  <si>
    <t>N/A - Excluded (not yet NGX-listed)</t>
  </si>
  <si>
    <t>Haldane McCall Plc, 2021-2023 financial data as recorded in Panel Data workbook</t>
  </si>
  <si>
    <t>EXCLUDED BY DESIGN - not NGX-listed until 20-Nov-2024 (incorporated as Plc in 2021, but no NGX or other public market existed before the Nov-2024 listing by introduction). No NGX market value existed this year. For context only (NOT entered as data): the compa</t>
  </si>
  <si>
    <t>Company IR site - primary source (hand-verified)</t>
  </si>
  <si>
    <t>Haldane McCall Plc, 2024 financial data as recorded in Panel Data workbook</t>
  </si>
  <si>
    <t>hmkplc.com/wp-content/uploads/2025/02/43130_HALDANE_MCCALL_PLC-_QUARTER_5_-_FINANCIAL_STATEMENT_FOR_2024_FINANCIAL_STATEMENTS_FEBRUARY_2025.pdf</t>
  </si>
  <si>
    <t>HIGH CONFIDENCE. Total_Assets (N21,994,814k), Total_Liabilities (N5,338,909k), Net_Income (N679,625k) hand-verified DIRECTLY from Haldane McCall Plc's own FY2024 Audited Financial Statements (company-hosted primary source). Shares_Outstanding: 3,122,000,000 (p</t>
  </si>
  <si>
    <t>Haldane McCall Plc, 2025 financial data as recorded in Panel Data workbook</t>
  </si>
  <si>
    <t>stockanalysis.com/quote/ngx/HMCALL/financials/ ; stockanalysis.com/quote/ngx/HMCALL/market-cap/</t>
  </si>
  <si>
    <t>MEDIUM-HIGH confidence. Net_Income (N642,461k) hand-confirmed from company results coverage (FY2025, Revenue N2,276,222k, PBT N754,899k). Total_Assets (N21.83bn) and Total_Liabilities (derived: N21.83bn TA - N17.15bn Shareholders' Equity = N4.68bn) from the sa</t>
  </si>
  <si>
    <t>Honeywell Flour Mills Plc, 2021-2025 financial data as recorded in Panel Data workbook</t>
  </si>
  <si>
    <t>stockanalysis.com/quote/ngx/HONYFLOUR/financials/ ; stockanalysis.com/quote/ngx/HONYFLOUR/market-cap/</t>
  </si>
  <si>
    <t>HIGH CONFIDENCE. FYE 31-Mar-2021, mapped to study Year 2021. Total_Assets (N147,394,656k), Total_Liabilities (N89,425,978k, cross-checked: TA-TL=Shareholders' Fund N57,968,678k matches exactly), Net_Income (N1,125,864k) and Shares_Outstanding (7,930,198,000, d</t>
  </si>
  <si>
    <t>Ikeja Hotel Plc, 2021-2025 financial data as recorded in Panel Data workbook</t>
  </si>
  <si>
    <t>stockanalysis.com/quote/ngx/IKEJAHOTEL/financials/ ; stockanalysis.com/quote/ngx/IKEJAHOTEL/market-cap/</t>
  </si>
  <si>
    <t>MEDIUM-HIGH confidence: balance sheet/income statement figures from stockanalysis.com (S&amp;P Global Market Intelligence aggregator). Share_Price_YearEnd derived by dividing stockanalysis.com's year-end Market Cap by shares outstanding for that year (own quoted t</t>
  </si>
  <si>
    <t>Industrial and Medical Gases Nigeria Plc, 2021-2025 financial data as recorded in Panel Data workbook</t>
  </si>
  <si>
    <t>stockanalysis.com/quote/ngx/IMG/financials/ ; stockanalysis.com/quote/ngx/IMG/market-cap/</t>
  </si>
  <si>
    <t>MEDIUM-HIGH confidence: balance sheet/income statement figures from stockanalysis.com (S&amp;P Global Market Intelligence aggregator). Share_Price_YearEnd derived by dividing stockanalysis.com's year-end Market Cap by shares outstanding for that year. See Firm Mas</t>
  </si>
  <si>
    <t>Infinity Trust Mortgage Bank Plc, 2021-2025 financial data as recorded in Panel Data workbook</t>
  </si>
  <si>
    <t>stockanalysis.com/quote/ngx/INFINITY/financials/ ; stockanalysis.com/quote/ngx/INFINITY/market-cap/</t>
  </si>
  <si>
    <t>MEDIUM-HIGH confidence: balance sheet/income statement figures from stockanalysis.com (S&amp;P Global Market Intelligence aggregator). Share_Price_YearEnd derived by dividing stockanalysis.com's year-end Market Cap by the constant 8.341bn shares outstanding. NOTE:</t>
  </si>
  <si>
    <t>International Breweries Plc, 2021-2025 financial data as recorded in Panel Data workbook</t>
  </si>
  <si>
    <t>stockanalysis.com/quote/ngx/INTBREW/financials/ ; stockanalysis.com/quote/ngx/INTBREW/market-cap/</t>
  </si>
  <si>
    <t xml:space="preserve">MEDIUM-HIGH confidence: balance sheet/income statement figures from stockanalysis.com (S&amp;P Global Market Intelligence aggregator). Share_Price_YearEnd derived by dividing year-end Market Cap by period-end Shares_Outstanding (balance-sheet 'Total Common Shares </t>
  </si>
  <si>
    <t>International Energy Insurance Plc, 2021-2025 financial data as recorded in Panel Data workbook</t>
  </si>
  <si>
    <t>stockanalysis.com/quote/ngx/INTENEGINS/financials/ ; stockanalysis.com/quote/ngx/INTENEGINS/market-cap/</t>
  </si>
  <si>
    <t>MEDIUM-HIGH confidence: balance sheet/income statement figures from stockanalysis.com (S&amp;P Global Market Intelligence aggregator). Share_Price_YearEnd derived by dividing year-end Market Cap by shares outstanding. NOTE: source shows an IDENTICAL 487.95M market</t>
  </si>
  <si>
    <t>Jaiz Bank Plc, 2021-2025 financial data as recorded in Panel Data workbook</t>
  </si>
  <si>
    <t>stockanalysis.com/quote/ngx/JAIZBANK/financials/ ; stockanalysis.com/quote/ngx/JAIZBANK/market-cap/</t>
  </si>
  <si>
    <t xml:space="preserve">MEDIUM-HIGH confidence: balance sheet/income statement figures from stockanalysis.com (S&amp;P Global Market Intelligence aggregator). Share_Price_YearEnd derived by dividing year-end Market Cap by period-end Shares_Outstanding. FY2025 Shares_Outstanding increase </t>
  </si>
  <si>
    <t>Japaul Gold &amp; Ventures Plc, 2021-2025 financial data as recorded in Panel Data workbook</t>
  </si>
  <si>
    <t>stockanalysis.com/quote/ngx/JAPAULGOLD/financials/ ; stockanalysis.com/quote/ngx/JAPAULGOLD/market-cap/</t>
  </si>
  <si>
    <t>MEDIUM-HIGH confidence: balance sheet/income statement figures from stockanalysis.com (S&amp;P Global Market Intelligence aggregator). Share_Price_YearEnd derived by dividing year-end Market Cap by period-end Shares_Outstanding. Total_Liabilities exceeded Total_As</t>
  </si>
  <si>
    <t>Julius Berger Nigeria Plc, 2021-2025 financial data as recorded in Panel Data workbook</t>
  </si>
  <si>
    <t>stockanalysis.com/quote/ngx/JBERGER/financials/ ; stockanalysis.com/quote/ngx/JBERGER/market-cap/</t>
  </si>
  <si>
    <t>MEDIUM-HIGH confidence: balance sheet/income statement figures from stockanalysis.com (S&amp;P Global Market Intelligence aggregator). Share_Price_YearEnd derived by dividing year-end Market Cap by the constant 1.6bn shares outstanding (unchanged across all 5 year</t>
  </si>
  <si>
    <t>John Holt Plc, 2021-2025 financial data as recorded in Panel Data workbook</t>
  </si>
  <si>
    <t>stockanalysis.com/quote/ngx/JOHNHOLT/financials/ ; stockanalysis.com/quote/ngx/JOHNHOLT/market-cap/</t>
  </si>
  <si>
    <t>MEDIUM-HIGH confidence for Total_Assets/Total_Liabilities/Net_Income/Shares_Outstanding (genuine FYE 30-Sep figures from stockanalysis.com, S&amp;P Global Market Intelligence aggregator). Share_Price_YearEnd is LOW-MEDIUM confidence: approximated using the nearest</t>
  </si>
  <si>
    <t>Juli Plc, 2021-2025 financial data as recorded in Panel Data workbook</t>
  </si>
  <si>
    <t>stockanalysis.com/quote/ngx/JULI/financials/ ; stockanalysis.com/quote/ngx/JULI/market-cap/</t>
  </si>
  <si>
    <t>MEDIUM-HIGH confidence: balance sheet/income statement figures from stockanalysis.com (S&amp;P Global Market Intelligence aggregator). Share_Price_YearEnd derived by dividing year-end Market Cap by shares outstanding. Total_Liabilities exceeded Total_Assets FY2021</t>
  </si>
  <si>
    <t>Lasaco Assurance Plc, 2021-2025 financial data as recorded in Panel Data workbook</t>
  </si>
  <si>
    <t>stockanalysis.com/quote/ngx/LASACO/financials/ ; stockanalysis.com/quote/ngx/LASACO/market-cap/</t>
  </si>
  <si>
    <t>Learn Africa Plc, 2021 financial data as recorded in Panel Data workbook</t>
  </si>
  <si>
    <t>doclib.ngxgroup.com/Financial_NewsDocs/33583_LEARN_AFRICA_PLC%20_AUDITED_FINANCIAL_STATEMENT_FOR_2021.pdf</t>
  </si>
  <si>
    <t>RESOLVED, HIGH confidence: Learn Africa Plc Audited FS for year ended 31-Mar-2021, NGX doclib primary source. TA-TL=3,228,774 matches reported Total_Equity. Shares=771,450,000 (50k par value). Share_Price_YearEnd remains an open gap - stockanalysis.com's histo</t>
  </si>
  <si>
    <t>Learn Africa Plc, 2022-2025 financial data as recorded in Panel Data workbook</t>
  </si>
  <si>
    <t>stockanalysis.com/quote/ngx/LEARNAFRCA/financials/ ; stockanalysis.com/quote/ngx/LEARNAFRCA/market-cap/</t>
  </si>
  <si>
    <t>MEDIUM-HIGH confidence: balance sheet/income statement figures from stockanalysis.com (S&amp;P Global Market Intelligence aggregator), genuine FYE 31-March figures. Share_Price_YearEnd is LOW-MEDIUM confidence: approximated from the nearest PRECEDING calendar Dec-</t>
  </si>
  <si>
    <t>2021-2024</t>
  </si>
  <si>
    <t>Legend Internet Plc, 2021-2024 financial data as recorded in Panel Data workbook</t>
  </si>
  <si>
    <t>EXCLUDED BY DESIGN - not NGX-listed until 24-Apr-2025 (incorporated 17-Aug-2021). No NGX market value existed this year, so Shares_Outstanding, Share_Price_YearEnd, Total_Liabilities, Total_Assets and Net_Income are all left blank per the pre-listing exclusion</t>
  </si>
  <si>
    <t>Aggregator - stockanalysis.com + NGX listing announcement</t>
  </si>
  <si>
    <t>Legend Internet Plc, 2025 financial data as recorded in Panel Data workbook</t>
  </si>
  <si>
    <t>stockanalysis.com/quote/ngx/LEGENDINT/market-cap/</t>
  </si>
  <si>
    <t>LISTING-YEAR (2025): Shares_Outstanding=2bn per the NGX listing announcement (HIGH confidence). Share_Price_YearEnd is the nearest-year-end proxy (Dec-31-2025 market cap of 10.58B / 2bn shares = 5.29), LOW-MEDIUM confidence, reflecting only a partial year of p</t>
  </si>
  <si>
    <t>Linkage Assurance Plc, 2021-2025 financial data as recorded in Panel Data workbook</t>
  </si>
  <si>
    <t>stockanalysis.com/quote/ngx/LINKASSURE/financials/ ; stockanalysis.com/quote/ngx/LINKASSURE/market-cap/</t>
  </si>
  <si>
    <t>Livestock Feeds Plc, 2021-2025 financial data as recorded in Panel Data workbook</t>
  </si>
  <si>
    <t>stockanalysis.com/quote/ngx/LIVESTOCK/financials/ ; stockanalysis.com/quote/ngx/LIVESTOCK/market-cap/</t>
  </si>
  <si>
    <t>MEDIUM-HIGH confidence: stockanalysis.com (S&amp;P Global Market Intelligence aggregator) balance sheet/income statement/market-cap-history. Auditor Ernst &amp; Young (Big4) since 20-Sep-2018 AGM. Share_Price_YearEnd = Dec-31 market cap / period-end shares outstanding</t>
  </si>
  <si>
    <t>Living Trust Mortgage Bank Plc, 2021-2025 financial data as recorded in Panel Data workbook</t>
  </si>
  <si>
    <t>stockanalysis.com/quote/ngx/LIVINGTRUST/financials/ ; stockanalysis.com/quote/ngx/LIVINGTRUST/market-cap/</t>
  </si>
  <si>
    <t>MEDIUM-HIGH confidence: stockanalysis.com (S&amp;P Global Market Intelligence aggregator) balance sheet/income statement/market-cap-history. Auditor PKF Professional Services (non-Big4) - confirmed HIGH confidence via the company's FY2024 Audited FS Corporate Info</t>
  </si>
  <si>
    <t>AXA Mansard Insurance Plc, 2021-2025 financial data as recorded in Panel Data workbook</t>
  </si>
  <si>
    <t>stockanalysis.com/quote/ngx/MANSARD/financials/ ; stockanalysis.com/quote/ngx/MANSARD/market-cap/</t>
  </si>
  <si>
    <t xml:space="preserve">MEDIUM-HIGH confidence: stockanalysis.com (S&amp;P Global Market Intelligence aggregator) balance sheet/income statement/market-cap-history. Auditor KPMG Professional Services (Big4). Net_Income is the 'Net Income' (attributable to owners of parent) line, not the </t>
  </si>
  <si>
    <t>May &amp; Baker Nigeria Plc, 2021-2025 financial data as recorded in Panel Data workbook</t>
  </si>
  <si>
    <t>stockanalysis.com/quote/ngx/MAYBAKER/financials/ ; stockanalysis.com/quote/ngx/MAYBAKER/market-cap/</t>
  </si>
  <si>
    <t>MEDIUM-HIGH confidence: stockanalysis.com (S&amp;P Global Market Intelligence aggregator) balance sheet/income statement/market-cap-history. Auditor PKF Professional Services (non-Big4, per 2019 AFS, most recent confirmation available). Share_Price_YearEnd = Dec-3</t>
  </si>
  <si>
    <t>Mutual Benefits Assurance Plc, 2021-2025 financial data as recorded in Panel Data workbook</t>
  </si>
  <si>
    <t>stockanalysis.com/quote/ngx/MBENEFIT/financials/ ; stockanalysis.com/quote/ngx/MBENEFIT/market-cap/</t>
  </si>
  <si>
    <t>MEDIUM-HIGH confidence: stockanalysis.com (S&amp;P Global Market Intelligence aggregator) balance sheet/income statement/market-cap-history. Auditor KPMG Professional Services (Big4) - HIGH confidence, confirmed via the company's own FY2025 FS Corporate Informatio</t>
  </si>
  <si>
    <t>McNichols Consolidated Plc, 2021-2025 financial data as recorded in Panel Data workbook</t>
  </si>
  <si>
    <t>stockanalysis.com/quote/ngx/MCNICHOLS/financials/ ; stockanalysis.com/quote/ngx/MCNICHOLS/market-cap/</t>
  </si>
  <si>
    <t>MEDIUM-HIGH confidence (financials): stockanalysis.com (S&amp;P Global Market Intelligence aggregator) balance sheet/income statement/market-cap-history. Auditor name UNRESOLVED (LOW confidence) - see Firm Master Notes; a large share-count increase occurred in FY2</t>
  </si>
  <si>
    <t>Mecure Industries Plc, 2021-2022 financial data as recorded in Panel Data workbook</t>
  </si>
  <si>
    <t>EXCLUDED BY DESIGN: Mecure Industries Plc was not yet listed on the NGX in 2021 (NGX listing occurred 7-Nov-2023) - no NGX market value existed this year. Shares_Outstanding, Share_Price_YearEnd, Total_Liabilities, Total_Assets and Net_Income left blank per da</t>
  </si>
  <si>
    <t>2023-2025</t>
  </si>
  <si>
    <t>Mecure Industries Plc, 2023-2025 financial data as recorded in Panel Data workbook</t>
  </si>
  <si>
    <t>stockanalysis.com/quote/ngx/MECURE/financials/ ; stockanalysis.com/quote/ngx/MECURE/market-cap/</t>
  </si>
  <si>
    <t>MEDIUM-HIGH confidence: stockanalysis.com (S&amp;P Global Market Intelligence aggregator) balance sheet/income statement/market-cap-history. Auditor Alexander Johnson &amp; Co (non-Big4). FY2023 is the NGX listing year (7-Nov-2023) - Share_Price_YearEnd uses the neare</t>
  </si>
  <si>
    <t>Meyer Plc, 2021-2025 financial data as recorded in Panel Data workbook</t>
  </si>
  <si>
    <t>stockanalysis.com/quote/ngx/MEYER/financials/ ; stockanalysis.com/quote/ngx/MEYER/market-cap/</t>
  </si>
  <si>
    <t>MEDIUM-HIGH confidence: stockanalysis.com (S&amp;P Global Market Intelligence aggregator) balance sheet/income statement/market-cap-history. Auditor BDO Professional Services (non-Big4). FY2021-2022 show weak/negative operating income consistent with post-COVID in</t>
  </si>
  <si>
    <t>Moove Fire REIT, 2021-2025 financial data as recorded in Panel Data workbook</t>
  </si>
  <si>
    <t>EXCLUDED BY DESIGN: MOFI Real Estate Investment Fund did not exist / was not NGX-listed in 2021 (sponsor MOFI established 24-Oct-2024; fund commenced operations 17-Mar-2025; NGX-listed 11-Nov-2025) - no NGX market value existed this year. Shares_Outstanding, S</t>
  </si>
  <si>
    <t>Morison Industries Plc, 2021-2025 financial data as recorded in Panel Data workbook</t>
  </si>
  <si>
    <t>stockanalysis.com/quote/ngx/MORISON/financials/ ; stockanalysis.com/quote/ngx/MORISON/market-cap/</t>
  </si>
  <si>
    <t>MTN Nigeria Communications Plc, 2021-2025 financial data as recorded in Panel Data workbook</t>
  </si>
  <si>
    <t>stockanalysis.com/quote/ngx/MTNN/financials/ ; stockanalysis.com/quote/ngx/MTNN/market-cap/</t>
  </si>
  <si>
    <t>MEDIUM-HIGH confidence: stockanalysis.com (S&amp;P Global Market Intelligence aggregator) balance sheet/income statement/market-cap-history. Auditor Ernst &amp; Young (Big4). FY2023-2024 net losses driven by naira-devaluation-related FX losses, consistent with MTN Gro</t>
  </si>
  <si>
    <t>Multi-Trex Integrated Foods Plc, 2021-2025 financial data as recorded in Panel Data workbook</t>
  </si>
  <si>
    <t>stockanalysis.com/quote/ngx/MULTITREX/financials/ ; stockanalysis.com/quote/ngx/MULTITREX/market-cap/</t>
  </si>
  <si>
    <t>MEDIUM-HIGH confidence: stockanalysis.com (S&amp;P Global Market Intelligence aggregator) balance sheet/income statement/market-cap-history, FYE 30-April mapped directly to study Year. Auditor Baker Tilly Nigeria (non-Big4). Negative shareholders' equity in FY2021</t>
  </si>
  <si>
    <t>Multiverse Mining and Exploration Plc, 2021-2025 financial data as recorded in Panel Data workbook</t>
  </si>
  <si>
    <t>stockanalysis.com/quote/ngx/MULTIVERSE/financials/ ; stockanalysis.com/quote/ngx/MULTIVERSE/market-cap/</t>
  </si>
  <si>
    <t>MEDIUM-HIGH confidence: stockanalysis.com (S&amp;P Global Market Intelligence aggregator) balance sheet/income statement/market-cap-history. Auditor Olukayode Aina &amp; Co (non-Big4) - HIGH confidence, confirmed via the company's own website Corporate Information pag</t>
  </si>
  <si>
    <t>Nigerian Aviation Handling Company (NAHCO) Plc, 2021-2025 financial data as recorded in Panel Data workbook</t>
  </si>
  <si>
    <t>stockanalysis.com/quote/ngx/NAHCO/financials/ ; stockanalysis.com/quote/ngx/NAHCO/market-cap/</t>
  </si>
  <si>
    <t>NASCON Allied Industries Plc, 2021-2025 financial data as recorded in Panel Data workbook</t>
  </si>
  <si>
    <t>stockanalysis.com/quote/ngx/NASCON/financials/ ; stockanalysis.com/quote/ngx/NASCON/market-cap/</t>
  </si>
  <si>
    <t>Nigerian Breweries Plc, 2021-2025 financial data as recorded in Panel Data workbook</t>
  </si>
  <si>
    <t>stockanalysis.com/quote/ngx/NB/financials/ ; stockanalysis.com/quote/ngx/NB/market-cap/</t>
  </si>
  <si>
    <t>MEDIUM-HIGH confidence: stockanalysis.com (S&amp;P Global Market Intelligence aggregator) balance sheet/income statement/market-cap-history. Auditor for FY2021: Deloitte &amp; Touche (Big4).</t>
  </si>
  <si>
    <t>NCR (Nigeria) Plc, 2021-2025 financial data as recorded in Panel Data workbook</t>
  </si>
  <si>
    <t>stockanalysis.com/quote/ngx/NCR/financials/ ; stockanalysis.com/quote/ngx/NCR/market-cap/</t>
  </si>
  <si>
    <t>MEDIUM-HIGH confidence: stockanalysis.com (S&amp;P Global Market Intelligence aggregator) balance sheet/income statement/market-cap-history. Auditor Grant Thornton (non-Big4). Persistently negative Shareholders' Equity (genuine financial distress) across the study</t>
  </si>
  <si>
    <t>Company IR site - Annual Report (primary; 15-month transition period, FY2021 as comparative column)</t>
  </si>
  <si>
    <t>Neimeth International Pharmaceuticals Plc, 2021 financial data as recorded in Panel Data workbook</t>
  </si>
  <si>
    <t>neimethplc.com.ng/wp-content/uploads/2023/05/NEIMETHS-2022-Annual-Report-and-Accounts-Final_.pdf</t>
  </si>
  <si>
    <t>RESOLVED, HIGH confidence: FY2022 transition-period annual report (15-month period 1-Oct-2021 to 31-Dec-2022, following a FYE change from September to December) presents FY2021 (12 months to 30-Sep-2021) as its comparative column. TA-TL=1,414,067 matches repor</t>
  </si>
  <si>
    <t>Neimeth International Pharmaceuticals Plc, 2022-2025 financial data as recorded in Panel Data workbook</t>
  </si>
  <si>
    <t>stockanalysis.com/quote/ngx/NEIMETH/financials/ ; stockanalysis.com/quote/ngx/NEIMETH/market-cap/</t>
  </si>
  <si>
    <t>NEM Insurance Plc, 2021-2025 financial data as recorded in Panel Data workbook</t>
  </si>
  <si>
    <t>stockanalysis.com/quote/ngx/NEM/financials/ ; stockanalysis.com/quote/ngx/NEM/market-cap/</t>
  </si>
  <si>
    <t>Nestle Nigeria Plc, 2021-2025 financial data as recorded in Panel Data workbook</t>
  </si>
  <si>
    <t>stockanalysis.com/quote/ngx/NESTLE/financials/ ; stockanalysis.com/quote/ngx/NESTLE/market-cap/</t>
  </si>
  <si>
    <t>MEDIUM-HIGH confidence: stockanalysis.com (S&amp;P Global Market Intelligence aggregator) balance sheet/income statement/market-cap-history. Auditor Ernst &amp; Young (Big4).</t>
  </si>
  <si>
    <t>Nigerian Exchange Group Plc, 2021-2025 financial data as recorded in Panel Data workbook</t>
  </si>
  <si>
    <t>stockanalysis.com/quote/ngx/NGXGROUP/financials/ ; stockanalysis.com/quote/ngx/NGXGROUP/market-cap/</t>
  </si>
  <si>
    <t>MEDIUM-HIGH confidence: stockanalysis.com (S&amp;P Global Market Intelligence aggregator) balance sheet/income statement/market-cap-history. Auditor Ernst &amp; Young (Big4). Listed by introduction 15-Oct-2021 (before the FY2021 year-end, so included per the mid-year-</t>
  </si>
  <si>
    <t>Nigeria Infrastructure Debt Fund, 2021-2025 financial data as recorded in Panel Data workbook</t>
  </si>
  <si>
    <t>EXCLUDED BY DESIGN: NIDF was not yet NGX-listed at this fiscal year-end (listed 5-Oct-2023). Shares_Outstanding, Share_Price_YearEnd, Total_Liabilities, Total_Assets and Net_Income left blank per the pre-listing exclusion convention. | EXCLUDED FROM 'Final Sam</t>
  </si>
  <si>
    <t>Northern Nigeria Flour Mills Plc, Annual Report for year ended 31-Mar-2021 (NGX doclib primary, not company site as originally logged)</t>
  </si>
  <si>
    <t>doclib.ngxgroup.com/Financial_NewsDocs/33592_N_NIG_FLOUR_MILLS_PLC%20_AUDITED_FINANCIAL_STATEMENT_F.pdf</t>
  </si>
  <si>
    <t>RESOLVED, HIGH confidence: NNFM 2021 Annual Report &amp; Accounts (audited, KPMG + Ahmed Zakari &amp; Co.), from the company's own site. TA-TL=2,787,821 vs. reported equity components summing to 2,787,771 - an immaterial N50k rounding artifact in the source PDF itself</t>
  </si>
  <si>
    <t>Northern Nigeria Flour Mills Plc, 2022-2025 financial data as recorded in Panel Data workbook</t>
  </si>
  <si>
    <t>stockanalysis.com/quote/ngx/NNFM/financials/ ; stockanalysis.com/quote/ngx/NNFM/market-cap/</t>
  </si>
  <si>
    <t>MEDIUM-HIGH confidence: stockanalysis.com (S&amp;P Global Market Intelligence aggregator) balance sheet/income statement, FYE 31-March mapped directly to study Year. Share_Price_YearEnd from the nearest PRECEDING calendar Dec-31 market cap. Joint auditors KPMG Pro</t>
  </si>
  <si>
    <t>NPF Microfinance Bank Plc, 2021-2025 financial data as recorded in Panel Data workbook</t>
  </si>
  <si>
    <t>stockanalysis.com/quote/ngx/NPFMCRFBK/financials/ ; stockanalysis.com/quote/ngx/NPFMCRFBK/market-cap/</t>
  </si>
  <si>
    <t>MEDIUM-HIGH confidence for financials: stockanalysis.com (S&amp;P Global Market Intelligence aggregator) balance sheet/income statement/market-cap-history. LOW confidence on auditor: pre-FY2023 auditor unresolved after multiple search attempts - Big4_Auditor defau</t>
  </si>
  <si>
    <t>UPDC / Nigeria Real Estate Investment Trust, 2021-2025 financial data as recorded in Panel Data workbook</t>
  </si>
  <si>
    <t>MEDIUM-HIGH confidence: stockanalysis.com (S&amp;P Global Market Intelligence aggregator, ticker UPDCREIT) balance sheet/income statement/market-cap-history. Auditor Forvis Mazars (non-Big4). Genuine reported net loss (-N4.48bn), attributed by the company to pande</t>
  </si>
  <si>
    <t>Secure Electronic Technology Plc, 2021-2025 financial data as recorded in Panel Data workbook</t>
  </si>
  <si>
    <t>stockanalysis.com/quote/ngx/NSLTECH/financials/ ; stockanalysis.com/quote/ngx/NSLTECH/market-cap/</t>
  </si>
  <si>
    <t>MEDIUM-HIGH confidence. Source: stockanalysis.com (S&amp;P Global Market Intelligence) balance sheet/income statement/market-cap-history for FY2021. Total_Common_Shares_Outstanding constant at 5,632m across window. Share_Price_YearEnd = Dec-2021 market cap / share</t>
  </si>
  <si>
    <t>Oando Plc, 2021-2025 financial data as recorded in Panel Data workbook</t>
  </si>
  <si>
    <t>stockanalysis.com/quote/ngx/OANDO/financials/ ; stockanalysis.com/quote/ngx/OANDO/market-cap/</t>
  </si>
  <si>
    <t>MEDIUM-HIGH confidence. Source: stockanalysis.com (S&amp;P Global Market Intelligence) balance sheet/income statement/market-cap-history for FY2021. Auditor this year: Ernst &amp; Young (Big4) (auditor-transition-within-window convention). Share_Price_YearEnd = Dec-20</t>
  </si>
  <si>
    <t>The Okomu Oil Palm Company Plc, 2021-2025 financial data as recorded in Panel Data workbook</t>
  </si>
  <si>
    <t>stockanalysis.com/quote/ngx/OKOMUOIL/financials/ ; stockanalysis.com/quote/ngx/OKOMUOIL/market-cap/</t>
  </si>
  <si>
    <t>MEDIUM-HIGH confidence. Source: stockanalysis.com (S&amp;P Global Market Intelligence) balance sheet/income statement/market-cap-history for FY2021. Total_Common_Shares_Outstanding constant at 953.91m. Share_Price_YearEnd = Dec-2021 market cap / shares outstanding</t>
  </si>
  <si>
    <t>Omatek Ventures Plc, 2021-2025 financial data as recorded in Panel Data workbook</t>
  </si>
  <si>
    <t>stockanalysis.com/quote/ngx/OMATEK/financials/ ; stockanalysis.com/quote/ngx/OMATEK/market-cap/</t>
  </si>
  <si>
    <t>LOW-MEDIUM (stale/flat year-end price, minimal trading activity) confidence. Source: stockanalysis.com (S&amp;P Global Market Intelligence) balance sheet/income statement/market-cap-history for FY2021. Total_Common_Shares_Outstanding constant at 2,942m across wind</t>
  </si>
  <si>
    <t>Pharma-Deko Plc, 2021-2025 financial data as recorded in Panel Data workbook</t>
  </si>
  <si>
    <t>stockanalysis.com/quote/ngx/PHARMDEKO/financials/ ; stockanalysis.com/quote/ngx/PHARMDEKO/market-cap/</t>
  </si>
  <si>
    <t>MEDIUM-HIGH (audited NGX-doclib filing). Source: stockanalysis.com (S&amp;P Global Market Intelligence) balance sheet/income statement/market-cap-history for FY2021. Auditor SIAO Partners (non-Big4). | EXCLUDED FROM 'Final Sample' (stricter, 17-Aug-2026): Conditio</t>
  </si>
  <si>
    <t>Premier Paints Plc, 2021-2025 financial data as recorded in Panel Data workbook</t>
  </si>
  <si>
    <t>stockanalysis.com/quote/ngx/PREMPAINTS/financials/ ; stockanalysis.com/quote/ngx/PREMPAINTS/market-cap/</t>
  </si>
  <si>
    <t>Presco Plc, 2021-2025 financial data as recorded in Panel Data workbook</t>
  </si>
  <si>
    <t>stockanalysis.com/quote/ngx/PRESCO/financials/ ; stockanalysis.com/quote/ngx/PRESCO/market-cap/</t>
  </si>
  <si>
    <t>MEDIUM-HIGH confidence. Source: stockanalysis.com (S&amp;P Global Market Intelligence) balance sheet/income statement/market-cap-history for FY2021. Auditor this year: Deloitte &amp; Touche (Big4). Share_Price_YearEnd = Dec-2021 market cap / period-end shares outstand</t>
  </si>
  <si>
    <t>Prestige Assurance Plc, 2021-2025 financial data as recorded in Panel Data workbook</t>
  </si>
  <si>
    <t>stockanalysis.com/quote/ngx/PRESTIGE/financials/ ; stockanalysis.com/quote/ngx/PRESTIGE/market-cap/</t>
  </si>
  <si>
    <t>PZ Cussons Nigeria Plc, 2021-2025 financial data as recorded in Panel Data workbook</t>
  </si>
  <si>
    <t>stockanalysis.com/quote/ngx/PZ/financials/ ; stockanalysis.com/quote/ngx/PZ/market-cap/</t>
  </si>
  <si>
    <t>LOW-MEDIUM (fallback: true nearest-preceding Dec-2020 unavailable, used Dec-2021 instead). Source: stockanalysis.com (S&amp;P Global Market Intelligence) balance sheet/income statement (FYE 31-May-2021, mapped directly to study Year=2021) and market-cap-history. A</t>
  </si>
  <si>
    <t>Company IR site - AGM press release (primary; matches audited FYE 31-Mar-2021 figures)</t>
  </si>
  <si>
    <t>Red Star Express Plc, "Red Star Reports N9.46bn Turnover At 2021 AGM" (company website, Sep-2021), confirming FYE 31-Mar-2021 audited results</t>
  </si>
  <si>
    <t>redstarplc.com/red-star-reports-n9-46bn-turnover-at-2021-agm/</t>
  </si>
  <si>
    <t>RESOLVED, HIGH confidence: audited FYE 31-Mar-2021 results per THISDAY's detailed coverage of the audited financial statements (Oct-2021). Total_Assets=7,540,000 (non-current 3,050,000 + current 4,490,000), Total_Liabilities=3,310,000 (current 2,720,000 + non-</t>
  </si>
  <si>
    <t>Red Star Express Plc, 2022-2025 financial data as recorded in Panel Data workbook</t>
  </si>
  <si>
    <t>stockanalysis.com/quote/ngx/REDSTAREX/financials/ ; stockanalysis.com/quote/ngx/REDSTAREX/market-cap/</t>
  </si>
  <si>
    <t xml:space="preserve">MEDIUM confidence. Source: stockanalysis.com (S&amp;P Global Market Intelligence) balance sheet/income statement (FYE 31-Mar-2022, mapped directly to study Year=2022) and market-cap-history (nearest-preceding-Dec-31 convention). Auditor KPMG Professional Services </t>
  </si>
  <si>
    <t>Regency Alliance Insurance Plc, 2021-2025 financial data as recorded in Panel Data workbook</t>
  </si>
  <si>
    <t>stockanalysis.com/quote/ngx/REGALINS/financials/ ; stockanalysis.com/quote/ngx/REGALINS/market-cap/</t>
  </si>
  <si>
    <t>Ronchess Global Resources Plc, 2021 financial data as recorded in Panel Data workbook</t>
  </si>
  <si>
    <t>stockanalysis.com/quote/ngx/RONCHESS/financials/ ; stockanalysis.com/quote/ngx/RONCHESS/market-cap/</t>
  </si>
  <si>
    <t>RESOLVED - TA/TL/NI/Shares from RONCHESS GLOBAL RESOURCES PLC FY2022 Audited Financial Statements (comparative FY2021 column), HIGH confidence. Source: NGX doclib audited financial statements (primary source). Share_Price_YearEnd=81.00 (flat/illiquid Growth Bo</t>
  </si>
  <si>
    <t>Ronchess Global Resources Plc, 2022-2023 financial data as recorded in Panel Data workbook</t>
  </si>
  <si>
    <t>doclib.ngxgroup.com/Financial_NewsDocs/37906_RONCHESS_GLOBAL_RESOURCES_PLC-_QUARTER_5_-_FINANCIAL_STATEMENT_FOR_2022_FINANCIAL_STATEMENTS_MARCH_2023.pdf</t>
  </si>
  <si>
    <t>RESOLVED - TA/TL/NI/Shares from RONCHESS GLOBAL RESOURCES PLC FY2022 Audited Financial Statements, HIGH confidence. Source: NGX doclib audited financial statements (primary source). Share_Price_YearEnd=81.00, LOW-MEDIUM confidence (see FY2021 note - flat/illiq</t>
  </si>
  <si>
    <t>Ronchess Global Resources Plc, 2024-2025 financial data as recorded in Panel Data workbook</t>
  </si>
  <si>
    <t>DATA GAP: Total_Liabilities/Total_Assets/Net_Income and Share_Price_YearEnd for FY2024 could not be reliably sourced - stockanalysis.com has no balance-sheet/income-statement coverage for this ticker, and its market-cap-history is a static figure (current pric</t>
  </si>
  <si>
    <t>Royal Exchange Plc, 2021-2025 financial data as recorded in Panel Data workbook</t>
  </si>
  <si>
    <t>stockanalysis.com/quote/ngx/ROYALEX/financials/ ; stockanalysis.com/quote/ngx/ROYALEX/market-cap/</t>
  </si>
  <si>
    <t>R.T. Briscoe Nigeria Plc, 2021-2025 financial data as recorded in Panel Data workbook</t>
  </si>
  <si>
    <t>stockanalysis.com/quote/ngx/RTBRISCOE/financials/ ; stockanalysis.com/quote/ngx/RTBRISCOE/market-cap/</t>
  </si>
  <si>
    <t>SCOA Nigeria Plc, 2021-2025 financial data as recorded in Panel Data workbook</t>
  </si>
  <si>
    <t>stockanalysis.com/quote/ngx/SCOA/financials/ ; stockanalysis.com/quote/ngx/SCOA/market-cap/</t>
  </si>
  <si>
    <t>SCOA Nigeria Plc FY2021: TA/TL/NI from stockanalysis.com balance sheet/income statement (millions NGN, x1000 applied), MEDIUM-HIGH confidence. Shares_Outstanding (649.83m) assumed constant across FY2021-2025 (no share-count change identified). Share_Price_Year</t>
  </si>
  <si>
    <t>Seplat Energy Plc, 2021-2024 financial data as recorded in Panel Data workbook</t>
  </si>
  <si>
    <t>stockanalysis.com/quote/ngx/SEPLAT/financials/ ; stockanalysis.com/quote/ngx/SEPLAT/market-cap/</t>
  </si>
  <si>
    <t>Seplat Energy Plc FY2021: DUAL-CURRENCY-REPORTING SPECIAL CASE. Total_Assets ($3163M USD) and Total_Liabilities ($1456M USD) converted to NGN'000 using approximate CBN/NFEM year-end closing rate of 413.29 NGN/USD (WebSearch-sourced, not independently cross-ver</t>
  </si>
  <si>
    <t>Company results coverage (media/press)</t>
  </si>
  <si>
    <t>Seplat Energy Plc, 2025 financial data as recorded in Panel Data workbook</t>
  </si>
  <si>
    <t>Seplat Energy Plc FY2025: DUAL-CURRENCY-REPORTING SPECIAL CASE. Total_Assets ($6082M USD) and Total_Liabilities ($4240M USD) converted to NGN'000 using approximate CBN/NFEM year-end closing rate of 1450.3 NGN/USD (WebSearch-sourced, not independently cross-ver</t>
  </si>
  <si>
    <t>SFS Real Estate Investment Trust, 2021-2025 financial data as recorded in Panel Data workbook</t>
  </si>
  <si>
    <t>SFS Real Estate Investment Trust FY2021: NON-STANDARD ENTITY - REIT convention applied (per MOFIREIF/NIDF/NREIT precedent). Shares_Outstanding = 20,000,000 Units in Issue (constant across FY2021-2025, HIGH confidence). Share_Price_YearEnd derived from stockana</t>
  </si>
  <si>
    <t>Skyway Aviation Handling Company Plc, 2021-2025 financial data as recorded in Panel Data workbook</t>
  </si>
  <si>
    <t>stockanalysis.com/quote/ngx/SKYAVN/financials/ ; stockanalysis.com/quote/ngx/SKYAVN/market-cap/</t>
  </si>
  <si>
    <t>Skyway Aviation Handling Company Plc (SAHCO) FY2021: TA/TL/NI from stockanalysis.com balance sheet/income statement (millions NGN, x1000 applied), MEDIUM-HIGH confidence. Shares_Outstanding (1,354m) constant across FY2021-2025. Share_Price_YearEnd = stockanaly</t>
  </si>
  <si>
    <t>Sovereign Trust Insurance Plc, 2021-2025 financial data as recorded in Panel Data workbook</t>
  </si>
  <si>
    <t>stockanalysis.com/quote/ngx/SOVRENINS/financials/ ; stockanalysis.com/quote/ngx/SOVRENINS/market-cap/</t>
  </si>
  <si>
    <t xml:space="preserve">Sovereign Trust Insurance Plc FY2021: TA/TL/NI from stockanalysis.com balance sheet/income statement (millions NGN, x1000 applied), MEDIUM-HIGH confidence. Shares_Outstanding: 8,593m (pre-capital-raise). Share_Price_YearEnd = stockanalysis.com year-end market </t>
  </si>
  <si>
    <t>N/A - Documented gap (NGX trading suspended since 2018)</t>
  </si>
  <si>
    <t>Staco Insurance Plc, 2021-2025 financial data as recorded in Panel Data workbook</t>
  </si>
  <si>
    <t>CONFIRMED STRUCTURAL GAP (re-verified this session via NGX doclib + X-Compliance records): STACO Insurance suspended from NGX trading since 5-Jul-2018; delisting process approved Jun-2024. Audited backlog only caught up through FY2020 (filed as late as Feb-202</t>
  </si>
  <si>
    <t>Stanbic IBTC Holdings Plc, 2021-2025 financial data as recorded in Panel Data workbook</t>
  </si>
  <si>
    <t>stockanalysis.com/quote/ngx/STANBIC/financials/ ; stockanalysis.com/quote/ngx/STANBIC/market-cap/</t>
  </si>
  <si>
    <t>Stanbic IBTC Holdings Plc FY2021: TA/TL/NI from stockanalysis.com balance sheet/income statement (millions NGN, x1000 applied), HIGH confidence (Tier-1 bank, well-covered). Shares_Outstanding: 12,957m. Share_Price_YearEnd = stockanalysis.com year-end market ca</t>
  </si>
  <si>
    <t>Sterling Financial Holdings Company Plc, 2021-2025 financial data as recorded in Panel Data workbook</t>
  </si>
  <si>
    <t>stockanalysis.com/quote/ngx/STERLINGNG/financials/ ; stockanalysis.com/quote/ngx/STERLINGNG/market-cap/</t>
  </si>
  <si>
    <t>Sterling Financial Holdings Company Plc FY2021: TA/TL/NI from stockanalysis.com balance sheet/income statement (millions NGN, x1000 applied), HIGH confidence. Shares_Outstanding: 28,790m. Share_Price_YearEnd = stockanalysis.com year-end market cap / shares, ME</t>
  </si>
  <si>
    <t>Sunu Assurances Nigeria Plc, 2021-2025 financial data as recorded in Panel Data workbook</t>
  </si>
  <si>
    <t>stockanalysis.com/quote/ngx/SUNUASSUR/financials/ ; stockanalysis.com/quote/ngx/SUNUASSUR/market-cap/</t>
  </si>
  <si>
    <t xml:space="preserve">Sunu Assurances Nigeria Plc FY2021: TA/TL/NI from stockanalysis.com balance sheet/income statement (millions NGN, x1000 applied), MEDIUM-HIGH confidence. Shares_Outstanding (5,811m) constant across FY2021-2025. Share_Price_YearEnd = stockanalysis.com year-end </t>
  </si>
  <si>
    <t>AfricanFinancials - aggregator/document index</t>
  </si>
  <si>
    <t>Tantalizers Plc, 2021-2025 financial data as recorded in Panel Data workbook</t>
  </si>
  <si>
    <t>Tantalizers Plc FY2021: TA/TL/NI from stockanalysis.com balance sheet/income statement (millions NGN, x1000 applied), MEDIUM-HIGH confidence. Shares_Outstanding: 3,212m. Share_Price_YearEnd = stockanalysis.com year-end market cap / shares. Dec-2021/Dec-2022 ma</t>
  </si>
  <si>
    <t>Thomas Wyatt Nigeria Plc, 2021 financial data as recorded in Panel Data workbook</t>
  </si>
  <si>
    <t>RE-ATTEMPTED this session, STILL UNRESOLVED: the FY2021 Annual Report (year ended 31-Mar-2021) genuinely exists (confirmed via AfricanFinancials, published 16-Sep-2022 as a late catch-up filing) but is hosted only as a Google Drive embed with no extractable te</t>
  </si>
  <si>
    <t>Thomas Wyatt Nigeria Plc, 2022-2023 financial data as recorded in Panel Data workbook</t>
  </si>
  <si>
    <t>stockanalysis.com/quote/ngx/THOMASWY/financials/ ; stockanalysis.com/quote/ngx/THOMASWY/market-cap/</t>
  </si>
  <si>
    <t>Thomas Wyatt Nigeria Plc Study Year 2022: NON-STANDARD FISCAL YEAR END (1-Apr to 31-Mar) - FYE-labelled year mapped directly to study Year per the established FYE-mapping convention (this Study Year = FY2022, period ending 31-Mar-2022). TA/TL/NI from stockanal</t>
  </si>
  <si>
    <t>Thomas Wyatt Nigeria Plc, 2024 financial data as recorded in Panel Data workbook</t>
  </si>
  <si>
    <t>Thomas Wyatt Nigeria Plc Study Year 2024: NON-STANDARD FISCAL YEAR END (1-Apr to 31-Mar) - FYE-labelled year mapped directly to study Year per the established FYE-mapping convention (this Study Year = FY2024, period ending 31-Mar-2024). TA/TL/NI from stockanal</t>
  </si>
  <si>
    <t>Thomas Wyatt Nigeria Plc, 2025 financial data as recorded in Panel Data workbook</t>
  </si>
  <si>
    <t>Thomas Wyatt Nigeria Plc Study Year 2025: NON-STANDARD FISCAL YEAR END (1-Apr to 31-Mar) - FYE-labelled year mapped directly to study Year per the established FYE-mapping convention (this Study Year = FY2025, period ending 31-Mar-2025). TA/TL/NI from stockanal</t>
  </si>
  <si>
    <t>The Initiates Plc, 2021-2025 financial data as recorded in Panel Data workbook</t>
  </si>
  <si>
    <t>stockanalysis.com/quote/ngx/TIP/financials/ ; stockanalysis.com/quote/ngx/TIP/market-cap/</t>
  </si>
  <si>
    <t>The Initiates Plc FY2021: TA/TL/NI from stockanalysis.com balance sheet/income statement (millions NGN, x1000 applied). Shares_Outstanding = period-end Total Common Shares Outstanding. Share_Price_YearEnd = stockanalysis.com year-end market cap / shares. Audit</t>
  </si>
  <si>
    <t>TotalEnergies Marketing Nigeria Plc, 2021-2025 financial data as recorded in Panel Data workbook</t>
  </si>
  <si>
    <t>stockanalysis.com/quote/ngx/TOTAL/financials/ ; stockanalysis.com/quote/ngx/TOTAL/market-cap/</t>
  </si>
  <si>
    <t>TotalEnergies Marketing Nigeria Plc FY2021: TA/TL/NI from stockanalysis.com balance sheet/income statement (millions NGN, x1000 applied). Shares_Outstanding = period-end Total Common Shares Outstanding. Share_Price_YearEnd = stockanalysis.com year-end market c</t>
  </si>
  <si>
    <t>Transcorp Hotels Plc, 2021-2025 financial data as recorded in Panel Data workbook</t>
  </si>
  <si>
    <t>stockanalysis.com/quote/ngx/TRANSCOHOT/financials/ ; stockanalysis.com/quote/ngx/TRANSCOHOT/market-cap/</t>
  </si>
  <si>
    <t>Transcorp Hotels Plc FY2021: TA/TL/NI from stockanalysis.com balance sheet/income statement (millions NGN, x1000 applied). Shares_Outstanding = period-end Total Common Shares Outstanding. Share_Price_YearEnd = stockanalysis.com year-end market cap / shares. Au</t>
  </si>
  <si>
    <t>Transnational Corporation of Nigeria Plc, 2021-2025 financial data as recorded in Panel Data workbook</t>
  </si>
  <si>
    <t>stockanalysis.com/quote/ngx/TRANSCORP/financials/ ; stockanalysis.com/quote/ngx/TRANSCORP/market-cap/</t>
  </si>
  <si>
    <t>Transnational Corporation of Nigeria Plc FY2021: TA/TL/NI from stockanalysis.com balance sheet/income statement (millions NGN, x1000 applied). Shares_Outstanding = period-end Total Common Shares Outstanding. Share_Price_YearEnd = stockanalysis.com year-end mar</t>
  </si>
  <si>
    <t>Trans-Nationwide Express Plc, 2021-2025 financial data as recorded in Panel Data workbook</t>
  </si>
  <si>
    <t>stockanalysis.com/quote/ngx/TRANSEXPR/financials/ ; stockanalysis.com/quote/ngx/TRANSEXPR/market-cap/</t>
  </si>
  <si>
    <t>Trans-Nationwide Express Plc FY2021: TA/TL/NI from stockanalysis.com balance sheet/income statement (millions NGN, x1000 applied). Shares_Outstanding = period-end Total Common Shares Outstanding. Share_Price_YearEnd = stockanalysis.com year-end market cap / sh</t>
  </si>
  <si>
    <t>N/A - pre-listing / private entity (no public filings)</t>
  </si>
  <si>
    <t>Transcorp Power Plc, 2021-2023 financial data as recorded in Panel Data workbook</t>
  </si>
  <si>
    <t>Transcorp Power Plc FY2021: DATA GAP - company operated as a private entity (Transcorp Ughelli Power Limited) until its Jan-2024 renaming and Mar-2024 NGX listing by introduction; no publicly-reported audited financial statements or market price exist for FY20</t>
  </si>
  <si>
    <t>Transcorp Power Plc, 2024-2025 financial data as recorded in Panel Data workbook</t>
  </si>
  <si>
    <t>stockanalysis.com/quote/ngx/TRANSPOWER/financials/ ; stockanalysis.com/quote/ngx/TRANSPOWER/market-cap/</t>
  </si>
  <si>
    <t>Transcorp Power Plc FY2024: TA/TL/NI from stockanalysis.com balance sheet/income statement (millions NGN, x1000 applied). Shares_Outstanding = period-end Total Common Shares Outstanding. Share_Price_YearEnd = stockanalysis.com year-end market cap / shares. Aud</t>
  </si>
  <si>
    <t>NGX doclib - Annual Report / Financial Statement (primary, partial)</t>
  </si>
  <si>
    <t>Trippleg / Triple Gee &amp; Co Plc, 2021 financial data as recorded in Panel Data workbook</t>
  </si>
  <si>
    <t>doclib.ngxgroup.com/Financial_NewsDocs/33521_TRIPPLE_GEE_AND_COMPANY_PLC%20_AUDITED_FINANCIAL_STATEM.pdf ; doclib.ngxgroup.com/Financial_NewsDocs/38848_TRIPPLE_GEE_AND_COMPANY_PLC.-_QUARTER_5_-_FINANCIAL_STATEMENT_FOR_2022_FINANCIAL_STATEMENTS_JUNE_2023.pdf (FY2023 AFS 5-year summary table, cross-validation)</t>
  </si>
  <si>
    <t>PARTIALLY RESOLVED: Net_Income=85,880, HIGH confidence (cross-validated across two independent NGX doclib documents - the FY2021 AFS itself and the FY2023 AFS's own 5-year summary table). Total_Assets/Total_Liabilities remain an open gap: the FY2021 SOFP filin</t>
  </si>
  <si>
    <t>Trippleg / Triple Gee &amp; Co Plc, 2022-2025 financial data as recorded in Panel Data workbook</t>
  </si>
  <si>
    <t>stockanalysis.com/quote/ngx/TRIPPLEG/financials/ ; stockanalysis.com/quote/ngx/TRIPPLEG/market-cap/</t>
  </si>
  <si>
    <t>Tripple Gee &amp; Company Plc FY2022: TA/TL/NI from stockanalysis.com balance sheet/income statement (millions NGN, x1000 applied). Shares_Outstanding = period-end Total Common Shares Outstanding. Share_Price_YearEnd = stockanalysis.com year-end market cap / share</t>
  </si>
  <si>
    <t>UAC of Nigeria Plc, 2021-2025 financial data as recorded in Panel Data workbook</t>
  </si>
  <si>
    <t>stockanalysis.com/quote/ngx/UACN/financials/ ; stockanalysis.com/quote/ngx/UACN/market-cap/</t>
  </si>
  <si>
    <t>UAC of Nigeria Plc FY2021: TA/TL/NI from stockanalysis.com balance sheet/income statement (millions NGN, x1000 applied). Shares_Outstanding = period-end Total Common Shares Outstanding. Share_Price_YearEnd = stockanalysis.com year-end market cap / shares. Audi</t>
  </si>
  <si>
    <t>United Bank for Africa Plc, 2021-2025 financial data as recorded in Panel Data workbook</t>
  </si>
  <si>
    <t>stockanalysis.com/quote/ngx/UBA/financials/ ; stockanalysis.com/quote/ngx/UBA/market-cap/</t>
  </si>
  <si>
    <t>United Bank for Africa Plc FY2021: TA/TL/NI from stockanalysis.com balance sheet/income statement (millions NGN, x1000 applied). Shares_Outstanding = period-end Total Common Shares Outstanding. Share_Price_YearEnd = stockanalysis.com year-end market cap / shar</t>
  </si>
  <si>
    <t>United Capital Plc, 2021-2025 financial data as recorded in Panel Data workbook</t>
  </si>
  <si>
    <t>stockanalysis.com/quote/ngx/UCAP/financials/ ; stockanalysis.com/quote/ngx/UCAP/market-cap/</t>
  </si>
  <si>
    <t>United Capital Plc FY2021: TA/TL/NI from stockanalysis.com balance sheet/income statement (millions NGN, x1000 applied). Shares_Outstanding = period-end Total Common Shares Outstanding. Share_Price_YearEnd = stockanalysis.com year-end market cap / shares. Audi</t>
  </si>
  <si>
    <t>Union Homes REIT, 2021-2025 financial data as recorded in Panel Data workbook</t>
  </si>
  <si>
    <t>UH Real Estate Investment Trust (Union Homes REIT) FY2021: TA/TL/NI from stockanalysis.com (millions NGN, x1000 applied). Shares_Outstanding = 188.13m Units in Issue (REIT convention, constant). Share_Price_YearEnd = market cap / units, MEDIUM-LOW confidence (</t>
  </si>
  <si>
    <t>Unilever Nigeria Plc, 2021-2025 financial data as recorded in Panel Data workbook</t>
  </si>
  <si>
    <t>stockanalysis.com/quote/ngx/UNILEVER/financials/ ; stockanalysis.com/quote/ngx/UNILEVER/market-cap/</t>
  </si>
  <si>
    <t>Unilever Nigeria Plc FY2021: TA/TL/NI from stockanalysis.com balance sheet/income statement (millions NGN, x1000 applied). Shares_Outstanding = period-end Total Common Shares Outstanding. Share_Price_YearEnd = stockanalysis.com year-end market cap / shares. Au</t>
  </si>
  <si>
    <t>Union Dicon Salt Plc, 2021-2025 financial data as recorded in Panel Data workbook</t>
  </si>
  <si>
    <t>stockanalysis.com/quote/ngx/UNIONDICON/financials/ ; stockanalysis.com/quote/ngx/UNIONDICON/market-cap/</t>
  </si>
  <si>
    <t>Union Dicon Salt Plc FY2021: TA/TL/NI from stockanalysis.com balance sheet/income statement (millions NGN, x1000 applied). Shares_Outstanding = period-end Total Common Shares Outstanding. Share_Price_YearEnd = stockanalysis.com year-end market cap / shares. Au</t>
  </si>
  <si>
    <t>Unity Bank Plc, 2021-2024 financial data as recorded in Panel Data workbook</t>
  </si>
  <si>
    <t>stockanalysis.com/quote/ngx/UNITYBNK/financials/ ; stockanalysis.com/quote/ngx/UNITYBNK/market-cap/</t>
  </si>
  <si>
    <t>Unity Bank Plc FY2021: TA/TL/NI from stockanalysis.com balance sheet/income statement (millions NGN, x1000 applied). Shares_Outstanding = period-end Total Common Shares Outstanding. Share_Price_YearEnd = stockanalysis.com year-end market cap / shares. Auditor:</t>
  </si>
  <si>
    <t>N/A - Documented gap (merger completed, entity dissolved)</t>
  </si>
  <si>
    <t>Unity Bank Plc, 2025 financial data as recorded in Panel Data workbook</t>
  </si>
  <si>
    <t>CONFIRMED genuine structural gap (merger completed): the Providus Bank-Unity Bank Scheme of Merger (approved Sep-2025) has COMPLETED - unitybankng.com now redirects to the combined 'ProvidusUnity Bank' entity. A '2025 Annual Report' filed under the legacy UNIT</t>
  </si>
  <si>
    <t>Universal Insurance Plc, 2021-2025 financial data as recorded in Panel Data workbook</t>
  </si>
  <si>
    <t>stockanalysis.com/quote/ngx/UNIVINSURE/financials/ ; stockanalysis.com/quote/ngx/UNIVINSURE/market-cap/</t>
  </si>
  <si>
    <t>Universal Insurance Plc FY2021: TA/TL/NI from stockanalysis.com balance sheet/income statement (millions NGN, x1000 applied). Shares_Outstanding = period-end Total Common Shares Outstanding. Share_Price_YearEnd = stockanalysis.com year-end market cap / shares.</t>
  </si>
  <si>
    <t>UPDC Plc, 2021-2025 financial data as recorded in Panel Data workbook</t>
  </si>
  <si>
    <t>stockanalysis.com/quote/ngx/UPDC/financials/ ; stockanalysis.com/quote/ngx/UPDC/market-cap/</t>
  </si>
  <si>
    <t>UPDC Plc FY2021: TA/TL/NI from stockanalysis.com balance sheet/income statement (millions NGN, x1000 applied). Shares_Outstanding = period-end Total Common Shares Outstanding. Share_Price_YearEnd = stockanalysis.com year-end market cap / shares. Auditor: UNRES</t>
  </si>
  <si>
    <t>UPDC Real Estate Investment Trust, 2021-2025 financial data as recorded in Panel Data workbook</t>
  </si>
  <si>
    <t>UPDC Real Estate Investment Trust FY2021: TA/TL/NI from stockanalysis.com balance sheet/income statement (millions NGN, x1000 applied). Shares_Outstanding = period-end Total Common Shares Outstanding. Share_Price_YearEnd = stockanalysis.com year-end market cap</t>
  </si>
  <si>
    <t>University Press Plc, 2021 financial data as recorded in Panel Data workbook</t>
  </si>
  <si>
    <t>doclib.ngxgroup.com/Financial_NewsDocs/33534_UNIVERSITY_PRESS_PLC%20_AUDITED_FINANCIAL_STATEMENT_FOR.pdf</t>
  </si>
  <si>
    <t>RESOLVED, HIGH confidence - University Press Plc FY2021 (FYE 31-Mar-2021) Audited FS, NGX doclib primary source. TA-TL=2,660,479 matches reported 'Total net assets' in the same segment note (a separate 'Total equity' note shows 2,663,962, a 0.13% variance - us</t>
  </si>
  <si>
    <t>University Press Plc, 2022-2025 financial data as recorded in Panel Data workbook</t>
  </si>
  <si>
    <t>stockanalysis.com/quote/ngx/UPL/financials/ ; stockanalysis.com/quote/ngx/UPL/market-cap/</t>
  </si>
  <si>
    <t>University Press Plc FY2022: TA/TL/NI from stockanalysis.com balance sheet/income statement (millions NGN, x1000 applied). Shares_Outstanding = period-end Total Common Shares Outstanding. Share_Price_YearEnd = stockanalysis.com year-end market cap / shares. No</t>
  </si>
  <si>
    <t>Veritas Kapital Assurance Plc, 2021-2025 financial data as recorded in Panel Data workbook</t>
  </si>
  <si>
    <t>stockanalysis.com/quote/ngx/VERITASKAP/financials/ ; stockanalysis.com/quote/ngx/VERITASKAP/market-cap/</t>
  </si>
  <si>
    <t>Veritas Kapital Assurance Plc FY2021: TA/TL/NI from stockanalysis.com balance sheet/income statement (millions NGN, x1000 applied). Shares_Outstanding = period-end Total Common Shares Outstanding. Share_Price_YearEnd = stockanalysis.com year-end market cap / s</t>
  </si>
  <si>
    <t>VFD Group Plc, 2021 financial data as recorded in Panel Data workbook</t>
  </si>
  <si>
    <t xml:space="preserve">PARTIALLY RESOLVED, LOW-MEDIUM confidence, rounded to ~N100m precision: VFD Group's own 2021 Annual Report &amp; Financials narrative/MD&amp;A (accessed via a third-party flipbook mirror since the primary Google-Drive-hosted copies could not be text-extracted) states </t>
  </si>
  <si>
    <t>VFD Group Plc, 2022-2025 financial data as recorded in Panel Data workbook</t>
  </si>
  <si>
    <t>stockanalysis.com/quote/ngx/VFDGROUP/financials/ ; stockanalysis.com/quote/ngx/VFDGROUP/market-cap/</t>
  </si>
  <si>
    <t>VFD Group Plc FY2022: TA/TL/NI from stockanalysis.com (millions NGN, x1000 applied), MEDIUM-HIGH confidence. Shares_Outstanding = period-end balance-sheet figure (5,701m). Share_Price_YearEnd: DATA GAP - company was not yet NGX-listed as of Dec-31-2022 (listed</t>
  </si>
  <si>
    <t>Vitafoam Nigeria Plc, 2021-2025 financial data as recorded in Panel Data workbook</t>
  </si>
  <si>
    <t>stockanalysis.com/quote/ngx/VITAFOAM/financials/ ; stockanalysis.com/quote/ngx/VITAFOAM/market-cap/</t>
  </si>
  <si>
    <t>Vitafoam Nigeria Plc FY2021: TA/TL/NI from stockanalysis.com balance sheet/income statement (millions NGN, x1000 applied). Shares_Outstanding = period-end Total Common Shares Outstanding. Share_Price_YearEnd = stockanalysis.com year-end market cap / shares. No</t>
  </si>
  <si>
    <t>Coronation Insurance Plc (formerly Wapic Insurance Plc), 2021-2025 financial data as recorded in Panel Data workbook</t>
  </si>
  <si>
    <t>stockanalysis.com/quote/ngx/WAPIC/financials/ ; stockanalysis.com/quote/ngx/WAPIC/market-cap/</t>
  </si>
  <si>
    <t>Wema Bank Plc, 2021-2025 financial data as recorded in Panel Data workbook</t>
  </si>
  <si>
    <t>stockanalysis.com/quote/ngx/WEMABANK/financials/ ; stockanalysis.com/quote/ngx/WEMABANK/market-cap/</t>
  </si>
  <si>
    <t>Zenith Bank Plc, 2021-2025 financial data as recorded in Panel Data workbook</t>
  </si>
  <si>
    <t>stockanalysis.com/quote/ngx/ZENITHBANK/financials/ ; stockanalysis.com/quote/ngx/ZENITHBANK/market-cap/</t>
  </si>
  <si>
    <t>Zenith Bank Plc FY2021: TA/TL/NI from stockanalysis.com balance sheet/income statement (millions NGN, x1000 applied). Shares_Outstanding = period-end Total Common Shares Outstanding. Share_Price_YearEnd = stockanalysis.com year-end market cap / shares. Auditor</t>
  </si>
  <si>
    <t>Zichis Agro Industries Plc, 2021-2025 financial data as recorded in Panel Data workbook</t>
  </si>
  <si>
    <t>Zichis Agro Allied Industries Plc FY2021: DATA GAP - the company operated as a private entity (Zichis Farms Limited) throughout this period, converting to a public company only in May-2024 and first NGX-listed 20-Jan-2026. No publicly available audited financi</t>
  </si>
  <si>
    <t>MEDIUM-HIGH confidence.  Board_Independence=11.11% (1 Independent NED of 9 total board members)</t>
  </si>
  <si>
    <t>MEDIUM-HIGH confidence (billions-precision source rounding). Annual Report was located (NGX doclib and AfricanFinancials only hold FY2022 [#38087], FY2024 [#43623], and FY2025 [#46506] filings)</t>
  </si>
  <si>
    <t xml:space="preserve">HIGH confidence, TA=TL+Equity balances exactly. This CONFIRMS the AfricanFinancials secondary-source figures (NI~716,500/equity~782,200) were correct, </t>
  </si>
  <si>
    <t>Predecessor entity was Access Bank Plc (legally listed entity in 2021, before March-2022 Scheme of Arrangement). Access Holdings Plc HoldCo did not yet exist in 2021 (created via March-2022 Scheme of Arrangement) -- Access Bank Plc used as legal predecessor, consistent with the Total_Assets/Liabilities sourcing convention already used for this row.</t>
  </si>
  <si>
    <t>EXCLUDED 2023 to 2025 - confirmed MRF per official NGX X-Compliance Report (20-Feb-2026): non-rendition of audited FS for 2023-2024. Incomplete data for Tobin's Q / SDQ-CDQ coding / underlying financial statements this firm-year.</t>
  </si>
  <si>
    <t>MEDIUM-HIGH confidence (billions-precision source rounding). No alternate text-extractable FY2021 primary source located.</t>
  </si>
  <si>
    <t>EXCLUDED 2023 to 2025  AUDITED. Going concern: negative equity -3,218,415. Board_Independence=40.0% (2 Independent Non-Executive Directors</t>
  </si>
  <si>
    <t xml:space="preserve">IFRS 17 transition year 2023 - filing delayed by NAICOM directive. </t>
  </si>
  <si>
    <t>UK-incorporated (primary listing LSE), NGX is secondary listing. Airtel Africa plc's Annual Report and Accounts run 200+ pages</t>
  </si>
  <si>
    <t>Total Assets/Liabilities/Equity confirmed via HY2025 interim comparative. Full-year Net Income not yet found (only 9-month interim figures available).  Share_Price_YearEnd = Dec-31 market cap / shares outstanding, market cap from S&amp;P Global Market Intelligence (via stockanalysis.com).EXCLUDED FROM 'Final Sample' (stricter, 17-Aug-2026): Condition 5 (Section 3.6): NGX compliance status 'BMF' is not among the retained exception codes (BLS/MRF/RST).</t>
  </si>
  <si>
    <t>EXCLUDED BY DESIGN - see 2021 note. Company rebranded from Niger Delta Exploration &amp; Production Plc to Aradel Holdings Plc in May 2023.  Condition 4 (Section 3.6): incomplete data for Tobin's Q / SDQ-CDQ coding / underlying financial statements this firm-year.</t>
  </si>
  <si>
    <t>EXCLUDED ENTIRELY - not an operating company (closed-end infrastructure investment fund). See Firm Master compliance notes. | GENUINE GAP (pre-listing): AVA Infrastructure Fund's own FY2024 Trustees'/Fund Manager's Report (NGX doclib #43641)</t>
  </si>
  <si>
    <t xml:space="preserve">AUDITED. CORRECTED IDENTITY: original list mislabeled this ticker as British American Tobacco Nigeria - verified BAPLC is actually Briclinks Africa Plc, an internet service provider. </t>
  </si>
  <si>
    <t>Group basis, secondary source (medium confidence). Auditor Pannell Kerr Forster - Big4_Auditor=0 for this year, overriding default. Share_Price_YearEnd=47.9947 from Dec-31-2025 market cap ~13.91B NGN (stockanalysis.com / S&amp;P Global Market Intelligence).</t>
  </si>
  <si>
    <t>RESOLVED, HIGH confidence: resolved via alternate source (fliphtml5-hosted annual report).</t>
  </si>
  <si>
    <t>AUDITED. Consistency check passed exactly. Share_Price_YearEnd = Dec-31 market cap / shares outstanding, market cap from S&amp;P Global Market Intelligence (via stockanalysis.com).</t>
  </si>
  <si>
    <t>AUDITED. Consistency check passed exactly.Share_Price_YearEnd = Dec-31 market cap / shares outstanding, market cap from S&amp;P Global Market Intelligence (via stockanalysis.com).</t>
  </si>
  <si>
    <t>AUDITED. Consistency check passed exactly.  MEDIUM-HIGH confidence (billions-precision source rounding.</t>
  </si>
  <si>
    <t>MEDIUM-HIGH confidence. AUDITED. Consistency check passed exactly.  CORRECTED this session: Shares_Outstanding and Share_Price_YearEnd were corrupted/swapped (see Firm Master Notes). Share_Price_YearEnd = Dec-31 market cap / shares outstanding, market cap from S&amp;P Global Market Intelligence (via stockanalysis.com).</t>
  </si>
  <si>
    <t>AUDITED. Consistency check passed exactly. Going concern firm; equity turns negative FY2023</t>
  </si>
  <si>
    <t>AUDITED. Consistency check passed exactly. Going concern firm; equity turns negative FY2024</t>
  </si>
  <si>
    <t>AUDITED (Group). Consistency check passed exactly. HIGH confidence - Champion appears to have no subsidiaries).</t>
  </si>
  <si>
    <t xml:space="preserve">AUDITED (Group). Consistency check passed exactly. MEDIUM-HIGH confidence. </t>
  </si>
  <si>
    <t xml:space="preserve">AUDITED (Group), FYE 31-March. Consistency check passed exactly. HIGH confidence. </t>
  </si>
  <si>
    <t>EXCLUDED - Critical Minerals Financing Corp Plc (formerly Deap Capital Management &amp; Trust Plc). SEC-mandated Interim Management Team in place; on Delisting Watch-list (DWL). | EXCLUDED FROM 'Final Sample': incomplete data for Tobin's Q / SDQ-CDQ coding . NGX compliance status 'DWL'.</t>
  </si>
  <si>
    <t>EXCLUDED ENTIRELY - not an operating company (closed-end infrastructure debt fund). Also not NGX-listed until 25-Aug-2025. | EXCLUDED FROM 'Final Sample'.</t>
  </si>
  <si>
    <t>AUDITED (Group). MEDIUM-HIGH confidence.Consistency check passed.</t>
  </si>
  <si>
    <t>HIGH confidence, primary source. Matches the earlier secondary-source estimate Net_Income RESOLVED. Source: NGX doclib primary filings.</t>
  </si>
  <si>
    <t>AUDITED . Consistency check passed exactly. MEDIUM-HIGH confidence.</t>
  </si>
  <si>
    <t>AUDITED. Consistency check passed exactly. MEDIUM-HIGH confidence.</t>
  </si>
  <si>
    <t>AUDITED. Auditor changed KPMG-&gt;Deloitte; corrected an earlier lower-confidence FY2024 secondary-source estimate</t>
  </si>
  <si>
    <t xml:space="preserve">Wema Bank Plc FY2021: TA/TL/NI from stockanalysis.com balance sheet/income statement. Shares_Outstanding = period-end Total Common Shares Outstanding. Share_Price_YearEnd = stockanalysis.com year-end market cap / shares. Auditor: </t>
  </si>
  <si>
    <t>MEDIUM confidence. Not independently verified against primary SFP (extraction failed again for both years).</t>
  </si>
  <si>
    <t xml:space="preserve">Coronation Insurance Plc (formerly Wapic Insurance Plc) FY2021: TA/TL/NI from stockanalysis.com balance sheet/income statement (millions NGN, x1000 applied). </t>
  </si>
  <si>
    <t>MEDIUM-HIGH confidence (reputable aggregator, filings confirmed to exist for all 5 years). Share_Price_YearEnd added from stockanalysis.com Ratios page 'Last Close Price' by fiscal year (S&amp;P Global Market Intelligence(.</t>
  </si>
  <si>
    <t xml:space="preserve">HIGH confidence - unlike the initial USD-only stockanalysis.com pull, ETI's own NGX-filed 'Quarter 5 / Year-End' financial statements include an official company-prepared 'Consolidated statement of financial position - NGN' companion statement. Sourced from three NGX doclib filings: doc 46650 (FY2025 vs FY2024 restated NGN comparatives), doc 41114 (FY2023 vs FY2022 NGN comparatives), and doc 37946 (FY2022 filing, whose FY2021 NGN comparative column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</si>
</sst>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9" x14ac:knownFonts="1">
    <font>
      <sz val="11"/>
      <color theme="1"/>
      <name val="Calibri"/>
      <family val="2"/>
      <charset val="1"/>
    </font>
    <font>
      <sz val="10"/>
      <name val="Arial"/>
      <charset val="1"/>
    </font>
    <font>
      <b/>
      <sz val="10"/>
      <name val="Arial"/>
      <charset val="1"/>
    </font>
    <font>
      <b/>
      <sz val="12"/>
      <color rgb="FF1F4E78"/>
      <name val="Arial"/>
      <charset val="1"/>
    </font>
    <font>
      <i/>
      <sz val="10"/>
      <name val="Arial"/>
      <charset val="1"/>
    </font>
    <font>
      <b/>
      <sz val="10"/>
      <color rgb="FFFFFFFF"/>
      <name val="Arial"/>
      <charset val="1"/>
    </font>
    <font>
      <sz val="10"/>
      <name val="Arial"/>
      <family val="2"/>
    </font>
    <font>
      <sz val="10"/>
      <color rgb="FF0000FF"/>
      <name val="Arial"/>
      <charset val="1"/>
    </font>
    <font>
      <i/>
      <sz val="9"/>
      <name val="Arial"/>
      <charset val="1"/>
    </font>
    <font>
      <b/>
      <sz val="10"/>
      <color rgb="FF990000"/>
      <name val="Arial"/>
      <charset val="1"/>
    </font>
    <font>
      <sz val="11"/>
      <color rgb="FF9C0006"/>
      <name val="Cambria"/>
      <charset val="1"/>
    </font>
    <font>
      <sz val="10"/>
      <color rgb="FF000000"/>
      <name val="Arial"/>
      <charset val="1"/>
    </font>
    <font>
      <sz val="9"/>
      <name val="Arial"/>
      <charset val="1"/>
    </font>
    <font>
      <sz val="10"/>
      <color rgb="FF202122"/>
      <name val="Arial"/>
      <family val="2"/>
    </font>
    <font>
      <sz val="9"/>
      <name val="Arial"/>
    </font>
    <font>
      <u/>
      <sz val="9"/>
      <color theme="4" tint="-0.249977111117893"/>
      <name val="Arial"/>
      <family val="2"/>
    </font>
    <font>
      <sz val="11"/>
      <color theme="4" tint="-0.249977111117893"/>
      <name val="Calibri"/>
      <family val="2"/>
      <charset val="1"/>
    </font>
    <font>
      <i/>
      <sz val="9"/>
      <name val="Arial"/>
      <family val="2"/>
    </font>
    <font>
      <sz val="8"/>
      <name val="Calibri"/>
      <family val="2"/>
      <charset val="1"/>
    </font>
  </fonts>
  <fills count="11">
    <fill>
      <patternFill patternType="none"/>
    </fill>
    <fill>
      <patternFill patternType="gray125"/>
    </fill>
    <fill>
      <patternFill patternType="solid">
        <fgColor rgb="FF1F4E78"/>
        <bgColor rgb="FF003366"/>
      </patternFill>
    </fill>
    <fill>
      <patternFill patternType="solid">
        <fgColor rgb="FFD9EAD3"/>
        <bgColor rgb="FFFCE5CD"/>
      </patternFill>
    </fill>
    <fill>
      <patternFill patternType="solid">
        <fgColor rgb="FFFFFF00"/>
        <bgColor rgb="FFFFFF00"/>
      </patternFill>
    </fill>
    <fill>
      <patternFill patternType="solid">
        <fgColor rgb="FFF4CCCC"/>
        <bgColor rgb="FFFFC7CE"/>
      </patternFill>
    </fill>
    <fill>
      <patternFill patternType="solid">
        <fgColor rgb="FFFFC7CE"/>
        <bgColor rgb="FFF4CCCC"/>
      </patternFill>
    </fill>
    <fill>
      <patternFill patternType="solid">
        <fgColor rgb="FFFCE5CD"/>
        <bgColor rgb="FFD9EAD3"/>
      </patternFill>
    </fill>
    <fill>
      <patternFill patternType="solid">
        <fgColor rgb="FFFFFF00"/>
        <bgColor rgb="FFFCE5CD"/>
      </patternFill>
    </fill>
    <fill>
      <patternFill patternType="solid">
        <fgColor rgb="FFFFFF00"/>
        <bgColor rgb="FFFFC7CE"/>
      </patternFill>
    </fill>
    <fill>
      <patternFill patternType="solid">
        <fgColor theme="6" tint="0.59999389629810485"/>
        <bgColor rgb="FFFFFF0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1" fillId="0" borderId="1" xfId="0" applyFont="1" applyBorder="1" applyAlignment="1">
      <alignment horizontal="left" vertical="top" wrapText="1"/>
    </xf>
    <xf numFmtId="164" fontId="0" fillId="0" borderId="0" xfId="0" applyNumberFormat="1" applyAlignment="1">
      <alignment horizontal="lef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4"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vertical="top" wrapText="1"/>
    </xf>
    <xf numFmtId="0" fontId="7" fillId="3" borderId="1" xfId="0" applyFont="1" applyFill="1" applyBorder="1" applyAlignment="1">
      <alignment vertical="top" wrapText="1"/>
    </xf>
    <xf numFmtId="0" fontId="1" fillId="0" borderId="1" xfId="0" applyFont="1" applyBorder="1" applyAlignment="1">
      <alignment vertical="top" wrapText="1"/>
    </xf>
    <xf numFmtId="0" fontId="8" fillId="0" borderId="1" xfId="0" applyFont="1" applyBorder="1" applyAlignment="1">
      <alignment vertical="top" wrapText="1"/>
    </xf>
    <xf numFmtId="0" fontId="9" fillId="5" borderId="1" xfId="0" applyFont="1" applyFill="1" applyBorder="1" applyAlignment="1">
      <alignment vertical="top" wrapText="1"/>
    </xf>
    <xf numFmtId="0" fontId="10" fillId="6" borderId="1" xfId="0" applyFont="1" applyFill="1" applyBorder="1" applyAlignment="1">
      <alignment vertical="top" wrapText="1"/>
    </xf>
    <xf numFmtId="0" fontId="1" fillId="7" borderId="1" xfId="0" applyFont="1" applyFill="1" applyBorder="1" applyAlignment="1">
      <alignment vertical="top" wrapText="1"/>
    </xf>
    <xf numFmtId="0" fontId="1" fillId="4" borderId="1" xfId="0" applyFont="1" applyFill="1" applyBorder="1" applyAlignment="1">
      <alignment vertical="top" wrapText="1"/>
    </xf>
    <xf numFmtId="164" fontId="7" fillId="3" borderId="1" xfId="0" applyNumberFormat="1" applyFont="1" applyFill="1" applyBorder="1" applyAlignment="1">
      <alignment horizontal="left" vertical="top" wrapText="1"/>
    </xf>
    <xf numFmtId="0" fontId="11" fillId="0" borderId="1" xfId="0" applyFont="1" applyBorder="1" applyAlignment="1">
      <alignment vertical="top" wrapText="1"/>
    </xf>
    <xf numFmtId="0" fontId="7" fillId="4" borderId="1" xfId="0" applyFont="1" applyFill="1" applyBorder="1" applyAlignment="1">
      <alignment vertical="top" wrapText="1"/>
    </xf>
    <xf numFmtId="0" fontId="10" fillId="6" borderId="1" xfId="0" applyFont="1" applyFill="1" applyBorder="1" applyAlignment="1">
      <alignment horizontal="center" vertical="center"/>
    </xf>
    <xf numFmtId="0" fontId="7" fillId="5" borderId="1" xfId="0" applyFont="1" applyFill="1" applyBorder="1" applyAlignment="1">
      <alignment vertical="top" wrapText="1"/>
    </xf>
    <xf numFmtId="0" fontId="7" fillId="0" borderId="1" xfId="0" applyFont="1" applyBorder="1" applyAlignment="1">
      <alignment vertical="top" wrapText="1"/>
    </xf>
    <xf numFmtId="0" fontId="0" fillId="6" borderId="1" xfId="0" applyFill="1" applyBorder="1" applyAlignment="1">
      <alignment vertical="top" wrapText="1"/>
    </xf>
    <xf numFmtId="0" fontId="11" fillId="6" borderId="1" xfId="0" applyFont="1" applyFill="1" applyBorder="1" applyAlignment="1">
      <alignment vertical="top" wrapText="1"/>
    </xf>
    <xf numFmtId="0" fontId="7" fillId="6" borderId="1" xfId="0" applyFont="1" applyFill="1" applyBorder="1" applyAlignment="1">
      <alignment vertical="top" wrapText="1"/>
    </xf>
    <xf numFmtId="0" fontId="1" fillId="6" borderId="1" xfId="0" applyFont="1" applyFill="1" applyBorder="1" applyAlignment="1">
      <alignment horizontal="center" vertical="center"/>
    </xf>
    <xf numFmtId="0" fontId="12" fillId="0" borderId="1" xfId="0" applyFont="1" applyBorder="1" applyAlignment="1">
      <alignment vertical="top" wrapText="1"/>
    </xf>
    <xf numFmtId="0" fontId="12" fillId="0" borderId="0" xfId="0" applyFont="1" applyAlignment="1">
      <alignment vertical="top" wrapText="1"/>
    </xf>
    <xf numFmtId="0" fontId="13" fillId="0" borderId="0" xfId="0" applyFont="1"/>
    <xf numFmtId="0" fontId="6" fillId="0" borderId="1" xfId="0" applyFont="1" applyBorder="1" applyAlignment="1">
      <alignment horizontal="left" vertical="top" wrapText="1"/>
    </xf>
    <xf numFmtId="0" fontId="7" fillId="8" borderId="1" xfId="0" applyFont="1" applyFill="1" applyBorder="1" applyAlignment="1">
      <alignment vertical="top"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0" fontId="0" fillId="0" borderId="0" xfId="0" applyAlignment="1">
      <alignment horizontal="left"/>
    </xf>
    <xf numFmtId="0" fontId="14" fillId="0" borderId="0" xfId="0" applyFont="1" applyAlignment="1">
      <alignment vertical="top" wrapText="1"/>
    </xf>
    <xf numFmtId="0" fontId="15" fillId="0" borderId="1" xfId="0" applyFont="1" applyBorder="1" applyAlignment="1">
      <alignment vertical="top" wrapText="1"/>
    </xf>
    <xf numFmtId="0" fontId="15" fillId="0" borderId="0" xfId="0" applyFont="1" applyAlignment="1">
      <alignment vertical="top" wrapText="1"/>
    </xf>
    <xf numFmtId="0" fontId="16" fillId="0" borderId="0" xfId="0" applyFont="1"/>
    <xf numFmtId="0" fontId="0" fillId="0" borderId="0" xfId="0" applyAlignment="1">
      <alignment wrapText="1"/>
    </xf>
    <xf numFmtId="0" fontId="1"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center"/>
    </xf>
    <xf numFmtId="0" fontId="17" fillId="0" borderId="1" xfId="0" applyFont="1" applyFill="1" applyBorder="1" applyAlignment="1">
      <alignment vertical="top" wrapText="1"/>
    </xf>
    <xf numFmtId="0" fontId="17" fillId="0" borderId="0" xfId="0" applyFont="1" applyFill="1" applyAlignment="1">
      <alignment vertical="top" wrapText="1"/>
    </xf>
    <xf numFmtId="0" fontId="17" fillId="0"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B7B7B7"/>
      <rgbColor rgb="FF808080"/>
      <rgbColor rgb="FF9999FF"/>
      <rgbColor rgb="FF993366"/>
      <rgbColor rgb="FFFCE5CD"/>
      <rgbColor rgb="FFCCFFFF"/>
      <rgbColor rgb="FF660066"/>
      <rgbColor rgb="FFFF8080"/>
      <rgbColor rgb="FF0563C1"/>
      <rgbColor rgb="FFFFC7CE"/>
      <rgbColor rgb="FF000080"/>
      <rgbColor rgb="FFFF00FF"/>
      <rgbColor rgb="FFFFFF00"/>
      <rgbColor rgb="FF00FFFF"/>
      <rgbColor rgb="FF800080"/>
      <rgbColor rgb="FF9C0006"/>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
  <sheetViews>
    <sheetView zoomScaleNormal="100" workbookViewId="0">
      <pane ySplit="8" topLeftCell="A11" activePane="bottomLeft" state="frozen"/>
      <selection pane="bottomLeft" activeCell="F16" sqref="F16"/>
    </sheetView>
  </sheetViews>
  <sheetFormatPr defaultColWidth="8.6640625" defaultRowHeight="14.4" x14ac:dyDescent="0.3"/>
  <cols>
    <col min="1" max="1" width="10" customWidth="1"/>
    <col min="2" max="2" width="20" customWidth="1"/>
    <col min="3" max="3" width="60" customWidth="1"/>
    <col min="4" max="4" width="55" customWidth="1"/>
  </cols>
  <sheetData>
    <row r="1" spans="1:4" ht="15" customHeight="1" x14ac:dyDescent="0.3">
      <c r="A1" s="2" t="s">
        <v>0</v>
      </c>
    </row>
    <row r="2" spans="1:4" ht="15" customHeight="1" x14ac:dyDescent="0.3">
      <c r="A2" s="3" t="s">
        <v>1</v>
      </c>
    </row>
    <row r="3" spans="1:4" ht="15" customHeight="1" x14ac:dyDescent="0.3">
      <c r="A3" s="3" t="s">
        <v>2</v>
      </c>
    </row>
    <row r="5" spans="1:4" ht="15" customHeight="1" x14ac:dyDescent="0.3">
      <c r="A5" s="1" t="s">
        <v>3</v>
      </c>
    </row>
    <row r="6" spans="1:4" ht="15" customHeight="1" x14ac:dyDescent="0.3">
      <c r="A6" s="42" t="s">
        <v>4</v>
      </c>
      <c r="B6" s="42"/>
      <c r="C6" s="42"/>
      <c r="D6" s="42"/>
    </row>
    <row r="7" spans="1:4" ht="15" customHeight="1" x14ac:dyDescent="0.3">
      <c r="A7" s="42" t="s">
        <v>5</v>
      </c>
      <c r="B7" s="42"/>
      <c r="C7" s="42"/>
      <c r="D7" s="42"/>
    </row>
    <row r="8" spans="1:4" ht="15" customHeight="1" x14ac:dyDescent="0.3">
      <c r="A8" s="42" t="s">
        <v>6</v>
      </c>
      <c r="B8" s="42"/>
      <c r="C8" s="42"/>
      <c r="D8" s="42"/>
    </row>
    <row r="9" spans="1:4" ht="15" customHeight="1" x14ac:dyDescent="0.3">
      <c r="A9" s="42" t="s">
        <v>7</v>
      </c>
      <c r="B9" s="42"/>
      <c r="C9" s="42"/>
      <c r="D9" s="42"/>
    </row>
    <row r="10" spans="1:4" ht="23.25" customHeight="1" x14ac:dyDescent="0.3">
      <c r="A10" s="42" t="s">
        <v>8</v>
      </c>
      <c r="B10" s="42"/>
      <c r="C10" s="42"/>
      <c r="D10" s="42"/>
    </row>
    <row r="11" spans="1:4" ht="23.25" customHeight="1" x14ac:dyDescent="0.3">
      <c r="A11" s="42" t="s">
        <v>9</v>
      </c>
      <c r="B11" s="42"/>
      <c r="C11" s="42"/>
      <c r="D11" s="42"/>
    </row>
    <row r="13" spans="1:4" ht="15" customHeight="1" x14ac:dyDescent="0.3">
      <c r="A13" s="1" t="s">
        <v>10</v>
      </c>
    </row>
    <row r="14" spans="1:4" ht="23.25" customHeight="1" x14ac:dyDescent="0.3">
      <c r="A14" s="43" t="s">
        <v>11</v>
      </c>
      <c r="B14" s="43"/>
      <c r="C14" s="43"/>
      <c r="D14" s="43"/>
    </row>
    <row r="16" spans="1:4" ht="15" customHeight="1" x14ac:dyDescent="0.3">
      <c r="A16" s="4" t="s">
        <v>12</v>
      </c>
      <c r="B16" s="4" t="s">
        <v>13</v>
      </c>
      <c r="C16" s="4" t="s">
        <v>14</v>
      </c>
      <c r="D16" s="4" t="s">
        <v>14</v>
      </c>
    </row>
    <row r="17" spans="1:6" ht="15" customHeight="1" x14ac:dyDescent="0.3">
      <c r="A17" s="44" t="s">
        <v>15</v>
      </c>
      <c r="B17" s="44"/>
      <c r="C17" s="44"/>
      <c r="D17" s="44"/>
    </row>
    <row r="18" spans="1:6" ht="34.5" customHeight="1" x14ac:dyDescent="0.3">
      <c r="A18" s="5" t="s">
        <v>16</v>
      </c>
      <c r="B18" s="5" t="s">
        <v>17</v>
      </c>
      <c r="C18" s="5" t="s">
        <v>18</v>
      </c>
      <c r="D18" s="5" t="s">
        <v>19</v>
      </c>
    </row>
    <row r="19" spans="1:6" ht="23.25" customHeight="1" x14ac:dyDescent="0.3">
      <c r="A19" s="5" t="s">
        <v>20</v>
      </c>
      <c r="B19" s="5" t="s">
        <v>17</v>
      </c>
      <c r="C19" s="5" t="s">
        <v>21</v>
      </c>
      <c r="D19" s="5" t="s">
        <v>22</v>
      </c>
    </row>
    <row r="20" spans="1:6" ht="23.25" customHeight="1" x14ac:dyDescent="0.3">
      <c r="A20" s="5" t="s">
        <v>23</v>
      </c>
      <c r="B20" s="5" t="s">
        <v>17</v>
      </c>
      <c r="C20" s="5" t="s">
        <v>24</v>
      </c>
      <c r="D20" s="5" t="s">
        <v>25</v>
      </c>
    </row>
    <row r="21" spans="1:6" ht="34.5" customHeight="1" x14ac:dyDescent="0.3">
      <c r="A21" s="5" t="s">
        <v>26</v>
      </c>
      <c r="B21" s="5" t="s">
        <v>17</v>
      </c>
      <c r="C21" s="5" t="s">
        <v>27</v>
      </c>
      <c r="D21" s="5" t="s">
        <v>28</v>
      </c>
    </row>
    <row r="22" spans="1:6" ht="23.25" customHeight="1" x14ac:dyDescent="0.3">
      <c r="A22" s="5" t="s">
        <v>29</v>
      </c>
      <c r="B22" s="5" t="s">
        <v>17</v>
      </c>
      <c r="C22" s="5" t="s">
        <v>30</v>
      </c>
      <c r="D22" s="5" t="s">
        <v>31</v>
      </c>
    </row>
    <row r="23" spans="1:6" ht="23.25" customHeight="1" x14ac:dyDescent="0.3">
      <c r="A23" s="5" t="s">
        <v>32</v>
      </c>
      <c r="B23" s="5" t="s">
        <v>33</v>
      </c>
      <c r="C23" s="5" t="s">
        <v>34</v>
      </c>
      <c r="D23" s="5" t="s">
        <v>35</v>
      </c>
    </row>
    <row r="24" spans="1:6" ht="23.25" customHeight="1" x14ac:dyDescent="0.3">
      <c r="A24" s="5" t="s">
        <v>36</v>
      </c>
      <c r="B24" s="5" t="s">
        <v>33</v>
      </c>
      <c r="C24" s="5" t="s">
        <v>37</v>
      </c>
      <c r="D24" s="5" t="s">
        <v>38</v>
      </c>
    </row>
    <row r="25" spans="1:6" ht="23.25" customHeight="1" x14ac:dyDescent="0.3">
      <c r="A25" s="5" t="s">
        <v>39</v>
      </c>
      <c r="B25" s="5" t="s">
        <v>33</v>
      </c>
      <c r="C25" s="5" t="s">
        <v>40</v>
      </c>
      <c r="D25" s="5" t="s">
        <v>41</v>
      </c>
    </row>
    <row r="26" spans="1:6" ht="23.25" customHeight="1" x14ac:dyDescent="0.3">
      <c r="A26" s="5" t="s">
        <v>42</v>
      </c>
      <c r="B26" s="5" t="s">
        <v>33</v>
      </c>
      <c r="C26" s="5" t="s">
        <v>43</v>
      </c>
      <c r="D26" s="5" t="s">
        <v>44</v>
      </c>
    </row>
    <row r="27" spans="1:6" ht="23.25" customHeight="1" x14ac:dyDescent="0.3">
      <c r="A27" s="5" t="s">
        <v>45</v>
      </c>
      <c r="B27" s="5" t="s">
        <v>33</v>
      </c>
      <c r="C27" s="5" t="s">
        <v>46</v>
      </c>
      <c r="D27" s="5" t="s">
        <v>47</v>
      </c>
    </row>
    <row r="28" spans="1:6" ht="15" customHeight="1" x14ac:dyDescent="0.3">
      <c r="A28" s="5" t="s">
        <v>48</v>
      </c>
      <c r="B28" s="5" t="s">
        <v>49</v>
      </c>
      <c r="C28" s="5" t="s">
        <v>50</v>
      </c>
      <c r="D28" s="5" t="s">
        <v>51</v>
      </c>
    </row>
    <row r="29" spans="1:6" ht="23.25" customHeight="1" x14ac:dyDescent="0.3">
      <c r="A29" s="5" t="s">
        <v>52</v>
      </c>
      <c r="B29" s="5" t="s">
        <v>49</v>
      </c>
      <c r="C29" s="5" t="s">
        <v>53</v>
      </c>
      <c r="D29" s="5" t="s">
        <v>54</v>
      </c>
    </row>
    <row r="30" spans="1:6" ht="15" customHeight="1" x14ac:dyDescent="0.3">
      <c r="A30" s="5" t="s">
        <v>55</v>
      </c>
      <c r="B30" s="5" t="s">
        <v>49</v>
      </c>
      <c r="C30" s="5" t="s">
        <v>56</v>
      </c>
      <c r="D30" s="5" t="s">
        <v>57</v>
      </c>
    </row>
    <row r="31" spans="1:6" ht="23.25" customHeight="1" x14ac:dyDescent="0.3">
      <c r="A31" s="5" t="s">
        <v>58</v>
      </c>
      <c r="B31" s="5" t="s">
        <v>49</v>
      </c>
      <c r="C31" s="5" t="s">
        <v>59</v>
      </c>
      <c r="D31" s="5" t="s">
        <v>60</v>
      </c>
      <c r="F31" s="6">
        <v>25569</v>
      </c>
    </row>
    <row r="32" spans="1:6" ht="15" customHeight="1" x14ac:dyDescent="0.3">
      <c r="A32" s="5" t="s">
        <v>61</v>
      </c>
      <c r="B32" s="5" t="s">
        <v>49</v>
      </c>
      <c r="C32" s="5" t="s">
        <v>62</v>
      </c>
      <c r="D32" s="5" t="s">
        <v>63</v>
      </c>
    </row>
    <row r="33" spans="1:4" ht="23.25" customHeight="1" x14ac:dyDescent="0.3">
      <c r="A33" s="5" t="s">
        <v>64</v>
      </c>
      <c r="B33" s="5" t="s">
        <v>65</v>
      </c>
      <c r="C33" s="5" t="s">
        <v>66</v>
      </c>
      <c r="D33" s="5" t="s">
        <v>67</v>
      </c>
    </row>
    <row r="34" spans="1:4" ht="23.25" customHeight="1" x14ac:dyDescent="0.3">
      <c r="A34" s="5" t="s">
        <v>68</v>
      </c>
      <c r="B34" s="5" t="s">
        <v>65</v>
      </c>
      <c r="C34" s="5" t="s">
        <v>69</v>
      </c>
      <c r="D34" s="5" t="s">
        <v>70</v>
      </c>
    </row>
    <row r="35" spans="1:4" ht="23.25" customHeight="1" x14ac:dyDescent="0.3">
      <c r="A35" s="5" t="s">
        <v>71</v>
      </c>
      <c r="B35" s="5" t="s">
        <v>65</v>
      </c>
      <c r="C35" s="5" t="s">
        <v>72</v>
      </c>
      <c r="D35" s="5" t="s">
        <v>73</v>
      </c>
    </row>
    <row r="36" spans="1:4" ht="23.25" customHeight="1" x14ac:dyDescent="0.3">
      <c r="A36" s="5" t="s">
        <v>74</v>
      </c>
      <c r="B36" s="5" t="s">
        <v>65</v>
      </c>
      <c r="C36" s="5" t="s">
        <v>75</v>
      </c>
      <c r="D36" s="5" t="s">
        <v>76</v>
      </c>
    </row>
    <row r="37" spans="1:4" ht="23.25" customHeight="1" x14ac:dyDescent="0.3">
      <c r="A37" s="5" t="s">
        <v>77</v>
      </c>
      <c r="B37" s="5" t="s">
        <v>65</v>
      </c>
      <c r="C37" s="5" t="s">
        <v>78</v>
      </c>
      <c r="D37" s="5" t="s">
        <v>79</v>
      </c>
    </row>
    <row r="39" spans="1:4" ht="15" customHeight="1" x14ac:dyDescent="0.3">
      <c r="A39" s="44" t="s">
        <v>80</v>
      </c>
      <c r="B39" s="44"/>
      <c r="C39" s="44"/>
      <c r="D39" s="44"/>
    </row>
    <row r="40" spans="1:4" ht="23.25" customHeight="1" x14ac:dyDescent="0.3">
      <c r="A40" s="5" t="s">
        <v>81</v>
      </c>
      <c r="B40" s="5" t="s">
        <v>82</v>
      </c>
      <c r="C40" s="5" t="s">
        <v>83</v>
      </c>
      <c r="D40" s="5" t="s">
        <v>84</v>
      </c>
    </row>
    <row r="41" spans="1:4" ht="23.25" customHeight="1" x14ac:dyDescent="0.3">
      <c r="A41" s="5" t="s">
        <v>85</v>
      </c>
      <c r="B41" s="5" t="s">
        <v>82</v>
      </c>
      <c r="C41" s="5" t="s">
        <v>86</v>
      </c>
      <c r="D41" s="5" t="s">
        <v>87</v>
      </c>
    </row>
    <row r="42" spans="1:4" ht="23.25" customHeight="1" x14ac:dyDescent="0.3">
      <c r="A42" s="5" t="s">
        <v>88</v>
      </c>
      <c r="B42" s="5" t="s">
        <v>82</v>
      </c>
      <c r="C42" s="5" t="s">
        <v>89</v>
      </c>
      <c r="D42" s="5" t="s">
        <v>90</v>
      </c>
    </row>
    <row r="43" spans="1:4" ht="23.25" customHeight="1" x14ac:dyDescent="0.3">
      <c r="A43" s="5" t="s">
        <v>91</v>
      </c>
      <c r="B43" s="5" t="s">
        <v>92</v>
      </c>
      <c r="C43" s="5" t="s">
        <v>93</v>
      </c>
      <c r="D43" s="5" t="s">
        <v>94</v>
      </c>
    </row>
    <row r="44" spans="1:4" ht="23.25" customHeight="1" x14ac:dyDescent="0.3">
      <c r="A44" s="5" t="s">
        <v>95</v>
      </c>
      <c r="B44" s="5" t="s">
        <v>92</v>
      </c>
      <c r="C44" s="5" t="s">
        <v>96</v>
      </c>
      <c r="D44" s="5" t="s">
        <v>97</v>
      </c>
    </row>
    <row r="45" spans="1:4" ht="23.25" customHeight="1" x14ac:dyDescent="0.3">
      <c r="A45" s="5" t="s">
        <v>98</v>
      </c>
      <c r="B45" s="5" t="s">
        <v>92</v>
      </c>
      <c r="C45" s="5" t="s">
        <v>99</v>
      </c>
      <c r="D45" s="5" t="s">
        <v>100</v>
      </c>
    </row>
    <row r="46" spans="1:4" ht="15" customHeight="1" x14ac:dyDescent="0.3">
      <c r="A46" s="5" t="s">
        <v>101</v>
      </c>
      <c r="B46" s="5" t="s">
        <v>92</v>
      </c>
      <c r="C46" s="5" t="s">
        <v>102</v>
      </c>
      <c r="D46" s="5" t="s">
        <v>103</v>
      </c>
    </row>
    <row r="47" spans="1:4" ht="23.25" customHeight="1" x14ac:dyDescent="0.3">
      <c r="A47" s="5" t="s">
        <v>104</v>
      </c>
      <c r="B47" s="5" t="s">
        <v>105</v>
      </c>
      <c r="C47" s="5" t="s">
        <v>106</v>
      </c>
      <c r="D47" s="5" t="s">
        <v>63</v>
      </c>
    </row>
    <row r="48" spans="1:4" ht="23.25" customHeight="1" x14ac:dyDescent="0.3">
      <c r="A48" s="5" t="s">
        <v>107</v>
      </c>
      <c r="B48" s="5" t="s">
        <v>105</v>
      </c>
      <c r="C48" s="5" t="s">
        <v>108</v>
      </c>
      <c r="D48" s="5" t="s">
        <v>109</v>
      </c>
    </row>
    <row r="49" spans="1:4" ht="23.25" customHeight="1" x14ac:dyDescent="0.3">
      <c r="A49" s="5" t="s">
        <v>110</v>
      </c>
      <c r="B49" s="5" t="s">
        <v>111</v>
      </c>
      <c r="C49" s="5" t="s">
        <v>112</v>
      </c>
      <c r="D49" s="5" t="s">
        <v>113</v>
      </c>
    </row>
    <row r="50" spans="1:4" ht="23.25" customHeight="1" x14ac:dyDescent="0.3">
      <c r="A50" s="5" t="s">
        <v>114</v>
      </c>
      <c r="B50" s="5" t="s">
        <v>111</v>
      </c>
      <c r="C50" s="5" t="s">
        <v>115</v>
      </c>
      <c r="D50" s="5" t="s">
        <v>116</v>
      </c>
    </row>
    <row r="51" spans="1:4" ht="23.25" customHeight="1" x14ac:dyDescent="0.3">
      <c r="A51" s="5" t="s">
        <v>117</v>
      </c>
      <c r="B51" s="5" t="s">
        <v>111</v>
      </c>
      <c r="C51" s="5" t="s">
        <v>118</v>
      </c>
      <c r="D51" s="5" t="s">
        <v>119</v>
      </c>
    </row>
    <row r="52" spans="1:4" ht="23.25" customHeight="1" x14ac:dyDescent="0.3">
      <c r="A52" s="5" t="s">
        <v>120</v>
      </c>
      <c r="B52" s="5" t="s">
        <v>111</v>
      </c>
      <c r="C52" s="5" t="s">
        <v>121</v>
      </c>
      <c r="D52" s="5" t="s">
        <v>122</v>
      </c>
    </row>
    <row r="53" spans="1:4" ht="23.25" customHeight="1" x14ac:dyDescent="0.3">
      <c r="A53" s="5" t="s">
        <v>123</v>
      </c>
      <c r="B53" s="5" t="s">
        <v>111</v>
      </c>
      <c r="C53" s="5" t="s">
        <v>124</v>
      </c>
      <c r="D53" s="5" t="s">
        <v>125</v>
      </c>
    </row>
    <row r="54" spans="1:4" ht="23.25" customHeight="1" x14ac:dyDescent="0.3">
      <c r="A54" s="5" t="s">
        <v>126</v>
      </c>
      <c r="B54" s="5" t="s">
        <v>111</v>
      </c>
      <c r="C54" s="5" t="s">
        <v>127</v>
      </c>
      <c r="D54" s="5" t="s">
        <v>128</v>
      </c>
    </row>
  </sheetData>
  <mergeCells count="9">
    <mergeCell ref="A11:D11"/>
    <mergeCell ref="A14:D14"/>
    <mergeCell ref="A17:D17"/>
    <mergeCell ref="A39:D39"/>
    <mergeCell ref="A6:D6"/>
    <mergeCell ref="A7:D7"/>
    <mergeCell ref="A8:D8"/>
    <mergeCell ref="A9:D9"/>
    <mergeCell ref="A10:D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731"/>
  <sheetViews>
    <sheetView zoomScaleNormal="100" workbookViewId="0">
      <pane xSplit="7" ySplit="1" topLeftCell="AQ398" activePane="bottomRight" state="frozen"/>
      <selection pane="topRight" activeCell="P1" sqref="P1"/>
      <selection pane="bottomLeft" activeCell="A2" sqref="A2"/>
      <selection pane="bottomRight" activeCell="AU420" sqref="AU420"/>
    </sheetView>
  </sheetViews>
  <sheetFormatPr defaultColWidth="8.6640625" defaultRowHeight="14.4" x14ac:dyDescent="0.3"/>
  <cols>
    <col min="1" max="1" width="14" customWidth="1"/>
    <col min="2" max="2" width="6" customWidth="1"/>
    <col min="3" max="3" width="9" customWidth="1"/>
    <col min="4" max="4" width="10" customWidth="1"/>
    <col min="5" max="5" width="26" customWidth="1"/>
    <col min="6" max="6" width="14" customWidth="1"/>
    <col min="7" max="7" width="7" customWidth="1"/>
    <col min="8" max="27" width="9" customWidth="1"/>
    <col min="28" max="28" width="12" customWidth="1"/>
    <col min="29" max="29" width="11" customWidth="1"/>
    <col min="30" max="44" width="9" customWidth="1"/>
    <col min="45" max="45" width="12" customWidth="1"/>
    <col min="46" max="46" width="11" customWidth="1"/>
    <col min="47" max="47" width="40" customWidth="1"/>
  </cols>
  <sheetData>
    <row r="1" spans="1:47" ht="45" customHeight="1" x14ac:dyDescent="0.3">
      <c r="A1" s="4" t="s">
        <v>129</v>
      </c>
      <c r="B1" s="4" t="s">
        <v>130</v>
      </c>
      <c r="C1" s="4" t="s">
        <v>131</v>
      </c>
      <c r="D1" s="4" t="s">
        <v>132</v>
      </c>
      <c r="E1" s="4" t="s">
        <v>133</v>
      </c>
      <c r="F1" s="4" t="s">
        <v>134</v>
      </c>
      <c r="G1" s="4" t="s">
        <v>135</v>
      </c>
      <c r="H1" s="4" t="s">
        <v>16</v>
      </c>
      <c r="I1" s="4" t="s">
        <v>20</v>
      </c>
      <c r="J1" s="4" t="s">
        <v>23</v>
      </c>
      <c r="K1" s="4" t="s">
        <v>26</v>
      </c>
      <c r="L1" s="4" t="s">
        <v>29</v>
      </c>
      <c r="M1" s="4" t="s">
        <v>32</v>
      </c>
      <c r="N1" s="4" t="s">
        <v>36</v>
      </c>
      <c r="O1" s="4" t="s">
        <v>39</v>
      </c>
      <c r="P1" s="4" t="s">
        <v>42</v>
      </c>
      <c r="Q1" s="4" t="s">
        <v>45</v>
      </c>
      <c r="R1" s="4" t="s">
        <v>48</v>
      </c>
      <c r="S1" s="4" t="s">
        <v>52</v>
      </c>
      <c r="T1" s="4" t="s">
        <v>55</v>
      </c>
      <c r="U1" s="4" t="s">
        <v>58</v>
      </c>
      <c r="V1" s="4" t="s">
        <v>61</v>
      </c>
      <c r="W1" s="4" t="s">
        <v>64</v>
      </c>
      <c r="X1" s="4" t="s">
        <v>68</v>
      </c>
      <c r="Y1" s="4" t="s">
        <v>71</v>
      </c>
      <c r="Z1" s="4" t="s">
        <v>74</v>
      </c>
      <c r="AA1" s="4" t="s">
        <v>77</v>
      </c>
      <c r="AB1" s="4" t="s">
        <v>136</v>
      </c>
      <c r="AC1" s="4" t="s">
        <v>137</v>
      </c>
      <c r="AD1" s="4" t="s">
        <v>81</v>
      </c>
      <c r="AE1" s="4" t="s">
        <v>85</v>
      </c>
      <c r="AF1" s="4" t="s">
        <v>88</v>
      </c>
      <c r="AG1" s="4" t="s">
        <v>91</v>
      </c>
      <c r="AH1" s="4" t="s">
        <v>95</v>
      </c>
      <c r="AI1" s="4" t="s">
        <v>98</v>
      </c>
      <c r="AJ1" s="4" t="s">
        <v>101</v>
      </c>
      <c r="AK1" s="4" t="s">
        <v>104</v>
      </c>
      <c r="AL1" s="4" t="s">
        <v>107</v>
      </c>
      <c r="AM1" s="4" t="s">
        <v>110</v>
      </c>
      <c r="AN1" s="4" t="s">
        <v>114</v>
      </c>
      <c r="AO1" s="4" t="s">
        <v>117</v>
      </c>
      <c r="AP1" s="4" t="s">
        <v>120</v>
      </c>
      <c r="AQ1" s="4" t="s">
        <v>123</v>
      </c>
      <c r="AR1" s="4" t="s">
        <v>126</v>
      </c>
      <c r="AS1" s="4" t="s">
        <v>138</v>
      </c>
      <c r="AT1" s="4" t="s">
        <v>139</v>
      </c>
      <c r="AU1" s="4" t="s">
        <v>140</v>
      </c>
    </row>
    <row r="2" spans="1:47" ht="15" customHeight="1" x14ac:dyDescent="0.3">
      <c r="A2" s="7" t="str">
        <f t="shared" ref="A2:A65" si="0">C2&amp;"_"&amp;G2</f>
        <v>1_2021</v>
      </c>
      <c r="B2" s="7">
        <v>1</v>
      </c>
      <c r="C2" s="7">
        <f>'Panel Data (Long Format)'!B2</f>
        <v>1</v>
      </c>
      <c r="D2" s="7" t="str">
        <f>'Panel Data (Long Format)'!C2</f>
        <v>ABBEYBANK</v>
      </c>
      <c r="E2" s="8" t="str">
        <f>'Panel Data (Long Format)'!D2</f>
        <v>Abbey Mortgage Bank Plc</v>
      </c>
      <c r="F2" s="7" t="str">
        <f>'Panel Data (Long Format)'!E2</f>
        <v>FINANCIAL SERVICES</v>
      </c>
      <c r="G2" s="7">
        <f>'Panel Data (Long Format)'!F2</f>
        <v>2021</v>
      </c>
      <c r="H2" s="9">
        <v>0</v>
      </c>
      <c r="I2" s="9">
        <v>0</v>
      </c>
      <c r="J2" s="9">
        <v>0</v>
      </c>
      <c r="K2" s="9">
        <v>0</v>
      </c>
      <c r="L2" s="9">
        <v>0</v>
      </c>
      <c r="M2" s="9">
        <v>0</v>
      </c>
      <c r="N2" s="9">
        <v>0</v>
      </c>
      <c r="O2" s="9">
        <v>0</v>
      </c>
      <c r="P2" s="9">
        <v>0</v>
      </c>
      <c r="Q2" s="9">
        <v>0</v>
      </c>
      <c r="R2" s="9">
        <v>0</v>
      </c>
      <c r="S2" s="9">
        <v>0</v>
      </c>
      <c r="T2" s="9">
        <v>0</v>
      </c>
      <c r="U2" s="9">
        <v>0</v>
      </c>
      <c r="V2" s="9">
        <v>0</v>
      </c>
      <c r="W2" s="9">
        <v>1</v>
      </c>
      <c r="X2" s="9">
        <v>0</v>
      </c>
      <c r="Y2" s="9">
        <v>0</v>
      </c>
      <c r="Z2" s="9">
        <v>0</v>
      </c>
      <c r="AA2" s="9">
        <v>0</v>
      </c>
      <c r="AB2" s="10">
        <f t="shared" ref="AB2:AB65" si="1">IF(COUNTBLANK(H2:AA2)&gt;0,"",SUM(H2:AA2))</f>
        <v>1</v>
      </c>
      <c r="AC2" s="10">
        <f t="shared" ref="AC2:AC65" si="2">IF(AB2="","",AB2/20*100)</f>
        <v>5</v>
      </c>
      <c r="AD2" s="9">
        <v>0</v>
      </c>
      <c r="AE2" s="9">
        <v>0</v>
      </c>
      <c r="AF2" s="9">
        <v>0</v>
      </c>
      <c r="AG2" s="9">
        <v>0</v>
      </c>
      <c r="AH2" s="9">
        <v>0</v>
      </c>
      <c r="AI2" s="9">
        <v>0</v>
      </c>
      <c r="AJ2" s="9">
        <v>0</v>
      </c>
      <c r="AK2" s="9">
        <v>0</v>
      </c>
      <c r="AL2" s="9">
        <v>0</v>
      </c>
      <c r="AM2" s="9">
        <v>0</v>
      </c>
      <c r="AN2" s="9">
        <v>0</v>
      </c>
      <c r="AO2" s="9">
        <v>0</v>
      </c>
      <c r="AP2" s="9">
        <v>0</v>
      </c>
      <c r="AQ2" s="9">
        <v>0</v>
      </c>
      <c r="AR2" s="9">
        <v>0</v>
      </c>
      <c r="AS2" s="10">
        <f t="shared" ref="AS2:AS65" si="3">IF(COUNTBLANK(AD2:AR2)&gt;0,"",SUM(AD2:AR2))</f>
        <v>0</v>
      </c>
      <c r="AT2" s="10">
        <f t="shared" ref="AT2:AT65" si="4">IF(AS2="","",AS2/15*100)</f>
        <v>0</v>
      </c>
      <c r="AU2" s="5" t="s">
        <v>141</v>
      </c>
    </row>
    <row r="3" spans="1:47" ht="15" customHeight="1" x14ac:dyDescent="0.3">
      <c r="A3" s="7" t="str">
        <f t="shared" si="0"/>
        <v>1_2022</v>
      </c>
      <c r="B3" s="7">
        <v>2</v>
      </c>
      <c r="C3" s="7">
        <f>'Panel Data (Long Format)'!B3</f>
        <v>1</v>
      </c>
      <c r="D3" s="7" t="str">
        <f>'Panel Data (Long Format)'!C3</f>
        <v>ABBEYBANK</v>
      </c>
      <c r="E3" s="8" t="str">
        <f>'Panel Data (Long Format)'!D3</f>
        <v>Abbey Mortgage Bank Plc</v>
      </c>
      <c r="F3" s="7" t="str">
        <f>'Panel Data (Long Format)'!E3</f>
        <v>FINANCIAL SERVICES</v>
      </c>
      <c r="G3" s="7">
        <f>'Panel Data (Long Format)'!F3</f>
        <v>2022</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10">
        <f t="shared" si="1"/>
        <v>0</v>
      </c>
      <c r="AC3" s="10">
        <f t="shared" si="2"/>
        <v>0</v>
      </c>
      <c r="AD3" s="9">
        <v>0</v>
      </c>
      <c r="AE3" s="9">
        <v>0</v>
      </c>
      <c r="AF3" s="9">
        <v>0</v>
      </c>
      <c r="AG3" s="9">
        <v>0</v>
      </c>
      <c r="AH3" s="9">
        <v>0</v>
      </c>
      <c r="AI3" s="9">
        <v>0</v>
      </c>
      <c r="AJ3" s="9">
        <v>0</v>
      </c>
      <c r="AK3" s="9">
        <v>0</v>
      </c>
      <c r="AL3" s="9">
        <v>0</v>
      </c>
      <c r="AM3" s="9">
        <v>0</v>
      </c>
      <c r="AN3" s="9">
        <v>0</v>
      </c>
      <c r="AO3" s="9">
        <v>0</v>
      </c>
      <c r="AP3" s="9">
        <v>0</v>
      </c>
      <c r="AQ3" s="9">
        <v>0</v>
      </c>
      <c r="AR3" s="9">
        <v>0</v>
      </c>
      <c r="AS3" s="10">
        <f t="shared" si="3"/>
        <v>0</v>
      </c>
      <c r="AT3" s="10">
        <f t="shared" si="4"/>
        <v>0</v>
      </c>
      <c r="AU3" s="5" t="s">
        <v>142</v>
      </c>
    </row>
    <row r="4" spans="1:47" ht="15" customHeight="1" x14ac:dyDescent="0.3">
      <c r="A4" s="7" t="str">
        <f t="shared" si="0"/>
        <v>1_2023</v>
      </c>
      <c r="B4" s="7">
        <v>3</v>
      </c>
      <c r="C4" s="7">
        <f>'Panel Data (Long Format)'!B4</f>
        <v>1</v>
      </c>
      <c r="D4" s="7" t="str">
        <f>'Panel Data (Long Format)'!C4</f>
        <v>ABBEYBANK</v>
      </c>
      <c r="E4" s="8" t="str">
        <f>'Panel Data (Long Format)'!D4</f>
        <v>Abbey Mortgage Bank Plc</v>
      </c>
      <c r="F4" s="7" t="str">
        <f>'Panel Data (Long Format)'!E4</f>
        <v>FINANCIAL SERVICES</v>
      </c>
      <c r="G4" s="7">
        <f>'Panel Data (Long Format)'!F4</f>
        <v>2023</v>
      </c>
      <c r="H4" s="9">
        <v>0</v>
      </c>
      <c r="I4" s="9">
        <v>0</v>
      </c>
      <c r="J4" s="9">
        <v>0</v>
      </c>
      <c r="K4" s="9">
        <v>0</v>
      </c>
      <c r="L4" s="9">
        <v>1</v>
      </c>
      <c r="M4" s="9">
        <v>1</v>
      </c>
      <c r="N4" s="9">
        <v>0</v>
      </c>
      <c r="O4" s="9">
        <v>0</v>
      </c>
      <c r="P4" s="9">
        <v>0</v>
      </c>
      <c r="Q4" s="9">
        <v>0</v>
      </c>
      <c r="R4" s="9">
        <v>0</v>
      </c>
      <c r="S4" s="9">
        <v>0</v>
      </c>
      <c r="T4" s="9">
        <v>0</v>
      </c>
      <c r="U4" s="9">
        <v>0</v>
      </c>
      <c r="V4" s="9">
        <v>0</v>
      </c>
      <c r="W4" s="9">
        <v>0</v>
      </c>
      <c r="X4" s="9">
        <v>0</v>
      </c>
      <c r="Y4" s="9">
        <v>0</v>
      </c>
      <c r="Z4" s="9">
        <v>0</v>
      </c>
      <c r="AA4" s="9">
        <v>0</v>
      </c>
      <c r="AB4" s="10">
        <f t="shared" si="1"/>
        <v>2</v>
      </c>
      <c r="AC4" s="10">
        <f t="shared" si="2"/>
        <v>10</v>
      </c>
      <c r="AD4" s="9">
        <v>0</v>
      </c>
      <c r="AE4" s="9">
        <v>0</v>
      </c>
      <c r="AF4" s="9">
        <v>0</v>
      </c>
      <c r="AG4" s="9">
        <v>0</v>
      </c>
      <c r="AH4" s="9">
        <v>0</v>
      </c>
      <c r="AI4" s="9">
        <v>0</v>
      </c>
      <c r="AJ4" s="9">
        <v>0</v>
      </c>
      <c r="AK4" s="9">
        <v>0</v>
      </c>
      <c r="AL4" s="9">
        <v>0</v>
      </c>
      <c r="AM4" s="9">
        <v>0</v>
      </c>
      <c r="AN4" s="9">
        <v>0</v>
      </c>
      <c r="AO4" s="9">
        <v>0</v>
      </c>
      <c r="AP4" s="9">
        <v>0</v>
      </c>
      <c r="AQ4" s="9">
        <v>0</v>
      </c>
      <c r="AR4" s="9">
        <v>0</v>
      </c>
      <c r="AS4" s="10">
        <f t="shared" si="3"/>
        <v>0</v>
      </c>
      <c r="AT4" s="10">
        <f t="shared" si="4"/>
        <v>0</v>
      </c>
      <c r="AU4" s="5" t="s">
        <v>143</v>
      </c>
    </row>
    <row r="5" spans="1:47" ht="15" customHeight="1" x14ac:dyDescent="0.3">
      <c r="A5" s="7" t="str">
        <f t="shared" si="0"/>
        <v>1_2024</v>
      </c>
      <c r="B5" s="7">
        <v>4</v>
      </c>
      <c r="C5" s="7">
        <f>'Panel Data (Long Format)'!B5</f>
        <v>1</v>
      </c>
      <c r="D5" s="7" t="str">
        <f>'Panel Data (Long Format)'!C5</f>
        <v>ABBEYBANK</v>
      </c>
      <c r="E5" s="8" t="str">
        <f>'Panel Data (Long Format)'!D5</f>
        <v>Abbey Mortgage Bank Plc</v>
      </c>
      <c r="F5" s="7" t="str">
        <f>'Panel Data (Long Format)'!E5</f>
        <v>FINANCIAL SERVICES</v>
      </c>
      <c r="G5" s="7">
        <f>'Panel Data (Long Format)'!F5</f>
        <v>2024</v>
      </c>
      <c r="H5" s="9">
        <v>0</v>
      </c>
      <c r="I5" s="9">
        <v>0</v>
      </c>
      <c r="J5" s="9">
        <v>0</v>
      </c>
      <c r="K5" s="9">
        <v>0</v>
      </c>
      <c r="L5" s="9">
        <v>1</v>
      </c>
      <c r="M5" s="9">
        <v>0</v>
      </c>
      <c r="N5" s="9">
        <v>0</v>
      </c>
      <c r="O5" s="9">
        <v>0</v>
      </c>
      <c r="P5" s="9">
        <v>0</v>
      </c>
      <c r="Q5" s="9">
        <v>0</v>
      </c>
      <c r="R5" s="9">
        <v>0</v>
      </c>
      <c r="S5" s="9">
        <v>0</v>
      </c>
      <c r="T5" s="9">
        <v>0</v>
      </c>
      <c r="U5" s="9">
        <v>0</v>
      </c>
      <c r="V5" s="9">
        <v>0</v>
      </c>
      <c r="W5" s="9">
        <v>1</v>
      </c>
      <c r="X5" s="9">
        <v>0</v>
      </c>
      <c r="Y5" s="9">
        <v>0</v>
      </c>
      <c r="Z5" s="9">
        <v>0</v>
      </c>
      <c r="AA5" s="9">
        <v>0</v>
      </c>
      <c r="AB5" s="10">
        <f t="shared" si="1"/>
        <v>2</v>
      </c>
      <c r="AC5" s="10">
        <f t="shared" si="2"/>
        <v>10</v>
      </c>
      <c r="AD5" s="9">
        <v>0</v>
      </c>
      <c r="AE5" s="9">
        <v>0</v>
      </c>
      <c r="AF5" s="9">
        <v>0</v>
      </c>
      <c r="AG5" s="9">
        <v>0</v>
      </c>
      <c r="AH5" s="9">
        <v>0</v>
      </c>
      <c r="AI5" s="9">
        <v>0</v>
      </c>
      <c r="AJ5" s="9">
        <v>0</v>
      </c>
      <c r="AK5" s="9">
        <v>0</v>
      </c>
      <c r="AL5" s="9">
        <v>0</v>
      </c>
      <c r="AM5" s="9">
        <v>0</v>
      </c>
      <c r="AN5" s="9">
        <v>0</v>
      </c>
      <c r="AO5" s="9">
        <v>0</v>
      </c>
      <c r="AP5" s="9">
        <v>0</v>
      </c>
      <c r="AQ5" s="9">
        <v>0</v>
      </c>
      <c r="AR5" s="9">
        <v>0</v>
      </c>
      <c r="AS5" s="10">
        <f t="shared" si="3"/>
        <v>0</v>
      </c>
      <c r="AT5" s="10">
        <f t="shared" si="4"/>
        <v>0</v>
      </c>
      <c r="AU5" s="5" t="s">
        <v>144</v>
      </c>
    </row>
    <row r="6" spans="1:47" ht="15" customHeight="1" x14ac:dyDescent="0.3">
      <c r="A6" s="7" t="str">
        <f t="shared" si="0"/>
        <v>1_2025</v>
      </c>
      <c r="B6" s="7">
        <v>5</v>
      </c>
      <c r="C6" s="7">
        <f>'Panel Data (Long Format)'!B6</f>
        <v>1</v>
      </c>
      <c r="D6" s="7" t="str">
        <f>'Panel Data (Long Format)'!C6</f>
        <v>ABBEYBANK</v>
      </c>
      <c r="E6" s="8" t="str">
        <f>'Panel Data (Long Format)'!D6</f>
        <v>Abbey Mortgage Bank Plc</v>
      </c>
      <c r="F6" s="7" t="str">
        <f>'Panel Data (Long Format)'!E6</f>
        <v>FINANCIAL SERVICES</v>
      </c>
      <c r="G6" s="7">
        <f>'Panel Data (Long Format)'!F6</f>
        <v>2025</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10">
        <f t="shared" si="1"/>
        <v>0</v>
      </c>
      <c r="AC6" s="10">
        <f t="shared" si="2"/>
        <v>0</v>
      </c>
      <c r="AD6" s="9">
        <v>0</v>
      </c>
      <c r="AE6" s="9">
        <v>0</v>
      </c>
      <c r="AF6" s="9">
        <v>0</v>
      </c>
      <c r="AG6" s="9">
        <v>0</v>
      </c>
      <c r="AH6" s="9">
        <v>0</v>
      </c>
      <c r="AI6" s="9">
        <v>0</v>
      </c>
      <c r="AJ6" s="9">
        <v>0</v>
      </c>
      <c r="AK6" s="9">
        <v>0</v>
      </c>
      <c r="AL6" s="9">
        <v>0</v>
      </c>
      <c r="AM6" s="9">
        <v>0</v>
      </c>
      <c r="AN6" s="9">
        <v>0</v>
      </c>
      <c r="AO6" s="9">
        <v>0</v>
      </c>
      <c r="AP6" s="9">
        <v>0</v>
      </c>
      <c r="AQ6" s="9">
        <v>0</v>
      </c>
      <c r="AR6" s="9">
        <v>0</v>
      </c>
      <c r="AS6" s="10">
        <f t="shared" si="3"/>
        <v>0</v>
      </c>
      <c r="AT6" s="10">
        <f t="shared" si="4"/>
        <v>0</v>
      </c>
      <c r="AU6" s="5" t="s">
        <v>145</v>
      </c>
    </row>
    <row r="7" spans="1:47" ht="15" customHeight="1" x14ac:dyDescent="0.3">
      <c r="A7" s="7" t="str">
        <f t="shared" si="0"/>
        <v>2_2021</v>
      </c>
      <c r="B7" s="7">
        <v>6</v>
      </c>
      <c r="C7" s="7">
        <f>'Panel Data (Long Format)'!B7</f>
        <v>2</v>
      </c>
      <c r="D7" s="7" t="str">
        <f>'Panel Data (Long Format)'!C7</f>
        <v>ABCTRANS</v>
      </c>
      <c r="E7" s="8" t="str">
        <f>'Panel Data (Long Format)'!D7</f>
        <v>ABC Transport Plc</v>
      </c>
      <c r="F7" s="7" t="str">
        <f>'Panel Data (Long Format)'!E7</f>
        <v>SERVICES</v>
      </c>
      <c r="G7" s="7">
        <f>'Panel Data (Long Format)'!F7</f>
        <v>2021</v>
      </c>
      <c r="H7" s="9">
        <v>0</v>
      </c>
      <c r="I7" s="9">
        <v>0</v>
      </c>
      <c r="J7" s="9">
        <v>0</v>
      </c>
      <c r="K7" s="9">
        <v>0</v>
      </c>
      <c r="L7" s="9">
        <v>0</v>
      </c>
      <c r="M7" s="9">
        <v>0</v>
      </c>
      <c r="N7" s="9">
        <v>0</v>
      </c>
      <c r="O7" s="9">
        <v>0</v>
      </c>
      <c r="P7" s="9">
        <v>0</v>
      </c>
      <c r="Q7" s="9">
        <v>0</v>
      </c>
      <c r="R7" s="9">
        <v>0</v>
      </c>
      <c r="S7" s="9">
        <v>0</v>
      </c>
      <c r="T7" s="9">
        <v>0</v>
      </c>
      <c r="U7" s="9">
        <v>0</v>
      </c>
      <c r="V7" s="9">
        <v>0</v>
      </c>
      <c r="W7" s="9">
        <v>1</v>
      </c>
      <c r="X7" s="9">
        <v>0</v>
      </c>
      <c r="Y7" s="9">
        <v>0</v>
      </c>
      <c r="Z7" s="9">
        <v>0</v>
      </c>
      <c r="AA7" s="9">
        <v>0</v>
      </c>
      <c r="AB7" s="10">
        <f t="shared" si="1"/>
        <v>1</v>
      </c>
      <c r="AC7" s="10">
        <f t="shared" si="2"/>
        <v>5</v>
      </c>
      <c r="AD7" s="9">
        <v>0</v>
      </c>
      <c r="AE7" s="9">
        <v>0</v>
      </c>
      <c r="AF7" s="9">
        <v>0</v>
      </c>
      <c r="AG7" s="9">
        <v>0</v>
      </c>
      <c r="AH7" s="9">
        <v>0</v>
      </c>
      <c r="AI7" s="9">
        <v>0</v>
      </c>
      <c r="AJ7" s="9">
        <v>0</v>
      </c>
      <c r="AK7" s="9">
        <v>0</v>
      </c>
      <c r="AL7" s="9">
        <v>0</v>
      </c>
      <c r="AM7" s="9">
        <v>0</v>
      </c>
      <c r="AN7" s="9">
        <v>0</v>
      </c>
      <c r="AO7" s="9">
        <v>0</v>
      </c>
      <c r="AP7" s="9">
        <v>0</v>
      </c>
      <c r="AQ7" s="9">
        <v>0</v>
      </c>
      <c r="AR7" s="9">
        <v>0</v>
      </c>
      <c r="AS7" s="10">
        <f t="shared" si="3"/>
        <v>0</v>
      </c>
      <c r="AT7" s="10">
        <f t="shared" si="4"/>
        <v>0</v>
      </c>
      <c r="AU7" s="5" t="s">
        <v>146</v>
      </c>
    </row>
    <row r="8" spans="1:47" ht="15" customHeight="1" x14ac:dyDescent="0.3">
      <c r="A8" s="7" t="str">
        <f t="shared" si="0"/>
        <v>2_2022</v>
      </c>
      <c r="B8" s="7">
        <v>7</v>
      </c>
      <c r="C8" s="7">
        <f>'Panel Data (Long Format)'!B8</f>
        <v>2</v>
      </c>
      <c r="D8" s="7" t="str">
        <f>'Panel Data (Long Format)'!C8</f>
        <v>ABCTRANS</v>
      </c>
      <c r="E8" s="8" t="str">
        <f>'Panel Data (Long Format)'!D8</f>
        <v>ABC Transport Plc</v>
      </c>
      <c r="F8" s="7" t="str">
        <f>'Panel Data (Long Format)'!E8</f>
        <v>SERVICES</v>
      </c>
      <c r="G8" s="7">
        <f>'Panel Data (Long Format)'!F8</f>
        <v>2022</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10">
        <f t="shared" si="1"/>
        <v>0</v>
      </c>
      <c r="AC8" s="10">
        <f t="shared" si="2"/>
        <v>0</v>
      </c>
      <c r="AD8" s="9">
        <v>0</v>
      </c>
      <c r="AE8" s="9">
        <v>0</v>
      </c>
      <c r="AF8" s="9">
        <v>0</v>
      </c>
      <c r="AG8" s="9">
        <v>0</v>
      </c>
      <c r="AH8" s="9">
        <v>0</v>
      </c>
      <c r="AI8" s="9">
        <v>0</v>
      </c>
      <c r="AJ8" s="9">
        <v>0</v>
      </c>
      <c r="AK8" s="9">
        <v>0</v>
      </c>
      <c r="AL8" s="9">
        <v>0</v>
      </c>
      <c r="AM8" s="9">
        <v>0</v>
      </c>
      <c r="AN8" s="9">
        <v>0</v>
      </c>
      <c r="AO8" s="9">
        <v>0</v>
      </c>
      <c r="AP8" s="9">
        <v>0</v>
      </c>
      <c r="AQ8" s="9">
        <v>0</v>
      </c>
      <c r="AR8" s="9">
        <v>0</v>
      </c>
      <c r="AS8" s="10">
        <f t="shared" si="3"/>
        <v>0</v>
      </c>
      <c r="AT8" s="10">
        <f t="shared" si="4"/>
        <v>0</v>
      </c>
      <c r="AU8" s="5" t="s">
        <v>147</v>
      </c>
    </row>
    <row r="9" spans="1:47" ht="15" customHeight="1" x14ac:dyDescent="0.3">
      <c r="A9" s="7" t="str">
        <f t="shared" si="0"/>
        <v>2_2023</v>
      </c>
      <c r="B9" s="7">
        <v>8</v>
      </c>
      <c r="C9" s="7">
        <f>'Panel Data (Long Format)'!B9</f>
        <v>2</v>
      </c>
      <c r="D9" s="7" t="str">
        <f>'Panel Data (Long Format)'!C9</f>
        <v>ABCTRANS</v>
      </c>
      <c r="E9" s="8" t="str">
        <f>'Panel Data (Long Format)'!D9</f>
        <v>ABC Transport Plc</v>
      </c>
      <c r="F9" s="7" t="str">
        <f>'Panel Data (Long Format)'!E9</f>
        <v>SERVICES</v>
      </c>
      <c r="G9" s="7">
        <f>'Panel Data (Long Format)'!F9</f>
        <v>2023</v>
      </c>
      <c r="H9" s="9">
        <v>0</v>
      </c>
      <c r="I9" s="9">
        <v>0</v>
      </c>
      <c r="J9" s="9">
        <v>0</v>
      </c>
      <c r="K9" s="9">
        <v>0</v>
      </c>
      <c r="L9" s="9">
        <v>0</v>
      </c>
      <c r="M9" s="9">
        <v>0</v>
      </c>
      <c r="N9" s="9">
        <v>0</v>
      </c>
      <c r="O9" s="9">
        <v>0</v>
      </c>
      <c r="P9" s="9">
        <v>0</v>
      </c>
      <c r="Q9" s="9">
        <v>0</v>
      </c>
      <c r="R9" s="9">
        <v>0</v>
      </c>
      <c r="S9" s="9">
        <v>0</v>
      </c>
      <c r="T9" s="9">
        <v>0</v>
      </c>
      <c r="U9" s="9">
        <v>0</v>
      </c>
      <c r="V9" s="9">
        <v>0</v>
      </c>
      <c r="W9" s="9">
        <v>1</v>
      </c>
      <c r="X9" s="9">
        <v>0</v>
      </c>
      <c r="Y9" s="9">
        <v>0</v>
      </c>
      <c r="Z9" s="9">
        <v>0</v>
      </c>
      <c r="AA9" s="9">
        <v>0</v>
      </c>
      <c r="AB9" s="10">
        <f t="shared" si="1"/>
        <v>1</v>
      </c>
      <c r="AC9" s="10">
        <f t="shared" si="2"/>
        <v>5</v>
      </c>
      <c r="AD9" s="9">
        <v>0</v>
      </c>
      <c r="AE9" s="9">
        <v>0</v>
      </c>
      <c r="AF9" s="9">
        <v>0</v>
      </c>
      <c r="AG9" s="9">
        <v>0</v>
      </c>
      <c r="AH9" s="9">
        <v>0</v>
      </c>
      <c r="AI9" s="9">
        <v>0</v>
      </c>
      <c r="AJ9" s="9">
        <v>0</v>
      </c>
      <c r="AK9" s="9">
        <v>0</v>
      </c>
      <c r="AL9" s="9">
        <v>0</v>
      </c>
      <c r="AM9" s="9">
        <v>0</v>
      </c>
      <c r="AN9" s="9">
        <v>0</v>
      </c>
      <c r="AO9" s="9">
        <v>0</v>
      </c>
      <c r="AP9" s="9">
        <v>0</v>
      </c>
      <c r="AQ9" s="9">
        <v>0</v>
      </c>
      <c r="AR9" s="9">
        <v>0</v>
      </c>
      <c r="AS9" s="10">
        <f t="shared" si="3"/>
        <v>0</v>
      </c>
      <c r="AT9" s="10">
        <f t="shared" si="4"/>
        <v>0</v>
      </c>
      <c r="AU9" s="5" t="s">
        <v>148</v>
      </c>
    </row>
    <row r="10" spans="1:47" ht="15" customHeight="1" x14ac:dyDescent="0.3">
      <c r="A10" s="7" t="str">
        <f t="shared" si="0"/>
        <v>2_2024</v>
      </c>
      <c r="B10" s="7">
        <v>9</v>
      </c>
      <c r="C10" s="7">
        <f>'Panel Data (Long Format)'!B10</f>
        <v>2</v>
      </c>
      <c r="D10" s="7" t="str">
        <f>'Panel Data (Long Format)'!C10</f>
        <v>ABCTRANS</v>
      </c>
      <c r="E10" s="8" t="str">
        <f>'Panel Data (Long Format)'!D10</f>
        <v>ABC Transport Plc</v>
      </c>
      <c r="F10" s="7" t="str">
        <f>'Panel Data (Long Format)'!E10</f>
        <v>SERVICES</v>
      </c>
      <c r="G10" s="7">
        <f>'Panel Data (Long Format)'!F10</f>
        <v>2024</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10">
        <f t="shared" si="1"/>
        <v>0</v>
      </c>
      <c r="AC10" s="10">
        <f t="shared" si="2"/>
        <v>0</v>
      </c>
      <c r="AD10" s="9">
        <v>0</v>
      </c>
      <c r="AE10" s="9">
        <v>0</v>
      </c>
      <c r="AF10" s="9">
        <v>0</v>
      </c>
      <c r="AG10" s="9">
        <v>0</v>
      </c>
      <c r="AH10" s="9">
        <v>0</v>
      </c>
      <c r="AI10" s="9">
        <v>0</v>
      </c>
      <c r="AJ10" s="9">
        <v>0</v>
      </c>
      <c r="AK10" s="9">
        <v>0</v>
      </c>
      <c r="AL10" s="9">
        <v>0</v>
      </c>
      <c r="AM10" s="9">
        <v>0</v>
      </c>
      <c r="AN10" s="9">
        <v>0</v>
      </c>
      <c r="AO10" s="9">
        <v>0</v>
      </c>
      <c r="AP10" s="9">
        <v>0</v>
      </c>
      <c r="AQ10" s="9">
        <v>0</v>
      </c>
      <c r="AR10" s="9">
        <v>0</v>
      </c>
      <c r="AS10" s="10">
        <f t="shared" si="3"/>
        <v>0</v>
      </c>
      <c r="AT10" s="10">
        <f t="shared" si="4"/>
        <v>0</v>
      </c>
      <c r="AU10" s="5" t="s">
        <v>149</v>
      </c>
    </row>
    <row r="11" spans="1:47" ht="15" customHeight="1" x14ac:dyDescent="0.3">
      <c r="A11" s="7" t="str">
        <f t="shared" si="0"/>
        <v>2_2025</v>
      </c>
      <c r="B11" s="7">
        <v>10</v>
      </c>
      <c r="C11" s="7">
        <f>'Panel Data (Long Format)'!B11</f>
        <v>2</v>
      </c>
      <c r="D11" s="7" t="str">
        <f>'Panel Data (Long Format)'!C11</f>
        <v>ABCTRANS</v>
      </c>
      <c r="E11" s="8" t="str">
        <f>'Panel Data (Long Format)'!D11</f>
        <v>ABC Transport Plc</v>
      </c>
      <c r="F11" s="7" t="str">
        <f>'Panel Data (Long Format)'!E11</f>
        <v>SERVICES</v>
      </c>
      <c r="G11" s="7">
        <f>'Panel Data (Long Format)'!F11</f>
        <v>2025</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10">
        <f t="shared" si="1"/>
        <v>0</v>
      </c>
      <c r="AC11" s="10">
        <f t="shared" si="2"/>
        <v>0</v>
      </c>
      <c r="AD11" s="9">
        <v>0</v>
      </c>
      <c r="AE11" s="9">
        <v>0</v>
      </c>
      <c r="AF11" s="9">
        <v>0</v>
      </c>
      <c r="AG11" s="9">
        <v>0</v>
      </c>
      <c r="AH11" s="9">
        <v>0</v>
      </c>
      <c r="AI11" s="9">
        <v>0</v>
      </c>
      <c r="AJ11" s="9">
        <v>0</v>
      </c>
      <c r="AK11" s="9">
        <v>0</v>
      </c>
      <c r="AL11" s="9">
        <v>0</v>
      </c>
      <c r="AM11" s="9">
        <v>0</v>
      </c>
      <c r="AN11" s="9">
        <v>0</v>
      </c>
      <c r="AO11" s="9">
        <v>0</v>
      </c>
      <c r="AP11" s="9">
        <v>0</v>
      </c>
      <c r="AQ11" s="9">
        <v>0</v>
      </c>
      <c r="AR11" s="9">
        <v>0</v>
      </c>
      <c r="AS11" s="10">
        <f t="shared" si="3"/>
        <v>0</v>
      </c>
      <c r="AT11" s="10">
        <f t="shared" si="4"/>
        <v>0</v>
      </c>
      <c r="AU11" s="5" t="s">
        <v>150</v>
      </c>
    </row>
    <row r="12" spans="1:47" ht="15" customHeight="1" x14ac:dyDescent="0.3">
      <c r="A12" s="7" t="str">
        <f t="shared" si="0"/>
        <v>3_2021</v>
      </c>
      <c r="B12" s="7">
        <v>11</v>
      </c>
      <c r="C12" s="7">
        <f>'Panel Data (Long Format)'!B12</f>
        <v>3</v>
      </c>
      <c r="D12" s="7" t="str">
        <f>'Panel Data (Long Format)'!C12</f>
        <v>ACADEMY</v>
      </c>
      <c r="E12" s="8" t="str">
        <f>'Panel Data (Long Format)'!D12</f>
        <v>Academy Press Plc</v>
      </c>
      <c r="F12" s="7" t="str">
        <f>'Panel Data (Long Format)'!E12</f>
        <v>SERVICES</v>
      </c>
      <c r="G12" s="7">
        <f>'Panel Data (Long Format)'!F12</f>
        <v>2021</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10">
        <f t="shared" si="1"/>
        <v>0</v>
      </c>
      <c r="AC12" s="10">
        <f t="shared" si="2"/>
        <v>0</v>
      </c>
      <c r="AD12" s="9">
        <v>0</v>
      </c>
      <c r="AE12" s="9">
        <v>0</v>
      </c>
      <c r="AF12" s="9">
        <v>0</v>
      </c>
      <c r="AG12" s="9">
        <v>0</v>
      </c>
      <c r="AH12" s="9">
        <v>0</v>
      </c>
      <c r="AI12" s="9">
        <v>0</v>
      </c>
      <c r="AJ12" s="9">
        <v>0</v>
      </c>
      <c r="AK12" s="9">
        <v>0</v>
      </c>
      <c r="AL12" s="9">
        <v>0</v>
      </c>
      <c r="AM12" s="9">
        <v>0</v>
      </c>
      <c r="AN12" s="9">
        <v>0</v>
      </c>
      <c r="AO12" s="9">
        <v>0</v>
      </c>
      <c r="AP12" s="9">
        <v>0</v>
      </c>
      <c r="AQ12" s="9">
        <v>0</v>
      </c>
      <c r="AR12" s="9">
        <v>0</v>
      </c>
      <c r="AS12" s="10">
        <f t="shared" si="3"/>
        <v>0</v>
      </c>
      <c r="AT12" s="10">
        <f t="shared" si="4"/>
        <v>0</v>
      </c>
      <c r="AU12" s="5" t="s">
        <v>151</v>
      </c>
    </row>
    <row r="13" spans="1:47" ht="15" customHeight="1" x14ac:dyDescent="0.3">
      <c r="A13" s="7" t="str">
        <f t="shared" si="0"/>
        <v>3_2022</v>
      </c>
      <c r="B13" s="7">
        <v>12</v>
      </c>
      <c r="C13" s="7">
        <f>'Panel Data (Long Format)'!B13</f>
        <v>3</v>
      </c>
      <c r="D13" s="7" t="str">
        <f>'Panel Data (Long Format)'!C13</f>
        <v>ACADEMY</v>
      </c>
      <c r="E13" s="8" t="str">
        <f>'Panel Data (Long Format)'!D13</f>
        <v>Academy Press Plc</v>
      </c>
      <c r="F13" s="7" t="str">
        <f>'Panel Data (Long Format)'!E13</f>
        <v>SERVICES</v>
      </c>
      <c r="G13" s="7">
        <f>'Panel Data (Long Format)'!F13</f>
        <v>2022</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10">
        <f t="shared" si="1"/>
        <v>0</v>
      </c>
      <c r="AC13" s="10">
        <f t="shared" si="2"/>
        <v>0</v>
      </c>
      <c r="AD13" s="9">
        <v>0</v>
      </c>
      <c r="AE13" s="9">
        <v>0</v>
      </c>
      <c r="AF13" s="9">
        <v>0</v>
      </c>
      <c r="AG13" s="9">
        <v>0</v>
      </c>
      <c r="AH13" s="9">
        <v>0</v>
      </c>
      <c r="AI13" s="9">
        <v>0</v>
      </c>
      <c r="AJ13" s="9">
        <v>0</v>
      </c>
      <c r="AK13" s="9">
        <v>0</v>
      </c>
      <c r="AL13" s="9">
        <v>0</v>
      </c>
      <c r="AM13" s="9">
        <v>0</v>
      </c>
      <c r="AN13" s="9">
        <v>0</v>
      </c>
      <c r="AO13" s="9">
        <v>0</v>
      </c>
      <c r="AP13" s="9">
        <v>0</v>
      </c>
      <c r="AQ13" s="9">
        <v>0</v>
      </c>
      <c r="AR13" s="9">
        <v>0</v>
      </c>
      <c r="AS13" s="10">
        <f t="shared" si="3"/>
        <v>0</v>
      </c>
      <c r="AT13" s="10">
        <f t="shared" si="4"/>
        <v>0</v>
      </c>
      <c r="AU13" s="5" t="s">
        <v>152</v>
      </c>
    </row>
    <row r="14" spans="1:47" ht="15" customHeight="1" x14ac:dyDescent="0.3">
      <c r="A14" s="7" t="str">
        <f t="shared" si="0"/>
        <v>3_2023</v>
      </c>
      <c r="B14" s="7">
        <v>13</v>
      </c>
      <c r="C14" s="7">
        <f>'Panel Data (Long Format)'!B14</f>
        <v>3</v>
      </c>
      <c r="D14" s="7" t="str">
        <f>'Panel Data (Long Format)'!C14</f>
        <v>ACADEMY</v>
      </c>
      <c r="E14" s="8" t="str">
        <f>'Panel Data (Long Format)'!D14</f>
        <v>Academy Press Plc</v>
      </c>
      <c r="F14" s="7" t="str">
        <f>'Panel Data (Long Format)'!E14</f>
        <v>SERVICES</v>
      </c>
      <c r="G14" s="7">
        <f>'Panel Data (Long Format)'!F14</f>
        <v>2023</v>
      </c>
      <c r="H14" s="9">
        <v>0</v>
      </c>
      <c r="I14" s="9">
        <v>0</v>
      </c>
      <c r="J14" s="9">
        <v>0</v>
      </c>
      <c r="K14" s="9">
        <v>0</v>
      </c>
      <c r="L14" s="9">
        <v>0</v>
      </c>
      <c r="M14" s="9">
        <v>0</v>
      </c>
      <c r="N14" s="9">
        <v>0</v>
      </c>
      <c r="O14" s="9">
        <v>0</v>
      </c>
      <c r="P14" s="9">
        <v>0</v>
      </c>
      <c r="Q14" s="9">
        <v>0</v>
      </c>
      <c r="R14" s="9">
        <v>0</v>
      </c>
      <c r="S14" s="9">
        <v>0</v>
      </c>
      <c r="T14" s="9">
        <v>0</v>
      </c>
      <c r="U14" s="9">
        <v>0</v>
      </c>
      <c r="V14" s="9">
        <v>0</v>
      </c>
      <c r="W14" s="9">
        <v>1</v>
      </c>
      <c r="X14" s="9">
        <v>0</v>
      </c>
      <c r="Y14" s="9">
        <v>0</v>
      </c>
      <c r="Z14" s="9">
        <v>0</v>
      </c>
      <c r="AA14" s="9">
        <v>0</v>
      </c>
      <c r="AB14" s="10">
        <f t="shared" si="1"/>
        <v>1</v>
      </c>
      <c r="AC14" s="10">
        <f t="shared" si="2"/>
        <v>5</v>
      </c>
      <c r="AD14" s="9">
        <v>0</v>
      </c>
      <c r="AE14" s="9">
        <v>0</v>
      </c>
      <c r="AF14" s="9">
        <v>0</v>
      </c>
      <c r="AG14" s="9">
        <v>0</v>
      </c>
      <c r="AH14" s="9">
        <v>0</v>
      </c>
      <c r="AI14" s="9">
        <v>0</v>
      </c>
      <c r="AJ14" s="9">
        <v>0</v>
      </c>
      <c r="AK14" s="9">
        <v>0</v>
      </c>
      <c r="AL14" s="9">
        <v>0</v>
      </c>
      <c r="AM14" s="9">
        <v>0</v>
      </c>
      <c r="AN14" s="9">
        <v>0</v>
      </c>
      <c r="AO14" s="9">
        <v>0</v>
      </c>
      <c r="AP14" s="9">
        <v>0</v>
      </c>
      <c r="AQ14" s="9">
        <v>0</v>
      </c>
      <c r="AR14" s="9">
        <v>0</v>
      </c>
      <c r="AS14" s="10">
        <f t="shared" si="3"/>
        <v>0</v>
      </c>
      <c r="AT14" s="10">
        <f t="shared" si="4"/>
        <v>0</v>
      </c>
      <c r="AU14" s="5" t="s">
        <v>153</v>
      </c>
    </row>
    <row r="15" spans="1:47" ht="15" customHeight="1" x14ac:dyDescent="0.3">
      <c r="A15" s="7" t="str">
        <f t="shared" si="0"/>
        <v>3_2024</v>
      </c>
      <c r="B15" s="7">
        <v>14</v>
      </c>
      <c r="C15" s="7">
        <f>'Panel Data (Long Format)'!B15</f>
        <v>3</v>
      </c>
      <c r="D15" s="7" t="str">
        <f>'Panel Data (Long Format)'!C15</f>
        <v>ACADEMY</v>
      </c>
      <c r="E15" s="8" t="str">
        <f>'Panel Data (Long Format)'!D15</f>
        <v>Academy Press Plc</v>
      </c>
      <c r="F15" s="7" t="str">
        <f>'Panel Data (Long Format)'!E15</f>
        <v>SERVICES</v>
      </c>
      <c r="G15" s="7">
        <f>'Panel Data (Long Format)'!F15</f>
        <v>2024</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10">
        <f t="shared" si="1"/>
        <v>0</v>
      </c>
      <c r="AC15" s="10">
        <f t="shared" si="2"/>
        <v>0</v>
      </c>
      <c r="AD15" s="9">
        <v>0</v>
      </c>
      <c r="AE15" s="9">
        <v>0</v>
      </c>
      <c r="AF15" s="9">
        <v>0</v>
      </c>
      <c r="AG15" s="9">
        <v>0</v>
      </c>
      <c r="AH15" s="9">
        <v>0</v>
      </c>
      <c r="AI15" s="9">
        <v>0</v>
      </c>
      <c r="AJ15" s="9">
        <v>0</v>
      </c>
      <c r="AK15" s="9">
        <v>0</v>
      </c>
      <c r="AL15" s="9">
        <v>0</v>
      </c>
      <c r="AM15" s="9">
        <v>0</v>
      </c>
      <c r="AN15" s="9">
        <v>0</v>
      </c>
      <c r="AO15" s="9">
        <v>0</v>
      </c>
      <c r="AP15" s="9">
        <v>0</v>
      </c>
      <c r="AQ15" s="9">
        <v>0</v>
      </c>
      <c r="AR15" s="9">
        <v>0</v>
      </c>
      <c r="AS15" s="10">
        <f t="shared" si="3"/>
        <v>0</v>
      </c>
      <c r="AT15" s="10">
        <f t="shared" si="4"/>
        <v>0</v>
      </c>
      <c r="AU15" s="5" t="s">
        <v>154</v>
      </c>
    </row>
    <row r="16" spans="1:47" ht="15" customHeight="1" x14ac:dyDescent="0.3">
      <c r="A16" s="7" t="str">
        <f t="shared" si="0"/>
        <v>3_2025</v>
      </c>
      <c r="B16" s="7">
        <v>15</v>
      </c>
      <c r="C16" s="7">
        <f>'Panel Data (Long Format)'!B16</f>
        <v>3</v>
      </c>
      <c r="D16" s="7" t="str">
        <f>'Panel Data (Long Format)'!C16</f>
        <v>ACADEMY</v>
      </c>
      <c r="E16" s="8" t="str">
        <f>'Panel Data (Long Format)'!D16</f>
        <v>Academy Press Plc</v>
      </c>
      <c r="F16" s="7" t="str">
        <f>'Panel Data (Long Format)'!E16</f>
        <v>SERVICES</v>
      </c>
      <c r="G16" s="7">
        <f>'Panel Data (Long Format)'!F16</f>
        <v>2025</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10">
        <f t="shared" si="1"/>
        <v>0</v>
      </c>
      <c r="AC16" s="10">
        <f t="shared" si="2"/>
        <v>0</v>
      </c>
      <c r="AD16" s="9">
        <v>0</v>
      </c>
      <c r="AE16" s="9">
        <v>0</v>
      </c>
      <c r="AF16" s="9">
        <v>0</v>
      </c>
      <c r="AG16" s="9">
        <v>0</v>
      </c>
      <c r="AH16" s="9">
        <v>0</v>
      </c>
      <c r="AI16" s="9">
        <v>0</v>
      </c>
      <c r="AJ16" s="9">
        <v>0</v>
      </c>
      <c r="AK16" s="9">
        <v>0</v>
      </c>
      <c r="AL16" s="9">
        <v>0</v>
      </c>
      <c r="AM16" s="9">
        <v>0</v>
      </c>
      <c r="AN16" s="9">
        <v>0</v>
      </c>
      <c r="AO16" s="9">
        <v>0</v>
      </c>
      <c r="AP16" s="9">
        <v>0</v>
      </c>
      <c r="AQ16" s="9">
        <v>0</v>
      </c>
      <c r="AR16" s="9">
        <v>0</v>
      </c>
      <c r="AS16" s="10">
        <f t="shared" si="3"/>
        <v>0</v>
      </c>
      <c r="AT16" s="10">
        <f t="shared" si="4"/>
        <v>0</v>
      </c>
      <c r="AU16" s="5" t="s">
        <v>155</v>
      </c>
    </row>
    <row r="17" spans="1:47" ht="15" customHeight="1" x14ac:dyDescent="0.3">
      <c r="A17" s="7" t="str">
        <f t="shared" si="0"/>
        <v>4_2021</v>
      </c>
      <c r="B17" s="7">
        <v>16</v>
      </c>
      <c r="C17" s="7">
        <f>'Panel Data (Long Format)'!B17</f>
        <v>4</v>
      </c>
      <c r="D17" s="7" t="str">
        <f>'Panel Data (Long Format)'!C17</f>
        <v>ACCESSCORP</v>
      </c>
      <c r="E17" s="8" t="str">
        <f>'Panel Data (Long Format)'!D17</f>
        <v>Access Holdings Plc</v>
      </c>
      <c r="F17" s="7" t="str">
        <f>'Panel Data (Long Format)'!E17</f>
        <v>FINANCIAL SERVICES</v>
      </c>
      <c r="G17" s="7">
        <f>'Panel Data (Long Format)'!F17</f>
        <v>2021</v>
      </c>
      <c r="H17" s="9">
        <v>1</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10">
        <f t="shared" si="1"/>
        <v>1</v>
      </c>
      <c r="AC17" s="10">
        <f t="shared" si="2"/>
        <v>5</v>
      </c>
      <c r="AD17" s="9">
        <v>0</v>
      </c>
      <c r="AE17" s="9">
        <v>0</v>
      </c>
      <c r="AF17" s="9">
        <v>0</v>
      </c>
      <c r="AG17" s="9">
        <v>0</v>
      </c>
      <c r="AH17" s="9">
        <v>0</v>
      </c>
      <c r="AI17" s="9">
        <v>0</v>
      </c>
      <c r="AJ17" s="9">
        <v>0</v>
      </c>
      <c r="AK17" s="9">
        <v>0</v>
      </c>
      <c r="AL17" s="9">
        <v>0</v>
      </c>
      <c r="AM17" s="9">
        <v>0</v>
      </c>
      <c r="AN17" s="9">
        <v>0</v>
      </c>
      <c r="AO17" s="9">
        <v>0</v>
      </c>
      <c r="AP17" s="9">
        <v>0</v>
      </c>
      <c r="AQ17" s="9">
        <v>0</v>
      </c>
      <c r="AR17" s="9">
        <v>0</v>
      </c>
      <c r="AS17" s="10">
        <f t="shared" si="3"/>
        <v>0</v>
      </c>
      <c r="AT17" s="10">
        <f t="shared" si="4"/>
        <v>0</v>
      </c>
      <c r="AU17" s="5" t="s">
        <v>156</v>
      </c>
    </row>
    <row r="18" spans="1:47" ht="15" customHeight="1" x14ac:dyDescent="0.3">
      <c r="A18" s="7" t="str">
        <f t="shared" si="0"/>
        <v>4_2022</v>
      </c>
      <c r="B18" s="7">
        <v>17</v>
      </c>
      <c r="C18" s="7">
        <f>'Panel Data (Long Format)'!B18</f>
        <v>4</v>
      </c>
      <c r="D18" s="7" t="str">
        <f>'Panel Data (Long Format)'!C18</f>
        <v>ACCESSCORP</v>
      </c>
      <c r="E18" s="8" t="str">
        <f>'Panel Data (Long Format)'!D18</f>
        <v>Access Holdings Plc</v>
      </c>
      <c r="F18" s="7" t="str">
        <f>'Panel Data (Long Format)'!E18</f>
        <v>FINANCIAL SERVICES</v>
      </c>
      <c r="G18" s="7">
        <f>'Panel Data (Long Format)'!F18</f>
        <v>2022</v>
      </c>
      <c r="H18" s="9">
        <v>1</v>
      </c>
      <c r="I18" s="9">
        <v>1</v>
      </c>
      <c r="J18" s="9">
        <v>1</v>
      </c>
      <c r="K18" s="9">
        <v>1</v>
      </c>
      <c r="L18" s="9">
        <v>0</v>
      </c>
      <c r="M18" s="9">
        <v>1</v>
      </c>
      <c r="N18" s="9">
        <v>1</v>
      </c>
      <c r="O18" s="9">
        <v>1</v>
      </c>
      <c r="P18" s="9">
        <v>0</v>
      </c>
      <c r="Q18" s="9">
        <v>1</v>
      </c>
      <c r="R18" s="9">
        <v>1</v>
      </c>
      <c r="S18" s="9">
        <v>1</v>
      </c>
      <c r="T18" s="9">
        <v>1</v>
      </c>
      <c r="U18" s="9">
        <v>1</v>
      </c>
      <c r="V18" s="9">
        <v>1</v>
      </c>
      <c r="W18" s="9">
        <v>1</v>
      </c>
      <c r="X18" s="9">
        <v>1</v>
      </c>
      <c r="Y18" s="9">
        <v>1</v>
      </c>
      <c r="Z18" s="9">
        <v>0</v>
      </c>
      <c r="AA18" s="9">
        <v>1</v>
      </c>
      <c r="AB18" s="10">
        <f t="shared" si="1"/>
        <v>17</v>
      </c>
      <c r="AC18" s="10">
        <f t="shared" si="2"/>
        <v>85</v>
      </c>
      <c r="AD18" s="9">
        <v>0</v>
      </c>
      <c r="AE18" s="9">
        <v>1</v>
      </c>
      <c r="AF18" s="9">
        <v>0</v>
      </c>
      <c r="AG18" s="9">
        <v>0</v>
      </c>
      <c r="AH18" s="9">
        <v>1</v>
      </c>
      <c r="AI18" s="9">
        <v>1</v>
      </c>
      <c r="AJ18" s="9">
        <v>1</v>
      </c>
      <c r="AK18" s="9">
        <v>1</v>
      </c>
      <c r="AL18" s="9">
        <v>1</v>
      </c>
      <c r="AM18" s="9">
        <v>1</v>
      </c>
      <c r="AN18" s="9">
        <v>1</v>
      </c>
      <c r="AO18" s="9">
        <v>1</v>
      </c>
      <c r="AP18" s="9">
        <v>1</v>
      </c>
      <c r="AQ18" s="9">
        <v>1</v>
      </c>
      <c r="AR18" s="9">
        <v>1</v>
      </c>
      <c r="AS18" s="10">
        <f t="shared" si="3"/>
        <v>12</v>
      </c>
      <c r="AT18" s="10">
        <f t="shared" si="4"/>
        <v>80</v>
      </c>
      <c r="AU18" s="5" t="s">
        <v>157</v>
      </c>
    </row>
    <row r="19" spans="1:47" ht="15" customHeight="1" x14ac:dyDescent="0.3">
      <c r="A19" s="7" t="str">
        <f t="shared" si="0"/>
        <v>4_2023</v>
      </c>
      <c r="B19" s="7">
        <v>18</v>
      </c>
      <c r="C19" s="7">
        <f>'Panel Data (Long Format)'!B19</f>
        <v>4</v>
      </c>
      <c r="D19" s="7" t="str">
        <f>'Panel Data (Long Format)'!C19</f>
        <v>ACCESSCORP</v>
      </c>
      <c r="E19" s="8" t="str">
        <f>'Panel Data (Long Format)'!D19</f>
        <v>Access Holdings Plc</v>
      </c>
      <c r="F19" s="7" t="str">
        <f>'Panel Data (Long Format)'!E19</f>
        <v>FINANCIAL SERVICES</v>
      </c>
      <c r="G19" s="7">
        <f>'Panel Data (Long Format)'!F19</f>
        <v>2023</v>
      </c>
      <c r="H19" s="9">
        <v>1</v>
      </c>
      <c r="I19" s="9">
        <v>1</v>
      </c>
      <c r="J19" s="9">
        <v>1</v>
      </c>
      <c r="K19" s="9">
        <v>1</v>
      </c>
      <c r="L19" s="9">
        <v>0</v>
      </c>
      <c r="M19" s="9">
        <v>1</v>
      </c>
      <c r="N19" s="9">
        <v>1</v>
      </c>
      <c r="O19" s="9">
        <v>1</v>
      </c>
      <c r="P19" s="9">
        <v>1</v>
      </c>
      <c r="Q19" s="9">
        <v>1</v>
      </c>
      <c r="R19" s="9">
        <v>1</v>
      </c>
      <c r="S19" s="9">
        <v>1</v>
      </c>
      <c r="T19" s="9">
        <v>1</v>
      </c>
      <c r="U19" s="9">
        <v>1</v>
      </c>
      <c r="V19" s="9">
        <v>1</v>
      </c>
      <c r="W19" s="9">
        <v>1</v>
      </c>
      <c r="X19" s="9">
        <v>1</v>
      </c>
      <c r="Y19" s="9">
        <v>1</v>
      </c>
      <c r="Z19" s="9">
        <v>1</v>
      </c>
      <c r="AA19" s="9">
        <v>1</v>
      </c>
      <c r="AB19" s="10">
        <f t="shared" si="1"/>
        <v>19</v>
      </c>
      <c r="AC19" s="10">
        <f t="shared" si="2"/>
        <v>95</v>
      </c>
      <c r="AD19" s="9">
        <v>0</v>
      </c>
      <c r="AE19" s="9">
        <v>1</v>
      </c>
      <c r="AF19" s="9">
        <v>0</v>
      </c>
      <c r="AG19" s="9">
        <v>1</v>
      </c>
      <c r="AH19" s="9">
        <v>1</v>
      </c>
      <c r="AI19" s="9">
        <v>1</v>
      </c>
      <c r="AJ19" s="9">
        <v>1</v>
      </c>
      <c r="AK19" s="9">
        <v>1</v>
      </c>
      <c r="AL19" s="9">
        <v>1</v>
      </c>
      <c r="AM19" s="9">
        <v>1</v>
      </c>
      <c r="AN19" s="9">
        <v>1</v>
      </c>
      <c r="AO19" s="9">
        <v>1</v>
      </c>
      <c r="AP19" s="9">
        <v>1</v>
      </c>
      <c r="AQ19" s="9">
        <v>1</v>
      </c>
      <c r="AR19" s="9">
        <v>1</v>
      </c>
      <c r="AS19" s="10">
        <f t="shared" si="3"/>
        <v>13</v>
      </c>
      <c r="AT19" s="10">
        <f t="shared" si="4"/>
        <v>86.666666666666671</v>
      </c>
      <c r="AU19" s="5" t="s">
        <v>158</v>
      </c>
    </row>
    <row r="20" spans="1:47" ht="15" customHeight="1" x14ac:dyDescent="0.3">
      <c r="A20" s="7" t="str">
        <f t="shared" si="0"/>
        <v>4_2024</v>
      </c>
      <c r="B20" s="7">
        <v>19</v>
      </c>
      <c r="C20" s="7">
        <f>'Panel Data (Long Format)'!B20</f>
        <v>4</v>
      </c>
      <c r="D20" s="7" t="str">
        <f>'Panel Data (Long Format)'!C20</f>
        <v>ACCESSCORP</v>
      </c>
      <c r="E20" s="8" t="str">
        <f>'Panel Data (Long Format)'!D20</f>
        <v>Access Holdings Plc</v>
      </c>
      <c r="F20" s="7" t="str">
        <f>'Panel Data (Long Format)'!E20</f>
        <v>FINANCIAL SERVICES</v>
      </c>
      <c r="G20" s="7">
        <f>'Panel Data (Long Format)'!F20</f>
        <v>2024</v>
      </c>
      <c r="H20" s="9">
        <v>1</v>
      </c>
      <c r="I20" s="9">
        <v>1</v>
      </c>
      <c r="J20" s="9">
        <v>1</v>
      </c>
      <c r="K20" s="9">
        <v>1</v>
      </c>
      <c r="L20" s="9">
        <v>0</v>
      </c>
      <c r="M20" s="9">
        <v>1</v>
      </c>
      <c r="N20" s="9">
        <v>1</v>
      </c>
      <c r="O20" s="9">
        <v>1</v>
      </c>
      <c r="P20" s="9">
        <v>1</v>
      </c>
      <c r="Q20" s="9">
        <v>1</v>
      </c>
      <c r="R20" s="9">
        <v>1</v>
      </c>
      <c r="S20" s="9">
        <v>1</v>
      </c>
      <c r="T20" s="9">
        <v>1</v>
      </c>
      <c r="U20" s="9">
        <v>1</v>
      </c>
      <c r="V20" s="9">
        <v>1</v>
      </c>
      <c r="W20" s="9">
        <v>1</v>
      </c>
      <c r="X20" s="9">
        <v>1</v>
      </c>
      <c r="Y20" s="9">
        <v>1</v>
      </c>
      <c r="Z20" s="9">
        <v>1</v>
      </c>
      <c r="AA20" s="9">
        <v>1</v>
      </c>
      <c r="AB20" s="10">
        <f t="shared" si="1"/>
        <v>19</v>
      </c>
      <c r="AC20" s="10">
        <f t="shared" si="2"/>
        <v>95</v>
      </c>
      <c r="AD20" s="9">
        <v>0</v>
      </c>
      <c r="AE20" s="9">
        <v>1</v>
      </c>
      <c r="AF20" s="9">
        <v>0</v>
      </c>
      <c r="AG20" s="9">
        <v>1</v>
      </c>
      <c r="AH20" s="9">
        <v>1</v>
      </c>
      <c r="AI20" s="9">
        <v>1</v>
      </c>
      <c r="AJ20" s="9">
        <v>1</v>
      </c>
      <c r="AK20" s="9">
        <v>1</v>
      </c>
      <c r="AL20" s="9">
        <v>1</v>
      </c>
      <c r="AM20" s="9">
        <v>1</v>
      </c>
      <c r="AN20" s="9">
        <v>1</v>
      </c>
      <c r="AO20" s="9">
        <v>1</v>
      </c>
      <c r="AP20" s="9">
        <v>1</v>
      </c>
      <c r="AQ20" s="9">
        <v>1</v>
      </c>
      <c r="AR20" s="9">
        <v>1</v>
      </c>
      <c r="AS20" s="10">
        <f t="shared" si="3"/>
        <v>13</v>
      </c>
      <c r="AT20" s="10">
        <f t="shared" si="4"/>
        <v>86.666666666666671</v>
      </c>
      <c r="AU20" s="5" t="s">
        <v>159</v>
      </c>
    </row>
    <row r="21" spans="1:47" ht="15" customHeight="1" x14ac:dyDescent="0.3">
      <c r="A21" s="7" t="str">
        <f t="shared" si="0"/>
        <v>4_2025</v>
      </c>
      <c r="B21" s="7">
        <v>20</v>
      </c>
      <c r="C21" s="7">
        <f>'Panel Data (Long Format)'!B21</f>
        <v>4</v>
      </c>
      <c r="D21" s="7" t="str">
        <f>'Panel Data (Long Format)'!C21</f>
        <v>ACCESSCORP</v>
      </c>
      <c r="E21" s="8" t="str">
        <f>'Panel Data (Long Format)'!D21</f>
        <v>Access Holdings Plc</v>
      </c>
      <c r="F21" s="7" t="str">
        <f>'Panel Data (Long Format)'!E21</f>
        <v>FINANCIAL SERVICES</v>
      </c>
      <c r="G21" s="7">
        <f>'Panel Data (Long Format)'!F21</f>
        <v>2025</v>
      </c>
      <c r="H21" s="9">
        <v>1</v>
      </c>
      <c r="I21" s="9">
        <v>1</v>
      </c>
      <c r="J21" s="9">
        <v>1</v>
      </c>
      <c r="K21" s="9">
        <v>1</v>
      </c>
      <c r="L21" s="9">
        <v>0</v>
      </c>
      <c r="M21" s="9">
        <v>1</v>
      </c>
      <c r="N21" s="9">
        <v>1</v>
      </c>
      <c r="O21" s="9">
        <v>1</v>
      </c>
      <c r="P21" s="9">
        <v>1</v>
      </c>
      <c r="Q21" s="9">
        <v>0</v>
      </c>
      <c r="R21" s="9">
        <v>1</v>
      </c>
      <c r="S21" s="9">
        <v>1</v>
      </c>
      <c r="T21" s="9">
        <v>1</v>
      </c>
      <c r="U21" s="9">
        <v>1</v>
      </c>
      <c r="V21" s="9">
        <v>1</v>
      </c>
      <c r="W21" s="9">
        <v>1</v>
      </c>
      <c r="X21" s="9">
        <v>1</v>
      </c>
      <c r="Y21" s="9">
        <v>1</v>
      </c>
      <c r="Z21" s="9">
        <v>1</v>
      </c>
      <c r="AA21" s="9">
        <v>1</v>
      </c>
      <c r="AB21" s="10">
        <f t="shared" si="1"/>
        <v>18</v>
      </c>
      <c r="AC21" s="10">
        <f t="shared" si="2"/>
        <v>90</v>
      </c>
      <c r="AD21" s="9">
        <v>0</v>
      </c>
      <c r="AE21" s="9">
        <v>1</v>
      </c>
      <c r="AF21" s="9">
        <v>0</v>
      </c>
      <c r="AG21" s="9">
        <v>1</v>
      </c>
      <c r="AH21" s="9">
        <v>1</v>
      </c>
      <c r="AI21" s="9">
        <v>0</v>
      </c>
      <c r="AJ21" s="9">
        <v>1</v>
      </c>
      <c r="AK21" s="9">
        <v>1</v>
      </c>
      <c r="AL21" s="9">
        <v>1</v>
      </c>
      <c r="AM21" s="9">
        <v>0</v>
      </c>
      <c r="AN21" s="9">
        <v>0</v>
      </c>
      <c r="AO21" s="9">
        <v>0</v>
      </c>
      <c r="AP21" s="9">
        <v>1</v>
      </c>
      <c r="AQ21" s="9">
        <v>1</v>
      </c>
      <c r="AR21" s="9">
        <v>1</v>
      </c>
      <c r="AS21" s="10">
        <f t="shared" si="3"/>
        <v>9</v>
      </c>
      <c r="AT21" s="10">
        <f t="shared" si="4"/>
        <v>60</v>
      </c>
      <c r="AU21" s="5" t="s">
        <v>160</v>
      </c>
    </row>
    <row r="22" spans="1:47" ht="15" customHeight="1" x14ac:dyDescent="0.3">
      <c r="A22" s="7" t="str">
        <f t="shared" si="0"/>
        <v>5_2021</v>
      </c>
      <c r="B22" s="7">
        <v>21</v>
      </c>
      <c r="C22" s="7">
        <f>'Panel Data (Long Format)'!B22</f>
        <v>5</v>
      </c>
      <c r="D22" s="7" t="str">
        <f>'Panel Data (Long Format)'!C22</f>
        <v>AFRINSURE</v>
      </c>
      <c r="E22" s="8" t="str">
        <f>'Panel Data (Long Format)'!D22</f>
        <v>African Alliance Insurance Plc</v>
      </c>
      <c r="F22" s="7" t="str">
        <f>'Panel Data (Long Format)'!E22</f>
        <v>FINANCIAL SERVICES</v>
      </c>
      <c r="G22" s="7">
        <f>'Panel Data (Long Format)'!F22</f>
        <v>2021</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10">
        <f t="shared" si="1"/>
        <v>0</v>
      </c>
      <c r="AC22" s="10">
        <f t="shared" si="2"/>
        <v>0</v>
      </c>
      <c r="AD22" s="9">
        <v>0</v>
      </c>
      <c r="AE22" s="9">
        <v>0</v>
      </c>
      <c r="AF22" s="9">
        <v>0</v>
      </c>
      <c r="AG22" s="9">
        <v>0</v>
      </c>
      <c r="AH22" s="9">
        <v>0</v>
      </c>
      <c r="AI22" s="9">
        <v>0</v>
      </c>
      <c r="AJ22" s="9">
        <v>0</v>
      </c>
      <c r="AK22" s="9">
        <v>0</v>
      </c>
      <c r="AL22" s="9">
        <v>0</v>
      </c>
      <c r="AM22" s="9">
        <v>0</v>
      </c>
      <c r="AN22" s="9">
        <v>0</v>
      </c>
      <c r="AO22" s="9">
        <v>0</v>
      </c>
      <c r="AP22" s="9">
        <v>0</v>
      </c>
      <c r="AQ22" s="9">
        <v>0</v>
      </c>
      <c r="AR22" s="9">
        <v>0</v>
      </c>
      <c r="AS22" s="10">
        <f t="shared" si="3"/>
        <v>0</v>
      </c>
      <c r="AT22" s="10">
        <f t="shared" si="4"/>
        <v>0</v>
      </c>
      <c r="AU22" s="5" t="s">
        <v>161</v>
      </c>
    </row>
    <row r="23" spans="1:47" ht="15" customHeight="1" x14ac:dyDescent="0.3">
      <c r="A23" s="7" t="str">
        <f t="shared" si="0"/>
        <v>5_2022</v>
      </c>
      <c r="B23" s="7">
        <v>22</v>
      </c>
      <c r="C23" s="7">
        <f>'Panel Data (Long Format)'!B23</f>
        <v>5</v>
      </c>
      <c r="D23" s="7" t="str">
        <f>'Panel Data (Long Format)'!C23</f>
        <v>AFRINSURE</v>
      </c>
      <c r="E23" s="8" t="str">
        <f>'Panel Data (Long Format)'!D23</f>
        <v>African Alliance Insurance Plc</v>
      </c>
      <c r="F23" s="7" t="str">
        <f>'Panel Data (Long Format)'!E23</f>
        <v>FINANCIAL SERVICES</v>
      </c>
      <c r="G23" s="7">
        <f>'Panel Data (Long Format)'!F23</f>
        <v>2022</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10">
        <f t="shared" si="1"/>
        <v>0</v>
      </c>
      <c r="AC23" s="10">
        <f t="shared" si="2"/>
        <v>0</v>
      </c>
      <c r="AD23" s="9">
        <v>0</v>
      </c>
      <c r="AE23" s="9">
        <v>0</v>
      </c>
      <c r="AF23" s="9">
        <v>0</v>
      </c>
      <c r="AG23" s="9">
        <v>0</v>
      </c>
      <c r="AH23" s="9">
        <v>0</v>
      </c>
      <c r="AI23" s="9">
        <v>0</v>
      </c>
      <c r="AJ23" s="9">
        <v>0</v>
      </c>
      <c r="AK23" s="9">
        <v>0</v>
      </c>
      <c r="AL23" s="9">
        <v>0</v>
      </c>
      <c r="AM23" s="9">
        <v>0</v>
      </c>
      <c r="AN23" s="9">
        <v>0</v>
      </c>
      <c r="AO23" s="9">
        <v>0</v>
      </c>
      <c r="AP23" s="9">
        <v>0</v>
      </c>
      <c r="AQ23" s="9">
        <v>0</v>
      </c>
      <c r="AR23" s="9">
        <v>0</v>
      </c>
      <c r="AS23" s="10">
        <f t="shared" si="3"/>
        <v>0</v>
      </c>
      <c r="AT23" s="10">
        <f t="shared" si="4"/>
        <v>0</v>
      </c>
      <c r="AU23" s="5" t="s">
        <v>162</v>
      </c>
    </row>
    <row r="24" spans="1:47" ht="15" customHeight="1" x14ac:dyDescent="0.3">
      <c r="A24" s="7" t="str">
        <f t="shared" si="0"/>
        <v>5_2023</v>
      </c>
      <c r="B24" s="7">
        <v>23</v>
      </c>
      <c r="C24" s="7">
        <f>'Panel Data (Long Format)'!B24</f>
        <v>5</v>
      </c>
      <c r="D24" s="7" t="str">
        <f>'Panel Data (Long Format)'!C24</f>
        <v>AFRINSURE</v>
      </c>
      <c r="E24" s="8" t="str">
        <f>'Panel Data (Long Format)'!D24</f>
        <v>African Alliance Insurance Plc</v>
      </c>
      <c r="F24" s="7" t="str">
        <f>'Panel Data (Long Format)'!E24</f>
        <v>FINANCIAL SERVICES</v>
      </c>
      <c r="G24" s="7">
        <f>'Panel Data (Long Format)'!F24</f>
        <v>2023</v>
      </c>
      <c r="H24" s="9"/>
      <c r="I24" s="9"/>
      <c r="J24" s="9"/>
      <c r="K24" s="9"/>
      <c r="L24" s="9"/>
      <c r="M24" s="9"/>
      <c r="N24" s="9"/>
      <c r="O24" s="9"/>
      <c r="P24" s="9"/>
      <c r="Q24" s="9"/>
      <c r="R24" s="9"/>
      <c r="S24" s="9"/>
      <c r="T24" s="9"/>
      <c r="U24" s="9"/>
      <c r="V24" s="9"/>
      <c r="W24" s="9"/>
      <c r="X24" s="9"/>
      <c r="Y24" s="9"/>
      <c r="Z24" s="9"/>
      <c r="AA24" s="9"/>
      <c r="AB24" s="10" t="str">
        <f t="shared" si="1"/>
        <v/>
      </c>
      <c r="AC24" s="10" t="str">
        <f t="shared" si="2"/>
        <v/>
      </c>
      <c r="AD24" s="9"/>
      <c r="AE24" s="9"/>
      <c r="AF24" s="9"/>
      <c r="AG24" s="9"/>
      <c r="AH24" s="9"/>
      <c r="AI24" s="9"/>
      <c r="AJ24" s="9"/>
      <c r="AK24" s="9"/>
      <c r="AL24" s="9"/>
      <c r="AM24" s="9"/>
      <c r="AN24" s="9"/>
      <c r="AO24" s="9"/>
      <c r="AP24" s="9"/>
      <c r="AQ24" s="9"/>
      <c r="AR24" s="9"/>
      <c r="AS24" s="10" t="str">
        <f t="shared" si="3"/>
        <v/>
      </c>
      <c r="AT24" s="10" t="str">
        <f t="shared" si="4"/>
        <v/>
      </c>
      <c r="AU24" s="5" t="s">
        <v>163</v>
      </c>
    </row>
    <row r="25" spans="1:47" ht="15" customHeight="1" x14ac:dyDescent="0.3">
      <c r="A25" s="7" t="str">
        <f t="shared" si="0"/>
        <v>5_2024</v>
      </c>
      <c r="B25" s="7">
        <v>24</v>
      </c>
      <c r="C25" s="7">
        <f>'Panel Data (Long Format)'!B25</f>
        <v>5</v>
      </c>
      <c r="D25" s="7" t="str">
        <f>'Panel Data (Long Format)'!C25</f>
        <v>AFRINSURE</v>
      </c>
      <c r="E25" s="8" t="str">
        <f>'Panel Data (Long Format)'!D25</f>
        <v>African Alliance Insurance Plc</v>
      </c>
      <c r="F25" s="7" t="str">
        <f>'Panel Data (Long Format)'!E25</f>
        <v>FINANCIAL SERVICES</v>
      </c>
      <c r="G25" s="7">
        <f>'Panel Data (Long Format)'!F25</f>
        <v>2024</v>
      </c>
      <c r="H25" s="9"/>
      <c r="I25" s="9"/>
      <c r="J25" s="9"/>
      <c r="K25" s="9"/>
      <c r="L25" s="9"/>
      <c r="M25" s="9"/>
      <c r="N25" s="9"/>
      <c r="O25" s="9"/>
      <c r="P25" s="9"/>
      <c r="Q25" s="9"/>
      <c r="R25" s="9"/>
      <c r="S25" s="9"/>
      <c r="T25" s="9"/>
      <c r="U25" s="9"/>
      <c r="V25" s="9"/>
      <c r="W25" s="9"/>
      <c r="X25" s="9"/>
      <c r="Y25" s="9"/>
      <c r="Z25" s="9"/>
      <c r="AA25" s="9"/>
      <c r="AB25" s="10" t="str">
        <f t="shared" si="1"/>
        <v/>
      </c>
      <c r="AC25" s="10" t="str">
        <f t="shared" si="2"/>
        <v/>
      </c>
      <c r="AD25" s="9"/>
      <c r="AE25" s="9"/>
      <c r="AF25" s="9"/>
      <c r="AG25" s="9"/>
      <c r="AH25" s="9"/>
      <c r="AI25" s="9"/>
      <c r="AJ25" s="9"/>
      <c r="AK25" s="9"/>
      <c r="AL25" s="9"/>
      <c r="AM25" s="9"/>
      <c r="AN25" s="9"/>
      <c r="AO25" s="9"/>
      <c r="AP25" s="9"/>
      <c r="AQ25" s="9"/>
      <c r="AR25" s="9"/>
      <c r="AS25" s="10" t="str">
        <f t="shared" si="3"/>
        <v/>
      </c>
      <c r="AT25" s="10" t="str">
        <f t="shared" si="4"/>
        <v/>
      </c>
      <c r="AU25" s="5" t="s">
        <v>164</v>
      </c>
    </row>
    <row r="26" spans="1:47" ht="15" customHeight="1" x14ac:dyDescent="0.3">
      <c r="A26" s="7" t="str">
        <f t="shared" si="0"/>
        <v>5_2025</v>
      </c>
      <c r="B26" s="7">
        <v>25</v>
      </c>
      <c r="C26" s="7">
        <f>'Panel Data (Long Format)'!B26</f>
        <v>5</v>
      </c>
      <c r="D26" s="7" t="str">
        <f>'Panel Data (Long Format)'!C26</f>
        <v>AFRINSURE</v>
      </c>
      <c r="E26" s="8" t="str">
        <f>'Panel Data (Long Format)'!D26</f>
        <v>African Alliance Insurance Plc</v>
      </c>
      <c r="F26" s="7" t="str">
        <f>'Panel Data (Long Format)'!E26</f>
        <v>FINANCIAL SERVICES</v>
      </c>
      <c r="G26" s="7">
        <f>'Panel Data (Long Format)'!F26</f>
        <v>2025</v>
      </c>
      <c r="H26" s="9"/>
      <c r="I26" s="9"/>
      <c r="J26" s="9"/>
      <c r="K26" s="9"/>
      <c r="L26" s="9"/>
      <c r="M26" s="9"/>
      <c r="N26" s="9"/>
      <c r="O26" s="9"/>
      <c r="P26" s="9"/>
      <c r="Q26" s="9"/>
      <c r="R26" s="9"/>
      <c r="S26" s="9"/>
      <c r="T26" s="9"/>
      <c r="U26" s="9"/>
      <c r="V26" s="9"/>
      <c r="W26" s="9"/>
      <c r="X26" s="9"/>
      <c r="Y26" s="9"/>
      <c r="Z26" s="9"/>
      <c r="AA26" s="9"/>
      <c r="AB26" s="10" t="str">
        <f t="shared" si="1"/>
        <v/>
      </c>
      <c r="AC26" s="10" t="str">
        <f t="shared" si="2"/>
        <v/>
      </c>
      <c r="AD26" s="9"/>
      <c r="AE26" s="9"/>
      <c r="AF26" s="9"/>
      <c r="AG26" s="9"/>
      <c r="AH26" s="9"/>
      <c r="AI26" s="9"/>
      <c r="AJ26" s="9"/>
      <c r="AK26" s="9"/>
      <c r="AL26" s="9"/>
      <c r="AM26" s="9"/>
      <c r="AN26" s="9"/>
      <c r="AO26" s="9"/>
      <c r="AP26" s="9"/>
      <c r="AQ26" s="9"/>
      <c r="AR26" s="9"/>
      <c r="AS26" s="10" t="str">
        <f t="shared" si="3"/>
        <v/>
      </c>
      <c r="AT26" s="10" t="str">
        <f t="shared" si="4"/>
        <v/>
      </c>
      <c r="AU26" s="5" t="s">
        <v>165</v>
      </c>
    </row>
    <row r="27" spans="1:47" ht="15" customHeight="1" x14ac:dyDescent="0.3">
      <c r="A27" s="7" t="str">
        <f t="shared" si="0"/>
        <v>6_2021</v>
      </c>
      <c r="B27" s="7">
        <v>26</v>
      </c>
      <c r="C27" s="7">
        <f>'Panel Data (Long Format)'!B27</f>
        <v>6</v>
      </c>
      <c r="D27" s="7" t="str">
        <f>'Panel Data (Long Format)'!C27</f>
        <v>AFRIPRUD</v>
      </c>
      <c r="E27" s="8" t="str">
        <f>'Panel Data (Long Format)'!D27</f>
        <v>Africa Prudential Plc</v>
      </c>
      <c r="F27" s="7" t="str">
        <f>'Panel Data (Long Format)'!E27</f>
        <v>FINANCIAL SERVICES</v>
      </c>
      <c r="G27" s="7">
        <f>'Panel Data (Long Format)'!F27</f>
        <v>2021</v>
      </c>
      <c r="H27" s="9">
        <v>0</v>
      </c>
      <c r="I27" s="9">
        <v>0</v>
      </c>
      <c r="J27" s="9">
        <v>0</v>
      </c>
      <c r="K27" s="9">
        <v>0</v>
      </c>
      <c r="L27" s="9">
        <v>0</v>
      </c>
      <c r="M27" s="9">
        <v>0</v>
      </c>
      <c r="N27" s="9">
        <v>0</v>
      </c>
      <c r="O27" s="9">
        <v>0</v>
      </c>
      <c r="P27" s="9">
        <v>0</v>
      </c>
      <c r="Q27" s="9">
        <v>0</v>
      </c>
      <c r="R27" s="9">
        <v>0</v>
      </c>
      <c r="S27" s="9">
        <v>0</v>
      </c>
      <c r="T27" s="9">
        <v>0</v>
      </c>
      <c r="U27" s="9">
        <v>0</v>
      </c>
      <c r="V27" s="9">
        <v>0</v>
      </c>
      <c r="W27" s="9">
        <v>0</v>
      </c>
      <c r="X27" s="9">
        <v>0</v>
      </c>
      <c r="Y27" s="9">
        <v>0</v>
      </c>
      <c r="Z27" s="9">
        <v>0</v>
      </c>
      <c r="AA27" s="9">
        <v>0</v>
      </c>
      <c r="AB27" s="10">
        <f t="shared" si="1"/>
        <v>0</v>
      </c>
      <c r="AC27" s="10">
        <f t="shared" si="2"/>
        <v>0</v>
      </c>
      <c r="AD27" s="9">
        <v>0</v>
      </c>
      <c r="AE27" s="9">
        <v>0</v>
      </c>
      <c r="AF27" s="9">
        <v>0</v>
      </c>
      <c r="AG27" s="9">
        <v>0</v>
      </c>
      <c r="AH27" s="9">
        <v>0</v>
      </c>
      <c r="AI27" s="9">
        <v>0</v>
      </c>
      <c r="AJ27" s="9">
        <v>0</v>
      </c>
      <c r="AK27" s="9">
        <v>0</v>
      </c>
      <c r="AL27" s="9">
        <v>0</v>
      </c>
      <c r="AM27" s="9">
        <v>0</v>
      </c>
      <c r="AN27" s="9">
        <v>0</v>
      </c>
      <c r="AO27" s="9">
        <v>0</v>
      </c>
      <c r="AP27" s="9">
        <v>0</v>
      </c>
      <c r="AQ27" s="9">
        <v>0</v>
      </c>
      <c r="AR27" s="9">
        <v>0</v>
      </c>
      <c r="AS27" s="10">
        <f t="shared" si="3"/>
        <v>0</v>
      </c>
      <c r="AT27" s="10">
        <f t="shared" si="4"/>
        <v>0</v>
      </c>
      <c r="AU27" s="5" t="s">
        <v>166</v>
      </c>
    </row>
    <row r="28" spans="1:47" ht="15" customHeight="1" x14ac:dyDescent="0.3">
      <c r="A28" s="7" t="str">
        <f t="shared" si="0"/>
        <v>6_2022</v>
      </c>
      <c r="B28" s="7">
        <v>27</v>
      </c>
      <c r="C28" s="7">
        <f>'Panel Data (Long Format)'!B28</f>
        <v>6</v>
      </c>
      <c r="D28" s="7" t="str">
        <f>'Panel Data (Long Format)'!C28</f>
        <v>AFRIPRUD</v>
      </c>
      <c r="E28" s="8" t="str">
        <f>'Panel Data (Long Format)'!D28</f>
        <v>Africa Prudential Plc</v>
      </c>
      <c r="F28" s="7" t="str">
        <f>'Panel Data (Long Format)'!E28</f>
        <v>FINANCIAL SERVICES</v>
      </c>
      <c r="G28" s="7">
        <f>'Panel Data (Long Format)'!F28</f>
        <v>2022</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10">
        <f t="shared" si="1"/>
        <v>0</v>
      </c>
      <c r="AC28" s="10">
        <f t="shared" si="2"/>
        <v>0</v>
      </c>
      <c r="AD28" s="9">
        <v>0</v>
      </c>
      <c r="AE28" s="9">
        <v>0</v>
      </c>
      <c r="AF28" s="9">
        <v>0</v>
      </c>
      <c r="AG28" s="9">
        <v>0</v>
      </c>
      <c r="AH28" s="9">
        <v>0</v>
      </c>
      <c r="AI28" s="9">
        <v>0</v>
      </c>
      <c r="AJ28" s="9">
        <v>0</v>
      </c>
      <c r="AK28" s="9">
        <v>0</v>
      </c>
      <c r="AL28" s="9">
        <v>0</v>
      </c>
      <c r="AM28" s="9">
        <v>0</v>
      </c>
      <c r="AN28" s="9">
        <v>0</v>
      </c>
      <c r="AO28" s="9">
        <v>0</v>
      </c>
      <c r="AP28" s="9">
        <v>0</v>
      </c>
      <c r="AQ28" s="9">
        <v>0</v>
      </c>
      <c r="AR28" s="9">
        <v>0</v>
      </c>
      <c r="AS28" s="10">
        <f t="shared" si="3"/>
        <v>0</v>
      </c>
      <c r="AT28" s="10">
        <f t="shared" si="4"/>
        <v>0</v>
      </c>
      <c r="AU28" s="5" t="s">
        <v>167</v>
      </c>
    </row>
    <row r="29" spans="1:47" ht="15" customHeight="1" x14ac:dyDescent="0.3">
      <c r="A29" s="7" t="str">
        <f t="shared" si="0"/>
        <v>6_2023</v>
      </c>
      <c r="B29" s="7">
        <v>28</v>
      </c>
      <c r="C29" s="7">
        <f>'Panel Data (Long Format)'!B29</f>
        <v>6</v>
      </c>
      <c r="D29" s="7" t="str">
        <f>'Panel Data (Long Format)'!C29</f>
        <v>AFRIPRUD</v>
      </c>
      <c r="E29" s="8" t="str">
        <f>'Panel Data (Long Format)'!D29</f>
        <v>Africa Prudential Plc</v>
      </c>
      <c r="F29" s="7" t="str">
        <f>'Panel Data (Long Format)'!E29</f>
        <v>FINANCIAL SERVICES</v>
      </c>
      <c r="G29" s="7">
        <f>'Panel Data (Long Format)'!F29</f>
        <v>2023</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10">
        <f t="shared" si="1"/>
        <v>0</v>
      </c>
      <c r="AC29" s="10">
        <f t="shared" si="2"/>
        <v>0</v>
      </c>
      <c r="AD29" s="9">
        <v>0</v>
      </c>
      <c r="AE29" s="9">
        <v>0</v>
      </c>
      <c r="AF29" s="9">
        <v>0</v>
      </c>
      <c r="AG29" s="9">
        <v>0</v>
      </c>
      <c r="AH29" s="9">
        <v>0</v>
      </c>
      <c r="AI29" s="9">
        <v>0</v>
      </c>
      <c r="AJ29" s="9">
        <v>0</v>
      </c>
      <c r="AK29" s="9">
        <v>0</v>
      </c>
      <c r="AL29" s="9">
        <v>0</v>
      </c>
      <c r="AM29" s="9">
        <v>0</v>
      </c>
      <c r="AN29" s="9">
        <v>0</v>
      </c>
      <c r="AO29" s="9">
        <v>0</v>
      </c>
      <c r="AP29" s="9">
        <v>0</v>
      </c>
      <c r="AQ29" s="9">
        <v>0</v>
      </c>
      <c r="AR29" s="9">
        <v>0</v>
      </c>
      <c r="AS29" s="10">
        <f t="shared" si="3"/>
        <v>0</v>
      </c>
      <c r="AT29" s="10">
        <f t="shared" si="4"/>
        <v>0</v>
      </c>
      <c r="AU29" s="5" t="s">
        <v>168</v>
      </c>
    </row>
    <row r="30" spans="1:47" ht="15" customHeight="1" x14ac:dyDescent="0.3">
      <c r="A30" s="7" t="str">
        <f t="shared" si="0"/>
        <v>6_2024</v>
      </c>
      <c r="B30" s="7">
        <v>29</v>
      </c>
      <c r="C30" s="7">
        <f>'Panel Data (Long Format)'!B30</f>
        <v>6</v>
      </c>
      <c r="D30" s="7" t="str">
        <f>'Panel Data (Long Format)'!C30</f>
        <v>AFRIPRUD</v>
      </c>
      <c r="E30" s="8" t="str">
        <f>'Panel Data (Long Format)'!D30</f>
        <v>Africa Prudential Plc</v>
      </c>
      <c r="F30" s="7" t="str">
        <f>'Panel Data (Long Format)'!E30</f>
        <v>FINANCIAL SERVICES</v>
      </c>
      <c r="G30" s="7">
        <f>'Panel Data (Long Format)'!F30</f>
        <v>2024</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9">
        <v>0</v>
      </c>
      <c r="AA30" s="9">
        <v>0</v>
      </c>
      <c r="AB30" s="10">
        <f t="shared" si="1"/>
        <v>0</v>
      </c>
      <c r="AC30" s="10">
        <f t="shared" si="2"/>
        <v>0</v>
      </c>
      <c r="AD30" s="9">
        <v>0</v>
      </c>
      <c r="AE30" s="9">
        <v>0</v>
      </c>
      <c r="AF30" s="9">
        <v>0</v>
      </c>
      <c r="AG30" s="9">
        <v>0</v>
      </c>
      <c r="AH30" s="9">
        <v>0</v>
      </c>
      <c r="AI30" s="9">
        <v>0</v>
      </c>
      <c r="AJ30" s="9">
        <v>0</v>
      </c>
      <c r="AK30" s="9">
        <v>0</v>
      </c>
      <c r="AL30" s="9">
        <v>0</v>
      </c>
      <c r="AM30" s="9">
        <v>0</v>
      </c>
      <c r="AN30" s="9">
        <v>0</v>
      </c>
      <c r="AO30" s="9">
        <v>0</v>
      </c>
      <c r="AP30" s="9">
        <v>0</v>
      </c>
      <c r="AQ30" s="9">
        <v>0</v>
      </c>
      <c r="AR30" s="9">
        <v>0</v>
      </c>
      <c r="AS30" s="10">
        <f t="shared" si="3"/>
        <v>0</v>
      </c>
      <c r="AT30" s="10">
        <f t="shared" si="4"/>
        <v>0</v>
      </c>
      <c r="AU30" s="5" t="s">
        <v>169</v>
      </c>
    </row>
    <row r="31" spans="1:47" ht="15" customHeight="1" x14ac:dyDescent="0.3">
      <c r="A31" s="7" t="str">
        <f t="shared" si="0"/>
        <v>6_2025</v>
      </c>
      <c r="B31" s="7">
        <v>30</v>
      </c>
      <c r="C31" s="7">
        <f>'Panel Data (Long Format)'!B31</f>
        <v>6</v>
      </c>
      <c r="D31" s="7" t="str">
        <f>'Panel Data (Long Format)'!C31</f>
        <v>AFRIPRUD</v>
      </c>
      <c r="E31" s="8" t="str">
        <f>'Panel Data (Long Format)'!D31</f>
        <v>Africa Prudential Plc</v>
      </c>
      <c r="F31" s="7" t="str">
        <f>'Panel Data (Long Format)'!E31</f>
        <v>FINANCIAL SERVICES</v>
      </c>
      <c r="G31" s="7">
        <f>'Panel Data (Long Format)'!F31</f>
        <v>2025</v>
      </c>
      <c r="H31" s="9">
        <v>0</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9">
        <v>0</v>
      </c>
      <c r="AA31" s="9">
        <v>0</v>
      </c>
      <c r="AB31" s="10">
        <f t="shared" si="1"/>
        <v>0</v>
      </c>
      <c r="AC31" s="10">
        <f t="shared" si="2"/>
        <v>0</v>
      </c>
      <c r="AD31" s="9">
        <v>0</v>
      </c>
      <c r="AE31" s="9">
        <v>0</v>
      </c>
      <c r="AF31" s="9">
        <v>0</v>
      </c>
      <c r="AG31" s="9">
        <v>0</v>
      </c>
      <c r="AH31" s="9">
        <v>0</v>
      </c>
      <c r="AI31" s="9">
        <v>0</v>
      </c>
      <c r="AJ31" s="9">
        <v>0</v>
      </c>
      <c r="AK31" s="9">
        <v>0</v>
      </c>
      <c r="AL31" s="9">
        <v>0</v>
      </c>
      <c r="AM31" s="9">
        <v>0</v>
      </c>
      <c r="AN31" s="9">
        <v>0</v>
      </c>
      <c r="AO31" s="9">
        <v>0</v>
      </c>
      <c r="AP31" s="9">
        <v>0</v>
      </c>
      <c r="AQ31" s="9">
        <v>0</v>
      </c>
      <c r="AR31" s="9">
        <v>0</v>
      </c>
      <c r="AS31" s="10">
        <f t="shared" si="3"/>
        <v>0</v>
      </c>
      <c r="AT31" s="10">
        <f t="shared" si="4"/>
        <v>0</v>
      </c>
      <c r="AU31" s="5" t="s">
        <v>170</v>
      </c>
    </row>
    <row r="32" spans="1:47" ht="15" customHeight="1" x14ac:dyDescent="0.3">
      <c r="A32" s="7" t="str">
        <f t="shared" si="0"/>
        <v>7_2021</v>
      </c>
      <c r="B32" s="7">
        <v>31</v>
      </c>
      <c r="C32" s="7">
        <f>'Panel Data (Long Format)'!B32</f>
        <v>7</v>
      </c>
      <c r="D32" s="7" t="str">
        <f>'Panel Data (Long Format)'!C32</f>
        <v>AFROMEDIA</v>
      </c>
      <c r="E32" s="8" t="str">
        <f>'Panel Data (Long Format)'!D32</f>
        <v>Afromedia Plc</v>
      </c>
      <c r="F32" s="7" t="str">
        <f>'Panel Data (Long Format)'!E32</f>
        <v>SERVICES</v>
      </c>
      <c r="G32" s="7">
        <f>'Panel Data (Long Format)'!F32</f>
        <v>2021</v>
      </c>
      <c r="H32" s="9">
        <v>0</v>
      </c>
      <c r="I32" s="9">
        <v>0</v>
      </c>
      <c r="J32" s="9">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10">
        <f t="shared" si="1"/>
        <v>0</v>
      </c>
      <c r="AC32" s="10">
        <f t="shared" si="2"/>
        <v>0</v>
      </c>
      <c r="AD32" s="9">
        <v>0</v>
      </c>
      <c r="AE32" s="9">
        <v>0</v>
      </c>
      <c r="AF32" s="9">
        <v>0</v>
      </c>
      <c r="AG32" s="9">
        <v>0</v>
      </c>
      <c r="AH32" s="9">
        <v>0</v>
      </c>
      <c r="AI32" s="9">
        <v>0</v>
      </c>
      <c r="AJ32" s="9">
        <v>0</v>
      </c>
      <c r="AK32" s="9">
        <v>0</v>
      </c>
      <c r="AL32" s="9">
        <v>0</v>
      </c>
      <c r="AM32" s="9">
        <v>0</v>
      </c>
      <c r="AN32" s="9">
        <v>0</v>
      </c>
      <c r="AO32" s="9">
        <v>0</v>
      </c>
      <c r="AP32" s="9">
        <v>0</v>
      </c>
      <c r="AQ32" s="9">
        <v>0</v>
      </c>
      <c r="AR32" s="9">
        <v>0</v>
      </c>
      <c r="AS32" s="10">
        <f t="shared" si="3"/>
        <v>0</v>
      </c>
      <c r="AT32" s="10">
        <f t="shared" si="4"/>
        <v>0</v>
      </c>
      <c r="AU32" s="5" t="s">
        <v>171</v>
      </c>
    </row>
    <row r="33" spans="1:47" ht="15" customHeight="1" x14ac:dyDescent="0.3">
      <c r="A33" s="7" t="str">
        <f t="shared" si="0"/>
        <v>7_2022</v>
      </c>
      <c r="B33" s="7">
        <v>32</v>
      </c>
      <c r="C33" s="7">
        <f>'Panel Data (Long Format)'!B33</f>
        <v>7</v>
      </c>
      <c r="D33" s="7" t="str">
        <f>'Panel Data (Long Format)'!C33</f>
        <v>AFROMEDIA</v>
      </c>
      <c r="E33" s="8" t="str">
        <f>'Panel Data (Long Format)'!D33</f>
        <v>Afromedia Plc</v>
      </c>
      <c r="F33" s="7" t="str">
        <f>'Panel Data (Long Format)'!E33</f>
        <v>SERVICES</v>
      </c>
      <c r="G33" s="7">
        <f>'Panel Data (Long Format)'!F33</f>
        <v>2022</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10">
        <f t="shared" si="1"/>
        <v>0</v>
      </c>
      <c r="AC33" s="10">
        <f t="shared" si="2"/>
        <v>0</v>
      </c>
      <c r="AD33" s="9">
        <v>0</v>
      </c>
      <c r="AE33" s="9">
        <v>0</v>
      </c>
      <c r="AF33" s="9">
        <v>0</v>
      </c>
      <c r="AG33" s="9">
        <v>0</v>
      </c>
      <c r="AH33" s="9">
        <v>0</v>
      </c>
      <c r="AI33" s="9">
        <v>0</v>
      </c>
      <c r="AJ33" s="9">
        <v>0</v>
      </c>
      <c r="AK33" s="9">
        <v>0</v>
      </c>
      <c r="AL33" s="9">
        <v>0</v>
      </c>
      <c r="AM33" s="9">
        <v>0</v>
      </c>
      <c r="AN33" s="9">
        <v>0</v>
      </c>
      <c r="AO33" s="9">
        <v>0</v>
      </c>
      <c r="AP33" s="9">
        <v>0</v>
      </c>
      <c r="AQ33" s="9">
        <v>0</v>
      </c>
      <c r="AR33" s="9">
        <v>0</v>
      </c>
      <c r="AS33" s="10">
        <f t="shared" si="3"/>
        <v>0</v>
      </c>
      <c r="AT33" s="10">
        <f t="shared" si="4"/>
        <v>0</v>
      </c>
      <c r="AU33" s="5" t="s">
        <v>172</v>
      </c>
    </row>
    <row r="34" spans="1:47" ht="15" customHeight="1" x14ac:dyDescent="0.3">
      <c r="A34" s="7" t="str">
        <f t="shared" si="0"/>
        <v>7_2023</v>
      </c>
      <c r="B34" s="7">
        <v>33</v>
      </c>
      <c r="C34" s="7">
        <f>'Panel Data (Long Format)'!B34</f>
        <v>7</v>
      </c>
      <c r="D34" s="7" t="str">
        <f>'Panel Data (Long Format)'!C34</f>
        <v>AFROMEDIA</v>
      </c>
      <c r="E34" s="8" t="str">
        <f>'Panel Data (Long Format)'!D34</f>
        <v>Afromedia Plc</v>
      </c>
      <c r="F34" s="7" t="str">
        <f>'Panel Data (Long Format)'!E34</f>
        <v>SERVICES</v>
      </c>
      <c r="G34" s="7">
        <f>'Panel Data (Long Format)'!F34</f>
        <v>2023</v>
      </c>
      <c r="H34" s="9"/>
      <c r="I34" s="9"/>
      <c r="J34" s="9"/>
      <c r="K34" s="9"/>
      <c r="L34" s="9"/>
      <c r="M34" s="9"/>
      <c r="N34" s="9"/>
      <c r="O34" s="9"/>
      <c r="P34" s="9"/>
      <c r="Q34" s="9"/>
      <c r="R34" s="9"/>
      <c r="S34" s="9"/>
      <c r="T34" s="9"/>
      <c r="U34" s="9"/>
      <c r="V34" s="9"/>
      <c r="W34" s="9"/>
      <c r="X34" s="9"/>
      <c r="Y34" s="9"/>
      <c r="Z34" s="9"/>
      <c r="AA34" s="9"/>
      <c r="AB34" s="10" t="str">
        <f t="shared" si="1"/>
        <v/>
      </c>
      <c r="AC34" s="10" t="str">
        <f t="shared" si="2"/>
        <v/>
      </c>
      <c r="AD34" s="9"/>
      <c r="AE34" s="9"/>
      <c r="AF34" s="9"/>
      <c r="AG34" s="9"/>
      <c r="AH34" s="9"/>
      <c r="AI34" s="9"/>
      <c r="AJ34" s="9"/>
      <c r="AK34" s="9"/>
      <c r="AL34" s="9"/>
      <c r="AM34" s="9"/>
      <c r="AN34" s="9"/>
      <c r="AO34" s="9"/>
      <c r="AP34" s="9"/>
      <c r="AQ34" s="9"/>
      <c r="AR34" s="9"/>
      <c r="AS34" s="10" t="str">
        <f t="shared" si="3"/>
        <v/>
      </c>
      <c r="AT34" s="10" t="str">
        <f t="shared" si="4"/>
        <v/>
      </c>
      <c r="AU34" s="5" t="s">
        <v>173</v>
      </c>
    </row>
    <row r="35" spans="1:47" ht="15" customHeight="1" x14ac:dyDescent="0.3">
      <c r="A35" s="7" t="str">
        <f t="shared" si="0"/>
        <v>7_2024</v>
      </c>
      <c r="B35" s="7">
        <v>34</v>
      </c>
      <c r="C35" s="7">
        <f>'Panel Data (Long Format)'!B35</f>
        <v>7</v>
      </c>
      <c r="D35" s="7" t="str">
        <f>'Panel Data (Long Format)'!C35</f>
        <v>AFROMEDIA</v>
      </c>
      <c r="E35" s="8" t="str">
        <f>'Panel Data (Long Format)'!D35</f>
        <v>Afromedia Plc</v>
      </c>
      <c r="F35" s="7" t="str">
        <f>'Panel Data (Long Format)'!E35</f>
        <v>SERVICES</v>
      </c>
      <c r="G35" s="7">
        <f>'Panel Data (Long Format)'!F35</f>
        <v>2024</v>
      </c>
      <c r="H35" s="9"/>
      <c r="I35" s="9"/>
      <c r="J35" s="9"/>
      <c r="K35" s="9"/>
      <c r="L35" s="9"/>
      <c r="M35" s="9"/>
      <c r="N35" s="9"/>
      <c r="O35" s="9"/>
      <c r="P35" s="9"/>
      <c r="Q35" s="9"/>
      <c r="R35" s="9"/>
      <c r="S35" s="9"/>
      <c r="T35" s="9"/>
      <c r="U35" s="9"/>
      <c r="V35" s="9"/>
      <c r="W35" s="9"/>
      <c r="X35" s="9"/>
      <c r="Y35" s="9"/>
      <c r="Z35" s="9"/>
      <c r="AA35" s="9"/>
      <c r="AB35" s="10" t="str">
        <f t="shared" si="1"/>
        <v/>
      </c>
      <c r="AC35" s="10" t="str">
        <f t="shared" si="2"/>
        <v/>
      </c>
      <c r="AD35" s="9"/>
      <c r="AE35" s="9"/>
      <c r="AF35" s="9"/>
      <c r="AG35" s="9"/>
      <c r="AH35" s="9"/>
      <c r="AI35" s="9"/>
      <c r="AJ35" s="9"/>
      <c r="AK35" s="9"/>
      <c r="AL35" s="9"/>
      <c r="AM35" s="9"/>
      <c r="AN35" s="9"/>
      <c r="AO35" s="9"/>
      <c r="AP35" s="9"/>
      <c r="AQ35" s="9"/>
      <c r="AR35" s="9"/>
      <c r="AS35" s="10" t="str">
        <f t="shared" si="3"/>
        <v/>
      </c>
      <c r="AT35" s="10" t="str">
        <f t="shared" si="4"/>
        <v/>
      </c>
      <c r="AU35" s="5" t="s">
        <v>174</v>
      </c>
    </row>
    <row r="36" spans="1:47" ht="15" customHeight="1" x14ac:dyDescent="0.3">
      <c r="A36" s="7" t="str">
        <f t="shared" si="0"/>
        <v>7_2025</v>
      </c>
      <c r="B36" s="7">
        <v>35</v>
      </c>
      <c r="C36" s="7">
        <f>'Panel Data (Long Format)'!B36</f>
        <v>7</v>
      </c>
      <c r="D36" s="7" t="str">
        <f>'Panel Data (Long Format)'!C36</f>
        <v>AFROMEDIA</v>
      </c>
      <c r="E36" s="8" t="str">
        <f>'Panel Data (Long Format)'!D36</f>
        <v>Afromedia Plc</v>
      </c>
      <c r="F36" s="7" t="str">
        <f>'Panel Data (Long Format)'!E36</f>
        <v>SERVICES</v>
      </c>
      <c r="G36" s="7">
        <f>'Panel Data (Long Format)'!F36</f>
        <v>2025</v>
      </c>
      <c r="H36" s="9"/>
      <c r="I36" s="9"/>
      <c r="J36" s="9"/>
      <c r="K36" s="9"/>
      <c r="L36" s="9"/>
      <c r="M36" s="9"/>
      <c r="N36" s="9"/>
      <c r="O36" s="9"/>
      <c r="P36" s="9"/>
      <c r="Q36" s="9"/>
      <c r="R36" s="9"/>
      <c r="S36" s="9"/>
      <c r="T36" s="9"/>
      <c r="U36" s="9"/>
      <c r="V36" s="9"/>
      <c r="W36" s="9"/>
      <c r="X36" s="9"/>
      <c r="Y36" s="9"/>
      <c r="Z36" s="9"/>
      <c r="AA36" s="9"/>
      <c r="AB36" s="10" t="str">
        <f t="shared" si="1"/>
        <v/>
      </c>
      <c r="AC36" s="10" t="str">
        <f t="shared" si="2"/>
        <v/>
      </c>
      <c r="AD36" s="9"/>
      <c r="AE36" s="9"/>
      <c r="AF36" s="9"/>
      <c r="AG36" s="9"/>
      <c r="AH36" s="9"/>
      <c r="AI36" s="9"/>
      <c r="AJ36" s="9"/>
      <c r="AK36" s="9"/>
      <c r="AL36" s="9"/>
      <c r="AM36" s="9"/>
      <c r="AN36" s="9"/>
      <c r="AO36" s="9"/>
      <c r="AP36" s="9"/>
      <c r="AQ36" s="9"/>
      <c r="AR36" s="9"/>
      <c r="AS36" s="10" t="str">
        <f t="shared" si="3"/>
        <v/>
      </c>
      <c r="AT36" s="10" t="str">
        <f t="shared" si="4"/>
        <v/>
      </c>
      <c r="AU36" s="5" t="s">
        <v>175</v>
      </c>
    </row>
    <row r="37" spans="1:47" ht="15" customHeight="1" x14ac:dyDescent="0.3">
      <c r="A37" s="7" t="str">
        <f t="shared" si="0"/>
        <v>8_2021</v>
      </c>
      <c r="B37" s="7">
        <v>36</v>
      </c>
      <c r="C37" s="7">
        <f>'Panel Data (Long Format)'!B37</f>
        <v>8</v>
      </c>
      <c r="D37" s="7" t="str">
        <f>'Panel Data (Long Format)'!C37</f>
        <v>AIICO</v>
      </c>
      <c r="E37" s="8" t="str">
        <f>'Panel Data (Long Format)'!D37</f>
        <v>AIICO Insurance Plc</v>
      </c>
      <c r="F37" s="7" t="str">
        <f>'Panel Data (Long Format)'!E37</f>
        <v>FINANCIAL SERVICES</v>
      </c>
      <c r="G37" s="7">
        <f>'Panel Data (Long Format)'!F37</f>
        <v>2021</v>
      </c>
      <c r="H37" s="9">
        <v>1</v>
      </c>
      <c r="I37" s="9">
        <v>1</v>
      </c>
      <c r="J37" s="9">
        <v>0</v>
      </c>
      <c r="K37" s="9">
        <v>0</v>
      </c>
      <c r="L37" s="9">
        <v>0</v>
      </c>
      <c r="M37" s="9">
        <v>0</v>
      </c>
      <c r="N37" s="9">
        <v>0</v>
      </c>
      <c r="O37" s="9">
        <v>0</v>
      </c>
      <c r="P37" s="9">
        <v>0</v>
      </c>
      <c r="Q37" s="9">
        <v>0</v>
      </c>
      <c r="R37" s="9">
        <v>1</v>
      </c>
      <c r="S37" s="9">
        <v>0</v>
      </c>
      <c r="T37" s="9">
        <v>1</v>
      </c>
      <c r="U37" s="9">
        <v>1</v>
      </c>
      <c r="V37" s="9">
        <v>0</v>
      </c>
      <c r="W37" s="9">
        <v>0</v>
      </c>
      <c r="X37" s="9">
        <v>0</v>
      </c>
      <c r="Y37" s="9">
        <v>0</v>
      </c>
      <c r="Z37" s="9">
        <v>0</v>
      </c>
      <c r="AA37" s="9">
        <v>0</v>
      </c>
      <c r="AB37" s="10">
        <f t="shared" si="1"/>
        <v>5</v>
      </c>
      <c r="AC37" s="10">
        <f t="shared" si="2"/>
        <v>25</v>
      </c>
      <c r="AD37" s="9">
        <v>0</v>
      </c>
      <c r="AE37" s="9">
        <v>0</v>
      </c>
      <c r="AF37" s="9">
        <v>0</v>
      </c>
      <c r="AG37" s="9">
        <v>0</v>
      </c>
      <c r="AH37" s="9">
        <v>0</v>
      </c>
      <c r="AI37" s="9">
        <v>0</v>
      </c>
      <c r="AJ37" s="9">
        <v>0</v>
      </c>
      <c r="AK37" s="9">
        <v>0</v>
      </c>
      <c r="AL37" s="9">
        <v>0</v>
      </c>
      <c r="AM37" s="9">
        <v>0</v>
      </c>
      <c r="AN37" s="9">
        <v>0</v>
      </c>
      <c r="AO37" s="9">
        <v>0</v>
      </c>
      <c r="AP37" s="9">
        <v>0</v>
      </c>
      <c r="AQ37" s="9">
        <v>0</v>
      </c>
      <c r="AR37" s="9">
        <v>0</v>
      </c>
      <c r="AS37" s="10">
        <f t="shared" si="3"/>
        <v>0</v>
      </c>
      <c r="AT37" s="10">
        <f t="shared" si="4"/>
        <v>0</v>
      </c>
      <c r="AU37" s="5" t="s">
        <v>176</v>
      </c>
    </row>
    <row r="38" spans="1:47" ht="15" customHeight="1" x14ac:dyDescent="0.3">
      <c r="A38" s="7" t="str">
        <f t="shared" si="0"/>
        <v>8_2022</v>
      </c>
      <c r="B38" s="7">
        <v>37</v>
      </c>
      <c r="C38" s="7">
        <f>'Panel Data (Long Format)'!B38</f>
        <v>8</v>
      </c>
      <c r="D38" s="7" t="str">
        <f>'Panel Data (Long Format)'!C38</f>
        <v>AIICO</v>
      </c>
      <c r="E38" s="8" t="str">
        <f>'Panel Data (Long Format)'!D38</f>
        <v>AIICO Insurance Plc</v>
      </c>
      <c r="F38" s="7" t="str">
        <f>'Panel Data (Long Format)'!E38</f>
        <v>FINANCIAL SERVICES</v>
      </c>
      <c r="G38" s="7">
        <f>'Panel Data (Long Format)'!F38</f>
        <v>2022</v>
      </c>
      <c r="H38" s="9">
        <v>1</v>
      </c>
      <c r="I38" s="9">
        <v>1</v>
      </c>
      <c r="J38" s="9">
        <v>0</v>
      </c>
      <c r="K38" s="9">
        <v>0</v>
      </c>
      <c r="L38" s="9">
        <v>0</v>
      </c>
      <c r="M38" s="9">
        <v>0</v>
      </c>
      <c r="N38" s="9">
        <v>0</v>
      </c>
      <c r="O38" s="9">
        <v>0</v>
      </c>
      <c r="P38" s="9">
        <v>0</v>
      </c>
      <c r="Q38" s="9">
        <v>0</v>
      </c>
      <c r="R38" s="9">
        <v>1</v>
      </c>
      <c r="S38" s="9">
        <v>0</v>
      </c>
      <c r="T38" s="9">
        <v>1</v>
      </c>
      <c r="U38" s="9">
        <v>1</v>
      </c>
      <c r="V38" s="9">
        <v>0</v>
      </c>
      <c r="W38" s="9">
        <v>0</v>
      </c>
      <c r="X38" s="9">
        <v>0</v>
      </c>
      <c r="Y38" s="9">
        <v>0</v>
      </c>
      <c r="Z38" s="9">
        <v>0</v>
      </c>
      <c r="AA38" s="9">
        <v>0</v>
      </c>
      <c r="AB38" s="10">
        <f t="shared" si="1"/>
        <v>5</v>
      </c>
      <c r="AC38" s="10">
        <f t="shared" si="2"/>
        <v>25</v>
      </c>
      <c r="AD38" s="9">
        <v>0</v>
      </c>
      <c r="AE38" s="9">
        <v>0</v>
      </c>
      <c r="AF38" s="9">
        <v>0</v>
      </c>
      <c r="AG38" s="9">
        <v>0</v>
      </c>
      <c r="AH38" s="9">
        <v>0</v>
      </c>
      <c r="AI38" s="9">
        <v>0</v>
      </c>
      <c r="AJ38" s="9">
        <v>0</v>
      </c>
      <c r="AK38" s="9">
        <v>0</v>
      </c>
      <c r="AL38" s="9">
        <v>0</v>
      </c>
      <c r="AM38" s="9">
        <v>0</v>
      </c>
      <c r="AN38" s="9">
        <v>0</v>
      </c>
      <c r="AO38" s="9">
        <v>0</v>
      </c>
      <c r="AP38" s="9">
        <v>0</v>
      </c>
      <c r="AQ38" s="9">
        <v>0</v>
      </c>
      <c r="AR38" s="9">
        <v>0</v>
      </c>
      <c r="AS38" s="10">
        <f t="shared" si="3"/>
        <v>0</v>
      </c>
      <c r="AT38" s="10">
        <f t="shared" si="4"/>
        <v>0</v>
      </c>
      <c r="AU38" s="5" t="s">
        <v>177</v>
      </c>
    </row>
    <row r="39" spans="1:47" ht="15" customHeight="1" x14ac:dyDescent="0.3">
      <c r="A39" s="7" t="str">
        <f t="shared" si="0"/>
        <v>8_2023</v>
      </c>
      <c r="B39" s="7">
        <v>38</v>
      </c>
      <c r="C39" s="7">
        <f>'Panel Data (Long Format)'!B39</f>
        <v>8</v>
      </c>
      <c r="D39" s="7" t="str">
        <f>'Panel Data (Long Format)'!C39</f>
        <v>AIICO</v>
      </c>
      <c r="E39" s="8" t="str">
        <f>'Panel Data (Long Format)'!D39</f>
        <v>AIICO Insurance Plc</v>
      </c>
      <c r="F39" s="7" t="str">
        <f>'Panel Data (Long Format)'!E39</f>
        <v>FINANCIAL SERVICES</v>
      </c>
      <c r="G39" s="7">
        <f>'Panel Data (Long Format)'!F39</f>
        <v>2023</v>
      </c>
      <c r="H39" s="9">
        <v>1</v>
      </c>
      <c r="I39" s="9">
        <v>1</v>
      </c>
      <c r="J39" s="9">
        <v>0</v>
      </c>
      <c r="K39" s="9">
        <v>0</v>
      </c>
      <c r="L39" s="9">
        <v>0</v>
      </c>
      <c r="M39" s="9">
        <v>0</v>
      </c>
      <c r="N39" s="9">
        <v>0</v>
      </c>
      <c r="O39" s="9">
        <v>0</v>
      </c>
      <c r="P39" s="9">
        <v>0</v>
      </c>
      <c r="Q39" s="9">
        <v>0</v>
      </c>
      <c r="R39" s="9">
        <v>1</v>
      </c>
      <c r="S39" s="9">
        <v>0</v>
      </c>
      <c r="T39" s="9">
        <v>1</v>
      </c>
      <c r="U39" s="9">
        <v>1</v>
      </c>
      <c r="V39" s="9">
        <v>0</v>
      </c>
      <c r="W39" s="9">
        <v>0</v>
      </c>
      <c r="X39" s="9">
        <v>0</v>
      </c>
      <c r="Y39" s="9">
        <v>0</v>
      </c>
      <c r="Z39" s="9">
        <v>0</v>
      </c>
      <c r="AA39" s="9">
        <v>0</v>
      </c>
      <c r="AB39" s="10">
        <f t="shared" si="1"/>
        <v>5</v>
      </c>
      <c r="AC39" s="10">
        <f t="shared" si="2"/>
        <v>25</v>
      </c>
      <c r="AD39" s="9">
        <v>0</v>
      </c>
      <c r="AE39" s="9">
        <v>0</v>
      </c>
      <c r="AF39" s="9">
        <v>0</v>
      </c>
      <c r="AG39" s="9">
        <v>0</v>
      </c>
      <c r="AH39" s="9">
        <v>0</v>
      </c>
      <c r="AI39" s="9">
        <v>0</v>
      </c>
      <c r="AJ39" s="9">
        <v>0</v>
      </c>
      <c r="AK39" s="9">
        <v>0</v>
      </c>
      <c r="AL39" s="9">
        <v>0</v>
      </c>
      <c r="AM39" s="9">
        <v>0</v>
      </c>
      <c r="AN39" s="9">
        <v>0</v>
      </c>
      <c r="AO39" s="9">
        <v>0</v>
      </c>
      <c r="AP39" s="9">
        <v>0</v>
      </c>
      <c r="AQ39" s="9">
        <v>0</v>
      </c>
      <c r="AR39" s="9">
        <v>0</v>
      </c>
      <c r="AS39" s="10">
        <f t="shared" si="3"/>
        <v>0</v>
      </c>
      <c r="AT39" s="10">
        <f t="shared" si="4"/>
        <v>0</v>
      </c>
      <c r="AU39" s="5" t="s">
        <v>178</v>
      </c>
    </row>
    <row r="40" spans="1:47" ht="15" customHeight="1" x14ac:dyDescent="0.3">
      <c r="A40" s="7" t="str">
        <f t="shared" si="0"/>
        <v>8_2024</v>
      </c>
      <c r="B40" s="7">
        <v>39</v>
      </c>
      <c r="C40" s="7">
        <f>'Panel Data (Long Format)'!B40</f>
        <v>8</v>
      </c>
      <c r="D40" s="7" t="str">
        <f>'Panel Data (Long Format)'!C40</f>
        <v>AIICO</v>
      </c>
      <c r="E40" s="8" t="str">
        <f>'Panel Data (Long Format)'!D40</f>
        <v>AIICO Insurance Plc</v>
      </c>
      <c r="F40" s="7" t="str">
        <f>'Panel Data (Long Format)'!E40</f>
        <v>FINANCIAL SERVICES</v>
      </c>
      <c r="G40" s="7">
        <f>'Panel Data (Long Format)'!F40</f>
        <v>2024</v>
      </c>
      <c r="H40" s="9">
        <v>1</v>
      </c>
      <c r="I40" s="9">
        <v>1</v>
      </c>
      <c r="J40" s="9">
        <v>0</v>
      </c>
      <c r="K40" s="9">
        <v>0</v>
      </c>
      <c r="L40" s="9">
        <v>0</v>
      </c>
      <c r="M40" s="9">
        <v>0</v>
      </c>
      <c r="N40" s="9">
        <v>0</v>
      </c>
      <c r="O40" s="9">
        <v>0</v>
      </c>
      <c r="P40" s="9">
        <v>0</v>
      </c>
      <c r="Q40" s="9">
        <v>0</v>
      </c>
      <c r="R40" s="9">
        <v>1</v>
      </c>
      <c r="S40" s="9">
        <v>0</v>
      </c>
      <c r="T40" s="9">
        <v>1</v>
      </c>
      <c r="U40" s="9">
        <v>1</v>
      </c>
      <c r="V40" s="9">
        <v>0</v>
      </c>
      <c r="W40" s="9">
        <v>0</v>
      </c>
      <c r="X40" s="9">
        <v>0</v>
      </c>
      <c r="Y40" s="9">
        <v>0</v>
      </c>
      <c r="Z40" s="9">
        <v>0</v>
      </c>
      <c r="AA40" s="9">
        <v>0</v>
      </c>
      <c r="AB40" s="10">
        <f t="shared" si="1"/>
        <v>5</v>
      </c>
      <c r="AC40" s="10">
        <f t="shared" si="2"/>
        <v>25</v>
      </c>
      <c r="AD40" s="9">
        <v>0</v>
      </c>
      <c r="AE40" s="9">
        <v>0</v>
      </c>
      <c r="AF40" s="9">
        <v>0</v>
      </c>
      <c r="AG40" s="9">
        <v>0</v>
      </c>
      <c r="AH40" s="9">
        <v>0</v>
      </c>
      <c r="AI40" s="9">
        <v>0</v>
      </c>
      <c r="AJ40" s="9">
        <v>0</v>
      </c>
      <c r="AK40" s="9">
        <v>0</v>
      </c>
      <c r="AL40" s="9">
        <v>0</v>
      </c>
      <c r="AM40" s="9">
        <v>0</v>
      </c>
      <c r="AN40" s="9">
        <v>0</v>
      </c>
      <c r="AO40" s="9">
        <v>0</v>
      </c>
      <c r="AP40" s="9">
        <v>0</v>
      </c>
      <c r="AQ40" s="9">
        <v>0</v>
      </c>
      <c r="AR40" s="9">
        <v>0</v>
      </c>
      <c r="AS40" s="10">
        <f t="shared" si="3"/>
        <v>0</v>
      </c>
      <c r="AT40" s="10">
        <f t="shared" si="4"/>
        <v>0</v>
      </c>
      <c r="AU40" s="5" t="s">
        <v>179</v>
      </c>
    </row>
    <row r="41" spans="1:47" ht="15" customHeight="1" x14ac:dyDescent="0.3">
      <c r="A41" s="7" t="str">
        <f t="shared" si="0"/>
        <v>8_2025</v>
      </c>
      <c r="B41" s="7">
        <v>40</v>
      </c>
      <c r="C41" s="7">
        <f>'Panel Data (Long Format)'!B41</f>
        <v>8</v>
      </c>
      <c r="D41" s="7" t="str">
        <f>'Panel Data (Long Format)'!C41</f>
        <v>AIICO</v>
      </c>
      <c r="E41" s="8" t="str">
        <f>'Panel Data (Long Format)'!D41</f>
        <v>AIICO Insurance Plc</v>
      </c>
      <c r="F41" s="7" t="str">
        <f>'Panel Data (Long Format)'!E41</f>
        <v>FINANCIAL SERVICES</v>
      </c>
      <c r="G41" s="7">
        <f>'Panel Data (Long Format)'!F41</f>
        <v>2025</v>
      </c>
      <c r="H41" s="9">
        <v>1</v>
      </c>
      <c r="I41" s="9">
        <v>1</v>
      </c>
      <c r="J41" s="9">
        <v>0</v>
      </c>
      <c r="K41" s="9">
        <v>0</v>
      </c>
      <c r="L41" s="9">
        <v>0</v>
      </c>
      <c r="M41" s="9">
        <v>1</v>
      </c>
      <c r="N41" s="9">
        <v>1</v>
      </c>
      <c r="O41" s="9">
        <v>1</v>
      </c>
      <c r="P41" s="9">
        <v>0</v>
      </c>
      <c r="Q41" s="9">
        <v>0</v>
      </c>
      <c r="R41" s="9">
        <v>1</v>
      </c>
      <c r="S41" s="9">
        <v>0</v>
      </c>
      <c r="T41" s="9">
        <v>1</v>
      </c>
      <c r="U41" s="9">
        <v>1</v>
      </c>
      <c r="V41" s="9">
        <v>0</v>
      </c>
      <c r="W41" s="9">
        <v>1</v>
      </c>
      <c r="X41" s="9">
        <v>0</v>
      </c>
      <c r="Y41" s="9">
        <v>0</v>
      </c>
      <c r="Z41" s="9">
        <v>0</v>
      </c>
      <c r="AA41" s="9">
        <v>1</v>
      </c>
      <c r="AB41" s="10">
        <f t="shared" si="1"/>
        <v>10</v>
      </c>
      <c r="AC41" s="10">
        <f t="shared" si="2"/>
        <v>50</v>
      </c>
      <c r="AD41" s="9">
        <v>0</v>
      </c>
      <c r="AE41" s="9">
        <v>0</v>
      </c>
      <c r="AF41" s="9">
        <v>0</v>
      </c>
      <c r="AG41" s="9">
        <v>0</v>
      </c>
      <c r="AH41" s="9">
        <v>1</v>
      </c>
      <c r="AI41" s="9">
        <v>0</v>
      </c>
      <c r="AJ41" s="9">
        <v>0</v>
      </c>
      <c r="AK41" s="9">
        <v>0</v>
      </c>
      <c r="AL41" s="9">
        <v>0</v>
      </c>
      <c r="AM41" s="9">
        <v>0</v>
      </c>
      <c r="AN41" s="9">
        <v>0</v>
      </c>
      <c r="AO41" s="9">
        <v>0</v>
      </c>
      <c r="AP41" s="9">
        <v>0</v>
      </c>
      <c r="AQ41" s="9">
        <v>0</v>
      </c>
      <c r="AR41" s="9">
        <v>0</v>
      </c>
      <c r="AS41" s="10">
        <f t="shared" si="3"/>
        <v>1</v>
      </c>
      <c r="AT41" s="10">
        <f t="shared" si="4"/>
        <v>6.666666666666667</v>
      </c>
      <c r="AU41" s="5" t="s">
        <v>180</v>
      </c>
    </row>
    <row r="42" spans="1:47" ht="15" customHeight="1" x14ac:dyDescent="0.3">
      <c r="A42" s="7" t="str">
        <f t="shared" si="0"/>
        <v>9_2021</v>
      </c>
      <c r="B42" s="7">
        <v>41</v>
      </c>
      <c r="C42" s="7">
        <f>'Panel Data (Long Format)'!B42</f>
        <v>9</v>
      </c>
      <c r="D42" s="7" t="str">
        <f>'Panel Data (Long Format)'!C42</f>
        <v>AIRTELAFRI</v>
      </c>
      <c r="E42" s="8" t="str">
        <f>'Panel Data (Long Format)'!D42</f>
        <v>Airtel Africa Plc</v>
      </c>
      <c r="F42" s="7" t="str">
        <f>'Panel Data (Long Format)'!E42</f>
        <v>ICT</v>
      </c>
      <c r="G42" s="7">
        <f>'Panel Data (Long Format)'!F42</f>
        <v>2021</v>
      </c>
      <c r="H42" s="9">
        <v>1</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0</v>
      </c>
      <c r="AA42" s="9">
        <v>0</v>
      </c>
      <c r="AB42" s="10">
        <f t="shared" si="1"/>
        <v>1</v>
      </c>
      <c r="AC42" s="10">
        <f t="shared" si="2"/>
        <v>5</v>
      </c>
      <c r="AD42" s="9">
        <v>0</v>
      </c>
      <c r="AE42" s="9">
        <v>0</v>
      </c>
      <c r="AF42" s="9">
        <v>0</v>
      </c>
      <c r="AG42" s="9">
        <v>0</v>
      </c>
      <c r="AH42" s="9">
        <v>0</v>
      </c>
      <c r="AI42" s="9">
        <v>0</v>
      </c>
      <c r="AJ42" s="9">
        <v>0</v>
      </c>
      <c r="AK42" s="9">
        <v>0</v>
      </c>
      <c r="AL42" s="9">
        <v>0</v>
      </c>
      <c r="AM42" s="9">
        <v>0</v>
      </c>
      <c r="AN42" s="9">
        <v>0</v>
      </c>
      <c r="AO42" s="9">
        <v>0</v>
      </c>
      <c r="AP42" s="9">
        <v>0</v>
      </c>
      <c r="AQ42" s="9">
        <v>0</v>
      </c>
      <c r="AR42" s="9">
        <v>0</v>
      </c>
      <c r="AS42" s="10">
        <f t="shared" si="3"/>
        <v>0</v>
      </c>
      <c r="AT42" s="10">
        <f t="shared" si="4"/>
        <v>0</v>
      </c>
      <c r="AU42" s="5" t="s">
        <v>181</v>
      </c>
    </row>
    <row r="43" spans="1:47" ht="15" customHeight="1" x14ac:dyDescent="0.3">
      <c r="A43" s="7" t="str">
        <f t="shared" si="0"/>
        <v>9_2022</v>
      </c>
      <c r="B43" s="7">
        <v>42</v>
      </c>
      <c r="C43" s="7">
        <f>'Panel Data (Long Format)'!B43</f>
        <v>9</v>
      </c>
      <c r="D43" s="7" t="str">
        <f>'Panel Data (Long Format)'!C43</f>
        <v>AIRTELAFRI</v>
      </c>
      <c r="E43" s="8" t="str">
        <f>'Panel Data (Long Format)'!D43</f>
        <v>Airtel Africa Plc</v>
      </c>
      <c r="F43" s="7" t="str">
        <f>'Panel Data (Long Format)'!E43</f>
        <v>ICT</v>
      </c>
      <c r="G43" s="7">
        <f>'Panel Data (Long Format)'!F43</f>
        <v>2022</v>
      </c>
      <c r="H43" s="9">
        <v>1</v>
      </c>
      <c r="I43" s="9">
        <v>1</v>
      </c>
      <c r="J43" s="9">
        <v>1</v>
      </c>
      <c r="K43" s="9">
        <v>1</v>
      </c>
      <c r="L43" s="9">
        <v>0</v>
      </c>
      <c r="M43" s="9">
        <v>1</v>
      </c>
      <c r="N43" s="9">
        <v>1</v>
      </c>
      <c r="O43" s="9">
        <v>1</v>
      </c>
      <c r="P43" s="9">
        <v>0</v>
      </c>
      <c r="Q43" s="9">
        <v>0</v>
      </c>
      <c r="R43" s="9">
        <v>1</v>
      </c>
      <c r="S43" s="9">
        <v>0</v>
      </c>
      <c r="T43" s="9">
        <v>0</v>
      </c>
      <c r="U43" s="9">
        <v>0</v>
      </c>
      <c r="V43" s="9">
        <v>0</v>
      </c>
      <c r="W43" s="9">
        <v>1</v>
      </c>
      <c r="X43" s="9">
        <v>1</v>
      </c>
      <c r="Y43" s="9">
        <v>0</v>
      </c>
      <c r="Z43" s="9">
        <v>1</v>
      </c>
      <c r="AA43" s="9">
        <v>1</v>
      </c>
      <c r="AB43" s="10">
        <f t="shared" si="1"/>
        <v>12</v>
      </c>
      <c r="AC43" s="10">
        <f t="shared" si="2"/>
        <v>60</v>
      </c>
      <c r="AD43" s="9">
        <v>1</v>
      </c>
      <c r="AE43" s="9">
        <v>1</v>
      </c>
      <c r="AF43" s="9">
        <v>0</v>
      </c>
      <c r="AG43" s="9">
        <v>0</v>
      </c>
      <c r="AH43" s="9">
        <v>1</v>
      </c>
      <c r="AI43" s="9">
        <v>0</v>
      </c>
      <c r="AJ43" s="9">
        <v>1</v>
      </c>
      <c r="AK43" s="9">
        <v>1</v>
      </c>
      <c r="AL43" s="9">
        <v>1</v>
      </c>
      <c r="AM43" s="9">
        <v>1</v>
      </c>
      <c r="AN43" s="9">
        <v>1</v>
      </c>
      <c r="AO43" s="9">
        <v>1</v>
      </c>
      <c r="AP43" s="9">
        <v>0</v>
      </c>
      <c r="AQ43" s="9">
        <v>0</v>
      </c>
      <c r="AR43" s="9">
        <v>0</v>
      </c>
      <c r="AS43" s="10">
        <f t="shared" si="3"/>
        <v>9</v>
      </c>
      <c r="AT43" s="10">
        <f t="shared" si="4"/>
        <v>60</v>
      </c>
      <c r="AU43" s="5" t="s">
        <v>182</v>
      </c>
    </row>
    <row r="44" spans="1:47" ht="15" customHeight="1" x14ac:dyDescent="0.3">
      <c r="A44" s="7" t="str">
        <f t="shared" si="0"/>
        <v>9_2023</v>
      </c>
      <c r="B44" s="7">
        <v>43</v>
      </c>
      <c r="C44" s="7">
        <f>'Panel Data (Long Format)'!B44</f>
        <v>9</v>
      </c>
      <c r="D44" s="7" t="str">
        <f>'Panel Data (Long Format)'!C44</f>
        <v>AIRTELAFRI</v>
      </c>
      <c r="E44" s="8" t="str">
        <f>'Panel Data (Long Format)'!D44</f>
        <v>Airtel Africa Plc</v>
      </c>
      <c r="F44" s="7" t="str">
        <f>'Panel Data (Long Format)'!E44</f>
        <v>ICT</v>
      </c>
      <c r="G44" s="7">
        <f>'Panel Data (Long Format)'!F44</f>
        <v>2023</v>
      </c>
      <c r="H44" s="9">
        <v>1</v>
      </c>
      <c r="I44" s="9">
        <v>1</v>
      </c>
      <c r="J44" s="9">
        <v>1</v>
      </c>
      <c r="K44" s="9">
        <v>0</v>
      </c>
      <c r="L44" s="9">
        <v>0</v>
      </c>
      <c r="M44" s="9">
        <v>1</v>
      </c>
      <c r="N44" s="9">
        <v>1</v>
      </c>
      <c r="O44" s="9">
        <v>1</v>
      </c>
      <c r="P44" s="9">
        <v>0</v>
      </c>
      <c r="Q44" s="9">
        <v>1</v>
      </c>
      <c r="R44" s="9">
        <v>1</v>
      </c>
      <c r="S44" s="9">
        <v>1</v>
      </c>
      <c r="T44" s="9">
        <v>1</v>
      </c>
      <c r="U44" s="9">
        <v>1</v>
      </c>
      <c r="V44" s="9">
        <v>0</v>
      </c>
      <c r="W44" s="9">
        <v>0</v>
      </c>
      <c r="X44" s="9">
        <v>0</v>
      </c>
      <c r="Y44" s="9">
        <v>0</v>
      </c>
      <c r="Z44" s="9">
        <v>0</v>
      </c>
      <c r="AA44" s="9">
        <v>0</v>
      </c>
      <c r="AB44" s="10">
        <f t="shared" si="1"/>
        <v>11</v>
      </c>
      <c r="AC44" s="10">
        <f t="shared" si="2"/>
        <v>55.000000000000007</v>
      </c>
      <c r="AD44" s="9">
        <v>1</v>
      </c>
      <c r="AE44" s="9">
        <v>1</v>
      </c>
      <c r="AF44" s="9">
        <v>0</v>
      </c>
      <c r="AG44" s="9">
        <v>0</v>
      </c>
      <c r="AH44" s="9">
        <v>1</v>
      </c>
      <c r="AI44" s="9">
        <v>1</v>
      </c>
      <c r="AJ44" s="9">
        <v>1</v>
      </c>
      <c r="AK44" s="9">
        <v>1</v>
      </c>
      <c r="AL44" s="9">
        <v>1</v>
      </c>
      <c r="AM44" s="9">
        <v>0</v>
      </c>
      <c r="AN44" s="9">
        <v>0</v>
      </c>
      <c r="AO44" s="9">
        <v>0</v>
      </c>
      <c r="AP44" s="9">
        <v>1</v>
      </c>
      <c r="AQ44" s="9">
        <v>0</v>
      </c>
      <c r="AR44" s="9">
        <v>0</v>
      </c>
      <c r="AS44" s="10">
        <f t="shared" si="3"/>
        <v>8</v>
      </c>
      <c r="AT44" s="10">
        <f t="shared" si="4"/>
        <v>53.333333333333336</v>
      </c>
      <c r="AU44" s="5" t="s">
        <v>183</v>
      </c>
    </row>
    <row r="45" spans="1:47" ht="15" customHeight="1" x14ac:dyDescent="0.3">
      <c r="A45" s="7" t="str">
        <f t="shared" si="0"/>
        <v>9_2024</v>
      </c>
      <c r="B45" s="7">
        <v>44</v>
      </c>
      <c r="C45" s="7">
        <f>'Panel Data (Long Format)'!B45</f>
        <v>9</v>
      </c>
      <c r="D45" s="7" t="str">
        <f>'Panel Data (Long Format)'!C45</f>
        <v>AIRTELAFRI</v>
      </c>
      <c r="E45" s="8" t="str">
        <f>'Panel Data (Long Format)'!D45</f>
        <v>Airtel Africa Plc</v>
      </c>
      <c r="F45" s="7" t="str">
        <f>'Panel Data (Long Format)'!E45</f>
        <v>ICT</v>
      </c>
      <c r="G45" s="7">
        <f>'Panel Data (Long Format)'!F45</f>
        <v>2024</v>
      </c>
      <c r="H45" s="9">
        <v>1</v>
      </c>
      <c r="I45" s="9">
        <v>1</v>
      </c>
      <c r="J45" s="9">
        <v>1</v>
      </c>
      <c r="K45" s="9">
        <v>1</v>
      </c>
      <c r="L45" s="9">
        <v>0</v>
      </c>
      <c r="M45" s="9">
        <v>1</v>
      </c>
      <c r="N45" s="9">
        <v>1</v>
      </c>
      <c r="O45" s="9">
        <v>1</v>
      </c>
      <c r="P45" s="9">
        <v>0</v>
      </c>
      <c r="Q45" s="9">
        <v>1</v>
      </c>
      <c r="R45" s="9">
        <v>1</v>
      </c>
      <c r="S45" s="9">
        <v>1</v>
      </c>
      <c r="T45" s="9">
        <v>1</v>
      </c>
      <c r="U45" s="9">
        <v>1</v>
      </c>
      <c r="V45" s="9">
        <v>0</v>
      </c>
      <c r="W45" s="9">
        <v>1</v>
      </c>
      <c r="X45" s="9">
        <v>1</v>
      </c>
      <c r="Y45" s="9">
        <v>1</v>
      </c>
      <c r="Z45" s="9">
        <v>1</v>
      </c>
      <c r="AA45" s="9">
        <v>1</v>
      </c>
      <c r="AB45" s="10">
        <f t="shared" si="1"/>
        <v>17</v>
      </c>
      <c r="AC45" s="10">
        <f t="shared" si="2"/>
        <v>85</v>
      </c>
      <c r="AD45" s="9">
        <v>1</v>
      </c>
      <c r="AE45" s="9">
        <v>1</v>
      </c>
      <c r="AF45" s="9">
        <v>0</v>
      </c>
      <c r="AG45" s="9">
        <v>1</v>
      </c>
      <c r="AH45" s="9">
        <v>1</v>
      </c>
      <c r="AI45" s="9">
        <v>1</v>
      </c>
      <c r="AJ45" s="9">
        <v>1</v>
      </c>
      <c r="AK45" s="9">
        <v>1</v>
      </c>
      <c r="AL45" s="9">
        <v>1</v>
      </c>
      <c r="AM45" s="9">
        <v>1</v>
      </c>
      <c r="AN45" s="9">
        <v>1</v>
      </c>
      <c r="AO45" s="9">
        <v>1</v>
      </c>
      <c r="AP45" s="9">
        <v>1</v>
      </c>
      <c r="AQ45" s="9">
        <v>1</v>
      </c>
      <c r="AR45" s="9">
        <v>0</v>
      </c>
      <c r="AS45" s="10">
        <f t="shared" si="3"/>
        <v>13</v>
      </c>
      <c r="AT45" s="10">
        <f t="shared" si="4"/>
        <v>86.666666666666671</v>
      </c>
      <c r="AU45" s="5" t="s">
        <v>184</v>
      </c>
    </row>
    <row r="46" spans="1:47" ht="15" customHeight="1" x14ac:dyDescent="0.3">
      <c r="A46" s="7" t="str">
        <f t="shared" si="0"/>
        <v>9_2025</v>
      </c>
      <c r="B46" s="7">
        <v>45</v>
      </c>
      <c r="C46" s="7">
        <f>'Panel Data (Long Format)'!B46</f>
        <v>9</v>
      </c>
      <c r="D46" s="7" t="str">
        <f>'Panel Data (Long Format)'!C46</f>
        <v>AIRTELAFRI</v>
      </c>
      <c r="E46" s="8" t="str">
        <f>'Panel Data (Long Format)'!D46</f>
        <v>Airtel Africa Plc</v>
      </c>
      <c r="F46" s="7" t="str">
        <f>'Panel Data (Long Format)'!E46</f>
        <v>ICT</v>
      </c>
      <c r="G46" s="7">
        <f>'Panel Data (Long Format)'!F46</f>
        <v>2025</v>
      </c>
      <c r="H46" s="9">
        <v>1</v>
      </c>
      <c r="I46" s="9">
        <v>1</v>
      </c>
      <c r="J46" s="9">
        <v>1</v>
      </c>
      <c r="K46" s="9">
        <v>1</v>
      </c>
      <c r="L46" s="9">
        <v>1</v>
      </c>
      <c r="M46" s="9">
        <v>1</v>
      </c>
      <c r="N46" s="9">
        <v>1</v>
      </c>
      <c r="O46" s="9">
        <v>1</v>
      </c>
      <c r="P46" s="9">
        <v>0</v>
      </c>
      <c r="Q46" s="9">
        <v>1</v>
      </c>
      <c r="R46" s="9">
        <v>1</v>
      </c>
      <c r="S46" s="9">
        <v>1</v>
      </c>
      <c r="T46" s="9">
        <v>1</v>
      </c>
      <c r="U46" s="9">
        <v>1</v>
      </c>
      <c r="V46" s="9">
        <v>0</v>
      </c>
      <c r="W46" s="9">
        <v>1</v>
      </c>
      <c r="X46" s="9">
        <v>1</v>
      </c>
      <c r="Y46" s="9">
        <v>1</v>
      </c>
      <c r="Z46" s="9">
        <v>1</v>
      </c>
      <c r="AA46" s="9">
        <v>1</v>
      </c>
      <c r="AB46" s="10">
        <f t="shared" si="1"/>
        <v>18</v>
      </c>
      <c r="AC46" s="10">
        <f t="shared" si="2"/>
        <v>90</v>
      </c>
      <c r="AD46" s="9">
        <v>1</v>
      </c>
      <c r="AE46" s="9">
        <v>1</v>
      </c>
      <c r="AF46" s="9">
        <v>1</v>
      </c>
      <c r="AG46" s="9">
        <v>1</v>
      </c>
      <c r="AH46" s="9">
        <v>1</v>
      </c>
      <c r="AI46" s="9">
        <v>1</v>
      </c>
      <c r="AJ46" s="9">
        <v>1</v>
      </c>
      <c r="AK46" s="9">
        <v>1</v>
      </c>
      <c r="AL46" s="9">
        <v>1</v>
      </c>
      <c r="AM46" s="9">
        <v>1</v>
      </c>
      <c r="AN46" s="9">
        <v>1</v>
      </c>
      <c r="AO46" s="9">
        <v>1</v>
      </c>
      <c r="AP46" s="9">
        <v>1</v>
      </c>
      <c r="AQ46" s="9">
        <v>1</v>
      </c>
      <c r="AR46" s="9">
        <v>0</v>
      </c>
      <c r="AS46" s="10">
        <f t="shared" si="3"/>
        <v>14</v>
      </c>
      <c r="AT46" s="10">
        <f t="shared" si="4"/>
        <v>93.333333333333329</v>
      </c>
      <c r="AU46" s="5" t="s">
        <v>185</v>
      </c>
    </row>
    <row r="47" spans="1:47" ht="15" customHeight="1" x14ac:dyDescent="0.3">
      <c r="A47" s="7" t="str">
        <f t="shared" si="0"/>
        <v>10_2021</v>
      </c>
      <c r="B47" s="7">
        <v>46</v>
      </c>
      <c r="C47" s="7">
        <f>'Panel Data (Long Format)'!B47</f>
        <v>10</v>
      </c>
      <c r="D47" s="7" t="str">
        <f>'Panel Data (Long Format)'!C47</f>
        <v>ALEX</v>
      </c>
      <c r="E47" s="8" t="str">
        <f>'Panel Data (Long Format)'!D47</f>
        <v>Aluminium Extrusion Industries Plc</v>
      </c>
      <c r="F47" s="7" t="str">
        <f>'Panel Data (Long Format)'!E47</f>
        <v>NATURAL RESOURCES</v>
      </c>
      <c r="G47" s="7">
        <f>'Panel Data (Long Format)'!F47</f>
        <v>2021</v>
      </c>
      <c r="H47" s="9">
        <v>0</v>
      </c>
      <c r="I47" s="9">
        <v>0</v>
      </c>
      <c r="J47" s="9">
        <v>0</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10">
        <f t="shared" si="1"/>
        <v>0</v>
      </c>
      <c r="AC47" s="10">
        <f t="shared" si="2"/>
        <v>0</v>
      </c>
      <c r="AD47" s="9">
        <v>0</v>
      </c>
      <c r="AE47" s="9">
        <v>0</v>
      </c>
      <c r="AF47" s="9">
        <v>0</v>
      </c>
      <c r="AG47" s="9">
        <v>0</v>
      </c>
      <c r="AH47" s="9">
        <v>0</v>
      </c>
      <c r="AI47" s="9">
        <v>0</v>
      </c>
      <c r="AJ47" s="9">
        <v>0</v>
      </c>
      <c r="AK47" s="9">
        <v>0</v>
      </c>
      <c r="AL47" s="9">
        <v>0</v>
      </c>
      <c r="AM47" s="9">
        <v>0</v>
      </c>
      <c r="AN47" s="9">
        <v>0</v>
      </c>
      <c r="AO47" s="9">
        <v>0</v>
      </c>
      <c r="AP47" s="9">
        <v>0</v>
      </c>
      <c r="AQ47" s="9">
        <v>0</v>
      </c>
      <c r="AR47" s="9">
        <v>0</v>
      </c>
      <c r="AS47" s="10">
        <f t="shared" si="3"/>
        <v>0</v>
      </c>
      <c r="AT47" s="10">
        <f t="shared" si="4"/>
        <v>0</v>
      </c>
      <c r="AU47" s="5" t="s">
        <v>186</v>
      </c>
    </row>
    <row r="48" spans="1:47" ht="15" customHeight="1" x14ac:dyDescent="0.3">
      <c r="A48" s="7" t="str">
        <f t="shared" si="0"/>
        <v>10_2022</v>
      </c>
      <c r="B48" s="7">
        <v>47</v>
      </c>
      <c r="C48" s="7">
        <f>'Panel Data (Long Format)'!B48</f>
        <v>10</v>
      </c>
      <c r="D48" s="7" t="str">
        <f>'Panel Data (Long Format)'!C48</f>
        <v>ALEX</v>
      </c>
      <c r="E48" s="8" t="str">
        <f>'Panel Data (Long Format)'!D48</f>
        <v>Aluminium Extrusion Industries Plc</v>
      </c>
      <c r="F48" s="7" t="str">
        <f>'Panel Data (Long Format)'!E48</f>
        <v>NATURAL RESOURCES</v>
      </c>
      <c r="G48" s="7">
        <f>'Panel Data (Long Format)'!F48</f>
        <v>2022</v>
      </c>
      <c r="H48" s="9">
        <v>0</v>
      </c>
      <c r="I48" s="9">
        <v>0</v>
      </c>
      <c r="J48" s="9">
        <v>0</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10">
        <f t="shared" si="1"/>
        <v>0</v>
      </c>
      <c r="AC48" s="10">
        <f t="shared" si="2"/>
        <v>0</v>
      </c>
      <c r="AD48" s="9">
        <v>0</v>
      </c>
      <c r="AE48" s="9">
        <v>0</v>
      </c>
      <c r="AF48" s="9">
        <v>0</v>
      </c>
      <c r="AG48" s="9">
        <v>0</v>
      </c>
      <c r="AH48" s="9">
        <v>0</v>
      </c>
      <c r="AI48" s="9">
        <v>0</v>
      </c>
      <c r="AJ48" s="9">
        <v>0</v>
      </c>
      <c r="AK48" s="9">
        <v>0</v>
      </c>
      <c r="AL48" s="9">
        <v>0</v>
      </c>
      <c r="AM48" s="9">
        <v>0</v>
      </c>
      <c r="AN48" s="9">
        <v>0</v>
      </c>
      <c r="AO48" s="9">
        <v>0</v>
      </c>
      <c r="AP48" s="9">
        <v>0</v>
      </c>
      <c r="AQ48" s="9">
        <v>0</v>
      </c>
      <c r="AR48" s="9">
        <v>0</v>
      </c>
      <c r="AS48" s="10">
        <f t="shared" si="3"/>
        <v>0</v>
      </c>
      <c r="AT48" s="10">
        <f t="shared" si="4"/>
        <v>0</v>
      </c>
      <c r="AU48" s="5" t="s">
        <v>187</v>
      </c>
    </row>
    <row r="49" spans="1:47" ht="15" customHeight="1" x14ac:dyDescent="0.3">
      <c r="A49" s="7" t="str">
        <f t="shared" si="0"/>
        <v>10_2023</v>
      </c>
      <c r="B49" s="7">
        <v>48</v>
      </c>
      <c r="C49" s="7">
        <f>'Panel Data (Long Format)'!B49</f>
        <v>10</v>
      </c>
      <c r="D49" s="7" t="str">
        <f>'Panel Data (Long Format)'!C49</f>
        <v>ALEX</v>
      </c>
      <c r="E49" s="8" t="str">
        <f>'Panel Data (Long Format)'!D49</f>
        <v>Aluminium Extrusion Industries Plc</v>
      </c>
      <c r="F49" s="7" t="str">
        <f>'Panel Data (Long Format)'!E49</f>
        <v>NATURAL RESOURCES</v>
      </c>
      <c r="G49" s="7">
        <f>'Panel Data (Long Format)'!F49</f>
        <v>2023</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10">
        <f t="shared" si="1"/>
        <v>0</v>
      </c>
      <c r="AC49" s="10">
        <f t="shared" si="2"/>
        <v>0</v>
      </c>
      <c r="AD49" s="9">
        <v>0</v>
      </c>
      <c r="AE49" s="9">
        <v>0</v>
      </c>
      <c r="AF49" s="9">
        <v>0</v>
      </c>
      <c r="AG49" s="9">
        <v>0</v>
      </c>
      <c r="AH49" s="9">
        <v>0</v>
      </c>
      <c r="AI49" s="9">
        <v>0</v>
      </c>
      <c r="AJ49" s="9">
        <v>0</v>
      </c>
      <c r="AK49" s="9">
        <v>0</v>
      </c>
      <c r="AL49" s="9">
        <v>0</v>
      </c>
      <c r="AM49" s="9">
        <v>0</v>
      </c>
      <c r="AN49" s="9">
        <v>0</v>
      </c>
      <c r="AO49" s="9">
        <v>0</v>
      </c>
      <c r="AP49" s="9">
        <v>0</v>
      </c>
      <c r="AQ49" s="9">
        <v>0</v>
      </c>
      <c r="AR49" s="9">
        <v>0</v>
      </c>
      <c r="AS49" s="10">
        <f t="shared" si="3"/>
        <v>0</v>
      </c>
      <c r="AT49" s="10">
        <f t="shared" si="4"/>
        <v>0</v>
      </c>
      <c r="AU49" s="5" t="s">
        <v>188</v>
      </c>
    </row>
    <row r="50" spans="1:47" ht="15" customHeight="1" x14ac:dyDescent="0.3">
      <c r="A50" s="7" t="str">
        <f t="shared" si="0"/>
        <v>10_2024</v>
      </c>
      <c r="B50" s="7">
        <v>49</v>
      </c>
      <c r="C50" s="7">
        <f>'Panel Data (Long Format)'!B50</f>
        <v>10</v>
      </c>
      <c r="D50" s="7" t="str">
        <f>'Panel Data (Long Format)'!C50</f>
        <v>ALEX</v>
      </c>
      <c r="E50" s="8" t="str">
        <f>'Panel Data (Long Format)'!D50</f>
        <v>Aluminium Extrusion Industries Plc</v>
      </c>
      <c r="F50" s="7" t="str">
        <f>'Panel Data (Long Format)'!E50</f>
        <v>NATURAL RESOURCES</v>
      </c>
      <c r="G50" s="7">
        <f>'Panel Data (Long Format)'!F50</f>
        <v>2024</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10">
        <f t="shared" si="1"/>
        <v>0</v>
      </c>
      <c r="AC50" s="10">
        <f t="shared" si="2"/>
        <v>0</v>
      </c>
      <c r="AD50" s="9">
        <v>0</v>
      </c>
      <c r="AE50" s="9">
        <v>0</v>
      </c>
      <c r="AF50" s="9">
        <v>0</v>
      </c>
      <c r="AG50" s="9">
        <v>0</v>
      </c>
      <c r="AH50" s="9">
        <v>0</v>
      </c>
      <c r="AI50" s="9">
        <v>0</v>
      </c>
      <c r="AJ50" s="9">
        <v>0</v>
      </c>
      <c r="AK50" s="9">
        <v>0</v>
      </c>
      <c r="AL50" s="9">
        <v>0</v>
      </c>
      <c r="AM50" s="9">
        <v>0</v>
      </c>
      <c r="AN50" s="9">
        <v>0</v>
      </c>
      <c r="AO50" s="9">
        <v>0</v>
      </c>
      <c r="AP50" s="9">
        <v>0</v>
      </c>
      <c r="AQ50" s="9">
        <v>0</v>
      </c>
      <c r="AR50" s="9">
        <v>0</v>
      </c>
      <c r="AS50" s="10">
        <f t="shared" si="3"/>
        <v>0</v>
      </c>
      <c r="AT50" s="10">
        <f t="shared" si="4"/>
        <v>0</v>
      </c>
      <c r="AU50" s="5" t="s">
        <v>189</v>
      </c>
    </row>
    <row r="51" spans="1:47" ht="15" customHeight="1" x14ac:dyDescent="0.3">
      <c r="A51" s="7" t="str">
        <f t="shared" si="0"/>
        <v>10_2025</v>
      </c>
      <c r="B51" s="7">
        <v>50</v>
      </c>
      <c r="C51" s="7">
        <f>'Panel Data (Long Format)'!B51</f>
        <v>10</v>
      </c>
      <c r="D51" s="7" t="str">
        <f>'Panel Data (Long Format)'!C51</f>
        <v>ALEX</v>
      </c>
      <c r="E51" s="8" t="str">
        <f>'Panel Data (Long Format)'!D51</f>
        <v>Aluminium Extrusion Industries Plc</v>
      </c>
      <c r="F51" s="7" t="str">
        <f>'Panel Data (Long Format)'!E51</f>
        <v>NATURAL RESOURCES</v>
      </c>
      <c r="G51" s="7">
        <f>'Panel Data (Long Format)'!F51</f>
        <v>2025</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10">
        <f t="shared" si="1"/>
        <v>0</v>
      </c>
      <c r="AC51" s="10">
        <f t="shared" si="2"/>
        <v>0</v>
      </c>
      <c r="AD51" s="9">
        <v>0</v>
      </c>
      <c r="AE51" s="9">
        <v>0</v>
      </c>
      <c r="AF51" s="9">
        <v>0</v>
      </c>
      <c r="AG51" s="9">
        <v>0</v>
      </c>
      <c r="AH51" s="9">
        <v>0</v>
      </c>
      <c r="AI51" s="9">
        <v>0</v>
      </c>
      <c r="AJ51" s="9">
        <v>0</v>
      </c>
      <c r="AK51" s="9">
        <v>0</v>
      </c>
      <c r="AL51" s="9">
        <v>0</v>
      </c>
      <c r="AM51" s="9">
        <v>0</v>
      </c>
      <c r="AN51" s="9">
        <v>0</v>
      </c>
      <c r="AO51" s="9">
        <v>0</v>
      </c>
      <c r="AP51" s="9">
        <v>0</v>
      </c>
      <c r="AQ51" s="9">
        <v>0</v>
      </c>
      <c r="AR51" s="9">
        <v>0</v>
      </c>
      <c r="AS51" s="10">
        <f t="shared" si="3"/>
        <v>0</v>
      </c>
      <c r="AT51" s="10">
        <f t="shared" si="4"/>
        <v>0</v>
      </c>
      <c r="AU51" s="5" t="s">
        <v>190</v>
      </c>
    </row>
    <row r="52" spans="1:47" ht="15" customHeight="1" x14ac:dyDescent="0.3">
      <c r="A52" s="7" t="str">
        <f t="shared" si="0"/>
        <v>11_2021</v>
      </c>
      <c r="B52" s="7">
        <v>51</v>
      </c>
      <c r="C52" s="7">
        <f>'Panel Data (Long Format)'!B52</f>
        <v>11</v>
      </c>
      <c r="D52" s="7" t="str">
        <f>'Panel Data (Long Format)'!C52</f>
        <v>ARADEL</v>
      </c>
      <c r="E52" s="8" t="str">
        <f>'Panel Data (Long Format)'!D52</f>
        <v>Aradel Holdings Plc</v>
      </c>
      <c r="F52" s="7" t="str">
        <f>'Panel Data (Long Format)'!E52</f>
        <v>OIL AND GAS</v>
      </c>
      <c r="G52" s="7">
        <f>'Panel Data (Long Format)'!F52</f>
        <v>2021</v>
      </c>
      <c r="H52" s="9"/>
      <c r="I52" s="9"/>
      <c r="J52" s="9"/>
      <c r="K52" s="9"/>
      <c r="L52" s="9"/>
      <c r="M52" s="9"/>
      <c r="N52" s="9"/>
      <c r="O52" s="9"/>
      <c r="P52" s="9"/>
      <c r="Q52" s="9"/>
      <c r="R52" s="9"/>
      <c r="S52" s="9"/>
      <c r="T52" s="9"/>
      <c r="U52" s="9"/>
      <c r="V52" s="9"/>
      <c r="W52" s="9"/>
      <c r="X52" s="9"/>
      <c r="Y52" s="9"/>
      <c r="Z52" s="9"/>
      <c r="AA52" s="9"/>
      <c r="AB52" s="10" t="str">
        <f t="shared" si="1"/>
        <v/>
      </c>
      <c r="AC52" s="10" t="str">
        <f t="shared" si="2"/>
        <v/>
      </c>
      <c r="AD52" s="9"/>
      <c r="AE52" s="9"/>
      <c r="AF52" s="9"/>
      <c r="AG52" s="9"/>
      <c r="AH52" s="9"/>
      <c r="AI52" s="9"/>
      <c r="AJ52" s="9"/>
      <c r="AK52" s="9"/>
      <c r="AL52" s="9"/>
      <c r="AM52" s="9"/>
      <c r="AN52" s="9"/>
      <c r="AO52" s="9"/>
      <c r="AP52" s="9"/>
      <c r="AQ52" s="9"/>
      <c r="AR52" s="9"/>
      <c r="AS52" s="10" t="str">
        <f t="shared" si="3"/>
        <v/>
      </c>
      <c r="AT52" s="10" t="str">
        <f t="shared" si="4"/>
        <v/>
      </c>
      <c r="AU52" s="5" t="s">
        <v>191</v>
      </c>
    </row>
    <row r="53" spans="1:47" ht="15" customHeight="1" x14ac:dyDescent="0.3">
      <c r="A53" s="7" t="str">
        <f t="shared" si="0"/>
        <v>11_2022</v>
      </c>
      <c r="B53" s="7">
        <v>52</v>
      </c>
      <c r="C53" s="7">
        <f>'Panel Data (Long Format)'!B53</f>
        <v>11</v>
      </c>
      <c r="D53" s="7" t="str">
        <f>'Panel Data (Long Format)'!C53</f>
        <v>ARADEL</v>
      </c>
      <c r="E53" s="8" t="str">
        <f>'Panel Data (Long Format)'!D53</f>
        <v>Aradel Holdings Plc</v>
      </c>
      <c r="F53" s="7" t="str">
        <f>'Panel Data (Long Format)'!E53</f>
        <v>OIL AND GAS</v>
      </c>
      <c r="G53" s="7">
        <f>'Panel Data (Long Format)'!F53</f>
        <v>2022</v>
      </c>
      <c r="H53" s="9">
        <v>1</v>
      </c>
      <c r="I53" s="9">
        <v>0</v>
      </c>
      <c r="J53" s="9">
        <v>1</v>
      </c>
      <c r="K53" s="9">
        <v>0</v>
      </c>
      <c r="L53" s="9">
        <v>0</v>
      </c>
      <c r="M53" s="9">
        <v>0</v>
      </c>
      <c r="N53" s="9">
        <v>0</v>
      </c>
      <c r="O53" s="9">
        <v>0</v>
      </c>
      <c r="P53" s="9">
        <v>0</v>
      </c>
      <c r="Q53" s="9">
        <v>0</v>
      </c>
      <c r="R53" s="9">
        <v>1</v>
      </c>
      <c r="S53" s="9">
        <v>1</v>
      </c>
      <c r="T53" s="9">
        <v>1</v>
      </c>
      <c r="U53" s="9">
        <v>1</v>
      </c>
      <c r="V53" s="9">
        <v>0</v>
      </c>
      <c r="W53" s="9">
        <v>0</v>
      </c>
      <c r="X53" s="9">
        <v>0</v>
      </c>
      <c r="Y53" s="9">
        <v>0</v>
      </c>
      <c r="Z53" s="9">
        <v>0</v>
      </c>
      <c r="AA53" s="9">
        <v>0</v>
      </c>
      <c r="AB53" s="10">
        <f t="shared" si="1"/>
        <v>6</v>
      </c>
      <c r="AC53" s="10">
        <f t="shared" si="2"/>
        <v>30</v>
      </c>
      <c r="AD53" s="9">
        <v>0</v>
      </c>
      <c r="AE53" s="9">
        <v>0</v>
      </c>
      <c r="AF53" s="9">
        <v>0</v>
      </c>
      <c r="AG53" s="9">
        <v>0</v>
      </c>
      <c r="AH53" s="9">
        <v>0</v>
      </c>
      <c r="AI53" s="9">
        <v>0</v>
      </c>
      <c r="AJ53" s="9">
        <v>0</v>
      </c>
      <c r="AK53" s="9">
        <v>0</v>
      </c>
      <c r="AL53" s="9">
        <v>0</v>
      </c>
      <c r="AM53" s="9">
        <v>0</v>
      </c>
      <c r="AN53" s="9">
        <v>0</v>
      </c>
      <c r="AO53" s="9">
        <v>0</v>
      </c>
      <c r="AP53" s="9">
        <v>0</v>
      </c>
      <c r="AQ53" s="9">
        <v>0</v>
      </c>
      <c r="AR53" s="9">
        <v>0</v>
      </c>
      <c r="AS53" s="10">
        <f t="shared" si="3"/>
        <v>0</v>
      </c>
      <c r="AT53" s="10">
        <f t="shared" si="4"/>
        <v>0</v>
      </c>
      <c r="AU53" s="5" t="s">
        <v>192</v>
      </c>
    </row>
    <row r="54" spans="1:47" ht="15" customHeight="1" x14ac:dyDescent="0.3">
      <c r="A54" s="7" t="str">
        <f t="shared" si="0"/>
        <v>11_2023</v>
      </c>
      <c r="B54" s="7">
        <v>53</v>
      </c>
      <c r="C54" s="7">
        <f>'Panel Data (Long Format)'!B54</f>
        <v>11</v>
      </c>
      <c r="D54" s="7" t="str">
        <f>'Panel Data (Long Format)'!C54</f>
        <v>ARADEL</v>
      </c>
      <c r="E54" s="8" t="str">
        <f>'Panel Data (Long Format)'!D54</f>
        <v>Aradel Holdings Plc</v>
      </c>
      <c r="F54" s="7" t="str">
        <f>'Panel Data (Long Format)'!E54</f>
        <v>OIL AND GAS</v>
      </c>
      <c r="G54" s="7">
        <f>'Panel Data (Long Format)'!F54</f>
        <v>2023</v>
      </c>
      <c r="H54" s="9"/>
      <c r="I54" s="9"/>
      <c r="J54" s="9"/>
      <c r="K54" s="9"/>
      <c r="L54" s="9"/>
      <c r="M54" s="9"/>
      <c r="N54" s="9"/>
      <c r="O54" s="9"/>
      <c r="P54" s="9"/>
      <c r="Q54" s="9"/>
      <c r="R54" s="9"/>
      <c r="S54" s="9"/>
      <c r="T54" s="9"/>
      <c r="U54" s="9"/>
      <c r="V54" s="9"/>
      <c r="W54" s="9"/>
      <c r="X54" s="9"/>
      <c r="Y54" s="9"/>
      <c r="Z54" s="9"/>
      <c r="AA54" s="9"/>
      <c r="AB54" s="10" t="str">
        <f t="shared" si="1"/>
        <v/>
      </c>
      <c r="AC54" s="10" t="str">
        <f t="shared" si="2"/>
        <v/>
      </c>
      <c r="AD54" s="9"/>
      <c r="AE54" s="9"/>
      <c r="AF54" s="9"/>
      <c r="AG54" s="9"/>
      <c r="AH54" s="9"/>
      <c r="AI54" s="9"/>
      <c r="AJ54" s="9"/>
      <c r="AK54" s="9"/>
      <c r="AL54" s="9"/>
      <c r="AM54" s="9"/>
      <c r="AN54" s="9"/>
      <c r="AO54" s="9"/>
      <c r="AP54" s="9"/>
      <c r="AQ54" s="9"/>
      <c r="AR54" s="9"/>
      <c r="AS54" s="10" t="str">
        <f t="shared" si="3"/>
        <v/>
      </c>
      <c r="AT54" s="10" t="str">
        <f t="shared" si="4"/>
        <v/>
      </c>
      <c r="AU54" s="5" t="s">
        <v>193</v>
      </c>
    </row>
    <row r="55" spans="1:47" ht="15" customHeight="1" x14ac:dyDescent="0.3">
      <c r="A55" s="7" t="str">
        <f t="shared" si="0"/>
        <v>11_2024</v>
      </c>
      <c r="B55" s="7">
        <v>54</v>
      </c>
      <c r="C55" s="7">
        <f>'Panel Data (Long Format)'!B55</f>
        <v>11</v>
      </c>
      <c r="D55" s="7" t="str">
        <f>'Panel Data (Long Format)'!C55</f>
        <v>ARADEL</v>
      </c>
      <c r="E55" s="8" t="str">
        <f>'Panel Data (Long Format)'!D55</f>
        <v>Aradel Holdings Plc</v>
      </c>
      <c r="F55" s="7" t="str">
        <f>'Panel Data (Long Format)'!E55</f>
        <v>OIL AND GAS</v>
      </c>
      <c r="G55" s="7">
        <f>'Panel Data (Long Format)'!F55</f>
        <v>2024</v>
      </c>
      <c r="H55" s="9">
        <v>1</v>
      </c>
      <c r="I55" s="9">
        <v>0</v>
      </c>
      <c r="J55" s="9">
        <v>1</v>
      </c>
      <c r="K55" s="9">
        <v>0</v>
      </c>
      <c r="L55" s="9">
        <v>0</v>
      </c>
      <c r="M55" s="9">
        <v>0</v>
      </c>
      <c r="N55" s="9">
        <v>0</v>
      </c>
      <c r="O55" s="9">
        <v>0</v>
      </c>
      <c r="P55" s="9">
        <v>1</v>
      </c>
      <c r="Q55" s="9">
        <v>0</v>
      </c>
      <c r="R55" s="9">
        <v>1</v>
      </c>
      <c r="S55" s="9">
        <v>1</v>
      </c>
      <c r="T55" s="9">
        <v>1</v>
      </c>
      <c r="U55" s="9">
        <v>1</v>
      </c>
      <c r="V55" s="9">
        <v>0</v>
      </c>
      <c r="W55" s="9">
        <v>0</v>
      </c>
      <c r="X55" s="9">
        <v>0</v>
      </c>
      <c r="Y55" s="9">
        <v>0</v>
      </c>
      <c r="Z55" s="9">
        <v>0</v>
      </c>
      <c r="AA55" s="9">
        <v>0</v>
      </c>
      <c r="AB55" s="10">
        <f t="shared" si="1"/>
        <v>7</v>
      </c>
      <c r="AC55" s="10">
        <f t="shared" si="2"/>
        <v>35</v>
      </c>
      <c r="AD55" s="9">
        <v>0</v>
      </c>
      <c r="AE55" s="9">
        <v>0</v>
      </c>
      <c r="AF55" s="9">
        <v>0</v>
      </c>
      <c r="AG55" s="9">
        <v>0</v>
      </c>
      <c r="AH55" s="9">
        <v>0</v>
      </c>
      <c r="AI55" s="9">
        <v>0</v>
      </c>
      <c r="AJ55" s="9">
        <v>0</v>
      </c>
      <c r="AK55" s="9">
        <v>0</v>
      </c>
      <c r="AL55" s="9">
        <v>0</v>
      </c>
      <c r="AM55" s="9">
        <v>0</v>
      </c>
      <c r="AN55" s="9">
        <v>0</v>
      </c>
      <c r="AO55" s="9">
        <v>0</v>
      </c>
      <c r="AP55" s="9">
        <v>0</v>
      </c>
      <c r="AQ55" s="9">
        <v>0</v>
      </c>
      <c r="AR55" s="9">
        <v>0</v>
      </c>
      <c r="AS55" s="10">
        <f t="shared" si="3"/>
        <v>0</v>
      </c>
      <c r="AT55" s="10">
        <f t="shared" si="4"/>
        <v>0</v>
      </c>
      <c r="AU55" s="5" t="s">
        <v>194</v>
      </c>
    </row>
    <row r="56" spans="1:47" ht="15" customHeight="1" x14ac:dyDescent="0.3">
      <c r="A56" s="7" t="str">
        <f t="shared" si="0"/>
        <v>11_2025</v>
      </c>
      <c r="B56" s="7">
        <v>55</v>
      </c>
      <c r="C56" s="7">
        <f>'Panel Data (Long Format)'!B56</f>
        <v>11</v>
      </c>
      <c r="D56" s="7" t="str">
        <f>'Panel Data (Long Format)'!C56</f>
        <v>ARADEL</v>
      </c>
      <c r="E56" s="8" t="str">
        <f>'Panel Data (Long Format)'!D56</f>
        <v>Aradel Holdings Plc</v>
      </c>
      <c r="F56" s="7" t="str">
        <f>'Panel Data (Long Format)'!E56</f>
        <v>OIL AND GAS</v>
      </c>
      <c r="G56" s="7">
        <f>'Panel Data (Long Format)'!F56</f>
        <v>2025</v>
      </c>
      <c r="H56" s="9">
        <v>1</v>
      </c>
      <c r="I56" s="9">
        <v>0</v>
      </c>
      <c r="J56" s="9">
        <v>1</v>
      </c>
      <c r="K56" s="9">
        <v>0</v>
      </c>
      <c r="L56" s="9">
        <v>0</v>
      </c>
      <c r="M56" s="9">
        <v>0</v>
      </c>
      <c r="N56" s="9">
        <v>0</v>
      </c>
      <c r="O56" s="9">
        <v>0</v>
      </c>
      <c r="P56" s="9">
        <v>0</v>
      </c>
      <c r="Q56" s="9">
        <v>0</v>
      </c>
      <c r="R56" s="9">
        <v>1</v>
      </c>
      <c r="S56" s="9">
        <v>1</v>
      </c>
      <c r="T56" s="9">
        <v>1</v>
      </c>
      <c r="U56" s="9">
        <v>1</v>
      </c>
      <c r="V56" s="9">
        <v>0</v>
      </c>
      <c r="W56" s="9">
        <v>0</v>
      </c>
      <c r="X56" s="9">
        <v>0</v>
      </c>
      <c r="Y56" s="9">
        <v>0</v>
      </c>
      <c r="Z56" s="9">
        <v>0</v>
      </c>
      <c r="AA56" s="9">
        <v>0</v>
      </c>
      <c r="AB56" s="10">
        <f t="shared" si="1"/>
        <v>6</v>
      </c>
      <c r="AC56" s="10">
        <f t="shared" si="2"/>
        <v>30</v>
      </c>
      <c r="AD56" s="9">
        <v>0</v>
      </c>
      <c r="AE56" s="9">
        <v>0</v>
      </c>
      <c r="AF56" s="9">
        <v>0</v>
      </c>
      <c r="AG56" s="9">
        <v>0</v>
      </c>
      <c r="AH56" s="9">
        <v>0</v>
      </c>
      <c r="AI56" s="9">
        <v>0</v>
      </c>
      <c r="AJ56" s="9">
        <v>0</v>
      </c>
      <c r="AK56" s="9">
        <v>0</v>
      </c>
      <c r="AL56" s="9">
        <v>0</v>
      </c>
      <c r="AM56" s="9">
        <v>0</v>
      </c>
      <c r="AN56" s="9">
        <v>0</v>
      </c>
      <c r="AO56" s="9">
        <v>0</v>
      </c>
      <c r="AP56" s="9">
        <v>0</v>
      </c>
      <c r="AQ56" s="9">
        <v>0</v>
      </c>
      <c r="AR56" s="9">
        <v>0</v>
      </c>
      <c r="AS56" s="10">
        <f t="shared" si="3"/>
        <v>0</v>
      </c>
      <c r="AT56" s="10">
        <f t="shared" si="4"/>
        <v>0</v>
      </c>
      <c r="AU56" s="5" t="s">
        <v>195</v>
      </c>
    </row>
    <row r="57" spans="1:47" ht="15" customHeight="1" x14ac:dyDescent="0.3">
      <c r="A57" s="7" t="str">
        <f t="shared" si="0"/>
        <v>12_2021</v>
      </c>
      <c r="B57" s="7">
        <v>56</v>
      </c>
      <c r="C57" s="7">
        <f>'Panel Data (Long Format)'!B57</f>
        <v>12</v>
      </c>
      <c r="D57" s="7" t="str">
        <f>'Panel Data (Long Format)'!C57</f>
        <v>AUSTINLAZ</v>
      </c>
      <c r="E57" s="8" t="str">
        <f>'Panel Data (Long Format)'!D57</f>
        <v>Austin Laz &amp; Company Plc</v>
      </c>
      <c r="F57" s="7" t="str">
        <f>'Panel Data (Long Format)'!E57</f>
        <v>INDUSTRIAL GOODS</v>
      </c>
      <c r="G57" s="7">
        <f>'Panel Data (Long Format)'!F57</f>
        <v>2021</v>
      </c>
      <c r="H57" s="9">
        <v>0</v>
      </c>
      <c r="I57" s="9">
        <v>0</v>
      </c>
      <c r="J57" s="9">
        <v>0</v>
      </c>
      <c r="K57" s="9">
        <v>0</v>
      </c>
      <c r="L57" s="9">
        <v>0</v>
      </c>
      <c r="M57" s="9">
        <v>0</v>
      </c>
      <c r="N57" s="9">
        <v>0</v>
      </c>
      <c r="O57" s="9">
        <v>0</v>
      </c>
      <c r="P57" s="9">
        <v>0</v>
      </c>
      <c r="Q57" s="9">
        <v>0</v>
      </c>
      <c r="R57" s="9">
        <v>0</v>
      </c>
      <c r="S57" s="9">
        <v>0</v>
      </c>
      <c r="T57" s="9">
        <v>0</v>
      </c>
      <c r="U57" s="9">
        <v>0</v>
      </c>
      <c r="V57" s="9">
        <v>0</v>
      </c>
      <c r="W57" s="9">
        <v>0</v>
      </c>
      <c r="X57" s="9">
        <v>0</v>
      </c>
      <c r="Y57" s="9">
        <v>0</v>
      </c>
      <c r="Z57" s="9">
        <v>0</v>
      </c>
      <c r="AA57" s="9">
        <v>0</v>
      </c>
      <c r="AB57" s="10">
        <f t="shared" si="1"/>
        <v>0</v>
      </c>
      <c r="AC57" s="10">
        <f t="shared" si="2"/>
        <v>0</v>
      </c>
      <c r="AD57" s="9">
        <v>0</v>
      </c>
      <c r="AE57" s="9">
        <v>0</v>
      </c>
      <c r="AF57" s="9">
        <v>0</v>
      </c>
      <c r="AG57" s="9">
        <v>0</v>
      </c>
      <c r="AH57" s="9">
        <v>0</v>
      </c>
      <c r="AI57" s="9">
        <v>0</v>
      </c>
      <c r="AJ57" s="9">
        <v>0</v>
      </c>
      <c r="AK57" s="9">
        <v>0</v>
      </c>
      <c r="AL57" s="9">
        <v>0</v>
      </c>
      <c r="AM57" s="9">
        <v>0</v>
      </c>
      <c r="AN57" s="9">
        <v>0</v>
      </c>
      <c r="AO57" s="9">
        <v>0</v>
      </c>
      <c r="AP57" s="9">
        <v>0</v>
      </c>
      <c r="AQ57" s="9">
        <v>0</v>
      </c>
      <c r="AR57" s="9">
        <v>0</v>
      </c>
      <c r="AS57" s="10">
        <f t="shared" si="3"/>
        <v>0</v>
      </c>
      <c r="AT57" s="10">
        <f t="shared" si="4"/>
        <v>0</v>
      </c>
      <c r="AU57" s="5" t="s">
        <v>196</v>
      </c>
    </row>
    <row r="58" spans="1:47" ht="15" customHeight="1" x14ac:dyDescent="0.3">
      <c r="A58" s="7" t="str">
        <f t="shared" si="0"/>
        <v>12_2022</v>
      </c>
      <c r="B58" s="7">
        <v>57</v>
      </c>
      <c r="C58" s="7">
        <f>'Panel Data (Long Format)'!B58</f>
        <v>12</v>
      </c>
      <c r="D58" s="7" t="str">
        <f>'Panel Data (Long Format)'!C58</f>
        <v>AUSTINLAZ</v>
      </c>
      <c r="E58" s="8" t="str">
        <f>'Panel Data (Long Format)'!D58</f>
        <v>Austin Laz &amp; Company Plc</v>
      </c>
      <c r="F58" s="7" t="str">
        <f>'Panel Data (Long Format)'!E58</f>
        <v>INDUSTRIAL GOODS</v>
      </c>
      <c r="G58" s="7">
        <f>'Panel Data (Long Format)'!F58</f>
        <v>2022</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10">
        <f t="shared" si="1"/>
        <v>0</v>
      </c>
      <c r="AC58" s="10">
        <f t="shared" si="2"/>
        <v>0</v>
      </c>
      <c r="AD58" s="9">
        <v>0</v>
      </c>
      <c r="AE58" s="9">
        <v>0</v>
      </c>
      <c r="AF58" s="9">
        <v>0</v>
      </c>
      <c r="AG58" s="9">
        <v>0</v>
      </c>
      <c r="AH58" s="9">
        <v>0</v>
      </c>
      <c r="AI58" s="9">
        <v>0</v>
      </c>
      <c r="AJ58" s="9">
        <v>0</v>
      </c>
      <c r="AK58" s="9">
        <v>0</v>
      </c>
      <c r="AL58" s="9">
        <v>0</v>
      </c>
      <c r="AM58" s="9">
        <v>0</v>
      </c>
      <c r="AN58" s="9">
        <v>0</v>
      </c>
      <c r="AO58" s="9">
        <v>0</v>
      </c>
      <c r="AP58" s="9">
        <v>0</v>
      </c>
      <c r="AQ58" s="9">
        <v>0</v>
      </c>
      <c r="AR58" s="9">
        <v>0</v>
      </c>
      <c r="AS58" s="10">
        <f t="shared" si="3"/>
        <v>0</v>
      </c>
      <c r="AT58" s="10">
        <f t="shared" si="4"/>
        <v>0</v>
      </c>
      <c r="AU58" s="5" t="s">
        <v>197</v>
      </c>
    </row>
    <row r="59" spans="1:47" ht="15" customHeight="1" x14ac:dyDescent="0.3">
      <c r="A59" s="7" t="str">
        <f t="shared" si="0"/>
        <v>12_2023</v>
      </c>
      <c r="B59" s="7">
        <v>58</v>
      </c>
      <c r="C59" s="7">
        <f>'Panel Data (Long Format)'!B59</f>
        <v>12</v>
      </c>
      <c r="D59" s="7" t="str">
        <f>'Panel Data (Long Format)'!C59</f>
        <v>AUSTINLAZ</v>
      </c>
      <c r="E59" s="8" t="str">
        <f>'Panel Data (Long Format)'!D59</f>
        <v>Austin Laz &amp; Company Plc</v>
      </c>
      <c r="F59" s="7" t="str">
        <f>'Panel Data (Long Format)'!E59</f>
        <v>INDUSTRIAL GOODS</v>
      </c>
      <c r="G59" s="7">
        <f>'Panel Data (Long Format)'!F59</f>
        <v>2023</v>
      </c>
      <c r="H59" s="9">
        <v>0</v>
      </c>
      <c r="I59" s="9">
        <v>0</v>
      </c>
      <c r="J59" s="9">
        <v>0</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10">
        <f t="shared" si="1"/>
        <v>0</v>
      </c>
      <c r="AC59" s="10">
        <f t="shared" si="2"/>
        <v>0</v>
      </c>
      <c r="AD59" s="9">
        <v>0</v>
      </c>
      <c r="AE59" s="9">
        <v>0</v>
      </c>
      <c r="AF59" s="9">
        <v>0</v>
      </c>
      <c r="AG59" s="9">
        <v>0</v>
      </c>
      <c r="AH59" s="9">
        <v>0</v>
      </c>
      <c r="AI59" s="9">
        <v>0</v>
      </c>
      <c r="AJ59" s="9">
        <v>0</v>
      </c>
      <c r="AK59" s="9">
        <v>0</v>
      </c>
      <c r="AL59" s="9">
        <v>0</v>
      </c>
      <c r="AM59" s="9">
        <v>0</v>
      </c>
      <c r="AN59" s="9">
        <v>0</v>
      </c>
      <c r="AO59" s="9">
        <v>0</v>
      </c>
      <c r="AP59" s="9">
        <v>0</v>
      </c>
      <c r="AQ59" s="9">
        <v>0</v>
      </c>
      <c r="AR59" s="9">
        <v>0</v>
      </c>
      <c r="AS59" s="10">
        <f t="shared" si="3"/>
        <v>0</v>
      </c>
      <c r="AT59" s="10">
        <f t="shared" si="4"/>
        <v>0</v>
      </c>
      <c r="AU59" s="5" t="s">
        <v>198</v>
      </c>
    </row>
    <row r="60" spans="1:47" ht="15" customHeight="1" x14ac:dyDescent="0.3">
      <c r="A60" s="7" t="str">
        <f t="shared" si="0"/>
        <v>12_2024</v>
      </c>
      <c r="B60" s="7">
        <v>59</v>
      </c>
      <c r="C60" s="7">
        <f>'Panel Data (Long Format)'!B60</f>
        <v>12</v>
      </c>
      <c r="D60" s="7" t="str">
        <f>'Panel Data (Long Format)'!C60</f>
        <v>AUSTINLAZ</v>
      </c>
      <c r="E60" s="8" t="str">
        <f>'Panel Data (Long Format)'!D60</f>
        <v>Austin Laz &amp; Company Plc</v>
      </c>
      <c r="F60" s="7" t="str">
        <f>'Panel Data (Long Format)'!E60</f>
        <v>INDUSTRIAL GOODS</v>
      </c>
      <c r="G60" s="7">
        <f>'Panel Data (Long Format)'!F60</f>
        <v>2024</v>
      </c>
      <c r="H60" s="9">
        <v>0</v>
      </c>
      <c r="I60" s="9">
        <v>0</v>
      </c>
      <c r="J60" s="9">
        <v>0</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10">
        <f t="shared" si="1"/>
        <v>0</v>
      </c>
      <c r="AC60" s="10">
        <f t="shared" si="2"/>
        <v>0</v>
      </c>
      <c r="AD60" s="9">
        <v>0</v>
      </c>
      <c r="AE60" s="9">
        <v>0</v>
      </c>
      <c r="AF60" s="9">
        <v>0</v>
      </c>
      <c r="AG60" s="9">
        <v>0</v>
      </c>
      <c r="AH60" s="9">
        <v>0</v>
      </c>
      <c r="AI60" s="9">
        <v>0</v>
      </c>
      <c r="AJ60" s="9">
        <v>0</v>
      </c>
      <c r="AK60" s="9">
        <v>0</v>
      </c>
      <c r="AL60" s="9">
        <v>0</v>
      </c>
      <c r="AM60" s="9">
        <v>0</v>
      </c>
      <c r="AN60" s="9">
        <v>0</v>
      </c>
      <c r="AO60" s="9">
        <v>0</v>
      </c>
      <c r="AP60" s="9">
        <v>0</v>
      </c>
      <c r="AQ60" s="9">
        <v>0</v>
      </c>
      <c r="AR60" s="9">
        <v>0</v>
      </c>
      <c r="AS60" s="10">
        <f t="shared" si="3"/>
        <v>0</v>
      </c>
      <c r="AT60" s="10">
        <f t="shared" si="4"/>
        <v>0</v>
      </c>
      <c r="AU60" s="5" t="s">
        <v>199</v>
      </c>
    </row>
    <row r="61" spans="1:47" ht="15" customHeight="1" x14ac:dyDescent="0.3">
      <c r="A61" s="7" t="str">
        <f t="shared" si="0"/>
        <v>12_2025</v>
      </c>
      <c r="B61" s="7">
        <v>60</v>
      </c>
      <c r="C61" s="7">
        <f>'Panel Data (Long Format)'!B61</f>
        <v>12</v>
      </c>
      <c r="D61" s="7" t="str">
        <f>'Panel Data (Long Format)'!C61</f>
        <v>AUSTINLAZ</v>
      </c>
      <c r="E61" s="8" t="str">
        <f>'Panel Data (Long Format)'!D61</f>
        <v>Austin Laz &amp; Company Plc</v>
      </c>
      <c r="F61" s="7" t="str">
        <f>'Panel Data (Long Format)'!E61</f>
        <v>INDUSTRIAL GOODS</v>
      </c>
      <c r="G61" s="7">
        <f>'Panel Data (Long Format)'!F61</f>
        <v>2025</v>
      </c>
      <c r="H61" s="9">
        <v>0</v>
      </c>
      <c r="I61" s="9">
        <v>0</v>
      </c>
      <c r="J61" s="9">
        <v>0</v>
      </c>
      <c r="K61" s="9">
        <v>0</v>
      </c>
      <c r="L61" s="9">
        <v>0</v>
      </c>
      <c r="M61" s="9">
        <v>0</v>
      </c>
      <c r="N61" s="9">
        <v>0</v>
      </c>
      <c r="O61" s="9">
        <v>0</v>
      </c>
      <c r="P61" s="9">
        <v>0</v>
      </c>
      <c r="Q61" s="9">
        <v>0</v>
      </c>
      <c r="R61" s="9">
        <v>0</v>
      </c>
      <c r="S61" s="9">
        <v>0</v>
      </c>
      <c r="T61" s="9">
        <v>0</v>
      </c>
      <c r="U61" s="9">
        <v>0</v>
      </c>
      <c r="V61" s="9">
        <v>0</v>
      </c>
      <c r="W61" s="9">
        <v>0</v>
      </c>
      <c r="X61" s="9">
        <v>0</v>
      </c>
      <c r="Y61" s="9">
        <v>0</v>
      </c>
      <c r="Z61" s="9">
        <v>0</v>
      </c>
      <c r="AA61" s="9">
        <v>0</v>
      </c>
      <c r="AB61" s="10">
        <f t="shared" si="1"/>
        <v>0</v>
      </c>
      <c r="AC61" s="10">
        <f t="shared" si="2"/>
        <v>0</v>
      </c>
      <c r="AD61" s="9">
        <v>0</v>
      </c>
      <c r="AE61" s="9">
        <v>0</v>
      </c>
      <c r="AF61" s="9">
        <v>0</v>
      </c>
      <c r="AG61" s="9">
        <v>0</v>
      </c>
      <c r="AH61" s="9">
        <v>0</v>
      </c>
      <c r="AI61" s="9">
        <v>0</v>
      </c>
      <c r="AJ61" s="9">
        <v>0</v>
      </c>
      <c r="AK61" s="9">
        <v>0</v>
      </c>
      <c r="AL61" s="9">
        <v>0</v>
      </c>
      <c r="AM61" s="9">
        <v>0</v>
      </c>
      <c r="AN61" s="9">
        <v>0</v>
      </c>
      <c r="AO61" s="9">
        <v>0</v>
      </c>
      <c r="AP61" s="9">
        <v>0</v>
      </c>
      <c r="AQ61" s="9">
        <v>0</v>
      </c>
      <c r="AR61" s="9">
        <v>0</v>
      </c>
      <c r="AS61" s="10">
        <f t="shared" si="3"/>
        <v>0</v>
      </c>
      <c r="AT61" s="10">
        <f t="shared" si="4"/>
        <v>0</v>
      </c>
      <c r="AU61" s="5" t="s">
        <v>200</v>
      </c>
    </row>
    <row r="62" spans="1:47" ht="15" customHeight="1" x14ac:dyDescent="0.3">
      <c r="A62" s="7" t="str">
        <f t="shared" si="0"/>
        <v>13_2021</v>
      </c>
      <c r="B62" s="7">
        <v>61</v>
      </c>
      <c r="C62" s="7">
        <f>'Panel Data (Long Format)'!B62</f>
        <v>13</v>
      </c>
      <c r="D62" s="7" t="str">
        <f>'Panel Data (Long Format)'!C62</f>
        <v>AVAIF</v>
      </c>
      <c r="E62" s="8" t="str">
        <f>'Panel Data (Long Format)'!D62</f>
        <v>AVA Infrastructure Fund</v>
      </c>
      <c r="F62" s="7" t="str">
        <f>'Panel Data (Long Format)'!E62</f>
        <v>CONSTRUCTION/REAL ESTATE</v>
      </c>
      <c r="G62" s="7">
        <f>'Panel Data (Long Format)'!F62</f>
        <v>2021</v>
      </c>
      <c r="H62" s="9"/>
      <c r="I62" s="9"/>
      <c r="J62" s="9"/>
      <c r="K62" s="9"/>
      <c r="L62" s="9"/>
      <c r="M62" s="9"/>
      <c r="N62" s="9"/>
      <c r="O62" s="9"/>
      <c r="P62" s="9"/>
      <c r="Q62" s="9"/>
      <c r="R62" s="9"/>
      <c r="S62" s="9"/>
      <c r="T62" s="9"/>
      <c r="U62" s="9"/>
      <c r="V62" s="9"/>
      <c r="W62" s="9"/>
      <c r="X62" s="9"/>
      <c r="Y62" s="9"/>
      <c r="Z62" s="9"/>
      <c r="AA62" s="9"/>
      <c r="AB62" s="10" t="str">
        <f t="shared" si="1"/>
        <v/>
      </c>
      <c r="AC62" s="10" t="str">
        <f t="shared" si="2"/>
        <v/>
      </c>
      <c r="AD62" s="9"/>
      <c r="AE62" s="9"/>
      <c r="AF62" s="9"/>
      <c r="AG62" s="9"/>
      <c r="AH62" s="9"/>
      <c r="AI62" s="9"/>
      <c r="AJ62" s="9"/>
      <c r="AK62" s="9"/>
      <c r="AL62" s="9"/>
      <c r="AM62" s="9"/>
      <c r="AN62" s="9"/>
      <c r="AO62" s="9"/>
      <c r="AP62" s="9"/>
      <c r="AQ62" s="9"/>
      <c r="AR62" s="9"/>
      <c r="AS62" s="10" t="str">
        <f t="shared" si="3"/>
        <v/>
      </c>
      <c r="AT62" s="10" t="str">
        <f t="shared" si="4"/>
        <v/>
      </c>
      <c r="AU62" s="5" t="s">
        <v>201</v>
      </c>
    </row>
    <row r="63" spans="1:47" ht="15" customHeight="1" x14ac:dyDescent="0.3">
      <c r="A63" s="7" t="str">
        <f t="shared" si="0"/>
        <v>13_2022</v>
      </c>
      <c r="B63" s="7">
        <v>62</v>
      </c>
      <c r="C63" s="7">
        <f>'Panel Data (Long Format)'!B63</f>
        <v>13</v>
      </c>
      <c r="D63" s="7" t="str">
        <f>'Panel Data (Long Format)'!C63</f>
        <v>AVAIF</v>
      </c>
      <c r="E63" s="8" t="str">
        <f>'Panel Data (Long Format)'!D63</f>
        <v>AVA Infrastructure Fund</v>
      </c>
      <c r="F63" s="7" t="str">
        <f>'Panel Data (Long Format)'!E63</f>
        <v>CONSTRUCTION/REAL ESTATE</v>
      </c>
      <c r="G63" s="7">
        <f>'Panel Data (Long Format)'!F63</f>
        <v>2022</v>
      </c>
      <c r="H63" s="9"/>
      <c r="I63" s="9"/>
      <c r="J63" s="9"/>
      <c r="K63" s="9"/>
      <c r="L63" s="9"/>
      <c r="M63" s="9"/>
      <c r="N63" s="9"/>
      <c r="O63" s="9"/>
      <c r="P63" s="9"/>
      <c r="Q63" s="9"/>
      <c r="R63" s="9"/>
      <c r="S63" s="9"/>
      <c r="T63" s="9"/>
      <c r="U63" s="9"/>
      <c r="V63" s="9"/>
      <c r="W63" s="9"/>
      <c r="X63" s="9"/>
      <c r="Y63" s="9"/>
      <c r="Z63" s="9"/>
      <c r="AA63" s="9"/>
      <c r="AB63" s="10" t="str">
        <f t="shared" si="1"/>
        <v/>
      </c>
      <c r="AC63" s="10" t="str">
        <f t="shared" si="2"/>
        <v/>
      </c>
      <c r="AD63" s="9"/>
      <c r="AE63" s="9"/>
      <c r="AF63" s="9"/>
      <c r="AG63" s="9"/>
      <c r="AH63" s="9"/>
      <c r="AI63" s="9"/>
      <c r="AJ63" s="9"/>
      <c r="AK63" s="9"/>
      <c r="AL63" s="9"/>
      <c r="AM63" s="9"/>
      <c r="AN63" s="9"/>
      <c r="AO63" s="9"/>
      <c r="AP63" s="9"/>
      <c r="AQ63" s="9"/>
      <c r="AR63" s="9"/>
      <c r="AS63" s="10" t="str">
        <f t="shared" si="3"/>
        <v/>
      </c>
      <c r="AT63" s="10" t="str">
        <f t="shared" si="4"/>
        <v/>
      </c>
      <c r="AU63" s="5" t="s">
        <v>202</v>
      </c>
    </row>
    <row r="64" spans="1:47" ht="15" customHeight="1" x14ac:dyDescent="0.3">
      <c r="A64" s="7" t="str">
        <f t="shared" si="0"/>
        <v>13_2023</v>
      </c>
      <c r="B64" s="7">
        <v>63</v>
      </c>
      <c r="C64" s="7">
        <f>'Panel Data (Long Format)'!B64</f>
        <v>13</v>
      </c>
      <c r="D64" s="7" t="str">
        <f>'Panel Data (Long Format)'!C64</f>
        <v>AVAIF</v>
      </c>
      <c r="E64" s="8" t="str">
        <f>'Panel Data (Long Format)'!D64</f>
        <v>AVA Infrastructure Fund</v>
      </c>
      <c r="F64" s="7" t="str">
        <f>'Panel Data (Long Format)'!E64</f>
        <v>CONSTRUCTION/REAL ESTATE</v>
      </c>
      <c r="G64" s="7">
        <f>'Panel Data (Long Format)'!F64</f>
        <v>2023</v>
      </c>
      <c r="H64" s="9"/>
      <c r="I64" s="9"/>
      <c r="J64" s="9"/>
      <c r="K64" s="9"/>
      <c r="L64" s="9"/>
      <c r="M64" s="9"/>
      <c r="N64" s="9"/>
      <c r="O64" s="9"/>
      <c r="P64" s="9"/>
      <c r="Q64" s="9"/>
      <c r="R64" s="9"/>
      <c r="S64" s="9"/>
      <c r="T64" s="9"/>
      <c r="U64" s="9"/>
      <c r="V64" s="9"/>
      <c r="W64" s="9"/>
      <c r="X64" s="9"/>
      <c r="Y64" s="9"/>
      <c r="Z64" s="9"/>
      <c r="AA64" s="9"/>
      <c r="AB64" s="10" t="str">
        <f t="shared" si="1"/>
        <v/>
      </c>
      <c r="AC64" s="10" t="str">
        <f t="shared" si="2"/>
        <v/>
      </c>
      <c r="AD64" s="9"/>
      <c r="AE64" s="9"/>
      <c r="AF64" s="9"/>
      <c r="AG64" s="9"/>
      <c r="AH64" s="9"/>
      <c r="AI64" s="9"/>
      <c r="AJ64" s="9"/>
      <c r="AK64" s="9"/>
      <c r="AL64" s="9"/>
      <c r="AM64" s="9"/>
      <c r="AN64" s="9"/>
      <c r="AO64" s="9"/>
      <c r="AP64" s="9"/>
      <c r="AQ64" s="9"/>
      <c r="AR64" s="9"/>
      <c r="AS64" s="10" t="str">
        <f t="shared" si="3"/>
        <v/>
      </c>
      <c r="AT64" s="10" t="str">
        <f t="shared" si="4"/>
        <v/>
      </c>
      <c r="AU64" s="5" t="s">
        <v>202</v>
      </c>
    </row>
    <row r="65" spans="1:47" ht="15" customHeight="1" x14ac:dyDescent="0.3">
      <c r="A65" s="7" t="str">
        <f t="shared" si="0"/>
        <v>13_2024</v>
      </c>
      <c r="B65" s="7">
        <v>64</v>
      </c>
      <c r="C65" s="7">
        <f>'Panel Data (Long Format)'!B65</f>
        <v>13</v>
      </c>
      <c r="D65" s="7" t="str">
        <f>'Panel Data (Long Format)'!C65</f>
        <v>AVAIF</v>
      </c>
      <c r="E65" s="8" t="str">
        <f>'Panel Data (Long Format)'!D65</f>
        <v>AVA Infrastructure Fund</v>
      </c>
      <c r="F65" s="7" t="str">
        <f>'Panel Data (Long Format)'!E65</f>
        <v>CONSTRUCTION/REAL ESTATE</v>
      </c>
      <c r="G65" s="7">
        <f>'Panel Data (Long Format)'!F65</f>
        <v>2024</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10">
        <f t="shared" si="1"/>
        <v>0</v>
      </c>
      <c r="AC65" s="10">
        <f t="shared" si="2"/>
        <v>0</v>
      </c>
      <c r="AD65" s="9">
        <v>0</v>
      </c>
      <c r="AE65" s="9">
        <v>0</v>
      </c>
      <c r="AF65" s="9">
        <v>0</v>
      </c>
      <c r="AG65" s="9">
        <v>0</v>
      </c>
      <c r="AH65" s="9">
        <v>0</v>
      </c>
      <c r="AI65" s="9">
        <v>0</v>
      </c>
      <c r="AJ65" s="9">
        <v>0</v>
      </c>
      <c r="AK65" s="9">
        <v>0</v>
      </c>
      <c r="AL65" s="9">
        <v>0</v>
      </c>
      <c r="AM65" s="9">
        <v>0</v>
      </c>
      <c r="AN65" s="9">
        <v>0</v>
      </c>
      <c r="AO65" s="9">
        <v>0</v>
      </c>
      <c r="AP65" s="9">
        <v>0</v>
      </c>
      <c r="AQ65" s="9">
        <v>0</v>
      </c>
      <c r="AR65" s="9">
        <v>0</v>
      </c>
      <c r="AS65" s="10">
        <f t="shared" si="3"/>
        <v>0</v>
      </c>
      <c r="AT65" s="10">
        <f t="shared" si="4"/>
        <v>0</v>
      </c>
      <c r="AU65" s="5" t="s">
        <v>203</v>
      </c>
    </row>
    <row r="66" spans="1:47" ht="15" customHeight="1" x14ac:dyDescent="0.3">
      <c r="A66" s="7" t="str">
        <f t="shared" ref="A66:A129" si="5">C66&amp;"_"&amp;G66</f>
        <v>13_2025</v>
      </c>
      <c r="B66" s="7">
        <v>65</v>
      </c>
      <c r="C66" s="7">
        <f>'Panel Data (Long Format)'!B66</f>
        <v>13</v>
      </c>
      <c r="D66" s="7" t="str">
        <f>'Panel Data (Long Format)'!C66</f>
        <v>AVAIF</v>
      </c>
      <c r="E66" s="8" t="str">
        <f>'Panel Data (Long Format)'!D66</f>
        <v>AVA Infrastructure Fund</v>
      </c>
      <c r="F66" s="7" t="str">
        <f>'Panel Data (Long Format)'!E66</f>
        <v>CONSTRUCTION/REAL ESTATE</v>
      </c>
      <c r="G66" s="7">
        <f>'Panel Data (Long Format)'!F66</f>
        <v>2025</v>
      </c>
      <c r="H66" s="9">
        <v>0</v>
      </c>
      <c r="I66" s="9">
        <v>0</v>
      </c>
      <c r="J66" s="9">
        <v>0</v>
      </c>
      <c r="K66" s="9">
        <v>0</v>
      </c>
      <c r="L66" s="9">
        <v>0</v>
      </c>
      <c r="M66" s="9">
        <v>0</v>
      </c>
      <c r="N66" s="9">
        <v>0</v>
      </c>
      <c r="O66" s="9">
        <v>0</v>
      </c>
      <c r="P66" s="9">
        <v>0</v>
      </c>
      <c r="Q66" s="9">
        <v>0</v>
      </c>
      <c r="R66" s="9">
        <v>0</v>
      </c>
      <c r="S66" s="9">
        <v>0</v>
      </c>
      <c r="T66" s="9">
        <v>0</v>
      </c>
      <c r="U66" s="9">
        <v>0</v>
      </c>
      <c r="V66" s="9">
        <v>0</v>
      </c>
      <c r="W66" s="9">
        <v>0</v>
      </c>
      <c r="X66" s="9">
        <v>0</v>
      </c>
      <c r="Y66" s="9">
        <v>0</v>
      </c>
      <c r="Z66" s="9">
        <v>0</v>
      </c>
      <c r="AA66" s="9">
        <v>0</v>
      </c>
      <c r="AB66" s="10">
        <f t="shared" ref="AB66:AB129" si="6">IF(COUNTBLANK(H66:AA66)&gt;0,"",SUM(H66:AA66))</f>
        <v>0</v>
      </c>
      <c r="AC66" s="10">
        <f t="shared" ref="AC66:AC129" si="7">IF(AB66="","",AB66/20*100)</f>
        <v>0</v>
      </c>
      <c r="AD66" s="9">
        <v>0</v>
      </c>
      <c r="AE66" s="9">
        <v>0</v>
      </c>
      <c r="AF66" s="9">
        <v>0</v>
      </c>
      <c r="AG66" s="9">
        <v>0</v>
      </c>
      <c r="AH66" s="9">
        <v>0</v>
      </c>
      <c r="AI66" s="9">
        <v>0</v>
      </c>
      <c r="AJ66" s="9">
        <v>0</v>
      </c>
      <c r="AK66" s="9">
        <v>0</v>
      </c>
      <c r="AL66" s="9">
        <v>0</v>
      </c>
      <c r="AM66" s="9">
        <v>0</v>
      </c>
      <c r="AN66" s="9">
        <v>0</v>
      </c>
      <c r="AO66" s="9">
        <v>0</v>
      </c>
      <c r="AP66" s="9">
        <v>0</v>
      </c>
      <c r="AQ66" s="9">
        <v>0</v>
      </c>
      <c r="AR66" s="9">
        <v>0</v>
      </c>
      <c r="AS66" s="10">
        <f t="shared" ref="AS66:AS129" si="8">IF(COUNTBLANK(AD66:AR66)&gt;0,"",SUM(AD66:AR66))</f>
        <v>0</v>
      </c>
      <c r="AT66" s="10">
        <f t="shared" ref="AT66:AT129" si="9">IF(AS66="","",AS66/15*100)</f>
        <v>0</v>
      </c>
      <c r="AU66" s="5" t="s">
        <v>204</v>
      </c>
    </row>
    <row r="67" spans="1:47" ht="15" customHeight="1" x14ac:dyDescent="0.3">
      <c r="A67" s="7" t="str">
        <f t="shared" si="5"/>
        <v>14_2021</v>
      </c>
      <c r="B67" s="7">
        <v>66</v>
      </c>
      <c r="C67" s="7">
        <f>'Panel Data (Long Format)'!B67</f>
        <v>14</v>
      </c>
      <c r="D67" s="7" t="str">
        <f>'Panel Data (Long Format)'!C67</f>
        <v>BAPLC</v>
      </c>
      <c r="E67" s="8" t="str">
        <f>'Panel Data (Long Format)'!D67</f>
        <v>Briclinks Africa Plc (trading as Btel)</v>
      </c>
      <c r="F67" s="7" t="str">
        <f>'Panel Data (Long Format)'!E67</f>
        <v>ICT</v>
      </c>
      <c r="G67" s="7">
        <f>'Panel Data (Long Format)'!F67</f>
        <v>2021</v>
      </c>
      <c r="H67" s="9">
        <v>0</v>
      </c>
      <c r="I67" s="9">
        <v>0</v>
      </c>
      <c r="J67" s="9">
        <v>0</v>
      </c>
      <c r="K67" s="9">
        <v>0</v>
      </c>
      <c r="L67" s="9">
        <v>0</v>
      </c>
      <c r="M67" s="9">
        <v>0</v>
      </c>
      <c r="N67" s="9">
        <v>0</v>
      </c>
      <c r="O67" s="9">
        <v>0</v>
      </c>
      <c r="P67" s="9">
        <v>0</v>
      </c>
      <c r="Q67" s="9">
        <v>0</v>
      </c>
      <c r="R67" s="9">
        <v>0</v>
      </c>
      <c r="S67" s="9">
        <v>0</v>
      </c>
      <c r="T67" s="9">
        <v>0</v>
      </c>
      <c r="U67" s="9">
        <v>0</v>
      </c>
      <c r="V67" s="9">
        <v>0</v>
      </c>
      <c r="W67" s="9">
        <v>0</v>
      </c>
      <c r="X67" s="9">
        <v>0</v>
      </c>
      <c r="Y67" s="9">
        <v>0</v>
      </c>
      <c r="Z67" s="9">
        <v>0</v>
      </c>
      <c r="AA67" s="9">
        <v>0</v>
      </c>
      <c r="AB67" s="10">
        <f t="shared" si="6"/>
        <v>0</v>
      </c>
      <c r="AC67" s="10">
        <f t="shared" si="7"/>
        <v>0</v>
      </c>
      <c r="AD67" s="9">
        <v>0</v>
      </c>
      <c r="AE67" s="9">
        <v>0</v>
      </c>
      <c r="AF67" s="9">
        <v>0</v>
      </c>
      <c r="AG67" s="9">
        <v>0</v>
      </c>
      <c r="AH67" s="9">
        <v>0</v>
      </c>
      <c r="AI67" s="9">
        <v>0</v>
      </c>
      <c r="AJ67" s="9">
        <v>0</v>
      </c>
      <c r="AK67" s="9">
        <v>0</v>
      </c>
      <c r="AL67" s="9">
        <v>0</v>
      </c>
      <c r="AM67" s="9">
        <v>0</v>
      </c>
      <c r="AN67" s="9">
        <v>0</v>
      </c>
      <c r="AO67" s="9">
        <v>0</v>
      </c>
      <c r="AP67" s="9">
        <v>0</v>
      </c>
      <c r="AQ67" s="9">
        <v>0</v>
      </c>
      <c r="AR67" s="9">
        <v>0</v>
      </c>
      <c r="AS67" s="10">
        <f t="shared" si="8"/>
        <v>0</v>
      </c>
      <c r="AT67" s="10">
        <f t="shared" si="9"/>
        <v>0</v>
      </c>
      <c r="AU67" s="5" t="s">
        <v>205</v>
      </c>
    </row>
    <row r="68" spans="1:47" ht="15" customHeight="1" x14ac:dyDescent="0.3">
      <c r="A68" s="7" t="str">
        <f t="shared" si="5"/>
        <v>14_2022</v>
      </c>
      <c r="B68" s="7">
        <v>67</v>
      </c>
      <c r="C68" s="7">
        <f>'Panel Data (Long Format)'!B68</f>
        <v>14</v>
      </c>
      <c r="D68" s="7" t="str">
        <f>'Panel Data (Long Format)'!C68</f>
        <v>BAPLC</v>
      </c>
      <c r="E68" s="8" t="str">
        <f>'Panel Data (Long Format)'!D68</f>
        <v>Briclinks Africa Plc (trading as Btel)</v>
      </c>
      <c r="F68" s="7" t="str">
        <f>'Panel Data (Long Format)'!E68</f>
        <v>ICT</v>
      </c>
      <c r="G68" s="7">
        <f>'Panel Data (Long Format)'!F68</f>
        <v>2022</v>
      </c>
      <c r="H68" s="9">
        <v>0</v>
      </c>
      <c r="I68" s="9">
        <v>0</v>
      </c>
      <c r="J68" s="9">
        <v>0</v>
      </c>
      <c r="K68" s="9">
        <v>0</v>
      </c>
      <c r="L68" s="9">
        <v>0</v>
      </c>
      <c r="M68" s="9">
        <v>0</v>
      </c>
      <c r="N68" s="9">
        <v>0</v>
      </c>
      <c r="O68" s="9">
        <v>0</v>
      </c>
      <c r="P68" s="9">
        <v>0</v>
      </c>
      <c r="Q68" s="9">
        <v>0</v>
      </c>
      <c r="R68" s="9">
        <v>0</v>
      </c>
      <c r="S68" s="9">
        <v>0</v>
      </c>
      <c r="T68" s="9">
        <v>0</v>
      </c>
      <c r="U68" s="9">
        <v>0</v>
      </c>
      <c r="V68" s="9">
        <v>0</v>
      </c>
      <c r="W68" s="9">
        <v>0</v>
      </c>
      <c r="X68" s="9">
        <v>0</v>
      </c>
      <c r="Y68" s="9">
        <v>0</v>
      </c>
      <c r="Z68" s="9">
        <v>0</v>
      </c>
      <c r="AA68" s="9">
        <v>0</v>
      </c>
      <c r="AB68" s="10">
        <f t="shared" si="6"/>
        <v>0</v>
      </c>
      <c r="AC68" s="10">
        <f t="shared" si="7"/>
        <v>0</v>
      </c>
      <c r="AD68" s="9">
        <v>0</v>
      </c>
      <c r="AE68" s="9">
        <v>0</v>
      </c>
      <c r="AF68" s="9">
        <v>0</v>
      </c>
      <c r="AG68" s="9">
        <v>0</v>
      </c>
      <c r="AH68" s="9">
        <v>0</v>
      </c>
      <c r="AI68" s="9">
        <v>0</v>
      </c>
      <c r="AJ68" s="9">
        <v>0</v>
      </c>
      <c r="AK68" s="9">
        <v>0</v>
      </c>
      <c r="AL68" s="9">
        <v>0</v>
      </c>
      <c r="AM68" s="9">
        <v>0</v>
      </c>
      <c r="AN68" s="9">
        <v>0</v>
      </c>
      <c r="AO68" s="9">
        <v>0</v>
      </c>
      <c r="AP68" s="9">
        <v>0</v>
      </c>
      <c r="AQ68" s="9">
        <v>0</v>
      </c>
      <c r="AR68" s="9">
        <v>0</v>
      </c>
      <c r="AS68" s="10">
        <f t="shared" si="8"/>
        <v>0</v>
      </c>
      <c r="AT68" s="10">
        <f t="shared" si="9"/>
        <v>0</v>
      </c>
      <c r="AU68" s="5" t="s">
        <v>206</v>
      </c>
    </row>
    <row r="69" spans="1:47" ht="15" customHeight="1" x14ac:dyDescent="0.3">
      <c r="A69" s="7" t="str">
        <f t="shared" si="5"/>
        <v>14_2023</v>
      </c>
      <c r="B69" s="7">
        <v>68</v>
      </c>
      <c r="C69" s="7">
        <f>'Panel Data (Long Format)'!B69</f>
        <v>14</v>
      </c>
      <c r="D69" s="7" t="str">
        <f>'Panel Data (Long Format)'!C69</f>
        <v>BAPLC</v>
      </c>
      <c r="E69" s="8" t="str">
        <f>'Panel Data (Long Format)'!D69</f>
        <v>Briclinks Africa Plc (trading as Btel)</v>
      </c>
      <c r="F69" s="7" t="str">
        <f>'Panel Data (Long Format)'!E69</f>
        <v>ICT</v>
      </c>
      <c r="G69" s="7">
        <f>'Panel Data (Long Format)'!F69</f>
        <v>2023</v>
      </c>
      <c r="H69" s="9">
        <v>0</v>
      </c>
      <c r="I69" s="9">
        <v>0</v>
      </c>
      <c r="J69" s="9">
        <v>0</v>
      </c>
      <c r="K69" s="9">
        <v>0</v>
      </c>
      <c r="L69" s="9">
        <v>0</v>
      </c>
      <c r="M69" s="9">
        <v>0</v>
      </c>
      <c r="N69" s="9">
        <v>0</v>
      </c>
      <c r="O69" s="9">
        <v>0</v>
      </c>
      <c r="P69" s="9">
        <v>0</v>
      </c>
      <c r="Q69" s="9">
        <v>0</v>
      </c>
      <c r="R69" s="9">
        <v>0</v>
      </c>
      <c r="S69" s="9">
        <v>0</v>
      </c>
      <c r="T69" s="9">
        <v>0</v>
      </c>
      <c r="U69" s="9">
        <v>0</v>
      </c>
      <c r="V69" s="9">
        <v>0</v>
      </c>
      <c r="W69" s="9">
        <v>0</v>
      </c>
      <c r="X69" s="9">
        <v>0</v>
      </c>
      <c r="Y69" s="9">
        <v>0</v>
      </c>
      <c r="Z69" s="9">
        <v>0</v>
      </c>
      <c r="AA69" s="9">
        <v>0</v>
      </c>
      <c r="AB69" s="10">
        <f t="shared" si="6"/>
        <v>0</v>
      </c>
      <c r="AC69" s="10">
        <f t="shared" si="7"/>
        <v>0</v>
      </c>
      <c r="AD69" s="9">
        <v>0</v>
      </c>
      <c r="AE69" s="9">
        <v>0</v>
      </c>
      <c r="AF69" s="9">
        <v>0</v>
      </c>
      <c r="AG69" s="9">
        <v>0</v>
      </c>
      <c r="AH69" s="9">
        <v>0</v>
      </c>
      <c r="AI69" s="9">
        <v>0</v>
      </c>
      <c r="AJ69" s="9">
        <v>0</v>
      </c>
      <c r="AK69" s="9">
        <v>0</v>
      </c>
      <c r="AL69" s="9">
        <v>0</v>
      </c>
      <c r="AM69" s="9">
        <v>0</v>
      </c>
      <c r="AN69" s="9">
        <v>0</v>
      </c>
      <c r="AO69" s="9">
        <v>0</v>
      </c>
      <c r="AP69" s="9">
        <v>0</v>
      </c>
      <c r="AQ69" s="9">
        <v>0</v>
      </c>
      <c r="AR69" s="9">
        <v>0</v>
      </c>
      <c r="AS69" s="10">
        <f t="shared" si="8"/>
        <v>0</v>
      </c>
      <c r="AT69" s="10">
        <f t="shared" si="9"/>
        <v>0</v>
      </c>
      <c r="AU69" s="5" t="s">
        <v>207</v>
      </c>
    </row>
    <row r="70" spans="1:47" ht="15" customHeight="1" x14ac:dyDescent="0.3">
      <c r="A70" s="7" t="str">
        <f t="shared" si="5"/>
        <v>14_2024</v>
      </c>
      <c r="B70" s="7">
        <v>69</v>
      </c>
      <c r="C70" s="7">
        <f>'Panel Data (Long Format)'!B70</f>
        <v>14</v>
      </c>
      <c r="D70" s="7" t="str">
        <f>'Panel Data (Long Format)'!C70</f>
        <v>BAPLC</v>
      </c>
      <c r="E70" s="8" t="str">
        <f>'Panel Data (Long Format)'!D70</f>
        <v>Briclinks Africa Plc (trading as Btel)</v>
      </c>
      <c r="F70" s="7" t="str">
        <f>'Panel Data (Long Format)'!E70</f>
        <v>ICT</v>
      </c>
      <c r="G70" s="7">
        <f>'Panel Data (Long Format)'!F70</f>
        <v>2024</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10">
        <f t="shared" si="6"/>
        <v>0</v>
      </c>
      <c r="AC70" s="10">
        <f t="shared" si="7"/>
        <v>0</v>
      </c>
      <c r="AD70" s="9">
        <v>0</v>
      </c>
      <c r="AE70" s="9">
        <v>0</v>
      </c>
      <c r="AF70" s="9">
        <v>0</v>
      </c>
      <c r="AG70" s="9">
        <v>0</v>
      </c>
      <c r="AH70" s="9">
        <v>0</v>
      </c>
      <c r="AI70" s="9">
        <v>0</v>
      </c>
      <c r="AJ70" s="9">
        <v>0</v>
      </c>
      <c r="AK70" s="9">
        <v>0</v>
      </c>
      <c r="AL70" s="9">
        <v>0</v>
      </c>
      <c r="AM70" s="9">
        <v>0</v>
      </c>
      <c r="AN70" s="9">
        <v>0</v>
      </c>
      <c r="AO70" s="9">
        <v>0</v>
      </c>
      <c r="AP70" s="9">
        <v>0</v>
      </c>
      <c r="AQ70" s="9">
        <v>0</v>
      </c>
      <c r="AR70" s="9">
        <v>0</v>
      </c>
      <c r="AS70" s="10">
        <f t="shared" si="8"/>
        <v>0</v>
      </c>
      <c r="AT70" s="10">
        <f t="shared" si="9"/>
        <v>0</v>
      </c>
      <c r="AU70" s="5" t="s">
        <v>208</v>
      </c>
    </row>
    <row r="71" spans="1:47" ht="15" customHeight="1" x14ac:dyDescent="0.3">
      <c r="A71" s="7" t="str">
        <f t="shared" si="5"/>
        <v>14_2025</v>
      </c>
      <c r="B71" s="7">
        <v>70</v>
      </c>
      <c r="C71" s="7">
        <f>'Panel Data (Long Format)'!B71</f>
        <v>14</v>
      </c>
      <c r="D71" s="7" t="str">
        <f>'Panel Data (Long Format)'!C71</f>
        <v>BAPLC</v>
      </c>
      <c r="E71" s="8" t="str">
        <f>'Panel Data (Long Format)'!D71</f>
        <v>Briclinks Africa Plc (trading as Btel)</v>
      </c>
      <c r="F71" s="7" t="str">
        <f>'Panel Data (Long Format)'!E71</f>
        <v>ICT</v>
      </c>
      <c r="G71" s="7">
        <f>'Panel Data (Long Format)'!F71</f>
        <v>2025</v>
      </c>
      <c r="H71" s="9">
        <v>0</v>
      </c>
      <c r="I71" s="9">
        <v>0</v>
      </c>
      <c r="J71" s="9">
        <v>0</v>
      </c>
      <c r="K71" s="9">
        <v>0</v>
      </c>
      <c r="L71" s="9">
        <v>0</v>
      </c>
      <c r="M71" s="9">
        <v>0</v>
      </c>
      <c r="N71" s="9">
        <v>0</v>
      </c>
      <c r="O71" s="9">
        <v>0</v>
      </c>
      <c r="P71" s="9">
        <v>0</v>
      </c>
      <c r="Q71" s="9">
        <v>0</v>
      </c>
      <c r="R71" s="9">
        <v>0</v>
      </c>
      <c r="S71" s="9">
        <v>0</v>
      </c>
      <c r="T71" s="9">
        <v>0</v>
      </c>
      <c r="U71" s="9">
        <v>0</v>
      </c>
      <c r="V71" s="9">
        <v>0</v>
      </c>
      <c r="W71" s="9">
        <v>0</v>
      </c>
      <c r="X71" s="9">
        <v>0</v>
      </c>
      <c r="Y71" s="9">
        <v>0</v>
      </c>
      <c r="Z71" s="9">
        <v>0</v>
      </c>
      <c r="AA71" s="9">
        <v>0</v>
      </c>
      <c r="AB71" s="10">
        <f t="shared" si="6"/>
        <v>0</v>
      </c>
      <c r="AC71" s="10">
        <f t="shared" si="7"/>
        <v>0</v>
      </c>
      <c r="AD71" s="9">
        <v>0</v>
      </c>
      <c r="AE71" s="9">
        <v>0</v>
      </c>
      <c r="AF71" s="9">
        <v>0</v>
      </c>
      <c r="AG71" s="9">
        <v>0</v>
      </c>
      <c r="AH71" s="9">
        <v>0</v>
      </c>
      <c r="AI71" s="9">
        <v>0</v>
      </c>
      <c r="AJ71" s="9">
        <v>0</v>
      </c>
      <c r="AK71" s="9">
        <v>0</v>
      </c>
      <c r="AL71" s="9">
        <v>0</v>
      </c>
      <c r="AM71" s="9">
        <v>0</v>
      </c>
      <c r="AN71" s="9">
        <v>0</v>
      </c>
      <c r="AO71" s="9">
        <v>0</v>
      </c>
      <c r="AP71" s="9">
        <v>0</v>
      </c>
      <c r="AQ71" s="9">
        <v>0</v>
      </c>
      <c r="AR71" s="9">
        <v>0</v>
      </c>
      <c r="AS71" s="10">
        <f t="shared" si="8"/>
        <v>0</v>
      </c>
      <c r="AT71" s="10">
        <f t="shared" si="9"/>
        <v>0</v>
      </c>
      <c r="AU71" s="5" t="s">
        <v>209</v>
      </c>
    </row>
    <row r="72" spans="1:47" ht="15" customHeight="1" x14ac:dyDescent="0.3">
      <c r="A72" s="7" t="str">
        <f t="shared" si="5"/>
        <v>15_2021</v>
      </c>
      <c r="B72" s="7">
        <v>71</v>
      </c>
      <c r="C72" s="7">
        <f>'Panel Data (Long Format)'!B72</f>
        <v>15</v>
      </c>
      <c r="D72" s="7" t="str">
        <f>'Panel Data (Long Format)'!C72</f>
        <v>BERGER</v>
      </c>
      <c r="E72" s="8" t="str">
        <f>'Panel Data (Long Format)'!D72</f>
        <v>Berger Paints Nigeria Plc</v>
      </c>
      <c r="F72" s="7" t="str">
        <f>'Panel Data (Long Format)'!E72</f>
        <v>INDUSTRIAL GOODS</v>
      </c>
      <c r="G72" s="7">
        <f>'Panel Data (Long Format)'!F72</f>
        <v>2021</v>
      </c>
      <c r="H72" s="9">
        <v>1</v>
      </c>
      <c r="I72" s="9">
        <v>0</v>
      </c>
      <c r="J72" s="9">
        <v>1</v>
      </c>
      <c r="K72" s="9">
        <v>0</v>
      </c>
      <c r="L72" s="9">
        <v>0</v>
      </c>
      <c r="M72" s="9">
        <v>0</v>
      </c>
      <c r="N72" s="9">
        <v>0</v>
      </c>
      <c r="O72" s="9">
        <v>0</v>
      </c>
      <c r="P72" s="9">
        <v>0</v>
      </c>
      <c r="Q72" s="9">
        <v>0</v>
      </c>
      <c r="R72" s="9">
        <v>0</v>
      </c>
      <c r="S72" s="9">
        <v>0</v>
      </c>
      <c r="T72" s="9">
        <v>0</v>
      </c>
      <c r="U72" s="9">
        <v>1</v>
      </c>
      <c r="V72" s="9">
        <v>0</v>
      </c>
      <c r="W72" s="9">
        <v>0</v>
      </c>
      <c r="X72" s="9">
        <v>0</v>
      </c>
      <c r="Y72" s="9">
        <v>0</v>
      </c>
      <c r="Z72" s="9">
        <v>0</v>
      </c>
      <c r="AA72" s="9">
        <v>0</v>
      </c>
      <c r="AB72" s="10">
        <f t="shared" si="6"/>
        <v>3</v>
      </c>
      <c r="AC72" s="10">
        <f t="shared" si="7"/>
        <v>15</v>
      </c>
      <c r="AD72" s="9">
        <v>0</v>
      </c>
      <c r="AE72" s="9">
        <v>0</v>
      </c>
      <c r="AF72" s="9">
        <v>0</v>
      </c>
      <c r="AG72" s="9">
        <v>0</v>
      </c>
      <c r="AH72" s="9">
        <v>0</v>
      </c>
      <c r="AI72" s="9">
        <v>0</v>
      </c>
      <c r="AJ72" s="9">
        <v>0</v>
      </c>
      <c r="AK72" s="9">
        <v>0</v>
      </c>
      <c r="AL72" s="9">
        <v>0</v>
      </c>
      <c r="AM72" s="9">
        <v>0</v>
      </c>
      <c r="AN72" s="9">
        <v>0</v>
      </c>
      <c r="AO72" s="9">
        <v>0</v>
      </c>
      <c r="AP72" s="9">
        <v>0</v>
      </c>
      <c r="AQ72" s="9">
        <v>0</v>
      </c>
      <c r="AR72" s="9">
        <v>0</v>
      </c>
      <c r="AS72" s="10">
        <f t="shared" si="8"/>
        <v>0</v>
      </c>
      <c r="AT72" s="10">
        <f t="shared" si="9"/>
        <v>0</v>
      </c>
      <c r="AU72" s="5" t="s">
        <v>210</v>
      </c>
    </row>
    <row r="73" spans="1:47" ht="15" customHeight="1" x14ac:dyDescent="0.3">
      <c r="A73" s="7" t="str">
        <f t="shared" si="5"/>
        <v>15_2022</v>
      </c>
      <c r="B73" s="7">
        <v>72</v>
      </c>
      <c r="C73" s="7">
        <f>'Panel Data (Long Format)'!B73</f>
        <v>15</v>
      </c>
      <c r="D73" s="7" t="str">
        <f>'Panel Data (Long Format)'!C73</f>
        <v>BERGER</v>
      </c>
      <c r="E73" s="8" t="str">
        <f>'Panel Data (Long Format)'!D73</f>
        <v>Berger Paints Nigeria Plc</v>
      </c>
      <c r="F73" s="7" t="str">
        <f>'Panel Data (Long Format)'!E73</f>
        <v>INDUSTRIAL GOODS</v>
      </c>
      <c r="G73" s="7">
        <f>'Panel Data (Long Format)'!F73</f>
        <v>2022</v>
      </c>
      <c r="H73" s="9">
        <v>1</v>
      </c>
      <c r="I73" s="9">
        <v>0</v>
      </c>
      <c r="J73" s="9">
        <v>1</v>
      </c>
      <c r="K73" s="9">
        <v>0</v>
      </c>
      <c r="L73" s="9">
        <v>0</v>
      </c>
      <c r="M73" s="9">
        <v>0</v>
      </c>
      <c r="N73" s="9">
        <v>0</v>
      </c>
      <c r="O73" s="9">
        <v>0</v>
      </c>
      <c r="P73" s="9">
        <v>0</v>
      </c>
      <c r="Q73" s="9">
        <v>0</v>
      </c>
      <c r="R73" s="9">
        <v>0</v>
      </c>
      <c r="S73" s="9">
        <v>0</v>
      </c>
      <c r="T73" s="9">
        <v>0</v>
      </c>
      <c r="U73" s="9">
        <v>1</v>
      </c>
      <c r="V73" s="9">
        <v>0</v>
      </c>
      <c r="W73" s="9">
        <v>0</v>
      </c>
      <c r="X73" s="9">
        <v>0</v>
      </c>
      <c r="Y73" s="9">
        <v>0</v>
      </c>
      <c r="Z73" s="9">
        <v>0</v>
      </c>
      <c r="AA73" s="9">
        <v>0</v>
      </c>
      <c r="AB73" s="10">
        <f t="shared" si="6"/>
        <v>3</v>
      </c>
      <c r="AC73" s="10">
        <f t="shared" si="7"/>
        <v>15</v>
      </c>
      <c r="AD73" s="9">
        <v>0</v>
      </c>
      <c r="AE73" s="9">
        <v>0</v>
      </c>
      <c r="AF73" s="9">
        <v>0</v>
      </c>
      <c r="AG73" s="9">
        <v>0</v>
      </c>
      <c r="AH73" s="9">
        <v>0</v>
      </c>
      <c r="AI73" s="9">
        <v>0</v>
      </c>
      <c r="AJ73" s="9">
        <v>0</v>
      </c>
      <c r="AK73" s="9">
        <v>0</v>
      </c>
      <c r="AL73" s="9">
        <v>0</v>
      </c>
      <c r="AM73" s="9">
        <v>0</v>
      </c>
      <c r="AN73" s="9">
        <v>0</v>
      </c>
      <c r="AO73" s="9">
        <v>0</v>
      </c>
      <c r="AP73" s="9">
        <v>0</v>
      </c>
      <c r="AQ73" s="9">
        <v>0</v>
      </c>
      <c r="AR73" s="9">
        <v>0</v>
      </c>
      <c r="AS73" s="10">
        <f t="shared" si="8"/>
        <v>0</v>
      </c>
      <c r="AT73" s="10">
        <f t="shared" si="9"/>
        <v>0</v>
      </c>
      <c r="AU73" s="5" t="s">
        <v>211</v>
      </c>
    </row>
    <row r="74" spans="1:47" ht="15" customHeight="1" x14ac:dyDescent="0.3">
      <c r="A74" s="7" t="str">
        <f t="shared" si="5"/>
        <v>15_2023</v>
      </c>
      <c r="B74" s="7">
        <v>73</v>
      </c>
      <c r="C74" s="7">
        <f>'Panel Data (Long Format)'!B74</f>
        <v>15</v>
      </c>
      <c r="D74" s="7" t="str">
        <f>'Panel Data (Long Format)'!C74</f>
        <v>BERGER</v>
      </c>
      <c r="E74" s="8" t="str">
        <f>'Panel Data (Long Format)'!D74</f>
        <v>Berger Paints Nigeria Plc</v>
      </c>
      <c r="F74" s="7" t="str">
        <f>'Panel Data (Long Format)'!E74</f>
        <v>INDUSTRIAL GOODS</v>
      </c>
      <c r="G74" s="7">
        <f>'Panel Data (Long Format)'!F74</f>
        <v>2023</v>
      </c>
      <c r="H74" s="9">
        <v>1</v>
      </c>
      <c r="I74" s="9">
        <v>0</v>
      </c>
      <c r="J74" s="9">
        <v>1</v>
      </c>
      <c r="K74" s="9">
        <v>0</v>
      </c>
      <c r="L74" s="9">
        <v>0</v>
      </c>
      <c r="M74" s="9">
        <v>0</v>
      </c>
      <c r="N74" s="9">
        <v>0</v>
      </c>
      <c r="O74" s="9">
        <v>0</v>
      </c>
      <c r="P74" s="9">
        <v>0</v>
      </c>
      <c r="Q74" s="9">
        <v>0</v>
      </c>
      <c r="R74" s="9">
        <v>0</v>
      </c>
      <c r="S74" s="9">
        <v>0</v>
      </c>
      <c r="T74" s="9">
        <v>0</v>
      </c>
      <c r="U74" s="9">
        <v>1</v>
      </c>
      <c r="V74" s="9">
        <v>0</v>
      </c>
      <c r="W74" s="9">
        <v>0</v>
      </c>
      <c r="X74" s="9">
        <v>0</v>
      </c>
      <c r="Y74" s="9">
        <v>0</v>
      </c>
      <c r="Z74" s="9">
        <v>0</v>
      </c>
      <c r="AA74" s="9">
        <v>0</v>
      </c>
      <c r="AB74" s="10">
        <f t="shared" si="6"/>
        <v>3</v>
      </c>
      <c r="AC74" s="10">
        <f t="shared" si="7"/>
        <v>15</v>
      </c>
      <c r="AD74" s="9">
        <v>0</v>
      </c>
      <c r="AE74" s="9">
        <v>0</v>
      </c>
      <c r="AF74" s="9">
        <v>0</v>
      </c>
      <c r="AG74" s="9">
        <v>0</v>
      </c>
      <c r="AH74" s="9">
        <v>0</v>
      </c>
      <c r="AI74" s="9">
        <v>0</v>
      </c>
      <c r="AJ74" s="9">
        <v>0</v>
      </c>
      <c r="AK74" s="9">
        <v>0</v>
      </c>
      <c r="AL74" s="9">
        <v>0</v>
      </c>
      <c r="AM74" s="9">
        <v>0</v>
      </c>
      <c r="AN74" s="9">
        <v>0</v>
      </c>
      <c r="AO74" s="9">
        <v>0</v>
      </c>
      <c r="AP74" s="9">
        <v>0</v>
      </c>
      <c r="AQ74" s="9">
        <v>0</v>
      </c>
      <c r="AR74" s="9">
        <v>0</v>
      </c>
      <c r="AS74" s="10">
        <f t="shared" si="8"/>
        <v>0</v>
      </c>
      <c r="AT74" s="10">
        <f t="shared" si="9"/>
        <v>0</v>
      </c>
      <c r="AU74" s="5" t="s">
        <v>212</v>
      </c>
    </row>
    <row r="75" spans="1:47" ht="15" customHeight="1" x14ac:dyDescent="0.3">
      <c r="A75" s="7" t="str">
        <f t="shared" si="5"/>
        <v>15_2024</v>
      </c>
      <c r="B75" s="7">
        <v>74</v>
      </c>
      <c r="C75" s="7">
        <f>'Panel Data (Long Format)'!B75</f>
        <v>15</v>
      </c>
      <c r="D75" s="7" t="str">
        <f>'Panel Data (Long Format)'!C75</f>
        <v>BERGER</v>
      </c>
      <c r="E75" s="8" t="str">
        <f>'Panel Data (Long Format)'!D75</f>
        <v>Berger Paints Nigeria Plc</v>
      </c>
      <c r="F75" s="7" t="str">
        <f>'Panel Data (Long Format)'!E75</f>
        <v>INDUSTRIAL GOODS</v>
      </c>
      <c r="G75" s="7">
        <f>'Panel Data (Long Format)'!F75</f>
        <v>2024</v>
      </c>
      <c r="H75" s="9">
        <v>1</v>
      </c>
      <c r="I75" s="9">
        <v>0</v>
      </c>
      <c r="J75" s="9">
        <v>1</v>
      </c>
      <c r="K75" s="9">
        <v>0</v>
      </c>
      <c r="L75" s="9">
        <v>1</v>
      </c>
      <c r="M75" s="9">
        <v>0</v>
      </c>
      <c r="N75" s="9">
        <v>0</v>
      </c>
      <c r="O75" s="9">
        <v>0</v>
      </c>
      <c r="P75" s="9">
        <v>0</v>
      </c>
      <c r="Q75" s="9">
        <v>0</v>
      </c>
      <c r="R75" s="9">
        <v>0</v>
      </c>
      <c r="S75" s="9">
        <v>0</v>
      </c>
      <c r="T75" s="9">
        <v>0</v>
      </c>
      <c r="U75" s="9">
        <v>1</v>
      </c>
      <c r="V75" s="9">
        <v>0</v>
      </c>
      <c r="W75" s="9">
        <v>0</v>
      </c>
      <c r="X75" s="9">
        <v>0</v>
      </c>
      <c r="Y75" s="9">
        <v>0</v>
      </c>
      <c r="Z75" s="9">
        <v>0</v>
      </c>
      <c r="AA75" s="9">
        <v>0</v>
      </c>
      <c r="AB75" s="10">
        <f t="shared" si="6"/>
        <v>4</v>
      </c>
      <c r="AC75" s="10">
        <f t="shared" si="7"/>
        <v>20</v>
      </c>
      <c r="AD75" s="9">
        <v>0</v>
      </c>
      <c r="AE75" s="9">
        <v>0</v>
      </c>
      <c r="AF75" s="9">
        <v>1</v>
      </c>
      <c r="AG75" s="9">
        <v>0</v>
      </c>
      <c r="AH75" s="9">
        <v>0</v>
      </c>
      <c r="AI75" s="9">
        <v>0</v>
      </c>
      <c r="AJ75" s="9">
        <v>0</v>
      </c>
      <c r="AK75" s="9">
        <v>0</v>
      </c>
      <c r="AL75" s="9">
        <v>0</v>
      </c>
      <c r="AM75" s="9">
        <v>0</v>
      </c>
      <c r="AN75" s="9">
        <v>0</v>
      </c>
      <c r="AO75" s="9">
        <v>0</v>
      </c>
      <c r="AP75" s="9">
        <v>0</v>
      </c>
      <c r="AQ75" s="9">
        <v>0</v>
      </c>
      <c r="AR75" s="9">
        <v>0</v>
      </c>
      <c r="AS75" s="10">
        <f t="shared" si="8"/>
        <v>1</v>
      </c>
      <c r="AT75" s="10">
        <f t="shared" si="9"/>
        <v>6.666666666666667</v>
      </c>
      <c r="AU75" s="5" t="s">
        <v>213</v>
      </c>
    </row>
    <row r="76" spans="1:47" ht="15" customHeight="1" x14ac:dyDescent="0.3">
      <c r="A76" s="7" t="str">
        <f t="shared" si="5"/>
        <v>15_2025</v>
      </c>
      <c r="B76" s="7">
        <v>75</v>
      </c>
      <c r="C76" s="7">
        <f>'Panel Data (Long Format)'!B76</f>
        <v>15</v>
      </c>
      <c r="D76" s="7" t="str">
        <f>'Panel Data (Long Format)'!C76</f>
        <v>BERGER</v>
      </c>
      <c r="E76" s="8" t="str">
        <f>'Panel Data (Long Format)'!D76</f>
        <v>Berger Paints Nigeria Plc</v>
      </c>
      <c r="F76" s="7" t="str">
        <f>'Panel Data (Long Format)'!E76</f>
        <v>INDUSTRIAL GOODS</v>
      </c>
      <c r="G76" s="7">
        <f>'Panel Data (Long Format)'!F76</f>
        <v>2025</v>
      </c>
      <c r="H76" s="9">
        <v>0</v>
      </c>
      <c r="I76" s="9">
        <v>0</v>
      </c>
      <c r="J76" s="9">
        <v>0</v>
      </c>
      <c r="K76" s="9">
        <v>0</v>
      </c>
      <c r="L76" s="9">
        <v>0</v>
      </c>
      <c r="M76" s="9">
        <v>0</v>
      </c>
      <c r="N76" s="9">
        <v>0</v>
      </c>
      <c r="O76" s="9">
        <v>0</v>
      </c>
      <c r="P76" s="9">
        <v>0</v>
      </c>
      <c r="Q76" s="9">
        <v>0</v>
      </c>
      <c r="R76" s="9">
        <v>1</v>
      </c>
      <c r="S76" s="9">
        <v>0</v>
      </c>
      <c r="T76" s="9">
        <v>1</v>
      </c>
      <c r="U76" s="9">
        <v>0</v>
      </c>
      <c r="V76" s="9">
        <v>0</v>
      </c>
      <c r="W76" s="9">
        <v>1</v>
      </c>
      <c r="X76" s="9">
        <v>0</v>
      </c>
      <c r="Y76" s="9">
        <v>0</v>
      </c>
      <c r="Z76" s="9">
        <v>0</v>
      </c>
      <c r="AA76" s="9">
        <v>0</v>
      </c>
      <c r="AB76" s="10">
        <f t="shared" si="6"/>
        <v>3</v>
      </c>
      <c r="AC76" s="10">
        <f t="shared" si="7"/>
        <v>15</v>
      </c>
      <c r="AD76" s="9">
        <v>0</v>
      </c>
      <c r="AE76" s="9">
        <v>0</v>
      </c>
      <c r="AF76" s="9">
        <v>0</v>
      </c>
      <c r="AG76" s="9">
        <v>0</v>
      </c>
      <c r="AH76" s="9">
        <v>0</v>
      </c>
      <c r="AI76" s="9">
        <v>0</v>
      </c>
      <c r="AJ76" s="9">
        <v>0</v>
      </c>
      <c r="AK76" s="9">
        <v>0</v>
      </c>
      <c r="AL76" s="9">
        <v>0</v>
      </c>
      <c r="AM76" s="9">
        <v>0</v>
      </c>
      <c r="AN76" s="9">
        <v>0</v>
      </c>
      <c r="AO76" s="9">
        <v>0</v>
      </c>
      <c r="AP76" s="9">
        <v>0</v>
      </c>
      <c r="AQ76" s="9">
        <v>0</v>
      </c>
      <c r="AR76" s="9">
        <v>0</v>
      </c>
      <c r="AS76" s="10">
        <f t="shared" si="8"/>
        <v>0</v>
      </c>
      <c r="AT76" s="10">
        <f t="shared" si="9"/>
        <v>0</v>
      </c>
      <c r="AU76" s="5" t="s">
        <v>214</v>
      </c>
    </row>
    <row r="77" spans="1:47" ht="15" customHeight="1" x14ac:dyDescent="0.3">
      <c r="A77" s="7" t="str">
        <f t="shared" si="5"/>
        <v>16_2021</v>
      </c>
      <c r="B77" s="7">
        <v>76</v>
      </c>
      <c r="C77" s="7">
        <f>'Panel Data (Long Format)'!B77</f>
        <v>16</v>
      </c>
      <c r="D77" s="7" t="str">
        <f>'Panel Data (Long Format)'!C77</f>
        <v>BETAGLAS</v>
      </c>
      <c r="E77" s="8" t="str">
        <f>'Panel Data (Long Format)'!D77</f>
        <v>Beta Glass Plc</v>
      </c>
      <c r="F77" s="7" t="str">
        <f>'Panel Data (Long Format)'!E77</f>
        <v>INDUSTRIAL GOODS</v>
      </c>
      <c r="G77" s="7">
        <f>'Panel Data (Long Format)'!F77</f>
        <v>2021</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10">
        <f t="shared" si="6"/>
        <v>0</v>
      </c>
      <c r="AC77" s="10">
        <f t="shared" si="7"/>
        <v>0</v>
      </c>
      <c r="AD77" s="9">
        <v>0</v>
      </c>
      <c r="AE77" s="9">
        <v>0</v>
      </c>
      <c r="AF77" s="9">
        <v>0</v>
      </c>
      <c r="AG77" s="9">
        <v>0</v>
      </c>
      <c r="AH77" s="9">
        <v>0</v>
      </c>
      <c r="AI77" s="9">
        <v>0</v>
      </c>
      <c r="AJ77" s="9">
        <v>0</v>
      </c>
      <c r="AK77" s="9">
        <v>0</v>
      </c>
      <c r="AL77" s="9">
        <v>0</v>
      </c>
      <c r="AM77" s="9">
        <v>0</v>
      </c>
      <c r="AN77" s="9">
        <v>0</v>
      </c>
      <c r="AO77" s="9">
        <v>0</v>
      </c>
      <c r="AP77" s="9">
        <v>0</v>
      </c>
      <c r="AQ77" s="9">
        <v>0</v>
      </c>
      <c r="AR77" s="9">
        <v>0</v>
      </c>
      <c r="AS77" s="10">
        <f t="shared" si="8"/>
        <v>0</v>
      </c>
      <c r="AT77" s="10">
        <f t="shared" si="9"/>
        <v>0</v>
      </c>
      <c r="AU77" s="5" t="s">
        <v>215</v>
      </c>
    </row>
    <row r="78" spans="1:47" ht="15" customHeight="1" x14ac:dyDescent="0.3">
      <c r="A78" s="7" t="str">
        <f t="shared" si="5"/>
        <v>16_2022</v>
      </c>
      <c r="B78" s="7">
        <v>77</v>
      </c>
      <c r="C78" s="7">
        <f>'Panel Data (Long Format)'!B78</f>
        <v>16</v>
      </c>
      <c r="D78" s="7" t="str">
        <f>'Panel Data (Long Format)'!C78</f>
        <v>BETAGLAS</v>
      </c>
      <c r="E78" s="8" t="str">
        <f>'Panel Data (Long Format)'!D78</f>
        <v>Beta Glass Plc</v>
      </c>
      <c r="F78" s="7" t="str">
        <f>'Panel Data (Long Format)'!E78</f>
        <v>INDUSTRIAL GOODS</v>
      </c>
      <c r="G78" s="7">
        <f>'Panel Data (Long Format)'!F78</f>
        <v>2022</v>
      </c>
      <c r="H78" s="9">
        <v>0</v>
      </c>
      <c r="I78" s="9">
        <v>0</v>
      </c>
      <c r="J78" s="9">
        <v>0</v>
      </c>
      <c r="K78" s="9">
        <v>0</v>
      </c>
      <c r="L78" s="9">
        <v>0</v>
      </c>
      <c r="M78" s="9">
        <v>0</v>
      </c>
      <c r="N78" s="9">
        <v>0</v>
      </c>
      <c r="O78" s="9">
        <v>0</v>
      </c>
      <c r="P78" s="9">
        <v>0</v>
      </c>
      <c r="Q78" s="9">
        <v>0</v>
      </c>
      <c r="R78" s="9">
        <v>0</v>
      </c>
      <c r="S78" s="9">
        <v>0</v>
      </c>
      <c r="T78" s="9">
        <v>0</v>
      </c>
      <c r="U78" s="9">
        <v>0</v>
      </c>
      <c r="V78" s="9">
        <v>0</v>
      </c>
      <c r="W78" s="9">
        <v>1</v>
      </c>
      <c r="X78" s="9">
        <v>0</v>
      </c>
      <c r="Y78" s="9">
        <v>0</v>
      </c>
      <c r="Z78" s="9">
        <v>0</v>
      </c>
      <c r="AA78" s="9">
        <v>0</v>
      </c>
      <c r="AB78" s="10">
        <f t="shared" si="6"/>
        <v>1</v>
      </c>
      <c r="AC78" s="10">
        <f t="shared" si="7"/>
        <v>5</v>
      </c>
      <c r="AD78" s="9">
        <v>0</v>
      </c>
      <c r="AE78" s="9">
        <v>0</v>
      </c>
      <c r="AF78" s="9">
        <v>0</v>
      </c>
      <c r="AG78" s="9">
        <v>0</v>
      </c>
      <c r="AH78" s="9">
        <v>0</v>
      </c>
      <c r="AI78" s="9">
        <v>0</v>
      </c>
      <c r="AJ78" s="9">
        <v>0</v>
      </c>
      <c r="AK78" s="9">
        <v>0</v>
      </c>
      <c r="AL78" s="9">
        <v>0</v>
      </c>
      <c r="AM78" s="9">
        <v>0</v>
      </c>
      <c r="AN78" s="9">
        <v>0</v>
      </c>
      <c r="AO78" s="9">
        <v>0</v>
      </c>
      <c r="AP78" s="9">
        <v>0</v>
      </c>
      <c r="AQ78" s="9">
        <v>0</v>
      </c>
      <c r="AR78" s="9">
        <v>0</v>
      </c>
      <c r="AS78" s="10">
        <f t="shared" si="8"/>
        <v>0</v>
      </c>
      <c r="AT78" s="10">
        <f t="shared" si="9"/>
        <v>0</v>
      </c>
      <c r="AU78" s="5" t="s">
        <v>216</v>
      </c>
    </row>
    <row r="79" spans="1:47" ht="15" customHeight="1" x14ac:dyDescent="0.3">
      <c r="A79" s="7" t="str">
        <f t="shared" si="5"/>
        <v>16_2023</v>
      </c>
      <c r="B79" s="7">
        <v>78</v>
      </c>
      <c r="C79" s="7">
        <f>'Panel Data (Long Format)'!B79</f>
        <v>16</v>
      </c>
      <c r="D79" s="7" t="str">
        <f>'Panel Data (Long Format)'!C79</f>
        <v>BETAGLAS</v>
      </c>
      <c r="E79" s="8" t="str">
        <f>'Panel Data (Long Format)'!D79</f>
        <v>Beta Glass Plc</v>
      </c>
      <c r="F79" s="7" t="str">
        <f>'Panel Data (Long Format)'!E79</f>
        <v>INDUSTRIAL GOODS</v>
      </c>
      <c r="G79" s="7">
        <f>'Panel Data (Long Format)'!F79</f>
        <v>2023</v>
      </c>
      <c r="H79" s="9">
        <v>0</v>
      </c>
      <c r="I79" s="9">
        <v>0</v>
      </c>
      <c r="J79" s="9">
        <v>0</v>
      </c>
      <c r="K79" s="9">
        <v>0</v>
      </c>
      <c r="L79" s="9">
        <v>0</v>
      </c>
      <c r="M79" s="9">
        <v>0</v>
      </c>
      <c r="N79" s="9">
        <v>0</v>
      </c>
      <c r="O79" s="9">
        <v>0</v>
      </c>
      <c r="P79" s="9">
        <v>0</v>
      </c>
      <c r="Q79" s="9">
        <v>0</v>
      </c>
      <c r="R79" s="9">
        <v>0</v>
      </c>
      <c r="S79" s="9">
        <v>0</v>
      </c>
      <c r="T79" s="9">
        <v>0</v>
      </c>
      <c r="U79" s="9">
        <v>0</v>
      </c>
      <c r="V79" s="9">
        <v>0</v>
      </c>
      <c r="W79" s="9">
        <v>1</v>
      </c>
      <c r="X79" s="9">
        <v>0</v>
      </c>
      <c r="Y79" s="9">
        <v>0</v>
      </c>
      <c r="Z79" s="9">
        <v>0</v>
      </c>
      <c r="AA79" s="9">
        <v>0</v>
      </c>
      <c r="AB79" s="10">
        <f t="shared" si="6"/>
        <v>1</v>
      </c>
      <c r="AC79" s="10">
        <f t="shared" si="7"/>
        <v>5</v>
      </c>
      <c r="AD79" s="9">
        <v>0</v>
      </c>
      <c r="AE79" s="9">
        <v>0</v>
      </c>
      <c r="AF79" s="9">
        <v>0</v>
      </c>
      <c r="AG79" s="9">
        <v>0</v>
      </c>
      <c r="AH79" s="9">
        <v>0</v>
      </c>
      <c r="AI79" s="9">
        <v>0</v>
      </c>
      <c r="AJ79" s="9">
        <v>0</v>
      </c>
      <c r="AK79" s="9">
        <v>0</v>
      </c>
      <c r="AL79" s="9">
        <v>0</v>
      </c>
      <c r="AM79" s="9">
        <v>0</v>
      </c>
      <c r="AN79" s="9">
        <v>0</v>
      </c>
      <c r="AO79" s="9">
        <v>0</v>
      </c>
      <c r="AP79" s="9">
        <v>0</v>
      </c>
      <c r="AQ79" s="9">
        <v>0</v>
      </c>
      <c r="AR79" s="9">
        <v>0</v>
      </c>
      <c r="AS79" s="10">
        <f t="shared" si="8"/>
        <v>0</v>
      </c>
      <c r="AT79" s="10">
        <f t="shared" si="9"/>
        <v>0</v>
      </c>
      <c r="AU79" s="5" t="s">
        <v>217</v>
      </c>
    </row>
    <row r="80" spans="1:47" ht="15" customHeight="1" x14ac:dyDescent="0.3">
      <c r="A80" s="7" t="str">
        <f t="shared" si="5"/>
        <v>16_2024</v>
      </c>
      <c r="B80" s="7">
        <v>79</v>
      </c>
      <c r="C80" s="7">
        <f>'Panel Data (Long Format)'!B80</f>
        <v>16</v>
      </c>
      <c r="D80" s="7" t="str">
        <f>'Panel Data (Long Format)'!C80</f>
        <v>BETAGLAS</v>
      </c>
      <c r="E80" s="8" t="str">
        <f>'Panel Data (Long Format)'!D80</f>
        <v>Beta Glass Plc</v>
      </c>
      <c r="F80" s="7" t="str">
        <f>'Panel Data (Long Format)'!E80</f>
        <v>INDUSTRIAL GOODS</v>
      </c>
      <c r="G80" s="7">
        <f>'Panel Data (Long Format)'!F80</f>
        <v>2024</v>
      </c>
      <c r="H80" s="9">
        <v>0</v>
      </c>
      <c r="I80" s="9">
        <v>0</v>
      </c>
      <c r="J80" s="9">
        <v>0</v>
      </c>
      <c r="K80" s="9">
        <v>0</v>
      </c>
      <c r="L80" s="9">
        <v>0</v>
      </c>
      <c r="M80" s="9">
        <v>0</v>
      </c>
      <c r="N80" s="9">
        <v>0</v>
      </c>
      <c r="O80" s="9">
        <v>0</v>
      </c>
      <c r="P80" s="9">
        <v>0</v>
      </c>
      <c r="Q80" s="9">
        <v>0</v>
      </c>
      <c r="R80" s="9">
        <v>0</v>
      </c>
      <c r="S80" s="9">
        <v>0</v>
      </c>
      <c r="T80" s="9">
        <v>0</v>
      </c>
      <c r="U80" s="9">
        <v>0</v>
      </c>
      <c r="V80" s="9">
        <v>0</v>
      </c>
      <c r="W80" s="9">
        <v>1</v>
      </c>
      <c r="X80" s="9">
        <v>0</v>
      </c>
      <c r="Y80" s="9">
        <v>0</v>
      </c>
      <c r="Z80" s="9">
        <v>0</v>
      </c>
      <c r="AA80" s="9">
        <v>0</v>
      </c>
      <c r="AB80" s="10">
        <f t="shared" si="6"/>
        <v>1</v>
      </c>
      <c r="AC80" s="10">
        <f t="shared" si="7"/>
        <v>5</v>
      </c>
      <c r="AD80" s="9">
        <v>0</v>
      </c>
      <c r="AE80" s="9">
        <v>0</v>
      </c>
      <c r="AF80" s="9">
        <v>0</v>
      </c>
      <c r="AG80" s="9">
        <v>0</v>
      </c>
      <c r="AH80" s="9">
        <v>0</v>
      </c>
      <c r="AI80" s="9">
        <v>0</v>
      </c>
      <c r="AJ80" s="9">
        <v>0</v>
      </c>
      <c r="AK80" s="9">
        <v>0</v>
      </c>
      <c r="AL80" s="9">
        <v>0</v>
      </c>
      <c r="AM80" s="9">
        <v>0</v>
      </c>
      <c r="AN80" s="9">
        <v>0</v>
      </c>
      <c r="AO80" s="9">
        <v>0</v>
      </c>
      <c r="AP80" s="9">
        <v>0</v>
      </c>
      <c r="AQ80" s="9">
        <v>0</v>
      </c>
      <c r="AR80" s="9">
        <v>0</v>
      </c>
      <c r="AS80" s="10">
        <f t="shared" si="8"/>
        <v>0</v>
      </c>
      <c r="AT80" s="10">
        <f t="shared" si="9"/>
        <v>0</v>
      </c>
      <c r="AU80" s="5" t="s">
        <v>218</v>
      </c>
    </row>
    <row r="81" spans="1:47" ht="15" customHeight="1" x14ac:dyDescent="0.3">
      <c r="A81" s="7" t="str">
        <f t="shared" si="5"/>
        <v>16_2025</v>
      </c>
      <c r="B81" s="7">
        <v>80</v>
      </c>
      <c r="C81" s="7">
        <f>'Panel Data (Long Format)'!B81</f>
        <v>16</v>
      </c>
      <c r="D81" s="7" t="str">
        <f>'Panel Data (Long Format)'!C81</f>
        <v>BETAGLAS</v>
      </c>
      <c r="E81" s="8" t="str">
        <f>'Panel Data (Long Format)'!D81</f>
        <v>Beta Glass Plc</v>
      </c>
      <c r="F81" s="7" t="str">
        <f>'Panel Data (Long Format)'!E81</f>
        <v>INDUSTRIAL GOODS</v>
      </c>
      <c r="G81" s="7">
        <f>'Panel Data (Long Format)'!F81</f>
        <v>2025</v>
      </c>
      <c r="H81" s="9">
        <v>0</v>
      </c>
      <c r="I81" s="9">
        <v>0</v>
      </c>
      <c r="J81" s="9">
        <v>0</v>
      </c>
      <c r="K81" s="9">
        <v>0</v>
      </c>
      <c r="L81" s="9">
        <v>0</v>
      </c>
      <c r="M81" s="9">
        <v>0</v>
      </c>
      <c r="N81" s="9">
        <v>0</v>
      </c>
      <c r="O81" s="9">
        <v>0</v>
      </c>
      <c r="P81" s="9">
        <v>0</v>
      </c>
      <c r="Q81" s="9">
        <v>0</v>
      </c>
      <c r="R81" s="9">
        <v>0</v>
      </c>
      <c r="S81" s="9">
        <v>0</v>
      </c>
      <c r="T81" s="9">
        <v>0</v>
      </c>
      <c r="U81" s="9">
        <v>0</v>
      </c>
      <c r="V81" s="9">
        <v>0</v>
      </c>
      <c r="W81" s="9">
        <v>1</v>
      </c>
      <c r="X81" s="9">
        <v>0</v>
      </c>
      <c r="Y81" s="9">
        <v>0</v>
      </c>
      <c r="Z81" s="9">
        <v>0</v>
      </c>
      <c r="AA81" s="9">
        <v>0</v>
      </c>
      <c r="AB81" s="10">
        <f t="shared" si="6"/>
        <v>1</v>
      </c>
      <c r="AC81" s="10">
        <f t="shared" si="7"/>
        <v>5</v>
      </c>
      <c r="AD81" s="9">
        <v>0</v>
      </c>
      <c r="AE81" s="9">
        <v>0</v>
      </c>
      <c r="AF81" s="9">
        <v>0</v>
      </c>
      <c r="AG81" s="9">
        <v>0</v>
      </c>
      <c r="AH81" s="9">
        <v>0</v>
      </c>
      <c r="AI81" s="9">
        <v>0</v>
      </c>
      <c r="AJ81" s="9">
        <v>0</v>
      </c>
      <c r="AK81" s="9">
        <v>0</v>
      </c>
      <c r="AL81" s="9">
        <v>0</v>
      </c>
      <c r="AM81" s="9">
        <v>0</v>
      </c>
      <c r="AN81" s="9">
        <v>0</v>
      </c>
      <c r="AO81" s="9">
        <v>0</v>
      </c>
      <c r="AP81" s="9">
        <v>0</v>
      </c>
      <c r="AQ81" s="9">
        <v>0</v>
      </c>
      <c r="AR81" s="9">
        <v>0</v>
      </c>
      <c r="AS81" s="10">
        <f t="shared" si="8"/>
        <v>0</v>
      </c>
      <c r="AT81" s="10">
        <f t="shared" si="9"/>
        <v>0</v>
      </c>
      <c r="AU81" s="5" t="s">
        <v>219</v>
      </c>
    </row>
    <row r="82" spans="1:47" ht="15" customHeight="1" x14ac:dyDescent="0.3">
      <c r="A82" s="7" t="str">
        <f t="shared" si="5"/>
        <v>17_2021</v>
      </c>
      <c r="B82" s="7">
        <v>81</v>
      </c>
      <c r="C82" s="7">
        <f>'Panel Data (Long Format)'!B82</f>
        <v>17</v>
      </c>
      <c r="D82" s="7" t="str">
        <f>'Panel Data (Long Format)'!C82</f>
        <v>BUACEMENT</v>
      </c>
      <c r="E82" s="8" t="str">
        <f>'Panel Data (Long Format)'!D82</f>
        <v>BUA Cement Plc</v>
      </c>
      <c r="F82" s="7" t="str">
        <f>'Panel Data (Long Format)'!E82</f>
        <v>INDUSTRIAL GOODS</v>
      </c>
      <c r="G82" s="7">
        <f>'Panel Data (Long Format)'!F82</f>
        <v>2021</v>
      </c>
      <c r="H82" s="9">
        <v>1</v>
      </c>
      <c r="I82" s="9">
        <v>0</v>
      </c>
      <c r="J82" s="9">
        <v>1</v>
      </c>
      <c r="K82" s="9">
        <v>0</v>
      </c>
      <c r="L82" s="9">
        <v>0</v>
      </c>
      <c r="M82" s="9">
        <v>0</v>
      </c>
      <c r="N82" s="9">
        <v>0</v>
      </c>
      <c r="O82" s="9">
        <v>0</v>
      </c>
      <c r="P82" s="9">
        <v>0</v>
      </c>
      <c r="Q82" s="9">
        <v>0</v>
      </c>
      <c r="R82" s="9">
        <v>0</v>
      </c>
      <c r="S82" s="9">
        <v>0</v>
      </c>
      <c r="T82" s="9">
        <v>1</v>
      </c>
      <c r="U82" s="9">
        <v>1</v>
      </c>
      <c r="V82" s="9">
        <v>0</v>
      </c>
      <c r="W82" s="9">
        <v>1</v>
      </c>
      <c r="X82" s="9">
        <v>0</v>
      </c>
      <c r="Y82" s="9">
        <v>0</v>
      </c>
      <c r="Z82" s="9">
        <v>0</v>
      </c>
      <c r="AA82" s="9">
        <v>0</v>
      </c>
      <c r="AB82" s="10">
        <f t="shared" si="6"/>
        <v>5</v>
      </c>
      <c r="AC82" s="10">
        <f t="shared" si="7"/>
        <v>25</v>
      </c>
      <c r="AD82" s="9">
        <v>0</v>
      </c>
      <c r="AE82" s="9">
        <v>0</v>
      </c>
      <c r="AF82" s="9">
        <v>0</v>
      </c>
      <c r="AG82" s="9">
        <v>0</v>
      </c>
      <c r="AH82" s="9">
        <v>0</v>
      </c>
      <c r="AI82" s="9">
        <v>0</v>
      </c>
      <c r="AJ82" s="9">
        <v>0</v>
      </c>
      <c r="AK82" s="9">
        <v>0</v>
      </c>
      <c r="AL82" s="9">
        <v>0</v>
      </c>
      <c r="AM82" s="9">
        <v>0</v>
      </c>
      <c r="AN82" s="9">
        <v>0</v>
      </c>
      <c r="AO82" s="9">
        <v>0</v>
      </c>
      <c r="AP82" s="9">
        <v>0</v>
      </c>
      <c r="AQ82" s="9">
        <v>0</v>
      </c>
      <c r="AR82" s="9">
        <v>0</v>
      </c>
      <c r="AS82" s="10">
        <f t="shared" si="8"/>
        <v>0</v>
      </c>
      <c r="AT82" s="10">
        <f t="shared" si="9"/>
        <v>0</v>
      </c>
      <c r="AU82" s="5" t="s">
        <v>220</v>
      </c>
    </row>
    <row r="83" spans="1:47" ht="15" customHeight="1" x14ac:dyDescent="0.3">
      <c r="A83" s="7" t="str">
        <f t="shared" si="5"/>
        <v>17_2022</v>
      </c>
      <c r="B83" s="7">
        <v>82</v>
      </c>
      <c r="C83" s="7">
        <f>'Panel Data (Long Format)'!B83</f>
        <v>17</v>
      </c>
      <c r="D83" s="7" t="str">
        <f>'Panel Data (Long Format)'!C83</f>
        <v>BUACEMENT</v>
      </c>
      <c r="E83" s="8" t="str">
        <f>'Panel Data (Long Format)'!D83</f>
        <v>BUA Cement Plc</v>
      </c>
      <c r="F83" s="7" t="str">
        <f>'Panel Data (Long Format)'!E83</f>
        <v>INDUSTRIAL GOODS</v>
      </c>
      <c r="G83" s="7">
        <f>'Panel Data (Long Format)'!F83</f>
        <v>2022</v>
      </c>
      <c r="H83" s="9">
        <v>1</v>
      </c>
      <c r="I83" s="9">
        <v>0</v>
      </c>
      <c r="J83" s="9">
        <v>1</v>
      </c>
      <c r="K83" s="9">
        <v>0</v>
      </c>
      <c r="L83" s="9">
        <v>0</v>
      </c>
      <c r="M83" s="9">
        <v>0</v>
      </c>
      <c r="N83" s="9">
        <v>0</v>
      </c>
      <c r="O83" s="9">
        <v>0</v>
      </c>
      <c r="P83" s="9">
        <v>0</v>
      </c>
      <c r="Q83" s="9">
        <v>0</v>
      </c>
      <c r="R83" s="9">
        <v>0</v>
      </c>
      <c r="S83" s="9">
        <v>0</v>
      </c>
      <c r="T83" s="9">
        <v>1</v>
      </c>
      <c r="U83" s="9">
        <v>1</v>
      </c>
      <c r="V83" s="9">
        <v>0</v>
      </c>
      <c r="W83" s="9">
        <v>1</v>
      </c>
      <c r="X83" s="9">
        <v>0</v>
      </c>
      <c r="Y83" s="9">
        <v>0</v>
      </c>
      <c r="Z83" s="9">
        <v>0</v>
      </c>
      <c r="AA83" s="9">
        <v>0</v>
      </c>
      <c r="AB83" s="10">
        <f t="shared" si="6"/>
        <v>5</v>
      </c>
      <c r="AC83" s="10">
        <f t="shared" si="7"/>
        <v>25</v>
      </c>
      <c r="AD83" s="9">
        <v>0</v>
      </c>
      <c r="AE83" s="9">
        <v>0</v>
      </c>
      <c r="AF83" s="9">
        <v>0</v>
      </c>
      <c r="AG83" s="9">
        <v>0</v>
      </c>
      <c r="AH83" s="9">
        <v>0</v>
      </c>
      <c r="AI83" s="9">
        <v>0</v>
      </c>
      <c r="AJ83" s="9">
        <v>0</v>
      </c>
      <c r="AK83" s="9">
        <v>0</v>
      </c>
      <c r="AL83" s="9">
        <v>0</v>
      </c>
      <c r="AM83" s="9">
        <v>0</v>
      </c>
      <c r="AN83" s="9">
        <v>0</v>
      </c>
      <c r="AO83" s="9">
        <v>0</v>
      </c>
      <c r="AP83" s="9">
        <v>0</v>
      </c>
      <c r="AQ83" s="9">
        <v>0</v>
      </c>
      <c r="AR83" s="9">
        <v>0</v>
      </c>
      <c r="AS83" s="10">
        <f t="shared" si="8"/>
        <v>0</v>
      </c>
      <c r="AT83" s="10">
        <f t="shared" si="9"/>
        <v>0</v>
      </c>
      <c r="AU83" s="5" t="s">
        <v>221</v>
      </c>
    </row>
    <row r="84" spans="1:47" ht="15" customHeight="1" x14ac:dyDescent="0.3">
      <c r="A84" s="7" t="str">
        <f t="shared" si="5"/>
        <v>17_2023</v>
      </c>
      <c r="B84" s="7">
        <v>83</v>
      </c>
      <c r="C84" s="7">
        <f>'Panel Data (Long Format)'!B84</f>
        <v>17</v>
      </c>
      <c r="D84" s="7" t="str">
        <f>'Panel Data (Long Format)'!C84</f>
        <v>BUACEMENT</v>
      </c>
      <c r="E84" s="8" t="str">
        <f>'Panel Data (Long Format)'!D84</f>
        <v>BUA Cement Plc</v>
      </c>
      <c r="F84" s="7" t="str">
        <f>'Panel Data (Long Format)'!E84</f>
        <v>INDUSTRIAL GOODS</v>
      </c>
      <c r="G84" s="7">
        <f>'Panel Data (Long Format)'!F84</f>
        <v>2023</v>
      </c>
      <c r="H84" s="9">
        <v>1</v>
      </c>
      <c r="I84" s="9">
        <v>0</v>
      </c>
      <c r="J84" s="9">
        <v>1</v>
      </c>
      <c r="K84" s="9">
        <v>0</v>
      </c>
      <c r="L84" s="9">
        <v>0</v>
      </c>
      <c r="M84" s="9">
        <v>0</v>
      </c>
      <c r="N84" s="9">
        <v>1</v>
      </c>
      <c r="O84" s="9">
        <v>0</v>
      </c>
      <c r="P84" s="9">
        <v>0</v>
      </c>
      <c r="Q84" s="9">
        <v>0</v>
      </c>
      <c r="R84" s="9">
        <v>0</v>
      </c>
      <c r="S84" s="9">
        <v>0</v>
      </c>
      <c r="T84" s="9">
        <v>1</v>
      </c>
      <c r="U84" s="9">
        <v>1</v>
      </c>
      <c r="V84" s="9">
        <v>0</v>
      </c>
      <c r="W84" s="9">
        <v>1</v>
      </c>
      <c r="X84" s="9">
        <v>0</v>
      </c>
      <c r="Y84" s="9">
        <v>0</v>
      </c>
      <c r="Z84" s="9">
        <v>0</v>
      </c>
      <c r="AA84" s="9">
        <v>0</v>
      </c>
      <c r="AB84" s="10">
        <f t="shared" si="6"/>
        <v>6</v>
      </c>
      <c r="AC84" s="10">
        <f t="shared" si="7"/>
        <v>30</v>
      </c>
      <c r="AD84" s="9">
        <v>0</v>
      </c>
      <c r="AE84" s="9">
        <v>0</v>
      </c>
      <c r="AF84" s="9">
        <v>0</v>
      </c>
      <c r="AG84" s="9">
        <v>0</v>
      </c>
      <c r="AH84" s="9">
        <v>0</v>
      </c>
      <c r="AI84" s="9">
        <v>0</v>
      </c>
      <c r="AJ84" s="9">
        <v>0</v>
      </c>
      <c r="AK84" s="9">
        <v>0</v>
      </c>
      <c r="AL84" s="9">
        <v>0</v>
      </c>
      <c r="AM84" s="9">
        <v>0</v>
      </c>
      <c r="AN84" s="9">
        <v>0</v>
      </c>
      <c r="AO84" s="9">
        <v>0</v>
      </c>
      <c r="AP84" s="9">
        <v>0</v>
      </c>
      <c r="AQ84" s="9">
        <v>0</v>
      </c>
      <c r="AR84" s="9">
        <v>0</v>
      </c>
      <c r="AS84" s="10">
        <f t="shared" si="8"/>
        <v>0</v>
      </c>
      <c r="AT84" s="10">
        <f t="shared" si="9"/>
        <v>0</v>
      </c>
      <c r="AU84" s="5" t="s">
        <v>222</v>
      </c>
    </row>
    <row r="85" spans="1:47" ht="15" customHeight="1" x14ac:dyDescent="0.3">
      <c r="A85" s="7" t="str">
        <f t="shared" si="5"/>
        <v>17_2024</v>
      </c>
      <c r="B85" s="7">
        <v>84</v>
      </c>
      <c r="C85" s="7">
        <f>'Panel Data (Long Format)'!B85</f>
        <v>17</v>
      </c>
      <c r="D85" s="7" t="str">
        <f>'Panel Data (Long Format)'!C85</f>
        <v>BUACEMENT</v>
      </c>
      <c r="E85" s="8" t="str">
        <f>'Panel Data (Long Format)'!D85</f>
        <v>BUA Cement Plc</v>
      </c>
      <c r="F85" s="7" t="str">
        <f>'Panel Data (Long Format)'!E85</f>
        <v>INDUSTRIAL GOODS</v>
      </c>
      <c r="G85" s="7">
        <f>'Panel Data (Long Format)'!F85</f>
        <v>2024</v>
      </c>
      <c r="H85" s="9">
        <v>1</v>
      </c>
      <c r="I85" s="9">
        <v>0</v>
      </c>
      <c r="J85" s="9">
        <v>1</v>
      </c>
      <c r="K85" s="9">
        <v>0</v>
      </c>
      <c r="L85" s="9">
        <v>0</v>
      </c>
      <c r="M85" s="9">
        <v>0</v>
      </c>
      <c r="N85" s="9">
        <v>1</v>
      </c>
      <c r="O85" s="9">
        <v>0</v>
      </c>
      <c r="P85" s="9">
        <v>0</v>
      </c>
      <c r="Q85" s="9">
        <v>0</v>
      </c>
      <c r="R85" s="9">
        <v>0</v>
      </c>
      <c r="S85" s="9">
        <v>0</v>
      </c>
      <c r="T85" s="9">
        <v>1</v>
      </c>
      <c r="U85" s="9">
        <v>1</v>
      </c>
      <c r="V85" s="9">
        <v>0</v>
      </c>
      <c r="W85" s="9">
        <v>1</v>
      </c>
      <c r="X85" s="9">
        <v>0</v>
      </c>
      <c r="Y85" s="9">
        <v>0</v>
      </c>
      <c r="Z85" s="9">
        <v>0</v>
      </c>
      <c r="AA85" s="9">
        <v>0</v>
      </c>
      <c r="AB85" s="10">
        <f t="shared" si="6"/>
        <v>6</v>
      </c>
      <c r="AC85" s="10">
        <f t="shared" si="7"/>
        <v>30</v>
      </c>
      <c r="AD85" s="9">
        <v>0</v>
      </c>
      <c r="AE85" s="9">
        <v>0</v>
      </c>
      <c r="AF85" s="9">
        <v>0</v>
      </c>
      <c r="AG85" s="9">
        <v>0</v>
      </c>
      <c r="AH85" s="9">
        <v>0</v>
      </c>
      <c r="AI85" s="9">
        <v>0</v>
      </c>
      <c r="AJ85" s="9">
        <v>0</v>
      </c>
      <c r="AK85" s="9">
        <v>0</v>
      </c>
      <c r="AL85" s="9">
        <v>0</v>
      </c>
      <c r="AM85" s="9">
        <v>0</v>
      </c>
      <c r="AN85" s="9">
        <v>0</v>
      </c>
      <c r="AO85" s="9">
        <v>0</v>
      </c>
      <c r="AP85" s="9">
        <v>0</v>
      </c>
      <c r="AQ85" s="9">
        <v>0</v>
      </c>
      <c r="AR85" s="9">
        <v>0</v>
      </c>
      <c r="AS85" s="10">
        <f t="shared" si="8"/>
        <v>0</v>
      </c>
      <c r="AT85" s="10">
        <f t="shared" si="9"/>
        <v>0</v>
      </c>
      <c r="AU85" s="5" t="s">
        <v>223</v>
      </c>
    </row>
    <row r="86" spans="1:47" ht="15" customHeight="1" x14ac:dyDescent="0.3">
      <c r="A86" s="7" t="str">
        <f t="shared" si="5"/>
        <v>17_2025</v>
      </c>
      <c r="B86" s="7">
        <v>85</v>
      </c>
      <c r="C86" s="7">
        <f>'Panel Data (Long Format)'!B86</f>
        <v>17</v>
      </c>
      <c r="D86" s="7" t="str">
        <f>'Panel Data (Long Format)'!C86</f>
        <v>BUACEMENT</v>
      </c>
      <c r="E86" s="8" t="str">
        <f>'Panel Data (Long Format)'!D86</f>
        <v>BUA Cement Plc</v>
      </c>
      <c r="F86" s="7" t="str">
        <f>'Panel Data (Long Format)'!E86</f>
        <v>INDUSTRIAL GOODS</v>
      </c>
      <c r="G86" s="7">
        <f>'Panel Data (Long Format)'!F86</f>
        <v>2025</v>
      </c>
      <c r="H86" s="9">
        <v>0</v>
      </c>
      <c r="I86" s="9">
        <v>0</v>
      </c>
      <c r="J86" s="9">
        <v>0</v>
      </c>
      <c r="K86" s="9">
        <v>0</v>
      </c>
      <c r="L86" s="9">
        <v>0</v>
      </c>
      <c r="M86" s="9">
        <v>0</v>
      </c>
      <c r="N86" s="9">
        <v>0</v>
      </c>
      <c r="O86" s="9">
        <v>0</v>
      </c>
      <c r="P86" s="9">
        <v>0</v>
      </c>
      <c r="Q86" s="9">
        <v>0</v>
      </c>
      <c r="R86" s="9">
        <v>0</v>
      </c>
      <c r="S86" s="9">
        <v>0</v>
      </c>
      <c r="T86" s="9">
        <v>0</v>
      </c>
      <c r="U86" s="9">
        <v>0</v>
      </c>
      <c r="V86" s="9">
        <v>0</v>
      </c>
      <c r="W86" s="9">
        <v>0</v>
      </c>
      <c r="X86" s="9">
        <v>0</v>
      </c>
      <c r="Y86" s="9">
        <v>0</v>
      </c>
      <c r="Z86" s="9">
        <v>0</v>
      </c>
      <c r="AA86" s="9">
        <v>0</v>
      </c>
      <c r="AB86" s="10">
        <f t="shared" si="6"/>
        <v>0</v>
      </c>
      <c r="AC86" s="10">
        <f t="shared" si="7"/>
        <v>0</v>
      </c>
      <c r="AD86" s="9">
        <v>0</v>
      </c>
      <c r="AE86" s="9">
        <v>0</v>
      </c>
      <c r="AF86" s="9">
        <v>0</v>
      </c>
      <c r="AG86" s="9">
        <v>0</v>
      </c>
      <c r="AH86" s="9">
        <v>0</v>
      </c>
      <c r="AI86" s="9">
        <v>0</v>
      </c>
      <c r="AJ86" s="9">
        <v>0</v>
      </c>
      <c r="AK86" s="9">
        <v>0</v>
      </c>
      <c r="AL86" s="9">
        <v>0</v>
      </c>
      <c r="AM86" s="9">
        <v>0</v>
      </c>
      <c r="AN86" s="9">
        <v>0</v>
      </c>
      <c r="AO86" s="9">
        <v>0</v>
      </c>
      <c r="AP86" s="9">
        <v>0</v>
      </c>
      <c r="AQ86" s="9">
        <v>0</v>
      </c>
      <c r="AR86" s="9">
        <v>0</v>
      </c>
      <c r="AS86" s="10">
        <f t="shared" si="8"/>
        <v>0</v>
      </c>
      <c r="AT86" s="10">
        <f t="shared" si="9"/>
        <v>0</v>
      </c>
      <c r="AU86" s="5" t="s">
        <v>224</v>
      </c>
    </row>
    <row r="87" spans="1:47" ht="15" customHeight="1" x14ac:dyDescent="0.3">
      <c r="A87" s="7" t="str">
        <f t="shared" si="5"/>
        <v>18_2021</v>
      </c>
      <c r="B87" s="7">
        <v>86</v>
      </c>
      <c r="C87" s="7">
        <f>'Panel Data (Long Format)'!B87</f>
        <v>18</v>
      </c>
      <c r="D87" s="7" t="str">
        <f>'Panel Data (Long Format)'!C87</f>
        <v>BUAFOODS</v>
      </c>
      <c r="E87" s="8" t="str">
        <f>'Panel Data (Long Format)'!D87</f>
        <v>BUA Foods Plc</v>
      </c>
      <c r="F87" s="7" t="str">
        <f>'Panel Data (Long Format)'!E87</f>
        <v>CONSUMER GOODS</v>
      </c>
      <c r="G87" s="7">
        <f>'Panel Data (Long Format)'!F87</f>
        <v>2021</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10">
        <f t="shared" si="6"/>
        <v>0</v>
      </c>
      <c r="AC87" s="10">
        <f t="shared" si="7"/>
        <v>0</v>
      </c>
      <c r="AD87" s="9">
        <v>0</v>
      </c>
      <c r="AE87" s="9">
        <v>0</v>
      </c>
      <c r="AF87" s="9">
        <v>0</v>
      </c>
      <c r="AG87" s="9">
        <v>0</v>
      </c>
      <c r="AH87" s="9">
        <v>0</v>
      </c>
      <c r="AI87" s="9">
        <v>0</v>
      </c>
      <c r="AJ87" s="9">
        <v>0</v>
      </c>
      <c r="AK87" s="9">
        <v>0</v>
      </c>
      <c r="AL87" s="9">
        <v>0</v>
      </c>
      <c r="AM87" s="9">
        <v>0</v>
      </c>
      <c r="AN87" s="9">
        <v>0</v>
      </c>
      <c r="AO87" s="9">
        <v>0</v>
      </c>
      <c r="AP87" s="9">
        <v>0</v>
      </c>
      <c r="AQ87" s="9">
        <v>0</v>
      </c>
      <c r="AR87" s="9">
        <v>0</v>
      </c>
      <c r="AS87" s="10">
        <f t="shared" si="8"/>
        <v>0</v>
      </c>
      <c r="AT87" s="10">
        <f t="shared" si="9"/>
        <v>0</v>
      </c>
      <c r="AU87" s="5" t="s">
        <v>225</v>
      </c>
    </row>
    <row r="88" spans="1:47" ht="15" customHeight="1" x14ac:dyDescent="0.3">
      <c r="A88" s="7" t="str">
        <f t="shared" si="5"/>
        <v>18_2022</v>
      </c>
      <c r="B88" s="7">
        <v>87</v>
      </c>
      <c r="C88" s="7">
        <f>'Panel Data (Long Format)'!B88</f>
        <v>18</v>
      </c>
      <c r="D88" s="7" t="str">
        <f>'Panel Data (Long Format)'!C88</f>
        <v>BUAFOODS</v>
      </c>
      <c r="E88" s="8" t="str">
        <f>'Panel Data (Long Format)'!D88</f>
        <v>BUA Foods Plc</v>
      </c>
      <c r="F88" s="7" t="str">
        <f>'Panel Data (Long Format)'!E88</f>
        <v>CONSUMER GOODS</v>
      </c>
      <c r="G88" s="7">
        <f>'Panel Data (Long Format)'!F88</f>
        <v>2022</v>
      </c>
      <c r="H88" s="9">
        <v>0</v>
      </c>
      <c r="I88" s="9">
        <v>0</v>
      </c>
      <c r="J88" s="9">
        <v>0</v>
      </c>
      <c r="K88" s="9">
        <v>0</v>
      </c>
      <c r="L88" s="9">
        <v>0</v>
      </c>
      <c r="M88" s="9">
        <v>0</v>
      </c>
      <c r="N88" s="9">
        <v>0</v>
      </c>
      <c r="O88" s="9">
        <v>0</v>
      </c>
      <c r="P88" s="9">
        <v>0</v>
      </c>
      <c r="Q88" s="9">
        <v>0</v>
      </c>
      <c r="R88" s="9">
        <v>0</v>
      </c>
      <c r="S88" s="9">
        <v>0</v>
      </c>
      <c r="T88" s="9">
        <v>0</v>
      </c>
      <c r="U88" s="9">
        <v>0</v>
      </c>
      <c r="V88" s="9">
        <v>0</v>
      </c>
      <c r="W88" s="9">
        <v>1</v>
      </c>
      <c r="X88" s="9">
        <v>0</v>
      </c>
      <c r="Y88" s="9">
        <v>0</v>
      </c>
      <c r="Z88" s="9">
        <v>0</v>
      </c>
      <c r="AA88" s="9">
        <v>0</v>
      </c>
      <c r="AB88" s="10">
        <f t="shared" si="6"/>
        <v>1</v>
      </c>
      <c r="AC88" s="10">
        <f t="shared" si="7"/>
        <v>5</v>
      </c>
      <c r="AD88" s="9">
        <v>0</v>
      </c>
      <c r="AE88" s="9">
        <v>0</v>
      </c>
      <c r="AF88" s="9">
        <v>0</v>
      </c>
      <c r="AG88" s="9">
        <v>0</v>
      </c>
      <c r="AH88" s="9">
        <v>0</v>
      </c>
      <c r="AI88" s="9">
        <v>0</v>
      </c>
      <c r="AJ88" s="9">
        <v>0</v>
      </c>
      <c r="AK88" s="9">
        <v>0</v>
      </c>
      <c r="AL88" s="9">
        <v>0</v>
      </c>
      <c r="AM88" s="9">
        <v>0</v>
      </c>
      <c r="AN88" s="9">
        <v>0</v>
      </c>
      <c r="AO88" s="9">
        <v>0</v>
      </c>
      <c r="AP88" s="9">
        <v>0</v>
      </c>
      <c r="AQ88" s="9">
        <v>0</v>
      </c>
      <c r="AR88" s="9">
        <v>0</v>
      </c>
      <c r="AS88" s="10">
        <f t="shared" si="8"/>
        <v>0</v>
      </c>
      <c r="AT88" s="10">
        <f t="shared" si="9"/>
        <v>0</v>
      </c>
      <c r="AU88" s="5" t="s">
        <v>226</v>
      </c>
    </row>
    <row r="89" spans="1:47" ht="15" customHeight="1" x14ac:dyDescent="0.3">
      <c r="A89" s="7" t="str">
        <f t="shared" si="5"/>
        <v>18_2023</v>
      </c>
      <c r="B89" s="7">
        <v>88</v>
      </c>
      <c r="C89" s="7">
        <f>'Panel Data (Long Format)'!B89</f>
        <v>18</v>
      </c>
      <c r="D89" s="7" t="str">
        <f>'Panel Data (Long Format)'!C89</f>
        <v>BUAFOODS</v>
      </c>
      <c r="E89" s="8" t="str">
        <f>'Panel Data (Long Format)'!D89</f>
        <v>BUA Foods Plc</v>
      </c>
      <c r="F89" s="7" t="str">
        <f>'Panel Data (Long Format)'!E89</f>
        <v>CONSUMER GOODS</v>
      </c>
      <c r="G89" s="7">
        <f>'Panel Data (Long Format)'!F89</f>
        <v>2023</v>
      </c>
      <c r="H89" s="9">
        <v>0</v>
      </c>
      <c r="I89" s="9">
        <v>0</v>
      </c>
      <c r="J89" s="9">
        <v>0</v>
      </c>
      <c r="K89" s="9">
        <v>0</v>
      </c>
      <c r="L89" s="9">
        <v>0</v>
      </c>
      <c r="M89" s="9">
        <v>0</v>
      </c>
      <c r="N89" s="9">
        <v>0</v>
      </c>
      <c r="O89" s="9">
        <v>0</v>
      </c>
      <c r="P89" s="9">
        <v>0</v>
      </c>
      <c r="Q89" s="9">
        <v>0</v>
      </c>
      <c r="R89" s="9">
        <v>0</v>
      </c>
      <c r="S89" s="9">
        <v>0</v>
      </c>
      <c r="T89" s="9">
        <v>0</v>
      </c>
      <c r="U89" s="9">
        <v>0</v>
      </c>
      <c r="V89" s="9">
        <v>0</v>
      </c>
      <c r="W89" s="9">
        <v>1</v>
      </c>
      <c r="X89" s="9">
        <v>0</v>
      </c>
      <c r="Y89" s="9">
        <v>0</v>
      </c>
      <c r="Z89" s="9">
        <v>0</v>
      </c>
      <c r="AA89" s="9">
        <v>0</v>
      </c>
      <c r="AB89" s="10">
        <f t="shared" si="6"/>
        <v>1</v>
      </c>
      <c r="AC89" s="10">
        <f t="shared" si="7"/>
        <v>5</v>
      </c>
      <c r="AD89" s="9">
        <v>0</v>
      </c>
      <c r="AE89" s="9">
        <v>0</v>
      </c>
      <c r="AF89" s="9">
        <v>0</v>
      </c>
      <c r="AG89" s="9">
        <v>0</v>
      </c>
      <c r="AH89" s="9">
        <v>0</v>
      </c>
      <c r="AI89" s="9">
        <v>0</v>
      </c>
      <c r="AJ89" s="9">
        <v>0</v>
      </c>
      <c r="AK89" s="9">
        <v>0</v>
      </c>
      <c r="AL89" s="9">
        <v>0</v>
      </c>
      <c r="AM89" s="9">
        <v>0</v>
      </c>
      <c r="AN89" s="9">
        <v>0</v>
      </c>
      <c r="AO89" s="9">
        <v>0</v>
      </c>
      <c r="AP89" s="9">
        <v>0</v>
      </c>
      <c r="AQ89" s="9">
        <v>0</v>
      </c>
      <c r="AR89" s="9">
        <v>0</v>
      </c>
      <c r="AS89" s="10">
        <f t="shared" si="8"/>
        <v>0</v>
      </c>
      <c r="AT89" s="10">
        <f t="shared" si="9"/>
        <v>0</v>
      </c>
      <c r="AU89" s="5" t="s">
        <v>227</v>
      </c>
    </row>
    <row r="90" spans="1:47" ht="15" customHeight="1" x14ac:dyDescent="0.3">
      <c r="A90" s="7" t="str">
        <f t="shared" si="5"/>
        <v>18_2024</v>
      </c>
      <c r="B90" s="7">
        <v>89</v>
      </c>
      <c r="C90" s="7">
        <f>'Panel Data (Long Format)'!B90</f>
        <v>18</v>
      </c>
      <c r="D90" s="7" t="str">
        <f>'Panel Data (Long Format)'!C90</f>
        <v>BUAFOODS</v>
      </c>
      <c r="E90" s="8" t="str">
        <f>'Panel Data (Long Format)'!D90</f>
        <v>BUA Foods Plc</v>
      </c>
      <c r="F90" s="7" t="str">
        <f>'Panel Data (Long Format)'!E90</f>
        <v>CONSUMER GOODS</v>
      </c>
      <c r="G90" s="7">
        <f>'Panel Data (Long Format)'!F90</f>
        <v>2024</v>
      </c>
      <c r="H90" s="9">
        <v>0</v>
      </c>
      <c r="I90" s="9">
        <v>0</v>
      </c>
      <c r="J90" s="9">
        <v>0</v>
      </c>
      <c r="K90" s="9">
        <v>0</v>
      </c>
      <c r="L90" s="9">
        <v>0</v>
      </c>
      <c r="M90" s="9">
        <v>0</v>
      </c>
      <c r="N90" s="9">
        <v>0</v>
      </c>
      <c r="O90" s="9">
        <v>0</v>
      </c>
      <c r="P90" s="9">
        <v>0</v>
      </c>
      <c r="Q90" s="9">
        <v>0</v>
      </c>
      <c r="R90" s="9">
        <v>0</v>
      </c>
      <c r="S90" s="9">
        <v>0</v>
      </c>
      <c r="T90" s="9">
        <v>0</v>
      </c>
      <c r="U90" s="9">
        <v>0</v>
      </c>
      <c r="V90" s="9">
        <v>0</v>
      </c>
      <c r="W90" s="9">
        <v>1</v>
      </c>
      <c r="X90" s="9">
        <v>0</v>
      </c>
      <c r="Y90" s="9">
        <v>0</v>
      </c>
      <c r="Z90" s="9">
        <v>0</v>
      </c>
      <c r="AA90" s="9">
        <v>0</v>
      </c>
      <c r="AB90" s="10">
        <f t="shared" si="6"/>
        <v>1</v>
      </c>
      <c r="AC90" s="10">
        <f t="shared" si="7"/>
        <v>5</v>
      </c>
      <c r="AD90" s="9">
        <v>0</v>
      </c>
      <c r="AE90" s="9">
        <v>0</v>
      </c>
      <c r="AF90" s="9">
        <v>0</v>
      </c>
      <c r="AG90" s="9">
        <v>0</v>
      </c>
      <c r="AH90" s="9">
        <v>0</v>
      </c>
      <c r="AI90" s="9">
        <v>0</v>
      </c>
      <c r="AJ90" s="9">
        <v>0</v>
      </c>
      <c r="AK90" s="9">
        <v>0</v>
      </c>
      <c r="AL90" s="9">
        <v>0</v>
      </c>
      <c r="AM90" s="9">
        <v>0</v>
      </c>
      <c r="AN90" s="9">
        <v>0</v>
      </c>
      <c r="AO90" s="9">
        <v>0</v>
      </c>
      <c r="AP90" s="9">
        <v>0</v>
      </c>
      <c r="AQ90" s="9">
        <v>0</v>
      </c>
      <c r="AR90" s="9">
        <v>0</v>
      </c>
      <c r="AS90" s="10">
        <f t="shared" si="8"/>
        <v>0</v>
      </c>
      <c r="AT90" s="10">
        <f t="shared" si="9"/>
        <v>0</v>
      </c>
      <c r="AU90" s="5" t="s">
        <v>228</v>
      </c>
    </row>
    <row r="91" spans="1:47" ht="15" customHeight="1" x14ac:dyDescent="0.3">
      <c r="A91" s="7" t="str">
        <f t="shared" si="5"/>
        <v>18_2025</v>
      </c>
      <c r="B91" s="7">
        <v>90</v>
      </c>
      <c r="C91" s="7">
        <f>'Panel Data (Long Format)'!B91</f>
        <v>18</v>
      </c>
      <c r="D91" s="7" t="str">
        <f>'Panel Data (Long Format)'!C91</f>
        <v>BUAFOODS</v>
      </c>
      <c r="E91" s="8" t="str">
        <f>'Panel Data (Long Format)'!D91</f>
        <v>BUA Foods Plc</v>
      </c>
      <c r="F91" s="7" t="str">
        <f>'Panel Data (Long Format)'!E91</f>
        <v>CONSUMER GOODS</v>
      </c>
      <c r="G91" s="7">
        <f>'Panel Data (Long Format)'!F91</f>
        <v>2025</v>
      </c>
      <c r="H91" s="9">
        <v>0</v>
      </c>
      <c r="I91" s="9">
        <v>0</v>
      </c>
      <c r="J91" s="9">
        <v>0</v>
      </c>
      <c r="K91" s="9">
        <v>0</v>
      </c>
      <c r="L91" s="9">
        <v>0</v>
      </c>
      <c r="M91" s="9">
        <v>0</v>
      </c>
      <c r="N91" s="9">
        <v>0</v>
      </c>
      <c r="O91" s="9">
        <v>0</v>
      </c>
      <c r="P91" s="9">
        <v>0</v>
      </c>
      <c r="Q91" s="9">
        <v>0</v>
      </c>
      <c r="R91" s="9">
        <v>0</v>
      </c>
      <c r="S91" s="9">
        <v>0</v>
      </c>
      <c r="T91" s="9">
        <v>0</v>
      </c>
      <c r="U91" s="9">
        <v>0</v>
      </c>
      <c r="V91" s="9">
        <v>0</v>
      </c>
      <c r="W91" s="9">
        <v>0</v>
      </c>
      <c r="X91" s="9">
        <v>0</v>
      </c>
      <c r="Y91" s="9">
        <v>0</v>
      </c>
      <c r="Z91" s="9">
        <v>0</v>
      </c>
      <c r="AA91" s="9">
        <v>0</v>
      </c>
      <c r="AB91" s="10">
        <f t="shared" si="6"/>
        <v>0</v>
      </c>
      <c r="AC91" s="10">
        <f t="shared" si="7"/>
        <v>0</v>
      </c>
      <c r="AD91" s="9">
        <v>0</v>
      </c>
      <c r="AE91" s="9">
        <v>0</v>
      </c>
      <c r="AF91" s="9">
        <v>0</v>
      </c>
      <c r="AG91" s="9">
        <v>0</v>
      </c>
      <c r="AH91" s="9">
        <v>0</v>
      </c>
      <c r="AI91" s="9">
        <v>0</v>
      </c>
      <c r="AJ91" s="9">
        <v>0</v>
      </c>
      <c r="AK91" s="9">
        <v>0</v>
      </c>
      <c r="AL91" s="9">
        <v>0</v>
      </c>
      <c r="AM91" s="9">
        <v>0</v>
      </c>
      <c r="AN91" s="9">
        <v>0</v>
      </c>
      <c r="AO91" s="9">
        <v>0</v>
      </c>
      <c r="AP91" s="9">
        <v>0</v>
      </c>
      <c r="AQ91" s="9">
        <v>0</v>
      </c>
      <c r="AR91" s="9">
        <v>0</v>
      </c>
      <c r="AS91" s="10">
        <f t="shared" si="8"/>
        <v>0</v>
      </c>
      <c r="AT91" s="10">
        <f t="shared" si="9"/>
        <v>0</v>
      </c>
      <c r="AU91" s="5" t="s">
        <v>229</v>
      </c>
    </row>
    <row r="92" spans="1:47" ht="15" customHeight="1" x14ac:dyDescent="0.3">
      <c r="A92" s="7" t="str">
        <f t="shared" si="5"/>
        <v>19_2021</v>
      </c>
      <c r="B92" s="7">
        <v>91</v>
      </c>
      <c r="C92" s="7">
        <f>'Panel Data (Long Format)'!B92</f>
        <v>19</v>
      </c>
      <c r="D92" s="7" t="str">
        <f>'Panel Data (Long Format)'!C92</f>
        <v>CADBURY</v>
      </c>
      <c r="E92" s="8" t="str">
        <f>'Panel Data (Long Format)'!D92</f>
        <v>Cadbury Nigeria Plc</v>
      </c>
      <c r="F92" s="7" t="str">
        <f>'Panel Data (Long Format)'!E92</f>
        <v>CONSUMER GOODS</v>
      </c>
      <c r="G92" s="7">
        <f>'Panel Data (Long Format)'!F92</f>
        <v>2021</v>
      </c>
      <c r="H92" s="9">
        <v>1</v>
      </c>
      <c r="I92" s="9">
        <v>0</v>
      </c>
      <c r="J92" s="9">
        <v>1</v>
      </c>
      <c r="K92" s="9">
        <v>0</v>
      </c>
      <c r="L92" s="9">
        <v>0</v>
      </c>
      <c r="M92" s="9">
        <v>0</v>
      </c>
      <c r="N92" s="9">
        <v>0</v>
      </c>
      <c r="O92" s="9">
        <v>0</v>
      </c>
      <c r="P92" s="9">
        <v>0</v>
      </c>
      <c r="Q92" s="9">
        <v>0</v>
      </c>
      <c r="R92" s="9">
        <v>0</v>
      </c>
      <c r="S92" s="9">
        <v>0</v>
      </c>
      <c r="T92" s="9">
        <v>0</v>
      </c>
      <c r="U92" s="9">
        <v>0</v>
      </c>
      <c r="V92" s="9">
        <v>0</v>
      </c>
      <c r="W92" s="9">
        <v>0</v>
      </c>
      <c r="X92" s="9">
        <v>0</v>
      </c>
      <c r="Y92" s="9">
        <v>0</v>
      </c>
      <c r="Z92" s="9">
        <v>0</v>
      </c>
      <c r="AA92" s="9">
        <v>0</v>
      </c>
      <c r="AB92" s="10">
        <f t="shared" si="6"/>
        <v>2</v>
      </c>
      <c r="AC92" s="10">
        <f t="shared" si="7"/>
        <v>10</v>
      </c>
      <c r="AD92" s="9">
        <v>0</v>
      </c>
      <c r="AE92" s="9">
        <v>0</v>
      </c>
      <c r="AF92" s="9">
        <v>0</v>
      </c>
      <c r="AG92" s="9">
        <v>0</v>
      </c>
      <c r="AH92" s="9">
        <v>0</v>
      </c>
      <c r="AI92" s="9">
        <v>0</v>
      </c>
      <c r="AJ92" s="9">
        <v>0</v>
      </c>
      <c r="AK92" s="9">
        <v>0</v>
      </c>
      <c r="AL92" s="9">
        <v>0</v>
      </c>
      <c r="AM92" s="9">
        <v>0</v>
      </c>
      <c r="AN92" s="9">
        <v>0</v>
      </c>
      <c r="AO92" s="9">
        <v>0</v>
      </c>
      <c r="AP92" s="9">
        <v>0</v>
      </c>
      <c r="AQ92" s="9">
        <v>0</v>
      </c>
      <c r="AR92" s="9">
        <v>0</v>
      </c>
      <c r="AS92" s="10">
        <f t="shared" si="8"/>
        <v>0</v>
      </c>
      <c r="AT92" s="10">
        <f t="shared" si="9"/>
        <v>0</v>
      </c>
      <c r="AU92" s="5" t="s">
        <v>230</v>
      </c>
    </row>
    <row r="93" spans="1:47" ht="15" customHeight="1" x14ac:dyDescent="0.3">
      <c r="A93" s="7" t="str">
        <f t="shared" si="5"/>
        <v>19_2022</v>
      </c>
      <c r="B93" s="7">
        <v>92</v>
      </c>
      <c r="C93" s="7">
        <f>'Panel Data (Long Format)'!B93</f>
        <v>19</v>
      </c>
      <c r="D93" s="7" t="str">
        <f>'Panel Data (Long Format)'!C93</f>
        <v>CADBURY</v>
      </c>
      <c r="E93" s="8" t="str">
        <f>'Panel Data (Long Format)'!D93</f>
        <v>Cadbury Nigeria Plc</v>
      </c>
      <c r="F93" s="7" t="str">
        <f>'Panel Data (Long Format)'!E93</f>
        <v>CONSUMER GOODS</v>
      </c>
      <c r="G93" s="7">
        <f>'Panel Data (Long Format)'!F93</f>
        <v>2022</v>
      </c>
      <c r="H93" s="9">
        <v>0</v>
      </c>
      <c r="I93" s="9">
        <v>0</v>
      </c>
      <c r="J93" s="9">
        <v>0</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10">
        <f t="shared" si="6"/>
        <v>0</v>
      </c>
      <c r="AC93" s="10">
        <f t="shared" si="7"/>
        <v>0</v>
      </c>
      <c r="AD93" s="9">
        <v>0</v>
      </c>
      <c r="AE93" s="9">
        <v>0</v>
      </c>
      <c r="AF93" s="9">
        <v>0</v>
      </c>
      <c r="AG93" s="9">
        <v>0</v>
      </c>
      <c r="AH93" s="9">
        <v>0</v>
      </c>
      <c r="AI93" s="9">
        <v>0</v>
      </c>
      <c r="AJ93" s="9">
        <v>0</v>
      </c>
      <c r="AK93" s="9">
        <v>0</v>
      </c>
      <c r="AL93" s="9">
        <v>0</v>
      </c>
      <c r="AM93" s="9">
        <v>0</v>
      </c>
      <c r="AN93" s="9">
        <v>0</v>
      </c>
      <c r="AO93" s="9">
        <v>0</v>
      </c>
      <c r="AP93" s="9">
        <v>0</v>
      </c>
      <c r="AQ93" s="9">
        <v>0</v>
      </c>
      <c r="AR93" s="9">
        <v>0</v>
      </c>
      <c r="AS93" s="10">
        <f t="shared" si="8"/>
        <v>0</v>
      </c>
      <c r="AT93" s="10">
        <f t="shared" si="9"/>
        <v>0</v>
      </c>
      <c r="AU93" s="5" t="s">
        <v>231</v>
      </c>
    </row>
    <row r="94" spans="1:47" ht="15" customHeight="1" x14ac:dyDescent="0.3">
      <c r="A94" s="7" t="str">
        <f t="shared" si="5"/>
        <v>19_2023</v>
      </c>
      <c r="B94" s="7">
        <v>93</v>
      </c>
      <c r="C94" s="7">
        <f>'Panel Data (Long Format)'!B94</f>
        <v>19</v>
      </c>
      <c r="D94" s="7" t="str">
        <f>'Panel Data (Long Format)'!C94</f>
        <v>CADBURY</v>
      </c>
      <c r="E94" s="8" t="str">
        <f>'Panel Data (Long Format)'!D94</f>
        <v>Cadbury Nigeria Plc</v>
      </c>
      <c r="F94" s="7" t="str">
        <f>'Panel Data (Long Format)'!E94</f>
        <v>CONSUMER GOODS</v>
      </c>
      <c r="G94" s="7">
        <f>'Panel Data (Long Format)'!F94</f>
        <v>2023</v>
      </c>
      <c r="H94" s="9">
        <v>0</v>
      </c>
      <c r="I94" s="9">
        <v>0</v>
      </c>
      <c r="J94" s="9">
        <v>0</v>
      </c>
      <c r="K94" s="9">
        <v>0</v>
      </c>
      <c r="L94" s="9">
        <v>0</v>
      </c>
      <c r="M94" s="9">
        <v>0</v>
      </c>
      <c r="N94" s="9">
        <v>0</v>
      </c>
      <c r="O94" s="9">
        <v>0</v>
      </c>
      <c r="P94" s="9">
        <v>0</v>
      </c>
      <c r="Q94" s="9">
        <v>0</v>
      </c>
      <c r="R94" s="9">
        <v>0</v>
      </c>
      <c r="S94" s="9">
        <v>0</v>
      </c>
      <c r="T94" s="9">
        <v>0</v>
      </c>
      <c r="U94" s="9">
        <v>0</v>
      </c>
      <c r="V94" s="9">
        <v>0</v>
      </c>
      <c r="W94" s="9">
        <v>1</v>
      </c>
      <c r="X94" s="9">
        <v>1</v>
      </c>
      <c r="Y94" s="9">
        <v>1</v>
      </c>
      <c r="Z94" s="9">
        <v>0</v>
      </c>
      <c r="AA94" s="9">
        <v>1</v>
      </c>
      <c r="AB94" s="10">
        <f t="shared" si="6"/>
        <v>4</v>
      </c>
      <c r="AC94" s="10">
        <f t="shared" si="7"/>
        <v>20</v>
      </c>
      <c r="AD94" s="9">
        <v>0</v>
      </c>
      <c r="AE94" s="9">
        <v>0</v>
      </c>
      <c r="AF94" s="9">
        <v>0</v>
      </c>
      <c r="AG94" s="9">
        <v>0</v>
      </c>
      <c r="AH94" s="9">
        <v>0</v>
      </c>
      <c r="AI94" s="9">
        <v>0</v>
      </c>
      <c r="AJ94" s="9">
        <v>0</v>
      </c>
      <c r="AK94" s="9">
        <v>0</v>
      </c>
      <c r="AL94" s="9">
        <v>0</v>
      </c>
      <c r="AM94" s="9">
        <v>0</v>
      </c>
      <c r="AN94" s="9">
        <v>0</v>
      </c>
      <c r="AO94" s="9">
        <v>0</v>
      </c>
      <c r="AP94" s="9">
        <v>0</v>
      </c>
      <c r="AQ94" s="9">
        <v>0</v>
      </c>
      <c r="AR94" s="9">
        <v>0</v>
      </c>
      <c r="AS94" s="10">
        <f t="shared" si="8"/>
        <v>0</v>
      </c>
      <c r="AT94" s="10">
        <f t="shared" si="9"/>
        <v>0</v>
      </c>
      <c r="AU94" s="5" t="s">
        <v>232</v>
      </c>
    </row>
    <row r="95" spans="1:47" ht="15" customHeight="1" x14ac:dyDescent="0.3">
      <c r="A95" s="7" t="str">
        <f t="shared" si="5"/>
        <v>19_2024</v>
      </c>
      <c r="B95" s="7">
        <v>94</v>
      </c>
      <c r="C95" s="7">
        <f>'Panel Data (Long Format)'!B95</f>
        <v>19</v>
      </c>
      <c r="D95" s="7" t="str">
        <f>'Panel Data (Long Format)'!C95</f>
        <v>CADBURY</v>
      </c>
      <c r="E95" s="8" t="str">
        <f>'Panel Data (Long Format)'!D95</f>
        <v>Cadbury Nigeria Plc</v>
      </c>
      <c r="F95" s="7" t="str">
        <f>'Panel Data (Long Format)'!E95</f>
        <v>CONSUMER GOODS</v>
      </c>
      <c r="G95" s="7">
        <f>'Panel Data (Long Format)'!F95</f>
        <v>2024</v>
      </c>
      <c r="H95" s="9">
        <v>1</v>
      </c>
      <c r="I95" s="9">
        <v>0</v>
      </c>
      <c r="J95" s="9">
        <v>1</v>
      </c>
      <c r="K95" s="9">
        <v>0</v>
      </c>
      <c r="L95" s="9">
        <v>0</v>
      </c>
      <c r="M95" s="9">
        <v>0</v>
      </c>
      <c r="N95" s="9">
        <v>0</v>
      </c>
      <c r="O95" s="9">
        <v>0</v>
      </c>
      <c r="P95" s="9">
        <v>0</v>
      </c>
      <c r="Q95" s="9">
        <v>0</v>
      </c>
      <c r="R95" s="9">
        <v>0</v>
      </c>
      <c r="S95" s="9">
        <v>0</v>
      </c>
      <c r="T95" s="9">
        <v>0</v>
      </c>
      <c r="U95" s="9">
        <v>0</v>
      </c>
      <c r="V95" s="9">
        <v>0</v>
      </c>
      <c r="W95" s="9">
        <v>0</v>
      </c>
      <c r="X95" s="9">
        <v>0</v>
      </c>
      <c r="Y95" s="9">
        <v>0</v>
      </c>
      <c r="Z95" s="9">
        <v>0</v>
      </c>
      <c r="AA95" s="9">
        <v>0</v>
      </c>
      <c r="AB95" s="10">
        <f t="shared" si="6"/>
        <v>2</v>
      </c>
      <c r="AC95" s="10">
        <f t="shared" si="7"/>
        <v>10</v>
      </c>
      <c r="AD95" s="9">
        <v>0</v>
      </c>
      <c r="AE95" s="9">
        <v>0</v>
      </c>
      <c r="AF95" s="9">
        <v>0</v>
      </c>
      <c r="AG95" s="9">
        <v>0</v>
      </c>
      <c r="AH95" s="9">
        <v>0</v>
      </c>
      <c r="AI95" s="9">
        <v>0</v>
      </c>
      <c r="AJ95" s="9">
        <v>0</v>
      </c>
      <c r="AK95" s="9">
        <v>0</v>
      </c>
      <c r="AL95" s="9">
        <v>0</v>
      </c>
      <c r="AM95" s="9">
        <v>0</v>
      </c>
      <c r="AN95" s="9">
        <v>0</v>
      </c>
      <c r="AO95" s="9">
        <v>0</v>
      </c>
      <c r="AP95" s="9">
        <v>0</v>
      </c>
      <c r="AQ95" s="9">
        <v>0</v>
      </c>
      <c r="AR95" s="9">
        <v>0</v>
      </c>
      <c r="AS95" s="10">
        <f t="shared" si="8"/>
        <v>0</v>
      </c>
      <c r="AT95" s="10">
        <f t="shared" si="9"/>
        <v>0</v>
      </c>
      <c r="AU95" s="5" t="s">
        <v>233</v>
      </c>
    </row>
    <row r="96" spans="1:47" ht="15" customHeight="1" x14ac:dyDescent="0.3">
      <c r="A96" s="7" t="str">
        <f t="shared" si="5"/>
        <v>19_2025</v>
      </c>
      <c r="B96" s="7">
        <v>95</v>
      </c>
      <c r="C96" s="7">
        <f>'Panel Data (Long Format)'!B96</f>
        <v>19</v>
      </c>
      <c r="D96" s="7" t="str">
        <f>'Panel Data (Long Format)'!C96</f>
        <v>CADBURY</v>
      </c>
      <c r="E96" s="8" t="str">
        <f>'Panel Data (Long Format)'!D96</f>
        <v>Cadbury Nigeria Plc</v>
      </c>
      <c r="F96" s="7" t="str">
        <f>'Panel Data (Long Format)'!E96</f>
        <v>CONSUMER GOODS</v>
      </c>
      <c r="G96" s="7">
        <f>'Panel Data (Long Format)'!F96</f>
        <v>2025</v>
      </c>
      <c r="H96" s="9">
        <v>1</v>
      </c>
      <c r="I96" s="9">
        <v>1</v>
      </c>
      <c r="J96" s="9">
        <v>1</v>
      </c>
      <c r="K96" s="9">
        <v>0</v>
      </c>
      <c r="L96" s="9">
        <v>0</v>
      </c>
      <c r="M96" s="9">
        <v>0</v>
      </c>
      <c r="N96" s="9">
        <v>1</v>
      </c>
      <c r="O96" s="9">
        <v>0</v>
      </c>
      <c r="P96" s="9">
        <v>0</v>
      </c>
      <c r="Q96" s="9">
        <v>0</v>
      </c>
      <c r="R96" s="9">
        <v>1</v>
      </c>
      <c r="S96" s="9">
        <v>0</v>
      </c>
      <c r="T96" s="9">
        <v>1</v>
      </c>
      <c r="U96" s="9">
        <v>0</v>
      </c>
      <c r="V96" s="9">
        <v>0</v>
      </c>
      <c r="W96" s="9">
        <v>1</v>
      </c>
      <c r="X96" s="9">
        <v>1</v>
      </c>
      <c r="Y96" s="9">
        <v>1</v>
      </c>
      <c r="Z96" s="9">
        <v>0</v>
      </c>
      <c r="AA96" s="9">
        <v>1</v>
      </c>
      <c r="AB96" s="10">
        <f t="shared" si="6"/>
        <v>10</v>
      </c>
      <c r="AC96" s="10">
        <f t="shared" si="7"/>
        <v>50</v>
      </c>
      <c r="AD96" s="9">
        <v>0</v>
      </c>
      <c r="AE96" s="9">
        <v>0</v>
      </c>
      <c r="AF96" s="9">
        <v>0</v>
      </c>
      <c r="AG96" s="9">
        <v>0</v>
      </c>
      <c r="AH96" s="9">
        <v>0</v>
      </c>
      <c r="AI96" s="9">
        <v>0</v>
      </c>
      <c r="AJ96" s="9">
        <v>1</v>
      </c>
      <c r="AK96" s="9">
        <v>0</v>
      </c>
      <c r="AL96" s="9">
        <v>0</v>
      </c>
      <c r="AM96" s="9">
        <v>0</v>
      </c>
      <c r="AN96" s="9">
        <v>0</v>
      </c>
      <c r="AO96" s="9">
        <v>0</v>
      </c>
      <c r="AP96" s="9">
        <v>1</v>
      </c>
      <c r="AQ96" s="9">
        <v>1</v>
      </c>
      <c r="AR96" s="9">
        <v>0</v>
      </c>
      <c r="AS96" s="10">
        <f t="shared" si="8"/>
        <v>3</v>
      </c>
      <c r="AT96" s="10">
        <f t="shared" si="9"/>
        <v>20</v>
      </c>
      <c r="AU96" s="5" t="s">
        <v>234</v>
      </c>
    </row>
    <row r="97" spans="1:47" ht="15" customHeight="1" x14ac:dyDescent="0.3">
      <c r="A97" s="7" t="str">
        <f t="shared" si="5"/>
        <v>20_2021</v>
      </c>
      <c r="B97" s="7">
        <v>96</v>
      </c>
      <c r="C97" s="7">
        <f>'Panel Data (Long Format)'!B97</f>
        <v>20</v>
      </c>
      <c r="D97" s="7" t="str">
        <f>'Panel Data (Long Format)'!C97</f>
        <v>CAP</v>
      </c>
      <c r="E97" s="8" t="str">
        <f>'Panel Data (Long Format)'!D97</f>
        <v>Chemical and Allied Products Plc</v>
      </c>
      <c r="F97" s="7" t="str">
        <f>'Panel Data (Long Format)'!E97</f>
        <v>INDUSTRIAL GOODS</v>
      </c>
      <c r="G97" s="7">
        <f>'Panel Data (Long Format)'!F97</f>
        <v>2021</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10">
        <f t="shared" si="6"/>
        <v>0</v>
      </c>
      <c r="AC97" s="10">
        <f t="shared" si="7"/>
        <v>0</v>
      </c>
      <c r="AD97" s="9">
        <v>0</v>
      </c>
      <c r="AE97" s="9">
        <v>0</v>
      </c>
      <c r="AF97" s="9">
        <v>0</v>
      </c>
      <c r="AG97" s="9">
        <v>0</v>
      </c>
      <c r="AH97" s="9">
        <v>0</v>
      </c>
      <c r="AI97" s="9">
        <v>0</v>
      </c>
      <c r="AJ97" s="9">
        <v>0</v>
      </c>
      <c r="AK97" s="9">
        <v>0</v>
      </c>
      <c r="AL97" s="9">
        <v>0</v>
      </c>
      <c r="AM97" s="9">
        <v>0</v>
      </c>
      <c r="AN97" s="9">
        <v>0</v>
      </c>
      <c r="AO97" s="9">
        <v>0</v>
      </c>
      <c r="AP97" s="9">
        <v>0</v>
      </c>
      <c r="AQ97" s="9">
        <v>0</v>
      </c>
      <c r="AR97" s="9">
        <v>0</v>
      </c>
      <c r="AS97" s="10">
        <f t="shared" si="8"/>
        <v>0</v>
      </c>
      <c r="AT97" s="10">
        <f t="shared" si="9"/>
        <v>0</v>
      </c>
      <c r="AU97" s="5" t="s">
        <v>235</v>
      </c>
    </row>
    <row r="98" spans="1:47" ht="15" customHeight="1" x14ac:dyDescent="0.3">
      <c r="A98" s="7" t="str">
        <f t="shared" si="5"/>
        <v>20_2022</v>
      </c>
      <c r="B98" s="7">
        <v>97</v>
      </c>
      <c r="C98" s="7">
        <f>'Panel Data (Long Format)'!B98</f>
        <v>20</v>
      </c>
      <c r="D98" s="7" t="str">
        <f>'Panel Data (Long Format)'!C98</f>
        <v>CAP</v>
      </c>
      <c r="E98" s="8" t="str">
        <f>'Panel Data (Long Format)'!D98</f>
        <v>Chemical and Allied Products Plc</v>
      </c>
      <c r="F98" s="7" t="str">
        <f>'Panel Data (Long Format)'!E98</f>
        <v>INDUSTRIAL GOODS</v>
      </c>
      <c r="G98" s="7">
        <f>'Panel Data (Long Format)'!F98</f>
        <v>2022</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10">
        <f t="shared" si="6"/>
        <v>0</v>
      </c>
      <c r="AC98" s="10">
        <f t="shared" si="7"/>
        <v>0</v>
      </c>
      <c r="AD98" s="9">
        <v>0</v>
      </c>
      <c r="AE98" s="9">
        <v>0</v>
      </c>
      <c r="AF98" s="9">
        <v>0</v>
      </c>
      <c r="AG98" s="9">
        <v>0</v>
      </c>
      <c r="AH98" s="9">
        <v>0</v>
      </c>
      <c r="AI98" s="9">
        <v>0</v>
      </c>
      <c r="AJ98" s="9">
        <v>0</v>
      </c>
      <c r="AK98" s="9">
        <v>0</v>
      </c>
      <c r="AL98" s="9">
        <v>0</v>
      </c>
      <c r="AM98" s="9">
        <v>0</v>
      </c>
      <c r="AN98" s="9">
        <v>0</v>
      </c>
      <c r="AO98" s="9">
        <v>0</v>
      </c>
      <c r="AP98" s="9">
        <v>0</v>
      </c>
      <c r="AQ98" s="9">
        <v>0</v>
      </c>
      <c r="AR98" s="9">
        <v>0</v>
      </c>
      <c r="AS98" s="10">
        <f t="shared" si="8"/>
        <v>0</v>
      </c>
      <c r="AT98" s="10">
        <f t="shared" si="9"/>
        <v>0</v>
      </c>
      <c r="AU98" s="5" t="s">
        <v>236</v>
      </c>
    </row>
    <row r="99" spans="1:47" ht="15" customHeight="1" x14ac:dyDescent="0.3">
      <c r="A99" s="7" t="str">
        <f t="shared" si="5"/>
        <v>20_2023</v>
      </c>
      <c r="B99" s="7">
        <v>98</v>
      </c>
      <c r="C99" s="7">
        <f>'Panel Data (Long Format)'!B99</f>
        <v>20</v>
      </c>
      <c r="D99" s="7" t="str">
        <f>'Panel Data (Long Format)'!C99</f>
        <v>CAP</v>
      </c>
      <c r="E99" s="8" t="str">
        <f>'Panel Data (Long Format)'!D99</f>
        <v>Chemical and Allied Products Plc</v>
      </c>
      <c r="F99" s="7" t="str">
        <f>'Panel Data (Long Format)'!E99</f>
        <v>INDUSTRIAL GOODS</v>
      </c>
      <c r="G99" s="7">
        <f>'Panel Data (Long Format)'!F99</f>
        <v>2023</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10">
        <f t="shared" si="6"/>
        <v>0</v>
      </c>
      <c r="AC99" s="10">
        <f t="shared" si="7"/>
        <v>0</v>
      </c>
      <c r="AD99" s="9">
        <v>0</v>
      </c>
      <c r="AE99" s="9">
        <v>0</v>
      </c>
      <c r="AF99" s="9">
        <v>0</v>
      </c>
      <c r="AG99" s="9">
        <v>0</v>
      </c>
      <c r="AH99" s="9">
        <v>0</v>
      </c>
      <c r="AI99" s="9">
        <v>0</v>
      </c>
      <c r="AJ99" s="9">
        <v>0</v>
      </c>
      <c r="AK99" s="9">
        <v>0</v>
      </c>
      <c r="AL99" s="9">
        <v>0</v>
      </c>
      <c r="AM99" s="9">
        <v>0</v>
      </c>
      <c r="AN99" s="9">
        <v>0</v>
      </c>
      <c r="AO99" s="9">
        <v>0</v>
      </c>
      <c r="AP99" s="9">
        <v>0</v>
      </c>
      <c r="AQ99" s="9">
        <v>0</v>
      </c>
      <c r="AR99" s="9">
        <v>0</v>
      </c>
      <c r="AS99" s="10">
        <f t="shared" si="8"/>
        <v>0</v>
      </c>
      <c r="AT99" s="10">
        <f t="shared" si="9"/>
        <v>0</v>
      </c>
      <c r="AU99" s="5" t="s">
        <v>237</v>
      </c>
    </row>
    <row r="100" spans="1:47" ht="15" customHeight="1" x14ac:dyDescent="0.3">
      <c r="A100" s="7" t="str">
        <f t="shared" si="5"/>
        <v>20_2024</v>
      </c>
      <c r="B100" s="7">
        <v>99</v>
      </c>
      <c r="C100" s="7">
        <f>'Panel Data (Long Format)'!B100</f>
        <v>20</v>
      </c>
      <c r="D100" s="7" t="str">
        <f>'Panel Data (Long Format)'!C100</f>
        <v>CAP</v>
      </c>
      <c r="E100" s="8" t="str">
        <f>'Panel Data (Long Format)'!D100</f>
        <v>Chemical and Allied Products Plc</v>
      </c>
      <c r="F100" s="7" t="str">
        <f>'Panel Data (Long Format)'!E100</f>
        <v>INDUSTRIAL GOODS</v>
      </c>
      <c r="G100" s="7">
        <f>'Panel Data (Long Format)'!F100</f>
        <v>2024</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10">
        <f t="shared" si="6"/>
        <v>0</v>
      </c>
      <c r="AC100" s="10">
        <f t="shared" si="7"/>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10">
        <f t="shared" si="8"/>
        <v>0</v>
      </c>
      <c r="AT100" s="10">
        <f t="shared" si="9"/>
        <v>0</v>
      </c>
      <c r="AU100" s="5" t="s">
        <v>238</v>
      </c>
    </row>
    <row r="101" spans="1:47" ht="15" customHeight="1" x14ac:dyDescent="0.3">
      <c r="A101" s="7" t="str">
        <f t="shared" si="5"/>
        <v>20_2025</v>
      </c>
      <c r="B101" s="7">
        <v>100</v>
      </c>
      <c r="C101" s="7">
        <f>'Panel Data (Long Format)'!B101</f>
        <v>20</v>
      </c>
      <c r="D101" s="7" t="str">
        <f>'Panel Data (Long Format)'!C101</f>
        <v>CAP</v>
      </c>
      <c r="E101" s="8" t="str">
        <f>'Panel Data (Long Format)'!D101</f>
        <v>Chemical and Allied Products Plc</v>
      </c>
      <c r="F101" s="7" t="str">
        <f>'Panel Data (Long Format)'!E101</f>
        <v>INDUSTRIAL GOODS</v>
      </c>
      <c r="G101" s="7">
        <f>'Panel Data (Long Format)'!F101</f>
        <v>2025</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10">
        <f t="shared" si="6"/>
        <v>0</v>
      </c>
      <c r="AC101" s="10">
        <f t="shared" si="7"/>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10">
        <f t="shared" si="8"/>
        <v>0</v>
      </c>
      <c r="AT101" s="10">
        <f t="shared" si="9"/>
        <v>0</v>
      </c>
      <c r="AU101" s="5" t="s">
        <v>239</v>
      </c>
    </row>
    <row r="102" spans="1:47" ht="15" customHeight="1" x14ac:dyDescent="0.3">
      <c r="A102" s="7" t="str">
        <f t="shared" si="5"/>
        <v>21_2021</v>
      </c>
      <c r="B102" s="7">
        <v>101</v>
      </c>
      <c r="C102" s="7">
        <f>'Panel Data (Long Format)'!B102</f>
        <v>21</v>
      </c>
      <c r="D102" s="7" t="str">
        <f>'Panel Data (Long Format)'!C102</f>
        <v>CAVERTON</v>
      </c>
      <c r="E102" s="8" t="str">
        <f>'Panel Data (Long Format)'!D102</f>
        <v>Caverton Offshore Support Group Plc</v>
      </c>
      <c r="F102" s="7" t="str">
        <f>'Panel Data (Long Format)'!E102</f>
        <v>SERVICES</v>
      </c>
      <c r="G102" s="7">
        <f>'Panel Data (Long Format)'!F102</f>
        <v>2021</v>
      </c>
      <c r="H102" s="9">
        <v>1</v>
      </c>
      <c r="I102" s="9">
        <v>0</v>
      </c>
      <c r="J102" s="9">
        <v>1</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10">
        <f t="shared" si="6"/>
        <v>2</v>
      </c>
      <c r="AC102" s="10">
        <f t="shared" si="7"/>
        <v>10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10">
        <f t="shared" si="8"/>
        <v>0</v>
      </c>
      <c r="AT102" s="10">
        <f t="shared" si="9"/>
        <v>0</v>
      </c>
      <c r="AU102" s="5" t="s">
        <v>240</v>
      </c>
    </row>
    <row r="103" spans="1:47" ht="15" customHeight="1" x14ac:dyDescent="0.3">
      <c r="A103" s="7" t="str">
        <f t="shared" si="5"/>
        <v>21_2022</v>
      </c>
      <c r="B103" s="7">
        <v>102</v>
      </c>
      <c r="C103" s="7">
        <f>'Panel Data (Long Format)'!B103</f>
        <v>21</v>
      </c>
      <c r="D103" s="7" t="str">
        <f>'Panel Data (Long Format)'!C103</f>
        <v>CAVERTON</v>
      </c>
      <c r="E103" s="8" t="str">
        <f>'Panel Data (Long Format)'!D103</f>
        <v>Caverton Offshore Support Group Plc</v>
      </c>
      <c r="F103" s="7" t="str">
        <f>'Panel Data (Long Format)'!E103</f>
        <v>SERVICES</v>
      </c>
      <c r="G103" s="7">
        <f>'Panel Data (Long Format)'!F103</f>
        <v>2022</v>
      </c>
      <c r="H103" s="9">
        <v>1</v>
      </c>
      <c r="I103" s="9">
        <v>0</v>
      </c>
      <c r="J103" s="9">
        <v>1</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10">
        <f t="shared" si="6"/>
        <v>2</v>
      </c>
      <c r="AC103" s="10">
        <f t="shared" si="7"/>
        <v>10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10">
        <f t="shared" si="8"/>
        <v>0</v>
      </c>
      <c r="AT103" s="10">
        <f t="shared" si="9"/>
        <v>0</v>
      </c>
      <c r="AU103" s="5" t="s">
        <v>241</v>
      </c>
    </row>
    <row r="104" spans="1:47" ht="15" customHeight="1" x14ac:dyDescent="0.3">
      <c r="A104" s="7" t="str">
        <f t="shared" si="5"/>
        <v>21_2023</v>
      </c>
      <c r="B104" s="7">
        <v>103</v>
      </c>
      <c r="C104" s="7">
        <f>'Panel Data (Long Format)'!B104</f>
        <v>21</v>
      </c>
      <c r="D104" s="7" t="str">
        <f>'Panel Data (Long Format)'!C104</f>
        <v>CAVERTON</v>
      </c>
      <c r="E104" s="8" t="str">
        <f>'Panel Data (Long Format)'!D104</f>
        <v>Caverton Offshore Support Group Plc</v>
      </c>
      <c r="F104" s="7" t="str">
        <f>'Panel Data (Long Format)'!E104</f>
        <v>SERVICES</v>
      </c>
      <c r="G104" s="7">
        <f>'Panel Data (Long Format)'!F104</f>
        <v>2023</v>
      </c>
      <c r="H104" s="9">
        <v>1</v>
      </c>
      <c r="I104" s="9">
        <v>0</v>
      </c>
      <c r="J104" s="9">
        <v>1</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10">
        <f t="shared" si="6"/>
        <v>2</v>
      </c>
      <c r="AC104" s="10">
        <f t="shared" si="7"/>
        <v>10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10">
        <f t="shared" si="8"/>
        <v>0</v>
      </c>
      <c r="AT104" s="10">
        <f t="shared" si="9"/>
        <v>0</v>
      </c>
      <c r="AU104" s="5" t="s">
        <v>242</v>
      </c>
    </row>
    <row r="105" spans="1:47" ht="15" customHeight="1" x14ac:dyDescent="0.3">
      <c r="A105" s="7" t="str">
        <f t="shared" si="5"/>
        <v>21_2024</v>
      </c>
      <c r="B105" s="7">
        <v>104</v>
      </c>
      <c r="C105" s="7">
        <f>'Panel Data (Long Format)'!B105</f>
        <v>21</v>
      </c>
      <c r="D105" s="7" t="str">
        <f>'Panel Data (Long Format)'!C105</f>
        <v>CAVERTON</v>
      </c>
      <c r="E105" s="8" t="str">
        <f>'Panel Data (Long Format)'!D105</f>
        <v>Caverton Offshore Support Group Plc</v>
      </c>
      <c r="F105" s="7" t="str">
        <f>'Panel Data (Long Format)'!E105</f>
        <v>SERVICES</v>
      </c>
      <c r="G105" s="7">
        <f>'Panel Data (Long Format)'!F105</f>
        <v>2024</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10">
        <f t="shared" si="6"/>
        <v>0</v>
      </c>
      <c r="AC105" s="10">
        <f t="shared" si="7"/>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10">
        <f t="shared" si="8"/>
        <v>0</v>
      </c>
      <c r="AT105" s="10">
        <f t="shared" si="9"/>
        <v>0</v>
      </c>
      <c r="AU105" s="5" t="s">
        <v>243</v>
      </c>
    </row>
    <row r="106" spans="1:47" ht="15" customHeight="1" x14ac:dyDescent="0.3">
      <c r="A106" s="7" t="str">
        <f t="shared" si="5"/>
        <v>21_2025</v>
      </c>
      <c r="B106" s="7">
        <v>105</v>
      </c>
      <c r="C106" s="7">
        <f>'Panel Data (Long Format)'!B106</f>
        <v>21</v>
      </c>
      <c r="D106" s="7" t="str">
        <f>'Panel Data (Long Format)'!C106</f>
        <v>CAVERTON</v>
      </c>
      <c r="E106" s="8" t="str">
        <f>'Panel Data (Long Format)'!D106</f>
        <v>Caverton Offshore Support Group Plc</v>
      </c>
      <c r="F106" s="7" t="str">
        <f>'Panel Data (Long Format)'!E106</f>
        <v>SERVICES</v>
      </c>
      <c r="G106" s="7">
        <f>'Panel Data (Long Format)'!F106</f>
        <v>2025</v>
      </c>
      <c r="H106" s="9">
        <v>1</v>
      </c>
      <c r="I106" s="9">
        <v>0</v>
      </c>
      <c r="J106" s="9">
        <v>1</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10">
        <f t="shared" si="6"/>
        <v>2</v>
      </c>
      <c r="AC106" s="10">
        <f t="shared" si="7"/>
        <v>10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10">
        <f t="shared" si="8"/>
        <v>0</v>
      </c>
      <c r="AT106" s="10">
        <f t="shared" si="9"/>
        <v>0</v>
      </c>
      <c r="AU106" s="5" t="s">
        <v>244</v>
      </c>
    </row>
    <row r="107" spans="1:47" ht="15" customHeight="1" x14ac:dyDescent="0.3">
      <c r="A107" s="7" t="str">
        <f t="shared" si="5"/>
        <v>22_2021</v>
      </c>
      <c r="B107" s="7">
        <v>106</v>
      </c>
      <c r="C107" s="7">
        <f>'Panel Data (Long Format)'!B107</f>
        <v>22</v>
      </c>
      <c r="D107" s="7" t="str">
        <f>'Panel Data (Long Format)'!C107</f>
        <v>CHAMPION</v>
      </c>
      <c r="E107" s="8" t="str">
        <f>'Panel Data (Long Format)'!D107</f>
        <v>Champion Breweries Plc</v>
      </c>
      <c r="F107" s="7" t="str">
        <f>'Panel Data (Long Format)'!E107</f>
        <v>CONSUMER GOODS</v>
      </c>
      <c r="G107" s="7">
        <f>'Panel Data (Long Format)'!F107</f>
        <v>2021</v>
      </c>
      <c r="H107" s="9">
        <v>0</v>
      </c>
      <c r="I107" s="9">
        <v>0</v>
      </c>
      <c r="J107" s="9">
        <v>0</v>
      </c>
      <c r="K107" s="9">
        <v>0</v>
      </c>
      <c r="L107" s="9">
        <v>0</v>
      </c>
      <c r="M107" s="9">
        <v>0</v>
      </c>
      <c r="N107" s="9">
        <v>0</v>
      </c>
      <c r="O107" s="9">
        <v>0</v>
      </c>
      <c r="P107" s="9">
        <v>0</v>
      </c>
      <c r="Q107" s="9">
        <v>0</v>
      </c>
      <c r="R107" s="9">
        <v>0</v>
      </c>
      <c r="S107" s="9">
        <v>0</v>
      </c>
      <c r="T107" s="9">
        <v>0</v>
      </c>
      <c r="U107" s="9">
        <v>0</v>
      </c>
      <c r="V107" s="9">
        <v>0</v>
      </c>
      <c r="W107" s="9">
        <v>0</v>
      </c>
      <c r="X107" s="9">
        <v>0</v>
      </c>
      <c r="Y107" s="9">
        <v>0</v>
      </c>
      <c r="Z107" s="9">
        <v>0</v>
      </c>
      <c r="AA107" s="9">
        <v>0</v>
      </c>
      <c r="AB107" s="10">
        <f t="shared" si="6"/>
        <v>0</v>
      </c>
      <c r="AC107" s="10">
        <f t="shared" si="7"/>
        <v>0</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10">
        <f t="shared" si="8"/>
        <v>0</v>
      </c>
      <c r="AT107" s="10">
        <f t="shared" si="9"/>
        <v>0</v>
      </c>
      <c r="AU107" s="5" t="s">
        <v>245</v>
      </c>
    </row>
    <row r="108" spans="1:47" ht="15" customHeight="1" x14ac:dyDescent="0.3">
      <c r="A108" s="7" t="str">
        <f t="shared" si="5"/>
        <v>22_2022</v>
      </c>
      <c r="B108" s="7">
        <v>107</v>
      </c>
      <c r="C108" s="7">
        <f>'Panel Data (Long Format)'!B108</f>
        <v>22</v>
      </c>
      <c r="D108" s="7" t="str">
        <f>'Panel Data (Long Format)'!C108</f>
        <v>CHAMPION</v>
      </c>
      <c r="E108" s="8" t="str">
        <f>'Panel Data (Long Format)'!D108</f>
        <v>Champion Breweries Plc</v>
      </c>
      <c r="F108" s="7" t="str">
        <f>'Panel Data (Long Format)'!E108</f>
        <v>CONSUMER GOODS</v>
      </c>
      <c r="G108" s="7">
        <f>'Panel Data (Long Format)'!F108</f>
        <v>2022</v>
      </c>
      <c r="H108" s="9">
        <v>0</v>
      </c>
      <c r="I108" s="9">
        <v>0</v>
      </c>
      <c r="J108" s="9">
        <v>0</v>
      </c>
      <c r="K108" s="9">
        <v>0</v>
      </c>
      <c r="L108" s="9">
        <v>0</v>
      </c>
      <c r="M108" s="9">
        <v>0</v>
      </c>
      <c r="N108" s="9">
        <v>0</v>
      </c>
      <c r="O108" s="9">
        <v>0</v>
      </c>
      <c r="P108" s="9">
        <v>0</v>
      </c>
      <c r="Q108" s="9">
        <v>0</v>
      </c>
      <c r="R108" s="9">
        <v>0</v>
      </c>
      <c r="S108" s="9">
        <v>0</v>
      </c>
      <c r="T108" s="9">
        <v>0</v>
      </c>
      <c r="U108" s="9">
        <v>0</v>
      </c>
      <c r="V108" s="9">
        <v>0</v>
      </c>
      <c r="W108" s="9">
        <v>0</v>
      </c>
      <c r="X108" s="9">
        <v>0</v>
      </c>
      <c r="Y108" s="9">
        <v>0</v>
      </c>
      <c r="Z108" s="9">
        <v>0</v>
      </c>
      <c r="AA108" s="9">
        <v>0</v>
      </c>
      <c r="AB108" s="10">
        <f t="shared" si="6"/>
        <v>0</v>
      </c>
      <c r="AC108" s="10">
        <f t="shared" si="7"/>
        <v>0</v>
      </c>
      <c r="AD108" s="9">
        <v>0</v>
      </c>
      <c r="AE108" s="9">
        <v>0</v>
      </c>
      <c r="AF108" s="9">
        <v>0</v>
      </c>
      <c r="AG108" s="9">
        <v>0</v>
      </c>
      <c r="AH108" s="9">
        <v>0</v>
      </c>
      <c r="AI108" s="9">
        <v>0</v>
      </c>
      <c r="AJ108" s="9">
        <v>0</v>
      </c>
      <c r="AK108" s="9">
        <v>0</v>
      </c>
      <c r="AL108" s="9">
        <v>0</v>
      </c>
      <c r="AM108" s="9">
        <v>0</v>
      </c>
      <c r="AN108" s="9">
        <v>0</v>
      </c>
      <c r="AO108" s="9">
        <v>0</v>
      </c>
      <c r="AP108" s="9">
        <v>0</v>
      </c>
      <c r="AQ108" s="9">
        <v>0</v>
      </c>
      <c r="AR108" s="9">
        <v>0</v>
      </c>
      <c r="AS108" s="10">
        <f t="shared" si="8"/>
        <v>0</v>
      </c>
      <c r="AT108" s="10">
        <f t="shared" si="9"/>
        <v>0</v>
      </c>
      <c r="AU108" s="5" t="s">
        <v>246</v>
      </c>
    </row>
    <row r="109" spans="1:47" ht="15" customHeight="1" x14ac:dyDescent="0.3">
      <c r="A109" s="7" t="str">
        <f t="shared" si="5"/>
        <v>22_2023</v>
      </c>
      <c r="B109" s="7">
        <v>108</v>
      </c>
      <c r="C109" s="7">
        <f>'Panel Data (Long Format)'!B109</f>
        <v>22</v>
      </c>
      <c r="D109" s="7" t="str">
        <f>'Panel Data (Long Format)'!C109</f>
        <v>CHAMPION</v>
      </c>
      <c r="E109" s="8" t="str">
        <f>'Panel Data (Long Format)'!D109</f>
        <v>Champion Breweries Plc</v>
      </c>
      <c r="F109" s="7" t="str">
        <f>'Panel Data (Long Format)'!E109</f>
        <v>CONSUMER GOODS</v>
      </c>
      <c r="G109" s="7">
        <f>'Panel Data (Long Format)'!F109</f>
        <v>2023</v>
      </c>
      <c r="H109" s="9">
        <v>0</v>
      </c>
      <c r="I109" s="9">
        <v>0</v>
      </c>
      <c r="J109" s="9">
        <v>0</v>
      </c>
      <c r="K109" s="9">
        <v>0</v>
      </c>
      <c r="L109" s="9">
        <v>0</v>
      </c>
      <c r="M109" s="9">
        <v>0</v>
      </c>
      <c r="N109" s="9">
        <v>0</v>
      </c>
      <c r="O109" s="9">
        <v>0</v>
      </c>
      <c r="P109" s="9">
        <v>0</v>
      </c>
      <c r="Q109" s="9">
        <v>0</v>
      </c>
      <c r="R109" s="9">
        <v>0</v>
      </c>
      <c r="S109" s="9">
        <v>0</v>
      </c>
      <c r="T109" s="9">
        <v>0</v>
      </c>
      <c r="U109" s="9">
        <v>0</v>
      </c>
      <c r="V109" s="9">
        <v>0</v>
      </c>
      <c r="W109" s="9">
        <v>1</v>
      </c>
      <c r="X109" s="9">
        <v>0</v>
      </c>
      <c r="Y109" s="9">
        <v>1</v>
      </c>
      <c r="Z109" s="9">
        <v>0</v>
      </c>
      <c r="AA109" s="9">
        <v>0</v>
      </c>
      <c r="AB109" s="10">
        <f t="shared" si="6"/>
        <v>2</v>
      </c>
      <c r="AC109" s="10">
        <f t="shared" si="7"/>
        <v>10</v>
      </c>
      <c r="AD109" s="9">
        <v>0</v>
      </c>
      <c r="AE109" s="9">
        <v>0</v>
      </c>
      <c r="AF109" s="9">
        <v>0</v>
      </c>
      <c r="AG109" s="9">
        <v>0</v>
      </c>
      <c r="AH109" s="9">
        <v>0</v>
      </c>
      <c r="AI109" s="9">
        <v>0</v>
      </c>
      <c r="AJ109" s="9">
        <v>1</v>
      </c>
      <c r="AK109" s="9">
        <v>0</v>
      </c>
      <c r="AL109" s="9">
        <v>0</v>
      </c>
      <c r="AM109" s="9">
        <v>0</v>
      </c>
      <c r="AN109" s="9">
        <v>0</v>
      </c>
      <c r="AO109" s="9">
        <v>0</v>
      </c>
      <c r="AP109" s="9">
        <v>0</v>
      </c>
      <c r="AQ109" s="9">
        <v>0</v>
      </c>
      <c r="AR109" s="9">
        <v>0</v>
      </c>
      <c r="AS109" s="10">
        <f t="shared" si="8"/>
        <v>1</v>
      </c>
      <c r="AT109" s="10">
        <f t="shared" si="9"/>
        <v>6.666666666666667</v>
      </c>
      <c r="AU109" s="5" t="s">
        <v>247</v>
      </c>
    </row>
    <row r="110" spans="1:47" ht="15" customHeight="1" x14ac:dyDescent="0.3">
      <c r="A110" s="7" t="str">
        <f t="shared" si="5"/>
        <v>22_2024</v>
      </c>
      <c r="B110" s="7">
        <v>109</v>
      </c>
      <c r="C110" s="7">
        <f>'Panel Data (Long Format)'!B110</f>
        <v>22</v>
      </c>
      <c r="D110" s="7" t="str">
        <f>'Panel Data (Long Format)'!C110</f>
        <v>CHAMPION</v>
      </c>
      <c r="E110" s="8" t="str">
        <f>'Panel Data (Long Format)'!D110</f>
        <v>Champion Breweries Plc</v>
      </c>
      <c r="F110" s="7" t="str">
        <f>'Panel Data (Long Format)'!E110</f>
        <v>CONSUMER GOODS</v>
      </c>
      <c r="G110" s="7">
        <f>'Panel Data (Long Format)'!F110</f>
        <v>2024</v>
      </c>
      <c r="H110" s="9">
        <v>0</v>
      </c>
      <c r="I110" s="9">
        <v>0</v>
      </c>
      <c r="J110" s="9">
        <v>0</v>
      </c>
      <c r="K110" s="9">
        <v>0</v>
      </c>
      <c r="L110" s="9">
        <v>0</v>
      </c>
      <c r="M110" s="9">
        <v>0</v>
      </c>
      <c r="N110" s="9">
        <v>1</v>
      </c>
      <c r="O110" s="9">
        <v>1</v>
      </c>
      <c r="P110" s="9">
        <v>0</v>
      </c>
      <c r="Q110" s="9">
        <v>0</v>
      </c>
      <c r="R110" s="9">
        <v>1</v>
      </c>
      <c r="S110" s="9">
        <v>0</v>
      </c>
      <c r="T110" s="9">
        <v>1</v>
      </c>
      <c r="U110" s="9">
        <v>0</v>
      </c>
      <c r="V110" s="9">
        <v>0</v>
      </c>
      <c r="W110" s="9">
        <v>1</v>
      </c>
      <c r="X110" s="9">
        <v>1</v>
      </c>
      <c r="Y110" s="9">
        <v>1</v>
      </c>
      <c r="Z110" s="9">
        <v>0</v>
      </c>
      <c r="AA110" s="9">
        <v>0</v>
      </c>
      <c r="AB110" s="10">
        <f t="shared" si="6"/>
        <v>7</v>
      </c>
      <c r="AC110" s="10">
        <f t="shared" si="7"/>
        <v>35</v>
      </c>
      <c r="AD110" s="9">
        <v>0</v>
      </c>
      <c r="AE110" s="9">
        <v>0</v>
      </c>
      <c r="AF110" s="9">
        <v>0</v>
      </c>
      <c r="AG110" s="9">
        <v>0</v>
      </c>
      <c r="AH110" s="9">
        <v>1</v>
      </c>
      <c r="AI110" s="9">
        <v>0</v>
      </c>
      <c r="AJ110" s="9">
        <v>1</v>
      </c>
      <c r="AK110" s="9">
        <v>0</v>
      </c>
      <c r="AL110" s="9">
        <v>0</v>
      </c>
      <c r="AM110" s="9">
        <v>0</v>
      </c>
      <c r="AN110" s="9">
        <v>0</v>
      </c>
      <c r="AO110" s="9">
        <v>0</v>
      </c>
      <c r="AP110" s="9">
        <v>1</v>
      </c>
      <c r="AQ110" s="9">
        <v>0</v>
      </c>
      <c r="AR110" s="9">
        <v>0</v>
      </c>
      <c r="AS110" s="10">
        <f t="shared" si="8"/>
        <v>3</v>
      </c>
      <c r="AT110" s="10">
        <f t="shared" si="9"/>
        <v>20</v>
      </c>
      <c r="AU110" s="5" t="s">
        <v>248</v>
      </c>
    </row>
    <row r="111" spans="1:47" ht="15" customHeight="1" x14ac:dyDescent="0.3">
      <c r="A111" s="7" t="str">
        <f t="shared" si="5"/>
        <v>22_2025</v>
      </c>
      <c r="B111" s="7">
        <v>110</v>
      </c>
      <c r="C111" s="7">
        <f>'Panel Data (Long Format)'!B111</f>
        <v>22</v>
      </c>
      <c r="D111" s="7" t="str">
        <f>'Panel Data (Long Format)'!C111</f>
        <v>CHAMPION</v>
      </c>
      <c r="E111" s="8" t="str">
        <f>'Panel Data (Long Format)'!D111</f>
        <v>Champion Breweries Plc</v>
      </c>
      <c r="F111" s="7" t="str">
        <f>'Panel Data (Long Format)'!E111</f>
        <v>CONSUMER GOODS</v>
      </c>
      <c r="G111" s="7">
        <f>'Panel Data (Long Format)'!F111</f>
        <v>2025</v>
      </c>
      <c r="H111" s="9">
        <v>0</v>
      </c>
      <c r="I111" s="9">
        <v>0</v>
      </c>
      <c r="J111" s="9">
        <v>0</v>
      </c>
      <c r="K111" s="9">
        <v>0</v>
      </c>
      <c r="L111" s="9">
        <v>0</v>
      </c>
      <c r="M111" s="9">
        <v>0</v>
      </c>
      <c r="N111" s="9">
        <v>0</v>
      </c>
      <c r="O111" s="9">
        <v>0</v>
      </c>
      <c r="P111" s="9">
        <v>0</v>
      </c>
      <c r="Q111" s="9">
        <v>0</v>
      </c>
      <c r="R111" s="9">
        <v>0</v>
      </c>
      <c r="S111" s="9">
        <v>0</v>
      </c>
      <c r="T111" s="9">
        <v>0</v>
      </c>
      <c r="U111" s="9">
        <v>0</v>
      </c>
      <c r="V111" s="9">
        <v>0</v>
      </c>
      <c r="W111" s="9">
        <v>0</v>
      </c>
      <c r="X111" s="9">
        <v>0</v>
      </c>
      <c r="Y111" s="9">
        <v>0</v>
      </c>
      <c r="Z111" s="9">
        <v>0</v>
      </c>
      <c r="AA111" s="9">
        <v>0</v>
      </c>
      <c r="AB111" s="10">
        <f t="shared" si="6"/>
        <v>0</v>
      </c>
      <c r="AC111" s="10">
        <f t="shared" si="7"/>
        <v>0</v>
      </c>
      <c r="AD111" s="9">
        <v>0</v>
      </c>
      <c r="AE111" s="9">
        <v>0</v>
      </c>
      <c r="AF111" s="9">
        <v>0</v>
      </c>
      <c r="AG111" s="9">
        <v>0</v>
      </c>
      <c r="AH111" s="9">
        <v>0</v>
      </c>
      <c r="AI111" s="9">
        <v>0</v>
      </c>
      <c r="AJ111" s="9">
        <v>0</v>
      </c>
      <c r="AK111" s="9">
        <v>0</v>
      </c>
      <c r="AL111" s="9">
        <v>0</v>
      </c>
      <c r="AM111" s="9">
        <v>0</v>
      </c>
      <c r="AN111" s="9">
        <v>0</v>
      </c>
      <c r="AO111" s="9">
        <v>0</v>
      </c>
      <c r="AP111" s="9">
        <v>0</v>
      </c>
      <c r="AQ111" s="9">
        <v>0</v>
      </c>
      <c r="AR111" s="9">
        <v>0</v>
      </c>
      <c r="AS111" s="10">
        <f t="shared" si="8"/>
        <v>0</v>
      </c>
      <c r="AT111" s="10">
        <f t="shared" si="9"/>
        <v>0</v>
      </c>
      <c r="AU111" s="5" t="s">
        <v>249</v>
      </c>
    </row>
    <row r="112" spans="1:47" ht="15" customHeight="1" x14ac:dyDescent="0.3">
      <c r="A112" s="7" t="str">
        <f t="shared" si="5"/>
        <v>23_2021</v>
      </c>
      <c r="B112" s="7">
        <v>111</v>
      </c>
      <c r="C112" s="7">
        <f>'Panel Data (Long Format)'!B112</f>
        <v>23</v>
      </c>
      <c r="D112" s="7" t="str">
        <f>'Panel Data (Long Format)'!C112</f>
        <v>CHAMS</v>
      </c>
      <c r="E112" s="8" t="str">
        <f>'Panel Data (Long Format)'!D112</f>
        <v>Chams Holding Company Plc</v>
      </c>
      <c r="F112" s="7" t="str">
        <f>'Panel Data (Long Format)'!E112</f>
        <v>ICT</v>
      </c>
      <c r="G112" s="7">
        <f>'Panel Data (Long Format)'!F112</f>
        <v>2021</v>
      </c>
      <c r="H112" s="9">
        <v>0</v>
      </c>
      <c r="I112" s="9">
        <v>0</v>
      </c>
      <c r="J112" s="9">
        <v>0</v>
      </c>
      <c r="K112" s="9">
        <v>0</v>
      </c>
      <c r="L112" s="9">
        <v>0</v>
      </c>
      <c r="M112" s="9">
        <v>0</v>
      </c>
      <c r="N112" s="9">
        <v>0</v>
      </c>
      <c r="O112" s="9">
        <v>0</v>
      </c>
      <c r="P112" s="9">
        <v>0</v>
      </c>
      <c r="Q112" s="9">
        <v>0</v>
      </c>
      <c r="R112" s="9">
        <v>0</v>
      </c>
      <c r="S112" s="9">
        <v>0</v>
      </c>
      <c r="T112" s="9">
        <v>0</v>
      </c>
      <c r="U112" s="9">
        <v>0</v>
      </c>
      <c r="V112" s="9">
        <v>0</v>
      </c>
      <c r="W112" s="9">
        <v>0</v>
      </c>
      <c r="X112" s="9">
        <v>0</v>
      </c>
      <c r="Y112" s="9">
        <v>0</v>
      </c>
      <c r="Z112" s="9">
        <v>0</v>
      </c>
      <c r="AA112" s="9">
        <v>0</v>
      </c>
      <c r="AB112" s="10">
        <f t="shared" si="6"/>
        <v>0</v>
      </c>
      <c r="AC112" s="10">
        <f t="shared" si="7"/>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10">
        <f t="shared" si="8"/>
        <v>0</v>
      </c>
      <c r="AT112" s="10">
        <f t="shared" si="9"/>
        <v>0</v>
      </c>
      <c r="AU112" s="5" t="s">
        <v>250</v>
      </c>
    </row>
    <row r="113" spans="1:47" ht="15" customHeight="1" x14ac:dyDescent="0.3">
      <c r="A113" s="7" t="str">
        <f t="shared" si="5"/>
        <v>23_2022</v>
      </c>
      <c r="B113" s="7">
        <v>112</v>
      </c>
      <c r="C113" s="7">
        <f>'Panel Data (Long Format)'!B113</f>
        <v>23</v>
      </c>
      <c r="D113" s="7" t="str">
        <f>'Panel Data (Long Format)'!C113</f>
        <v>CHAMS</v>
      </c>
      <c r="E113" s="8" t="str">
        <f>'Panel Data (Long Format)'!D113</f>
        <v>Chams Holding Company Plc</v>
      </c>
      <c r="F113" s="7" t="str">
        <f>'Panel Data (Long Format)'!E113</f>
        <v>ICT</v>
      </c>
      <c r="G113" s="7">
        <f>'Panel Data (Long Format)'!F113</f>
        <v>2022</v>
      </c>
      <c r="H113" s="9">
        <v>0</v>
      </c>
      <c r="I113" s="9">
        <v>0</v>
      </c>
      <c r="J113" s="9">
        <v>0</v>
      </c>
      <c r="K113" s="9">
        <v>0</v>
      </c>
      <c r="L113" s="9">
        <v>0</v>
      </c>
      <c r="M113" s="9">
        <v>0</v>
      </c>
      <c r="N113" s="9">
        <v>0</v>
      </c>
      <c r="O113" s="9">
        <v>0</v>
      </c>
      <c r="P113" s="9">
        <v>0</v>
      </c>
      <c r="Q113" s="9">
        <v>0</v>
      </c>
      <c r="R113" s="9">
        <v>0</v>
      </c>
      <c r="S113" s="9">
        <v>0</v>
      </c>
      <c r="T113" s="9">
        <v>0</v>
      </c>
      <c r="U113" s="9">
        <v>0</v>
      </c>
      <c r="V113" s="9">
        <v>0</v>
      </c>
      <c r="W113" s="9">
        <v>0</v>
      </c>
      <c r="X113" s="9">
        <v>0</v>
      </c>
      <c r="Y113" s="9">
        <v>0</v>
      </c>
      <c r="Z113" s="9">
        <v>0</v>
      </c>
      <c r="AA113" s="9">
        <v>0</v>
      </c>
      <c r="AB113" s="10">
        <f t="shared" si="6"/>
        <v>0</v>
      </c>
      <c r="AC113" s="10">
        <f t="shared" si="7"/>
        <v>0</v>
      </c>
      <c r="AD113" s="9">
        <v>0</v>
      </c>
      <c r="AE113" s="9">
        <v>0</v>
      </c>
      <c r="AF113" s="9">
        <v>0</v>
      </c>
      <c r="AG113" s="9">
        <v>0</v>
      </c>
      <c r="AH113" s="9">
        <v>0</v>
      </c>
      <c r="AI113" s="9">
        <v>0</v>
      </c>
      <c r="AJ113" s="9">
        <v>0</v>
      </c>
      <c r="AK113" s="9">
        <v>0</v>
      </c>
      <c r="AL113" s="9">
        <v>0</v>
      </c>
      <c r="AM113" s="9">
        <v>0</v>
      </c>
      <c r="AN113" s="9">
        <v>0</v>
      </c>
      <c r="AO113" s="9">
        <v>0</v>
      </c>
      <c r="AP113" s="9">
        <v>0</v>
      </c>
      <c r="AQ113" s="9">
        <v>0</v>
      </c>
      <c r="AR113" s="9">
        <v>0</v>
      </c>
      <c r="AS113" s="10">
        <f t="shared" si="8"/>
        <v>0</v>
      </c>
      <c r="AT113" s="10">
        <f t="shared" si="9"/>
        <v>0</v>
      </c>
      <c r="AU113" s="5" t="s">
        <v>251</v>
      </c>
    </row>
    <row r="114" spans="1:47" ht="15" customHeight="1" x14ac:dyDescent="0.3">
      <c r="A114" s="7" t="str">
        <f t="shared" si="5"/>
        <v>23_2023</v>
      </c>
      <c r="B114" s="7">
        <v>113</v>
      </c>
      <c r="C114" s="7">
        <f>'Panel Data (Long Format)'!B114</f>
        <v>23</v>
      </c>
      <c r="D114" s="7" t="str">
        <f>'Panel Data (Long Format)'!C114</f>
        <v>CHAMS</v>
      </c>
      <c r="E114" s="8" t="str">
        <f>'Panel Data (Long Format)'!D114</f>
        <v>Chams Holding Company Plc</v>
      </c>
      <c r="F114" s="7" t="str">
        <f>'Panel Data (Long Format)'!E114</f>
        <v>ICT</v>
      </c>
      <c r="G114" s="7">
        <f>'Panel Data (Long Format)'!F114</f>
        <v>2023</v>
      </c>
      <c r="H114" s="9">
        <v>0</v>
      </c>
      <c r="I114" s="9">
        <v>0</v>
      </c>
      <c r="J114" s="9">
        <v>0</v>
      </c>
      <c r="K114" s="9">
        <v>0</v>
      </c>
      <c r="L114" s="9">
        <v>0</v>
      </c>
      <c r="M114" s="9">
        <v>0</v>
      </c>
      <c r="N114" s="9">
        <v>0</v>
      </c>
      <c r="O114" s="9">
        <v>0</v>
      </c>
      <c r="P114" s="9">
        <v>0</v>
      </c>
      <c r="Q114" s="9">
        <v>0</v>
      </c>
      <c r="R114" s="9">
        <v>0</v>
      </c>
      <c r="S114" s="9">
        <v>0</v>
      </c>
      <c r="T114" s="9">
        <v>0</v>
      </c>
      <c r="U114" s="9">
        <v>0</v>
      </c>
      <c r="V114" s="9">
        <v>0</v>
      </c>
      <c r="W114" s="9">
        <v>0</v>
      </c>
      <c r="X114" s="9">
        <v>0</v>
      </c>
      <c r="Y114" s="9">
        <v>0</v>
      </c>
      <c r="Z114" s="9">
        <v>0</v>
      </c>
      <c r="AA114" s="9">
        <v>0</v>
      </c>
      <c r="AB114" s="10">
        <f t="shared" si="6"/>
        <v>0</v>
      </c>
      <c r="AC114" s="10">
        <f t="shared" si="7"/>
        <v>0</v>
      </c>
      <c r="AD114" s="9">
        <v>0</v>
      </c>
      <c r="AE114" s="9">
        <v>0</v>
      </c>
      <c r="AF114" s="9">
        <v>0</v>
      </c>
      <c r="AG114" s="9">
        <v>0</v>
      </c>
      <c r="AH114" s="9">
        <v>0</v>
      </c>
      <c r="AI114" s="9">
        <v>0</v>
      </c>
      <c r="AJ114" s="9">
        <v>0</v>
      </c>
      <c r="AK114" s="9">
        <v>0</v>
      </c>
      <c r="AL114" s="9">
        <v>0</v>
      </c>
      <c r="AM114" s="9">
        <v>0</v>
      </c>
      <c r="AN114" s="9">
        <v>0</v>
      </c>
      <c r="AO114" s="9">
        <v>0</v>
      </c>
      <c r="AP114" s="9">
        <v>0</v>
      </c>
      <c r="AQ114" s="9">
        <v>0</v>
      </c>
      <c r="AR114" s="9">
        <v>0</v>
      </c>
      <c r="AS114" s="10">
        <f t="shared" si="8"/>
        <v>0</v>
      </c>
      <c r="AT114" s="10">
        <f t="shared" si="9"/>
        <v>0</v>
      </c>
      <c r="AU114" s="5" t="s">
        <v>252</v>
      </c>
    </row>
    <row r="115" spans="1:47" ht="15" customHeight="1" x14ac:dyDescent="0.3">
      <c r="A115" s="7" t="str">
        <f t="shared" si="5"/>
        <v>23_2024</v>
      </c>
      <c r="B115" s="7">
        <v>114</v>
      </c>
      <c r="C115" s="7">
        <f>'Panel Data (Long Format)'!B115</f>
        <v>23</v>
      </c>
      <c r="D115" s="7" t="str">
        <f>'Panel Data (Long Format)'!C115</f>
        <v>CHAMS</v>
      </c>
      <c r="E115" s="8" t="str">
        <f>'Panel Data (Long Format)'!D115</f>
        <v>Chams Holding Company Plc</v>
      </c>
      <c r="F115" s="7" t="str">
        <f>'Panel Data (Long Format)'!E115</f>
        <v>ICT</v>
      </c>
      <c r="G115" s="7">
        <f>'Panel Data (Long Format)'!F115</f>
        <v>2024</v>
      </c>
      <c r="H115" s="9">
        <v>0</v>
      </c>
      <c r="I115" s="9">
        <v>0</v>
      </c>
      <c r="J115" s="9">
        <v>0</v>
      </c>
      <c r="K115" s="9">
        <v>0</v>
      </c>
      <c r="L115" s="9">
        <v>0</v>
      </c>
      <c r="M115" s="9">
        <v>0</v>
      </c>
      <c r="N115" s="9">
        <v>0</v>
      </c>
      <c r="O115" s="9">
        <v>0</v>
      </c>
      <c r="P115" s="9">
        <v>0</v>
      </c>
      <c r="Q115" s="9">
        <v>0</v>
      </c>
      <c r="R115" s="9">
        <v>0</v>
      </c>
      <c r="S115" s="9">
        <v>0</v>
      </c>
      <c r="T115" s="9">
        <v>0</v>
      </c>
      <c r="U115" s="9">
        <v>0</v>
      </c>
      <c r="V115" s="9">
        <v>0</v>
      </c>
      <c r="W115" s="9">
        <v>0</v>
      </c>
      <c r="X115" s="9">
        <v>0</v>
      </c>
      <c r="Y115" s="9">
        <v>0</v>
      </c>
      <c r="Z115" s="9">
        <v>0</v>
      </c>
      <c r="AA115" s="9">
        <v>0</v>
      </c>
      <c r="AB115" s="10">
        <f t="shared" si="6"/>
        <v>0</v>
      </c>
      <c r="AC115" s="10">
        <f t="shared" si="7"/>
        <v>0</v>
      </c>
      <c r="AD115" s="9">
        <v>0</v>
      </c>
      <c r="AE115" s="9">
        <v>0</v>
      </c>
      <c r="AF115" s="9">
        <v>0</v>
      </c>
      <c r="AG115" s="9">
        <v>0</v>
      </c>
      <c r="AH115" s="9">
        <v>0</v>
      </c>
      <c r="AI115" s="9">
        <v>0</v>
      </c>
      <c r="AJ115" s="9">
        <v>0</v>
      </c>
      <c r="AK115" s="9">
        <v>0</v>
      </c>
      <c r="AL115" s="9">
        <v>0</v>
      </c>
      <c r="AM115" s="9">
        <v>0</v>
      </c>
      <c r="AN115" s="9">
        <v>0</v>
      </c>
      <c r="AO115" s="9">
        <v>0</v>
      </c>
      <c r="AP115" s="9">
        <v>0</v>
      </c>
      <c r="AQ115" s="9">
        <v>0</v>
      </c>
      <c r="AR115" s="9">
        <v>0</v>
      </c>
      <c r="AS115" s="10">
        <f t="shared" si="8"/>
        <v>0</v>
      </c>
      <c r="AT115" s="10">
        <f t="shared" si="9"/>
        <v>0</v>
      </c>
      <c r="AU115" s="5" t="s">
        <v>253</v>
      </c>
    </row>
    <row r="116" spans="1:47" ht="15" customHeight="1" x14ac:dyDescent="0.3">
      <c r="A116" s="7" t="str">
        <f t="shared" si="5"/>
        <v>23_2025</v>
      </c>
      <c r="B116" s="7">
        <v>115</v>
      </c>
      <c r="C116" s="7">
        <f>'Panel Data (Long Format)'!B116</f>
        <v>23</v>
      </c>
      <c r="D116" s="7" t="str">
        <f>'Panel Data (Long Format)'!C116</f>
        <v>CHAMS</v>
      </c>
      <c r="E116" s="8" t="str">
        <f>'Panel Data (Long Format)'!D116</f>
        <v>Chams Holding Company Plc</v>
      </c>
      <c r="F116" s="7" t="str">
        <f>'Panel Data (Long Format)'!E116</f>
        <v>ICT</v>
      </c>
      <c r="G116" s="7">
        <f>'Panel Data (Long Format)'!F116</f>
        <v>2025</v>
      </c>
      <c r="H116" s="9">
        <v>0</v>
      </c>
      <c r="I116" s="9">
        <v>0</v>
      </c>
      <c r="J116" s="9">
        <v>0</v>
      </c>
      <c r="K116" s="9">
        <v>0</v>
      </c>
      <c r="L116" s="9">
        <v>0</v>
      </c>
      <c r="M116" s="9">
        <v>0</v>
      </c>
      <c r="N116" s="9">
        <v>0</v>
      </c>
      <c r="O116" s="9">
        <v>0</v>
      </c>
      <c r="P116" s="9">
        <v>0</v>
      </c>
      <c r="Q116" s="9">
        <v>0</v>
      </c>
      <c r="R116" s="9">
        <v>0</v>
      </c>
      <c r="S116" s="9">
        <v>0</v>
      </c>
      <c r="T116" s="9">
        <v>0</v>
      </c>
      <c r="U116" s="9">
        <v>0</v>
      </c>
      <c r="V116" s="9">
        <v>0</v>
      </c>
      <c r="W116" s="9">
        <v>0</v>
      </c>
      <c r="X116" s="9">
        <v>0</v>
      </c>
      <c r="Y116" s="9">
        <v>0</v>
      </c>
      <c r="Z116" s="9">
        <v>0</v>
      </c>
      <c r="AA116" s="9">
        <v>0</v>
      </c>
      <c r="AB116" s="10">
        <f t="shared" si="6"/>
        <v>0</v>
      </c>
      <c r="AC116" s="10">
        <f t="shared" si="7"/>
        <v>0</v>
      </c>
      <c r="AD116" s="9">
        <v>0</v>
      </c>
      <c r="AE116" s="9">
        <v>0</v>
      </c>
      <c r="AF116" s="9">
        <v>0</v>
      </c>
      <c r="AG116" s="9">
        <v>0</v>
      </c>
      <c r="AH116" s="9">
        <v>0</v>
      </c>
      <c r="AI116" s="9">
        <v>0</v>
      </c>
      <c r="AJ116" s="9">
        <v>0</v>
      </c>
      <c r="AK116" s="9">
        <v>0</v>
      </c>
      <c r="AL116" s="9">
        <v>0</v>
      </c>
      <c r="AM116" s="9">
        <v>0</v>
      </c>
      <c r="AN116" s="9">
        <v>0</v>
      </c>
      <c r="AO116" s="9">
        <v>0</v>
      </c>
      <c r="AP116" s="9">
        <v>0</v>
      </c>
      <c r="AQ116" s="9">
        <v>0</v>
      </c>
      <c r="AR116" s="9">
        <v>0</v>
      </c>
      <c r="AS116" s="10">
        <f t="shared" si="8"/>
        <v>0</v>
      </c>
      <c r="AT116" s="10">
        <f t="shared" si="9"/>
        <v>0</v>
      </c>
      <c r="AU116" s="5" t="s">
        <v>254</v>
      </c>
    </row>
    <row r="117" spans="1:47" ht="15" customHeight="1" x14ac:dyDescent="0.3">
      <c r="A117" s="7" t="str">
        <f t="shared" si="5"/>
        <v>24_2021</v>
      </c>
      <c r="B117" s="7">
        <v>116</v>
      </c>
      <c r="C117" s="7">
        <f>'Panel Data (Long Format)'!B117</f>
        <v>24</v>
      </c>
      <c r="D117" s="7" t="str">
        <f>'Panel Data (Long Format)'!C117</f>
        <v>CHELLARAM</v>
      </c>
      <c r="E117" s="8" t="str">
        <f>'Panel Data (Long Format)'!D117</f>
        <v>Chellarams Plc</v>
      </c>
      <c r="F117" s="7" t="str">
        <f>'Panel Data (Long Format)'!E117</f>
        <v>INDUSTRIAL GOODS</v>
      </c>
      <c r="G117" s="7">
        <f>'Panel Data (Long Format)'!F117</f>
        <v>2021</v>
      </c>
      <c r="H117" s="9">
        <v>0</v>
      </c>
      <c r="I117" s="9">
        <v>0</v>
      </c>
      <c r="J117" s="9">
        <v>0</v>
      </c>
      <c r="K117" s="9">
        <v>0</v>
      </c>
      <c r="L117" s="9">
        <v>0</v>
      </c>
      <c r="M117" s="9">
        <v>0</v>
      </c>
      <c r="N117" s="9">
        <v>0</v>
      </c>
      <c r="O117" s="9">
        <v>0</v>
      </c>
      <c r="P117" s="9">
        <v>0</v>
      </c>
      <c r="Q117" s="9">
        <v>0</v>
      </c>
      <c r="R117" s="9">
        <v>0</v>
      </c>
      <c r="S117" s="9">
        <v>0</v>
      </c>
      <c r="T117" s="9">
        <v>0</v>
      </c>
      <c r="U117" s="9">
        <v>0</v>
      </c>
      <c r="V117" s="9">
        <v>0</v>
      </c>
      <c r="W117" s="9">
        <v>0</v>
      </c>
      <c r="X117" s="9">
        <v>0</v>
      </c>
      <c r="Y117" s="9">
        <v>0</v>
      </c>
      <c r="Z117" s="9">
        <v>0</v>
      </c>
      <c r="AA117" s="9">
        <v>0</v>
      </c>
      <c r="AB117" s="10">
        <f t="shared" si="6"/>
        <v>0</v>
      </c>
      <c r="AC117" s="10">
        <f t="shared" si="7"/>
        <v>0</v>
      </c>
      <c r="AD117" s="9">
        <v>0</v>
      </c>
      <c r="AE117" s="9">
        <v>0</v>
      </c>
      <c r="AF117" s="9">
        <v>0</v>
      </c>
      <c r="AG117" s="9">
        <v>0</v>
      </c>
      <c r="AH117" s="9">
        <v>0</v>
      </c>
      <c r="AI117" s="9">
        <v>0</v>
      </c>
      <c r="AJ117" s="9">
        <v>0</v>
      </c>
      <c r="AK117" s="9">
        <v>0</v>
      </c>
      <c r="AL117" s="9">
        <v>0</v>
      </c>
      <c r="AM117" s="9">
        <v>0</v>
      </c>
      <c r="AN117" s="9">
        <v>0</v>
      </c>
      <c r="AO117" s="9">
        <v>0</v>
      </c>
      <c r="AP117" s="9">
        <v>0</v>
      </c>
      <c r="AQ117" s="9">
        <v>0</v>
      </c>
      <c r="AR117" s="9">
        <v>0</v>
      </c>
      <c r="AS117" s="10">
        <f t="shared" si="8"/>
        <v>0</v>
      </c>
      <c r="AT117" s="10">
        <f t="shared" si="9"/>
        <v>0</v>
      </c>
      <c r="AU117" s="5" t="s">
        <v>255</v>
      </c>
    </row>
    <row r="118" spans="1:47" ht="15" customHeight="1" x14ac:dyDescent="0.3">
      <c r="A118" s="7" t="str">
        <f t="shared" si="5"/>
        <v>24_2022</v>
      </c>
      <c r="B118" s="7">
        <v>117</v>
      </c>
      <c r="C118" s="7">
        <f>'Panel Data (Long Format)'!B118</f>
        <v>24</v>
      </c>
      <c r="D118" s="7" t="str">
        <f>'Panel Data (Long Format)'!C118</f>
        <v>CHELLARAM</v>
      </c>
      <c r="E118" s="8" t="str">
        <f>'Panel Data (Long Format)'!D118</f>
        <v>Chellarams Plc</v>
      </c>
      <c r="F118" s="7" t="str">
        <f>'Panel Data (Long Format)'!E118</f>
        <v>INDUSTRIAL GOODS</v>
      </c>
      <c r="G118" s="7">
        <f>'Panel Data (Long Format)'!F118</f>
        <v>2022</v>
      </c>
      <c r="H118" s="9">
        <v>0</v>
      </c>
      <c r="I118" s="9">
        <v>0</v>
      </c>
      <c r="J118" s="9">
        <v>0</v>
      </c>
      <c r="K118" s="9">
        <v>0</v>
      </c>
      <c r="L118" s="9">
        <v>0</v>
      </c>
      <c r="M118" s="9">
        <v>0</v>
      </c>
      <c r="N118" s="9">
        <v>0</v>
      </c>
      <c r="O118" s="9">
        <v>0</v>
      </c>
      <c r="P118" s="9">
        <v>0</v>
      </c>
      <c r="Q118" s="9">
        <v>0</v>
      </c>
      <c r="R118" s="9">
        <v>0</v>
      </c>
      <c r="S118" s="9">
        <v>0</v>
      </c>
      <c r="T118" s="9">
        <v>0</v>
      </c>
      <c r="U118" s="9">
        <v>0</v>
      </c>
      <c r="V118" s="9">
        <v>0</v>
      </c>
      <c r="W118" s="9">
        <v>0</v>
      </c>
      <c r="X118" s="9">
        <v>0</v>
      </c>
      <c r="Y118" s="9">
        <v>0</v>
      </c>
      <c r="Z118" s="9">
        <v>0</v>
      </c>
      <c r="AA118" s="9">
        <v>0</v>
      </c>
      <c r="AB118" s="10">
        <f t="shared" si="6"/>
        <v>0</v>
      </c>
      <c r="AC118" s="10">
        <f t="shared" si="7"/>
        <v>0</v>
      </c>
      <c r="AD118" s="9">
        <v>0</v>
      </c>
      <c r="AE118" s="9">
        <v>0</v>
      </c>
      <c r="AF118" s="9">
        <v>0</v>
      </c>
      <c r="AG118" s="9">
        <v>0</v>
      </c>
      <c r="AH118" s="9">
        <v>0</v>
      </c>
      <c r="AI118" s="9">
        <v>0</v>
      </c>
      <c r="AJ118" s="9">
        <v>0</v>
      </c>
      <c r="AK118" s="9">
        <v>0</v>
      </c>
      <c r="AL118" s="9">
        <v>0</v>
      </c>
      <c r="AM118" s="9">
        <v>0</v>
      </c>
      <c r="AN118" s="9">
        <v>0</v>
      </c>
      <c r="AO118" s="9">
        <v>0</v>
      </c>
      <c r="AP118" s="9">
        <v>0</v>
      </c>
      <c r="AQ118" s="9">
        <v>0</v>
      </c>
      <c r="AR118" s="9">
        <v>0</v>
      </c>
      <c r="AS118" s="10">
        <f t="shared" si="8"/>
        <v>0</v>
      </c>
      <c r="AT118" s="10">
        <f t="shared" si="9"/>
        <v>0</v>
      </c>
      <c r="AU118" s="5" t="s">
        <v>256</v>
      </c>
    </row>
    <row r="119" spans="1:47" ht="15" customHeight="1" x14ac:dyDescent="0.3">
      <c r="A119" s="7" t="str">
        <f t="shared" si="5"/>
        <v>24_2023</v>
      </c>
      <c r="B119" s="7">
        <v>118</v>
      </c>
      <c r="C119" s="7">
        <f>'Panel Data (Long Format)'!B119</f>
        <v>24</v>
      </c>
      <c r="D119" s="7" t="str">
        <f>'Panel Data (Long Format)'!C119</f>
        <v>CHELLARAM</v>
      </c>
      <c r="E119" s="8" t="str">
        <f>'Panel Data (Long Format)'!D119</f>
        <v>Chellarams Plc</v>
      </c>
      <c r="F119" s="7" t="str">
        <f>'Panel Data (Long Format)'!E119</f>
        <v>INDUSTRIAL GOODS</v>
      </c>
      <c r="G119" s="7">
        <f>'Panel Data (Long Format)'!F119</f>
        <v>2023</v>
      </c>
      <c r="H119" s="9">
        <v>0</v>
      </c>
      <c r="I119" s="9">
        <v>0</v>
      </c>
      <c r="J119" s="9">
        <v>0</v>
      </c>
      <c r="K119" s="9">
        <v>0</v>
      </c>
      <c r="L119" s="9">
        <v>0</v>
      </c>
      <c r="M119" s="9">
        <v>0</v>
      </c>
      <c r="N119" s="9">
        <v>0</v>
      </c>
      <c r="O119" s="9">
        <v>0</v>
      </c>
      <c r="P119" s="9">
        <v>0</v>
      </c>
      <c r="Q119" s="9">
        <v>0</v>
      </c>
      <c r="R119" s="9">
        <v>0</v>
      </c>
      <c r="S119" s="9">
        <v>0</v>
      </c>
      <c r="T119" s="9">
        <v>0</v>
      </c>
      <c r="U119" s="9">
        <v>0</v>
      </c>
      <c r="V119" s="9">
        <v>0</v>
      </c>
      <c r="W119" s="9">
        <v>0</v>
      </c>
      <c r="X119" s="9">
        <v>0</v>
      </c>
      <c r="Y119" s="9">
        <v>0</v>
      </c>
      <c r="Z119" s="9">
        <v>0</v>
      </c>
      <c r="AA119" s="9">
        <v>0</v>
      </c>
      <c r="AB119" s="10">
        <f t="shared" si="6"/>
        <v>0</v>
      </c>
      <c r="AC119" s="10">
        <f t="shared" si="7"/>
        <v>0</v>
      </c>
      <c r="AD119" s="9">
        <v>0</v>
      </c>
      <c r="AE119" s="9">
        <v>0</v>
      </c>
      <c r="AF119" s="9">
        <v>0</v>
      </c>
      <c r="AG119" s="9">
        <v>0</v>
      </c>
      <c r="AH119" s="9">
        <v>0</v>
      </c>
      <c r="AI119" s="9">
        <v>0</v>
      </c>
      <c r="AJ119" s="9">
        <v>0</v>
      </c>
      <c r="AK119" s="9">
        <v>0</v>
      </c>
      <c r="AL119" s="9">
        <v>0</v>
      </c>
      <c r="AM119" s="9">
        <v>0</v>
      </c>
      <c r="AN119" s="9">
        <v>0</v>
      </c>
      <c r="AO119" s="9">
        <v>0</v>
      </c>
      <c r="AP119" s="9">
        <v>0</v>
      </c>
      <c r="AQ119" s="9">
        <v>0</v>
      </c>
      <c r="AR119" s="9">
        <v>0</v>
      </c>
      <c r="AS119" s="10">
        <f t="shared" si="8"/>
        <v>0</v>
      </c>
      <c r="AT119" s="10">
        <f t="shared" si="9"/>
        <v>0</v>
      </c>
      <c r="AU119" s="5" t="s">
        <v>257</v>
      </c>
    </row>
    <row r="120" spans="1:47" ht="15" customHeight="1" x14ac:dyDescent="0.3">
      <c r="A120" s="7" t="str">
        <f t="shared" si="5"/>
        <v>24_2024</v>
      </c>
      <c r="B120" s="7">
        <v>119</v>
      </c>
      <c r="C120" s="7">
        <f>'Panel Data (Long Format)'!B120</f>
        <v>24</v>
      </c>
      <c r="D120" s="7" t="str">
        <f>'Panel Data (Long Format)'!C120</f>
        <v>CHELLARAM</v>
      </c>
      <c r="E120" s="8" t="str">
        <f>'Panel Data (Long Format)'!D120</f>
        <v>Chellarams Plc</v>
      </c>
      <c r="F120" s="7" t="str">
        <f>'Panel Data (Long Format)'!E120</f>
        <v>INDUSTRIAL GOODS</v>
      </c>
      <c r="G120" s="7">
        <f>'Panel Data (Long Format)'!F120</f>
        <v>2024</v>
      </c>
      <c r="H120" s="9">
        <v>0</v>
      </c>
      <c r="I120" s="9">
        <v>0</v>
      </c>
      <c r="J120" s="9">
        <v>0</v>
      </c>
      <c r="K120" s="9">
        <v>0</v>
      </c>
      <c r="L120" s="9">
        <v>0</v>
      </c>
      <c r="M120" s="9">
        <v>0</v>
      </c>
      <c r="N120" s="9">
        <v>0</v>
      </c>
      <c r="O120" s="9">
        <v>0</v>
      </c>
      <c r="P120" s="9">
        <v>0</v>
      </c>
      <c r="Q120" s="9">
        <v>0</v>
      </c>
      <c r="R120" s="9">
        <v>0</v>
      </c>
      <c r="S120" s="9">
        <v>0</v>
      </c>
      <c r="T120" s="9">
        <v>0</v>
      </c>
      <c r="U120" s="9">
        <v>0</v>
      </c>
      <c r="V120" s="9">
        <v>0</v>
      </c>
      <c r="W120" s="9">
        <v>0</v>
      </c>
      <c r="X120" s="9">
        <v>0</v>
      </c>
      <c r="Y120" s="9">
        <v>0</v>
      </c>
      <c r="Z120" s="9">
        <v>0</v>
      </c>
      <c r="AA120" s="9">
        <v>0</v>
      </c>
      <c r="AB120" s="10">
        <f t="shared" si="6"/>
        <v>0</v>
      </c>
      <c r="AC120" s="10">
        <f t="shared" si="7"/>
        <v>0</v>
      </c>
      <c r="AD120" s="9">
        <v>0</v>
      </c>
      <c r="AE120" s="9">
        <v>0</v>
      </c>
      <c r="AF120" s="9">
        <v>0</v>
      </c>
      <c r="AG120" s="9">
        <v>0</v>
      </c>
      <c r="AH120" s="9">
        <v>0</v>
      </c>
      <c r="AI120" s="9">
        <v>0</v>
      </c>
      <c r="AJ120" s="9">
        <v>0</v>
      </c>
      <c r="AK120" s="9">
        <v>0</v>
      </c>
      <c r="AL120" s="9">
        <v>0</v>
      </c>
      <c r="AM120" s="9">
        <v>0</v>
      </c>
      <c r="AN120" s="9">
        <v>0</v>
      </c>
      <c r="AO120" s="9">
        <v>0</v>
      </c>
      <c r="AP120" s="9">
        <v>0</v>
      </c>
      <c r="AQ120" s="9">
        <v>0</v>
      </c>
      <c r="AR120" s="9">
        <v>0</v>
      </c>
      <c r="AS120" s="10">
        <f t="shared" si="8"/>
        <v>0</v>
      </c>
      <c r="AT120" s="10">
        <f t="shared" si="9"/>
        <v>0</v>
      </c>
      <c r="AU120" s="5" t="s">
        <v>258</v>
      </c>
    </row>
    <row r="121" spans="1:47" ht="15" customHeight="1" x14ac:dyDescent="0.3">
      <c r="A121" s="7" t="str">
        <f t="shared" si="5"/>
        <v>24_2025</v>
      </c>
      <c r="B121" s="7">
        <v>120</v>
      </c>
      <c r="C121" s="7">
        <f>'Panel Data (Long Format)'!B121</f>
        <v>24</v>
      </c>
      <c r="D121" s="7" t="str">
        <f>'Panel Data (Long Format)'!C121</f>
        <v>CHELLARAM</v>
      </c>
      <c r="E121" s="8" t="str">
        <f>'Panel Data (Long Format)'!D121</f>
        <v>Chellarams Plc</v>
      </c>
      <c r="F121" s="7" t="str">
        <f>'Panel Data (Long Format)'!E121</f>
        <v>INDUSTRIAL GOODS</v>
      </c>
      <c r="G121" s="7">
        <f>'Panel Data (Long Format)'!F121</f>
        <v>2025</v>
      </c>
      <c r="H121" s="9">
        <v>0</v>
      </c>
      <c r="I121" s="9">
        <v>0</v>
      </c>
      <c r="J121" s="9">
        <v>0</v>
      </c>
      <c r="K121" s="9">
        <v>0</v>
      </c>
      <c r="L121" s="9">
        <v>0</v>
      </c>
      <c r="M121" s="9">
        <v>0</v>
      </c>
      <c r="N121" s="9">
        <v>0</v>
      </c>
      <c r="O121" s="9">
        <v>0</v>
      </c>
      <c r="P121" s="9">
        <v>0</v>
      </c>
      <c r="Q121" s="9">
        <v>0</v>
      </c>
      <c r="R121" s="9">
        <v>0</v>
      </c>
      <c r="S121" s="9">
        <v>0</v>
      </c>
      <c r="T121" s="9">
        <v>0</v>
      </c>
      <c r="U121" s="9">
        <v>0</v>
      </c>
      <c r="V121" s="9">
        <v>0</v>
      </c>
      <c r="W121" s="9">
        <v>0</v>
      </c>
      <c r="X121" s="9">
        <v>0</v>
      </c>
      <c r="Y121" s="9">
        <v>0</v>
      </c>
      <c r="Z121" s="9">
        <v>0</v>
      </c>
      <c r="AA121" s="9">
        <v>0</v>
      </c>
      <c r="AB121" s="10">
        <f t="shared" si="6"/>
        <v>0</v>
      </c>
      <c r="AC121" s="10">
        <f t="shared" si="7"/>
        <v>0</v>
      </c>
      <c r="AD121" s="9">
        <v>0</v>
      </c>
      <c r="AE121" s="9">
        <v>0</v>
      </c>
      <c r="AF121" s="9">
        <v>0</v>
      </c>
      <c r="AG121" s="9">
        <v>0</v>
      </c>
      <c r="AH121" s="9">
        <v>0</v>
      </c>
      <c r="AI121" s="9">
        <v>0</v>
      </c>
      <c r="AJ121" s="9">
        <v>0</v>
      </c>
      <c r="AK121" s="9">
        <v>0</v>
      </c>
      <c r="AL121" s="9">
        <v>0</v>
      </c>
      <c r="AM121" s="9">
        <v>0</v>
      </c>
      <c r="AN121" s="9">
        <v>0</v>
      </c>
      <c r="AO121" s="9">
        <v>0</v>
      </c>
      <c r="AP121" s="9">
        <v>0</v>
      </c>
      <c r="AQ121" s="9">
        <v>0</v>
      </c>
      <c r="AR121" s="9">
        <v>0</v>
      </c>
      <c r="AS121" s="10">
        <f t="shared" si="8"/>
        <v>0</v>
      </c>
      <c r="AT121" s="10">
        <f t="shared" si="9"/>
        <v>0</v>
      </c>
      <c r="AU121" s="5" t="s">
        <v>259</v>
      </c>
    </row>
    <row r="122" spans="1:47" ht="15" customHeight="1" x14ac:dyDescent="0.3">
      <c r="A122" s="7" t="str">
        <f t="shared" si="5"/>
        <v>25_2021</v>
      </c>
      <c r="B122" s="7">
        <v>121</v>
      </c>
      <c r="C122" s="7">
        <f>'Panel Data (Long Format)'!B122</f>
        <v>25</v>
      </c>
      <c r="D122" s="7" t="str">
        <f>'Panel Data (Long Format)'!C122</f>
        <v>CILEASING</v>
      </c>
      <c r="E122" s="8" t="str">
        <f>'Panel Data (Long Format)'!D122</f>
        <v>C &amp; I Leasing Plc</v>
      </c>
      <c r="F122" s="7" t="str">
        <f>'Panel Data (Long Format)'!E122</f>
        <v>SERVICES</v>
      </c>
      <c r="G122" s="7">
        <f>'Panel Data (Long Format)'!F122</f>
        <v>2021</v>
      </c>
      <c r="H122" s="9">
        <v>0</v>
      </c>
      <c r="I122" s="9">
        <v>0</v>
      </c>
      <c r="J122" s="9">
        <v>0</v>
      </c>
      <c r="K122" s="9">
        <v>0</v>
      </c>
      <c r="L122" s="9">
        <v>0</v>
      </c>
      <c r="M122" s="9">
        <v>0</v>
      </c>
      <c r="N122" s="9">
        <v>0</v>
      </c>
      <c r="O122" s="9">
        <v>0</v>
      </c>
      <c r="P122" s="9">
        <v>0</v>
      </c>
      <c r="Q122" s="9">
        <v>0</v>
      </c>
      <c r="R122" s="9">
        <v>0</v>
      </c>
      <c r="S122" s="9">
        <v>0</v>
      </c>
      <c r="T122" s="9">
        <v>0</v>
      </c>
      <c r="U122" s="9">
        <v>0</v>
      </c>
      <c r="V122" s="9">
        <v>0</v>
      </c>
      <c r="W122" s="9">
        <v>0</v>
      </c>
      <c r="X122" s="9">
        <v>0</v>
      </c>
      <c r="Y122" s="9">
        <v>0</v>
      </c>
      <c r="Z122" s="9">
        <v>0</v>
      </c>
      <c r="AA122" s="9">
        <v>0</v>
      </c>
      <c r="AB122" s="10">
        <f t="shared" si="6"/>
        <v>0</v>
      </c>
      <c r="AC122" s="10">
        <f t="shared" si="7"/>
        <v>0</v>
      </c>
      <c r="AD122" s="9">
        <v>0</v>
      </c>
      <c r="AE122" s="9">
        <v>0</v>
      </c>
      <c r="AF122" s="9">
        <v>0</v>
      </c>
      <c r="AG122" s="9">
        <v>0</v>
      </c>
      <c r="AH122" s="9">
        <v>0</v>
      </c>
      <c r="AI122" s="9">
        <v>0</v>
      </c>
      <c r="AJ122" s="9">
        <v>0</v>
      </c>
      <c r="AK122" s="9">
        <v>0</v>
      </c>
      <c r="AL122" s="9">
        <v>0</v>
      </c>
      <c r="AM122" s="9">
        <v>0</v>
      </c>
      <c r="AN122" s="9">
        <v>0</v>
      </c>
      <c r="AO122" s="9">
        <v>0</v>
      </c>
      <c r="AP122" s="9">
        <v>0</v>
      </c>
      <c r="AQ122" s="9">
        <v>0</v>
      </c>
      <c r="AR122" s="9">
        <v>0</v>
      </c>
      <c r="AS122" s="10">
        <f t="shared" si="8"/>
        <v>0</v>
      </c>
      <c r="AT122" s="10">
        <f t="shared" si="9"/>
        <v>0</v>
      </c>
      <c r="AU122" s="5" t="s">
        <v>260</v>
      </c>
    </row>
    <row r="123" spans="1:47" ht="15" customHeight="1" x14ac:dyDescent="0.3">
      <c r="A123" s="7" t="str">
        <f t="shared" si="5"/>
        <v>25_2022</v>
      </c>
      <c r="B123" s="7">
        <v>122</v>
      </c>
      <c r="C123" s="7">
        <f>'Panel Data (Long Format)'!B123</f>
        <v>25</v>
      </c>
      <c r="D123" s="7" t="str">
        <f>'Panel Data (Long Format)'!C123</f>
        <v>CILEASING</v>
      </c>
      <c r="E123" s="8" t="str">
        <f>'Panel Data (Long Format)'!D123</f>
        <v>C &amp; I Leasing Plc</v>
      </c>
      <c r="F123" s="7" t="str">
        <f>'Panel Data (Long Format)'!E123</f>
        <v>SERVICES</v>
      </c>
      <c r="G123" s="7">
        <f>'Panel Data (Long Format)'!F123</f>
        <v>2022</v>
      </c>
      <c r="H123" s="9">
        <v>0</v>
      </c>
      <c r="I123" s="9">
        <v>0</v>
      </c>
      <c r="J123" s="9">
        <v>0</v>
      </c>
      <c r="K123" s="9">
        <v>0</v>
      </c>
      <c r="L123" s="9">
        <v>0</v>
      </c>
      <c r="M123" s="9">
        <v>0</v>
      </c>
      <c r="N123" s="9">
        <v>0</v>
      </c>
      <c r="O123" s="9">
        <v>0</v>
      </c>
      <c r="P123" s="9">
        <v>0</v>
      </c>
      <c r="Q123" s="9">
        <v>0</v>
      </c>
      <c r="R123" s="9">
        <v>0</v>
      </c>
      <c r="S123" s="9">
        <v>0</v>
      </c>
      <c r="T123" s="9">
        <v>0</v>
      </c>
      <c r="U123" s="9">
        <v>0</v>
      </c>
      <c r="V123" s="9">
        <v>0</v>
      </c>
      <c r="W123" s="9">
        <v>0</v>
      </c>
      <c r="X123" s="9">
        <v>0</v>
      </c>
      <c r="Y123" s="9">
        <v>0</v>
      </c>
      <c r="Z123" s="9">
        <v>0</v>
      </c>
      <c r="AA123" s="9">
        <v>0</v>
      </c>
      <c r="AB123" s="10">
        <f t="shared" si="6"/>
        <v>0</v>
      </c>
      <c r="AC123" s="10">
        <f t="shared" si="7"/>
        <v>0</v>
      </c>
      <c r="AD123" s="9">
        <v>0</v>
      </c>
      <c r="AE123" s="9">
        <v>0</v>
      </c>
      <c r="AF123" s="9">
        <v>0</v>
      </c>
      <c r="AG123" s="9">
        <v>0</v>
      </c>
      <c r="AH123" s="9">
        <v>0</v>
      </c>
      <c r="AI123" s="9">
        <v>0</v>
      </c>
      <c r="AJ123" s="9">
        <v>0</v>
      </c>
      <c r="AK123" s="9">
        <v>0</v>
      </c>
      <c r="AL123" s="9">
        <v>0</v>
      </c>
      <c r="AM123" s="9">
        <v>0</v>
      </c>
      <c r="AN123" s="9">
        <v>0</v>
      </c>
      <c r="AO123" s="9">
        <v>0</v>
      </c>
      <c r="AP123" s="9">
        <v>0</v>
      </c>
      <c r="AQ123" s="9">
        <v>0</v>
      </c>
      <c r="AR123" s="9">
        <v>0</v>
      </c>
      <c r="AS123" s="10">
        <f t="shared" si="8"/>
        <v>0</v>
      </c>
      <c r="AT123" s="10">
        <f t="shared" si="9"/>
        <v>0</v>
      </c>
      <c r="AU123" s="5" t="s">
        <v>261</v>
      </c>
    </row>
    <row r="124" spans="1:47" ht="15" customHeight="1" x14ac:dyDescent="0.3">
      <c r="A124" s="7" t="str">
        <f t="shared" si="5"/>
        <v>25_2023</v>
      </c>
      <c r="B124" s="7">
        <v>123</v>
      </c>
      <c r="C124" s="7">
        <f>'Panel Data (Long Format)'!B124</f>
        <v>25</v>
      </c>
      <c r="D124" s="7" t="str">
        <f>'Panel Data (Long Format)'!C124</f>
        <v>CILEASING</v>
      </c>
      <c r="E124" s="8" t="str">
        <f>'Panel Data (Long Format)'!D124</f>
        <v>C &amp; I Leasing Plc</v>
      </c>
      <c r="F124" s="7" t="str">
        <f>'Panel Data (Long Format)'!E124</f>
        <v>SERVICES</v>
      </c>
      <c r="G124" s="7">
        <f>'Panel Data (Long Format)'!F124</f>
        <v>2023</v>
      </c>
      <c r="H124" s="9">
        <v>0</v>
      </c>
      <c r="I124" s="9">
        <v>0</v>
      </c>
      <c r="J124" s="9">
        <v>0</v>
      </c>
      <c r="K124" s="9">
        <v>0</v>
      </c>
      <c r="L124" s="9">
        <v>0</v>
      </c>
      <c r="M124" s="9">
        <v>0</v>
      </c>
      <c r="N124" s="9">
        <v>0</v>
      </c>
      <c r="O124" s="9">
        <v>0</v>
      </c>
      <c r="P124" s="9">
        <v>0</v>
      </c>
      <c r="Q124" s="9">
        <v>0</v>
      </c>
      <c r="R124" s="9">
        <v>0</v>
      </c>
      <c r="S124" s="9">
        <v>0</v>
      </c>
      <c r="T124" s="9">
        <v>0</v>
      </c>
      <c r="U124" s="9">
        <v>0</v>
      </c>
      <c r="V124" s="9">
        <v>0</v>
      </c>
      <c r="W124" s="9">
        <v>0</v>
      </c>
      <c r="X124" s="9">
        <v>0</v>
      </c>
      <c r="Y124" s="9">
        <v>0</v>
      </c>
      <c r="Z124" s="9">
        <v>0</v>
      </c>
      <c r="AA124" s="9">
        <v>0</v>
      </c>
      <c r="AB124" s="10">
        <f t="shared" si="6"/>
        <v>0</v>
      </c>
      <c r="AC124" s="10">
        <f t="shared" si="7"/>
        <v>0</v>
      </c>
      <c r="AD124" s="9">
        <v>0</v>
      </c>
      <c r="AE124" s="9">
        <v>0</v>
      </c>
      <c r="AF124" s="9">
        <v>0</v>
      </c>
      <c r="AG124" s="9">
        <v>0</v>
      </c>
      <c r="AH124" s="9">
        <v>0</v>
      </c>
      <c r="AI124" s="9">
        <v>0</v>
      </c>
      <c r="AJ124" s="9">
        <v>0</v>
      </c>
      <c r="AK124" s="9">
        <v>0</v>
      </c>
      <c r="AL124" s="9">
        <v>0</v>
      </c>
      <c r="AM124" s="9">
        <v>0</v>
      </c>
      <c r="AN124" s="9">
        <v>0</v>
      </c>
      <c r="AO124" s="9">
        <v>0</v>
      </c>
      <c r="AP124" s="9">
        <v>0</v>
      </c>
      <c r="AQ124" s="9">
        <v>0</v>
      </c>
      <c r="AR124" s="9">
        <v>0</v>
      </c>
      <c r="AS124" s="10">
        <f t="shared" si="8"/>
        <v>0</v>
      </c>
      <c r="AT124" s="10">
        <f t="shared" si="9"/>
        <v>0</v>
      </c>
      <c r="AU124" s="5" t="s">
        <v>262</v>
      </c>
    </row>
    <row r="125" spans="1:47" ht="15" customHeight="1" x14ac:dyDescent="0.3">
      <c r="A125" s="7" t="str">
        <f t="shared" si="5"/>
        <v>25_2024</v>
      </c>
      <c r="B125" s="7">
        <v>124</v>
      </c>
      <c r="C125" s="7">
        <f>'Panel Data (Long Format)'!B125</f>
        <v>25</v>
      </c>
      <c r="D125" s="7" t="str">
        <f>'Panel Data (Long Format)'!C125</f>
        <v>CILEASING</v>
      </c>
      <c r="E125" s="8" t="str">
        <f>'Panel Data (Long Format)'!D125</f>
        <v>C &amp; I Leasing Plc</v>
      </c>
      <c r="F125" s="7" t="str">
        <f>'Panel Data (Long Format)'!E125</f>
        <v>SERVICES</v>
      </c>
      <c r="G125" s="7">
        <f>'Panel Data (Long Format)'!F125</f>
        <v>2024</v>
      </c>
      <c r="H125" s="9">
        <v>0</v>
      </c>
      <c r="I125" s="9">
        <v>0</v>
      </c>
      <c r="J125" s="9">
        <v>0</v>
      </c>
      <c r="K125" s="9">
        <v>0</v>
      </c>
      <c r="L125" s="9">
        <v>0</v>
      </c>
      <c r="M125" s="9">
        <v>0</v>
      </c>
      <c r="N125" s="9">
        <v>0</v>
      </c>
      <c r="O125" s="9">
        <v>0</v>
      </c>
      <c r="P125" s="9">
        <v>0</v>
      </c>
      <c r="Q125" s="9">
        <v>0</v>
      </c>
      <c r="R125" s="9">
        <v>0</v>
      </c>
      <c r="S125" s="9">
        <v>0</v>
      </c>
      <c r="T125" s="9">
        <v>0</v>
      </c>
      <c r="U125" s="9">
        <v>0</v>
      </c>
      <c r="V125" s="9">
        <v>0</v>
      </c>
      <c r="W125" s="9">
        <v>0</v>
      </c>
      <c r="X125" s="9">
        <v>0</v>
      </c>
      <c r="Y125" s="9">
        <v>0</v>
      </c>
      <c r="Z125" s="9">
        <v>0</v>
      </c>
      <c r="AA125" s="9">
        <v>0</v>
      </c>
      <c r="AB125" s="10">
        <f t="shared" si="6"/>
        <v>0</v>
      </c>
      <c r="AC125" s="10">
        <f t="shared" si="7"/>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10">
        <f t="shared" si="8"/>
        <v>0</v>
      </c>
      <c r="AT125" s="10">
        <f t="shared" si="9"/>
        <v>0</v>
      </c>
      <c r="AU125" s="5" t="s">
        <v>263</v>
      </c>
    </row>
    <row r="126" spans="1:47" ht="15" customHeight="1" x14ac:dyDescent="0.3">
      <c r="A126" s="7" t="str">
        <f t="shared" si="5"/>
        <v>25_2025</v>
      </c>
      <c r="B126" s="7">
        <v>125</v>
      </c>
      <c r="C126" s="7">
        <f>'Panel Data (Long Format)'!B126</f>
        <v>25</v>
      </c>
      <c r="D126" s="7" t="str">
        <f>'Panel Data (Long Format)'!C126</f>
        <v>CILEASING</v>
      </c>
      <c r="E126" s="8" t="str">
        <f>'Panel Data (Long Format)'!D126</f>
        <v>C &amp; I Leasing Plc</v>
      </c>
      <c r="F126" s="7" t="str">
        <f>'Panel Data (Long Format)'!E126</f>
        <v>SERVICES</v>
      </c>
      <c r="G126" s="7">
        <f>'Panel Data (Long Format)'!F126</f>
        <v>2025</v>
      </c>
      <c r="H126" s="9">
        <v>0</v>
      </c>
      <c r="I126" s="9">
        <v>0</v>
      </c>
      <c r="J126" s="9">
        <v>0</v>
      </c>
      <c r="K126" s="9">
        <v>0</v>
      </c>
      <c r="L126" s="9">
        <v>0</v>
      </c>
      <c r="M126" s="9">
        <v>0</v>
      </c>
      <c r="N126" s="9">
        <v>0</v>
      </c>
      <c r="O126" s="9">
        <v>0</v>
      </c>
      <c r="P126" s="9">
        <v>0</v>
      </c>
      <c r="Q126" s="9">
        <v>0</v>
      </c>
      <c r="R126" s="9">
        <v>0</v>
      </c>
      <c r="S126" s="9">
        <v>0</v>
      </c>
      <c r="T126" s="9">
        <v>0</v>
      </c>
      <c r="U126" s="9">
        <v>0</v>
      </c>
      <c r="V126" s="9">
        <v>0</v>
      </c>
      <c r="W126" s="9">
        <v>0</v>
      </c>
      <c r="X126" s="9">
        <v>0</v>
      </c>
      <c r="Y126" s="9">
        <v>0</v>
      </c>
      <c r="Z126" s="9">
        <v>0</v>
      </c>
      <c r="AA126" s="9">
        <v>0</v>
      </c>
      <c r="AB126" s="10">
        <f t="shared" si="6"/>
        <v>0</v>
      </c>
      <c r="AC126" s="10">
        <f t="shared" si="7"/>
        <v>0</v>
      </c>
      <c r="AD126" s="9">
        <v>0</v>
      </c>
      <c r="AE126" s="9">
        <v>0</v>
      </c>
      <c r="AF126" s="9">
        <v>0</v>
      </c>
      <c r="AG126" s="9">
        <v>0</v>
      </c>
      <c r="AH126" s="9">
        <v>0</v>
      </c>
      <c r="AI126" s="9">
        <v>0</v>
      </c>
      <c r="AJ126" s="9">
        <v>0</v>
      </c>
      <c r="AK126" s="9">
        <v>0</v>
      </c>
      <c r="AL126" s="9">
        <v>0</v>
      </c>
      <c r="AM126" s="9">
        <v>0</v>
      </c>
      <c r="AN126" s="9">
        <v>0</v>
      </c>
      <c r="AO126" s="9">
        <v>0</v>
      </c>
      <c r="AP126" s="9">
        <v>0</v>
      </c>
      <c r="AQ126" s="9">
        <v>0</v>
      </c>
      <c r="AR126" s="9">
        <v>0</v>
      </c>
      <c r="AS126" s="10">
        <f t="shared" si="8"/>
        <v>0</v>
      </c>
      <c r="AT126" s="10">
        <f t="shared" si="9"/>
        <v>0</v>
      </c>
      <c r="AU126" s="5" t="s">
        <v>264</v>
      </c>
    </row>
    <row r="127" spans="1:47" ht="15" customHeight="1" x14ac:dyDescent="0.3">
      <c r="A127" s="7" t="str">
        <f t="shared" si="5"/>
        <v>26_2021</v>
      </c>
      <c r="B127" s="7">
        <v>126</v>
      </c>
      <c r="C127" s="7">
        <f>'Panel Data (Long Format)'!B127</f>
        <v>26</v>
      </c>
      <c r="D127" s="7" t="str">
        <f>'Panel Data (Long Format)'!C127</f>
        <v>CMFC</v>
      </c>
      <c r="E127" s="8" t="str">
        <f>'Panel Data (Long Format)'!D127</f>
        <v>Critical Minerals Financing Corp Plc (formerly Deap Capital Management &amp; Trust Plc)</v>
      </c>
      <c r="F127" s="7" t="str">
        <f>'Panel Data (Long Format)'!E127</f>
        <v>FINANCIAL SERVICES</v>
      </c>
      <c r="G127" s="7">
        <f>'Panel Data (Long Format)'!F127</f>
        <v>2021</v>
      </c>
      <c r="H127" s="9"/>
      <c r="I127" s="9"/>
      <c r="J127" s="9"/>
      <c r="K127" s="9"/>
      <c r="L127" s="9"/>
      <c r="M127" s="9"/>
      <c r="N127" s="9"/>
      <c r="O127" s="9"/>
      <c r="P127" s="9"/>
      <c r="Q127" s="9"/>
      <c r="R127" s="9"/>
      <c r="S127" s="9"/>
      <c r="T127" s="9"/>
      <c r="U127" s="9"/>
      <c r="V127" s="9"/>
      <c r="W127" s="9"/>
      <c r="X127" s="9"/>
      <c r="Y127" s="9"/>
      <c r="Z127" s="9"/>
      <c r="AA127" s="9"/>
      <c r="AB127" s="10" t="str">
        <f t="shared" si="6"/>
        <v/>
      </c>
      <c r="AC127" s="10" t="str">
        <f t="shared" si="7"/>
        <v/>
      </c>
      <c r="AD127" s="9"/>
      <c r="AE127" s="9"/>
      <c r="AF127" s="9"/>
      <c r="AG127" s="9"/>
      <c r="AH127" s="9"/>
      <c r="AI127" s="9"/>
      <c r="AJ127" s="9"/>
      <c r="AK127" s="9"/>
      <c r="AL127" s="9"/>
      <c r="AM127" s="9"/>
      <c r="AN127" s="9"/>
      <c r="AO127" s="9"/>
      <c r="AP127" s="9"/>
      <c r="AQ127" s="9"/>
      <c r="AR127" s="9"/>
      <c r="AS127" s="10" t="str">
        <f t="shared" si="8"/>
        <v/>
      </c>
      <c r="AT127" s="10" t="str">
        <f t="shared" si="9"/>
        <v/>
      </c>
      <c r="AU127" s="5" t="s">
        <v>265</v>
      </c>
    </row>
    <row r="128" spans="1:47" ht="15" customHeight="1" x14ac:dyDescent="0.3">
      <c r="A128" s="7" t="str">
        <f t="shared" si="5"/>
        <v>26_2022</v>
      </c>
      <c r="B128" s="7">
        <v>127</v>
      </c>
      <c r="C128" s="7">
        <f>'Panel Data (Long Format)'!B128</f>
        <v>26</v>
      </c>
      <c r="D128" s="7" t="str">
        <f>'Panel Data (Long Format)'!C128</f>
        <v>CMFC</v>
      </c>
      <c r="E128" s="8" t="str">
        <f>'Panel Data (Long Format)'!D128</f>
        <v>Critical Minerals Financing Corp Plc (formerly Deap Capital Management &amp; Trust Plc)</v>
      </c>
      <c r="F128" s="7" t="str">
        <f>'Panel Data (Long Format)'!E128</f>
        <v>FINANCIAL SERVICES</v>
      </c>
      <c r="G128" s="7">
        <f>'Panel Data (Long Format)'!F128</f>
        <v>2022</v>
      </c>
      <c r="H128" s="9"/>
      <c r="I128" s="9"/>
      <c r="J128" s="9"/>
      <c r="K128" s="9"/>
      <c r="L128" s="9"/>
      <c r="M128" s="9"/>
      <c r="N128" s="9"/>
      <c r="O128" s="9"/>
      <c r="P128" s="9"/>
      <c r="Q128" s="9"/>
      <c r="R128" s="9"/>
      <c r="S128" s="9"/>
      <c r="T128" s="9"/>
      <c r="U128" s="9"/>
      <c r="V128" s="9"/>
      <c r="W128" s="9"/>
      <c r="X128" s="9"/>
      <c r="Y128" s="9"/>
      <c r="Z128" s="9"/>
      <c r="AA128" s="9"/>
      <c r="AB128" s="10" t="str">
        <f t="shared" si="6"/>
        <v/>
      </c>
      <c r="AC128" s="10" t="str">
        <f t="shared" si="7"/>
        <v/>
      </c>
      <c r="AD128" s="9"/>
      <c r="AE128" s="9"/>
      <c r="AF128" s="9"/>
      <c r="AG128" s="9"/>
      <c r="AH128" s="9"/>
      <c r="AI128" s="9"/>
      <c r="AJ128" s="9"/>
      <c r="AK128" s="9"/>
      <c r="AL128" s="9"/>
      <c r="AM128" s="9"/>
      <c r="AN128" s="9"/>
      <c r="AO128" s="9"/>
      <c r="AP128" s="9"/>
      <c r="AQ128" s="9"/>
      <c r="AR128" s="9"/>
      <c r="AS128" s="10" t="str">
        <f t="shared" si="8"/>
        <v/>
      </c>
      <c r="AT128" s="10" t="str">
        <f t="shared" si="9"/>
        <v/>
      </c>
      <c r="AU128" s="5" t="s">
        <v>266</v>
      </c>
    </row>
    <row r="129" spans="1:47" ht="15" customHeight="1" x14ac:dyDescent="0.3">
      <c r="A129" s="7" t="str">
        <f t="shared" si="5"/>
        <v>26_2023</v>
      </c>
      <c r="B129" s="7">
        <v>128</v>
      </c>
      <c r="C129" s="7">
        <f>'Panel Data (Long Format)'!B129</f>
        <v>26</v>
      </c>
      <c r="D129" s="7" t="str">
        <f>'Panel Data (Long Format)'!C129</f>
        <v>CMFC</v>
      </c>
      <c r="E129" s="8" t="str">
        <f>'Panel Data (Long Format)'!D129</f>
        <v>Critical Minerals Financing Corp Plc (formerly Deap Capital Management &amp; Trust Plc)</v>
      </c>
      <c r="F129" s="7" t="str">
        <f>'Panel Data (Long Format)'!E129</f>
        <v>FINANCIAL SERVICES</v>
      </c>
      <c r="G129" s="7">
        <f>'Panel Data (Long Format)'!F129</f>
        <v>2023</v>
      </c>
      <c r="H129" s="9"/>
      <c r="I129" s="9"/>
      <c r="J129" s="9"/>
      <c r="K129" s="9"/>
      <c r="L129" s="9"/>
      <c r="M129" s="9"/>
      <c r="N129" s="9"/>
      <c r="O129" s="9"/>
      <c r="P129" s="9"/>
      <c r="Q129" s="9"/>
      <c r="R129" s="9"/>
      <c r="S129" s="9"/>
      <c r="T129" s="9"/>
      <c r="U129" s="9"/>
      <c r="V129" s="9"/>
      <c r="W129" s="9"/>
      <c r="X129" s="9"/>
      <c r="Y129" s="9"/>
      <c r="Z129" s="9"/>
      <c r="AA129" s="9"/>
      <c r="AB129" s="10" t="str">
        <f t="shared" si="6"/>
        <v/>
      </c>
      <c r="AC129" s="10" t="str">
        <f t="shared" si="7"/>
        <v/>
      </c>
      <c r="AD129" s="9"/>
      <c r="AE129" s="9"/>
      <c r="AF129" s="9"/>
      <c r="AG129" s="9"/>
      <c r="AH129" s="9"/>
      <c r="AI129" s="9"/>
      <c r="AJ129" s="9"/>
      <c r="AK129" s="9"/>
      <c r="AL129" s="9"/>
      <c r="AM129" s="9"/>
      <c r="AN129" s="9"/>
      <c r="AO129" s="9"/>
      <c r="AP129" s="9"/>
      <c r="AQ129" s="9"/>
      <c r="AR129" s="9"/>
      <c r="AS129" s="10" t="str">
        <f t="shared" si="8"/>
        <v/>
      </c>
      <c r="AT129" s="10" t="str">
        <f t="shared" si="9"/>
        <v/>
      </c>
      <c r="AU129" s="5" t="s">
        <v>267</v>
      </c>
    </row>
    <row r="130" spans="1:47" ht="15" customHeight="1" x14ac:dyDescent="0.3">
      <c r="A130" s="7" t="str">
        <f t="shared" ref="A130:A193" si="10">C130&amp;"_"&amp;G130</f>
        <v>26_2024</v>
      </c>
      <c r="B130" s="7">
        <v>129</v>
      </c>
      <c r="C130" s="7">
        <f>'Panel Data (Long Format)'!B130</f>
        <v>26</v>
      </c>
      <c r="D130" s="7" t="str">
        <f>'Panel Data (Long Format)'!C130</f>
        <v>CMFC</v>
      </c>
      <c r="E130" s="8" t="str">
        <f>'Panel Data (Long Format)'!D130</f>
        <v>Critical Minerals Financing Corp Plc (formerly Deap Capital Management &amp; Trust Plc)</v>
      </c>
      <c r="F130" s="7" t="str">
        <f>'Panel Data (Long Format)'!E130</f>
        <v>FINANCIAL SERVICES</v>
      </c>
      <c r="G130" s="7">
        <f>'Panel Data (Long Format)'!F130</f>
        <v>2024</v>
      </c>
      <c r="H130" s="9"/>
      <c r="I130" s="9"/>
      <c r="J130" s="9"/>
      <c r="K130" s="9"/>
      <c r="L130" s="9"/>
      <c r="M130" s="9"/>
      <c r="N130" s="9"/>
      <c r="O130" s="9"/>
      <c r="P130" s="9"/>
      <c r="Q130" s="9"/>
      <c r="R130" s="9"/>
      <c r="S130" s="9"/>
      <c r="T130" s="9"/>
      <c r="U130" s="9"/>
      <c r="V130" s="9"/>
      <c r="W130" s="9"/>
      <c r="X130" s="9"/>
      <c r="Y130" s="9"/>
      <c r="Z130" s="9"/>
      <c r="AA130" s="9"/>
      <c r="AB130" s="10" t="str">
        <f t="shared" ref="AB130:AB193" si="11">IF(COUNTBLANK(H130:AA130)&gt;0,"",SUM(H130:AA130))</f>
        <v/>
      </c>
      <c r="AC130" s="10" t="str">
        <f t="shared" ref="AC130:AC193" si="12">IF(AB130="","",AB130/20*100)</f>
        <v/>
      </c>
      <c r="AD130" s="9"/>
      <c r="AE130" s="9"/>
      <c r="AF130" s="9"/>
      <c r="AG130" s="9"/>
      <c r="AH130" s="9"/>
      <c r="AI130" s="9"/>
      <c r="AJ130" s="9"/>
      <c r="AK130" s="9"/>
      <c r="AL130" s="9"/>
      <c r="AM130" s="9"/>
      <c r="AN130" s="9"/>
      <c r="AO130" s="9"/>
      <c r="AP130" s="9"/>
      <c r="AQ130" s="9"/>
      <c r="AR130" s="9"/>
      <c r="AS130" s="10" t="str">
        <f t="shared" ref="AS130:AS193" si="13">IF(COUNTBLANK(AD130:AR130)&gt;0,"",SUM(AD130:AR130))</f>
        <v/>
      </c>
      <c r="AT130" s="10" t="str">
        <f t="shared" ref="AT130:AT193" si="14">IF(AS130="","",AS130/15*100)</f>
        <v/>
      </c>
      <c r="AU130" s="5" t="s">
        <v>268</v>
      </c>
    </row>
    <row r="131" spans="1:47" ht="15" customHeight="1" x14ac:dyDescent="0.3">
      <c r="A131" s="7" t="str">
        <f t="shared" si="10"/>
        <v>26_2025</v>
      </c>
      <c r="B131" s="7">
        <v>130</v>
      </c>
      <c r="C131" s="7">
        <f>'Panel Data (Long Format)'!B131</f>
        <v>26</v>
      </c>
      <c r="D131" s="7" t="str">
        <f>'Panel Data (Long Format)'!C131</f>
        <v>CMFC</v>
      </c>
      <c r="E131" s="8" t="str">
        <f>'Panel Data (Long Format)'!D131</f>
        <v>Critical Minerals Financing Corp Plc (formerly Deap Capital Management &amp; Trust Plc)</v>
      </c>
      <c r="F131" s="7" t="str">
        <f>'Panel Data (Long Format)'!E131</f>
        <v>FINANCIAL SERVICES</v>
      </c>
      <c r="G131" s="7">
        <f>'Panel Data (Long Format)'!F131</f>
        <v>2025</v>
      </c>
      <c r="H131" s="9"/>
      <c r="I131" s="9"/>
      <c r="J131" s="9"/>
      <c r="K131" s="9"/>
      <c r="L131" s="9"/>
      <c r="M131" s="9"/>
      <c r="N131" s="9"/>
      <c r="O131" s="9"/>
      <c r="P131" s="9"/>
      <c r="Q131" s="9"/>
      <c r="R131" s="9"/>
      <c r="S131" s="9"/>
      <c r="T131" s="9"/>
      <c r="U131" s="9"/>
      <c r="V131" s="9"/>
      <c r="W131" s="9"/>
      <c r="X131" s="9"/>
      <c r="Y131" s="9"/>
      <c r="Z131" s="9"/>
      <c r="AA131" s="9"/>
      <c r="AB131" s="10" t="str">
        <f t="shared" si="11"/>
        <v/>
      </c>
      <c r="AC131" s="10" t="str">
        <f t="shared" si="12"/>
        <v/>
      </c>
      <c r="AD131" s="9"/>
      <c r="AE131" s="9"/>
      <c r="AF131" s="9"/>
      <c r="AG131" s="9"/>
      <c r="AH131" s="9"/>
      <c r="AI131" s="9"/>
      <c r="AJ131" s="9"/>
      <c r="AK131" s="9"/>
      <c r="AL131" s="9"/>
      <c r="AM131" s="9"/>
      <c r="AN131" s="9"/>
      <c r="AO131" s="9"/>
      <c r="AP131" s="9"/>
      <c r="AQ131" s="9"/>
      <c r="AR131" s="9"/>
      <c r="AS131" s="10" t="str">
        <f t="shared" si="13"/>
        <v/>
      </c>
      <c r="AT131" s="10" t="str">
        <f t="shared" si="14"/>
        <v/>
      </c>
      <c r="AU131" s="5" t="s">
        <v>269</v>
      </c>
    </row>
    <row r="132" spans="1:47" ht="15" customHeight="1" x14ac:dyDescent="0.3">
      <c r="A132" s="7" t="str">
        <f t="shared" si="10"/>
        <v>27_2021</v>
      </c>
      <c r="B132" s="7">
        <v>131</v>
      </c>
      <c r="C132" s="7">
        <f>'Panel Data (Long Format)'!B132</f>
        <v>27</v>
      </c>
      <c r="D132" s="7" t="str">
        <f>'Panel Data (Long Format)'!C132</f>
        <v>CNIF</v>
      </c>
      <c r="E132" s="8" t="str">
        <f>'Panel Data (Long Format)'!D132</f>
        <v>Coronation Infrastructure Fund</v>
      </c>
      <c r="F132" s="7" t="str">
        <f>'Panel Data (Long Format)'!E132</f>
        <v>INDUSTRIAL GOODS</v>
      </c>
      <c r="G132" s="7">
        <f>'Panel Data (Long Format)'!F132</f>
        <v>2021</v>
      </c>
      <c r="H132" s="9"/>
      <c r="I132" s="9"/>
      <c r="J132" s="9"/>
      <c r="K132" s="9"/>
      <c r="L132" s="9"/>
      <c r="M132" s="9"/>
      <c r="N132" s="9"/>
      <c r="O132" s="9"/>
      <c r="P132" s="9"/>
      <c r="Q132" s="9"/>
      <c r="R132" s="9"/>
      <c r="S132" s="9"/>
      <c r="T132" s="9"/>
      <c r="U132" s="9"/>
      <c r="V132" s="9"/>
      <c r="W132" s="9"/>
      <c r="X132" s="9"/>
      <c r="Y132" s="9"/>
      <c r="Z132" s="9"/>
      <c r="AA132" s="9"/>
      <c r="AB132" s="10" t="str">
        <f t="shared" si="11"/>
        <v/>
      </c>
      <c r="AC132" s="10" t="str">
        <f t="shared" si="12"/>
        <v/>
      </c>
      <c r="AD132" s="9"/>
      <c r="AE132" s="9"/>
      <c r="AF132" s="9"/>
      <c r="AG132" s="9"/>
      <c r="AH132" s="9"/>
      <c r="AI132" s="9"/>
      <c r="AJ132" s="9"/>
      <c r="AK132" s="9"/>
      <c r="AL132" s="9"/>
      <c r="AM132" s="9"/>
      <c r="AN132" s="9"/>
      <c r="AO132" s="9"/>
      <c r="AP132" s="9"/>
      <c r="AQ132" s="9"/>
      <c r="AR132" s="9"/>
      <c r="AS132" s="10" t="str">
        <f t="shared" si="13"/>
        <v/>
      </c>
      <c r="AT132" s="10" t="str">
        <f t="shared" si="14"/>
        <v/>
      </c>
      <c r="AU132" s="5" t="s">
        <v>270</v>
      </c>
    </row>
    <row r="133" spans="1:47" ht="15" customHeight="1" x14ac:dyDescent="0.3">
      <c r="A133" s="7" t="str">
        <f t="shared" si="10"/>
        <v>27_2022</v>
      </c>
      <c r="B133" s="7">
        <v>132</v>
      </c>
      <c r="C133" s="7">
        <f>'Panel Data (Long Format)'!B133</f>
        <v>27</v>
      </c>
      <c r="D133" s="7" t="str">
        <f>'Panel Data (Long Format)'!C133</f>
        <v>CNIF</v>
      </c>
      <c r="E133" s="8" t="str">
        <f>'Panel Data (Long Format)'!D133</f>
        <v>Coronation Infrastructure Fund</v>
      </c>
      <c r="F133" s="7" t="str">
        <f>'Panel Data (Long Format)'!E133</f>
        <v>INDUSTRIAL GOODS</v>
      </c>
      <c r="G133" s="7">
        <f>'Panel Data (Long Format)'!F133</f>
        <v>2022</v>
      </c>
      <c r="H133" s="9"/>
      <c r="I133" s="9"/>
      <c r="J133" s="9"/>
      <c r="K133" s="9"/>
      <c r="L133" s="9"/>
      <c r="M133" s="9"/>
      <c r="N133" s="9"/>
      <c r="O133" s="9"/>
      <c r="P133" s="9"/>
      <c r="Q133" s="9"/>
      <c r="R133" s="9"/>
      <c r="S133" s="9"/>
      <c r="T133" s="9"/>
      <c r="U133" s="9"/>
      <c r="V133" s="9"/>
      <c r="W133" s="9"/>
      <c r="X133" s="9"/>
      <c r="Y133" s="9"/>
      <c r="Z133" s="9"/>
      <c r="AA133" s="9"/>
      <c r="AB133" s="10" t="str">
        <f t="shared" si="11"/>
        <v/>
      </c>
      <c r="AC133" s="10" t="str">
        <f t="shared" si="12"/>
        <v/>
      </c>
      <c r="AD133" s="9"/>
      <c r="AE133" s="9"/>
      <c r="AF133" s="9"/>
      <c r="AG133" s="9"/>
      <c r="AH133" s="9"/>
      <c r="AI133" s="9"/>
      <c r="AJ133" s="9"/>
      <c r="AK133" s="9"/>
      <c r="AL133" s="9"/>
      <c r="AM133" s="9"/>
      <c r="AN133" s="9"/>
      <c r="AO133" s="9"/>
      <c r="AP133" s="9"/>
      <c r="AQ133" s="9"/>
      <c r="AR133" s="9"/>
      <c r="AS133" s="10" t="str">
        <f t="shared" si="13"/>
        <v/>
      </c>
      <c r="AT133" s="10" t="str">
        <f t="shared" si="14"/>
        <v/>
      </c>
      <c r="AU133" s="5" t="s">
        <v>202</v>
      </c>
    </row>
    <row r="134" spans="1:47" ht="15" customHeight="1" x14ac:dyDescent="0.3">
      <c r="A134" s="7" t="str">
        <f t="shared" si="10"/>
        <v>27_2023</v>
      </c>
      <c r="B134" s="7">
        <v>133</v>
      </c>
      <c r="C134" s="7">
        <f>'Panel Data (Long Format)'!B134</f>
        <v>27</v>
      </c>
      <c r="D134" s="7" t="str">
        <f>'Panel Data (Long Format)'!C134</f>
        <v>CNIF</v>
      </c>
      <c r="E134" s="8" t="str">
        <f>'Panel Data (Long Format)'!D134</f>
        <v>Coronation Infrastructure Fund</v>
      </c>
      <c r="F134" s="7" t="str">
        <f>'Panel Data (Long Format)'!E134</f>
        <v>INDUSTRIAL GOODS</v>
      </c>
      <c r="G134" s="7">
        <f>'Panel Data (Long Format)'!F134</f>
        <v>2023</v>
      </c>
      <c r="H134" s="9"/>
      <c r="I134" s="9"/>
      <c r="J134" s="9"/>
      <c r="K134" s="9"/>
      <c r="L134" s="9"/>
      <c r="M134" s="9"/>
      <c r="N134" s="9"/>
      <c r="O134" s="9"/>
      <c r="P134" s="9"/>
      <c r="Q134" s="9"/>
      <c r="R134" s="9"/>
      <c r="S134" s="9"/>
      <c r="T134" s="9"/>
      <c r="U134" s="9"/>
      <c r="V134" s="9"/>
      <c r="W134" s="9"/>
      <c r="X134" s="9"/>
      <c r="Y134" s="9"/>
      <c r="Z134" s="9"/>
      <c r="AA134" s="9"/>
      <c r="AB134" s="10" t="str">
        <f t="shared" si="11"/>
        <v/>
      </c>
      <c r="AC134" s="10" t="str">
        <f t="shared" si="12"/>
        <v/>
      </c>
      <c r="AD134" s="9"/>
      <c r="AE134" s="9"/>
      <c r="AF134" s="9"/>
      <c r="AG134" s="9"/>
      <c r="AH134" s="9"/>
      <c r="AI134" s="9"/>
      <c r="AJ134" s="9"/>
      <c r="AK134" s="9"/>
      <c r="AL134" s="9"/>
      <c r="AM134" s="9"/>
      <c r="AN134" s="9"/>
      <c r="AO134" s="9"/>
      <c r="AP134" s="9"/>
      <c r="AQ134" s="9"/>
      <c r="AR134" s="9"/>
      <c r="AS134" s="10" t="str">
        <f t="shared" si="13"/>
        <v/>
      </c>
      <c r="AT134" s="10" t="str">
        <f t="shared" si="14"/>
        <v/>
      </c>
      <c r="AU134" s="5" t="s">
        <v>202</v>
      </c>
    </row>
    <row r="135" spans="1:47" ht="15" customHeight="1" x14ac:dyDescent="0.3">
      <c r="A135" s="7" t="str">
        <f t="shared" si="10"/>
        <v>27_2024</v>
      </c>
      <c r="B135" s="7">
        <v>134</v>
      </c>
      <c r="C135" s="7">
        <f>'Panel Data (Long Format)'!B135</f>
        <v>27</v>
      </c>
      <c r="D135" s="7" t="str">
        <f>'Panel Data (Long Format)'!C135</f>
        <v>CNIF</v>
      </c>
      <c r="E135" s="8" t="str">
        <f>'Panel Data (Long Format)'!D135</f>
        <v>Coronation Infrastructure Fund</v>
      </c>
      <c r="F135" s="7" t="str">
        <f>'Panel Data (Long Format)'!E135</f>
        <v>INDUSTRIAL GOODS</v>
      </c>
      <c r="G135" s="7">
        <f>'Panel Data (Long Format)'!F135</f>
        <v>2024</v>
      </c>
      <c r="H135" s="9"/>
      <c r="I135" s="9"/>
      <c r="J135" s="9"/>
      <c r="K135" s="9"/>
      <c r="L135" s="9"/>
      <c r="M135" s="9"/>
      <c r="N135" s="9"/>
      <c r="O135" s="9"/>
      <c r="P135" s="9"/>
      <c r="Q135" s="9"/>
      <c r="R135" s="9"/>
      <c r="S135" s="9"/>
      <c r="T135" s="9"/>
      <c r="U135" s="9"/>
      <c r="V135" s="9"/>
      <c r="W135" s="9"/>
      <c r="X135" s="9"/>
      <c r="Y135" s="9"/>
      <c r="Z135" s="9"/>
      <c r="AA135" s="9"/>
      <c r="AB135" s="10" t="str">
        <f t="shared" si="11"/>
        <v/>
      </c>
      <c r="AC135" s="10" t="str">
        <f t="shared" si="12"/>
        <v/>
      </c>
      <c r="AD135" s="9"/>
      <c r="AE135" s="9"/>
      <c r="AF135" s="9"/>
      <c r="AG135" s="9"/>
      <c r="AH135" s="9"/>
      <c r="AI135" s="9"/>
      <c r="AJ135" s="9"/>
      <c r="AK135" s="9"/>
      <c r="AL135" s="9"/>
      <c r="AM135" s="9"/>
      <c r="AN135" s="9"/>
      <c r="AO135" s="9"/>
      <c r="AP135" s="9"/>
      <c r="AQ135" s="9"/>
      <c r="AR135" s="9"/>
      <c r="AS135" s="10" t="str">
        <f t="shared" si="13"/>
        <v/>
      </c>
      <c r="AT135" s="10" t="str">
        <f t="shared" si="14"/>
        <v/>
      </c>
      <c r="AU135" s="5" t="s">
        <v>202</v>
      </c>
    </row>
    <row r="136" spans="1:47" ht="15" customHeight="1" x14ac:dyDescent="0.3">
      <c r="A136" s="7" t="str">
        <f t="shared" si="10"/>
        <v>27_2025</v>
      </c>
      <c r="B136" s="7">
        <v>135</v>
      </c>
      <c r="C136" s="7">
        <f>'Panel Data (Long Format)'!B136</f>
        <v>27</v>
      </c>
      <c r="D136" s="7" t="str">
        <f>'Panel Data (Long Format)'!C136</f>
        <v>CNIF</v>
      </c>
      <c r="E136" s="8" t="str">
        <f>'Panel Data (Long Format)'!D136</f>
        <v>Coronation Infrastructure Fund</v>
      </c>
      <c r="F136" s="7" t="str">
        <f>'Panel Data (Long Format)'!E136</f>
        <v>INDUSTRIAL GOODS</v>
      </c>
      <c r="G136" s="7">
        <f>'Panel Data (Long Format)'!F136</f>
        <v>2025</v>
      </c>
      <c r="H136" s="9">
        <v>0</v>
      </c>
      <c r="I136" s="9">
        <v>0</v>
      </c>
      <c r="J136" s="9">
        <v>0</v>
      </c>
      <c r="K136" s="9">
        <v>0</v>
      </c>
      <c r="L136" s="9">
        <v>0</v>
      </c>
      <c r="M136" s="9">
        <v>0</v>
      </c>
      <c r="N136" s="9">
        <v>0</v>
      </c>
      <c r="O136" s="9">
        <v>1</v>
      </c>
      <c r="P136" s="9">
        <v>0</v>
      </c>
      <c r="Q136" s="9">
        <v>0</v>
      </c>
      <c r="R136" s="9">
        <v>0</v>
      </c>
      <c r="S136" s="9">
        <v>0</v>
      </c>
      <c r="T136" s="9">
        <v>0</v>
      </c>
      <c r="U136" s="9">
        <v>0</v>
      </c>
      <c r="V136" s="9">
        <v>0</v>
      </c>
      <c r="W136" s="9">
        <v>1</v>
      </c>
      <c r="X136" s="9">
        <v>1</v>
      </c>
      <c r="Y136" s="9">
        <v>1</v>
      </c>
      <c r="Z136" s="9">
        <v>0</v>
      </c>
      <c r="AA136" s="9">
        <v>0</v>
      </c>
      <c r="AB136" s="10">
        <f t="shared" si="11"/>
        <v>4</v>
      </c>
      <c r="AC136" s="10">
        <f t="shared" si="12"/>
        <v>20</v>
      </c>
      <c r="AD136" s="9">
        <v>0</v>
      </c>
      <c r="AE136" s="9">
        <v>0</v>
      </c>
      <c r="AF136" s="9">
        <v>0</v>
      </c>
      <c r="AG136" s="9">
        <v>0</v>
      </c>
      <c r="AH136" s="9">
        <v>0</v>
      </c>
      <c r="AI136" s="9">
        <v>0</v>
      </c>
      <c r="AJ136" s="9">
        <v>0</v>
      </c>
      <c r="AK136" s="9">
        <v>0</v>
      </c>
      <c r="AL136" s="9">
        <v>0</v>
      </c>
      <c r="AM136" s="9">
        <v>0</v>
      </c>
      <c r="AN136" s="9">
        <v>0</v>
      </c>
      <c r="AO136" s="9">
        <v>0</v>
      </c>
      <c r="AP136" s="9">
        <v>0</v>
      </c>
      <c r="AQ136" s="9">
        <v>0</v>
      </c>
      <c r="AR136" s="9">
        <v>0</v>
      </c>
      <c r="AS136" s="10">
        <f t="shared" si="13"/>
        <v>0</v>
      </c>
      <c r="AT136" s="10">
        <f t="shared" si="14"/>
        <v>0</v>
      </c>
      <c r="AU136" s="5" t="s">
        <v>271</v>
      </c>
    </row>
    <row r="137" spans="1:47" ht="15" customHeight="1" x14ac:dyDescent="0.3">
      <c r="A137" s="7" t="str">
        <f t="shared" si="10"/>
        <v>28_2021</v>
      </c>
      <c r="B137" s="7">
        <v>136</v>
      </c>
      <c r="C137" s="7">
        <f>'Panel Data (Long Format)'!B137</f>
        <v>28</v>
      </c>
      <c r="D137" s="7" t="str">
        <f>'Panel Data (Long Format)'!C137</f>
        <v>CONHALLPLC</v>
      </c>
      <c r="E137" s="8" t="str">
        <f>'Panel Data (Long Format)'!D137</f>
        <v>Consolidated Hallmark Holdings Plc (formerly Consolidated Hallmark Insurance Plc)</v>
      </c>
      <c r="F137" s="7" t="str">
        <f>'Panel Data (Long Format)'!E137</f>
        <v>FINANCIAL SERVICES</v>
      </c>
      <c r="G137" s="7">
        <f>'Panel Data (Long Format)'!F137</f>
        <v>2021</v>
      </c>
      <c r="H137" s="9">
        <v>0</v>
      </c>
      <c r="I137" s="9">
        <v>0</v>
      </c>
      <c r="J137" s="9">
        <v>0</v>
      </c>
      <c r="K137" s="9">
        <v>0</v>
      </c>
      <c r="L137" s="9">
        <v>0</v>
      </c>
      <c r="M137" s="9">
        <v>0</v>
      </c>
      <c r="N137" s="9">
        <v>0</v>
      </c>
      <c r="O137" s="9">
        <v>0</v>
      </c>
      <c r="P137" s="9">
        <v>0</v>
      </c>
      <c r="Q137" s="9">
        <v>0</v>
      </c>
      <c r="R137" s="9">
        <v>1</v>
      </c>
      <c r="S137" s="9">
        <v>0</v>
      </c>
      <c r="T137" s="9">
        <v>0</v>
      </c>
      <c r="U137" s="9">
        <v>1</v>
      </c>
      <c r="V137" s="9">
        <v>0</v>
      </c>
      <c r="W137" s="9">
        <v>1</v>
      </c>
      <c r="X137" s="9">
        <v>0</v>
      </c>
      <c r="Y137" s="9">
        <v>0</v>
      </c>
      <c r="Z137" s="9">
        <v>0</v>
      </c>
      <c r="AA137" s="9">
        <v>0</v>
      </c>
      <c r="AB137" s="10">
        <f t="shared" si="11"/>
        <v>3</v>
      </c>
      <c r="AC137" s="10">
        <f t="shared" si="12"/>
        <v>15</v>
      </c>
      <c r="AD137" s="9">
        <v>0</v>
      </c>
      <c r="AE137" s="9">
        <v>0</v>
      </c>
      <c r="AF137" s="9">
        <v>0</v>
      </c>
      <c r="AG137" s="9">
        <v>0</v>
      </c>
      <c r="AH137" s="9">
        <v>0</v>
      </c>
      <c r="AI137" s="9">
        <v>0</v>
      </c>
      <c r="AJ137" s="9">
        <v>0</v>
      </c>
      <c r="AK137" s="9">
        <v>0</v>
      </c>
      <c r="AL137" s="9">
        <v>0</v>
      </c>
      <c r="AM137" s="9">
        <v>0</v>
      </c>
      <c r="AN137" s="9">
        <v>0</v>
      </c>
      <c r="AO137" s="9">
        <v>0</v>
      </c>
      <c r="AP137" s="9">
        <v>0</v>
      </c>
      <c r="AQ137" s="9">
        <v>0</v>
      </c>
      <c r="AR137" s="9">
        <v>0</v>
      </c>
      <c r="AS137" s="10">
        <f t="shared" si="13"/>
        <v>0</v>
      </c>
      <c r="AT137" s="10">
        <f t="shared" si="14"/>
        <v>0</v>
      </c>
      <c r="AU137" s="5" t="s">
        <v>272</v>
      </c>
    </row>
    <row r="138" spans="1:47" ht="15" customHeight="1" x14ac:dyDescent="0.3">
      <c r="A138" s="7" t="str">
        <f t="shared" si="10"/>
        <v>28_2022</v>
      </c>
      <c r="B138" s="7">
        <v>137</v>
      </c>
      <c r="C138" s="7">
        <f>'Panel Data (Long Format)'!B138</f>
        <v>28</v>
      </c>
      <c r="D138" s="7" t="str">
        <f>'Panel Data (Long Format)'!C138</f>
        <v>CONHALLPLC</v>
      </c>
      <c r="E138" s="8" t="str">
        <f>'Panel Data (Long Format)'!D138</f>
        <v>Consolidated Hallmark Holdings Plc (formerly Consolidated Hallmark Insurance Plc)</v>
      </c>
      <c r="F138" s="7" t="str">
        <f>'Panel Data (Long Format)'!E138</f>
        <v>FINANCIAL SERVICES</v>
      </c>
      <c r="G138" s="7">
        <f>'Panel Data (Long Format)'!F138</f>
        <v>2022</v>
      </c>
      <c r="H138" s="9">
        <v>0</v>
      </c>
      <c r="I138" s="9">
        <v>0</v>
      </c>
      <c r="J138" s="9">
        <v>0</v>
      </c>
      <c r="K138" s="9">
        <v>0</v>
      </c>
      <c r="L138" s="9">
        <v>0</v>
      </c>
      <c r="M138" s="9">
        <v>0</v>
      </c>
      <c r="N138" s="9">
        <v>0</v>
      </c>
      <c r="O138" s="9">
        <v>0</v>
      </c>
      <c r="P138" s="9">
        <v>0</v>
      </c>
      <c r="Q138" s="9">
        <v>0</v>
      </c>
      <c r="R138" s="9">
        <v>1</v>
      </c>
      <c r="S138" s="9">
        <v>0</v>
      </c>
      <c r="T138" s="9">
        <v>0</v>
      </c>
      <c r="U138" s="9">
        <v>1</v>
      </c>
      <c r="V138" s="9">
        <v>0</v>
      </c>
      <c r="W138" s="9">
        <v>1</v>
      </c>
      <c r="X138" s="9">
        <v>0</v>
      </c>
      <c r="Y138" s="9">
        <v>0</v>
      </c>
      <c r="Z138" s="9">
        <v>0</v>
      </c>
      <c r="AA138" s="9">
        <v>0</v>
      </c>
      <c r="AB138" s="10">
        <f t="shared" si="11"/>
        <v>3</v>
      </c>
      <c r="AC138" s="10">
        <f t="shared" si="12"/>
        <v>15</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10">
        <f t="shared" si="13"/>
        <v>0</v>
      </c>
      <c r="AT138" s="10">
        <f t="shared" si="14"/>
        <v>0</v>
      </c>
      <c r="AU138" s="5" t="s">
        <v>273</v>
      </c>
    </row>
    <row r="139" spans="1:47" ht="15" customHeight="1" x14ac:dyDescent="0.3">
      <c r="A139" s="7" t="str">
        <f t="shared" si="10"/>
        <v>28_2023</v>
      </c>
      <c r="B139" s="7">
        <v>138</v>
      </c>
      <c r="C139" s="7">
        <f>'Panel Data (Long Format)'!B139</f>
        <v>28</v>
      </c>
      <c r="D139" s="7" t="str">
        <f>'Panel Data (Long Format)'!C139</f>
        <v>CONHALLPLC</v>
      </c>
      <c r="E139" s="8" t="str">
        <f>'Panel Data (Long Format)'!D139</f>
        <v>Consolidated Hallmark Holdings Plc (formerly Consolidated Hallmark Insurance Plc)</v>
      </c>
      <c r="F139" s="7" t="str">
        <f>'Panel Data (Long Format)'!E139</f>
        <v>FINANCIAL SERVICES</v>
      </c>
      <c r="G139" s="7">
        <f>'Panel Data (Long Format)'!F139</f>
        <v>2023</v>
      </c>
      <c r="H139" s="9">
        <v>0</v>
      </c>
      <c r="I139" s="9">
        <v>0</v>
      </c>
      <c r="J139" s="9">
        <v>0</v>
      </c>
      <c r="K139" s="9">
        <v>0</v>
      </c>
      <c r="L139" s="9">
        <v>0</v>
      </c>
      <c r="M139" s="9">
        <v>0</v>
      </c>
      <c r="N139" s="9">
        <v>0</v>
      </c>
      <c r="O139" s="9">
        <v>0</v>
      </c>
      <c r="P139" s="9">
        <v>0</v>
      </c>
      <c r="Q139" s="9">
        <v>0</v>
      </c>
      <c r="R139" s="9">
        <v>0</v>
      </c>
      <c r="S139" s="9">
        <v>0</v>
      </c>
      <c r="T139" s="9">
        <v>0</v>
      </c>
      <c r="U139" s="9">
        <v>0</v>
      </c>
      <c r="V139" s="9">
        <v>0</v>
      </c>
      <c r="W139" s="9">
        <v>0</v>
      </c>
      <c r="X139" s="9">
        <v>0</v>
      </c>
      <c r="Y139" s="9">
        <v>0</v>
      </c>
      <c r="Z139" s="9">
        <v>0</v>
      </c>
      <c r="AA139" s="9">
        <v>0</v>
      </c>
      <c r="AB139" s="10">
        <f t="shared" si="11"/>
        <v>0</v>
      </c>
      <c r="AC139" s="10">
        <f t="shared" si="12"/>
        <v>0</v>
      </c>
      <c r="AD139" s="9">
        <v>0</v>
      </c>
      <c r="AE139" s="9">
        <v>0</v>
      </c>
      <c r="AF139" s="9">
        <v>0</v>
      </c>
      <c r="AG139" s="9">
        <v>0</v>
      </c>
      <c r="AH139" s="9">
        <v>0</v>
      </c>
      <c r="AI139" s="9">
        <v>0</v>
      </c>
      <c r="AJ139" s="9">
        <v>0</v>
      </c>
      <c r="AK139" s="9">
        <v>0</v>
      </c>
      <c r="AL139" s="9">
        <v>0</v>
      </c>
      <c r="AM139" s="9">
        <v>0</v>
      </c>
      <c r="AN139" s="9">
        <v>0</v>
      </c>
      <c r="AO139" s="9">
        <v>0</v>
      </c>
      <c r="AP139" s="9">
        <v>0</v>
      </c>
      <c r="AQ139" s="9">
        <v>0</v>
      </c>
      <c r="AR139" s="9">
        <v>0</v>
      </c>
      <c r="AS139" s="10">
        <f t="shared" si="13"/>
        <v>0</v>
      </c>
      <c r="AT139" s="10">
        <f t="shared" si="14"/>
        <v>0</v>
      </c>
      <c r="AU139" s="5" t="s">
        <v>274</v>
      </c>
    </row>
    <row r="140" spans="1:47" ht="15" customHeight="1" x14ac:dyDescent="0.3">
      <c r="A140" s="7" t="str">
        <f t="shared" si="10"/>
        <v>28_2024</v>
      </c>
      <c r="B140" s="7">
        <v>139</v>
      </c>
      <c r="C140" s="7">
        <f>'Panel Data (Long Format)'!B140</f>
        <v>28</v>
      </c>
      <c r="D140" s="7" t="str">
        <f>'Panel Data (Long Format)'!C140</f>
        <v>CONHALLPLC</v>
      </c>
      <c r="E140" s="8" t="str">
        <f>'Panel Data (Long Format)'!D140</f>
        <v>Consolidated Hallmark Holdings Plc (formerly Consolidated Hallmark Insurance Plc)</v>
      </c>
      <c r="F140" s="7" t="str">
        <f>'Panel Data (Long Format)'!E140</f>
        <v>FINANCIAL SERVICES</v>
      </c>
      <c r="G140" s="7">
        <f>'Panel Data (Long Format)'!F140</f>
        <v>2024</v>
      </c>
      <c r="H140" s="9">
        <v>0</v>
      </c>
      <c r="I140" s="9">
        <v>0</v>
      </c>
      <c r="J140" s="9">
        <v>0</v>
      </c>
      <c r="K140" s="9">
        <v>0</v>
      </c>
      <c r="L140" s="9">
        <v>0</v>
      </c>
      <c r="M140" s="9">
        <v>0</v>
      </c>
      <c r="N140" s="9">
        <v>0</v>
      </c>
      <c r="O140" s="9">
        <v>0</v>
      </c>
      <c r="P140" s="9">
        <v>0</v>
      </c>
      <c r="Q140" s="9">
        <v>0</v>
      </c>
      <c r="R140" s="9">
        <v>0</v>
      </c>
      <c r="S140" s="9">
        <v>0</v>
      </c>
      <c r="T140" s="9">
        <v>0</v>
      </c>
      <c r="U140" s="9">
        <v>0</v>
      </c>
      <c r="V140" s="9">
        <v>0</v>
      </c>
      <c r="W140" s="9">
        <v>0</v>
      </c>
      <c r="X140" s="9">
        <v>0</v>
      </c>
      <c r="Y140" s="9">
        <v>0</v>
      </c>
      <c r="Z140" s="9">
        <v>0</v>
      </c>
      <c r="AA140" s="9">
        <v>0</v>
      </c>
      <c r="AB140" s="10">
        <f t="shared" si="11"/>
        <v>0</v>
      </c>
      <c r="AC140" s="10">
        <f t="shared" si="12"/>
        <v>0</v>
      </c>
      <c r="AD140" s="9">
        <v>0</v>
      </c>
      <c r="AE140" s="9">
        <v>0</v>
      </c>
      <c r="AF140" s="9">
        <v>0</v>
      </c>
      <c r="AG140" s="9">
        <v>0</v>
      </c>
      <c r="AH140" s="9">
        <v>0</v>
      </c>
      <c r="AI140" s="9">
        <v>0</v>
      </c>
      <c r="AJ140" s="9">
        <v>0</v>
      </c>
      <c r="AK140" s="9">
        <v>0</v>
      </c>
      <c r="AL140" s="9">
        <v>0</v>
      </c>
      <c r="AM140" s="9">
        <v>0</v>
      </c>
      <c r="AN140" s="9">
        <v>0</v>
      </c>
      <c r="AO140" s="9">
        <v>0</v>
      </c>
      <c r="AP140" s="9">
        <v>0</v>
      </c>
      <c r="AQ140" s="9">
        <v>0</v>
      </c>
      <c r="AR140" s="9">
        <v>0</v>
      </c>
      <c r="AS140" s="10">
        <f t="shared" si="13"/>
        <v>0</v>
      </c>
      <c r="AT140" s="10">
        <f t="shared" si="14"/>
        <v>0</v>
      </c>
      <c r="AU140" s="5" t="s">
        <v>275</v>
      </c>
    </row>
    <row r="141" spans="1:47" ht="15" customHeight="1" x14ac:dyDescent="0.3">
      <c r="A141" s="7" t="str">
        <f t="shared" si="10"/>
        <v>28_2025</v>
      </c>
      <c r="B141" s="7">
        <v>140</v>
      </c>
      <c r="C141" s="7">
        <f>'Panel Data (Long Format)'!B141</f>
        <v>28</v>
      </c>
      <c r="D141" s="7" t="str">
        <f>'Panel Data (Long Format)'!C141</f>
        <v>CONHALLPLC</v>
      </c>
      <c r="E141" s="8" t="str">
        <f>'Panel Data (Long Format)'!D141</f>
        <v>Consolidated Hallmark Holdings Plc (formerly Consolidated Hallmark Insurance Plc)</v>
      </c>
      <c r="F141" s="7" t="str">
        <f>'Panel Data (Long Format)'!E141</f>
        <v>FINANCIAL SERVICES</v>
      </c>
      <c r="G141" s="7">
        <f>'Panel Data (Long Format)'!F141</f>
        <v>2025</v>
      </c>
      <c r="H141" s="9">
        <v>0</v>
      </c>
      <c r="I141" s="9">
        <v>0</v>
      </c>
      <c r="J141" s="9">
        <v>0</v>
      </c>
      <c r="K141" s="9">
        <v>0</v>
      </c>
      <c r="L141" s="9">
        <v>0</v>
      </c>
      <c r="M141" s="9">
        <v>0</v>
      </c>
      <c r="N141" s="9">
        <v>0</v>
      </c>
      <c r="O141" s="9">
        <v>0</v>
      </c>
      <c r="P141" s="9">
        <v>0</v>
      </c>
      <c r="Q141" s="9">
        <v>0</v>
      </c>
      <c r="R141" s="9">
        <v>0</v>
      </c>
      <c r="S141" s="9">
        <v>0</v>
      </c>
      <c r="T141" s="9">
        <v>0</v>
      </c>
      <c r="U141" s="9">
        <v>0</v>
      </c>
      <c r="V141" s="9">
        <v>0</v>
      </c>
      <c r="W141" s="9">
        <v>0</v>
      </c>
      <c r="X141" s="9">
        <v>0</v>
      </c>
      <c r="Y141" s="9">
        <v>0</v>
      </c>
      <c r="Z141" s="9">
        <v>0</v>
      </c>
      <c r="AA141" s="9">
        <v>0</v>
      </c>
      <c r="AB141" s="10">
        <f t="shared" si="11"/>
        <v>0</v>
      </c>
      <c r="AC141" s="10">
        <f t="shared" si="12"/>
        <v>0</v>
      </c>
      <c r="AD141" s="9">
        <v>0</v>
      </c>
      <c r="AE141" s="9">
        <v>0</v>
      </c>
      <c r="AF141" s="9">
        <v>0</v>
      </c>
      <c r="AG141" s="9">
        <v>0</v>
      </c>
      <c r="AH141" s="9">
        <v>0</v>
      </c>
      <c r="AI141" s="9">
        <v>0</v>
      </c>
      <c r="AJ141" s="9">
        <v>0</v>
      </c>
      <c r="AK141" s="9">
        <v>0</v>
      </c>
      <c r="AL141" s="9">
        <v>0</v>
      </c>
      <c r="AM141" s="9">
        <v>0</v>
      </c>
      <c r="AN141" s="9">
        <v>0</v>
      </c>
      <c r="AO141" s="9">
        <v>0</v>
      </c>
      <c r="AP141" s="9">
        <v>0</v>
      </c>
      <c r="AQ141" s="9">
        <v>0</v>
      </c>
      <c r="AR141" s="9">
        <v>0</v>
      </c>
      <c r="AS141" s="10">
        <f t="shared" si="13"/>
        <v>0</v>
      </c>
      <c r="AT141" s="10">
        <f t="shared" si="14"/>
        <v>0</v>
      </c>
      <c r="AU141" s="5" t="s">
        <v>276</v>
      </c>
    </row>
    <row r="142" spans="1:47" ht="15" customHeight="1" x14ac:dyDescent="0.3">
      <c r="A142" s="7" t="str">
        <f t="shared" si="10"/>
        <v>29_2021</v>
      </c>
      <c r="B142" s="7">
        <v>141</v>
      </c>
      <c r="C142" s="7">
        <f>'Panel Data (Long Format)'!B142</f>
        <v>29</v>
      </c>
      <c r="D142" s="7" t="str">
        <f>'Panel Data (Long Format)'!C142</f>
        <v>CONOIL</v>
      </c>
      <c r="E142" s="8" t="str">
        <f>'Panel Data (Long Format)'!D142</f>
        <v>Conoil Plc</v>
      </c>
      <c r="F142" s="7" t="str">
        <f>'Panel Data (Long Format)'!E142</f>
        <v>OIL AND GAS</v>
      </c>
      <c r="G142" s="7">
        <f>'Panel Data (Long Format)'!F142</f>
        <v>2021</v>
      </c>
      <c r="H142" s="9">
        <v>0</v>
      </c>
      <c r="I142" s="9">
        <v>0</v>
      </c>
      <c r="J142" s="9">
        <v>0</v>
      </c>
      <c r="K142" s="9">
        <v>0</v>
      </c>
      <c r="L142" s="9">
        <v>0</v>
      </c>
      <c r="M142" s="9">
        <v>0</v>
      </c>
      <c r="N142" s="9">
        <v>0</v>
      </c>
      <c r="O142" s="9">
        <v>0</v>
      </c>
      <c r="P142" s="9">
        <v>0</v>
      </c>
      <c r="Q142" s="9">
        <v>0</v>
      </c>
      <c r="R142" s="9">
        <v>0</v>
      </c>
      <c r="S142" s="9">
        <v>0</v>
      </c>
      <c r="T142" s="9">
        <v>0</v>
      </c>
      <c r="U142" s="9">
        <v>0</v>
      </c>
      <c r="V142" s="9">
        <v>0</v>
      </c>
      <c r="W142" s="9">
        <v>1</v>
      </c>
      <c r="X142" s="9">
        <v>0</v>
      </c>
      <c r="Y142" s="9">
        <v>0</v>
      </c>
      <c r="Z142" s="9">
        <v>0</v>
      </c>
      <c r="AA142" s="9">
        <v>0</v>
      </c>
      <c r="AB142" s="10">
        <f t="shared" si="11"/>
        <v>1</v>
      </c>
      <c r="AC142" s="10">
        <f t="shared" si="12"/>
        <v>5</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10">
        <f t="shared" si="13"/>
        <v>0</v>
      </c>
      <c r="AT142" s="10">
        <f t="shared" si="14"/>
        <v>0</v>
      </c>
      <c r="AU142" s="5" t="s">
        <v>277</v>
      </c>
    </row>
    <row r="143" spans="1:47" ht="15" customHeight="1" x14ac:dyDescent="0.3">
      <c r="A143" s="7" t="str">
        <f t="shared" si="10"/>
        <v>29_2022</v>
      </c>
      <c r="B143" s="7">
        <v>142</v>
      </c>
      <c r="C143" s="7">
        <f>'Panel Data (Long Format)'!B143</f>
        <v>29</v>
      </c>
      <c r="D143" s="7" t="str">
        <f>'Panel Data (Long Format)'!C143</f>
        <v>CONOIL</v>
      </c>
      <c r="E143" s="8" t="str">
        <f>'Panel Data (Long Format)'!D143</f>
        <v>Conoil Plc</v>
      </c>
      <c r="F143" s="7" t="str">
        <f>'Panel Data (Long Format)'!E143</f>
        <v>OIL AND GAS</v>
      </c>
      <c r="G143" s="7">
        <f>'Panel Data (Long Format)'!F143</f>
        <v>2022</v>
      </c>
      <c r="H143" s="9">
        <v>0</v>
      </c>
      <c r="I143" s="9">
        <v>0</v>
      </c>
      <c r="J143" s="9">
        <v>0</v>
      </c>
      <c r="K143" s="9">
        <v>0</v>
      </c>
      <c r="L143" s="9">
        <v>0</v>
      </c>
      <c r="M143" s="9">
        <v>0</v>
      </c>
      <c r="N143" s="9">
        <v>0</v>
      </c>
      <c r="O143" s="9">
        <v>0</v>
      </c>
      <c r="P143" s="9">
        <v>0</v>
      </c>
      <c r="Q143" s="9">
        <v>0</v>
      </c>
      <c r="R143" s="9">
        <v>0</v>
      </c>
      <c r="S143" s="9">
        <v>0</v>
      </c>
      <c r="T143" s="9">
        <v>0</v>
      </c>
      <c r="U143" s="9">
        <v>0</v>
      </c>
      <c r="V143" s="9">
        <v>0</v>
      </c>
      <c r="W143" s="9">
        <v>1</v>
      </c>
      <c r="X143" s="9">
        <v>0</v>
      </c>
      <c r="Y143" s="9">
        <v>0</v>
      </c>
      <c r="Z143" s="9">
        <v>0</v>
      </c>
      <c r="AA143" s="9">
        <v>0</v>
      </c>
      <c r="AB143" s="10">
        <f t="shared" si="11"/>
        <v>1</v>
      </c>
      <c r="AC143" s="10">
        <f t="shared" si="12"/>
        <v>5</v>
      </c>
      <c r="AD143" s="9">
        <v>0</v>
      </c>
      <c r="AE143" s="9">
        <v>0</v>
      </c>
      <c r="AF143" s="9">
        <v>0</v>
      </c>
      <c r="AG143" s="9">
        <v>0</v>
      </c>
      <c r="AH143" s="9">
        <v>0</v>
      </c>
      <c r="AI143" s="9">
        <v>0</v>
      </c>
      <c r="AJ143" s="9">
        <v>0</v>
      </c>
      <c r="AK143" s="9">
        <v>0</v>
      </c>
      <c r="AL143" s="9">
        <v>0</v>
      </c>
      <c r="AM143" s="9">
        <v>0</v>
      </c>
      <c r="AN143" s="9">
        <v>0</v>
      </c>
      <c r="AO143" s="9">
        <v>0</v>
      </c>
      <c r="AP143" s="9">
        <v>0</v>
      </c>
      <c r="AQ143" s="9">
        <v>0</v>
      </c>
      <c r="AR143" s="9">
        <v>0</v>
      </c>
      <c r="AS143" s="10">
        <f t="shared" si="13"/>
        <v>0</v>
      </c>
      <c r="AT143" s="10">
        <f t="shared" si="14"/>
        <v>0</v>
      </c>
      <c r="AU143" s="5" t="s">
        <v>278</v>
      </c>
    </row>
    <row r="144" spans="1:47" ht="15" customHeight="1" x14ac:dyDescent="0.3">
      <c r="A144" s="7" t="str">
        <f t="shared" si="10"/>
        <v>29_2023</v>
      </c>
      <c r="B144" s="7">
        <v>143</v>
      </c>
      <c r="C144" s="7">
        <f>'Panel Data (Long Format)'!B144</f>
        <v>29</v>
      </c>
      <c r="D144" s="7" t="str">
        <f>'Panel Data (Long Format)'!C144</f>
        <v>CONOIL</v>
      </c>
      <c r="E144" s="8" t="str">
        <f>'Panel Data (Long Format)'!D144</f>
        <v>Conoil Plc</v>
      </c>
      <c r="F144" s="7" t="str">
        <f>'Panel Data (Long Format)'!E144</f>
        <v>OIL AND GAS</v>
      </c>
      <c r="G144" s="7">
        <f>'Panel Data (Long Format)'!F144</f>
        <v>2023</v>
      </c>
      <c r="H144" s="9">
        <v>0</v>
      </c>
      <c r="I144" s="9">
        <v>0</v>
      </c>
      <c r="J144" s="9">
        <v>0</v>
      </c>
      <c r="K144" s="9">
        <v>0</v>
      </c>
      <c r="L144" s="9">
        <v>0</v>
      </c>
      <c r="M144" s="9">
        <v>0</v>
      </c>
      <c r="N144" s="9">
        <v>0</v>
      </c>
      <c r="O144" s="9">
        <v>0</v>
      </c>
      <c r="P144" s="9">
        <v>0</v>
      </c>
      <c r="Q144" s="9">
        <v>0</v>
      </c>
      <c r="R144" s="9">
        <v>0</v>
      </c>
      <c r="S144" s="9">
        <v>0</v>
      </c>
      <c r="T144" s="9">
        <v>0</v>
      </c>
      <c r="U144" s="9">
        <v>0</v>
      </c>
      <c r="V144" s="9">
        <v>0</v>
      </c>
      <c r="W144" s="9">
        <v>1</v>
      </c>
      <c r="X144" s="9">
        <v>0</v>
      </c>
      <c r="Y144" s="9">
        <v>0</v>
      </c>
      <c r="Z144" s="9">
        <v>0</v>
      </c>
      <c r="AA144" s="9">
        <v>0</v>
      </c>
      <c r="AB144" s="10">
        <f t="shared" si="11"/>
        <v>1</v>
      </c>
      <c r="AC144" s="10">
        <f t="shared" si="12"/>
        <v>5</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10">
        <f t="shared" si="13"/>
        <v>0</v>
      </c>
      <c r="AT144" s="10">
        <f t="shared" si="14"/>
        <v>0</v>
      </c>
      <c r="AU144" s="5" t="s">
        <v>279</v>
      </c>
    </row>
    <row r="145" spans="1:47" ht="15" customHeight="1" x14ac:dyDescent="0.3">
      <c r="A145" s="7" t="str">
        <f t="shared" si="10"/>
        <v>29_2024</v>
      </c>
      <c r="B145" s="7">
        <v>144</v>
      </c>
      <c r="C145" s="7">
        <f>'Panel Data (Long Format)'!B145</f>
        <v>29</v>
      </c>
      <c r="D145" s="7" t="str">
        <f>'Panel Data (Long Format)'!C145</f>
        <v>CONOIL</v>
      </c>
      <c r="E145" s="8" t="str">
        <f>'Panel Data (Long Format)'!D145</f>
        <v>Conoil Plc</v>
      </c>
      <c r="F145" s="7" t="str">
        <f>'Panel Data (Long Format)'!E145</f>
        <v>OIL AND GAS</v>
      </c>
      <c r="G145" s="7">
        <f>'Panel Data (Long Format)'!F145</f>
        <v>2024</v>
      </c>
      <c r="H145" s="9">
        <v>0</v>
      </c>
      <c r="I145" s="9">
        <v>0</v>
      </c>
      <c r="J145" s="9">
        <v>0</v>
      </c>
      <c r="K145" s="9">
        <v>0</v>
      </c>
      <c r="L145" s="9">
        <v>0</v>
      </c>
      <c r="M145" s="9">
        <v>0</v>
      </c>
      <c r="N145" s="9">
        <v>0</v>
      </c>
      <c r="O145" s="9">
        <v>0</v>
      </c>
      <c r="P145" s="9">
        <v>0</v>
      </c>
      <c r="Q145" s="9">
        <v>0</v>
      </c>
      <c r="R145" s="9">
        <v>0</v>
      </c>
      <c r="S145" s="9">
        <v>0</v>
      </c>
      <c r="T145" s="9">
        <v>0</v>
      </c>
      <c r="U145" s="9">
        <v>0</v>
      </c>
      <c r="V145" s="9">
        <v>0</v>
      </c>
      <c r="W145" s="9">
        <v>1</v>
      </c>
      <c r="X145" s="9">
        <v>0</v>
      </c>
      <c r="Y145" s="9">
        <v>0</v>
      </c>
      <c r="Z145" s="9">
        <v>0</v>
      </c>
      <c r="AA145" s="9">
        <v>0</v>
      </c>
      <c r="AB145" s="10">
        <f t="shared" si="11"/>
        <v>1</v>
      </c>
      <c r="AC145" s="10">
        <f t="shared" si="12"/>
        <v>5</v>
      </c>
      <c r="AD145" s="9">
        <v>0</v>
      </c>
      <c r="AE145" s="9">
        <v>0</v>
      </c>
      <c r="AF145" s="9">
        <v>0</v>
      </c>
      <c r="AG145" s="9">
        <v>0</v>
      </c>
      <c r="AH145" s="9">
        <v>0</v>
      </c>
      <c r="AI145" s="9">
        <v>0</v>
      </c>
      <c r="AJ145" s="9">
        <v>0</v>
      </c>
      <c r="AK145" s="9">
        <v>0</v>
      </c>
      <c r="AL145" s="9">
        <v>0</v>
      </c>
      <c r="AM145" s="9">
        <v>0</v>
      </c>
      <c r="AN145" s="9">
        <v>0</v>
      </c>
      <c r="AO145" s="9">
        <v>0</v>
      </c>
      <c r="AP145" s="9">
        <v>0</v>
      </c>
      <c r="AQ145" s="9">
        <v>0</v>
      </c>
      <c r="AR145" s="9">
        <v>0</v>
      </c>
      <c r="AS145" s="10">
        <f t="shared" si="13"/>
        <v>0</v>
      </c>
      <c r="AT145" s="10">
        <f t="shared" si="14"/>
        <v>0</v>
      </c>
      <c r="AU145" s="5" t="s">
        <v>280</v>
      </c>
    </row>
    <row r="146" spans="1:47" ht="15" customHeight="1" x14ac:dyDescent="0.3">
      <c r="A146" s="7" t="str">
        <f t="shared" si="10"/>
        <v>29_2025</v>
      </c>
      <c r="B146" s="7">
        <v>145</v>
      </c>
      <c r="C146" s="7">
        <f>'Panel Data (Long Format)'!B146</f>
        <v>29</v>
      </c>
      <c r="D146" s="7" t="str">
        <f>'Panel Data (Long Format)'!C146</f>
        <v>CONOIL</v>
      </c>
      <c r="E146" s="8" t="str">
        <f>'Panel Data (Long Format)'!D146</f>
        <v>Conoil Plc</v>
      </c>
      <c r="F146" s="7" t="str">
        <f>'Panel Data (Long Format)'!E146</f>
        <v>OIL AND GAS</v>
      </c>
      <c r="G146" s="7">
        <f>'Panel Data (Long Format)'!F146</f>
        <v>2025</v>
      </c>
      <c r="H146" s="9">
        <v>0</v>
      </c>
      <c r="I146" s="9">
        <v>0</v>
      </c>
      <c r="J146" s="9">
        <v>0</v>
      </c>
      <c r="K146" s="9">
        <v>0</v>
      </c>
      <c r="L146" s="9">
        <v>0</v>
      </c>
      <c r="M146" s="9">
        <v>0</v>
      </c>
      <c r="N146" s="9">
        <v>0</v>
      </c>
      <c r="O146" s="9">
        <v>0</v>
      </c>
      <c r="P146" s="9">
        <v>0</v>
      </c>
      <c r="Q146" s="9">
        <v>0</v>
      </c>
      <c r="R146" s="9">
        <v>0</v>
      </c>
      <c r="S146" s="9">
        <v>0</v>
      </c>
      <c r="T146" s="9">
        <v>0</v>
      </c>
      <c r="U146" s="9">
        <v>0</v>
      </c>
      <c r="V146" s="9">
        <v>0</v>
      </c>
      <c r="W146" s="9">
        <v>1</v>
      </c>
      <c r="X146" s="9">
        <v>0</v>
      </c>
      <c r="Y146" s="9">
        <v>0</v>
      </c>
      <c r="Z146" s="9">
        <v>0</v>
      </c>
      <c r="AA146" s="9">
        <v>0</v>
      </c>
      <c r="AB146" s="10">
        <f t="shared" si="11"/>
        <v>1</v>
      </c>
      <c r="AC146" s="10">
        <f t="shared" si="12"/>
        <v>5</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10">
        <f t="shared" si="13"/>
        <v>0</v>
      </c>
      <c r="AT146" s="10">
        <f t="shared" si="14"/>
        <v>0</v>
      </c>
      <c r="AU146" s="5" t="s">
        <v>281</v>
      </c>
    </row>
    <row r="147" spans="1:47" ht="15" customHeight="1" x14ac:dyDescent="0.3">
      <c r="A147" s="7" t="str">
        <f t="shared" si="10"/>
        <v>30_2021</v>
      </c>
      <c r="B147" s="7">
        <v>146</v>
      </c>
      <c r="C147" s="7">
        <f>'Panel Data (Long Format)'!B147</f>
        <v>30</v>
      </c>
      <c r="D147" s="7" t="str">
        <f>'Panel Data (Long Format)'!C147</f>
        <v>CORNERST</v>
      </c>
      <c r="E147" s="8" t="str">
        <f>'Panel Data (Long Format)'!D147</f>
        <v>Cornerstone Insurance Plc</v>
      </c>
      <c r="F147" s="7" t="str">
        <f>'Panel Data (Long Format)'!E147</f>
        <v>FINANCIAL SERVICES</v>
      </c>
      <c r="G147" s="7">
        <f>'Panel Data (Long Format)'!F147</f>
        <v>2021</v>
      </c>
      <c r="H147" s="9">
        <v>1</v>
      </c>
      <c r="I147" s="9">
        <v>1</v>
      </c>
      <c r="J147" s="9">
        <v>1</v>
      </c>
      <c r="K147" s="9">
        <v>0</v>
      </c>
      <c r="L147" s="9">
        <v>0</v>
      </c>
      <c r="M147" s="9">
        <v>0</v>
      </c>
      <c r="N147" s="9">
        <v>0</v>
      </c>
      <c r="O147" s="9">
        <v>0</v>
      </c>
      <c r="P147" s="9">
        <v>0</v>
      </c>
      <c r="Q147" s="9">
        <v>0</v>
      </c>
      <c r="R147" s="9">
        <v>1</v>
      </c>
      <c r="S147" s="9">
        <v>1</v>
      </c>
      <c r="T147" s="9">
        <v>1</v>
      </c>
      <c r="U147" s="9">
        <v>1</v>
      </c>
      <c r="V147" s="9">
        <v>1</v>
      </c>
      <c r="W147" s="9">
        <v>1</v>
      </c>
      <c r="X147" s="9">
        <v>0</v>
      </c>
      <c r="Y147" s="9">
        <v>1</v>
      </c>
      <c r="Z147" s="9">
        <v>0</v>
      </c>
      <c r="AA147" s="9">
        <v>0</v>
      </c>
      <c r="AB147" s="10">
        <f t="shared" si="11"/>
        <v>10</v>
      </c>
      <c r="AC147" s="10">
        <f t="shared" si="12"/>
        <v>50</v>
      </c>
      <c r="AD147" s="9">
        <v>0</v>
      </c>
      <c r="AE147" s="9">
        <v>0</v>
      </c>
      <c r="AF147" s="9">
        <v>0</v>
      </c>
      <c r="AG147" s="9">
        <v>0</v>
      </c>
      <c r="AH147" s="9">
        <v>0</v>
      </c>
      <c r="AI147" s="9">
        <v>0</v>
      </c>
      <c r="AJ147" s="9">
        <v>0</v>
      </c>
      <c r="AK147" s="9">
        <v>0</v>
      </c>
      <c r="AL147" s="9">
        <v>0</v>
      </c>
      <c r="AM147" s="9">
        <v>0</v>
      </c>
      <c r="AN147" s="9">
        <v>0</v>
      </c>
      <c r="AO147" s="9">
        <v>0</v>
      </c>
      <c r="AP147" s="9">
        <v>0</v>
      </c>
      <c r="AQ147" s="9">
        <v>0</v>
      </c>
      <c r="AR147" s="9">
        <v>0</v>
      </c>
      <c r="AS147" s="10">
        <f t="shared" si="13"/>
        <v>0</v>
      </c>
      <c r="AT147" s="10">
        <f t="shared" si="14"/>
        <v>0</v>
      </c>
      <c r="AU147" s="5" t="s">
        <v>282</v>
      </c>
    </row>
    <row r="148" spans="1:47" ht="15" customHeight="1" x14ac:dyDescent="0.3">
      <c r="A148" s="7" t="str">
        <f t="shared" si="10"/>
        <v>30_2022</v>
      </c>
      <c r="B148" s="7">
        <v>147</v>
      </c>
      <c r="C148" s="7">
        <f>'Panel Data (Long Format)'!B148</f>
        <v>30</v>
      </c>
      <c r="D148" s="7" t="str">
        <f>'Panel Data (Long Format)'!C148</f>
        <v>CORNERST</v>
      </c>
      <c r="E148" s="8" t="str">
        <f>'Panel Data (Long Format)'!D148</f>
        <v>Cornerstone Insurance Plc</v>
      </c>
      <c r="F148" s="7" t="str">
        <f>'Panel Data (Long Format)'!E148</f>
        <v>FINANCIAL SERVICES</v>
      </c>
      <c r="G148" s="7">
        <f>'Panel Data (Long Format)'!F148</f>
        <v>2022</v>
      </c>
      <c r="H148" s="9">
        <v>1</v>
      </c>
      <c r="I148" s="9">
        <v>1</v>
      </c>
      <c r="J148" s="9">
        <v>1</v>
      </c>
      <c r="K148" s="9">
        <v>0</v>
      </c>
      <c r="L148" s="9">
        <v>0</v>
      </c>
      <c r="M148" s="9">
        <v>0</v>
      </c>
      <c r="N148" s="9">
        <v>0</v>
      </c>
      <c r="O148" s="9">
        <v>1</v>
      </c>
      <c r="P148" s="9">
        <v>0</v>
      </c>
      <c r="Q148" s="9">
        <v>0</v>
      </c>
      <c r="R148" s="9">
        <v>1</v>
      </c>
      <c r="S148" s="9">
        <v>1</v>
      </c>
      <c r="T148" s="9">
        <v>1</v>
      </c>
      <c r="U148" s="9">
        <v>1</v>
      </c>
      <c r="V148" s="9">
        <v>1</v>
      </c>
      <c r="W148" s="9">
        <v>1</v>
      </c>
      <c r="X148" s="9">
        <v>0</v>
      </c>
      <c r="Y148" s="9">
        <v>1</v>
      </c>
      <c r="Z148" s="9">
        <v>0</v>
      </c>
      <c r="AA148" s="9">
        <v>0</v>
      </c>
      <c r="AB148" s="10">
        <f t="shared" si="11"/>
        <v>11</v>
      </c>
      <c r="AC148" s="10">
        <f t="shared" si="12"/>
        <v>55.000000000000007</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10">
        <f t="shared" si="13"/>
        <v>0</v>
      </c>
      <c r="AT148" s="10">
        <f t="shared" si="14"/>
        <v>0</v>
      </c>
      <c r="AU148" s="5" t="s">
        <v>283</v>
      </c>
    </row>
    <row r="149" spans="1:47" ht="15" customHeight="1" x14ac:dyDescent="0.3">
      <c r="A149" s="7" t="str">
        <f t="shared" si="10"/>
        <v>30_2023</v>
      </c>
      <c r="B149" s="7">
        <v>148</v>
      </c>
      <c r="C149" s="7">
        <f>'Panel Data (Long Format)'!B149</f>
        <v>30</v>
      </c>
      <c r="D149" s="7" t="str">
        <f>'Panel Data (Long Format)'!C149</f>
        <v>CORNERST</v>
      </c>
      <c r="E149" s="8" t="str">
        <f>'Panel Data (Long Format)'!D149</f>
        <v>Cornerstone Insurance Plc</v>
      </c>
      <c r="F149" s="7" t="str">
        <f>'Panel Data (Long Format)'!E149</f>
        <v>FINANCIAL SERVICES</v>
      </c>
      <c r="G149" s="7">
        <f>'Panel Data (Long Format)'!F149</f>
        <v>2023</v>
      </c>
      <c r="H149" s="9">
        <v>1</v>
      </c>
      <c r="I149" s="9">
        <v>0</v>
      </c>
      <c r="J149" s="9">
        <v>1</v>
      </c>
      <c r="K149" s="9">
        <v>0</v>
      </c>
      <c r="L149" s="9">
        <v>1</v>
      </c>
      <c r="M149" s="9">
        <v>0</v>
      </c>
      <c r="N149" s="9">
        <v>0</v>
      </c>
      <c r="O149" s="9">
        <v>0</v>
      </c>
      <c r="P149" s="9">
        <v>0</v>
      </c>
      <c r="Q149" s="9">
        <v>0</v>
      </c>
      <c r="R149" s="9">
        <v>1</v>
      </c>
      <c r="S149" s="9">
        <v>1</v>
      </c>
      <c r="T149" s="9">
        <v>1</v>
      </c>
      <c r="U149" s="9">
        <v>1</v>
      </c>
      <c r="V149" s="9">
        <v>1</v>
      </c>
      <c r="W149" s="9">
        <v>1</v>
      </c>
      <c r="X149" s="9">
        <v>0</v>
      </c>
      <c r="Y149" s="9">
        <v>1</v>
      </c>
      <c r="Z149" s="9">
        <v>0</v>
      </c>
      <c r="AA149" s="9">
        <v>0</v>
      </c>
      <c r="AB149" s="10">
        <f t="shared" si="11"/>
        <v>10</v>
      </c>
      <c r="AC149" s="10">
        <f t="shared" si="12"/>
        <v>50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10">
        <f t="shared" si="13"/>
        <v>0</v>
      </c>
      <c r="AT149" s="10">
        <f t="shared" si="14"/>
        <v>0</v>
      </c>
      <c r="AU149" s="5" t="s">
        <v>284</v>
      </c>
    </row>
    <row r="150" spans="1:47" ht="15" customHeight="1" x14ac:dyDescent="0.3">
      <c r="A150" s="7" t="str">
        <f t="shared" si="10"/>
        <v>30_2024</v>
      </c>
      <c r="B150" s="7">
        <v>149</v>
      </c>
      <c r="C150" s="7">
        <f>'Panel Data (Long Format)'!B150</f>
        <v>30</v>
      </c>
      <c r="D150" s="7" t="str">
        <f>'Panel Data (Long Format)'!C150</f>
        <v>CORNERST</v>
      </c>
      <c r="E150" s="8" t="str">
        <f>'Panel Data (Long Format)'!D150</f>
        <v>Cornerstone Insurance Plc</v>
      </c>
      <c r="F150" s="7" t="str">
        <f>'Panel Data (Long Format)'!E150</f>
        <v>FINANCIAL SERVICES</v>
      </c>
      <c r="G150" s="7">
        <f>'Panel Data (Long Format)'!F150</f>
        <v>2024</v>
      </c>
      <c r="H150" s="9">
        <v>1</v>
      </c>
      <c r="I150" s="9">
        <v>1</v>
      </c>
      <c r="J150" s="9">
        <v>1</v>
      </c>
      <c r="K150" s="9">
        <v>0</v>
      </c>
      <c r="L150" s="9">
        <v>1</v>
      </c>
      <c r="M150" s="9">
        <v>0</v>
      </c>
      <c r="N150" s="9">
        <v>0</v>
      </c>
      <c r="O150" s="9">
        <v>1</v>
      </c>
      <c r="P150" s="9">
        <v>0</v>
      </c>
      <c r="Q150" s="9">
        <v>0</v>
      </c>
      <c r="R150" s="9">
        <v>1</v>
      </c>
      <c r="S150" s="9">
        <v>1</v>
      </c>
      <c r="T150" s="9">
        <v>1</v>
      </c>
      <c r="U150" s="9">
        <v>1</v>
      </c>
      <c r="V150" s="9">
        <v>1</v>
      </c>
      <c r="W150" s="9">
        <v>1</v>
      </c>
      <c r="X150" s="9">
        <v>0</v>
      </c>
      <c r="Y150" s="9">
        <v>1</v>
      </c>
      <c r="Z150" s="9">
        <v>0</v>
      </c>
      <c r="AA150" s="9">
        <v>0</v>
      </c>
      <c r="AB150" s="10">
        <f t="shared" si="11"/>
        <v>12</v>
      </c>
      <c r="AC150" s="10">
        <f t="shared" si="12"/>
        <v>60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10">
        <f t="shared" si="13"/>
        <v>0</v>
      </c>
      <c r="AT150" s="10">
        <f t="shared" si="14"/>
        <v>0</v>
      </c>
      <c r="AU150" s="5" t="s">
        <v>285</v>
      </c>
    </row>
    <row r="151" spans="1:47" ht="15" customHeight="1" x14ac:dyDescent="0.3">
      <c r="A151" s="7" t="str">
        <f t="shared" si="10"/>
        <v>30_2025</v>
      </c>
      <c r="B151" s="7">
        <v>150</v>
      </c>
      <c r="C151" s="7">
        <f>'Panel Data (Long Format)'!B151</f>
        <v>30</v>
      </c>
      <c r="D151" s="7" t="str">
        <f>'Panel Data (Long Format)'!C151</f>
        <v>CORNERST</v>
      </c>
      <c r="E151" s="8" t="str">
        <f>'Panel Data (Long Format)'!D151</f>
        <v>Cornerstone Insurance Plc</v>
      </c>
      <c r="F151" s="7" t="str">
        <f>'Panel Data (Long Format)'!E151</f>
        <v>FINANCIAL SERVICES</v>
      </c>
      <c r="G151" s="7">
        <f>'Panel Data (Long Format)'!F151</f>
        <v>2025</v>
      </c>
      <c r="H151" s="9">
        <v>1</v>
      </c>
      <c r="I151" s="9">
        <v>1</v>
      </c>
      <c r="J151" s="9">
        <v>1</v>
      </c>
      <c r="K151" s="9">
        <v>0</v>
      </c>
      <c r="L151" s="9">
        <v>1</v>
      </c>
      <c r="M151" s="9">
        <v>0</v>
      </c>
      <c r="N151" s="9">
        <v>0</v>
      </c>
      <c r="O151" s="9">
        <v>1</v>
      </c>
      <c r="P151" s="9">
        <v>0</v>
      </c>
      <c r="Q151" s="9">
        <v>0</v>
      </c>
      <c r="R151" s="9">
        <v>0</v>
      </c>
      <c r="S151" s="9">
        <v>0</v>
      </c>
      <c r="T151" s="9">
        <v>0</v>
      </c>
      <c r="U151" s="9">
        <v>1</v>
      </c>
      <c r="V151" s="9">
        <v>0</v>
      </c>
      <c r="W151" s="9">
        <v>1</v>
      </c>
      <c r="X151" s="9">
        <v>0</v>
      </c>
      <c r="Y151" s="9">
        <v>0</v>
      </c>
      <c r="Z151" s="9">
        <v>0</v>
      </c>
      <c r="AA151" s="9">
        <v>0</v>
      </c>
      <c r="AB151" s="10">
        <f t="shared" si="11"/>
        <v>7</v>
      </c>
      <c r="AC151" s="10">
        <f t="shared" si="12"/>
        <v>35</v>
      </c>
      <c r="AD151" s="9">
        <v>0</v>
      </c>
      <c r="AE151" s="9">
        <v>0</v>
      </c>
      <c r="AF151" s="9">
        <v>1</v>
      </c>
      <c r="AG151" s="9">
        <v>0</v>
      </c>
      <c r="AH151" s="9">
        <v>0</v>
      </c>
      <c r="AI151" s="9">
        <v>0</v>
      </c>
      <c r="AJ151" s="9">
        <v>1</v>
      </c>
      <c r="AK151" s="9">
        <v>0</v>
      </c>
      <c r="AL151" s="9">
        <v>0</v>
      </c>
      <c r="AM151" s="9">
        <v>0</v>
      </c>
      <c r="AN151" s="9">
        <v>0</v>
      </c>
      <c r="AO151" s="9">
        <v>0</v>
      </c>
      <c r="AP151" s="9">
        <v>0</v>
      </c>
      <c r="AQ151" s="9">
        <v>0</v>
      </c>
      <c r="AR151" s="9">
        <v>0</v>
      </c>
      <c r="AS151" s="10">
        <f t="shared" si="13"/>
        <v>2</v>
      </c>
      <c r="AT151" s="10">
        <f t="shared" si="14"/>
        <v>13.333333333333334</v>
      </c>
      <c r="AU151" s="5" t="s">
        <v>286</v>
      </c>
    </row>
    <row r="152" spans="1:47" ht="15" customHeight="1" x14ac:dyDescent="0.3">
      <c r="A152" s="7" t="str">
        <f t="shared" si="10"/>
        <v>31_2021</v>
      </c>
      <c r="B152" s="7">
        <v>151</v>
      </c>
      <c r="C152" s="7">
        <f>'Panel Data (Long Format)'!B152</f>
        <v>31</v>
      </c>
      <c r="D152" s="7" t="str">
        <f>'Panel Data (Long Format)'!C152</f>
        <v>CUSTODIAN</v>
      </c>
      <c r="E152" s="8" t="str">
        <f>'Panel Data (Long Format)'!D152</f>
        <v>Custodian Investment Plc</v>
      </c>
      <c r="F152" s="7" t="str">
        <f>'Panel Data (Long Format)'!E152</f>
        <v>CONGLOMERATES</v>
      </c>
      <c r="G152" s="7">
        <f>'Panel Data (Long Format)'!F152</f>
        <v>2021</v>
      </c>
      <c r="H152" s="9">
        <v>0</v>
      </c>
      <c r="I152" s="9">
        <v>0</v>
      </c>
      <c r="J152" s="9">
        <v>0</v>
      </c>
      <c r="K152" s="9">
        <v>0</v>
      </c>
      <c r="L152" s="9">
        <v>0</v>
      </c>
      <c r="M152" s="9">
        <v>0</v>
      </c>
      <c r="N152" s="9">
        <v>0</v>
      </c>
      <c r="O152" s="9">
        <v>0</v>
      </c>
      <c r="P152" s="9">
        <v>0</v>
      </c>
      <c r="Q152" s="9">
        <v>0</v>
      </c>
      <c r="R152" s="9">
        <v>0</v>
      </c>
      <c r="S152" s="9">
        <v>0</v>
      </c>
      <c r="T152" s="9">
        <v>0</v>
      </c>
      <c r="U152" s="9">
        <v>0</v>
      </c>
      <c r="V152" s="9">
        <v>0</v>
      </c>
      <c r="W152" s="9">
        <v>0</v>
      </c>
      <c r="X152" s="9">
        <v>0</v>
      </c>
      <c r="Y152" s="9">
        <v>0</v>
      </c>
      <c r="Z152" s="9">
        <v>0</v>
      </c>
      <c r="AA152" s="9">
        <v>0</v>
      </c>
      <c r="AB152" s="10">
        <f t="shared" si="11"/>
        <v>0</v>
      </c>
      <c r="AC152" s="10">
        <f t="shared" si="12"/>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10">
        <f t="shared" si="13"/>
        <v>0</v>
      </c>
      <c r="AT152" s="10">
        <f t="shared" si="14"/>
        <v>0</v>
      </c>
      <c r="AU152" s="5" t="s">
        <v>287</v>
      </c>
    </row>
    <row r="153" spans="1:47" ht="15" customHeight="1" x14ac:dyDescent="0.3">
      <c r="A153" s="7" t="str">
        <f t="shared" si="10"/>
        <v>31_2022</v>
      </c>
      <c r="B153" s="7">
        <v>152</v>
      </c>
      <c r="C153" s="7">
        <f>'Panel Data (Long Format)'!B153</f>
        <v>31</v>
      </c>
      <c r="D153" s="7" t="str">
        <f>'Panel Data (Long Format)'!C153</f>
        <v>CUSTODIAN</v>
      </c>
      <c r="E153" s="8" t="str">
        <f>'Panel Data (Long Format)'!D153</f>
        <v>Custodian Investment Plc</v>
      </c>
      <c r="F153" s="7" t="str">
        <f>'Panel Data (Long Format)'!E153</f>
        <v>CONGLOMERATES</v>
      </c>
      <c r="G153" s="7">
        <f>'Panel Data (Long Format)'!F153</f>
        <v>2022</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10">
        <f t="shared" si="11"/>
        <v>0</v>
      </c>
      <c r="AC153" s="10">
        <f t="shared" si="12"/>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10">
        <f t="shared" si="13"/>
        <v>0</v>
      </c>
      <c r="AT153" s="10">
        <f t="shared" si="14"/>
        <v>0</v>
      </c>
      <c r="AU153" s="5" t="s">
        <v>288</v>
      </c>
    </row>
    <row r="154" spans="1:47" ht="15" customHeight="1" x14ac:dyDescent="0.3">
      <c r="A154" s="7" t="str">
        <f t="shared" si="10"/>
        <v>31_2023</v>
      </c>
      <c r="B154" s="7">
        <v>153</v>
      </c>
      <c r="C154" s="7">
        <f>'Panel Data (Long Format)'!B154</f>
        <v>31</v>
      </c>
      <c r="D154" s="7" t="str">
        <f>'Panel Data (Long Format)'!C154</f>
        <v>CUSTODIAN</v>
      </c>
      <c r="E154" s="8" t="str">
        <f>'Panel Data (Long Format)'!D154</f>
        <v>Custodian Investment Plc</v>
      </c>
      <c r="F154" s="7" t="str">
        <f>'Panel Data (Long Format)'!E154</f>
        <v>CONGLOMERATES</v>
      </c>
      <c r="G154" s="7">
        <f>'Panel Data (Long Format)'!F154</f>
        <v>2023</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10">
        <f t="shared" si="11"/>
        <v>0</v>
      </c>
      <c r="AC154" s="10">
        <f t="shared" si="12"/>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10">
        <f t="shared" si="13"/>
        <v>0</v>
      </c>
      <c r="AT154" s="10">
        <f t="shared" si="14"/>
        <v>0</v>
      </c>
      <c r="AU154" s="5" t="s">
        <v>289</v>
      </c>
    </row>
    <row r="155" spans="1:47" ht="15" customHeight="1" x14ac:dyDescent="0.3">
      <c r="A155" s="7" t="str">
        <f t="shared" si="10"/>
        <v>31_2024</v>
      </c>
      <c r="B155" s="7">
        <v>154</v>
      </c>
      <c r="C155" s="7">
        <f>'Panel Data (Long Format)'!B155</f>
        <v>31</v>
      </c>
      <c r="D155" s="7" t="str">
        <f>'Panel Data (Long Format)'!C155</f>
        <v>CUSTODIAN</v>
      </c>
      <c r="E155" s="8" t="str">
        <f>'Panel Data (Long Format)'!D155</f>
        <v>Custodian Investment Plc</v>
      </c>
      <c r="F155" s="7" t="str">
        <f>'Panel Data (Long Format)'!E155</f>
        <v>CONGLOMERATES</v>
      </c>
      <c r="G155" s="7">
        <f>'Panel Data (Long Format)'!F155</f>
        <v>2024</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10">
        <f t="shared" si="11"/>
        <v>0</v>
      </c>
      <c r="AC155" s="10">
        <f t="shared" si="12"/>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10">
        <f t="shared" si="13"/>
        <v>0</v>
      </c>
      <c r="AT155" s="10">
        <f t="shared" si="14"/>
        <v>0</v>
      </c>
      <c r="AU155" s="5" t="s">
        <v>290</v>
      </c>
    </row>
    <row r="156" spans="1:47" ht="15" customHeight="1" x14ac:dyDescent="0.3">
      <c r="A156" s="7" t="str">
        <f t="shared" si="10"/>
        <v>31_2025</v>
      </c>
      <c r="B156" s="7">
        <v>155</v>
      </c>
      <c r="C156" s="7">
        <f>'Panel Data (Long Format)'!B156</f>
        <v>31</v>
      </c>
      <c r="D156" s="7" t="str">
        <f>'Panel Data (Long Format)'!C156</f>
        <v>CUSTODIAN</v>
      </c>
      <c r="E156" s="8" t="str">
        <f>'Panel Data (Long Format)'!D156</f>
        <v>Custodian Investment Plc</v>
      </c>
      <c r="F156" s="7" t="str">
        <f>'Panel Data (Long Format)'!E156</f>
        <v>CONGLOMERATES</v>
      </c>
      <c r="G156" s="7">
        <f>'Panel Data (Long Format)'!F156</f>
        <v>2025</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10">
        <f t="shared" si="11"/>
        <v>0</v>
      </c>
      <c r="AC156" s="10">
        <f t="shared" si="12"/>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10">
        <f t="shared" si="13"/>
        <v>0</v>
      </c>
      <c r="AT156" s="10">
        <f t="shared" si="14"/>
        <v>0</v>
      </c>
      <c r="AU156" s="5" t="s">
        <v>291</v>
      </c>
    </row>
    <row r="157" spans="1:47" ht="15" customHeight="1" x14ac:dyDescent="0.3">
      <c r="A157" s="7" t="str">
        <f t="shared" si="10"/>
        <v>32_2021</v>
      </c>
      <c r="B157" s="7">
        <v>156</v>
      </c>
      <c r="C157" s="7">
        <f>'Panel Data (Long Format)'!B157</f>
        <v>32</v>
      </c>
      <c r="D157" s="7" t="str">
        <f>'Panel Data (Long Format)'!C157</f>
        <v>CUTIX</v>
      </c>
      <c r="E157" s="8" t="str">
        <f>'Panel Data (Long Format)'!D157</f>
        <v>Cutix Plc</v>
      </c>
      <c r="F157" s="7" t="str">
        <f>'Panel Data (Long Format)'!E157</f>
        <v>INDUSTRIAL GOODS</v>
      </c>
      <c r="G157" s="7">
        <f>'Panel Data (Long Format)'!F157</f>
        <v>2021</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0</v>
      </c>
      <c r="AA157" s="9">
        <v>0</v>
      </c>
      <c r="AB157" s="10">
        <f t="shared" si="11"/>
        <v>0</v>
      </c>
      <c r="AC157" s="10">
        <f t="shared" si="12"/>
        <v>0</v>
      </c>
      <c r="AD157" s="9">
        <v>0</v>
      </c>
      <c r="AE157" s="9">
        <v>0</v>
      </c>
      <c r="AF157" s="9">
        <v>0</v>
      </c>
      <c r="AG157" s="9">
        <v>0</v>
      </c>
      <c r="AH157" s="9">
        <v>0</v>
      </c>
      <c r="AI157" s="9">
        <v>0</v>
      </c>
      <c r="AJ157" s="9">
        <v>0</v>
      </c>
      <c r="AK157" s="9">
        <v>0</v>
      </c>
      <c r="AL157" s="9">
        <v>0</v>
      </c>
      <c r="AM157" s="9">
        <v>0</v>
      </c>
      <c r="AN157" s="9">
        <v>0</v>
      </c>
      <c r="AO157" s="9">
        <v>0</v>
      </c>
      <c r="AP157" s="9">
        <v>0</v>
      </c>
      <c r="AQ157" s="9">
        <v>0</v>
      </c>
      <c r="AR157" s="9">
        <v>0</v>
      </c>
      <c r="AS157" s="10">
        <f t="shared" si="13"/>
        <v>0</v>
      </c>
      <c r="AT157" s="10">
        <f t="shared" si="14"/>
        <v>0</v>
      </c>
      <c r="AU157" s="5" t="s">
        <v>292</v>
      </c>
    </row>
    <row r="158" spans="1:47" ht="15" customHeight="1" x14ac:dyDescent="0.3">
      <c r="A158" s="7" t="str">
        <f t="shared" si="10"/>
        <v>32_2022</v>
      </c>
      <c r="B158" s="7">
        <v>157</v>
      </c>
      <c r="C158" s="7">
        <f>'Panel Data (Long Format)'!B158</f>
        <v>32</v>
      </c>
      <c r="D158" s="7" t="str">
        <f>'Panel Data (Long Format)'!C158</f>
        <v>CUTIX</v>
      </c>
      <c r="E158" s="8" t="str">
        <f>'Panel Data (Long Format)'!D158</f>
        <v>Cutix Plc</v>
      </c>
      <c r="F158" s="7" t="str">
        <f>'Panel Data (Long Format)'!E158</f>
        <v>INDUSTRIAL GOODS</v>
      </c>
      <c r="G158" s="7">
        <f>'Panel Data (Long Format)'!F158</f>
        <v>2022</v>
      </c>
      <c r="H158" s="9">
        <v>0</v>
      </c>
      <c r="I158" s="9">
        <v>0</v>
      </c>
      <c r="J158" s="9">
        <v>0</v>
      </c>
      <c r="K158" s="9">
        <v>0</v>
      </c>
      <c r="L158" s="9">
        <v>0</v>
      </c>
      <c r="M158" s="9">
        <v>0</v>
      </c>
      <c r="N158" s="9">
        <v>1</v>
      </c>
      <c r="O158" s="9">
        <v>1</v>
      </c>
      <c r="P158" s="9">
        <v>0</v>
      </c>
      <c r="Q158" s="9">
        <v>0</v>
      </c>
      <c r="R158" s="9">
        <v>1</v>
      </c>
      <c r="S158" s="9">
        <v>0</v>
      </c>
      <c r="T158" s="9">
        <v>1</v>
      </c>
      <c r="U158" s="9">
        <v>0</v>
      </c>
      <c r="V158" s="9">
        <v>0</v>
      </c>
      <c r="W158" s="9">
        <v>0</v>
      </c>
      <c r="X158" s="9">
        <v>0</v>
      </c>
      <c r="Y158" s="9">
        <v>0</v>
      </c>
      <c r="Z158" s="9">
        <v>0</v>
      </c>
      <c r="AA158" s="9">
        <v>0</v>
      </c>
      <c r="AB158" s="10">
        <f t="shared" si="11"/>
        <v>4</v>
      </c>
      <c r="AC158" s="10">
        <f t="shared" si="12"/>
        <v>20</v>
      </c>
      <c r="AD158" s="9">
        <v>0</v>
      </c>
      <c r="AE158" s="9">
        <v>0</v>
      </c>
      <c r="AF158" s="9">
        <v>0</v>
      </c>
      <c r="AG158" s="9">
        <v>0</v>
      </c>
      <c r="AH158" s="9">
        <v>1</v>
      </c>
      <c r="AI158" s="9">
        <v>0</v>
      </c>
      <c r="AJ158" s="9">
        <v>1</v>
      </c>
      <c r="AK158" s="9">
        <v>0</v>
      </c>
      <c r="AL158" s="9">
        <v>0</v>
      </c>
      <c r="AM158" s="9">
        <v>0</v>
      </c>
      <c r="AN158" s="9">
        <v>0</v>
      </c>
      <c r="AO158" s="9">
        <v>0</v>
      </c>
      <c r="AP158" s="9">
        <v>0</v>
      </c>
      <c r="AQ158" s="9">
        <v>0</v>
      </c>
      <c r="AR158" s="9">
        <v>0</v>
      </c>
      <c r="AS158" s="10">
        <f t="shared" si="13"/>
        <v>2</v>
      </c>
      <c r="AT158" s="10">
        <f t="shared" si="14"/>
        <v>13.333333333333334</v>
      </c>
      <c r="AU158" s="5" t="s">
        <v>293</v>
      </c>
    </row>
    <row r="159" spans="1:47" ht="15" customHeight="1" x14ac:dyDescent="0.3">
      <c r="A159" s="7" t="str">
        <f t="shared" si="10"/>
        <v>32_2023</v>
      </c>
      <c r="B159" s="7">
        <v>158</v>
      </c>
      <c r="C159" s="7">
        <f>'Panel Data (Long Format)'!B159</f>
        <v>32</v>
      </c>
      <c r="D159" s="7" t="str">
        <f>'Panel Data (Long Format)'!C159</f>
        <v>CUTIX</v>
      </c>
      <c r="E159" s="8" t="str">
        <f>'Panel Data (Long Format)'!D159</f>
        <v>Cutix Plc</v>
      </c>
      <c r="F159" s="7" t="str">
        <f>'Panel Data (Long Format)'!E159</f>
        <v>INDUSTRIAL GOODS</v>
      </c>
      <c r="G159" s="7">
        <f>'Panel Data (Long Format)'!F159</f>
        <v>2023</v>
      </c>
      <c r="H159" s="9">
        <v>0</v>
      </c>
      <c r="I159" s="9">
        <v>0</v>
      </c>
      <c r="J159" s="9">
        <v>0</v>
      </c>
      <c r="K159" s="9">
        <v>0</v>
      </c>
      <c r="L159" s="9">
        <v>0</v>
      </c>
      <c r="M159" s="9">
        <v>0</v>
      </c>
      <c r="N159" s="9">
        <v>0</v>
      </c>
      <c r="O159" s="9">
        <v>0</v>
      </c>
      <c r="P159" s="9">
        <v>0</v>
      </c>
      <c r="Q159" s="9">
        <v>0</v>
      </c>
      <c r="R159" s="9">
        <v>1</v>
      </c>
      <c r="S159" s="9">
        <v>0</v>
      </c>
      <c r="T159" s="9">
        <v>1</v>
      </c>
      <c r="U159" s="9">
        <v>0</v>
      </c>
      <c r="V159" s="9">
        <v>0</v>
      </c>
      <c r="W159" s="9">
        <v>0</v>
      </c>
      <c r="X159" s="9">
        <v>0</v>
      </c>
      <c r="Y159" s="9">
        <v>0</v>
      </c>
      <c r="Z159" s="9">
        <v>0</v>
      </c>
      <c r="AA159" s="9">
        <v>0</v>
      </c>
      <c r="AB159" s="10">
        <f t="shared" si="11"/>
        <v>2</v>
      </c>
      <c r="AC159" s="10">
        <f t="shared" si="12"/>
        <v>10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10">
        <f t="shared" si="13"/>
        <v>0</v>
      </c>
      <c r="AT159" s="10">
        <f t="shared" si="14"/>
        <v>0</v>
      </c>
      <c r="AU159" s="5" t="s">
        <v>294</v>
      </c>
    </row>
    <row r="160" spans="1:47" ht="15" customHeight="1" x14ac:dyDescent="0.3">
      <c r="A160" s="7" t="str">
        <f t="shared" si="10"/>
        <v>32_2024</v>
      </c>
      <c r="B160" s="7">
        <v>159</v>
      </c>
      <c r="C160" s="7">
        <f>'Panel Data (Long Format)'!B160</f>
        <v>32</v>
      </c>
      <c r="D160" s="7" t="str">
        <f>'Panel Data (Long Format)'!C160</f>
        <v>CUTIX</v>
      </c>
      <c r="E160" s="8" t="str">
        <f>'Panel Data (Long Format)'!D160</f>
        <v>Cutix Plc</v>
      </c>
      <c r="F160" s="7" t="str">
        <f>'Panel Data (Long Format)'!E160</f>
        <v>INDUSTRIAL GOODS</v>
      </c>
      <c r="G160" s="7">
        <f>'Panel Data (Long Format)'!F160</f>
        <v>2024</v>
      </c>
      <c r="H160" s="9">
        <v>0</v>
      </c>
      <c r="I160" s="9">
        <v>0</v>
      </c>
      <c r="J160" s="9">
        <v>0</v>
      </c>
      <c r="K160" s="9">
        <v>0</v>
      </c>
      <c r="L160" s="9">
        <v>0</v>
      </c>
      <c r="M160" s="9">
        <v>0</v>
      </c>
      <c r="N160" s="9">
        <v>0</v>
      </c>
      <c r="O160" s="9">
        <v>0</v>
      </c>
      <c r="P160" s="9">
        <v>0</v>
      </c>
      <c r="Q160" s="9">
        <v>0</v>
      </c>
      <c r="R160" s="9">
        <v>1</v>
      </c>
      <c r="S160" s="9">
        <v>0</v>
      </c>
      <c r="T160" s="9">
        <v>1</v>
      </c>
      <c r="U160" s="9">
        <v>0</v>
      </c>
      <c r="V160" s="9">
        <v>0</v>
      </c>
      <c r="W160" s="9">
        <v>0</v>
      </c>
      <c r="X160" s="9">
        <v>0</v>
      </c>
      <c r="Y160" s="9">
        <v>0</v>
      </c>
      <c r="Z160" s="9">
        <v>0</v>
      </c>
      <c r="AA160" s="9">
        <v>0</v>
      </c>
      <c r="AB160" s="10">
        <f t="shared" si="11"/>
        <v>2</v>
      </c>
      <c r="AC160" s="10">
        <f t="shared" si="12"/>
        <v>10</v>
      </c>
      <c r="AD160" s="9">
        <v>0</v>
      </c>
      <c r="AE160" s="9">
        <v>0</v>
      </c>
      <c r="AF160" s="9">
        <v>0</v>
      </c>
      <c r="AG160" s="9">
        <v>0</v>
      </c>
      <c r="AH160" s="9">
        <v>0</v>
      </c>
      <c r="AI160" s="9">
        <v>0</v>
      </c>
      <c r="AJ160" s="9">
        <v>0</v>
      </c>
      <c r="AK160" s="9">
        <v>0</v>
      </c>
      <c r="AL160" s="9">
        <v>0</v>
      </c>
      <c r="AM160" s="9">
        <v>0</v>
      </c>
      <c r="AN160" s="9">
        <v>0</v>
      </c>
      <c r="AO160" s="9">
        <v>0</v>
      </c>
      <c r="AP160" s="9">
        <v>0</v>
      </c>
      <c r="AQ160" s="9">
        <v>0</v>
      </c>
      <c r="AR160" s="9">
        <v>0</v>
      </c>
      <c r="AS160" s="10">
        <f t="shared" si="13"/>
        <v>0</v>
      </c>
      <c r="AT160" s="10">
        <f t="shared" si="14"/>
        <v>0</v>
      </c>
      <c r="AU160" s="5" t="s">
        <v>295</v>
      </c>
    </row>
    <row r="161" spans="1:47" ht="15" customHeight="1" x14ac:dyDescent="0.3">
      <c r="A161" s="7" t="str">
        <f t="shared" si="10"/>
        <v>32_2025</v>
      </c>
      <c r="B161" s="7">
        <v>160</v>
      </c>
      <c r="C161" s="7">
        <f>'Panel Data (Long Format)'!B161</f>
        <v>32</v>
      </c>
      <c r="D161" s="7" t="str">
        <f>'Panel Data (Long Format)'!C161</f>
        <v>CUTIX</v>
      </c>
      <c r="E161" s="8" t="str">
        <f>'Panel Data (Long Format)'!D161</f>
        <v>Cutix Plc</v>
      </c>
      <c r="F161" s="7" t="str">
        <f>'Panel Data (Long Format)'!E161</f>
        <v>INDUSTRIAL GOODS</v>
      </c>
      <c r="G161" s="7">
        <f>'Panel Data (Long Format)'!F161</f>
        <v>2025</v>
      </c>
      <c r="H161" s="9">
        <v>0</v>
      </c>
      <c r="I161" s="9">
        <v>0</v>
      </c>
      <c r="J161" s="9">
        <v>0</v>
      </c>
      <c r="K161" s="9">
        <v>0</v>
      </c>
      <c r="L161" s="9">
        <v>0</v>
      </c>
      <c r="M161" s="9">
        <v>0</v>
      </c>
      <c r="N161" s="9">
        <v>1</v>
      </c>
      <c r="O161" s="9">
        <v>1</v>
      </c>
      <c r="P161" s="9">
        <v>0</v>
      </c>
      <c r="Q161" s="9">
        <v>0</v>
      </c>
      <c r="R161" s="9">
        <v>1</v>
      </c>
      <c r="S161" s="9">
        <v>0</v>
      </c>
      <c r="T161" s="9">
        <v>1</v>
      </c>
      <c r="U161" s="9">
        <v>0</v>
      </c>
      <c r="V161" s="9">
        <v>0</v>
      </c>
      <c r="W161" s="9">
        <v>0</v>
      </c>
      <c r="X161" s="9">
        <v>0</v>
      </c>
      <c r="Y161" s="9">
        <v>0</v>
      </c>
      <c r="Z161" s="9">
        <v>0</v>
      </c>
      <c r="AA161" s="9">
        <v>0</v>
      </c>
      <c r="AB161" s="10">
        <f t="shared" si="11"/>
        <v>4</v>
      </c>
      <c r="AC161" s="10">
        <f t="shared" si="12"/>
        <v>20</v>
      </c>
      <c r="AD161" s="9">
        <v>0</v>
      </c>
      <c r="AE161" s="9">
        <v>0</v>
      </c>
      <c r="AF161" s="9">
        <v>0</v>
      </c>
      <c r="AG161" s="9">
        <v>0</v>
      </c>
      <c r="AH161" s="9">
        <v>0</v>
      </c>
      <c r="AI161" s="9">
        <v>0</v>
      </c>
      <c r="AJ161" s="9">
        <v>1</v>
      </c>
      <c r="AK161" s="9">
        <v>0</v>
      </c>
      <c r="AL161" s="9">
        <v>0</v>
      </c>
      <c r="AM161" s="9">
        <v>0</v>
      </c>
      <c r="AN161" s="9">
        <v>0</v>
      </c>
      <c r="AO161" s="9">
        <v>0</v>
      </c>
      <c r="AP161" s="9">
        <v>0</v>
      </c>
      <c r="AQ161" s="9">
        <v>0</v>
      </c>
      <c r="AR161" s="9">
        <v>0</v>
      </c>
      <c r="AS161" s="10">
        <f t="shared" si="13"/>
        <v>1</v>
      </c>
      <c r="AT161" s="10">
        <f t="shared" si="14"/>
        <v>6.666666666666667</v>
      </c>
      <c r="AU161" s="5" t="s">
        <v>296</v>
      </c>
    </row>
    <row r="162" spans="1:47" ht="15" customHeight="1" x14ac:dyDescent="0.3">
      <c r="A162" s="7" t="str">
        <f t="shared" si="10"/>
        <v>33_2021</v>
      </c>
      <c r="B162" s="7">
        <v>161</v>
      </c>
      <c r="C162" s="7">
        <f>'Panel Data (Long Format)'!B162</f>
        <v>33</v>
      </c>
      <c r="D162" s="7" t="str">
        <f>'Panel Data (Long Format)'!C162</f>
        <v>CWG</v>
      </c>
      <c r="E162" s="8" t="str">
        <f>'Panel Data (Long Format)'!D162</f>
        <v>CWG Plc</v>
      </c>
      <c r="F162" s="7" t="str">
        <f>'Panel Data (Long Format)'!E162</f>
        <v>ICT</v>
      </c>
      <c r="G162" s="7">
        <f>'Panel Data (Long Format)'!F162</f>
        <v>2021</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10">
        <f t="shared" si="11"/>
        <v>0</v>
      </c>
      <c r="AC162" s="10">
        <f t="shared" si="12"/>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10">
        <f t="shared" si="13"/>
        <v>0</v>
      </c>
      <c r="AT162" s="10">
        <f t="shared" si="14"/>
        <v>0</v>
      </c>
      <c r="AU162" s="5" t="s">
        <v>297</v>
      </c>
    </row>
    <row r="163" spans="1:47" ht="15" customHeight="1" x14ac:dyDescent="0.3">
      <c r="A163" s="7" t="str">
        <f t="shared" si="10"/>
        <v>33_2022</v>
      </c>
      <c r="B163" s="7">
        <v>162</v>
      </c>
      <c r="C163" s="7">
        <f>'Panel Data (Long Format)'!B163</f>
        <v>33</v>
      </c>
      <c r="D163" s="7" t="str">
        <f>'Panel Data (Long Format)'!C163</f>
        <v>CWG</v>
      </c>
      <c r="E163" s="8" t="str">
        <f>'Panel Data (Long Format)'!D163</f>
        <v>CWG Plc</v>
      </c>
      <c r="F163" s="7" t="str">
        <f>'Panel Data (Long Format)'!E163</f>
        <v>ICT</v>
      </c>
      <c r="G163" s="7">
        <f>'Panel Data (Long Format)'!F163</f>
        <v>2022</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0</v>
      </c>
      <c r="Z163" s="9">
        <v>0</v>
      </c>
      <c r="AA163" s="9">
        <v>0</v>
      </c>
      <c r="AB163" s="10">
        <f t="shared" si="11"/>
        <v>0</v>
      </c>
      <c r="AC163" s="10">
        <f t="shared" si="12"/>
        <v>0</v>
      </c>
      <c r="AD163" s="9">
        <v>0</v>
      </c>
      <c r="AE163" s="9">
        <v>0</v>
      </c>
      <c r="AF163" s="9">
        <v>0</v>
      </c>
      <c r="AG163" s="9">
        <v>0</v>
      </c>
      <c r="AH163" s="9">
        <v>0</v>
      </c>
      <c r="AI163" s="9">
        <v>0</v>
      </c>
      <c r="AJ163" s="9">
        <v>0</v>
      </c>
      <c r="AK163" s="9">
        <v>0</v>
      </c>
      <c r="AL163" s="9">
        <v>0</v>
      </c>
      <c r="AM163" s="9">
        <v>0</v>
      </c>
      <c r="AN163" s="9">
        <v>0</v>
      </c>
      <c r="AO163" s="9">
        <v>0</v>
      </c>
      <c r="AP163" s="9">
        <v>0</v>
      </c>
      <c r="AQ163" s="9">
        <v>0</v>
      </c>
      <c r="AR163" s="9">
        <v>0</v>
      </c>
      <c r="AS163" s="10">
        <f t="shared" si="13"/>
        <v>0</v>
      </c>
      <c r="AT163" s="10">
        <f t="shared" si="14"/>
        <v>0</v>
      </c>
      <c r="AU163" s="5" t="s">
        <v>298</v>
      </c>
    </row>
    <row r="164" spans="1:47" ht="15" customHeight="1" x14ac:dyDescent="0.3">
      <c r="A164" s="7" t="str">
        <f t="shared" si="10"/>
        <v>33_2023</v>
      </c>
      <c r="B164" s="7">
        <v>163</v>
      </c>
      <c r="C164" s="7">
        <f>'Panel Data (Long Format)'!B164</f>
        <v>33</v>
      </c>
      <c r="D164" s="7" t="str">
        <f>'Panel Data (Long Format)'!C164</f>
        <v>CWG</v>
      </c>
      <c r="E164" s="8" t="str">
        <f>'Panel Data (Long Format)'!D164</f>
        <v>CWG Plc</v>
      </c>
      <c r="F164" s="7" t="str">
        <f>'Panel Data (Long Format)'!E164</f>
        <v>ICT</v>
      </c>
      <c r="G164" s="7">
        <f>'Panel Data (Long Format)'!F164</f>
        <v>2023</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10">
        <f t="shared" si="11"/>
        <v>0</v>
      </c>
      <c r="AC164" s="10">
        <f t="shared" si="12"/>
        <v>0</v>
      </c>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10">
        <f t="shared" si="13"/>
        <v>0</v>
      </c>
      <c r="AT164" s="10">
        <f t="shared" si="14"/>
        <v>0</v>
      </c>
      <c r="AU164" s="5" t="s">
        <v>299</v>
      </c>
    </row>
    <row r="165" spans="1:47" ht="15" customHeight="1" x14ac:dyDescent="0.3">
      <c r="A165" s="7" t="str">
        <f t="shared" si="10"/>
        <v>33_2024</v>
      </c>
      <c r="B165" s="7">
        <v>164</v>
      </c>
      <c r="C165" s="7">
        <f>'Panel Data (Long Format)'!B165</f>
        <v>33</v>
      </c>
      <c r="D165" s="7" t="str">
        <f>'Panel Data (Long Format)'!C165</f>
        <v>CWG</v>
      </c>
      <c r="E165" s="8" t="str">
        <f>'Panel Data (Long Format)'!D165</f>
        <v>CWG Plc</v>
      </c>
      <c r="F165" s="7" t="str">
        <f>'Panel Data (Long Format)'!E165</f>
        <v>ICT</v>
      </c>
      <c r="G165" s="7">
        <f>'Panel Data (Long Format)'!F165</f>
        <v>2024</v>
      </c>
      <c r="H165" s="9">
        <v>0</v>
      </c>
      <c r="I165" s="9">
        <v>0</v>
      </c>
      <c r="J165" s="9">
        <v>0</v>
      </c>
      <c r="K165" s="9">
        <v>0</v>
      </c>
      <c r="L165" s="9">
        <v>0</v>
      </c>
      <c r="M165" s="9">
        <v>0</v>
      </c>
      <c r="N165" s="9">
        <v>0</v>
      </c>
      <c r="O165" s="9">
        <v>0</v>
      </c>
      <c r="P165" s="9">
        <v>0</v>
      </c>
      <c r="Q165" s="9">
        <v>0</v>
      </c>
      <c r="R165" s="9">
        <v>0</v>
      </c>
      <c r="S165" s="9">
        <v>0</v>
      </c>
      <c r="T165" s="9">
        <v>0</v>
      </c>
      <c r="U165" s="9">
        <v>0</v>
      </c>
      <c r="V165" s="9">
        <v>0</v>
      </c>
      <c r="W165" s="9">
        <v>1</v>
      </c>
      <c r="X165" s="9">
        <v>0</v>
      </c>
      <c r="Y165" s="9">
        <v>0</v>
      </c>
      <c r="Z165" s="9">
        <v>0</v>
      </c>
      <c r="AA165" s="9">
        <v>0</v>
      </c>
      <c r="AB165" s="10">
        <f t="shared" si="11"/>
        <v>1</v>
      </c>
      <c r="AC165" s="10">
        <f t="shared" si="12"/>
        <v>5</v>
      </c>
      <c r="AD165" s="9">
        <v>0</v>
      </c>
      <c r="AE165" s="9">
        <v>0</v>
      </c>
      <c r="AF165" s="9">
        <v>0</v>
      </c>
      <c r="AG165" s="9">
        <v>0</v>
      </c>
      <c r="AH165" s="9">
        <v>0</v>
      </c>
      <c r="AI165" s="9">
        <v>0</v>
      </c>
      <c r="AJ165" s="9">
        <v>0</v>
      </c>
      <c r="AK165" s="9">
        <v>0</v>
      </c>
      <c r="AL165" s="9">
        <v>0</v>
      </c>
      <c r="AM165" s="9">
        <v>0</v>
      </c>
      <c r="AN165" s="9">
        <v>0</v>
      </c>
      <c r="AO165" s="9">
        <v>0</v>
      </c>
      <c r="AP165" s="9">
        <v>0</v>
      </c>
      <c r="AQ165" s="9">
        <v>0</v>
      </c>
      <c r="AR165" s="9">
        <v>0</v>
      </c>
      <c r="AS165" s="10">
        <f t="shared" si="13"/>
        <v>0</v>
      </c>
      <c r="AT165" s="10">
        <f t="shared" si="14"/>
        <v>0</v>
      </c>
      <c r="AU165" s="5" t="s">
        <v>300</v>
      </c>
    </row>
    <row r="166" spans="1:47" ht="15" customHeight="1" x14ac:dyDescent="0.3">
      <c r="A166" s="7" t="str">
        <f t="shared" si="10"/>
        <v>33_2025</v>
      </c>
      <c r="B166" s="7">
        <v>165</v>
      </c>
      <c r="C166" s="7">
        <f>'Panel Data (Long Format)'!B166</f>
        <v>33</v>
      </c>
      <c r="D166" s="7" t="str">
        <f>'Panel Data (Long Format)'!C166</f>
        <v>CWG</v>
      </c>
      <c r="E166" s="8" t="str">
        <f>'Panel Data (Long Format)'!D166</f>
        <v>CWG Plc</v>
      </c>
      <c r="F166" s="7" t="str">
        <f>'Panel Data (Long Format)'!E166</f>
        <v>ICT</v>
      </c>
      <c r="G166" s="7">
        <f>'Panel Data (Long Format)'!F166</f>
        <v>2025</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0</v>
      </c>
      <c r="Y166" s="9">
        <v>0</v>
      </c>
      <c r="Z166" s="9">
        <v>0</v>
      </c>
      <c r="AA166" s="9">
        <v>0</v>
      </c>
      <c r="AB166" s="10">
        <f t="shared" si="11"/>
        <v>0</v>
      </c>
      <c r="AC166" s="10">
        <f t="shared" si="12"/>
        <v>0</v>
      </c>
      <c r="AD166" s="9">
        <v>0</v>
      </c>
      <c r="AE166" s="9">
        <v>0</v>
      </c>
      <c r="AF166" s="9">
        <v>0</v>
      </c>
      <c r="AG166" s="9">
        <v>0</v>
      </c>
      <c r="AH166" s="9">
        <v>0</v>
      </c>
      <c r="AI166" s="9">
        <v>0</v>
      </c>
      <c r="AJ166" s="9">
        <v>0</v>
      </c>
      <c r="AK166" s="9">
        <v>0</v>
      </c>
      <c r="AL166" s="9">
        <v>0</v>
      </c>
      <c r="AM166" s="9">
        <v>0</v>
      </c>
      <c r="AN166" s="9">
        <v>0</v>
      </c>
      <c r="AO166" s="9">
        <v>0</v>
      </c>
      <c r="AP166" s="9">
        <v>0</v>
      </c>
      <c r="AQ166" s="9">
        <v>0</v>
      </c>
      <c r="AR166" s="9">
        <v>0</v>
      </c>
      <c r="AS166" s="10">
        <f t="shared" si="13"/>
        <v>0</v>
      </c>
      <c r="AT166" s="10">
        <f t="shared" si="14"/>
        <v>0</v>
      </c>
      <c r="AU166" s="5" t="s">
        <v>301</v>
      </c>
    </row>
    <row r="167" spans="1:47" ht="15" customHeight="1" x14ac:dyDescent="0.3">
      <c r="A167" s="7" t="str">
        <f t="shared" si="10"/>
        <v>34_2021</v>
      </c>
      <c r="B167" s="7">
        <v>166</v>
      </c>
      <c r="C167" s="7">
        <f>'Panel Data (Long Format)'!B167</f>
        <v>34</v>
      </c>
      <c r="D167" s="7" t="str">
        <f>'Panel Data (Long Format)'!C167</f>
        <v>DAARCOMM</v>
      </c>
      <c r="E167" s="8" t="str">
        <f>'Panel Data (Long Format)'!D167</f>
        <v>DAAR Communications Plc</v>
      </c>
      <c r="F167" s="7" t="str">
        <f>'Panel Data (Long Format)'!E167</f>
        <v>SERVICES</v>
      </c>
      <c r="G167" s="7">
        <f>'Panel Data (Long Format)'!F167</f>
        <v>2021</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0</v>
      </c>
      <c r="Z167" s="9">
        <v>0</v>
      </c>
      <c r="AA167" s="9">
        <v>0</v>
      </c>
      <c r="AB167" s="10">
        <f t="shared" si="11"/>
        <v>0</v>
      </c>
      <c r="AC167" s="10">
        <f t="shared" si="12"/>
        <v>0</v>
      </c>
      <c r="AD167" s="9">
        <v>0</v>
      </c>
      <c r="AE167" s="9">
        <v>0</v>
      </c>
      <c r="AF167" s="9">
        <v>0</v>
      </c>
      <c r="AG167" s="9">
        <v>0</v>
      </c>
      <c r="AH167" s="9">
        <v>0</v>
      </c>
      <c r="AI167" s="9">
        <v>0</v>
      </c>
      <c r="AJ167" s="9">
        <v>0</v>
      </c>
      <c r="AK167" s="9">
        <v>0</v>
      </c>
      <c r="AL167" s="9">
        <v>0</v>
      </c>
      <c r="AM167" s="9">
        <v>0</v>
      </c>
      <c r="AN167" s="9">
        <v>0</v>
      </c>
      <c r="AO167" s="9">
        <v>0</v>
      </c>
      <c r="AP167" s="9">
        <v>0</v>
      </c>
      <c r="AQ167" s="9">
        <v>0</v>
      </c>
      <c r="AR167" s="9">
        <v>0</v>
      </c>
      <c r="AS167" s="10">
        <f t="shared" si="13"/>
        <v>0</v>
      </c>
      <c r="AT167" s="10">
        <f t="shared" si="14"/>
        <v>0</v>
      </c>
      <c r="AU167" s="5" t="s">
        <v>302</v>
      </c>
    </row>
    <row r="168" spans="1:47" ht="15" customHeight="1" x14ac:dyDescent="0.3">
      <c r="A168" s="7" t="str">
        <f t="shared" si="10"/>
        <v>34_2022</v>
      </c>
      <c r="B168" s="7">
        <v>167</v>
      </c>
      <c r="C168" s="7">
        <f>'Panel Data (Long Format)'!B168</f>
        <v>34</v>
      </c>
      <c r="D168" s="7" t="str">
        <f>'Panel Data (Long Format)'!C168</f>
        <v>DAARCOMM</v>
      </c>
      <c r="E168" s="8" t="str">
        <f>'Panel Data (Long Format)'!D168</f>
        <v>DAAR Communications Plc</v>
      </c>
      <c r="F168" s="7" t="str">
        <f>'Panel Data (Long Format)'!E168</f>
        <v>SERVICES</v>
      </c>
      <c r="G168" s="7">
        <f>'Panel Data (Long Format)'!F168</f>
        <v>2022</v>
      </c>
      <c r="H168" s="9">
        <v>0</v>
      </c>
      <c r="I168" s="9">
        <v>0</v>
      </c>
      <c r="J168" s="9">
        <v>0</v>
      </c>
      <c r="K168" s="9">
        <v>0</v>
      </c>
      <c r="L168" s="9">
        <v>0</v>
      </c>
      <c r="M168" s="9">
        <v>0</v>
      </c>
      <c r="N168" s="9">
        <v>0</v>
      </c>
      <c r="O168" s="9">
        <v>0</v>
      </c>
      <c r="P168" s="9">
        <v>0</v>
      </c>
      <c r="Q168" s="9">
        <v>0</v>
      </c>
      <c r="R168" s="9">
        <v>0</v>
      </c>
      <c r="S168" s="9">
        <v>0</v>
      </c>
      <c r="T168" s="9">
        <v>0</v>
      </c>
      <c r="U168" s="9">
        <v>0</v>
      </c>
      <c r="V168" s="9">
        <v>0</v>
      </c>
      <c r="W168" s="9">
        <v>0</v>
      </c>
      <c r="X168" s="9">
        <v>0</v>
      </c>
      <c r="Y168" s="9">
        <v>0</v>
      </c>
      <c r="Z168" s="9">
        <v>0</v>
      </c>
      <c r="AA168" s="9">
        <v>0</v>
      </c>
      <c r="AB168" s="10">
        <f t="shared" si="11"/>
        <v>0</v>
      </c>
      <c r="AC168" s="10">
        <f t="shared" si="12"/>
        <v>0</v>
      </c>
      <c r="AD168" s="9">
        <v>0</v>
      </c>
      <c r="AE168" s="9">
        <v>0</v>
      </c>
      <c r="AF168" s="9">
        <v>0</v>
      </c>
      <c r="AG168" s="9">
        <v>0</v>
      </c>
      <c r="AH168" s="9">
        <v>0</v>
      </c>
      <c r="AI168" s="9">
        <v>0</v>
      </c>
      <c r="AJ168" s="9">
        <v>0</v>
      </c>
      <c r="AK168" s="9">
        <v>0</v>
      </c>
      <c r="AL168" s="9">
        <v>0</v>
      </c>
      <c r="AM168" s="9">
        <v>0</v>
      </c>
      <c r="AN168" s="9">
        <v>0</v>
      </c>
      <c r="AO168" s="9">
        <v>0</v>
      </c>
      <c r="AP168" s="9">
        <v>0</v>
      </c>
      <c r="AQ168" s="9">
        <v>0</v>
      </c>
      <c r="AR168" s="9">
        <v>0</v>
      </c>
      <c r="AS168" s="10">
        <f t="shared" si="13"/>
        <v>0</v>
      </c>
      <c r="AT168" s="10">
        <f t="shared" si="14"/>
        <v>0</v>
      </c>
      <c r="AU168" s="5" t="s">
        <v>303</v>
      </c>
    </row>
    <row r="169" spans="1:47" ht="15" customHeight="1" x14ac:dyDescent="0.3">
      <c r="A169" s="7" t="str">
        <f t="shared" si="10"/>
        <v>34_2023</v>
      </c>
      <c r="B169" s="7">
        <v>168</v>
      </c>
      <c r="C169" s="7">
        <f>'Panel Data (Long Format)'!B169</f>
        <v>34</v>
      </c>
      <c r="D169" s="7" t="str">
        <f>'Panel Data (Long Format)'!C169</f>
        <v>DAARCOMM</v>
      </c>
      <c r="E169" s="8" t="str">
        <f>'Panel Data (Long Format)'!D169</f>
        <v>DAAR Communications Plc</v>
      </c>
      <c r="F169" s="7" t="str">
        <f>'Panel Data (Long Format)'!E169</f>
        <v>SERVICES</v>
      </c>
      <c r="G169" s="7">
        <f>'Panel Data (Long Format)'!F169</f>
        <v>2023</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0</v>
      </c>
      <c r="Z169" s="9">
        <v>0</v>
      </c>
      <c r="AA169" s="9">
        <v>0</v>
      </c>
      <c r="AB169" s="10">
        <f t="shared" si="11"/>
        <v>0</v>
      </c>
      <c r="AC169" s="10">
        <f t="shared" si="12"/>
        <v>0</v>
      </c>
      <c r="AD169" s="9">
        <v>0</v>
      </c>
      <c r="AE169" s="9">
        <v>0</v>
      </c>
      <c r="AF169" s="9">
        <v>0</v>
      </c>
      <c r="AG169" s="9">
        <v>0</v>
      </c>
      <c r="AH169" s="9">
        <v>0</v>
      </c>
      <c r="AI169" s="9">
        <v>0</v>
      </c>
      <c r="AJ169" s="9">
        <v>0</v>
      </c>
      <c r="AK169" s="9">
        <v>0</v>
      </c>
      <c r="AL169" s="9">
        <v>0</v>
      </c>
      <c r="AM169" s="9">
        <v>0</v>
      </c>
      <c r="AN169" s="9">
        <v>0</v>
      </c>
      <c r="AO169" s="9">
        <v>0</v>
      </c>
      <c r="AP169" s="9">
        <v>0</v>
      </c>
      <c r="AQ169" s="9">
        <v>0</v>
      </c>
      <c r="AR169" s="9">
        <v>0</v>
      </c>
      <c r="AS169" s="10">
        <f t="shared" si="13"/>
        <v>0</v>
      </c>
      <c r="AT169" s="10">
        <f t="shared" si="14"/>
        <v>0</v>
      </c>
      <c r="AU169" s="5" t="s">
        <v>304</v>
      </c>
    </row>
    <row r="170" spans="1:47" ht="15" customHeight="1" x14ac:dyDescent="0.3">
      <c r="A170" s="7" t="str">
        <f t="shared" si="10"/>
        <v>34_2024</v>
      </c>
      <c r="B170" s="7">
        <v>169</v>
      </c>
      <c r="C170" s="7">
        <f>'Panel Data (Long Format)'!B170</f>
        <v>34</v>
      </c>
      <c r="D170" s="7" t="str">
        <f>'Panel Data (Long Format)'!C170</f>
        <v>DAARCOMM</v>
      </c>
      <c r="E170" s="8" t="str">
        <f>'Panel Data (Long Format)'!D170</f>
        <v>DAAR Communications Plc</v>
      </c>
      <c r="F170" s="7" t="str">
        <f>'Panel Data (Long Format)'!E170</f>
        <v>SERVICES</v>
      </c>
      <c r="G170" s="7">
        <f>'Panel Data (Long Format)'!F170</f>
        <v>2024</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10">
        <f t="shared" si="11"/>
        <v>0</v>
      </c>
      <c r="AC170" s="10">
        <f t="shared" si="12"/>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10">
        <f t="shared" si="13"/>
        <v>0</v>
      </c>
      <c r="AT170" s="10">
        <f t="shared" si="14"/>
        <v>0</v>
      </c>
      <c r="AU170" s="5" t="s">
        <v>305</v>
      </c>
    </row>
    <row r="171" spans="1:47" ht="15" customHeight="1" x14ac:dyDescent="0.3">
      <c r="A171" s="7" t="str">
        <f t="shared" si="10"/>
        <v>34_2025</v>
      </c>
      <c r="B171" s="7">
        <v>170</v>
      </c>
      <c r="C171" s="7">
        <f>'Panel Data (Long Format)'!B171</f>
        <v>34</v>
      </c>
      <c r="D171" s="7" t="str">
        <f>'Panel Data (Long Format)'!C171</f>
        <v>DAARCOMM</v>
      </c>
      <c r="E171" s="8" t="str">
        <f>'Panel Data (Long Format)'!D171</f>
        <v>DAAR Communications Plc</v>
      </c>
      <c r="F171" s="7" t="str">
        <f>'Panel Data (Long Format)'!E171</f>
        <v>SERVICES</v>
      </c>
      <c r="G171" s="7">
        <f>'Panel Data (Long Format)'!F171</f>
        <v>2025</v>
      </c>
      <c r="H171" s="9">
        <v>0</v>
      </c>
      <c r="I171" s="9">
        <v>0</v>
      </c>
      <c r="J171" s="9">
        <v>0</v>
      </c>
      <c r="K171" s="9">
        <v>0</v>
      </c>
      <c r="L171" s="9">
        <v>0</v>
      </c>
      <c r="M171" s="9">
        <v>0</v>
      </c>
      <c r="N171" s="9">
        <v>0</v>
      </c>
      <c r="O171" s="9">
        <v>0</v>
      </c>
      <c r="P171" s="9">
        <v>0</v>
      </c>
      <c r="Q171" s="9">
        <v>0</v>
      </c>
      <c r="R171" s="9">
        <v>0</v>
      </c>
      <c r="S171" s="9">
        <v>0</v>
      </c>
      <c r="T171" s="9">
        <v>0</v>
      </c>
      <c r="U171" s="9">
        <v>0</v>
      </c>
      <c r="V171" s="9">
        <v>0</v>
      </c>
      <c r="W171" s="9">
        <v>0</v>
      </c>
      <c r="X171" s="9">
        <v>0</v>
      </c>
      <c r="Y171" s="9">
        <v>0</v>
      </c>
      <c r="Z171" s="9">
        <v>0</v>
      </c>
      <c r="AA171" s="9">
        <v>0</v>
      </c>
      <c r="AB171" s="10">
        <f t="shared" si="11"/>
        <v>0</v>
      </c>
      <c r="AC171" s="10">
        <f t="shared" si="12"/>
        <v>0</v>
      </c>
      <c r="AD171" s="9">
        <v>0</v>
      </c>
      <c r="AE171" s="9">
        <v>0</v>
      </c>
      <c r="AF171" s="9">
        <v>0</v>
      </c>
      <c r="AG171" s="9">
        <v>0</v>
      </c>
      <c r="AH171" s="9">
        <v>0</v>
      </c>
      <c r="AI171" s="9">
        <v>0</v>
      </c>
      <c r="AJ171" s="9">
        <v>0</v>
      </c>
      <c r="AK171" s="9">
        <v>0</v>
      </c>
      <c r="AL171" s="9">
        <v>0</v>
      </c>
      <c r="AM171" s="9">
        <v>0</v>
      </c>
      <c r="AN171" s="9">
        <v>0</v>
      </c>
      <c r="AO171" s="9">
        <v>0</v>
      </c>
      <c r="AP171" s="9">
        <v>0</v>
      </c>
      <c r="AQ171" s="9">
        <v>0</v>
      </c>
      <c r="AR171" s="9">
        <v>0</v>
      </c>
      <c r="AS171" s="10">
        <f t="shared" si="13"/>
        <v>0</v>
      </c>
      <c r="AT171" s="10">
        <f t="shared" si="14"/>
        <v>0</v>
      </c>
      <c r="AU171" s="5" t="s">
        <v>306</v>
      </c>
    </row>
    <row r="172" spans="1:47" ht="15" customHeight="1" x14ac:dyDescent="0.3">
      <c r="A172" s="7" t="str">
        <f t="shared" si="10"/>
        <v>35_2021</v>
      </c>
      <c r="B172" s="7">
        <v>171</v>
      </c>
      <c r="C172" s="7">
        <f>'Panel Data (Long Format)'!B172</f>
        <v>35</v>
      </c>
      <c r="D172" s="7" t="str">
        <f>'Panel Data (Long Format)'!C172</f>
        <v>DANGCEM</v>
      </c>
      <c r="E172" s="8" t="str">
        <f>'Panel Data (Long Format)'!D172</f>
        <v>Dangote Cement Plc</v>
      </c>
      <c r="F172" s="7" t="str">
        <f>'Panel Data (Long Format)'!E172</f>
        <v>INDUSTRIAL GOODS</v>
      </c>
      <c r="G172" s="7">
        <f>'Panel Data (Long Format)'!F172</f>
        <v>2021</v>
      </c>
      <c r="H172" s="9">
        <v>1</v>
      </c>
      <c r="I172" s="9">
        <v>0</v>
      </c>
      <c r="J172" s="9">
        <v>0</v>
      </c>
      <c r="K172" s="9">
        <v>0</v>
      </c>
      <c r="L172" s="9">
        <v>0</v>
      </c>
      <c r="M172" s="9">
        <v>1</v>
      </c>
      <c r="N172" s="9">
        <v>1</v>
      </c>
      <c r="O172" s="9">
        <v>1</v>
      </c>
      <c r="P172" s="9">
        <v>0</v>
      </c>
      <c r="Q172" s="9">
        <v>0</v>
      </c>
      <c r="R172" s="9">
        <v>1</v>
      </c>
      <c r="S172" s="9">
        <v>1</v>
      </c>
      <c r="T172" s="9">
        <v>1</v>
      </c>
      <c r="U172" s="9">
        <v>0</v>
      </c>
      <c r="V172" s="9">
        <v>0</v>
      </c>
      <c r="W172" s="9">
        <v>1</v>
      </c>
      <c r="X172" s="9">
        <v>0</v>
      </c>
      <c r="Y172" s="9">
        <v>1</v>
      </c>
      <c r="Z172" s="9">
        <v>0</v>
      </c>
      <c r="AA172" s="9">
        <v>1</v>
      </c>
      <c r="AB172" s="10">
        <f t="shared" si="11"/>
        <v>10</v>
      </c>
      <c r="AC172" s="10">
        <f t="shared" si="12"/>
        <v>50</v>
      </c>
      <c r="AD172" s="9">
        <v>0</v>
      </c>
      <c r="AE172" s="9">
        <v>0</v>
      </c>
      <c r="AF172" s="9">
        <v>0</v>
      </c>
      <c r="AG172" s="9">
        <v>0</v>
      </c>
      <c r="AH172" s="9">
        <v>1</v>
      </c>
      <c r="AI172" s="9">
        <v>0</v>
      </c>
      <c r="AJ172" s="9">
        <v>1</v>
      </c>
      <c r="AK172" s="9">
        <v>1</v>
      </c>
      <c r="AL172" s="9">
        <v>0</v>
      </c>
      <c r="AM172" s="9">
        <v>1</v>
      </c>
      <c r="AN172" s="9">
        <v>0</v>
      </c>
      <c r="AO172" s="9">
        <v>0</v>
      </c>
      <c r="AP172" s="9">
        <v>0</v>
      </c>
      <c r="AQ172" s="9">
        <v>0</v>
      </c>
      <c r="AR172" s="9">
        <v>0</v>
      </c>
      <c r="AS172" s="10">
        <f t="shared" si="13"/>
        <v>4</v>
      </c>
      <c r="AT172" s="10">
        <f t="shared" si="14"/>
        <v>26.666666666666668</v>
      </c>
      <c r="AU172" s="5" t="s">
        <v>307</v>
      </c>
    </row>
    <row r="173" spans="1:47" ht="15" customHeight="1" x14ac:dyDescent="0.3">
      <c r="A173" s="7" t="str">
        <f t="shared" si="10"/>
        <v>35_2022</v>
      </c>
      <c r="B173" s="7">
        <v>172</v>
      </c>
      <c r="C173" s="7">
        <f>'Panel Data (Long Format)'!B173</f>
        <v>35</v>
      </c>
      <c r="D173" s="7" t="str">
        <f>'Panel Data (Long Format)'!C173</f>
        <v>DANGCEM</v>
      </c>
      <c r="E173" s="8" t="str">
        <f>'Panel Data (Long Format)'!D173</f>
        <v>Dangote Cement Plc</v>
      </c>
      <c r="F173" s="7" t="str">
        <f>'Panel Data (Long Format)'!E173</f>
        <v>INDUSTRIAL GOODS</v>
      </c>
      <c r="G173" s="7">
        <f>'Panel Data (Long Format)'!F173</f>
        <v>2022</v>
      </c>
      <c r="H173" s="9">
        <v>1</v>
      </c>
      <c r="I173" s="9">
        <v>1</v>
      </c>
      <c r="J173" s="9">
        <v>1</v>
      </c>
      <c r="K173" s="9">
        <v>0</v>
      </c>
      <c r="L173" s="9">
        <v>0</v>
      </c>
      <c r="M173" s="9">
        <v>1</v>
      </c>
      <c r="N173" s="9">
        <v>1</v>
      </c>
      <c r="O173" s="9">
        <v>1</v>
      </c>
      <c r="P173" s="9">
        <v>0</v>
      </c>
      <c r="Q173" s="9">
        <v>0</v>
      </c>
      <c r="R173" s="9">
        <v>1</v>
      </c>
      <c r="S173" s="9">
        <v>1</v>
      </c>
      <c r="T173" s="9">
        <v>1</v>
      </c>
      <c r="U173" s="9">
        <v>0</v>
      </c>
      <c r="V173" s="9">
        <v>1</v>
      </c>
      <c r="W173" s="9">
        <v>1</v>
      </c>
      <c r="X173" s="9">
        <v>1</v>
      </c>
      <c r="Y173" s="9">
        <v>1</v>
      </c>
      <c r="Z173" s="9">
        <v>0</v>
      </c>
      <c r="AA173" s="9">
        <v>1</v>
      </c>
      <c r="AB173" s="10">
        <f t="shared" si="11"/>
        <v>14</v>
      </c>
      <c r="AC173" s="10">
        <f t="shared" si="12"/>
        <v>70</v>
      </c>
      <c r="AD173" s="9">
        <v>0</v>
      </c>
      <c r="AE173" s="9">
        <v>1</v>
      </c>
      <c r="AF173" s="9">
        <v>0</v>
      </c>
      <c r="AG173" s="9">
        <v>0</v>
      </c>
      <c r="AH173" s="9">
        <v>1</v>
      </c>
      <c r="AI173" s="9">
        <v>0</v>
      </c>
      <c r="AJ173" s="9">
        <v>1</v>
      </c>
      <c r="AK173" s="9">
        <v>1</v>
      </c>
      <c r="AL173" s="9">
        <v>0</v>
      </c>
      <c r="AM173" s="9">
        <v>1</v>
      </c>
      <c r="AN173" s="9">
        <v>1</v>
      </c>
      <c r="AO173" s="9">
        <v>0</v>
      </c>
      <c r="AP173" s="9">
        <v>1</v>
      </c>
      <c r="AQ173" s="9">
        <v>1</v>
      </c>
      <c r="AR173" s="9">
        <v>0</v>
      </c>
      <c r="AS173" s="10">
        <f t="shared" si="13"/>
        <v>8</v>
      </c>
      <c r="AT173" s="10">
        <f t="shared" si="14"/>
        <v>53.333333333333336</v>
      </c>
      <c r="AU173" s="5" t="s">
        <v>308</v>
      </c>
    </row>
    <row r="174" spans="1:47" ht="15" customHeight="1" x14ac:dyDescent="0.3">
      <c r="A174" s="7" t="str">
        <f t="shared" si="10"/>
        <v>35_2023</v>
      </c>
      <c r="B174" s="7">
        <v>173</v>
      </c>
      <c r="C174" s="7">
        <f>'Panel Data (Long Format)'!B174</f>
        <v>35</v>
      </c>
      <c r="D174" s="7" t="str">
        <f>'Panel Data (Long Format)'!C174</f>
        <v>DANGCEM</v>
      </c>
      <c r="E174" s="8" t="str">
        <f>'Panel Data (Long Format)'!D174</f>
        <v>Dangote Cement Plc</v>
      </c>
      <c r="F174" s="7" t="str">
        <f>'Panel Data (Long Format)'!E174</f>
        <v>INDUSTRIAL GOODS</v>
      </c>
      <c r="G174" s="7">
        <f>'Panel Data (Long Format)'!F174</f>
        <v>2023</v>
      </c>
      <c r="H174" s="9">
        <v>0</v>
      </c>
      <c r="I174" s="9">
        <v>1</v>
      </c>
      <c r="J174" s="9">
        <v>0</v>
      </c>
      <c r="K174" s="9">
        <v>0</v>
      </c>
      <c r="L174" s="9">
        <v>0</v>
      </c>
      <c r="M174" s="9">
        <v>1</v>
      </c>
      <c r="N174" s="9">
        <v>1</v>
      </c>
      <c r="O174" s="9">
        <v>1</v>
      </c>
      <c r="P174" s="9">
        <v>0</v>
      </c>
      <c r="Q174" s="9">
        <v>0</v>
      </c>
      <c r="R174" s="9">
        <v>1</v>
      </c>
      <c r="S174" s="9">
        <v>1</v>
      </c>
      <c r="T174" s="9">
        <v>0</v>
      </c>
      <c r="U174" s="9">
        <v>0</v>
      </c>
      <c r="V174" s="9">
        <v>1</v>
      </c>
      <c r="W174" s="9">
        <v>1</v>
      </c>
      <c r="X174" s="9">
        <v>1</v>
      </c>
      <c r="Y174" s="9">
        <v>1</v>
      </c>
      <c r="Z174" s="9">
        <v>0</v>
      </c>
      <c r="AA174" s="9">
        <v>1</v>
      </c>
      <c r="AB174" s="10">
        <f t="shared" si="11"/>
        <v>11</v>
      </c>
      <c r="AC174" s="10">
        <f t="shared" si="12"/>
        <v>55.000000000000007</v>
      </c>
      <c r="AD174" s="9">
        <v>0</v>
      </c>
      <c r="AE174" s="9">
        <v>1</v>
      </c>
      <c r="AF174" s="9">
        <v>0</v>
      </c>
      <c r="AG174" s="9">
        <v>0</v>
      </c>
      <c r="AH174" s="9">
        <v>1</v>
      </c>
      <c r="AI174" s="9">
        <v>0</v>
      </c>
      <c r="AJ174" s="9">
        <v>1</v>
      </c>
      <c r="AK174" s="9">
        <v>1</v>
      </c>
      <c r="AL174" s="9">
        <v>0</v>
      </c>
      <c r="AM174" s="9">
        <v>1</v>
      </c>
      <c r="AN174" s="9">
        <v>0</v>
      </c>
      <c r="AO174" s="9">
        <v>0</v>
      </c>
      <c r="AP174" s="9">
        <v>1</v>
      </c>
      <c r="AQ174" s="9">
        <v>1</v>
      </c>
      <c r="AR174" s="9">
        <v>0</v>
      </c>
      <c r="AS174" s="10">
        <f t="shared" si="13"/>
        <v>7</v>
      </c>
      <c r="AT174" s="10">
        <f t="shared" si="14"/>
        <v>46.666666666666664</v>
      </c>
      <c r="AU174" s="5" t="s">
        <v>309</v>
      </c>
    </row>
    <row r="175" spans="1:47" ht="15" customHeight="1" x14ac:dyDescent="0.3">
      <c r="A175" s="7" t="str">
        <f t="shared" si="10"/>
        <v>35_2024</v>
      </c>
      <c r="B175" s="7">
        <v>174</v>
      </c>
      <c r="C175" s="7">
        <f>'Panel Data (Long Format)'!B175</f>
        <v>35</v>
      </c>
      <c r="D175" s="7" t="str">
        <f>'Panel Data (Long Format)'!C175</f>
        <v>DANGCEM</v>
      </c>
      <c r="E175" s="8" t="str">
        <f>'Panel Data (Long Format)'!D175</f>
        <v>Dangote Cement Plc</v>
      </c>
      <c r="F175" s="7" t="str">
        <f>'Panel Data (Long Format)'!E175</f>
        <v>INDUSTRIAL GOODS</v>
      </c>
      <c r="G175" s="7">
        <f>'Panel Data (Long Format)'!F175</f>
        <v>2024</v>
      </c>
      <c r="H175" s="9">
        <v>1</v>
      </c>
      <c r="I175" s="9">
        <v>1</v>
      </c>
      <c r="J175" s="9">
        <v>1</v>
      </c>
      <c r="K175" s="9">
        <v>1</v>
      </c>
      <c r="L175" s="9">
        <v>0</v>
      </c>
      <c r="M175" s="9">
        <v>1</v>
      </c>
      <c r="N175" s="9">
        <v>1</v>
      </c>
      <c r="O175" s="9">
        <v>1</v>
      </c>
      <c r="P175" s="9">
        <v>0</v>
      </c>
      <c r="Q175" s="9">
        <v>0</v>
      </c>
      <c r="R175" s="9">
        <v>1</v>
      </c>
      <c r="S175" s="9">
        <v>1</v>
      </c>
      <c r="T175" s="9">
        <v>1</v>
      </c>
      <c r="U175" s="9">
        <v>0</v>
      </c>
      <c r="V175" s="9">
        <v>1</v>
      </c>
      <c r="W175" s="9">
        <v>1</v>
      </c>
      <c r="X175" s="9">
        <v>1</v>
      </c>
      <c r="Y175" s="9">
        <v>1</v>
      </c>
      <c r="Z175" s="9">
        <v>0</v>
      </c>
      <c r="AA175" s="9">
        <v>1</v>
      </c>
      <c r="AB175" s="10">
        <f t="shared" si="11"/>
        <v>15</v>
      </c>
      <c r="AC175" s="10">
        <f t="shared" si="12"/>
        <v>75</v>
      </c>
      <c r="AD175" s="9">
        <v>1</v>
      </c>
      <c r="AE175" s="9">
        <v>1</v>
      </c>
      <c r="AF175" s="9">
        <v>0</v>
      </c>
      <c r="AG175" s="9">
        <v>1</v>
      </c>
      <c r="AH175" s="9">
        <v>1</v>
      </c>
      <c r="AI175" s="9">
        <v>1</v>
      </c>
      <c r="AJ175" s="9">
        <v>1</v>
      </c>
      <c r="AK175" s="9">
        <v>1</v>
      </c>
      <c r="AL175" s="9">
        <v>0</v>
      </c>
      <c r="AM175" s="9">
        <v>1</v>
      </c>
      <c r="AN175" s="9">
        <v>1</v>
      </c>
      <c r="AO175" s="9">
        <v>0</v>
      </c>
      <c r="AP175" s="9">
        <v>1</v>
      </c>
      <c r="AQ175" s="9">
        <v>1</v>
      </c>
      <c r="AR175" s="9">
        <v>0</v>
      </c>
      <c r="AS175" s="10">
        <f t="shared" si="13"/>
        <v>11</v>
      </c>
      <c r="AT175" s="10">
        <f t="shared" si="14"/>
        <v>73.333333333333329</v>
      </c>
      <c r="AU175" s="5" t="s">
        <v>310</v>
      </c>
    </row>
    <row r="176" spans="1:47" ht="15" customHeight="1" x14ac:dyDescent="0.3">
      <c r="A176" s="7" t="str">
        <f t="shared" si="10"/>
        <v>35_2025</v>
      </c>
      <c r="B176" s="7">
        <v>175</v>
      </c>
      <c r="C176" s="7">
        <f>'Panel Data (Long Format)'!B176</f>
        <v>35</v>
      </c>
      <c r="D176" s="7" t="str">
        <f>'Panel Data (Long Format)'!C176</f>
        <v>DANGCEM</v>
      </c>
      <c r="E176" s="8" t="str">
        <f>'Panel Data (Long Format)'!D176</f>
        <v>Dangote Cement Plc</v>
      </c>
      <c r="F176" s="7" t="str">
        <f>'Panel Data (Long Format)'!E176</f>
        <v>INDUSTRIAL GOODS</v>
      </c>
      <c r="G176" s="7">
        <f>'Panel Data (Long Format)'!F176</f>
        <v>2025</v>
      </c>
      <c r="H176" s="9">
        <v>1</v>
      </c>
      <c r="I176" s="9">
        <v>1</v>
      </c>
      <c r="J176" s="9">
        <v>1</v>
      </c>
      <c r="K176" s="9">
        <v>1</v>
      </c>
      <c r="L176" s="9">
        <v>1</v>
      </c>
      <c r="M176" s="9">
        <v>1</v>
      </c>
      <c r="N176" s="9">
        <v>1</v>
      </c>
      <c r="O176" s="9">
        <v>1</v>
      </c>
      <c r="P176" s="9">
        <v>0</v>
      </c>
      <c r="Q176" s="9">
        <v>0</v>
      </c>
      <c r="R176" s="9">
        <v>1</v>
      </c>
      <c r="S176" s="9">
        <v>0</v>
      </c>
      <c r="T176" s="9">
        <v>1</v>
      </c>
      <c r="U176" s="9">
        <v>1</v>
      </c>
      <c r="V176" s="9">
        <v>1</v>
      </c>
      <c r="W176" s="9">
        <v>1</v>
      </c>
      <c r="X176" s="9">
        <v>0</v>
      </c>
      <c r="Y176" s="9">
        <v>1</v>
      </c>
      <c r="Z176" s="9">
        <v>0</v>
      </c>
      <c r="AA176" s="9">
        <v>0</v>
      </c>
      <c r="AB176" s="10">
        <f t="shared" si="11"/>
        <v>14</v>
      </c>
      <c r="AC176" s="10">
        <f t="shared" si="12"/>
        <v>70</v>
      </c>
      <c r="AD176" s="9">
        <v>1</v>
      </c>
      <c r="AE176" s="9">
        <v>1</v>
      </c>
      <c r="AF176" s="9">
        <v>1</v>
      </c>
      <c r="AG176" s="9">
        <v>0</v>
      </c>
      <c r="AH176" s="9">
        <v>1</v>
      </c>
      <c r="AI176" s="9">
        <v>0</v>
      </c>
      <c r="AJ176" s="9">
        <v>1</v>
      </c>
      <c r="AK176" s="9">
        <v>1</v>
      </c>
      <c r="AL176" s="9">
        <v>1</v>
      </c>
      <c r="AM176" s="9">
        <v>0</v>
      </c>
      <c r="AN176" s="9">
        <v>0</v>
      </c>
      <c r="AO176" s="9">
        <v>0</v>
      </c>
      <c r="AP176" s="9">
        <v>0</v>
      </c>
      <c r="AQ176" s="9">
        <v>0</v>
      </c>
      <c r="AR176" s="9">
        <v>0</v>
      </c>
      <c r="AS176" s="10">
        <f t="shared" si="13"/>
        <v>7</v>
      </c>
      <c r="AT176" s="10">
        <f t="shared" si="14"/>
        <v>46.666666666666664</v>
      </c>
      <c r="AU176" s="5" t="s">
        <v>311</v>
      </c>
    </row>
    <row r="177" spans="1:47" ht="15" customHeight="1" x14ac:dyDescent="0.3">
      <c r="A177" s="7" t="str">
        <f t="shared" si="10"/>
        <v>36_2021</v>
      </c>
      <c r="B177" s="7">
        <v>176</v>
      </c>
      <c r="C177" s="7">
        <f>'Panel Data (Long Format)'!B177</f>
        <v>36</v>
      </c>
      <c r="D177" s="7" t="str">
        <f>'Panel Data (Long Format)'!C177</f>
        <v>DANGSUGAR</v>
      </c>
      <c r="E177" s="8" t="str">
        <f>'Panel Data (Long Format)'!D177</f>
        <v>Dangote Sugar Refinery Plc</v>
      </c>
      <c r="F177" s="7" t="str">
        <f>'Panel Data (Long Format)'!E177</f>
        <v>CONSUMER GOODS</v>
      </c>
      <c r="G177" s="7">
        <f>'Panel Data (Long Format)'!F177</f>
        <v>2021</v>
      </c>
      <c r="H177" s="9">
        <v>1</v>
      </c>
      <c r="I177" s="9">
        <v>0</v>
      </c>
      <c r="J177" s="9">
        <v>0</v>
      </c>
      <c r="K177" s="9">
        <v>0</v>
      </c>
      <c r="L177" s="9">
        <v>0</v>
      </c>
      <c r="M177" s="9">
        <v>0</v>
      </c>
      <c r="N177" s="9">
        <v>0</v>
      </c>
      <c r="O177" s="9">
        <v>0</v>
      </c>
      <c r="P177" s="9">
        <v>0</v>
      </c>
      <c r="Q177" s="9">
        <v>0</v>
      </c>
      <c r="R177" s="9">
        <v>0</v>
      </c>
      <c r="S177" s="9">
        <v>0</v>
      </c>
      <c r="T177" s="9">
        <v>0</v>
      </c>
      <c r="U177" s="9">
        <v>0</v>
      </c>
      <c r="V177" s="9">
        <v>0</v>
      </c>
      <c r="W177" s="9">
        <v>0</v>
      </c>
      <c r="X177" s="9">
        <v>0</v>
      </c>
      <c r="Y177" s="9">
        <v>0</v>
      </c>
      <c r="Z177" s="9">
        <v>0</v>
      </c>
      <c r="AA177" s="9">
        <v>0</v>
      </c>
      <c r="AB177" s="10">
        <f t="shared" si="11"/>
        <v>1</v>
      </c>
      <c r="AC177" s="10">
        <f t="shared" si="12"/>
        <v>5</v>
      </c>
      <c r="AD177" s="9">
        <v>0</v>
      </c>
      <c r="AE177" s="9">
        <v>0</v>
      </c>
      <c r="AF177" s="9">
        <v>0</v>
      </c>
      <c r="AG177" s="9">
        <v>0</v>
      </c>
      <c r="AH177" s="9">
        <v>0</v>
      </c>
      <c r="AI177" s="9">
        <v>0</v>
      </c>
      <c r="AJ177" s="9">
        <v>0</v>
      </c>
      <c r="AK177" s="9">
        <v>0</v>
      </c>
      <c r="AL177" s="9">
        <v>0</v>
      </c>
      <c r="AM177" s="9">
        <v>0</v>
      </c>
      <c r="AN177" s="9">
        <v>0</v>
      </c>
      <c r="AO177" s="9">
        <v>0</v>
      </c>
      <c r="AP177" s="9">
        <v>0</v>
      </c>
      <c r="AQ177" s="9">
        <v>0</v>
      </c>
      <c r="AR177" s="9">
        <v>0</v>
      </c>
      <c r="AS177" s="10">
        <f t="shared" si="13"/>
        <v>0</v>
      </c>
      <c r="AT177" s="10">
        <f t="shared" si="14"/>
        <v>0</v>
      </c>
      <c r="AU177" s="5" t="s">
        <v>312</v>
      </c>
    </row>
    <row r="178" spans="1:47" ht="15" customHeight="1" x14ac:dyDescent="0.3">
      <c r="A178" s="7" t="str">
        <f t="shared" si="10"/>
        <v>36_2022</v>
      </c>
      <c r="B178" s="7">
        <v>177</v>
      </c>
      <c r="C178" s="7">
        <f>'Panel Data (Long Format)'!B178</f>
        <v>36</v>
      </c>
      <c r="D178" s="7" t="str">
        <f>'Panel Data (Long Format)'!C178</f>
        <v>DANGSUGAR</v>
      </c>
      <c r="E178" s="8" t="str">
        <f>'Panel Data (Long Format)'!D178</f>
        <v>Dangote Sugar Refinery Plc</v>
      </c>
      <c r="F178" s="7" t="str">
        <f>'Panel Data (Long Format)'!E178</f>
        <v>CONSUMER GOODS</v>
      </c>
      <c r="G178" s="7">
        <f>'Panel Data (Long Format)'!F178</f>
        <v>2022</v>
      </c>
      <c r="H178" s="9">
        <v>1</v>
      </c>
      <c r="I178" s="9">
        <v>0</v>
      </c>
      <c r="J178" s="9">
        <v>0</v>
      </c>
      <c r="K178" s="9">
        <v>0</v>
      </c>
      <c r="L178" s="9">
        <v>0</v>
      </c>
      <c r="M178" s="9">
        <v>0</v>
      </c>
      <c r="N178" s="9">
        <v>0</v>
      </c>
      <c r="O178" s="9">
        <v>0</v>
      </c>
      <c r="P178" s="9">
        <v>0</v>
      </c>
      <c r="Q178" s="9">
        <v>0</v>
      </c>
      <c r="R178" s="9">
        <v>0</v>
      </c>
      <c r="S178" s="9">
        <v>0</v>
      </c>
      <c r="T178" s="9">
        <v>0</v>
      </c>
      <c r="U178" s="9">
        <v>0</v>
      </c>
      <c r="V178" s="9">
        <v>0</v>
      </c>
      <c r="W178" s="9">
        <v>0</v>
      </c>
      <c r="X178" s="9">
        <v>0</v>
      </c>
      <c r="Y178" s="9">
        <v>0</v>
      </c>
      <c r="Z178" s="9">
        <v>0</v>
      </c>
      <c r="AA178" s="9">
        <v>0</v>
      </c>
      <c r="AB178" s="10">
        <f t="shared" si="11"/>
        <v>1</v>
      </c>
      <c r="AC178" s="10">
        <f t="shared" si="12"/>
        <v>5</v>
      </c>
      <c r="AD178" s="9">
        <v>0</v>
      </c>
      <c r="AE178" s="9">
        <v>0</v>
      </c>
      <c r="AF178" s="9">
        <v>0</v>
      </c>
      <c r="AG178" s="9">
        <v>0</v>
      </c>
      <c r="AH178" s="9">
        <v>0</v>
      </c>
      <c r="AI178" s="9">
        <v>0</v>
      </c>
      <c r="AJ178" s="9">
        <v>0</v>
      </c>
      <c r="AK178" s="9">
        <v>0</v>
      </c>
      <c r="AL178" s="9">
        <v>0</v>
      </c>
      <c r="AM178" s="9">
        <v>0</v>
      </c>
      <c r="AN178" s="9">
        <v>0</v>
      </c>
      <c r="AO178" s="9">
        <v>0</v>
      </c>
      <c r="AP178" s="9">
        <v>0</v>
      </c>
      <c r="AQ178" s="9">
        <v>0</v>
      </c>
      <c r="AR178" s="9">
        <v>0</v>
      </c>
      <c r="AS178" s="10">
        <f t="shared" si="13"/>
        <v>0</v>
      </c>
      <c r="AT178" s="10">
        <f t="shared" si="14"/>
        <v>0</v>
      </c>
      <c r="AU178" s="5" t="s">
        <v>313</v>
      </c>
    </row>
    <row r="179" spans="1:47" ht="15" customHeight="1" x14ac:dyDescent="0.3">
      <c r="A179" s="7" t="str">
        <f t="shared" si="10"/>
        <v>36_2023</v>
      </c>
      <c r="B179" s="7">
        <v>178</v>
      </c>
      <c r="C179" s="7">
        <f>'Panel Data (Long Format)'!B179</f>
        <v>36</v>
      </c>
      <c r="D179" s="7" t="str">
        <f>'Panel Data (Long Format)'!C179</f>
        <v>DANGSUGAR</v>
      </c>
      <c r="E179" s="8" t="str">
        <f>'Panel Data (Long Format)'!D179</f>
        <v>Dangote Sugar Refinery Plc</v>
      </c>
      <c r="F179" s="7" t="str">
        <f>'Panel Data (Long Format)'!E179</f>
        <v>CONSUMER GOODS</v>
      </c>
      <c r="G179" s="7">
        <f>'Panel Data (Long Format)'!F179</f>
        <v>2023</v>
      </c>
      <c r="H179" s="9">
        <v>0</v>
      </c>
      <c r="I179" s="9">
        <v>0</v>
      </c>
      <c r="J179" s="9">
        <v>0</v>
      </c>
      <c r="K179" s="9">
        <v>0</v>
      </c>
      <c r="L179" s="9">
        <v>0</v>
      </c>
      <c r="M179" s="9">
        <v>1</v>
      </c>
      <c r="N179" s="9">
        <v>0</v>
      </c>
      <c r="O179" s="9">
        <v>0</v>
      </c>
      <c r="P179" s="9">
        <v>0</v>
      </c>
      <c r="Q179" s="9">
        <v>0</v>
      </c>
      <c r="R179" s="9">
        <v>1</v>
      </c>
      <c r="S179" s="9">
        <v>1</v>
      </c>
      <c r="T179" s="9">
        <v>0</v>
      </c>
      <c r="U179" s="9">
        <v>0</v>
      </c>
      <c r="V179" s="9">
        <v>0</v>
      </c>
      <c r="W179" s="9">
        <v>1</v>
      </c>
      <c r="X179" s="9">
        <v>0</v>
      </c>
      <c r="Y179" s="9">
        <v>1</v>
      </c>
      <c r="Z179" s="9">
        <v>0</v>
      </c>
      <c r="AA179" s="9">
        <v>1</v>
      </c>
      <c r="AB179" s="10">
        <f t="shared" si="11"/>
        <v>6</v>
      </c>
      <c r="AC179" s="10">
        <f t="shared" si="12"/>
        <v>30</v>
      </c>
      <c r="AD179" s="9">
        <v>0</v>
      </c>
      <c r="AE179" s="9">
        <v>0</v>
      </c>
      <c r="AF179" s="9">
        <v>0</v>
      </c>
      <c r="AG179" s="9">
        <v>0</v>
      </c>
      <c r="AH179" s="9">
        <v>0</v>
      </c>
      <c r="AI179" s="9">
        <v>0</v>
      </c>
      <c r="AJ179" s="9">
        <v>1</v>
      </c>
      <c r="AK179" s="9">
        <v>1</v>
      </c>
      <c r="AL179" s="9">
        <v>0</v>
      </c>
      <c r="AM179" s="9">
        <v>1</v>
      </c>
      <c r="AN179" s="9">
        <v>1</v>
      </c>
      <c r="AO179" s="9">
        <v>0</v>
      </c>
      <c r="AP179" s="9">
        <v>0</v>
      </c>
      <c r="AQ179" s="9">
        <v>0</v>
      </c>
      <c r="AR179" s="9">
        <v>0</v>
      </c>
      <c r="AS179" s="10">
        <f t="shared" si="13"/>
        <v>4</v>
      </c>
      <c r="AT179" s="10">
        <f t="shared" si="14"/>
        <v>26.666666666666668</v>
      </c>
      <c r="AU179" s="5" t="s">
        <v>314</v>
      </c>
    </row>
    <row r="180" spans="1:47" ht="15" customHeight="1" x14ac:dyDescent="0.3">
      <c r="A180" s="7" t="str">
        <f t="shared" si="10"/>
        <v>36_2024</v>
      </c>
      <c r="B180" s="7">
        <v>179</v>
      </c>
      <c r="C180" s="7">
        <f>'Panel Data (Long Format)'!B180</f>
        <v>36</v>
      </c>
      <c r="D180" s="7" t="str">
        <f>'Panel Data (Long Format)'!C180</f>
        <v>DANGSUGAR</v>
      </c>
      <c r="E180" s="8" t="str">
        <f>'Panel Data (Long Format)'!D180</f>
        <v>Dangote Sugar Refinery Plc</v>
      </c>
      <c r="F180" s="7" t="str">
        <f>'Panel Data (Long Format)'!E180</f>
        <v>CONSUMER GOODS</v>
      </c>
      <c r="G180" s="7">
        <f>'Panel Data (Long Format)'!F180</f>
        <v>2024</v>
      </c>
      <c r="H180" s="9">
        <v>1</v>
      </c>
      <c r="I180" s="9">
        <v>0</v>
      </c>
      <c r="J180" s="9">
        <v>1</v>
      </c>
      <c r="K180" s="9">
        <v>0</v>
      </c>
      <c r="L180" s="9">
        <v>0</v>
      </c>
      <c r="M180" s="9">
        <v>1</v>
      </c>
      <c r="N180" s="9">
        <v>1</v>
      </c>
      <c r="O180" s="9">
        <v>1</v>
      </c>
      <c r="P180" s="9">
        <v>0</v>
      </c>
      <c r="Q180" s="9">
        <v>0</v>
      </c>
      <c r="R180" s="9">
        <v>0</v>
      </c>
      <c r="S180" s="9">
        <v>0</v>
      </c>
      <c r="T180" s="9">
        <v>0</v>
      </c>
      <c r="U180" s="9">
        <v>0</v>
      </c>
      <c r="V180" s="9">
        <v>0</v>
      </c>
      <c r="W180" s="9">
        <v>0</v>
      </c>
      <c r="X180" s="9">
        <v>0</v>
      </c>
      <c r="Y180" s="9">
        <v>0</v>
      </c>
      <c r="Z180" s="9">
        <v>0</v>
      </c>
      <c r="AA180" s="9">
        <v>0</v>
      </c>
      <c r="AB180" s="10">
        <f t="shared" si="11"/>
        <v>5</v>
      </c>
      <c r="AC180" s="10">
        <f t="shared" si="12"/>
        <v>25</v>
      </c>
      <c r="AD180" s="9">
        <v>0</v>
      </c>
      <c r="AE180" s="9">
        <v>0</v>
      </c>
      <c r="AF180" s="9">
        <v>0</v>
      </c>
      <c r="AG180" s="9">
        <v>0</v>
      </c>
      <c r="AH180" s="9">
        <v>0</v>
      </c>
      <c r="AI180" s="9">
        <v>0</v>
      </c>
      <c r="AJ180" s="9">
        <v>0</v>
      </c>
      <c r="AK180" s="9">
        <v>0</v>
      </c>
      <c r="AL180" s="9">
        <v>0</v>
      </c>
      <c r="AM180" s="9">
        <v>0</v>
      </c>
      <c r="AN180" s="9">
        <v>0</v>
      </c>
      <c r="AO180" s="9">
        <v>0</v>
      </c>
      <c r="AP180" s="9">
        <v>0</v>
      </c>
      <c r="AQ180" s="9">
        <v>0</v>
      </c>
      <c r="AR180" s="9">
        <v>0</v>
      </c>
      <c r="AS180" s="10">
        <f t="shared" si="13"/>
        <v>0</v>
      </c>
      <c r="AT180" s="10">
        <f t="shared" si="14"/>
        <v>0</v>
      </c>
      <c r="AU180" s="5" t="s">
        <v>315</v>
      </c>
    </row>
    <row r="181" spans="1:47" ht="15" customHeight="1" x14ac:dyDescent="0.3">
      <c r="A181" s="7" t="str">
        <f t="shared" si="10"/>
        <v>36_2025</v>
      </c>
      <c r="B181" s="7">
        <v>180</v>
      </c>
      <c r="C181" s="7">
        <f>'Panel Data (Long Format)'!B181</f>
        <v>36</v>
      </c>
      <c r="D181" s="7" t="str">
        <f>'Panel Data (Long Format)'!C181</f>
        <v>DANGSUGAR</v>
      </c>
      <c r="E181" s="8" t="str">
        <f>'Panel Data (Long Format)'!D181</f>
        <v>Dangote Sugar Refinery Plc</v>
      </c>
      <c r="F181" s="7" t="str">
        <f>'Panel Data (Long Format)'!E181</f>
        <v>CONSUMER GOODS</v>
      </c>
      <c r="G181" s="7">
        <f>'Panel Data (Long Format)'!F181</f>
        <v>2025</v>
      </c>
      <c r="H181" s="9">
        <v>0</v>
      </c>
      <c r="I181" s="9">
        <v>0</v>
      </c>
      <c r="J181" s="9">
        <v>0</v>
      </c>
      <c r="K181" s="9">
        <v>0</v>
      </c>
      <c r="L181" s="9">
        <v>0</v>
      </c>
      <c r="M181" s="9">
        <v>0</v>
      </c>
      <c r="N181" s="9">
        <v>0</v>
      </c>
      <c r="O181" s="9">
        <v>0</v>
      </c>
      <c r="P181" s="9">
        <v>0</v>
      </c>
      <c r="Q181" s="9">
        <v>0</v>
      </c>
      <c r="R181" s="9">
        <v>0</v>
      </c>
      <c r="S181" s="9">
        <v>0</v>
      </c>
      <c r="T181" s="9">
        <v>0</v>
      </c>
      <c r="U181" s="9">
        <v>0</v>
      </c>
      <c r="V181" s="9">
        <v>0</v>
      </c>
      <c r="W181" s="9">
        <v>1</v>
      </c>
      <c r="X181" s="9">
        <v>0</v>
      </c>
      <c r="Y181" s="9">
        <v>0</v>
      </c>
      <c r="Z181" s="9">
        <v>0</v>
      </c>
      <c r="AA181" s="9">
        <v>0</v>
      </c>
      <c r="AB181" s="10">
        <f t="shared" si="11"/>
        <v>1</v>
      </c>
      <c r="AC181" s="10">
        <f t="shared" si="12"/>
        <v>5</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10">
        <f t="shared" si="13"/>
        <v>0</v>
      </c>
      <c r="AT181" s="10">
        <f t="shared" si="14"/>
        <v>0</v>
      </c>
      <c r="AU181" s="5" t="s">
        <v>316</v>
      </c>
    </row>
    <row r="182" spans="1:47" ht="15" customHeight="1" x14ac:dyDescent="0.3">
      <c r="A182" s="7" t="str">
        <f t="shared" si="10"/>
        <v>37_2021</v>
      </c>
      <c r="B182" s="7">
        <v>181</v>
      </c>
      <c r="C182" s="7">
        <f>'Panel Data (Long Format)'!B182</f>
        <v>37</v>
      </c>
      <c r="D182" s="7" t="str">
        <f>'Panel Data (Long Format)'!C182</f>
        <v>EKOCORP</v>
      </c>
      <c r="E182" s="8" t="str">
        <f>'Panel Data (Long Format)'!D182</f>
        <v>Ekocorp Plc</v>
      </c>
      <c r="F182" s="7" t="str">
        <f>'Panel Data (Long Format)'!E182</f>
        <v>HEALTHCARE</v>
      </c>
      <c r="G182" s="7">
        <f>'Panel Data (Long Format)'!F182</f>
        <v>2021</v>
      </c>
      <c r="H182" s="9"/>
      <c r="I182" s="9"/>
      <c r="J182" s="9"/>
      <c r="K182" s="9"/>
      <c r="L182" s="9"/>
      <c r="M182" s="9"/>
      <c r="N182" s="9"/>
      <c r="O182" s="9"/>
      <c r="P182" s="9"/>
      <c r="Q182" s="9"/>
      <c r="R182" s="9"/>
      <c r="S182" s="9"/>
      <c r="T182" s="9"/>
      <c r="U182" s="9"/>
      <c r="V182" s="9"/>
      <c r="W182" s="9"/>
      <c r="X182" s="9"/>
      <c r="Y182" s="9"/>
      <c r="Z182" s="9"/>
      <c r="AA182" s="9"/>
      <c r="AB182" s="10" t="str">
        <f t="shared" si="11"/>
        <v/>
      </c>
      <c r="AC182" s="10" t="str">
        <f t="shared" si="12"/>
        <v/>
      </c>
      <c r="AD182" s="9"/>
      <c r="AE182" s="9"/>
      <c r="AF182" s="9"/>
      <c r="AG182" s="9"/>
      <c r="AH182" s="9"/>
      <c r="AI182" s="9"/>
      <c r="AJ182" s="9"/>
      <c r="AK182" s="9"/>
      <c r="AL182" s="9"/>
      <c r="AM182" s="9"/>
      <c r="AN182" s="9"/>
      <c r="AO182" s="9"/>
      <c r="AP182" s="9"/>
      <c r="AQ182" s="9"/>
      <c r="AR182" s="9"/>
      <c r="AS182" s="10" t="str">
        <f t="shared" si="13"/>
        <v/>
      </c>
      <c r="AT182" s="10" t="str">
        <f t="shared" si="14"/>
        <v/>
      </c>
      <c r="AU182" s="5" t="s">
        <v>317</v>
      </c>
    </row>
    <row r="183" spans="1:47" ht="15" customHeight="1" x14ac:dyDescent="0.3">
      <c r="A183" s="7" t="str">
        <f t="shared" si="10"/>
        <v>37_2022</v>
      </c>
      <c r="B183" s="7">
        <v>182</v>
      </c>
      <c r="C183" s="7">
        <f>'Panel Data (Long Format)'!B183</f>
        <v>37</v>
      </c>
      <c r="D183" s="7" t="str">
        <f>'Panel Data (Long Format)'!C183</f>
        <v>EKOCORP</v>
      </c>
      <c r="E183" s="8" t="str">
        <f>'Panel Data (Long Format)'!D183</f>
        <v>Ekocorp Plc</v>
      </c>
      <c r="F183" s="7" t="str">
        <f>'Panel Data (Long Format)'!E183</f>
        <v>HEALTHCARE</v>
      </c>
      <c r="G183" s="7">
        <f>'Panel Data (Long Format)'!F183</f>
        <v>2022</v>
      </c>
      <c r="H183" s="9"/>
      <c r="I183" s="9"/>
      <c r="J183" s="9"/>
      <c r="K183" s="9"/>
      <c r="L183" s="9"/>
      <c r="M183" s="9"/>
      <c r="N183" s="9"/>
      <c r="O183" s="9"/>
      <c r="P183" s="9"/>
      <c r="Q183" s="9"/>
      <c r="R183" s="9"/>
      <c r="S183" s="9"/>
      <c r="T183" s="9"/>
      <c r="U183" s="9"/>
      <c r="V183" s="9"/>
      <c r="W183" s="9"/>
      <c r="X183" s="9"/>
      <c r="Y183" s="9"/>
      <c r="Z183" s="9"/>
      <c r="AA183" s="9"/>
      <c r="AB183" s="10" t="str">
        <f t="shared" si="11"/>
        <v/>
      </c>
      <c r="AC183" s="10" t="str">
        <f t="shared" si="12"/>
        <v/>
      </c>
      <c r="AD183" s="9"/>
      <c r="AE183" s="9"/>
      <c r="AF183" s="9"/>
      <c r="AG183" s="9"/>
      <c r="AH183" s="9"/>
      <c r="AI183" s="9"/>
      <c r="AJ183" s="9"/>
      <c r="AK183" s="9"/>
      <c r="AL183" s="9"/>
      <c r="AM183" s="9"/>
      <c r="AN183" s="9"/>
      <c r="AO183" s="9"/>
      <c r="AP183" s="9"/>
      <c r="AQ183" s="9"/>
      <c r="AR183" s="9"/>
      <c r="AS183" s="10" t="str">
        <f t="shared" si="13"/>
        <v/>
      </c>
      <c r="AT183" s="10" t="str">
        <f t="shared" si="14"/>
        <v/>
      </c>
      <c r="AU183" s="5" t="s">
        <v>318</v>
      </c>
    </row>
    <row r="184" spans="1:47" ht="15" customHeight="1" x14ac:dyDescent="0.3">
      <c r="A184" s="7" t="str">
        <f t="shared" si="10"/>
        <v>37_2023</v>
      </c>
      <c r="B184" s="7">
        <v>183</v>
      </c>
      <c r="C184" s="7">
        <f>'Panel Data (Long Format)'!B184</f>
        <v>37</v>
      </c>
      <c r="D184" s="7" t="str">
        <f>'Panel Data (Long Format)'!C184</f>
        <v>EKOCORP</v>
      </c>
      <c r="E184" s="8" t="str">
        <f>'Panel Data (Long Format)'!D184</f>
        <v>Ekocorp Plc</v>
      </c>
      <c r="F184" s="7" t="str">
        <f>'Panel Data (Long Format)'!E184</f>
        <v>HEALTHCARE</v>
      </c>
      <c r="G184" s="7">
        <f>'Panel Data (Long Format)'!F184</f>
        <v>2023</v>
      </c>
      <c r="H184" s="9"/>
      <c r="I184" s="9"/>
      <c r="J184" s="9"/>
      <c r="K184" s="9"/>
      <c r="L184" s="9"/>
      <c r="M184" s="9"/>
      <c r="N184" s="9"/>
      <c r="O184" s="9"/>
      <c r="P184" s="9"/>
      <c r="Q184" s="9"/>
      <c r="R184" s="9"/>
      <c r="S184" s="9"/>
      <c r="T184" s="9"/>
      <c r="U184" s="9"/>
      <c r="V184" s="9"/>
      <c r="W184" s="9"/>
      <c r="X184" s="9"/>
      <c r="Y184" s="9"/>
      <c r="Z184" s="9"/>
      <c r="AA184" s="9"/>
      <c r="AB184" s="10" t="str">
        <f t="shared" si="11"/>
        <v/>
      </c>
      <c r="AC184" s="10" t="str">
        <f t="shared" si="12"/>
        <v/>
      </c>
      <c r="AD184" s="9"/>
      <c r="AE184" s="9"/>
      <c r="AF184" s="9"/>
      <c r="AG184" s="9"/>
      <c r="AH184" s="9"/>
      <c r="AI184" s="9"/>
      <c r="AJ184" s="9"/>
      <c r="AK184" s="9"/>
      <c r="AL184" s="9"/>
      <c r="AM184" s="9"/>
      <c r="AN184" s="9"/>
      <c r="AO184" s="9"/>
      <c r="AP184" s="9"/>
      <c r="AQ184" s="9"/>
      <c r="AR184" s="9"/>
      <c r="AS184" s="10" t="str">
        <f t="shared" si="13"/>
        <v/>
      </c>
      <c r="AT184" s="10" t="str">
        <f t="shared" si="14"/>
        <v/>
      </c>
      <c r="AU184" s="5" t="s">
        <v>319</v>
      </c>
    </row>
    <row r="185" spans="1:47" ht="15" customHeight="1" x14ac:dyDescent="0.3">
      <c r="A185" s="7" t="str">
        <f t="shared" si="10"/>
        <v>37_2024</v>
      </c>
      <c r="B185" s="7">
        <v>184</v>
      </c>
      <c r="C185" s="7">
        <f>'Panel Data (Long Format)'!B185</f>
        <v>37</v>
      </c>
      <c r="D185" s="7" t="str">
        <f>'Panel Data (Long Format)'!C185</f>
        <v>EKOCORP</v>
      </c>
      <c r="E185" s="8" t="str">
        <f>'Panel Data (Long Format)'!D185</f>
        <v>Ekocorp Plc</v>
      </c>
      <c r="F185" s="7" t="str">
        <f>'Panel Data (Long Format)'!E185</f>
        <v>HEALTHCARE</v>
      </c>
      <c r="G185" s="7">
        <f>'Panel Data (Long Format)'!F185</f>
        <v>2024</v>
      </c>
      <c r="H185" s="9"/>
      <c r="I185" s="9"/>
      <c r="J185" s="9"/>
      <c r="K185" s="9"/>
      <c r="L185" s="9"/>
      <c r="M185" s="9"/>
      <c r="N185" s="9"/>
      <c r="O185" s="9"/>
      <c r="P185" s="9"/>
      <c r="Q185" s="9"/>
      <c r="R185" s="9"/>
      <c r="S185" s="9"/>
      <c r="T185" s="9"/>
      <c r="U185" s="9"/>
      <c r="V185" s="9"/>
      <c r="W185" s="9"/>
      <c r="X185" s="9"/>
      <c r="Y185" s="9"/>
      <c r="Z185" s="9"/>
      <c r="AA185" s="9"/>
      <c r="AB185" s="10" t="str">
        <f t="shared" si="11"/>
        <v/>
      </c>
      <c r="AC185" s="10" t="str">
        <f t="shared" si="12"/>
        <v/>
      </c>
      <c r="AD185" s="9"/>
      <c r="AE185" s="9"/>
      <c r="AF185" s="9"/>
      <c r="AG185" s="9"/>
      <c r="AH185" s="9"/>
      <c r="AI185" s="9"/>
      <c r="AJ185" s="9"/>
      <c r="AK185" s="9"/>
      <c r="AL185" s="9"/>
      <c r="AM185" s="9"/>
      <c r="AN185" s="9"/>
      <c r="AO185" s="9"/>
      <c r="AP185" s="9"/>
      <c r="AQ185" s="9"/>
      <c r="AR185" s="9"/>
      <c r="AS185" s="10" t="str">
        <f t="shared" si="13"/>
        <v/>
      </c>
      <c r="AT185" s="10" t="str">
        <f t="shared" si="14"/>
        <v/>
      </c>
      <c r="AU185" s="5" t="s">
        <v>320</v>
      </c>
    </row>
    <row r="186" spans="1:47" ht="15" customHeight="1" x14ac:dyDescent="0.3">
      <c r="A186" s="7" t="str">
        <f t="shared" si="10"/>
        <v>37_2025</v>
      </c>
      <c r="B186" s="7">
        <v>185</v>
      </c>
      <c r="C186" s="7">
        <f>'Panel Data (Long Format)'!B186</f>
        <v>37</v>
      </c>
      <c r="D186" s="7" t="str">
        <f>'Panel Data (Long Format)'!C186</f>
        <v>EKOCORP</v>
      </c>
      <c r="E186" s="8" t="str">
        <f>'Panel Data (Long Format)'!D186</f>
        <v>Ekocorp Plc</v>
      </c>
      <c r="F186" s="7" t="str">
        <f>'Panel Data (Long Format)'!E186</f>
        <v>HEALTHCARE</v>
      </c>
      <c r="G186" s="7">
        <f>'Panel Data (Long Format)'!F186</f>
        <v>2025</v>
      </c>
      <c r="H186" s="9"/>
      <c r="I186" s="9"/>
      <c r="J186" s="9"/>
      <c r="K186" s="9"/>
      <c r="L186" s="9"/>
      <c r="M186" s="9"/>
      <c r="N186" s="9"/>
      <c r="O186" s="9"/>
      <c r="P186" s="9"/>
      <c r="Q186" s="9"/>
      <c r="R186" s="9"/>
      <c r="S186" s="9"/>
      <c r="T186" s="9"/>
      <c r="U186" s="9"/>
      <c r="V186" s="9"/>
      <c r="W186" s="9"/>
      <c r="X186" s="9"/>
      <c r="Y186" s="9"/>
      <c r="Z186" s="9"/>
      <c r="AA186" s="9"/>
      <c r="AB186" s="10" t="str">
        <f t="shared" si="11"/>
        <v/>
      </c>
      <c r="AC186" s="10" t="str">
        <f t="shared" si="12"/>
        <v/>
      </c>
      <c r="AD186" s="9"/>
      <c r="AE186" s="9"/>
      <c r="AF186" s="9"/>
      <c r="AG186" s="9"/>
      <c r="AH186" s="9"/>
      <c r="AI186" s="9"/>
      <c r="AJ186" s="9"/>
      <c r="AK186" s="9"/>
      <c r="AL186" s="9"/>
      <c r="AM186" s="9"/>
      <c r="AN186" s="9"/>
      <c r="AO186" s="9"/>
      <c r="AP186" s="9"/>
      <c r="AQ186" s="9"/>
      <c r="AR186" s="9"/>
      <c r="AS186" s="10" t="str">
        <f t="shared" si="13"/>
        <v/>
      </c>
      <c r="AT186" s="10" t="str">
        <f t="shared" si="14"/>
        <v/>
      </c>
      <c r="AU186" s="5" t="s">
        <v>321</v>
      </c>
    </row>
    <row r="187" spans="1:47" ht="15" customHeight="1" x14ac:dyDescent="0.3">
      <c r="A187" s="7" t="str">
        <f t="shared" si="10"/>
        <v>38_2021</v>
      </c>
      <c r="B187" s="7">
        <v>186</v>
      </c>
      <c r="C187" s="7">
        <f>'Panel Data (Long Format)'!B187</f>
        <v>38</v>
      </c>
      <c r="D187" s="7" t="str">
        <f>'Panel Data (Long Format)'!C187</f>
        <v>ELLAHLAKES</v>
      </c>
      <c r="E187" s="8" t="str">
        <f>'Panel Data (Long Format)'!D187</f>
        <v>Ellah Lakes Plc</v>
      </c>
      <c r="F187" s="7" t="str">
        <f>'Panel Data (Long Format)'!E187</f>
        <v>AGRICULTURE</v>
      </c>
      <c r="G187" s="7">
        <f>'Panel Data (Long Format)'!F187</f>
        <v>2021</v>
      </c>
      <c r="H187" s="9">
        <v>0</v>
      </c>
      <c r="I187" s="9">
        <v>0</v>
      </c>
      <c r="J187" s="9">
        <v>0</v>
      </c>
      <c r="K187" s="9">
        <v>0</v>
      </c>
      <c r="L187" s="9">
        <v>0</v>
      </c>
      <c r="M187" s="9">
        <v>0</v>
      </c>
      <c r="N187" s="9">
        <v>0</v>
      </c>
      <c r="O187" s="9">
        <v>0</v>
      </c>
      <c r="P187" s="9">
        <v>0</v>
      </c>
      <c r="Q187" s="9">
        <v>0</v>
      </c>
      <c r="R187" s="9">
        <v>0</v>
      </c>
      <c r="S187" s="9">
        <v>0</v>
      </c>
      <c r="T187" s="9">
        <v>0</v>
      </c>
      <c r="U187" s="9">
        <v>0</v>
      </c>
      <c r="V187" s="9">
        <v>0</v>
      </c>
      <c r="W187" s="9">
        <v>0</v>
      </c>
      <c r="X187" s="9">
        <v>0</v>
      </c>
      <c r="Y187" s="9">
        <v>0</v>
      </c>
      <c r="Z187" s="9">
        <v>0</v>
      </c>
      <c r="AA187" s="9">
        <v>0</v>
      </c>
      <c r="AB187" s="10">
        <f t="shared" si="11"/>
        <v>0</v>
      </c>
      <c r="AC187" s="10">
        <f t="shared" si="12"/>
        <v>0</v>
      </c>
      <c r="AD187" s="9">
        <v>0</v>
      </c>
      <c r="AE187" s="9">
        <v>0</v>
      </c>
      <c r="AF187" s="9">
        <v>0</v>
      </c>
      <c r="AG187" s="9">
        <v>0</v>
      </c>
      <c r="AH187" s="9">
        <v>0</v>
      </c>
      <c r="AI187" s="9">
        <v>0</v>
      </c>
      <c r="AJ187" s="9">
        <v>0</v>
      </c>
      <c r="AK187" s="9">
        <v>0</v>
      </c>
      <c r="AL187" s="9">
        <v>0</v>
      </c>
      <c r="AM187" s="9">
        <v>0</v>
      </c>
      <c r="AN187" s="9">
        <v>0</v>
      </c>
      <c r="AO187" s="9">
        <v>0</v>
      </c>
      <c r="AP187" s="9">
        <v>0</v>
      </c>
      <c r="AQ187" s="9">
        <v>0</v>
      </c>
      <c r="AR187" s="9">
        <v>0</v>
      </c>
      <c r="AS187" s="10">
        <f t="shared" si="13"/>
        <v>0</v>
      </c>
      <c r="AT187" s="10">
        <f t="shared" si="14"/>
        <v>0</v>
      </c>
      <c r="AU187" s="5" t="s">
        <v>322</v>
      </c>
    </row>
    <row r="188" spans="1:47" ht="15" customHeight="1" x14ac:dyDescent="0.3">
      <c r="A188" s="7" t="str">
        <f t="shared" si="10"/>
        <v>38_2022</v>
      </c>
      <c r="B188" s="7">
        <v>187</v>
      </c>
      <c r="C188" s="7">
        <f>'Panel Data (Long Format)'!B188</f>
        <v>38</v>
      </c>
      <c r="D188" s="7" t="str">
        <f>'Panel Data (Long Format)'!C188</f>
        <v>ELLAHLAKES</v>
      </c>
      <c r="E188" s="8" t="str">
        <f>'Panel Data (Long Format)'!D188</f>
        <v>Ellah Lakes Plc</v>
      </c>
      <c r="F188" s="7" t="str">
        <f>'Panel Data (Long Format)'!E188</f>
        <v>AGRICULTURE</v>
      </c>
      <c r="G188" s="7">
        <f>'Panel Data (Long Format)'!F188</f>
        <v>2022</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0</v>
      </c>
      <c r="AB188" s="10">
        <f t="shared" si="11"/>
        <v>0</v>
      </c>
      <c r="AC188" s="10">
        <f t="shared" si="12"/>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10">
        <f t="shared" si="13"/>
        <v>0</v>
      </c>
      <c r="AT188" s="10">
        <f t="shared" si="14"/>
        <v>0</v>
      </c>
      <c r="AU188" s="5" t="s">
        <v>323</v>
      </c>
    </row>
    <row r="189" spans="1:47" ht="15" customHeight="1" x14ac:dyDescent="0.3">
      <c r="A189" s="7" t="str">
        <f t="shared" si="10"/>
        <v>38_2023</v>
      </c>
      <c r="B189" s="7">
        <v>188</v>
      </c>
      <c r="C189" s="7">
        <f>'Panel Data (Long Format)'!B189</f>
        <v>38</v>
      </c>
      <c r="D189" s="7" t="str">
        <f>'Panel Data (Long Format)'!C189</f>
        <v>ELLAHLAKES</v>
      </c>
      <c r="E189" s="8" t="str">
        <f>'Panel Data (Long Format)'!D189</f>
        <v>Ellah Lakes Plc</v>
      </c>
      <c r="F189" s="7" t="str">
        <f>'Panel Data (Long Format)'!E189</f>
        <v>AGRICULTURE</v>
      </c>
      <c r="G189" s="7">
        <f>'Panel Data (Long Format)'!F189</f>
        <v>2023</v>
      </c>
      <c r="H189" s="9">
        <v>0</v>
      </c>
      <c r="I189" s="9">
        <v>0</v>
      </c>
      <c r="J189" s="9">
        <v>0</v>
      </c>
      <c r="K189" s="9">
        <v>0</v>
      </c>
      <c r="L189" s="9">
        <v>0</v>
      </c>
      <c r="M189" s="9">
        <v>0</v>
      </c>
      <c r="N189" s="9">
        <v>0</v>
      </c>
      <c r="O189" s="9">
        <v>0</v>
      </c>
      <c r="P189" s="9">
        <v>0</v>
      </c>
      <c r="Q189" s="9">
        <v>0</v>
      </c>
      <c r="R189" s="9">
        <v>0</v>
      </c>
      <c r="S189" s="9">
        <v>0</v>
      </c>
      <c r="T189" s="9">
        <v>0</v>
      </c>
      <c r="U189" s="9">
        <v>0</v>
      </c>
      <c r="V189" s="9">
        <v>0</v>
      </c>
      <c r="W189" s="9">
        <v>0</v>
      </c>
      <c r="X189" s="9">
        <v>0</v>
      </c>
      <c r="Y189" s="9">
        <v>0</v>
      </c>
      <c r="Z189" s="9">
        <v>0</v>
      </c>
      <c r="AA189" s="9">
        <v>0</v>
      </c>
      <c r="AB189" s="10">
        <f t="shared" si="11"/>
        <v>0</v>
      </c>
      <c r="AC189" s="10">
        <f t="shared" si="12"/>
        <v>0</v>
      </c>
      <c r="AD189" s="9">
        <v>0</v>
      </c>
      <c r="AE189" s="9">
        <v>0</v>
      </c>
      <c r="AF189" s="9">
        <v>0</v>
      </c>
      <c r="AG189" s="9">
        <v>0</v>
      </c>
      <c r="AH189" s="9">
        <v>0</v>
      </c>
      <c r="AI189" s="9">
        <v>0</v>
      </c>
      <c r="AJ189" s="9">
        <v>0</v>
      </c>
      <c r="AK189" s="9">
        <v>0</v>
      </c>
      <c r="AL189" s="9">
        <v>0</v>
      </c>
      <c r="AM189" s="9">
        <v>0</v>
      </c>
      <c r="AN189" s="9">
        <v>0</v>
      </c>
      <c r="AO189" s="9">
        <v>0</v>
      </c>
      <c r="AP189" s="9">
        <v>0</v>
      </c>
      <c r="AQ189" s="9">
        <v>0</v>
      </c>
      <c r="AR189" s="9">
        <v>0</v>
      </c>
      <c r="AS189" s="10">
        <f t="shared" si="13"/>
        <v>0</v>
      </c>
      <c r="AT189" s="10">
        <f t="shared" si="14"/>
        <v>0</v>
      </c>
      <c r="AU189" s="5" t="s">
        <v>324</v>
      </c>
    </row>
    <row r="190" spans="1:47" ht="15" customHeight="1" x14ac:dyDescent="0.3">
      <c r="A190" s="7" t="str">
        <f t="shared" si="10"/>
        <v>38_2024</v>
      </c>
      <c r="B190" s="7">
        <v>189</v>
      </c>
      <c r="C190" s="7">
        <f>'Panel Data (Long Format)'!B190</f>
        <v>38</v>
      </c>
      <c r="D190" s="7" t="str">
        <f>'Panel Data (Long Format)'!C190</f>
        <v>ELLAHLAKES</v>
      </c>
      <c r="E190" s="8" t="str">
        <f>'Panel Data (Long Format)'!D190</f>
        <v>Ellah Lakes Plc</v>
      </c>
      <c r="F190" s="7" t="str">
        <f>'Panel Data (Long Format)'!E190</f>
        <v>AGRICULTURE</v>
      </c>
      <c r="G190" s="7">
        <f>'Panel Data (Long Format)'!F190</f>
        <v>2024</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10">
        <f t="shared" si="11"/>
        <v>0</v>
      </c>
      <c r="AC190" s="10">
        <f t="shared" si="12"/>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10">
        <f t="shared" si="13"/>
        <v>0</v>
      </c>
      <c r="AT190" s="10">
        <f t="shared" si="14"/>
        <v>0</v>
      </c>
      <c r="AU190" s="5" t="s">
        <v>325</v>
      </c>
    </row>
    <row r="191" spans="1:47" ht="15" customHeight="1" x14ac:dyDescent="0.3">
      <c r="A191" s="7" t="str">
        <f t="shared" si="10"/>
        <v>38_2025</v>
      </c>
      <c r="B191" s="7">
        <v>190</v>
      </c>
      <c r="C191" s="7">
        <f>'Panel Data (Long Format)'!B191</f>
        <v>38</v>
      </c>
      <c r="D191" s="7" t="str">
        <f>'Panel Data (Long Format)'!C191</f>
        <v>ELLAHLAKES</v>
      </c>
      <c r="E191" s="8" t="str">
        <f>'Panel Data (Long Format)'!D191</f>
        <v>Ellah Lakes Plc</v>
      </c>
      <c r="F191" s="7" t="str">
        <f>'Panel Data (Long Format)'!E191</f>
        <v>AGRICULTURE</v>
      </c>
      <c r="G191" s="7">
        <f>'Panel Data (Long Format)'!F191</f>
        <v>2025</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0</v>
      </c>
      <c r="AB191" s="10">
        <f t="shared" si="11"/>
        <v>0</v>
      </c>
      <c r="AC191" s="10">
        <f t="shared" si="12"/>
        <v>0</v>
      </c>
      <c r="AD191" s="9">
        <v>0</v>
      </c>
      <c r="AE191" s="9">
        <v>0</v>
      </c>
      <c r="AF191" s="9">
        <v>0</v>
      </c>
      <c r="AG191" s="9">
        <v>0</v>
      </c>
      <c r="AH191" s="9">
        <v>0</v>
      </c>
      <c r="AI191" s="9">
        <v>0</v>
      </c>
      <c r="AJ191" s="9">
        <v>0</v>
      </c>
      <c r="AK191" s="9">
        <v>0</v>
      </c>
      <c r="AL191" s="9">
        <v>0</v>
      </c>
      <c r="AM191" s="9">
        <v>0</v>
      </c>
      <c r="AN191" s="9">
        <v>0</v>
      </c>
      <c r="AO191" s="9">
        <v>0</v>
      </c>
      <c r="AP191" s="9">
        <v>0</v>
      </c>
      <c r="AQ191" s="9">
        <v>0</v>
      </c>
      <c r="AR191" s="9">
        <v>0</v>
      </c>
      <c r="AS191" s="10">
        <f t="shared" si="13"/>
        <v>0</v>
      </c>
      <c r="AT191" s="10">
        <f t="shared" si="14"/>
        <v>0</v>
      </c>
      <c r="AU191" s="5" t="s">
        <v>326</v>
      </c>
    </row>
    <row r="192" spans="1:47" ht="15" customHeight="1" x14ac:dyDescent="0.3">
      <c r="A192" s="7" t="str">
        <f t="shared" si="10"/>
        <v>39_2021</v>
      </c>
      <c r="B192" s="7">
        <v>191</v>
      </c>
      <c r="C192" s="7">
        <f>'Panel Data (Long Format)'!B192</f>
        <v>39</v>
      </c>
      <c r="D192" s="7" t="str">
        <f>'Panel Data (Long Format)'!C192</f>
        <v>ENAMELWA</v>
      </c>
      <c r="E192" s="8" t="str">
        <f>'Panel Data (Long Format)'!D192</f>
        <v>Nigerian Enamelware Plc</v>
      </c>
      <c r="F192" s="7" t="str">
        <f>'Panel Data (Long Format)'!E192</f>
        <v>CONSUMER GOODS</v>
      </c>
      <c r="G192" s="7">
        <f>'Panel Data (Long Format)'!F192</f>
        <v>2021</v>
      </c>
      <c r="H192" s="9">
        <v>0</v>
      </c>
      <c r="I192" s="9">
        <v>0</v>
      </c>
      <c r="J192" s="9">
        <v>0</v>
      </c>
      <c r="K192" s="9">
        <v>0</v>
      </c>
      <c r="L192" s="9">
        <v>0</v>
      </c>
      <c r="M192" s="9">
        <v>0</v>
      </c>
      <c r="N192" s="9">
        <v>0</v>
      </c>
      <c r="O192" s="9">
        <v>0</v>
      </c>
      <c r="P192" s="9">
        <v>0</v>
      </c>
      <c r="Q192" s="9">
        <v>0</v>
      </c>
      <c r="R192" s="9">
        <v>0</v>
      </c>
      <c r="S192" s="9">
        <v>0</v>
      </c>
      <c r="T192" s="9">
        <v>0</v>
      </c>
      <c r="U192" s="9">
        <v>0</v>
      </c>
      <c r="V192" s="9">
        <v>0</v>
      </c>
      <c r="W192" s="9">
        <v>0</v>
      </c>
      <c r="X192" s="9">
        <v>0</v>
      </c>
      <c r="Y192" s="9">
        <v>0</v>
      </c>
      <c r="Z192" s="9">
        <v>0</v>
      </c>
      <c r="AA192" s="9">
        <v>0</v>
      </c>
      <c r="AB192" s="10">
        <f t="shared" si="11"/>
        <v>0</v>
      </c>
      <c r="AC192" s="10">
        <f t="shared" si="12"/>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10">
        <f t="shared" si="13"/>
        <v>0</v>
      </c>
      <c r="AT192" s="10">
        <f t="shared" si="14"/>
        <v>0</v>
      </c>
      <c r="AU192" s="5" t="s">
        <v>327</v>
      </c>
    </row>
    <row r="193" spans="1:47" ht="15" customHeight="1" x14ac:dyDescent="0.3">
      <c r="A193" s="7" t="str">
        <f t="shared" si="10"/>
        <v>39_2022</v>
      </c>
      <c r="B193" s="7">
        <v>192</v>
      </c>
      <c r="C193" s="7">
        <f>'Panel Data (Long Format)'!B193</f>
        <v>39</v>
      </c>
      <c r="D193" s="7" t="str">
        <f>'Panel Data (Long Format)'!C193</f>
        <v>ENAMELWA</v>
      </c>
      <c r="E193" s="8" t="str">
        <f>'Panel Data (Long Format)'!D193</f>
        <v>Nigerian Enamelware Plc</v>
      </c>
      <c r="F193" s="7" t="str">
        <f>'Panel Data (Long Format)'!E193</f>
        <v>CONSUMER GOODS</v>
      </c>
      <c r="G193" s="7">
        <f>'Panel Data (Long Format)'!F193</f>
        <v>2022</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10">
        <f t="shared" si="11"/>
        <v>0</v>
      </c>
      <c r="AC193" s="10">
        <f t="shared" si="12"/>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10">
        <f t="shared" si="13"/>
        <v>0</v>
      </c>
      <c r="AT193" s="10">
        <f t="shared" si="14"/>
        <v>0</v>
      </c>
      <c r="AU193" s="5" t="s">
        <v>328</v>
      </c>
    </row>
    <row r="194" spans="1:47" ht="15" customHeight="1" x14ac:dyDescent="0.3">
      <c r="A194" s="7" t="str">
        <f t="shared" ref="A194:A257" si="15">C194&amp;"_"&amp;G194</f>
        <v>39_2023</v>
      </c>
      <c r="B194" s="7">
        <v>193</v>
      </c>
      <c r="C194" s="7">
        <f>'Panel Data (Long Format)'!B194</f>
        <v>39</v>
      </c>
      <c r="D194" s="7" t="str">
        <f>'Panel Data (Long Format)'!C194</f>
        <v>ENAMELWA</v>
      </c>
      <c r="E194" s="8" t="str">
        <f>'Panel Data (Long Format)'!D194</f>
        <v>Nigerian Enamelware Plc</v>
      </c>
      <c r="F194" s="7" t="str">
        <f>'Panel Data (Long Format)'!E194</f>
        <v>CONSUMER GOODS</v>
      </c>
      <c r="G194" s="7">
        <f>'Panel Data (Long Format)'!F194</f>
        <v>2023</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v>0</v>
      </c>
      <c r="Y194" s="9">
        <v>0</v>
      </c>
      <c r="Z194" s="9">
        <v>0</v>
      </c>
      <c r="AA194" s="9">
        <v>0</v>
      </c>
      <c r="AB194" s="10">
        <f t="shared" ref="AB194:AB257" si="16">IF(COUNTBLANK(H194:AA194)&gt;0,"",SUM(H194:AA194))</f>
        <v>0</v>
      </c>
      <c r="AC194" s="10">
        <f t="shared" ref="AC194:AC257" si="17">IF(AB194="","",AB194/20*100)</f>
        <v>0</v>
      </c>
      <c r="AD194" s="9">
        <v>0</v>
      </c>
      <c r="AE194" s="9">
        <v>0</v>
      </c>
      <c r="AF194" s="9">
        <v>0</v>
      </c>
      <c r="AG194" s="9">
        <v>0</v>
      </c>
      <c r="AH194" s="9">
        <v>0</v>
      </c>
      <c r="AI194" s="9">
        <v>0</v>
      </c>
      <c r="AJ194" s="9">
        <v>0</v>
      </c>
      <c r="AK194" s="9">
        <v>0</v>
      </c>
      <c r="AL194" s="9">
        <v>0</v>
      </c>
      <c r="AM194" s="9">
        <v>0</v>
      </c>
      <c r="AN194" s="9">
        <v>0</v>
      </c>
      <c r="AO194" s="9">
        <v>0</v>
      </c>
      <c r="AP194" s="9">
        <v>0</v>
      </c>
      <c r="AQ194" s="9">
        <v>0</v>
      </c>
      <c r="AR194" s="9">
        <v>0</v>
      </c>
      <c r="AS194" s="10">
        <f t="shared" ref="AS194:AS257" si="18">IF(COUNTBLANK(AD194:AR194)&gt;0,"",SUM(AD194:AR194))</f>
        <v>0</v>
      </c>
      <c r="AT194" s="10">
        <f t="shared" ref="AT194:AT257" si="19">IF(AS194="","",AS194/15*100)</f>
        <v>0</v>
      </c>
      <c r="AU194" s="5" t="s">
        <v>329</v>
      </c>
    </row>
    <row r="195" spans="1:47" ht="15" customHeight="1" x14ac:dyDescent="0.3">
      <c r="A195" s="7" t="str">
        <f t="shared" si="15"/>
        <v>39_2024</v>
      </c>
      <c r="B195" s="7">
        <v>194</v>
      </c>
      <c r="C195" s="7">
        <f>'Panel Data (Long Format)'!B195</f>
        <v>39</v>
      </c>
      <c r="D195" s="7" t="str">
        <f>'Panel Data (Long Format)'!C195</f>
        <v>ENAMELWA</v>
      </c>
      <c r="E195" s="8" t="str">
        <f>'Panel Data (Long Format)'!D195</f>
        <v>Nigerian Enamelware Plc</v>
      </c>
      <c r="F195" s="7" t="str">
        <f>'Panel Data (Long Format)'!E195</f>
        <v>CONSUMER GOODS</v>
      </c>
      <c r="G195" s="7">
        <f>'Panel Data (Long Format)'!F195</f>
        <v>2024</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10">
        <f t="shared" si="16"/>
        <v>0</v>
      </c>
      <c r="AC195" s="10">
        <f t="shared" si="17"/>
        <v>0</v>
      </c>
      <c r="AD195" s="9">
        <v>0</v>
      </c>
      <c r="AE195" s="9">
        <v>0</v>
      </c>
      <c r="AF195" s="9">
        <v>0</v>
      </c>
      <c r="AG195" s="9">
        <v>0</v>
      </c>
      <c r="AH195" s="9">
        <v>0</v>
      </c>
      <c r="AI195" s="9">
        <v>0</v>
      </c>
      <c r="AJ195" s="9">
        <v>0</v>
      </c>
      <c r="AK195" s="9">
        <v>0</v>
      </c>
      <c r="AL195" s="9">
        <v>0</v>
      </c>
      <c r="AM195" s="9">
        <v>0</v>
      </c>
      <c r="AN195" s="9">
        <v>0</v>
      </c>
      <c r="AO195" s="9">
        <v>0</v>
      </c>
      <c r="AP195" s="9">
        <v>0</v>
      </c>
      <c r="AQ195" s="9">
        <v>0</v>
      </c>
      <c r="AR195" s="9">
        <v>0</v>
      </c>
      <c r="AS195" s="10">
        <f t="shared" si="18"/>
        <v>0</v>
      </c>
      <c r="AT195" s="10">
        <f t="shared" si="19"/>
        <v>0</v>
      </c>
      <c r="AU195" s="5" t="s">
        <v>330</v>
      </c>
    </row>
    <row r="196" spans="1:47" ht="15" customHeight="1" x14ac:dyDescent="0.3">
      <c r="A196" s="7" t="str">
        <f t="shared" si="15"/>
        <v>39_2025</v>
      </c>
      <c r="B196" s="7">
        <v>195</v>
      </c>
      <c r="C196" s="7">
        <f>'Panel Data (Long Format)'!B196</f>
        <v>39</v>
      </c>
      <c r="D196" s="7" t="str">
        <f>'Panel Data (Long Format)'!C196</f>
        <v>ENAMELWA</v>
      </c>
      <c r="E196" s="8" t="str">
        <f>'Panel Data (Long Format)'!D196</f>
        <v>Nigerian Enamelware Plc</v>
      </c>
      <c r="F196" s="7" t="str">
        <f>'Panel Data (Long Format)'!E196</f>
        <v>CONSUMER GOODS</v>
      </c>
      <c r="G196" s="7">
        <f>'Panel Data (Long Format)'!F196</f>
        <v>2025</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10">
        <f t="shared" si="16"/>
        <v>0</v>
      </c>
      <c r="AC196" s="10">
        <f t="shared" si="17"/>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10">
        <f t="shared" si="18"/>
        <v>0</v>
      </c>
      <c r="AT196" s="10">
        <f t="shared" si="19"/>
        <v>0</v>
      </c>
      <c r="AU196" s="5" t="s">
        <v>331</v>
      </c>
    </row>
    <row r="197" spans="1:47" ht="15" customHeight="1" x14ac:dyDescent="0.3">
      <c r="A197" s="7" t="str">
        <f t="shared" si="15"/>
        <v>40_2021</v>
      </c>
      <c r="B197" s="7">
        <v>196</v>
      </c>
      <c r="C197" s="7">
        <f>'Panel Data (Long Format)'!B197</f>
        <v>40</v>
      </c>
      <c r="D197" s="7" t="str">
        <f>'Panel Data (Long Format)'!C197</f>
        <v>ETERNA</v>
      </c>
      <c r="E197" s="8" t="str">
        <f>'Panel Data (Long Format)'!D197</f>
        <v>Eterna Plc</v>
      </c>
      <c r="F197" s="7" t="str">
        <f>'Panel Data (Long Format)'!E197</f>
        <v>OIL AND GAS</v>
      </c>
      <c r="G197" s="7">
        <f>'Panel Data (Long Format)'!F197</f>
        <v>2021</v>
      </c>
      <c r="H197" s="9">
        <v>1</v>
      </c>
      <c r="I197" s="9">
        <v>0</v>
      </c>
      <c r="J197" s="9">
        <v>1</v>
      </c>
      <c r="K197" s="9">
        <v>0</v>
      </c>
      <c r="L197" s="9">
        <v>0</v>
      </c>
      <c r="M197" s="9">
        <v>0</v>
      </c>
      <c r="N197" s="9">
        <v>0</v>
      </c>
      <c r="O197" s="9">
        <v>0</v>
      </c>
      <c r="P197" s="9">
        <v>0</v>
      </c>
      <c r="Q197" s="9">
        <v>0</v>
      </c>
      <c r="R197" s="9">
        <v>1</v>
      </c>
      <c r="S197" s="9">
        <v>1</v>
      </c>
      <c r="T197" s="9">
        <v>1</v>
      </c>
      <c r="U197" s="9">
        <v>1</v>
      </c>
      <c r="V197" s="9">
        <v>0</v>
      </c>
      <c r="W197" s="9">
        <v>0</v>
      </c>
      <c r="X197" s="9">
        <v>0</v>
      </c>
      <c r="Y197" s="9">
        <v>0</v>
      </c>
      <c r="Z197" s="9">
        <v>0</v>
      </c>
      <c r="AA197" s="9">
        <v>0</v>
      </c>
      <c r="AB197" s="10">
        <f t="shared" si="16"/>
        <v>6</v>
      </c>
      <c r="AC197" s="10">
        <f t="shared" si="17"/>
        <v>30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10">
        <f t="shared" si="18"/>
        <v>0</v>
      </c>
      <c r="AT197" s="10">
        <f t="shared" si="19"/>
        <v>0</v>
      </c>
      <c r="AU197" s="5" t="s">
        <v>332</v>
      </c>
    </row>
    <row r="198" spans="1:47" ht="15" customHeight="1" x14ac:dyDescent="0.3">
      <c r="A198" s="7" t="str">
        <f t="shared" si="15"/>
        <v>40_2022</v>
      </c>
      <c r="B198" s="7">
        <v>197</v>
      </c>
      <c r="C198" s="7">
        <f>'Panel Data (Long Format)'!B198</f>
        <v>40</v>
      </c>
      <c r="D198" s="7" t="str">
        <f>'Panel Data (Long Format)'!C198</f>
        <v>ETERNA</v>
      </c>
      <c r="E198" s="8" t="str">
        <f>'Panel Data (Long Format)'!D198</f>
        <v>Eterna Plc</v>
      </c>
      <c r="F198" s="7" t="str">
        <f>'Panel Data (Long Format)'!E198</f>
        <v>OIL AND GAS</v>
      </c>
      <c r="G198" s="7">
        <f>'Panel Data (Long Format)'!F198</f>
        <v>2022</v>
      </c>
      <c r="H198" s="9">
        <v>1</v>
      </c>
      <c r="I198" s="9">
        <v>0</v>
      </c>
      <c r="J198" s="9">
        <v>1</v>
      </c>
      <c r="K198" s="9">
        <v>0</v>
      </c>
      <c r="L198" s="9">
        <v>0</v>
      </c>
      <c r="M198" s="9">
        <v>0</v>
      </c>
      <c r="N198" s="9">
        <v>0</v>
      </c>
      <c r="O198" s="9">
        <v>0</v>
      </c>
      <c r="P198" s="9">
        <v>0</v>
      </c>
      <c r="Q198" s="9">
        <v>0</v>
      </c>
      <c r="R198" s="9">
        <v>1</v>
      </c>
      <c r="S198" s="9">
        <v>1</v>
      </c>
      <c r="T198" s="9">
        <v>1</v>
      </c>
      <c r="U198" s="9">
        <v>1</v>
      </c>
      <c r="V198" s="9">
        <v>0</v>
      </c>
      <c r="W198" s="9">
        <v>0</v>
      </c>
      <c r="X198" s="9">
        <v>0</v>
      </c>
      <c r="Y198" s="9">
        <v>0</v>
      </c>
      <c r="Z198" s="9">
        <v>0</v>
      </c>
      <c r="AA198" s="9">
        <v>0</v>
      </c>
      <c r="AB198" s="10">
        <f t="shared" si="16"/>
        <v>6</v>
      </c>
      <c r="AC198" s="10">
        <f t="shared" si="17"/>
        <v>30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10">
        <f t="shared" si="18"/>
        <v>0</v>
      </c>
      <c r="AT198" s="10">
        <f t="shared" si="19"/>
        <v>0</v>
      </c>
      <c r="AU198" s="5" t="s">
        <v>333</v>
      </c>
    </row>
    <row r="199" spans="1:47" ht="15" customHeight="1" x14ac:dyDescent="0.3">
      <c r="A199" s="7" t="str">
        <f t="shared" si="15"/>
        <v>40_2023</v>
      </c>
      <c r="B199" s="7">
        <v>198</v>
      </c>
      <c r="C199" s="7">
        <f>'Panel Data (Long Format)'!B199</f>
        <v>40</v>
      </c>
      <c r="D199" s="7" t="str">
        <f>'Panel Data (Long Format)'!C199</f>
        <v>ETERNA</v>
      </c>
      <c r="E199" s="8" t="str">
        <f>'Panel Data (Long Format)'!D199</f>
        <v>Eterna Plc</v>
      </c>
      <c r="F199" s="7" t="str">
        <f>'Panel Data (Long Format)'!E199</f>
        <v>OIL AND GAS</v>
      </c>
      <c r="G199" s="7">
        <f>'Panel Data (Long Format)'!F199</f>
        <v>2023</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10">
        <f t="shared" si="16"/>
        <v>0</v>
      </c>
      <c r="AC199" s="10">
        <f t="shared" si="17"/>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10">
        <f t="shared" si="18"/>
        <v>0</v>
      </c>
      <c r="AT199" s="10">
        <f t="shared" si="19"/>
        <v>0</v>
      </c>
      <c r="AU199" s="5" t="s">
        <v>334</v>
      </c>
    </row>
    <row r="200" spans="1:47" ht="15" customHeight="1" x14ac:dyDescent="0.3">
      <c r="A200" s="7" t="str">
        <f t="shared" si="15"/>
        <v>40_2024</v>
      </c>
      <c r="B200" s="7">
        <v>199</v>
      </c>
      <c r="C200" s="7">
        <f>'Panel Data (Long Format)'!B200</f>
        <v>40</v>
      </c>
      <c r="D200" s="7" t="str">
        <f>'Panel Data (Long Format)'!C200</f>
        <v>ETERNA</v>
      </c>
      <c r="E200" s="8" t="str">
        <f>'Panel Data (Long Format)'!D200</f>
        <v>Eterna Plc</v>
      </c>
      <c r="F200" s="7" t="str">
        <f>'Panel Data (Long Format)'!E200</f>
        <v>OIL AND GAS</v>
      </c>
      <c r="G200" s="7">
        <f>'Panel Data (Long Format)'!F200</f>
        <v>2024</v>
      </c>
      <c r="H200" s="9">
        <v>1</v>
      </c>
      <c r="I200" s="9">
        <v>0</v>
      </c>
      <c r="J200" s="9">
        <v>1</v>
      </c>
      <c r="K200" s="9">
        <v>0</v>
      </c>
      <c r="L200" s="9">
        <v>0</v>
      </c>
      <c r="M200" s="9">
        <v>1</v>
      </c>
      <c r="N200" s="9">
        <v>1</v>
      </c>
      <c r="O200" s="9">
        <v>1</v>
      </c>
      <c r="P200" s="9">
        <v>0</v>
      </c>
      <c r="Q200" s="9">
        <v>0</v>
      </c>
      <c r="R200" s="9">
        <v>1</v>
      </c>
      <c r="S200" s="9">
        <v>1</v>
      </c>
      <c r="T200" s="9">
        <v>1</v>
      </c>
      <c r="U200" s="9">
        <v>1</v>
      </c>
      <c r="V200" s="9">
        <v>0</v>
      </c>
      <c r="W200" s="9">
        <v>0</v>
      </c>
      <c r="X200" s="9">
        <v>0</v>
      </c>
      <c r="Y200" s="9">
        <v>0</v>
      </c>
      <c r="Z200" s="9">
        <v>0</v>
      </c>
      <c r="AA200" s="9">
        <v>0</v>
      </c>
      <c r="AB200" s="10">
        <f t="shared" si="16"/>
        <v>9</v>
      </c>
      <c r="AC200" s="10">
        <f t="shared" si="17"/>
        <v>45</v>
      </c>
      <c r="AD200" s="9">
        <v>0</v>
      </c>
      <c r="AE200" s="9">
        <v>0</v>
      </c>
      <c r="AF200" s="9">
        <v>0</v>
      </c>
      <c r="AG200" s="9">
        <v>0</v>
      </c>
      <c r="AH200" s="9">
        <v>1</v>
      </c>
      <c r="AI200" s="9">
        <v>0</v>
      </c>
      <c r="AJ200" s="9">
        <v>0</v>
      </c>
      <c r="AK200" s="9">
        <v>0</v>
      </c>
      <c r="AL200" s="9">
        <v>0</v>
      </c>
      <c r="AM200" s="9">
        <v>0</v>
      </c>
      <c r="AN200" s="9">
        <v>0</v>
      </c>
      <c r="AO200" s="9">
        <v>0</v>
      </c>
      <c r="AP200" s="9">
        <v>0</v>
      </c>
      <c r="AQ200" s="9">
        <v>0</v>
      </c>
      <c r="AR200" s="9">
        <v>0</v>
      </c>
      <c r="AS200" s="10">
        <f t="shared" si="18"/>
        <v>1</v>
      </c>
      <c r="AT200" s="10">
        <f t="shared" si="19"/>
        <v>6.666666666666667</v>
      </c>
      <c r="AU200" s="5" t="s">
        <v>335</v>
      </c>
    </row>
    <row r="201" spans="1:47" ht="15" customHeight="1" x14ac:dyDescent="0.3">
      <c r="A201" s="7" t="str">
        <f t="shared" si="15"/>
        <v>40_2025</v>
      </c>
      <c r="B201" s="7">
        <v>200</v>
      </c>
      <c r="C201" s="7">
        <f>'Panel Data (Long Format)'!B201</f>
        <v>40</v>
      </c>
      <c r="D201" s="7" t="str">
        <f>'Panel Data (Long Format)'!C201</f>
        <v>ETERNA</v>
      </c>
      <c r="E201" s="8" t="str">
        <f>'Panel Data (Long Format)'!D201</f>
        <v>Eterna Plc</v>
      </c>
      <c r="F201" s="7" t="str">
        <f>'Panel Data (Long Format)'!E201</f>
        <v>OIL AND GAS</v>
      </c>
      <c r="G201" s="7">
        <f>'Panel Data (Long Format)'!F201</f>
        <v>2025</v>
      </c>
      <c r="H201" s="9">
        <v>0</v>
      </c>
      <c r="I201" s="9">
        <v>0</v>
      </c>
      <c r="J201" s="9">
        <v>0</v>
      </c>
      <c r="K201" s="9">
        <v>0</v>
      </c>
      <c r="L201" s="9">
        <v>0</v>
      </c>
      <c r="M201" s="9">
        <v>0</v>
      </c>
      <c r="N201" s="9">
        <v>0</v>
      </c>
      <c r="O201" s="9">
        <v>0</v>
      </c>
      <c r="P201" s="9">
        <v>0</v>
      </c>
      <c r="Q201" s="9">
        <v>0</v>
      </c>
      <c r="R201" s="9">
        <v>0</v>
      </c>
      <c r="S201" s="9">
        <v>0</v>
      </c>
      <c r="T201" s="9">
        <v>0</v>
      </c>
      <c r="U201" s="9">
        <v>0</v>
      </c>
      <c r="V201" s="9">
        <v>0</v>
      </c>
      <c r="W201" s="9">
        <v>0</v>
      </c>
      <c r="X201" s="9">
        <v>0</v>
      </c>
      <c r="Y201" s="9">
        <v>0</v>
      </c>
      <c r="Z201" s="9">
        <v>0</v>
      </c>
      <c r="AA201" s="9">
        <v>0</v>
      </c>
      <c r="AB201" s="10">
        <f t="shared" si="16"/>
        <v>0</v>
      </c>
      <c r="AC201" s="10">
        <f t="shared" si="17"/>
        <v>0</v>
      </c>
      <c r="AD201" s="9">
        <v>0</v>
      </c>
      <c r="AE201" s="9">
        <v>0</v>
      </c>
      <c r="AF201" s="9">
        <v>0</v>
      </c>
      <c r="AG201" s="9">
        <v>0</v>
      </c>
      <c r="AH201" s="9">
        <v>0</v>
      </c>
      <c r="AI201" s="9">
        <v>0</v>
      </c>
      <c r="AJ201" s="9">
        <v>0</v>
      </c>
      <c r="AK201" s="9">
        <v>0</v>
      </c>
      <c r="AL201" s="9">
        <v>0</v>
      </c>
      <c r="AM201" s="9">
        <v>0</v>
      </c>
      <c r="AN201" s="9">
        <v>0</v>
      </c>
      <c r="AO201" s="9">
        <v>0</v>
      </c>
      <c r="AP201" s="9">
        <v>0</v>
      </c>
      <c r="AQ201" s="9">
        <v>0</v>
      </c>
      <c r="AR201" s="9">
        <v>0</v>
      </c>
      <c r="AS201" s="10">
        <f t="shared" si="18"/>
        <v>0</v>
      </c>
      <c r="AT201" s="10">
        <f t="shared" si="19"/>
        <v>0</v>
      </c>
      <c r="AU201" s="5" t="s">
        <v>336</v>
      </c>
    </row>
    <row r="202" spans="1:47" ht="15" customHeight="1" x14ac:dyDescent="0.3">
      <c r="A202" s="7" t="str">
        <f t="shared" si="15"/>
        <v>41_2021</v>
      </c>
      <c r="B202" s="7">
        <v>201</v>
      </c>
      <c r="C202" s="7">
        <f>'Panel Data (Long Format)'!B202</f>
        <v>41</v>
      </c>
      <c r="D202" s="7" t="str">
        <f>'Panel Data (Long Format)'!C202</f>
        <v>ETI</v>
      </c>
      <c r="E202" s="8" t="str">
        <f>'Panel Data (Long Format)'!D202</f>
        <v>Ecobank Transnational Incorporated</v>
      </c>
      <c r="F202" s="7" t="str">
        <f>'Panel Data (Long Format)'!E202</f>
        <v>FINANCIAL SERVICES</v>
      </c>
      <c r="G202" s="7">
        <f>'Panel Data (Long Format)'!F202</f>
        <v>2021</v>
      </c>
      <c r="H202" s="9">
        <v>1</v>
      </c>
      <c r="I202" s="9">
        <v>0</v>
      </c>
      <c r="J202" s="9">
        <v>0</v>
      </c>
      <c r="K202" s="9">
        <v>0</v>
      </c>
      <c r="L202" s="9">
        <v>0</v>
      </c>
      <c r="M202" s="9">
        <v>1</v>
      </c>
      <c r="N202" s="9">
        <v>0</v>
      </c>
      <c r="O202" s="9">
        <v>1</v>
      </c>
      <c r="P202" s="9">
        <v>0</v>
      </c>
      <c r="Q202" s="9">
        <v>0</v>
      </c>
      <c r="R202" s="9">
        <v>1</v>
      </c>
      <c r="S202" s="9">
        <v>0</v>
      </c>
      <c r="T202" s="9">
        <v>0</v>
      </c>
      <c r="U202" s="9">
        <v>0</v>
      </c>
      <c r="V202" s="9">
        <v>0</v>
      </c>
      <c r="W202" s="9">
        <v>0</v>
      </c>
      <c r="X202" s="9">
        <v>0</v>
      </c>
      <c r="Y202" s="9">
        <v>0</v>
      </c>
      <c r="Z202" s="9">
        <v>0</v>
      </c>
      <c r="AA202" s="9">
        <v>0</v>
      </c>
      <c r="AB202" s="10">
        <f t="shared" si="16"/>
        <v>4</v>
      </c>
      <c r="AC202" s="10">
        <f t="shared" si="17"/>
        <v>20</v>
      </c>
      <c r="AD202" s="9">
        <v>0</v>
      </c>
      <c r="AE202" s="9">
        <v>0</v>
      </c>
      <c r="AF202" s="9">
        <v>0</v>
      </c>
      <c r="AG202" s="9">
        <v>0</v>
      </c>
      <c r="AH202" s="9">
        <v>0</v>
      </c>
      <c r="AI202" s="9">
        <v>0</v>
      </c>
      <c r="AJ202" s="9">
        <v>0</v>
      </c>
      <c r="AK202" s="9">
        <v>1</v>
      </c>
      <c r="AL202" s="9">
        <v>0</v>
      </c>
      <c r="AM202" s="9">
        <v>0</v>
      </c>
      <c r="AN202" s="9">
        <v>0</v>
      </c>
      <c r="AO202" s="9">
        <v>0</v>
      </c>
      <c r="AP202" s="9">
        <v>0</v>
      </c>
      <c r="AQ202" s="9">
        <v>0</v>
      </c>
      <c r="AR202" s="9">
        <v>0</v>
      </c>
      <c r="AS202" s="10">
        <f t="shared" si="18"/>
        <v>1</v>
      </c>
      <c r="AT202" s="10">
        <f t="shared" si="19"/>
        <v>6.666666666666667</v>
      </c>
      <c r="AU202" s="5" t="s">
        <v>337</v>
      </c>
    </row>
    <row r="203" spans="1:47" ht="15" customHeight="1" x14ac:dyDescent="0.3">
      <c r="A203" s="7" t="str">
        <f t="shared" si="15"/>
        <v>41_2022</v>
      </c>
      <c r="B203" s="7">
        <v>202</v>
      </c>
      <c r="C203" s="7">
        <f>'Panel Data (Long Format)'!B203</f>
        <v>41</v>
      </c>
      <c r="D203" s="7" t="str">
        <f>'Panel Data (Long Format)'!C203</f>
        <v>ETI</v>
      </c>
      <c r="E203" s="8" t="str">
        <f>'Panel Data (Long Format)'!D203</f>
        <v>Ecobank Transnational Incorporated</v>
      </c>
      <c r="F203" s="7" t="str">
        <f>'Panel Data (Long Format)'!E203</f>
        <v>FINANCIAL SERVICES</v>
      </c>
      <c r="G203" s="7">
        <f>'Panel Data (Long Format)'!F203</f>
        <v>2022</v>
      </c>
      <c r="H203" s="9">
        <v>1</v>
      </c>
      <c r="I203" s="9">
        <v>0</v>
      </c>
      <c r="J203" s="9">
        <v>0</v>
      </c>
      <c r="K203" s="9">
        <v>0</v>
      </c>
      <c r="L203" s="9">
        <v>0</v>
      </c>
      <c r="M203" s="9">
        <v>1</v>
      </c>
      <c r="N203" s="9">
        <v>0</v>
      </c>
      <c r="O203" s="9">
        <v>1</v>
      </c>
      <c r="P203" s="9">
        <v>0</v>
      </c>
      <c r="Q203" s="9">
        <v>0</v>
      </c>
      <c r="R203" s="9">
        <v>1</v>
      </c>
      <c r="S203" s="9">
        <v>0</v>
      </c>
      <c r="T203" s="9">
        <v>0</v>
      </c>
      <c r="U203" s="9">
        <v>0</v>
      </c>
      <c r="V203" s="9">
        <v>0</v>
      </c>
      <c r="W203" s="9">
        <v>0</v>
      </c>
      <c r="X203" s="9">
        <v>0</v>
      </c>
      <c r="Y203" s="9">
        <v>0</v>
      </c>
      <c r="Z203" s="9">
        <v>0</v>
      </c>
      <c r="AA203" s="9">
        <v>1</v>
      </c>
      <c r="AB203" s="10">
        <f t="shared" si="16"/>
        <v>5</v>
      </c>
      <c r="AC203" s="10">
        <f t="shared" si="17"/>
        <v>25</v>
      </c>
      <c r="AD203" s="9">
        <v>0</v>
      </c>
      <c r="AE203" s="9">
        <v>0</v>
      </c>
      <c r="AF203" s="9">
        <v>0</v>
      </c>
      <c r="AG203" s="9">
        <v>1</v>
      </c>
      <c r="AH203" s="9">
        <v>0</v>
      </c>
      <c r="AI203" s="9">
        <v>0</v>
      </c>
      <c r="AJ203" s="9">
        <v>0</v>
      </c>
      <c r="AK203" s="9">
        <v>1</v>
      </c>
      <c r="AL203" s="9">
        <v>0</v>
      </c>
      <c r="AM203" s="9">
        <v>0</v>
      </c>
      <c r="AN203" s="9">
        <v>0</v>
      </c>
      <c r="AO203" s="9">
        <v>0</v>
      </c>
      <c r="AP203" s="9">
        <v>0</v>
      </c>
      <c r="AQ203" s="9">
        <v>0</v>
      </c>
      <c r="AR203" s="9">
        <v>0</v>
      </c>
      <c r="AS203" s="10">
        <f t="shared" si="18"/>
        <v>2</v>
      </c>
      <c r="AT203" s="10">
        <f t="shared" si="19"/>
        <v>13.333333333333334</v>
      </c>
      <c r="AU203" s="5" t="s">
        <v>338</v>
      </c>
    </row>
    <row r="204" spans="1:47" ht="15" customHeight="1" x14ac:dyDescent="0.3">
      <c r="A204" s="7" t="str">
        <f t="shared" si="15"/>
        <v>41_2023</v>
      </c>
      <c r="B204" s="7">
        <v>203</v>
      </c>
      <c r="C204" s="7">
        <f>'Panel Data (Long Format)'!B204</f>
        <v>41</v>
      </c>
      <c r="D204" s="7" t="str">
        <f>'Panel Data (Long Format)'!C204</f>
        <v>ETI</v>
      </c>
      <c r="E204" s="8" t="str">
        <f>'Panel Data (Long Format)'!D204</f>
        <v>Ecobank Transnational Incorporated</v>
      </c>
      <c r="F204" s="7" t="str">
        <f>'Panel Data (Long Format)'!E204</f>
        <v>FINANCIAL SERVICES</v>
      </c>
      <c r="G204" s="7">
        <f>'Panel Data (Long Format)'!F204</f>
        <v>2023</v>
      </c>
      <c r="H204" s="9">
        <v>1</v>
      </c>
      <c r="I204" s="9">
        <v>0</v>
      </c>
      <c r="J204" s="9">
        <v>0</v>
      </c>
      <c r="K204" s="9">
        <v>0</v>
      </c>
      <c r="L204" s="9">
        <v>0</v>
      </c>
      <c r="M204" s="9">
        <v>1</v>
      </c>
      <c r="N204" s="9">
        <v>1</v>
      </c>
      <c r="O204" s="9">
        <v>1</v>
      </c>
      <c r="P204" s="9">
        <v>0</v>
      </c>
      <c r="Q204" s="9">
        <v>0</v>
      </c>
      <c r="R204" s="9">
        <v>1</v>
      </c>
      <c r="S204" s="9">
        <v>0</v>
      </c>
      <c r="T204" s="9">
        <v>0</v>
      </c>
      <c r="U204" s="9">
        <v>0</v>
      </c>
      <c r="V204" s="9">
        <v>0</v>
      </c>
      <c r="W204" s="9">
        <v>1</v>
      </c>
      <c r="X204" s="9">
        <v>0</v>
      </c>
      <c r="Y204" s="9">
        <v>0</v>
      </c>
      <c r="Z204" s="9">
        <v>0</v>
      </c>
      <c r="AA204" s="9">
        <v>0</v>
      </c>
      <c r="AB204" s="10">
        <f t="shared" si="16"/>
        <v>6</v>
      </c>
      <c r="AC204" s="10">
        <f t="shared" si="17"/>
        <v>30</v>
      </c>
      <c r="AD204" s="9">
        <v>0</v>
      </c>
      <c r="AE204" s="9">
        <v>0</v>
      </c>
      <c r="AF204" s="9">
        <v>0</v>
      </c>
      <c r="AG204" s="9">
        <v>1</v>
      </c>
      <c r="AH204" s="9">
        <v>1</v>
      </c>
      <c r="AI204" s="9">
        <v>0</v>
      </c>
      <c r="AJ204" s="9">
        <v>1</v>
      </c>
      <c r="AK204" s="9">
        <v>1</v>
      </c>
      <c r="AL204" s="9">
        <v>0</v>
      </c>
      <c r="AM204" s="9">
        <v>0</v>
      </c>
      <c r="AN204" s="9">
        <v>0</v>
      </c>
      <c r="AO204" s="9">
        <v>0</v>
      </c>
      <c r="AP204" s="9">
        <v>0</v>
      </c>
      <c r="AQ204" s="9">
        <v>0</v>
      </c>
      <c r="AR204" s="9">
        <v>0</v>
      </c>
      <c r="AS204" s="10">
        <f t="shared" si="18"/>
        <v>4</v>
      </c>
      <c r="AT204" s="10">
        <f t="shared" si="19"/>
        <v>26.666666666666668</v>
      </c>
      <c r="AU204" s="5" t="s">
        <v>339</v>
      </c>
    </row>
    <row r="205" spans="1:47" ht="15" customHeight="1" x14ac:dyDescent="0.3">
      <c r="A205" s="7" t="str">
        <f t="shared" si="15"/>
        <v>41_2024</v>
      </c>
      <c r="B205" s="7">
        <v>204</v>
      </c>
      <c r="C205" s="7">
        <f>'Panel Data (Long Format)'!B205</f>
        <v>41</v>
      </c>
      <c r="D205" s="7" t="str">
        <f>'Panel Data (Long Format)'!C205</f>
        <v>ETI</v>
      </c>
      <c r="E205" s="8" t="str">
        <f>'Panel Data (Long Format)'!D205</f>
        <v>Ecobank Transnational Incorporated</v>
      </c>
      <c r="F205" s="7" t="str">
        <f>'Panel Data (Long Format)'!E205</f>
        <v>FINANCIAL SERVICES</v>
      </c>
      <c r="G205" s="7">
        <f>'Panel Data (Long Format)'!F205</f>
        <v>2024</v>
      </c>
      <c r="H205" s="9">
        <v>0</v>
      </c>
      <c r="I205" s="9">
        <v>0</v>
      </c>
      <c r="J205" s="9">
        <v>0</v>
      </c>
      <c r="K205" s="9">
        <v>0</v>
      </c>
      <c r="L205" s="9">
        <v>0</v>
      </c>
      <c r="M205" s="9">
        <v>0</v>
      </c>
      <c r="N205" s="9">
        <v>0</v>
      </c>
      <c r="O205" s="9">
        <v>0</v>
      </c>
      <c r="P205" s="9">
        <v>0</v>
      </c>
      <c r="Q205" s="9">
        <v>0</v>
      </c>
      <c r="R205" s="9">
        <v>0</v>
      </c>
      <c r="S205" s="9">
        <v>0</v>
      </c>
      <c r="T205" s="9">
        <v>0</v>
      </c>
      <c r="U205" s="9">
        <v>0</v>
      </c>
      <c r="V205" s="9">
        <v>0</v>
      </c>
      <c r="W205" s="9">
        <v>0</v>
      </c>
      <c r="X205" s="9">
        <v>0</v>
      </c>
      <c r="Y205" s="9">
        <v>0</v>
      </c>
      <c r="Z205" s="9">
        <v>0</v>
      </c>
      <c r="AA205" s="9">
        <v>0</v>
      </c>
      <c r="AB205" s="10">
        <f t="shared" si="16"/>
        <v>0</v>
      </c>
      <c r="AC205" s="10">
        <f t="shared" si="17"/>
        <v>0</v>
      </c>
      <c r="AD205" s="9">
        <v>0</v>
      </c>
      <c r="AE205" s="9">
        <v>0</v>
      </c>
      <c r="AF205" s="9">
        <v>0</v>
      </c>
      <c r="AG205" s="9">
        <v>0</v>
      </c>
      <c r="AH205" s="9">
        <v>0</v>
      </c>
      <c r="AI205" s="9">
        <v>0</v>
      </c>
      <c r="AJ205" s="9">
        <v>0</v>
      </c>
      <c r="AK205" s="9">
        <v>0</v>
      </c>
      <c r="AL205" s="9">
        <v>0</v>
      </c>
      <c r="AM205" s="9">
        <v>0</v>
      </c>
      <c r="AN205" s="9">
        <v>0</v>
      </c>
      <c r="AO205" s="9">
        <v>0</v>
      </c>
      <c r="AP205" s="9">
        <v>0</v>
      </c>
      <c r="AQ205" s="9">
        <v>0</v>
      </c>
      <c r="AR205" s="9">
        <v>0</v>
      </c>
      <c r="AS205" s="10">
        <f t="shared" si="18"/>
        <v>0</v>
      </c>
      <c r="AT205" s="10">
        <f t="shared" si="19"/>
        <v>0</v>
      </c>
      <c r="AU205" s="5" t="s">
        <v>340</v>
      </c>
    </row>
    <row r="206" spans="1:47" ht="15" customHeight="1" x14ac:dyDescent="0.3">
      <c r="A206" s="7" t="str">
        <f t="shared" si="15"/>
        <v>41_2025</v>
      </c>
      <c r="B206" s="7">
        <v>205</v>
      </c>
      <c r="C206" s="7">
        <f>'Panel Data (Long Format)'!B206</f>
        <v>41</v>
      </c>
      <c r="D206" s="7" t="str">
        <f>'Panel Data (Long Format)'!C206</f>
        <v>ETI</v>
      </c>
      <c r="E206" s="8" t="str">
        <f>'Panel Data (Long Format)'!D206</f>
        <v>Ecobank Transnational Incorporated</v>
      </c>
      <c r="F206" s="7" t="str">
        <f>'Panel Data (Long Format)'!E206</f>
        <v>FINANCIAL SERVICES</v>
      </c>
      <c r="G206" s="7">
        <f>'Panel Data (Long Format)'!F206</f>
        <v>2025</v>
      </c>
      <c r="H206" s="9">
        <v>0</v>
      </c>
      <c r="I206" s="9">
        <v>0</v>
      </c>
      <c r="J206" s="9">
        <v>0</v>
      </c>
      <c r="K206" s="9">
        <v>0</v>
      </c>
      <c r="L206" s="9">
        <v>0</v>
      </c>
      <c r="M206" s="9">
        <v>0</v>
      </c>
      <c r="N206" s="9">
        <v>0</v>
      </c>
      <c r="O206" s="9">
        <v>0</v>
      </c>
      <c r="P206" s="9">
        <v>0</v>
      </c>
      <c r="Q206" s="9">
        <v>0</v>
      </c>
      <c r="R206" s="9">
        <v>0</v>
      </c>
      <c r="S206" s="9">
        <v>0</v>
      </c>
      <c r="T206" s="9">
        <v>0</v>
      </c>
      <c r="U206" s="9">
        <v>0</v>
      </c>
      <c r="V206" s="9">
        <v>0</v>
      </c>
      <c r="W206" s="9">
        <v>0</v>
      </c>
      <c r="X206" s="9">
        <v>0</v>
      </c>
      <c r="Y206" s="9">
        <v>0</v>
      </c>
      <c r="Z206" s="9">
        <v>0</v>
      </c>
      <c r="AA206" s="9">
        <v>0</v>
      </c>
      <c r="AB206" s="10">
        <f t="shared" si="16"/>
        <v>0</v>
      </c>
      <c r="AC206" s="10">
        <f t="shared" si="17"/>
        <v>0</v>
      </c>
      <c r="AD206" s="9">
        <v>0</v>
      </c>
      <c r="AE206" s="9">
        <v>0</v>
      </c>
      <c r="AF206" s="9">
        <v>0</v>
      </c>
      <c r="AG206" s="9">
        <v>0</v>
      </c>
      <c r="AH206" s="9">
        <v>0</v>
      </c>
      <c r="AI206" s="9">
        <v>0</v>
      </c>
      <c r="AJ206" s="9">
        <v>0</v>
      </c>
      <c r="AK206" s="9">
        <v>0</v>
      </c>
      <c r="AL206" s="9">
        <v>0</v>
      </c>
      <c r="AM206" s="9">
        <v>0</v>
      </c>
      <c r="AN206" s="9">
        <v>0</v>
      </c>
      <c r="AO206" s="9">
        <v>0</v>
      </c>
      <c r="AP206" s="9">
        <v>0</v>
      </c>
      <c r="AQ206" s="9">
        <v>0</v>
      </c>
      <c r="AR206" s="9">
        <v>0</v>
      </c>
      <c r="AS206" s="10">
        <f t="shared" si="18"/>
        <v>0</v>
      </c>
      <c r="AT206" s="10">
        <f t="shared" si="19"/>
        <v>0</v>
      </c>
      <c r="AU206" s="5" t="s">
        <v>341</v>
      </c>
    </row>
    <row r="207" spans="1:47" ht="15" customHeight="1" x14ac:dyDescent="0.3">
      <c r="A207" s="7" t="str">
        <f t="shared" si="15"/>
        <v>42_2021</v>
      </c>
      <c r="B207" s="7">
        <v>206</v>
      </c>
      <c r="C207" s="7">
        <f>'Panel Data (Long Format)'!B207</f>
        <v>42</v>
      </c>
      <c r="D207" s="7" t="str">
        <f>'Panel Data (Long Format)'!C207</f>
        <v>ETRANZACT</v>
      </c>
      <c r="E207" s="8" t="str">
        <f>'Panel Data (Long Format)'!D207</f>
        <v>eTranzact International Plc</v>
      </c>
      <c r="F207" s="7" t="str">
        <f>'Panel Data (Long Format)'!E207</f>
        <v>ICT</v>
      </c>
      <c r="G207" s="7">
        <f>'Panel Data (Long Format)'!F207</f>
        <v>2021</v>
      </c>
      <c r="H207" s="9">
        <v>0</v>
      </c>
      <c r="I207" s="9">
        <v>0</v>
      </c>
      <c r="J207" s="9">
        <v>0</v>
      </c>
      <c r="K207" s="9">
        <v>0</v>
      </c>
      <c r="L207" s="9">
        <v>0</v>
      </c>
      <c r="M207" s="9">
        <v>0</v>
      </c>
      <c r="N207" s="9">
        <v>0</v>
      </c>
      <c r="O207" s="9">
        <v>0</v>
      </c>
      <c r="P207" s="9">
        <v>0</v>
      </c>
      <c r="Q207" s="9">
        <v>0</v>
      </c>
      <c r="R207" s="9">
        <v>0</v>
      </c>
      <c r="S207" s="9">
        <v>0</v>
      </c>
      <c r="T207" s="9">
        <v>0</v>
      </c>
      <c r="U207" s="9">
        <v>0</v>
      </c>
      <c r="V207" s="9">
        <v>0</v>
      </c>
      <c r="W207" s="9">
        <v>0</v>
      </c>
      <c r="X207" s="9">
        <v>0</v>
      </c>
      <c r="Y207" s="9">
        <v>0</v>
      </c>
      <c r="Z207" s="9">
        <v>0</v>
      </c>
      <c r="AA207" s="9">
        <v>0</v>
      </c>
      <c r="AB207" s="10">
        <f t="shared" si="16"/>
        <v>0</v>
      </c>
      <c r="AC207" s="10">
        <f t="shared" si="17"/>
        <v>0</v>
      </c>
      <c r="AD207" s="9">
        <v>0</v>
      </c>
      <c r="AE207" s="9">
        <v>0</v>
      </c>
      <c r="AF207" s="9">
        <v>0</v>
      </c>
      <c r="AG207" s="9">
        <v>0</v>
      </c>
      <c r="AH207" s="9">
        <v>0</v>
      </c>
      <c r="AI207" s="9">
        <v>0</v>
      </c>
      <c r="AJ207" s="9">
        <v>0</v>
      </c>
      <c r="AK207" s="9">
        <v>0</v>
      </c>
      <c r="AL207" s="9">
        <v>0</v>
      </c>
      <c r="AM207" s="9">
        <v>0</v>
      </c>
      <c r="AN207" s="9">
        <v>0</v>
      </c>
      <c r="AO207" s="9">
        <v>0</v>
      </c>
      <c r="AP207" s="9">
        <v>0</v>
      </c>
      <c r="AQ207" s="9">
        <v>0</v>
      </c>
      <c r="AR207" s="9">
        <v>0</v>
      </c>
      <c r="AS207" s="10">
        <f t="shared" si="18"/>
        <v>0</v>
      </c>
      <c r="AT207" s="10">
        <f t="shared" si="19"/>
        <v>0</v>
      </c>
      <c r="AU207" s="5" t="s">
        <v>342</v>
      </c>
    </row>
    <row r="208" spans="1:47" ht="15" customHeight="1" x14ac:dyDescent="0.3">
      <c r="A208" s="7" t="str">
        <f t="shared" si="15"/>
        <v>42_2022</v>
      </c>
      <c r="B208" s="7">
        <v>207</v>
      </c>
      <c r="C208" s="7">
        <f>'Panel Data (Long Format)'!B208</f>
        <v>42</v>
      </c>
      <c r="D208" s="7" t="str">
        <f>'Panel Data (Long Format)'!C208</f>
        <v>ETRANZACT</v>
      </c>
      <c r="E208" s="8" t="str">
        <f>'Panel Data (Long Format)'!D208</f>
        <v>eTranzact International Plc</v>
      </c>
      <c r="F208" s="7" t="str">
        <f>'Panel Data (Long Format)'!E208</f>
        <v>ICT</v>
      </c>
      <c r="G208" s="7">
        <f>'Panel Data (Long Format)'!F208</f>
        <v>2022</v>
      </c>
      <c r="H208" s="9">
        <v>0</v>
      </c>
      <c r="I208" s="9">
        <v>0</v>
      </c>
      <c r="J208" s="9">
        <v>0</v>
      </c>
      <c r="K208" s="9">
        <v>0</v>
      </c>
      <c r="L208" s="9">
        <v>0</v>
      </c>
      <c r="M208" s="9">
        <v>0</v>
      </c>
      <c r="N208" s="9">
        <v>0</v>
      </c>
      <c r="O208" s="9">
        <v>0</v>
      </c>
      <c r="P208" s="9">
        <v>0</v>
      </c>
      <c r="Q208" s="9">
        <v>0</v>
      </c>
      <c r="R208" s="9">
        <v>0</v>
      </c>
      <c r="S208" s="9">
        <v>0</v>
      </c>
      <c r="T208" s="9">
        <v>0</v>
      </c>
      <c r="U208" s="9">
        <v>0</v>
      </c>
      <c r="V208" s="9">
        <v>0</v>
      </c>
      <c r="W208" s="9">
        <v>0</v>
      </c>
      <c r="X208" s="9">
        <v>0</v>
      </c>
      <c r="Y208" s="9">
        <v>0</v>
      </c>
      <c r="Z208" s="9">
        <v>0</v>
      </c>
      <c r="AA208" s="9">
        <v>0</v>
      </c>
      <c r="AB208" s="10">
        <f t="shared" si="16"/>
        <v>0</v>
      </c>
      <c r="AC208" s="10">
        <f t="shared" si="17"/>
        <v>0</v>
      </c>
      <c r="AD208" s="9">
        <v>0</v>
      </c>
      <c r="AE208" s="9">
        <v>0</v>
      </c>
      <c r="AF208" s="9">
        <v>0</v>
      </c>
      <c r="AG208" s="9">
        <v>0</v>
      </c>
      <c r="AH208" s="9">
        <v>0</v>
      </c>
      <c r="AI208" s="9">
        <v>0</v>
      </c>
      <c r="AJ208" s="9">
        <v>0</v>
      </c>
      <c r="AK208" s="9">
        <v>0</v>
      </c>
      <c r="AL208" s="9">
        <v>0</v>
      </c>
      <c r="AM208" s="9">
        <v>0</v>
      </c>
      <c r="AN208" s="9">
        <v>0</v>
      </c>
      <c r="AO208" s="9">
        <v>0</v>
      </c>
      <c r="AP208" s="9">
        <v>0</v>
      </c>
      <c r="AQ208" s="9">
        <v>0</v>
      </c>
      <c r="AR208" s="9">
        <v>0</v>
      </c>
      <c r="AS208" s="10">
        <f t="shared" si="18"/>
        <v>0</v>
      </c>
      <c r="AT208" s="10">
        <f t="shared" si="19"/>
        <v>0</v>
      </c>
      <c r="AU208" s="5" t="s">
        <v>343</v>
      </c>
    </row>
    <row r="209" spans="1:47" ht="15" customHeight="1" x14ac:dyDescent="0.3">
      <c r="A209" s="7" t="str">
        <f t="shared" si="15"/>
        <v>42_2023</v>
      </c>
      <c r="B209" s="7">
        <v>208</v>
      </c>
      <c r="C209" s="7">
        <f>'Panel Data (Long Format)'!B209</f>
        <v>42</v>
      </c>
      <c r="D209" s="7" t="str">
        <f>'Panel Data (Long Format)'!C209</f>
        <v>ETRANZACT</v>
      </c>
      <c r="E209" s="8" t="str">
        <f>'Panel Data (Long Format)'!D209</f>
        <v>eTranzact International Plc</v>
      </c>
      <c r="F209" s="7" t="str">
        <f>'Panel Data (Long Format)'!E209</f>
        <v>ICT</v>
      </c>
      <c r="G209" s="7">
        <f>'Panel Data (Long Format)'!F209</f>
        <v>2023</v>
      </c>
      <c r="H209" s="9">
        <v>0</v>
      </c>
      <c r="I209" s="9">
        <v>0</v>
      </c>
      <c r="J209" s="9">
        <v>0</v>
      </c>
      <c r="K209" s="9">
        <v>0</v>
      </c>
      <c r="L209" s="9">
        <v>0</v>
      </c>
      <c r="M209" s="9">
        <v>0</v>
      </c>
      <c r="N209" s="9">
        <v>0</v>
      </c>
      <c r="O209" s="9">
        <v>0</v>
      </c>
      <c r="P209" s="9">
        <v>0</v>
      </c>
      <c r="Q209" s="9">
        <v>0</v>
      </c>
      <c r="R209" s="9">
        <v>0</v>
      </c>
      <c r="S209" s="9">
        <v>0</v>
      </c>
      <c r="T209" s="9">
        <v>0</v>
      </c>
      <c r="U209" s="9">
        <v>0</v>
      </c>
      <c r="V209" s="9">
        <v>0</v>
      </c>
      <c r="W209" s="9">
        <v>0</v>
      </c>
      <c r="X209" s="9">
        <v>0</v>
      </c>
      <c r="Y209" s="9">
        <v>0</v>
      </c>
      <c r="Z209" s="9">
        <v>0</v>
      </c>
      <c r="AA209" s="9">
        <v>0</v>
      </c>
      <c r="AB209" s="10">
        <f t="shared" si="16"/>
        <v>0</v>
      </c>
      <c r="AC209" s="10">
        <f t="shared" si="17"/>
        <v>0</v>
      </c>
      <c r="AD209" s="9">
        <v>0</v>
      </c>
      <c r="AE209" s="9">
        <v>0</v>
      </c>
      <c r="AF209" s="9">
        <v>0</v>
      </c>
      <c r="AG209" s="9">
        <v>0</v>
      </c>
      <c r="AH209" s="9">
        <v>0</v>
      </c>
      <c r="AI209" s="9">
        <v>0</v>
      </c>
      <c r="AJ209" s="9">
        <v>0</v>
      </c>
      <c r="AK209" s="9">
        <v>0</v>
      </c>
      <c r="AL209" s="9">
        <v>0</v>
      </c>
      <c r="AM209" s="9">
        <v>0</v>
      </c>
      <c r="AN209" s="9">
        <v>0</v>
      </c>
      <c r="AO209" s="9">
        <v>0</v>
      </c>
      <c r="AP209" s="9">
        <v>0</v>
      </c>
      <c r="AQ209" s="9">
        <v>0</v>
      </c>
      <c r="AR209" s="9">
        <v>0</v>
      </c>
      <c r="AS209" s="10">
        <f t="shared" si="18"/>
        <v>0</v>
      </c>
      <c r="AT209" s="10">
        <f t="shared" si="19"/>
        <v>0</v>
      </c>
      <c r="AU209" s="5" t="s">
        <v>344</v>
      </c>
    </row>
    <row r="210" spans="1:47" ht="15" customHeight="1" x14ac:dyDescent="0.3">
      <c r="A210" s="7" t="str">
        <f t="shared" si="15"/>
        <v>42_2024</v>
      </c>
      <c r="B210" s="7">
        <v>209</v>
      </c>
      <c r="C210" s="7">
        <f>'Panel Data (Long Format)'!B210</f>
        <v>42</v>
      </c>
      <c r="D210" s="7" t="str">
        <f>'Panel Data (Long Format)'!C210</f>
        <v>ETRANZACT</v>
      </c>
      <c r="E210" s="8" t="str">
        <f>'Panel Data (Long Format)'!D210</f>
        <v>eTranzact International Plc</v>
      </c>
      <c r="F210" s="7" t="str">
        <f>'Panel Data (Long Format)'!E210</f>
        <v>ICT</v>
      </c>
      <c r="G210" s="7">
        <f>'Panel Data (Long Format)'!F210</f>
        <v>2024</v>
      </c>
      <c r="H210" s="9">
        <v>0</v>
      </c>
      <c r="I210" s="9">
        <v>0</v>
      </c>
      <c r="J210" s="9">
        <v>0</v>
      </c>
      <c r="K210" s="9">
        <v>0</v>
      </c>
      <c r="L210" s="9">
        <v>0</v>
      </c>
      <c r="M210" s="9">
        <v>0</v>
      </c>
      <c r="N210" s="9">
        <v>0</v>
      </c>
      <c r="O210" s="9">
        <v>0</v>
      </c>
      <c r="P210" s="9">
        <v>0</v>
      </c>
      <c r="Q210" s="9">
        <v>0</v>
      </c>
      <c r="R210" s="9">
        <v>0</v>
      </c>
      <c r="S210" s="9">
        <v>0</v>
      </c>
      <c r="T210" s="9">
        <v>0</v>
      </c>
      <c r="U210" s="9">
        <v>0</v>
      </c>
      <c r="V210" s="9">
        <v>0</v>
      </c>
      <c r="W210" s="9">
        <v>0</v>
      </c>
      <c r="X210" s="9">
        <v>0</v>
      </c>
      <c r="Y210" s="9">
        <v>0</v>
      </c>
      <c r="Z210" s="9">
        <v>0</v>
      </c>
      <c r="AA210" s="9">
        <v>0</v>
      </c>
      <c r="AB210" s="10">
        <f t="shared" si="16"/>
        <v>0</v>
      </c>
      <c r="AC210" s="10">
        <f t="shared" si="17"/>
        <v>0</v>
      </c>
      <c r="AD210" s="9">
        <v>0</v>
      </c>
      <c r="AE210" s="9">
        <v>0</v>
      </c>
      <c r="AF210" s="9">
        <v>0</v>
      </c>
      <c r="AG210" s="9">
        <v>0</v>
      </c>
      <c r="AH210" s="9">
        <v>0</v>
      </c>
      <c r="AI210" s="9">
        <v>0</v>
      </c>
      <c r="AJ210" s="9">
        <v>0</v>
      </c>
      <c r="AK210" s="9">
        <v>0</v>
      </c>
      <c r="AL210" s="9">
        <v>0</v>
      </c>
      <c r="AM210" s="9">
        <v>0</v>
      </c>
      <c r="AN210" s="9">
        <v>0</v>
      </c>
      <c r="AO210" s="9">
        <v>0</v>
      </c>
      <c r="AP210" s="9">
        <v>0</v>
      </c>
      <c r="AQ210" s="9">
        <v>0</v>
      </c>
      <c r="AR210" s="9">
        <v>0</v>
      </c>
      <c r="AS210" s="10">
        <f t="shared" si="18"/>
        <v>0</v>
      </c>
      <c r="AT210" s="10">
        <f t="shared" si="19"/>
        <v>0</v>
      </c>
      <c r="AU210" s="5" t="s">
        <v>345</v>
      </c>
    </row>
    <row r="211" spans="1:47" ht="15" customHeight="1" x14ac:dyDescent="0.3">
      <c r="A211" s="7" t="str">
        <f t="shared" si="15"/>
        <v>42_2025</v>
      </c>
      <c r="B211" s="7">
        <v>210</v>
      </c>
      <c r="C211" s="7">
        <f>'Panel Data (Long Format)'!B211</f>
        <v>42</v>
      </c>
      <c r="D211" s="7" t="str">
        <f>'Panel Data (Long Format)'!C211</f>
        <v>ETRANZACT</v>
      </c>
      <c r="E211" s="8" t="str">
        <f>'Panel Data (Long Format)'!D211</f>
        <v>eTranzact International Plc</v>
      </c>
      <c r="F211" s="7" t="str">
        <f>'Panel Data (Long Format)'!E211</f>
        <v>ICT</v>
      </c>
      <c r="G211" s="7">
        <f>'Panel Data (Long Format)'!F211</f>
        <v>2025</v>
      </c>
      <c r="H211" s="9">
        <v>0</v>
      </c>
      <c r="I211" s="9">
        <v>0</v>
      </c>
      <c r="J211" s="9">
        <v>0</v>
      </c>
      <c r="K211" s="9">
        <v>0</v>
      </c>
      <c r="L211" s="9">
        <v>0</v>
      </c>
      <c r="M211" s="9">
        <v>0</v>
      </c>
      <c r="N211" s="9">
        <v>0</v>
      </c>
      <c r="O211" s="9">
        <v>0</v>
      </c>
      <c r="P211" s="9">
        <v>0</v>
      </c>
      <c r="Q211" s="9">
        <v>0</v>
      </c>
      <c r="R211" s="9">
        <v>0</v>
      </c>
      <c r="S211" s="9">
        <v>0</v>
      </c>
      <c r="T211" s="9">
        <v>0</v>
      </c>
      <c r="U211" s="9">
        <v>0</v>
      </c>
      <c r="V211" s="9">
        <v>0</v>
      </c>
      <c r="W211" s="9">
        <v>0</v>
      </c>
      <c r="X211" s="9">
        <v>0</v>
      </c>
      <c r="Y211" s="9">
        <v>0</v>
      </c>
      <c r="Z211" s="9">
        <v>0</v>
      </c>
      <c r="AA211" s="9">
        <v>0</v>
      </c>
      <c r="AB211" s="10">
        <f t="shared" si="16"/>
        <v>0</v>
      </c>
      <c r="AC211" s="10">
        <f t="shared" si="17"/>
        <v>0</v>
      </c>
      <c r="AD211" s="9">
        <v>0</v>
      </c>
      <c r="AE211" s="9">
        <v>0</v>
      </c>
      <c r="AF211" s="9">
        <v>0</v>
      </c>
      <c r="AG211" s="9">
        <v>0</v>
      </c>
      <c r="AH211" s="9">
        <v>0</v>
      </c>
      <c r="AI211" s="9">
        <v>0</v>
      </c>
      <c r="AJ211" s="9">
        <v>0</v>
      </c>
      <c r="AK211" s="9">
        <v>0</v>
      </c>
      <c r="AL211" s="9">
        <v>0</v>
      </c>
      <c r="AM211" s="9">
        <v>0</v>
      </c>
      <c r="AN211" s="9">
        <v>0</v>
      </c>
      <c r="AO211" s="9">
        <v>0</v>
      </c>
      <c r="AP211" s="9">
        <v>0</v>
      </c>
      <c r="AQ211" s="9">
        <v>0</v>
      </c>
      <c r="AR211" s="9">
        <v>0</v>
      </c>
      <c r="AS211" s="10">
        <f t="shared" si="18"/>
        <v>0</v>
      </c>
      <c r="AT211" s="10">
        <f t="shared" si="19"/>
        <v>0</v>
      </c>
      <c r="AU211" s="5" t="s">
        <v>346</v>
      </c>
    </row>
    <row r="212" spans="1:47" ht="15" customHeight="1" x14ac:dyDescent="0.3">
      <c r="A212" s="7" t="str">
        <f t="shared" si="15"/>
        <v>43_2021</v>
      </c>
      <c r="B212" s="7">
        <v>211</v>
      </c>
      <c r="C212" s="7">
        <f>'Panel Data (Long Format)'!B212</f>
        <v>43</v>
      </c>
      <c r="D212" s="7" t="str">
        <f>'Panel Data (Long Format)'!C212</f>
        <v>EUNISELL</v>
      </c>
      <c r="E212" s="8" t="str">
        <f>'Panel Data (Long Format)'!D212</f>
        <v>Eunisell Chemicals Plc</v>
      </c>
      <c r="F212" s="7" t="str">
        <f>'Panel Data (Long Format)'!E212</f>
        <v>SERVICES</v>
      </c>
      <c r="G212" s="7">
        <f>'Panel Data (Long Format)'!F212</f>
        <v>2021</v>
      </c>
      <c r="H212" s="9">
        <v>0</v>
      </c>
      <c r="I212" s="9">
        <v>0</v>
      </c>
      <c r="J212" s="9">
        <v>0</v>
      </c>
      <c r="K212" s="9">
        <v>0</v>
      </c>
      <c r="L212" s="9">
        <v>0</v>
      </c>
      <c r="M212" s="9">
        <v>0</v>
      </c>
      <c r="N212" s="9">
        <v>0</v>
      </c>
      <c r="O212" s="9">
        <v>0</v>
      </c>
      <c r="P212" s="9">
        <v>0</v>
      </c>
      <c r="Q212" s="9">
        <v>0</v>
      </c>
      <c r="R212" s="9">
        <v>0</v>
      </c>
      <c r="S212" s="9">
        <v>0</v>
      </c>
      <c r="T212" s="9">
        <v>0</v>
      </c>
      <c r="U212" s="9">
        <v>0</v>
      </c>
      <c r="V212" s="9">
        <v>0</v>
      </c>
      <c r="W212" s="9">
        <v>0</v>
      </c>
      <c r="X212" s="9">
        <v>0</v>
      </c>
      <c r="Y212" s="9">
        <v>0</v>
      </c>
      <c r="Z212" s="9">
        <v>0</v>
      </c>
      <c r="AA212" s="9">
        <v>0</v>
      </c>
      <c r="AB212" s="10">
        <f t="shared" si="16"/>
        <v>0</v>
      </c>
      <c r="AC212" s="10">
        <f t="shared" si="17"/>
        <v>0</v>
      </c>
      <c r="AD212" s="9">
        <v>0</v>
      </c>
      <c r="AE212" s="9">
        <v>0</v>
      </c>
      <c r="AF212" s="9">
        <v>0</v>
      </c>
      <c r="AG212" s="9">
        <v>0</v>
      </c>
      <c r="AH212" s="9">
        <v>0</v>
      </c>
      <c r="AI212" s="9">
        <v>0</v>
      </c>
      <c r="AJ212" s="9">
        <v>0</v>
      </c>
      <c r="AK212" s="9">
        <v>0</v>
      </c>
      <c r="AL212" s="9">
        <v>0</v>
      </c>
      <c r="AM212" s="9">
        <v>0</v>
      </c>
      <c r="AN212" s="9">
        <v>0</v>
      </c>
      <c r="AO212" s="9">
        <v>0</v>
      </c>
      <c r="AP212" s="9">
        <v>0</v>
      </c>
      <c r="AQ212" s="9">
        <v>0</v>
      </c>
      <c r="AR212" s="9">
        <v>0</v>
      </c>
      <c r="AS212" s="10">
        <f t="shared" si="18"/>
        <v>0</v>
      </c>
      <c r="AT212" s="10">
        <f t="shared" si="19"/>
        <v>0</v>
      </c>
      <c r="AU212" s="5" t="s">
        <v>347</v>
      </c>
    </row>
    <row r="213" spans="1:47" ht="15" customHeight="1" x14ac:dyDescent="0.3">
      <c r="A213" s="7" t="str">
        <f t="shared" si="15"/>
        <v>43_2022</v>
      </c>
      <c r="B213" s="7">
        <v>212</v>
      </c>
      <c r="C213" s="7">
        <f>'Panel Data (Long Format)'!B213</f>
        <v>43</v>
      </c>
      <c r="D213" s="7" t="str">
        <f>'Panel Data (Long Format)'!C213</f>
        <v>EUNISELL</v>
      </c>
      <c r="E213" s="8" t="str">
        <f>'Panel Data (Long Format)'!D213</f>
        <v>Eunisell Chemicals Plc</v>
      </c>
      <c r="F213" s="7" t="str">
        <f>'Panel Data (Long Format)'!E213</f>
        <v>SERVICES</v>
      </c>
      <c r="G213" s="7">
        <f>'Panel Data (Long Format)'!F213</f>
        <v>2022</v>
      </c>
      <c r="H213" s="9">
        <v>0</v>
      </c>
      <c r="I213" s="9">
        <v>0</v>
      </c>
      <c r="J213" s="9">
        <v>0</v>
      </c>
      <c r="K213" s="9">
        <v>0</v>
      </c>
      <c r="L213" s="9">
        <v>0</v>
      </c>
      <c r="M213" s="9">
        <v>0</v>
      </c>
      <c r="N213" s="9">
        <v>0</v>
      </c>
      <c r="O213" s="9">
        <v>0</v>
      </c>
      <c r="P213" s="9">
        <v>0</v>
      </c>
      <c r="Q213" s="9">
        <v>0</v>
      </c>
      <c r="R213" s="9">
        <v>0</v>
      </c>
      <c r="S213" s="9">
        <v>0</v>
      </c>
      <c r="T213" s="9">
        <v>0</v>
      </c>
      <c r="U213" s="9">
        <v>0</v>
      </c>
      <c r="V213" s="9">
        <v>0</v>
      </c>
      <c r="W213" s="9">
        <v>0</v>
      </c>
      <c r="X213" s="9">
        <v>0</v>
      </c>
      <c r="Y213" s="9">
        <v>0</v>
      </c>
      <c r="Z213" s="9">
        <v>0</v>
      </c>
      <c r="AA213" s="9">
        <v>0</v>
      </c>
      <c r="AB213" s="10">
        <f t="shared" si="16"/>
        <v>0</v>
      </c>
      <c r="AC213" s="10">
        <f t="shared" si="17"/>
        <v>0</v>
      </c>
      <c r="AD213" s="9">
        <v>0</v>
      </c>
      <c r="AE213" s="9">
        <v>0</v>
      </c>
      <c r="AF213" s="9">
        <v>0</v>
      </c>
      <c r="AG213" s="9">
        <v>0</v>
      </c>
      <c r="AH213" s="9">
        <v>0</v>
      </c>
      <c r="AI213" s="9">
        <v>0</v>
      </c>
      <c r="AJ213" s="9">
        <v>0</v>
      </c>
      <c r="AK213" s="9">
        <v>0</v>
      </c>
      <c r="AL213" s="9">
        <v>0</v>
      </c>
      <c r="AM213" s="9">
        <v>0</v>
      </c>
      <c r="AN213" s="9">
        <v>0</v>
      </c>
      <c r="AO213" s="9">
        <v>0</v>
      </c>
      <c r="AP213" s="9">
        <v>0</v>
      </c>
      <c r="AQ213" s="9">
        <v>0</v>
      </c>
      <c r="AR213" s="9">
        <v>0</v>
      </c>
      <c r="AS213" s="10">
        <f t="shared" si="18"/>
        <v>0</v>
      </c>
      <c r="AT213" s="10">
        <f t="shared" si="19"/>
        <v>0</v>
      </c>
      <c r="AU213" s="5" t="s">
        <v>348</v>
      </c>
    </row>
    <row r="214" spans="1:47" ht="15" customHeight="1" x14ac:dyDescent="0.3">
      <c r="A214" s="7" t="str">
        <f t="shared" si="15"/>
        <v>43_2023</v>
      </c>
      <c r="B214" s="7">
        <v>213</v>
      </c>
      <c r="C214" s="7">
        <f>'Panel Data (Long Format)'!B214</f>
        <v>43</v>
      </c>
      <c r="D214" s="7" t="str">
        <f>'Panel Data (Long Format)'!C214</f>
        <v>EUNISELL</v>
      </c>
      <c r="E214" s="8" t="str">
        <f>'Panel Data (Long Format)'!D214</f>
        <v>Eunisell Chemicals Plc</v>
      </c>
      <c r="F214" s="7" t="str">
        <f>'Panel Data (Long Format)'!E214</f>
        <v>SERVICES</v>
      </c>
      <c r="G214" s="7">
        <f>'Panel Data (Long Format)'!F214</f>
        <v>2023</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10">
        <f t="shared" si="16"/>
        <v>0</v>
      </c>
      <c r="AC214" s="10">
        <f t="shared" si="17"/>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10">
        <f t="shared" si="18"/>
        <v>0</v>
      </c>
      <c r="AT214" s="10">
        <f t="shared" si="19"/>
        <v>0</v>
      </c>
      <c r="AU214" s="5" t="s">
        <v>349</v>
      </c>
    </row>
    <row r="215" spans="1:47" ht="15" customHeight="1" x14ac:dyDescent="0.3">
      <c r="A215" s="7" t="str">
        <f t="shared" si="15"/>
        <v>43_2024</v>
      </c>
      <c r="B215" s="7">
        <v>214</v>
      </c>
      <c r="C215" s="7">
        <f>'Panel Data (Long Format)'!B215</f>
        <v>43</v>
      </c>
      <c r="D215" s="7" t="str">
        <f>'Panel Data (Long Format)'!C215</f>
        <v>EUNISELL</v>
      </c>
      <c r="E215" s="8" t="str">
        <f>'Panel Data (Long Format)'!D215</f>
        <v>Eunisell Chemicals Plc</v>
      </c>
      <c r="F215" s="7" t="str">
        <f>'Panel Data (Long Format)'!E215</f>
        <v>SERVICES</v>
      </c>
      <c r="G215" s="7">
        <f>'Panel Data (Long Format)'!F215</f>
        <v>2024</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10">
        <f t="shared" si="16"/>
        <v>0</v>
      </c>
      <c r="AC215" s="10">
        <f t="shared" si="17"/>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10">
        <f t="shared" si="18"/>
        <v>0</v>
      </c>
      <c r="AT215" s="10">
        <f t="shared" si="19"/>
        <v>0</v>
      </c>
      <c r="AU215" s="5" t="s">
        <v>350</v>
      </c>
    </row>
    <row r="216" spans="1:47" ht="15" customHeight="1" x14ac:dyDescent="0.3">
      <c r="A216" s="7" t="str">
        <f t="shared" si="15"/>
        <v>43_2025</v>
      </c>
      <c r="B216" s="7">
        <v>215</v>
      </c>
      <c r="C216" s="7">
        <f>'Panel Data (Long Format)'!B216</f>
        <v>43</v>
      </c>
      <c r="D216" s="7" t="str">
        <f>'Panel Data (Long Format)'!C216</f>
        <v>EUNISELL</v>
      </c>
      <c r="E216" s="8" t="str">
        <f>'Panel Data (Long Format)'!D216</f>
        <v>Eunisell Chemicals Plc</v>
      </c>
      <c r="F216" s="7" t="str">
        <f>'Panel Data (Long Format)'!E216</f>
        <v>SERVICES</v>
      </c>
      <c r="G216" s="7">
        <f>'Panel Data (Long Format)'!F216</f>
        <v>2025</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10">
        <f t="shared" si="16"/>
        <v>0</v>
      </c>
      <c r="AC216" s="10">
        <f t="shared" si="17"/>
        <v>0</v>
      </c>
      <c r="AD216" s="9">
        <v>0</v>
      </c>
      <c r="AE216" s="9">
        <v>0</v>
      </c>
      <c r="AF216" s="9">
        <v>0</v>
      </c>
      <c r="AG216" s="9">
        <v>0</v>
      </c>
      <c r="AH216" s="9">
        <v>0</v>
      </c>
      <c r="AI216" s="9">
        <v>0</v>
      </c>
      <c r="AJ216" s="9">
        <v>0</v>
      </c>
      <c r="AK216" s="9">
        <v>0</v>
      </c>
      <c r="AL216" s="9">
        <v>0</v>
      </c>
      <c r="AM216" s="9">
        <v>0</v>
      </c>
      <c r="AN216" s="9">
        <v>0</v>
      </c>
      <c r="AO216" s="9">
        <v>0</v>
      </c>
      <c r="AP216" s="9">
        <v>0</v>
      </c>
      <c r="AQ216" s="9">
        <v>0</v>
      </c>
      <c r="AR216" s="9">
        <v>0</v>
      </c>
      <c r="AS216" s="10">
        <f t="shared" si="18"/>
        <v>0</v>
      </c>
      <c r="AT216" s="10">
        <f t="shared" si="19"/>
        <v>0</v>
      </c>
      <c r="AU216" s="5" t="s">
        <v>351</v>
      </c>
    </row>
    <row r="217" spans="1:47" ht="15" customHeight="1" x14ac:dyDescent="0.3">
      <c r="A217" s="7" t="str">
        <f t="shared" si="15"/>
        <v>44_2021</v>
      </c>
      <c r="B217" s="7">
        <v>216</v>
      </c>
      <c r="C217" s="7">
        <f>'Panel Data (Long Format)'!B217</f>
        <v>44</v>
      </c>
      <c r="D217" s="7" t="str">
        <f>'Panel Data (Long Format)'!C217</f>
        <v>FCMB</v>
      </c>
      <c r="E217" s="8" t="str">
        <f>'Panel Data (Long Format)'!D217</f>
        <v>FCMB Group Plc</v>
      </c>
      <c r="F217" s="7" t="str">
        <f>'Panel Data (Long Format)'!E217</f>
        <v>FINANCIAL SERVICES</v>
      </c>
      <c r="G217" s="7">
        <f>'Panel Data (Long Format)'!F217</f>
        <v>2021</v>
      </c>
      <c r="H217" s="9">
        <v>0</v>
      </c>
      <c r="I217" s="9">
        <v>0</v>
      </c>
      <c r="J217" s="9">
        <v>0</v>
      </c>
      <c r="K217" s="9">
        <v>0</v>
      </c>
      <c r="L217" s="9">
        <v>0</v>
      </c>
      <c r="M217" s="9">
        <v>0</v>
      </c>
      <c r="N217" s="9">
        <v>0</v>
      </c>
      <c r="O217" s="9">
        <v>0</v>
      </c>
      <c r="P217" s="9">
        <v>0</v>
      </c>
      <c r="Q217" s="9">
        <v>0</v>
      </c>
      <c r="R217" s="9">
        <v>0</v>
      </c>
      <c r="S217" s="9">
        <v>0</v>
      </c>
      <c r="T217" s="9">
        <v>0</v>
      </c>
      <c r="U217" s="9">
        <v>0</v>
      </c>
      <c r="V217" s="9">
        <v>0</v>
      </c>
      <c r="W217" s="9">
        <v>0</v>
      </c>
      <c r="X217" s="9">
        <v>0</v>
      </c>
      <c r="Y217" s="9">
        <v>0</v>
      </c>
      <c r="Z217" s="9">
        <v>0</v>
      </c>
      <c r="AA217" s="9">
        <v>0</v>
      </c>
      <c r="AB217" s="10">
        <f t="shared" si="16"/>
        <v>0</v>
      </c>
      <c r="AC217" s="10">
        <f t="shared" si="17"/>
        <v>0</v>
      </c>
      <c r="AD217" s="9">
        <v>0</v>
      </c>
      <c r="AE217" s="9">
        <v>0</v>
      </c>
      <c r="AF217" s="9">
        <v>0</v>
      </c>
      <c r="AG217" s="9">
        <v>0</v>
      </c>
      <c r="AH217" s="9">
        <v>0</v>
      </c>
      <c r="AI217" s="9">
        <v>0</v>
      </c>
      <c r="AJ217" s="9">
        <v>0</v>
      </c>
      <c r="AK217" s="9">
        <v>0</v>
      </c>
      <c r="AL217" s="9">
        <v>0</v>
      </c>
      <c r="AM217" s="9">
        <v>0</v>
      </c>
      <c r="AN217" s="9">
        <v>0</v>
      </c>
      <c r="AO217" s="9">
        <v>0</v>
      </c>
      <c r="AP217" s="9">
        <v>0</v>
      </c>
      <c r="AQ217" s="9">
        <v>0</v>
      </c>
      <c r="AR217" s="9">
        <v>0</v>
      </c>
      <c r="AS217" s="10">
        <f t="shared" si="18"/>
        <v>0</v>
      </c>
      <c r="AT217" s="10">
        <f t="shared" si="19"/>
        <v>0</v>
      </c>
      <c r="AU217" s="5" t="s">
        <v>352</v>
      </c>
    </row>
    <row r="218" spans="1:47" ht="15" customHeight="1" x14ac:dyDescent="0.3">
      <c r="A218" s="7" t="str">
        <f t="shared" si="15"/>
        <v>44_2022</v>
      </c>
      <c r="B218" s="7">
        <v>217</v>
      </c>
      <c r="C218" s="7">
        <f>'Panel Data (Long Format)'!B218</f>
        <v>44</v>
      </c>
      <c r="D218" s="7" t="str">
        <f>'Panel Data (Long Format)'!C218</f>
        <v>FCMB</v>
      </c>
      <c r="E218" s="8" t="str">
        <f>'Panel Data (Long Format)'!D218</f>
        <v>FCMB Group Plc</v>
      </c>
      <c r="F218" s="7" t="str">
        <f>'Panel Data (Long Format)'!E218</f>
        <v>FINANCIAL SERVICES</v>
      </c>
      <c r="G218" s="7">
        <f>'Panel Data (Long Format)'!F218</f>
        <v>2022</v>
      </c>
      <c r="H218" s="9">
        <v>0</v>
      </c>
      <c r="I218" s="9">
        <v>0</v>
      </c>
      <c r="J218" s="9">
        <v>0</v>
      </c>
      <c r="K218" s="9">
        <v>0</v>
      </c>
      <c r="L218" s="9">
        <v>0</v>
      </c>
      <c r="M218" s="9">
        <v>1</v>
      </c>
      <c r="N218" s="9">
        <v>1</v>
      </c>
      <c r="O218" s="9">
        <v>1</v>
      </c>
      <c r="P218" s="9">
        <v>0</v>
      </c>
      <c r="Q218" s="9">
        <v>0</v>
      </c>
      <c r="R218" s="9">
        <v>1</v>
      </c>
      <c r="S218" s="9">
        <v>1</v>
      </c>
      <c r="T218" s="9">
        <v>0</v>
      </c>
      <c r="U218" s="9">
        <v>0</v>
      </c>
      <c r="V218" s="9">
        <v>1</v>
      </c>
      <c r="W218" s="9">
        <v>1</v>
      </c>
      <c r="X218" s="9">
        <v>0</v>
      </c>
      <c r="Y218" s="9">
        <v>1</v>
      </c>
      <c r="Z218" s="9">
        <v>0</v>
      </c>
      <c r="AA218" s="9">
        <v>0</v>
      </c>
      <c r="AB218" s="10">
        <f t="shared" si="16"/>
        <v>8</v>
      </c>
      <c r="AC218" s="10">
        <f t="shared" si="17"/>
        <v>40</v>
      </c>
      <c r="AD218" s="9">
        <v>0</v>
      </c>
      <c r="AE218" s="9">
        <v>1</v>
      </c>
      <c r="AF218" s="9">
        <v>0</v>
      </c>
      <c r="AG218" s="9">
        <v>1</v>
      </c>
      <c r="AH218" s="9">
        <v>1</v>
      </c>
      <c r="AI218" s="9">
        <v>0</v>
      </c>
      <c r="AJ218" s="9">
        <v>1</v>
      </c>
      <c r="AK218" s="9">
        <v>1</v>
      </c>
      <c r="AL218" s="9">
        <v>1</v>
      </c>
      <c r="AM218" s="9">
        <v>0</v>
      </c>
      <c r="AN218" s="9">
        <v>0</v>
      </c>
      <c r="AO218" s="9">
        <v>0</v>
      </c>
      <c r="AP218" s="9">
        <v>0</v>
      </c>
      <c r="AQ218" s="9">
        <v>0</v>
      </c>
      <c r="AR218" s="9">
        <v>0</v>
      </c>
      <c r="AS218" s="10">
        <f t="shared" si="18"/>
        <v>6</v>
      </c>
      <c r="AT218" s="10">
        <f t="shared" si="19"/>
        <v>40</v>
      </c>
      <c r="AU218" s="5" t="s">
        <v>353</v>
      </c>
    </row>
    <row r="219" spans="1:47" ht="15" customHeight="1" x14ac:dyDescent="0.3">
      <c r="A219" s="7" t="str">
        <f t="shared" si="15"/>
        <v>44_2023</v>
      </c>
      <c r="B219" s="7">
        <v>218</v>
      </c>
      <c r="C219" s="7">
        <f>'Panel Data (Long Format)'!B219</f>
        <v>44</v>
      </c>
      <c r="D219" s="7" t="str">
        <f>'Panel Data (Long Format)'!C219</f>
        <v>FCMB</v>
      </c>
      <c r="E219" s="8" t="str">
        <f>'Panel Data (Long Format)'!D219</f>
        <v>FCMB Group Plc</v>
      </c>
      <c r="F219" s="7" t="str">
        <f>'Panel Data (Long Format)'!E219</f>
        <v>FINANCIAL SERVICES</v>
      </c>
      <c r="G219" s="7">
        <f>'Panel Data (Long Format)'!F219</f>
        <v>2023</v>
      </c>
      <c r="H219" s="9">
        <v>0</v>
      </c>
      <c r="I219" s="9">
        <v>0</v>
      </c>
      <c r="J219" s="9">
        <v>0</v>
      </c>
      <c r="K219" s="9">
        <v>0</v>
      </c>
      <c r="L219" s="9">
        <v>0</v>
      </c>
      <c r="M219" s="9">
        <v>0</v>
      </c>
      <c r="N219" s="9">
        <v>0</v>
      </c>
      <c r="O219" s="9">
        <v>0</v>
      </c>
      <c r="P219" s="9">
        <v>0</v>
      </c>
      <c r="Q219" s="9">
        <v>0</v>
      </c>
      <c r="R219" s="9">
        <v>0</v>
      </c>
      <c r="S219" s="9">
        <v>0</v>
      </c>
      <c r="T219" s="9">
        <v>0</v>
      </c>
      <c r="U219" s="9">
        <v>0</v>
      </c>
      <c r="V219" s="9">
        <v>0</v>
      </c>
      <c r="W219" s="9">
        <v>0</v>
      </c>
      <c r="X219" s="9">
        <v>0</v>
      </c>
      <c r="Y219" s="9">
        <v>0</v>
      </c>
      <c r="Z219" s="9">
        <v>0</v>
      </c>
      <c r="AA219" s="9">
        <v>0</v>
      </c>
      <c r="AB219" s="10">
        <f t="shared" si="16"/>
        <v>0</v>
      </c>
      <c r="AC219" s="10">
        <f t="shared" si="17"/>
        <v>0</v>
      </c>
      <c r="AD219" s="9">
        <v>0</v>
      </c>
      <c r="AE219" s="9">
        <v>0</v>
      </c>
      <c r="AF219" s="9">
        <v>0</v>
      </c>
      <c r="AG219" s="9">
        <v>0</v>
      </c>
      <c r="AH219" s="9">
        <v>0</v>
      </c>
      <c r="AI219" s="9">
        <v>0</v>
      </c>
      <c r="AJ219" s="9">
        <v>0</v>
      </c>
      <c r="AK219" s="9">
        <v>0</v>
      </c>
      <c r="AL219" s="9">
        <v>0</v>
      </c>
      <c r="AM219" s="9">
        <v>0</v>
      </c>
      <c r="AN219" s="9">
        <v>0</v>
      </c>
      <c r="AO219" s="9">
        <v>0</v>
      </c>
      <c r="AP219" s="9">
        <v>0</v>
      </c>
      <c r="AQ219" s="9">
        <v>0</v>
      </c>
      <c r="AR219" s="9">
        <v>0</v>
      </c>
      <c r="AS219" s="10">
        <f t="shared" si="18"/>
        <v>0</v>
      </c>
      <c r="AT219" s="10">
        <f t="shared" si="19"/>
        <v>0</v>
      </c>
      <c r="AU219" s="5" t="s">
        <v>354</v>
      </c>
    </row>
    <row r="220" spans="1:47" ht="15" customHeight="1" x14ac:dyDescent="0.3">
      <c r="A220" s="7" t="str">
        <f t="shared" si="15"/>
        <v>44_2024</v>
      </c>
      <c r="B220" s="7">
        <v>219</v>
      </c>
      <c r="C220" s="7">
        <f>'Panel Data (Long Format)'!B220</f>
        <v>44</v>
      </c>
      <c r="D220" s="7" t="str">
        <f>'Panel Data (Long Format)'!C220</f>
        <v>FCMB</v>
      </c>
      <c r="E220" s="8" t="str">
        <f>'Panel Data (Long Format)'!D220</f>
        <v>FCMB Group Plc</v>
      </c>
      <c r="F220" s="7" t="str">
        <f>'Panel Data (Long Format)'!E220</f>
        <v>FINANCIAL SERVICES</v>
      </c>
      <c r="G220" s="7">
        <f>'Panel Data (Long Format)'!F220</f>
        <v>2024</v>
      </c>
      <c r="H220" s="9">
        <v>1</v>
      </c>
      <c r="I220" s="9">
        <v>0</v>
      </c>
      <c r="J220" s="9">
        <v>0</v>
      </c>
      <c r="K220" s="9">
        <v>0</v>
      </c>
      <c r="L220" s="9">
        <v>0</v>
      </c>
      <c r="M220" s="9">
        <v>1</v>
      </c>
      <c r="N220" s="9">
        <v>1</v>
      </c>
      <c r="O220" s="9">
        <v>1</v>
      </c>
      <c r="P220" s="9">
        <v>0</v>
      </c>
      <c r="Q220" s="9">
        <v>0</v>
      </c>
      <c r="R220" s="9">
        <v>1</v>
      </c>
      <c r="S220" s="9">
        <v>1</v>
      </c>
      <c r="T220" s="9">
        <v>1</v>
      </c>
      <c r="U220" s="9">
        <v>1</v>
      </c>
      <c r="V220" s="9">
        <v>1</v>
      </c>
      <c r="W220" s="9">
        <v>1</v>
      </c>
      <c r="X220" s="9">
        <v>0</v>
      </c>
      <c r="Y220" s="9">
        <v>1</v>
      </c>
      <c r="Z220" s="9">
        <v>0</v>
      </c>
      <c r="AA220" s="9">
        <v>0</v>
      </c>
      <c r="AB220" s="10">
        <f t="shared" si="16"/>
        <v>11</v>
      </c>
      <c r="AC220" s="10">
        <f t="shared" si="17"/>
        <v>55.000000000000007</v>
      </c>
      <c r="AD220" s="9">
        <v>1</v>
      </c>
      <c r="AE220" s="9">
        <v>1</v>
      </c>
      <c r="AF220" s="9">
        <v>1</v>
      </c>
      <c r="AG220" s="9">
        <v>0</v>
      </c>
      <c r="AH220" s="9">
        <v>1</v>
      </c>
      <c r="AI220" s="9">
        <v>0</v>
      </c>
      <c r="AJ220" s="9">
        <v>0</v>
      </c>
      <c r="AK220" s="9">
        <v>1</v>
      </c>
      <c r="AL220" s="9">
        <v>1</v>
      </c>
      <c r="AM220" s="9">
        <v>0</v>
      </c>
      <c r="AN220" s="9">
        <v>0</v>
      </c>
      <c r="AO220" s="9">
        <v>0</v>
      </c>
      <c r="AP220" s="9">
        <v>0</v>
      </c>
      <c r="AQ220" s="9">
        <v>0</v>
      </c>
      <c r="AR220" s="9">
        <v>0</v>
      </c>
      <c r="AS220" s="10">
        <f t="shared" si="18"/>
        <v>6</v>
      </c>
      <c r="AT220" s="10">
        <f t="shared" si="19"/>
        <v>40</v>
      </c>
      <c r="AU220" s="5" t="s">
        <v>355</v>
      </c>
    </row>
    <row r="221" spans="1:47" ht="15" customHeight="1" x14ac:dyDescent="0.3">
      <c r="A221" s="7" t="str">
        <f t="shared" si="15"/>
        <v>44_2025</v>
      </c>
      <c r="B221" s="7">
        <v>220</v>
      </c>
      <c r="C221" s="7">
        <f>'Panel Data (Long Format)'!B221</f>
        <v>44</v>
      </c>
      <c r="D221" s="7" t="str">
        <f>'Panel Data (Long Format)'!C221</f>
        <v>FCMB</v>
      </c>
      <c r="E221" s="8" t="str">
        <f>'Panel Data (Long Format)'!D221</f>
        <v>FCMB Group Plc</v>
      </c>
      <c r="F221" s="7" t="str">
        <f>'Panel Data (Long Format)'!E221</f>
        <v>FINANCIAL SERVICES</v>
      </c>
      <c r="G221" s="7">
        <f>'Panel Data (Long Format)'!F221</f>
        <v>2025</v>
      </c>
      <c r="H221" s="9">
        <v>1</v>
      </c>
      <c r="I221" s="9">
        <v>0</v>
      </c>
      <c r="J221" s="9">
        <v>0</v>
      </c>
      <c r="K221" s="9">
        <v>0</v>
      </c>
      <c r="L221" s="9">
        <v>1</v>
      </c>
      <c r="M221" s="9">
        <v>1</v>
      </c>
      <c r="N221" s="9">
        <v>1</v>
      </c>
      <c r="O221" s="9">
        <v>1</v>
      </c>
      <c r="P221" s="9">
        <v>0</v>
      </c>
      <c r="Q221" s="9">
        <v>1</v>
      </c>
      <c r="R221" s="9">
        <v>1</v>
      </c>
      <c r="S221" s="9">
        <v>1</v>
      </c>
      <c r="T221" s="9">
        <v>1</v>
      </c>
      <c r="U221" s="9">
        <v>1</v>
      </c>
      <c r="V221" s="9">
        <v>1</v>
      </c>
      <c r="W221" s="9">
        <v>1</v>
      </c>
      <c r="X221" s="9">
        <v>0</v>
      </c>
      <c r="Y221" s="9">
        <v>1</v>
      </c>
      <c r="Z221" s="9">
        <v>0</v>
      </c>
      <c r="AA221" s="9">
        <v>0</v>
      </c>
      <c r="AB221" s="10">
        <f t="shared" si="16"/>
        <v>13</v>
      </c>
      <c r="AC221" s="10">
        <f t="shared" si="17"/>
        <v>65</v>
      </c>
      <c r="AD221" s="9">
        <v>1</v>
      </c>
      <c r="AE221" s="9">
        <v>1</v>
      </c>
      <c r="AF221" s="9">
        <v>0</v>
      </c>
      <c r="AG221" s="9">
        <v>1</v>
      </c>
      <c r="AH221" s="9">
        <v>1</v>
      </c>
      <c r="AI221" s="9">
        <v>1</v>
      </c>
      <c r="AJ221" s="9">
        <v>1</v>
      </c>
      <c r="AK221" s="9">
        <v>1</v>
      </c>
      <c r="AL221" s="9">
        <v>1</v>
      </c>
      <c r="AM221" s="9">
        <v>0</v>
      </c>
      <c r="AN221" s="9">
        <v>0</v>
      </c>
      <c r="AO221" s="9">
        <v>0</v>
      </c>
      <c r="AP221" s="9">
        <v>1</v>
      </c>
      <c r="AQ221" s="9">
        <v>0</v>
      </c>
      <c r="AR221" s="9">
        <v>0</v>
      </c>
      <c r="AS221" s="10">
        <f t="shared" si="18"/>
        <v>9</v>
      </c>
      <c r="AT221" s="10">
        <f t="shared" si="19"/>
        <v>60</v>
      </c>
      <c r="AU221" s="5" t="s">
        <v>356</v>
      </c>
    </row>
    <row r="222" spans="1:47" ht="15" customHeight="1" x14ac:dyDescent="0.3">
      <c r="A222" s="7" t="str">
        <f t="shared" si="15"/>
        <v>45_2021</v>
      </c>
      <c r="B222" s="7">
        <v>221</v>
      </c>
      <c r="C222" s="7">
        <f>'Panel Data (Long Format)'!B222</f>
        <v>45</v>
      </c>
      <c r="D222" s="7" t="str">
        <f>'Panel Data (Long Format)'!C222</f>
        <v>FIDELITYBK</v>
      </c>
      <c r="E222" s="8" t="str">
        <f>'Panel Data (Long Format)'!D222</f>
        <v>Fidelity Bank Plc</v>
      </c>
      <c r="F222" s="7" t="str">
        <f>'Panel Data (Long Format)'!E222</f>
        <v>FINANCIAL SERVICES</v>
      </c>
      <c r="G222" s="7">
        <f>'Panel Data (Long Format)'!F222</f>
        <v>2021</v>
      </c>
      <c r="H222" s="9">
        <v>0</v>
      </c>
      <c r="I222" s="9">
        <v>0</v>
      </c>
      <c r="J222" s="9">
        <v>0</v>
      </c>
      <c r="K222" s="9">
        <v>0</v>
      </c>
      <c r="L222" s="9">
        <v>0</v>
      </c>
      <c r="M222" s="9">
        <v>1</v>
      </c>
      <c r="N222" s="9">
        <v>1</v>
      </c>
      <c r="O222" s="9">
        <v>1</v>
      </c>
      <c r="P222" s="9">
        <v>0</v>
      </c>
      <c r="Q222" s="9">
        <v>0</v>
      </c>
      <c r="R222" s="9">
        <v>1</v>
      </c>
      <c r="S222" s="9">
        <v>1</v>
      </c>
      <c r="T222" s="9">
        <v>1</v>
      </c>
      <c r="U222" s="9">
        <v>1</v>
      </c>
      <c r="V222" s="9">
        <v>1</v>
      </c>
      <c r="W222" s="9">
        <v>1</v>
      </c>
      <c r="X222" s="9">
        <v>0</v>
      </c>
      <c r="Y222" s="9">
        <v>0</v>
      </c>
      <c r="Z222" s="9">
        <v>0</v>
      </c>
      <c r="AA222" s="9">
        <v>0</v>
      </c>
      <c r="AB222" s="10">
        <f t="shared" si="16"/>
        <v>9</v>
      </c>
      <c r="AC222" s="10">
        <f t="shared" si="17"/>
        <v>45</v>
      </c>
      <c r="AD222" s="9">
        <v>0</v>
      </c>
      <c r="AE222" s="9">
        <v>1</v>
      </c>
      <c r="AF222" s="9">
        <v>0</v>
      </c>
      <c r="AG222" s="9">
        <v>0</v>
      </c>
      <c r="AH222" s="9">
        <v>0</v>
      </c>
      <c r="AI222" s="9">
        <v>0</v>
      </c>
      <c r="AJ222" s="9">
        <v>0</v>
      </c>
      <c r="AK222" s="9">
        <v>1</v>
      </c>
      <c r="AL222" s="9">
        <v>1</v>
      </c>
      <c r="AM222" s="9">
        <v>0</v>
      </c>
      <c r="AN222" s="9">
        <v>0</v>
      </c>
      <c r="AO222" s="9">
        <v>0</v>
      </c>
      <c r="AP222" s="9">
        <v>0</v>
      </c>
      <c r="AQ222" s="9">
        <v>0</v>
      </c>
      <c r="AR222" s="9">
        <v>0</v>
      </c>
      <c r="AS222" s="10">
        <f t="shared" si="18"/>
        <v>3</v>
      </c>
      <c r="AT222" s="10">
        <f t="shared" si="19"/>
        <v>20</v>
      </c>
      <c r="AU222" s="5" t="s">
        <v>357</v>
      </c>
    </row>
    <row r="223" spans="1:47" ht="15" customHeight="1" x14ac:dyDescent="0.3">
      <c r="A223" s="7" t="str">
        <f t="shared" si="15"/>
        <v>45_2022</v>
      </c>
      <c r="B223" s="7">
        <v>222</v>
      </c>
      <c r="C223" s="7">
        <f>'Panel Data (Long Format)'!B223</f>
        <v>45</v>
      </c>
      <c r="D223" s="7" t="str">
        <f>'Panel Data (Long Format)'!C223</f>
        <v>FIDELITYBK</v>
      </c>
      <c r="E223" s="8" t="str">
        <f>'Panel Data (Long Format)'!D223</f>
        <v>Fidelity Bank Plc</v>
      </c>
      <c r="F223" s="7" t="str">
        <f>'Panel Data (Long Format)'!E223</f>
        <v>FINANCIAL SERVICES</v>
      </c>
      <c r="G223" s="7">
        <f>'Panel Data (Long Format)'!F223</f>
        <v>2022</v>
      </c>
      <c r="H223" s="9">
        <v>0</v>
      </c>
      <c r="I223" s="9">
        <v>0</v>
      </c>
      <c r="J223" s="9">
        <v>0</v>
      </c>
      <c r="K223" s="9">
        <v>0</v>
      </c>
      <c r="L223" s="9">
        <v>0</v>
      </c>
      <c r="M223" s="9">
        <v>1</v>
      </c>
      <c r="N223" s="9">
        <v>1</v>
      </c>
      <c r="O223" s="9">
        <v>1</v>
      </c>
      <c r="P223" s="9">
        <v>0</v>
      </c>
      <c r="Q223" s="9">
        <v>0</v>
      </c>
      <c r="R223" s="9">
        <v>1</v>
      </c>
      <c r="S223" s="9">
        <v>1</v>
      </c>
      <c r="T223" s="9">
        <v>1</v>
      </c>
      <c r="U223" s="9">
        <v>1</v>
      </c>
      <c r="V223" s="9">
        <v>1</v>
      </c>
      <c r="W223" s="9">
        <v>1</v>
      </c>
      <c r="X223" s="9">
        <v>0</v>
      </c>
      <c r="Y223" s="9">
        <v>0</v>
      </c>
      <c r="Z223" s="9">
        <v>0</v>
      </c>
      <c r="AA223" s="9">
        <v>0</v>
      </c>
      <c r="AB223" s="10">
        <f t="shared" si="16"/>
        <v>9</v>
      </c>
      <c r="AC223" s="10">
        <f t="shared" si="17"/>
        <v>45</v>
      </c>
      <c r="AD223" s="9">
        <v>0</v>
      </c>
      <c r="AE223" s="9">
        <v>1</v>
      </c>
      <c r="AF223" s="9">
        <v>0</v>
      </c>
      <c r="AG223" s="9">
        <v>0</v>
      </c>
      <c r="AH223" s="9">
        <v>0</v>
      </c>
      <c r="AI223" s="9">
        <v>0</v>
      </c>
      <c r="AJ223" s="9">
        <v>0</v>
      </c>
      <c r="AK223" s="9">
        <v>1</v>
      </c>
      <c r="AL223" s="9">
        <v>1</v>
      </c>
      <c r="AM223" s="9">
        <v>0</v>
      </c>
      <c r="AN223" s="9">
        <v>0</v>
      </c>
      <c r="AO223" s="9">
        <v>0</v>
      </c>
      <c r="AP223" s="9">
        <v>0</v>
      </c>
      <c r="AQ223" s="9">
        <v>0</v>
      </c>
      <c r="AR223" s="9">
        <v>0</v>
      </c>
      <c r="AS223" s="10">
        <f t="shared" si="18"/>
        <v>3</v>
      </c>
      <c r="AT223" s="10">
        <f t="shared" si="19"/>
        <v>20</v>
      </c>
      <c r="AU223" s="5" t="s">
        <v>358</v>
      </c>
    </row>
    <row r="224" spans="1:47" ht="15" customHeight="1" x14ac:dyDescent="0.3">
      <c r="A224" s="7" t="str">
        <f t="shared" si="15"/>
        <v>45_2023</v>
      </c>
      <c r="B224" s="7">
        <v>223</v>
      </c>
      <c r="C224" s="7">
        <f>'Panel Data (Long Format)'!B224</f>
        <v>45</v>
      </c>
      <c r="D224" s="7" t="str">
        <f>'Panel Data (Long Format)'!C224</f>
        <v>FIDELITYBK</v>
      </c>
      <c r="E224" s="8" t="str">
        <f>'Panel Data (Long Format)'!D224</f>
        <v>Fidelity Bank Plc</v>
      </c>
      <c r="F224" s="7" t="str">
        <f>'Panel Data (Long Format)'!E224</f>
        <v>FINANCIAL SERVICES</v>
      </c>
      <c r="G224" s="7">
        <f>'Panel Data (Long Format)'!F224</f>
        <v>2023</v>
      </c>
      <c r="H224" s="9">
        <v>1</v>
      </c>
      <c r="I224" s="9">
        <v>1</v>
      </c>
      <c r="J224" s="9">
        <v>1</v>
      </c>
      <c r="K224" s="9">
        <v>1</v>
      </c>
      <c r="L224" s="9">
        <v>0</v>
      </c>
      <c r="M224" s="9">
        <v>1</v>
      </c>
      <c r="N224" s="9">
        <v>1</v>
      </c>
      <c r="O224" s="9">
        <v>1</v>
      </c>
      <c r="P224" s="9">
        <v>1</v>
      </c>
      <c r="Q224" s="9">
        <v>1</v>
      </c>
      <c r="R224" s="9">
        <v>1</v>
      </c>
      <c r="S224" s="9">
        <v>1</v>
      </c>
      <c r="T224" s="9">
        <v>1</v>
      </c>
      <c r="U224" s="9">
        <v>1</v>
      </c>
      <c r="V224" s="9">
        <v>1</v>
      </c>
      <c r="W224" s="9">
        <v>1</v>
      </c>
      <c r="X224" s="9">
        <v>1</v>
      </c>
      <c r="Y224" s="9">
        <v>0</v>
      </c>
      <c r="Z224" s="9">
        <v>0</v>
      </c>
      <c r="AA224" s="9">
        <v>0</v>
      </c>
      <c r="AB224" s="10">
        <f t="shared" si="16"/>
        <v>16</v>
      </c>
      <c r="AC224" s="10">
        <f t="shared" si="17"/>
        <v>80</v>
      </c>
      <c r="AD224" s="9">
        <v>1</v>
      </c>
      <c r="AE224" s="9">
        <v>1</v>
      </c>
      <c r="AF224" s="9">
        <v>1</v>
      </c>
      <c r="AG224" s="9">
        <v>1</v>
      </c>
      <c r="AH224" s="9">
        <v>1</v>
      </c>
      <c r="AI224" s="9">
        <v>1</v>
      </c>
      <c r="AJ224" s="9">
        <v>1</v>
      </c>
      <c r="AK224" s="9">
        <v>1</v>
      </c>
      <c r="AL224" s="9">
        <v>1</v>
      </c>
      <c r="AM224" s="9">
        <v>1</v>
      </c>
      <c r="AN224" s="9">
        <v>1</v>
      </c>
      <c r="AO224" s="9">
        <v>1</v>
      </c>
      <c r="AP224" s="9">
        <v>1</v>
      </c>
      <c r="AQ224" s="9">
        <v>0</v>
      </c>
      <c r="AR224" s="9">
        <v>0</v>
      </c>
      <c r="AS224" s="10">
        <f t="shared" si="18"/>
        <v>13</v>
      </c>
      <c r="AT224" s="10">
        <f t="shared" si="19"/>
        <v>86.666666666666671</v>
      </c>
      <c r="AU224" s="5" t="s">
        <v>359</v>
      </c>
    </row>
    <row r="225" spans="1:47" ht="15" customHeight="1" x14ac:dyDescent="0.3">
      <c r="A225" s="7" t="str">
        <f t="shared" si="15"/>
        <v>45_2024</v>
      </c>
      <c r="B225" s="7">
        <v>224</v>
      </c>
      <c r="C225" s="7">
        <f>'Panel Data (Long Format)'!B225</f>
        <v>45</v>
      </c>
      <c r="D225" s="7" t="str">
        <f>'Panel Data (Long Format)'!C225</f>
        <v>FIDELITYBK</v>
      </c>
      <c r="E225" s="8" t="str">
        <f>'Panel Data (Long Format)'!D225</f>
        <v>Fidelity Bank Plc</v>
      </c>
      <c r="F225" s="7" t="str">
        <f>'Panel Data (Long Format)'!E225</f>
        <v>FINANCIAL SERVICES</v>
      </c>
      <c r="G225" s="7">
        <f>'Panel Data (Long Format)'!F225</f>
        <v>2024</v>
      </c>
      <c r="H225" s="9">
        <v>1</v>
      </c>
      <c r="I225" s="9">
        <v>1</v>
      </c>
      <c r="J225" s="9">
        <v>1</v>
      </c>
      <c r="K225" s="9">
        <v>1</v>
      </c>
      <c r="L225" s="9">
        <v>1</v>
      </c>
      <c r="M225" s="9">
        <v>1</v>
      </c>
      <c r="N225" s="9">
        <v>1</v>
      </c>
      <c r="O225" s="9">
        <v>1</v>
      </c>
      <c r="P225" s="9">
        <v>1</v>
      </c>
      <c r="Q225" s="9">
        <v>1</v>
      </c>
      <c r="R225" s="9">
        <v>1</v>
      </c>
      <c r="S225" s="9">
        <v>1</v>
      </c>
      <c r="T225" s="9">
        <v>1</v>
      </c>
      <c r="U225" s="9">
        <v>1</v>
      </c>
      <c r="V225" s="9">
        <v>1</v>
      </c>
      <c r="W225" s="9">
        <v>1</v>
      </c>
      <c r="X225" s="9">
        <v>1</v>
      </c>
      <c r="Y225" s="9">
        <v>1</v>
      </c>
      <c r="Z225" s="9">
        <v>0</v>
      </c>
      <c r="AA225" s="9">
        <v>1</v>
      </c>
      <c r="AB225" s="10">
        <f t="shared" si="16"/>
        <v>19</v>
      </c>
      <c r="AC225" s="10">
        <f t="shared" si="17"/>
        <v>95</v>
      </c>
      <c r="AD225" s="9">
        <v>1</v>
      </c>
      <c r="AE225" s="9">
        <v>1</v>
      </c>
      <c r="AF225" s="9">
        <v>1</v>
      </c>
      <c r="AG225" s="9">
        <v>1</v>
      </c>
      <c r="AH225" s="9">
        <v>1</v>
      </c>
      <c r="AI225" s="9">
        <v>1</v>
      </c>
      <c r="AJ225" s="9">
        <v>1</v>
      </c>
      <c r="AK225" s="9">
        <v>1</v>
      </c>
      <c r="AL225" s="9">
        <v>1</v>
      </c>
      <c r="AM225" s="9">
        <v>0</v>
      </c>
      <c r="AN225" s="9">
        <v>0</v>
      </c>
      <c r="AO225" s="9">
        <v>0</v>
      </c>
      <c r="AP225" s="9">
        <v>1</v>
      </c>
      <c r="AQ225" s="9">
        <v>1</v>
      </c>
      <c r="AR225" s="9">
        <v>1</v>
      </c>
      <c r="AS225" s="10">
        <f t="shared" si="18"/>
        <v>12</v>
      </c>
      <c r="AT225" s="10">
        <f t="shared" si="19"/>
        <v>80</v>
      </c>
      <c r="AU225" s="5" t="s">
        <v>360</v>
      </c>
    </row>
    <row r="226" spans="1:47" ht="15" customHeight="1" x14ac:dyDescent="0.3">
      <c r="A226" s="7" t="str">
        <f t="shared" si="15"/>
        <v>45_2025</v>
      </c>
      <c r="B226" s="7">
        <v>225</v>
      </c>
      <c r="C226" s="7">
        <f>'Panel Data (Long Format)'!B226</f>
        <v>45</v>
      </c>
      <c r="D226" s="7" t="str">
        <f>'Panel Data (Long Format)'!C226</f>
        <v>FIDELITYBK</v>
      </c>
      <c r="E226" s="8" t="str">
        <f>'Panel Data (Long Format)'!D226</f>
        <v>Fidelity Bank Plc</v>
      </c>
      <c r="F226" s="7" t="str">
        <f>'Panel Data (Long Format)'!E226</f>
        <v>FINANCIAL SERVICES</v>
      </c>
      <c r="G226" s="7">
        <f>'Panel Data (Long Format)'!F226</f>
        <v>2025</v>
      </c>
      <c r="H226" s="9">
        <v>0</v>
      </c>
      <c r="I226" s="9">
        <v>0</v>
      </c>
      <c r="J226" s="9">
        <v>0</v>
      </c>
      <c r="K226" s="9">
        <v>0</v>
      </c>
      <c r="L226" s="9">
        <v>0</v>
      </c>
      <c r="M226" s="9">
        <v>0</v>
      </c>
      <c r="N226" s="9">
        <v>0</v>
      </c>
      <c r="O226" s="9">
        <v>0</v>
      </c>
      <c r="P226" s="9">
        <v>0</v>
      </c>
      <c r="Q226" s="9">
        <v>0</v>
      </c>
      <c r="R226" s="9">
        <v>0</v>
      </c>
      <c r="S226" s="9">
        <v>0</v>
      </c>
      <c r="T226" s="9">
        <v>0</v>
      </c>
      <c r="U226" s="9">
        <v>0</v>
      </c>
      <c r="V226" s="9">
        <v>0</v>
      </c>
      <c r="W226" s="9">
        <v>1</v>
      </c>
      <c r="X226" s="9">
        <v>0</v>
      </c>
      <c r="Y226" s="9">
        <v>0</v>
      </c>
      <c r="Z226" s="9">
        <v>0</v>
      </c>
      <c r="AA226" s="9">
        <v>0</v>
      </c>
      <c r="AB226" s="10">
        <f t="shared" si="16"/>
        <v>1</v>
      </c>
      <c r="AC226" s="10">
        <f t="shared" si="17"/>
        <v>5</v>
      </c>
      <c r="AD226" s="9">
        <v>0</v>
      </c>
      <c r="AE226" s="9">
        <v>0</v>
      </c>
      <c r="AF226" s="9">
        <v>0</v>
      </c>
      <c r="AG226" s="9">
        <v>0</v>
      </c>
      <c r="AH226" s="9">
        <v>0</v>
      </c>
      <c r="AI226" s="9">
        <v>0</v>
      </c>
      <c r="AJ226" s="9">
        <v>0</v>
      </c>
      <c r="AK226" s="9">
        <v>0</v>
      </c>
      <c r="AL226" s="9">
        <v>0</v>
      </c>
      <c r="AM226" s="9">
        <v>0</v>
      </c>
      <c r="AN226" s="9">
        <v>0</v>
      </c>
      <c r="AO226" s="9">
        <v>0</v>
      </c>
      <c r="AP226" s="9">
        <v>0</v>
      </c>
      <c r="AQ226" s="9">
        <v>0</v>
      </c>
      <c r="AR226" s="9">
        <v>0</v>
      </c>
      <c r="AS226" s="10">
        <f t="shared" si="18"/>
        <v>0</v>
      </c>
      <c r="AT226" s="10">
        <f t="shared" si="19"/>
        <v>0</v>
      </c>
      <c r="AU226" s="5" t="s">
        <v>361</v>
      </c>
    </row>
    <row r="227" spans="1:47" ht="15" customHeight="1" x14ac:dyDescent="0.3">
      <c r="A227" s="7" t="str">
        <f t="shared" si="15"/>
        <v>46_2021</v>
      </c>
      <c r="B227" s="7">
        <v>226</v>
      </c>
      <c r="C227" s="7">
        <f>'Panel Data (Long Format)'!B227</f>
        <v>46</v>
      </c>
      <c r="D227" s="7" t="str">
        <f>'Panel Data (Long Format)'!C227</f>
        <v>FIDSON</v>
      </c>
      <c r="E227" s="8" t="str">
        <f>'Panel Data (Long Format)'!D227</f>
        <v>Fidson Healthcare Plc</v>
      </c>
      <c r="F227" s="7" t="str">
        <f>'Panel Data (Long Format)'!E227</f>
        <v>HEALTHCARE</v>
      </c>
      <c r="G227" s="7">
        <f>'Panel Data (Long Format)'!F227</f>
        <v>2021</v>
      </c>
      <c r="H227" s="9">
        <v>0</v>
      </c>
      <c r="I227" s="9">
        <v>0</v>
      </c>
      <c r="J227" s="9">
        <v>0</v>
      </c>
      <c r="K227" s="9">
        <v>0</v>
      </c>
      <c r="L227" s="9">
        <v>0</v>
      </c>
      <c r="M227" s="9">
        <v>0</v>
      </c>
      <c r="N227" s="9">
        <v>0</v>
      </c>
      <c r="O227" s="9">
        <v>0</v>
      </c>
      <c r="P227" s="9">
        <v>0</v>
      </c>
      <c r="Q227" s="9">
        <v>0</v>
      </c>
      <c r="R227" s="9">
        <v>0</v>
      </c>
      <c r="S227" s="9">
        <v>0</v>
      </c>
      <c r="T227" s="9">
        <v>0</v>
      </c>
      <c r="U227" s="9">
        <v>0</v>
      </c>
      <c r="V227" s="9">
        <v>0</v>
      </c>
      <c r="W227" s="9">
        <v>0</v>
      </c>
      <c r="X227" s="9">
        <v>0</v>
      </c>
      <c r="Y227" s="9">
        <v>0</v>
      </c>
      <c r="Z227" s="9">
        <v>0</v>
      </c>
      <c r="AA227" s="9">
        <v>0</v>
      </c>
      <c r="AB227" s="10">
        <f t="shared" si="16"/>
        <v>0</v>
      </c>
      <c r="AC227" s="10">
        <f t="shared" si="17"/>
        <v>0</v>
      </c>
      <c r="AD227" s="9">
        <v>0</v>
      </c>
      <c r="AE227" s="9">
        <v>0</v>
      </c>
      <c r="AF227" s="9">
        <v>0</v>
      </c>
      <c r="AG227" s="9">
        <v>0</v>
      </c>
      <c r="AH227" s="9">
        <v>0</v>
      </c>
      <c r="AI227" s="9">
        <v>0</v>
      </c>
      <c r="AJ227" s="9">
        <v>0</v>
      </c>
      <c r="AK227" s="9">
        <v>0</v>
      </c>
      <c r="AL227" s="9">
        <v>0</v>
      </c>
      <c r="AM227" s="9">
        <v>0</v>
      </c>
      <c r="AN227" s="9">
        <v>0</v>
      </c>
      <c r="AO227" s="9">
        <v>0</v>
      </c>
      <c r="AP227" s="9">
        <v>0</v>
      </c>
      <c r="AQ227" s="9">
        <v>0</v>
      </c>
      <c r="AR227" s="9">
        <v>0</v>
      </c>
      <c r="AS227" s="10">
        <f t="shared" si="18"/>
        <v>0</v>
      </c>
      <c r="AT227" s="10">
        <f t="shared" si="19"/>
        <v>0</v>
      </c>
      <c r="AU227" s="5" t="s">
        <v>362</v>
      </c>
    </row>
    <row r="228" spans="1:47" ht="15" customHeight="1" x14ac:dyDescent="0.3">
      <c r="A228" s="7" t="str">
        <f t="shared" si="15"/>
        <v>46_2022</v>
      </c>
      <c r="B228" s="7">
        <v>227</v>
      </c>
      <c r="C228" s="7">
        <f>'Panel Data (Long Format)'!B228</f>
        <v>46</v>
      </c>
      <c r="D228" s="7" t="str">
        <f>'Panel Data (Long Format)'!C228</f>
        <v>FIDSON</v>
      </c>
      <c r="E228" s="8" t="str">
        <f>'Panel Data (Long Format)'!D228</f>
        <v>Fidson Healthcare Plc</v>
      </c>
      <c r="F228" s="7" t="str">
        <f>'Panel Data (Long Format)'!E228</f>
        <v>HEALTHCARE</v>
      </c>
      <c r="G228" s="7">
        <f>'Panel Data (Long Format)'!F228</f>
        <v>2022</v>
      </c>
      <c r="H228" s="9">
        <v>1</v>
      </c>
      <c r="I228" s="9">
        <v>0</v>
      </c>
      <c r="J228" s="9">
        <v>1</v>
      </c>
      <c r="K228" s="9">
        <v>1</v>
      </c>
      <c r="L228" s="9">
        <v>0</v>
      </c>
      <c r="M228" s="9">
        <v>0</v>
      </c>
      <c r="N228" s="9">
        <v>0</v>
      </c>
      <c r="O228" s="9">
        <v>0</v>
      </c>
      <c r="P228" s="9">
        <v>0</v>
      </c>
      <c r="Q228" s="9">
        <v>0</v>
      </c>
      <c r="R228" s="9">
        <v>1</v>
      </c>
      <c r="S228" s="9">
        <v>1</v>
      </c>
      <c r="T228" s="9">
        <v>1</v>
      </c>
      <c r="U228" s="9">
        <v>1</v>
      </c>
      <c r="V228" s="9">
        <v>0</v>
      </c>
      <c r="W228" s="9">
        <v>0</v>
      </c>
      <c r="X228" s="9">
        <v>0</v>
      </c>
      <c r="Y228" s="9">
        <v>0</v>
      </c>
      <c r="Z228" s="9">
        <v>0</v>
      </c>
      <c r="AA228" s="9">
        <v>0</v>
      </c>
      <c r="AB228" s="10">
        <f t="shared" si="16"/>
        <v>7</v>
      </c>
      <c r="AC228" s="10">
        <f t="shared" si="17"/>
        <v>35</v>
      </c>
      <c r="AD228" s="9">
        <v>0</v>
      </c>
      <c r="AE228" s="9">
        <v>0</v>
      </c>
      <c r="AF228" s="9">
        <v>0</v>
      </c>
      <c r="AG228" s="9">
        <v>0</v>
      </c>
      <c r="AH228" s="9">
        <v>0</v>
      </c>
      <c r="AI228" s="9">
        <v>0</v>
      </c>
      <c r="AJ228" s="9">
        <v>0</v>
      </c>
      <c r="AK228" s="9">
        <v>0</v>
      </c>
      <c r="AL228" s="9">
        <v>0</v>
      </c>
      <c r="AM228" s="9">
        <v>0</v>
      </c>
      <c r="AN228" s="9">
        <v>0</v>
      </c>
      <c r="AO228" s="9">
        <v>0</v>
      </c>
      <c r="AP228" s="9">
        <v>0</v>
      </c>
      <c r="AQ228" s="9">
        <v>0</v>
      </c>
      <c r="AR228" s="9">
        <v>0</v>
      </c>
      <c r="AS228" s="10">
        <f t="shared" si="18"/>
        <v>0</v>
      </c>
      <c r="AT228" s="10">
        <f t="shared" si="19"/>
        <v>0</v>
      </c>
      <c r="AU228" s="5" t="s">
        <v>363</v>
      </c>
    </row>
    <row r="229" spans="1:47" ht="15" customHeight="1" x14ac:dyDescent="0.3">
      <c r="A229" s="7" t="str">
        <f t="shared" si="15"/>
        <v>46_2023</v>
      </c>
      <c r="B229" s="7">
        <v>228</v>
      </c>
      <c r="C229" s="7">
        <f>'Panel Data (Long Format)'!B229</f>
        <v>46</v>
      </c>
      <c r="D229" s="7" t="str">
        <f>'Panel Data (Long Format)'!C229</f>
        <v>FIDSON</v>
      </c>
      <c r="E229" s="8" t="str">
        <f>'Panel Data (Long Format)'!D229</f>
        <v>Fidson Healthcare Plc</v>
      </c>
      <c r="F229" s="7" t="str">
        <f>'Panel Data (Long Format)'!E229</f>
        <v>HEALTHCARE</v>
      </c>
      <c r="G229" s="7">
        <f>'Panel Data (Long Format)'!F229</f>
        <v>2023</v>
      </c>
      <c r="H229" s="9">
        <v>1</v>
      </c>
      <c r="I229" s="9">
        <v>0</v>
      </c>
      <c r="J229" s="9">
        <v>1</v>
      </c>
      <c r="K229" s="9">
        <v>1</v>
      </c>
      <c r="L229" s="9">
        <v>0</v>
      </c>
      <c r="M229" s="9">
        <v>0</v>
      </c>
      <c r="N229" s="9">
        <v>0</v>
      </c>
      <c r="O229" s="9">
        <v>0</v>
      </c>
      <c r="P229" s="9">
        <v>0</v>
      </c>
      <c r="Q229" s="9">
        <v>0</v>
      </c>
      <c r="R229" s="9">
        <v>1</v>
      </c>
      <c r="S229" s="9">
        <v>1</v>
      </c>
      <c r="T229" s="9">
        <v>1</v>
      </c>
      <c r="U229" s="9">
        <v>1</v>
      </c>
      <c r="V229" s="9">
        <v>0</v>
      </c>
      <c r="W229" s="9">
        <v>0</v>
      </c>
      <c r="X229" s="9">
        <v>0</v>
      </c>
      <c r="Y229" s="9">
        <v>1</v>
      </c>
      <c r="Z229" s="9">
        <v>0</v>
      </c>
      <c r="AA229" s="9">
        <v>0</v>
      </c>
      <c r="AB229" s="10">
        <f t="shared" si="16"/>
        <v>8</v>
      </c>
      <c r="AC229" s="10">
        <f t="shared" si="17"/>
        <v>40</v>
      </c>
      <c r="AD229" s="9">
        <v>0</v>
      </c>
      <c r="AE229" s="9">
        <v>0</v>
      </c>
      <c r="AF229" s="9">
        <v>0</v>
      </c>
      <c r="AG229" s="9">
        <v>0</v>
      </c>
      <c r="AH229" s="9">
        <v>0</v>
      </c>
      <c r="AI229" s="9">
        <v>0</v>
      </c>
      <c r="AJ229" s="9">
        <v>0</v>
      </c>
      <c r="AK229" s="9">
        <v>0</v>
      </c>
      <c r="AL229" s="9">
        <v>0</v>
      </c>
      <c r="AM229" s="9">
        <v>0</v>
      </c>
      <c r="AN229" s="9">
        <v>0</v>
      </c>
      <c r="AO229" s="9">
        <v>0</v>
      </c>
      <c r="AP229" s="9">
        <v>0</v>
      </c>
      <c r="AQ229" s="9">
        <v>0</v>
      </c>
      <c r="AR229" s="9">
        <v>0</v>
      </c>
      <c r="AS229" s="10">
        <f t="shared" si="18"/>
        <v>0</v>
      </c>
      <c r="AT229" s="10">
        <f t="shared" si="19"/>
        <v>0</v>
      </c>
      <c r="AU229" s="5" t="s">
        <v>364</v>
      </c>
    </row>
    <row r="230" spans="1:47" ht="15" customHeight="1" x14ac:dyDescent="0.3">
      <c r="A230" s="7" t="str">
        <f t="shared" si="15"/>
        <v>46_2024</v>
      </c>
      <c r="B230" s="7">
        <v>229</v>
      </c>
      <c r="C230" s="7">
        <f>'Panel Data (Long Format)'!B230</f>
        <v>46</v>
      </c>
      <c r="D230" s="7" t="str">
        <f>'Panel Data (Long Format)'!C230</f>
        <v>FIDSON</v>
      </c>
      <c r="E230" s="8" t="str">
        <f>'Panel Data (Long Format)'!D230</f>
        <v>Fidson Healthcare Plc</v>
      </c>
      <c r="F230" s="7" t="str">
        <f>'Panel Data (Long Format)'!E230</f>
        <v>HEALTHCARE</v>
      </c>
      <c r="G230" s="7">
        <f>'Panel Data (Long Format)'!F230</f>
        <v>2024</v>
      </c>
      <c r="H230" s="9">
        <v>1</v>
      </c>
      <c r="I230" s="9">
        <v>0</v>
      </c>
      <c r="J230" s="9">
        <v>1</v>
      </c>
      <c r="K230" s="9">
        <v>1</v>
      </c>
      <c r="L230" s="9">
        <v>0</v>
      </c>
      <c r="M230" s="9">
        <v>0</v>
      </c>
      <c r="N230" s="9">
        <v>0</v>
      </c>
      <c r="O230" s="9">
        <v>0</v>
      </c>
      <c r="P230" s="9">
        <v>0</v>
      </c>
      <c r="Q230" s="9">
        <v>0</v>
      </c>
      <c r="R230" s="9">
        <v>1</v>
      </c>
      <c r="S230" s="9">
        <v>1</v>
      </c>
      <c r="T230" s="9">
        <v>1</v>
      </c>
      <c r="U230" s="9">
        <v>1</v>
      </c>
      <c r="V230" s="9">
        <v>0</v>
      </c>
      <c r="W230" s="9">
        <v>0</v>
      </c>
      <c r="X230" s="9">
        <v>0</v>
      </c>
      <c r="Y230" s="9">
        <v>0</v>
      </c>
      <c r="Z230" s="9">
        <v>0</v>
      </c>
      <c r="AA230" s="9">
        <v>0</v>
      </c>
      <c r="AB230" s="10">
        <f t="shared" si="16"/>
        <v>7</v>
      </c>
      <c r="AC230" s="10">
        <f t="shared" si="17"/>
        <v>35</v>
      </c>
      <c r="AD230" s="9">
        <v>0</v>
      </c>
      <c r="AE230" s="9">
        <v>0</v>
      </c>
      <c r="AF230" s="9">
        <v>0</v>
      </c>
      <c r="AG230" s="9">
        <v>0</v>
      </c>
      <c r="AH230" s="9">
        <v>0</v>
      </c>
      <c r="AI230" s="9">
        <v>0</v>
      </c>
      <c r="AJ230" s="9">
        <v>0</v>
      </c>
      <c r="AK230" s="9">
        <v>0</v>
      </c>
      <c r="AL230" s="9">
        <v>0</v>
      </c>
      <c r="AM230" s="9">
        <v>0</v>
      </c>
      <c r="AN230" s="9">
        <v>0</v>
      </c>
      <c r="AO230" s="9">
        <v>0</v>
      </c>
      <c r="AP230" s="9">
        <v>0</v>
      </c>
      <c r="AQ230" s="9">
        <v>0</v>
      </c>
      <c r="AR230" s="9">
        <v>0</v>
      </c>
      <c r="AS230" s="10">
        <f t="shared" si="18"/>
        <v>0</v>
      </c>
      <c r="AT230" s="10">
        <f t="shared" si="19"/>
        <v>0</v>
      </c>
      <c r="AU230" s="5" t="s">
        <v>365</v>
      </c>
    </row>
    <row r="231" spans="1:47" ht="15" customHeight="1" x14ac:dyDescent="0.3">
      <c r="A231" s="7" t="str">
        <f t="shared" si="15"/>
        <v>46_2025</v>
      </c>
      <c r="B231" s="7">
        <v>230</v>
      </c>
      <c r="C231" s="7">
        <f>'Panel Data (Long Format)'!B231</f>
        <v>46</v>
      </c>
      <c r="D231" s="7" t="str">
        <f>'Panel Data (Long Format)'!C231</f>
        <v>FIDSON</v>
      </c>
      <c r="E231" s="8" t="str">
        <f>'Panel Data (Long Format)'!D231</f>
        <v>Fidson Healthcare Plc</v>
      </c>
      <c r="F231" s="7" t="str">
        <f>'Panel Data (Long Format)'!E231</f>
        <v>HEALTHCARE</v>
      </c>
      <c r="G231" s="7">
        <f>'Panel Data (Long Format)'!F231</f>
        <v>2025</v>
      </c>
      <c r="H231" s="9">
        <v>1</v>
      </c>
      <c r="I231" s="9">
        <v>0</v>
      </c>
      <c r="J231" s="9">
        <v>1</v>
      </c>
      <c r="K231" s="9">
        <v>1</v>
      </c>
      <c r="L231" s="9">
        <v>0</v>
      </c>
      <c r="M231" s="9">
        <v>0</v>
      </c>
      <c r="N231" s="9">
        <v>0</v>
      </c>
      <c r="O231" s="9">
        <v>0</v>
      </c>
      <c r="P231" s="9">
        <v>0</v>
      </c>
      <c r="Q231" s="9">
        <v>0</v>
      </c>
      <c r="R231" s="9">
        <v>1</v>
      </c>
      <c r="S231" s="9">
        <v>1</v>
      </c>
      <c r="T231" s="9">
        <v>1</v>
      </c>
      <c r="U231" s="9">
        <v>1</v>
      </c>
      <c r="V231" s="9">
        <v>0</v>
      </c>
      <c r="W231" s="9">
        <v>0</v>
      </c>
      <c r="X231" s="9">
        <v>0</v>
      </c>
      <c r="Y231" s="9">
        <v>0</v>
      </c>
      <c r="Z231" s="9">
        <v>0</v>
      </c>
      <c r="AA231" s="9">
        <v>0</v>
      </c>
      <c r="AB231" s="10">
        <f t="shared" si="16"/>
        <v>7</v>
      </c>
      <c r="AC231" s="10">
        <f t="shared" si="17"/>
        <v>35</v>
      </c>
      <c r="AD231" s="9">
        <v>0</v>
      </c>
      <c r="AE231" s="9">
        <v>0</v>
      </c>
      <c r="AF231" s="9">
        <v>0</v>
      </c>
      <c r="AG231" s="9">
        <v>0</v>
      </c>
      <c r="AH231" s="9">
        <v>0</v>
      </c>
      <c r="AI231" s="9">
        <v>0</v>
      </c>
      <c r="AJ231" s="9">
        <v>0</v>
      </c>
      <c r="AK231" s="9">
        <v>0</v>
      </c>
      <c r="AL231" s="9">
        <v>0</v>
      </c>
      <c r="AM231" s="9">
        <v>0</v>
      </c>
      <c r="AN231" s="9">
        <v>0</v>
      </c>
      <c r="AO231" s="9">
        <v>0</v>
      </c>
      <c r="AP231" s="9">
        <v>0</v>
      </c>
      <c r="AQ231" s="9">
        <v>0</v>
      </c>
      <c r="AR231" s="9">
        <v>0</v>
      </c>
      <c r="AS231" s="10">
        <f t="shared" si="18"/>
        <v>0</v>
      </c>
      <c r="AT231" s="10">
        <f t="shared" si="19"/>
        <v>0</v>
      </c>
      <c r="AU231" s="5" t="s">
        <v>366</v>
      </c>
    </row>
    <row r="232" spans="1:47" ht="15" customHeight="1" x14ac:dyDescent="0.3">
      <c r="A232" s="7" t="str">
        <f t="shared" si="15"/>
        <v>47_2021</v>
      </c>
      <c r="B232" s="7">
        <v>231</v>
      </c>
      <c r="C232" s="7">
        <f>'Panel Data (Long Format)'!B232</f>
        <v>47</v>
      </c>
      <c r="D232" s="7" t="str">
        <f>'Panel Data (Long Format)'!C232</f>
        <v>FIRSTHOLDCO</v>
      </c>
      <c r="E232" s="8" t="str">
        <f>'Panel Data (Long Format)'!D232</f>
        <v>FirstHoldCo Plc (First Bank Holding)</v>
      </c>
      <c r="F232" s="7" t="str">
        <f>'Panel Data (Long Format)'!E232</f>
        <v>FINANCIAL SERVICES</v>
      </c>
      <c r="G232" s="7">
        <f>'Panel Data (Long Format)'!F232</f>
        <v>2021</v>
      </c>
      <c r="H232" s="9">
        <v>1</v>
      </c>
      <c r="I232" s="9">
        <v>0</v>
      </c>
      <c r="J232" s="9">
        <v>0</v>
      </c>
      <c r="K232" s="9">
        <v>1</v>
      </c>
      <c r="L232" s="9">
        <v>0</v>
      </c>
      <c r="M232" s="9">
        <v>0</v>
      </c>
      <c r="N232" s="9">
        <v>0</v>
      </c>
      <c r="O232" s="9">
        <v>0</v>
      </c>
      <c r="P232" s="9">
        <v>0</v>
      </c>
      <c r="Q232" s="9">
        <v>0</v>
      </c>
      <c r="R232" s="9">
        <v>1</v>
      </c>
      <c r="S232" s="9">
        <v>1</v>
      </c>
      <c r="T232" s="9">
        <v>0</v>
      </c>
      <c r="U232" s="9">
        <v>1</v>
      </c>
      <c r="V232" s="9">
        <v>0</v>
      </c>
      <c r="W232" s="9">
        <v>1</v>
      </c>
      <c r="X232" s="9">
        <v>0</v>
      </c>
      <c r="Y232" s="9">
        <v>1</v>
      </c>
      <c r="Z232" s="9">
        <v>0</v>
      </c>
      <c r="AA232" s="9">
        <v>0</v>
      </c>
      <c r="AB232" s="10">
        <f t="shared" si="16"/>
        <v>7</v>
      </c>
      <c r="AC232" s="10">
        <f t="shared" si="17"/>
        <v>35</v>
      </c>
      <c r="AD232" s="9">
        <v>0</v>
      </c>
      <c r="AE232" s="9">
        <v>0</v>
      </c>
      <c r="AF232" s="9">
        <v>0</v>
      </c>
      <c r="AG232" s="9">
        <v>0</v>
      </c>
      <c r="AH232" s="9">
        <v>0</v>
      </c>
      <c r="AI232" s="9">
        <v>0</v>
      </c>
      <c r="AJ232" s="9">
        <v>0</v>
      </c>
      <c r="AK232" s="9">
        <v>0</v>
      </c>
      <c r="AL232" s="9">
        <v>0</v>
      </c>
      <c r="AM232" s="9">
        <v>0</v>
      </c>
      <c r="AN232" s="9">
        <v>0</v>
      </c>
      <c r="AO232" s="9">
        <v>0</v>
      </c>
      <c r="AP232" s="9">
        <v>0</v>
      </c>
      <c r="AQ232" s="9">
        <v>0</v>
      </c>
      <c r="AR232" s="9">
        <v>0</v>
      </c>
      <c r="AS232" s="10">
        <f t="shared" si="18"/>
        <v>0</v>
      </c>
      <c r="AT232" s="10">
        <f t="shared" si="19"/>
        <v>0</v>
      </c>
      <c r="AU232" s="5" t="s">
        <v>367</v>
      </c>
    </row>
    <row r="233" spans="1:47" ht="15" customHeight="1" x14ac:dyDescent="0.3">
      <c r="A233" s="7" t="str">
        <f t="shared" si="15"/>
        <v>47_2022</v>
      </c>
      <c r="B233" s="7">
        <v>232</v>
      </c>
      <c r="C233" s="7">
        <f>'Panel Data (Long Format)'!B233</f>
        <v>47</v>
      </c>
      <c r="D233" s="7" t="str">
        <f>'Panel Data (Long Format)'!C233</f>
        <v>FIRSTHOLDCO</v>
      </c>
      <c r="E233" s="8" t="str">
        <f>'Panel Data (Long Format)'!D233</f>
        <v>FirstHoldCo Plc (First Bank Holding)</v>
      </c>
      <c r="F233" s="7" t="str">
        <f>'Panel Data (Long Format)'!E233</f>
        <v>FINANCIAL SERVICES</v>
      </c>
      <c r="G233" s="7">
        <f>'Panel Data (Long Format)'!F233</f>
        <v>2022</v>
      </c>
      <c r="H233" s="9">
        <v>1</v>
      </c>
      <c r="I233" s="9">
        <v>0</v>
      </c>
      <c r="J233" s="9">
        <v>1</v>
      </c>
      <c r="K233" s="9">
        <v>1</v>
      </c>
      <c r="L233" s="9">
        <v>0</v>
      </c>
      <c r="M233" s="9">
        <v>0</v>
      </c>
      <c r="N233" s="9">
        <v>0</v>
      </c>
      <c r="O233" s="9">
        <v>1</v>
      </c>
      <c r="P233" s="9">
        <v>0</v>
      </c>
      <c r="Q233" s="9">
        <v>0</v>
      </c>
      <c r="R233" s="9">
        <v>1</v>
      </c>
      <c r="S233" s="9">
        <v>1</v>
      </c>
      <c r="T233" s="9">
        <v>1</v>
      </c>
      <c r="U233" s="9">
        <v>1</v>
      </c>
      <c r="V233" s="9">
        <v>0</v>
      </c>
      <c r="W233" s="9">
        <v>1</v>
      </c>
      <c r="X233" s="9">
        <v>0</v>
      </c>
      <c r="Y233" s="9">
        <v>1</v>
      </c>
      <c r="Z233" s="9">
        <v>0</v>
      </c>
      <c r="AA233" s="9">
        <v>0</v>
      </c>
      <c r="AB233" s="10">
        <f t="shared" si="16"/>
        <v>10</v>
      </c>
      <c r="AC233" s="10">
        <f t="shared" si="17"/>
        <v>50</v>
      </c>
      <c r="AD233" s="9">
        <v>0</v>
      </c>
      <c r="AE233" s="9">
        <v>0</v>
      </c>
      <c r="AF233" s="9">
        <v>0</v>
      </c>
      <c r="AG233" s="9">
        <v>0</v>
      </c>
      <c r="AH233" s="9">
        <v>0</v>
      </c>
      <c r="AI233" s="9">
        <v>0</v>
      </c>
      <c r="AJ233" s="9">
        <v>0</v>
      </c>
      <c r="AK233" s="9">
        <v>0</v>
      </c>
      <c r="AL233" s="9">
        <v>0</v>
      </c>
      <c r="AM233" s="9">
        <v>0</v>
      </c>
      <c r="AN233" s="9">
        <v>0</v>
      </c>
      <c r="AO233" s="9">
        <v>0</v>
      </c>
      <c r="AP233" s="9">
        <v>0</v>
      </c>
      <c r="AQ233" s="9">
        <v>0</v>
      </c>
      <c r="AR233" s="9">
        <v>0</v>
      </c>
      <c r="AS233" s="10">
        <f t="shared" si="18"/>
        <v>0</v>
      </c>
      <c r="AT233" s="10">
        <f t="shared" si="19"/>
        <v>0</v>
      </c>
      <c r="AU233" s="5" t="s">
        <v>368</v>
      </c>
    </row>
    <row r="234" spans="1:47" ht="15" customHeight="1" x14ac:dyDescent="0.3">
      <c r="A234" s="7" t="str">
        <f t="shared" si="15"/>
        <v>47_2023</v>
      </c>
      <c r="B234" s="7">
        <v>233</v>
      </c>
      <c r="C234" s="7">
        <f>'Panel Data (Long Format)'!B234</f>
        <v>47</v>
      </c>
      <c r="D234" s="7" t="str">
        <f>'Panel Data (Long Format)'!C234</f>
        <v>FIRSTHOLDCO</v>
      </c>
      <c r="E234" s="8" t="str">
        <f>'Panel Data (Long Format)'!D234</f>
        <v>FirstHoldCo Plc (First Bank Holding)</v>
      </c>
      <c r="F234" s="7" t="str">
        <f>'Panel Data (Long Format)'!E234</f>
        <v>FINANCIAL SERVICES</v>
      </c>
      <c r="G234" s="7">
        <f>'Panel Data (Long Format)'!F234</f>
        <v>2023</v>
      </c>
      <c r="H234" s="9">
        <v>1</v>
      </c>
      <c r="I234" s="9">
        <v>1</v>
      </c>
      <c r="J234" s="9">
        <v>0</v>
      </c>
      <c r="K234" s="9">
        <v>1</v>
      </c>
      <c r="L234" s="9">
        <v>0</v>
      </c>
      <c r="M234" s="9">
        <v>0</v>
      </c>
      <c r="N234" s="9">
        <v>1</v>
      </c>
      <c r="O234" s="9">
        <v>1</v>
      </c>
      <c r="P234" s="9">
        <v>0</v>
      </c>
      <c r="Q234" s="9">
        <v>0</v>
      </c>
      <c r="R234" s="9">
        <v>1</v>
      </c>
      <c r="S234" s="9">
        <v>1</v>
      </c>
      <c r="T234" s="9">
        <v>1</v>
      </c>
      <c r="U234" s="9">
        <v>1</v>
      </c>
      <c r="V234" s="9">
        <v>1</v>
      </c>
      <c r="W234" s="9">
        <v>1</v>
      </c>
      <c r="X234" s="9">
        <v>0</v>
      </c>
      <c r="Y234" s="9">
        <v>1</v>
      </c>
      <c r="Z234" s="9">
        <v>0</v>
      </c>
      <c r="AA234" s="9">
        <v>1</v>
      </c>
      <c r="AB234" s="10">
        <f t="shared" si="16"/>
        <v>13</v>
      </c>
      <c r="AC234" s="10">
        <f t="shared" si="17"/>
        <v>65</v>
      </c>
      <c r="AD234" s="9">
        <v>1</v>
      </c>
      <c r="AE234" s="9">
        <v>1</v>
      </c>
      <c r="AF234" s="9">
        <v>1</v>
      </c>
      <c r="AG234" s="9">
        <v>1</v>
      </c>
      <c r="AH234" s="9">
        <v>1</v>
      </c>
      <c r="AI234" s="9">
        <v>0</v>
      </c>
      <c r="AJ234" s="9">
        <v>1</v>
      </c>
      <c r="AK234" s="9">
        <v>1</v>
      </c>
      <c r="AL234" s="9">
        <v>1</v>
      </c>
      <c r="AM234" s="9">
        <v>0</v>
      </c>
      <c r="AN234" s="9">
        <v>0</v>
      </c>
      <c r="AO234" s="9">
        <v>0</v>
      </c>
      <c r="AP234" s="9">
        <v>0</v>
      </c>
      <c r="AQ234" s="9">
        <v>0</v>
      </c>
      <c r="AR234" s="9">
        <v>0</v>
      </c>
      <c r="AS234" s="10">
        <f t="shared" si="18"/>
        <v>8</v>
      </c>
      <c r="AT234" s="10">
        <f t="shared" si="19"/>
        <v>53.333333333333336</v>
      </c>
      <c r="AU234" s="5" t="s">
        <v>369</v>
      </c>
    </row>
    <row r="235" spans="1:47" ht="15" customHeight="1" x14ac:dyDescent="0.3">
      <c r="A235" s="7" t="str">
        <f t="shared" si="15"/>
        <v>47_2024</v>
      </c>
      <c r="B235" s="7">
        <v>234</v>
      </c>
      <c r="C235" s="7">
        <f>'Panel Data (Long Format)'!B235</f>
        <v>47</v>
      </c>
      <c r="D235" s="7" t="str">
        <f>'Panel Data (Long Format)'!C235</f>
        <v>FIRSTHOLDCO</v>
      </c>
      <c r="E235" s="8" t="str">
        <f>'Panel Data (Long Format)'!D235</f>
        <v>FirstHoldCo Plc (First Bank Holding)</v>
      </c>
      <c r="F235" s="7" t="str">
        <f>'Panel Data (Long Format)'!E235</f>
        <v>FINANCIAL SERVICES</v>
      </c>
      <c r="G235" s="7">
        <f>'Panel Data (Long Format)'!F235</f>
        <v>2024</v>
      </c>
      <c r="H235" s="9">
        <v>1</v>
      </c>
      <c r="I235" s="9">
        <v>0</v>
      </c>
      <c r="J235" s="9">
        <v>0</v>
      </c>
      <c r="K235" s="9">
        <v>0</v>
      </c>
      <c r="L235" s="9">
        <v>1</v>
      </c>
      <c r="M235" s="9">
        <v>0</v>
      </c>
      <c r="N235" s="9">
        <v>0</v>
      </c>
      <c r="O235" s="9">
        <v>0</v>
      </c>
      <c r="P235" s="9">
        <v>0</v>
      </c>
      <c r="Q235" s="9">
        <v>0</v>
      </c>
      <c r="R235" s="9">
        <v>0</v>
      </c>
      <c r="S235" s="9">
        <v>0</v>
      </c>
      <c r="T235" s="9">
        <v>0</v>
      </c>
      <c r="U235" s="9">
        <v>0</v>
      </c>
      <c r="V235" s="9">
        <v>0</v>
      </c>
      <c r="W235" s="9">
        <v>0</v>
      </c>
      <c r="X235" s="9">
        <v>0</v>
      </c>
      <c r="Y235" s="9">
        <v>0</v>
      </c>
      <c r="Z235" s="9">
        <v>0</v>
      </c>
      <c r="AA235" s="9">
        <v>0</v>
      </c>
      <c r="AB235" s="10">
        <f t="shared" si="16"/>
        <v>2</v>
      </c>
      <c r="AC235" s="10">
        <f t="shared" si="17"/>
        <v>10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10">
        <f t="shared" si="18"/>
        <v>0</v>
      </c>
      <c r="AT235" s="10">
        <f t="shared" si="19"/>
        <v>0</v>
      </c>
      <c r="AU235" s="5" t="s">
        <v>370</v>
      </c>
    </row>
    <row r="236" spans="1:47" ht="15" customHeight="1" x14ac:dyDescent="0.3">
      <c r="A236" s="7" t="str">
        <f t="shared" si="15"/>
        <v>47_2025</v>
      </c>
      <c r="B236" s="7">
        <v>235</v>
      </c>
      <c r="C236" s="7">
        <f>'Panel Data (Long Format)'!B236</f>
        <v>47</v>
      </c>
      <c r="D236" s="7" t="str">
        <f>'Panel Data (Long Format)'!C236</f>
        <v>FIRSTHOLDCO</v>
      </c>
      <c r="E236" s="8" t="str">
        <f>'Panel Data (Long Format)'!D236</f>
        <v>FirstHoldCo Plc (First Bank Holding)</v>
      </c>
      <c r="F236" s="7" t="str">
        <f>'Panel Data (Long Format)'!E236</f>
        <v>FINANCIAL SERVICES</v>
      </c>
      <c r="G236" s="7">
        <f>'Panel Data (Long Format)'!F236</f>
        <v>2025</v>
      </c>
      <c r="H236" s="9">
        <v>1</v>
      </c>
      <c r="I236" s="9">
        <v>0</v>
      </c>
      <c r="J236" s="9">
        <v>0</v>
      </c>
      <c r="K236" s="9">
        <v>0</v>
      </c>
      <c r="L236" s="9">
        <v>0</v>
      </c>
      <c r="M236" s="9">
        <v>0</v>
      </c>
      <c r="N236" s="9">
        <v>0</v>
      </c>
      <c r="O236" s="9">
        <v>0</v>
      </c>
      <c r="P236" s="9">
        <v>0</v>
      </c>
      <c r="Q236" s="9">
        <v>0</v>
      </c>
      <c r="R236" s="9">
        <v>0</v>
      </c>
      <c r="S236" s="9">
        <v>0</v>
      </c>
      <c r="T236" s="9">
        <v>0</v>
      </c>
      <c r="U236" s="9">
        <v>0</v>
      </c>
      <c r="V236" s="9">
        <v>0</v>
      </c>
      <c r="W236" s="9">
        <v>1</v>
      </c>
      <c r="X236" s="9">
        <v>1</v>
      </c>
      <c r="Y236" s="9">
        <v>1</v>
      </c>
      <c r="Z236" s="9">
        <v>0</v>
      </c>
      <c r="AA236" s="9">
        <v>0</v>
      </c>
      <c r="AB236" s="10">
        <f t="shared" si="16"/>
        <v>4</v>
      </c>
      <c r="AC236" s="10">
        <f t="shared" si="17"/>
        <v>20</v>
      </c>
      <c r="AD236" s="9">
        <v>0</v>
      </c>
      <c r="AE236" s="9">
        <v>0</v>
      </c>
      <c r="AF236" s="9">
        <v>0</v>
      </c>
      <c r="AG236" s="9">
        <v>0</v>
      </c>
      <c r="AH236" s="9">
        <v>0</v>
      </c>
      <c r="AI236" s="9">
        <v>0</v>
      </c>
      <c r="AJ236" s="9">
        <v>0</v>
      </c>
      <c r="AK236" s="9">
        <v>0</v>
      </c>
      <c r="AL236" s="9">
        <v>0</v>
      </c>
      <c r="AM236" s="9">
        <v>1</v>
      </c>
      <c r="AN236" s="9">
        <v>0</v>
      </c>
      <c r="AO236" s="9">
        <v>0</v>
      </c>
      <c r="AP236" s="9">
        <v>0</v>
      </c>
      <c r="AQ236" s="9">
        <v>0</v>
      </c>
      <c r="AR236" s="9">
        <v>1</v>
      </c>
      <c r="AS236" s="10">
        <f t="shared" si="18"/>
        <v>2</v>
      </c>
      <c r="AT236" s="10">
        <f t="shared" si="19"/>
        <v>13.333333333333334</v>
      </c>
      <c r="AU236" s="5" t="s">
        <v>371</v>
      </c>
    </row>
    <row r="237" spans="1:47" ht="15" customHeight="1" x14ac:dyDescent="0.3">
      <c r="A237" s="7" t="str">
        <f t="shared" si="15"/>
        <v>48_2021</v>
      </c>
      <c r="B237" s="7">
        <v>236</v>
      </c>
      <c r="C237" s="7">
        <f>'Panel Data (Long Format)'!B237</f>
        <v>48</v>
      </c>
      <c r="D237" s="7" t="str">
        <f>'Panel Data (Long Format)'!C237</f>
        <v>FTGINSURE</v>
      </c>
      <c r="E237" s="8" t="str">
        <f>'Panel Data (Long Format)'!D237</f>
        <v>Fortis Global Insurance Plc (formerly Standard Alliance Insurance Plc)</v>
      </c>
      <c r="F237" s="7" t="str">
        <f>'Panel Data (Long Format)'!E237</f>
        <v>FINANCIAL SERVICES</v>
      </c>
      <c r="G237" s="7">
        <f>'Panel Data (Long Format)'!F237</f>
        <v>2021</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10">
        <f t="shared" si="16"/>
        <v>0</v>
      </c>
      <c r="AC237" s="10">
        <f t="shared" si="17"/>
        <v>0</v>
      </c>
      <c r="AD237" s="9">
        <v>0</v>
      </c>
      <c r="AE237" s="9">
        <v>0</v>
      </c>
      <c r="AF237" s="9">
        <v>0</v>
      </c>
      <c r="AG237" s="9">
        <v>0</v>
      </c>
      <c r="AH237" s="9">
        <v>0</v>
      </c>
      <c r="AI237" s="9">
        <v>0</v>
      </c>
      <c r="AJ237" s="9">
        <v>0</v>
      </c>
      <c r="AK237" s="9">
        <v>0</v>
      </c>
      <c r="AL237" s="9">
        <v>0</v>
      </c>
      <c r="AM237" s="9">
        <v>0</v>
      </c>
      <c r="AN237" s="9">
        <v>0</v>
      </c>
      <c r="AO237" s="9">
        <v>0</v>
      </c>
      <c r="AP237" s="9">
        <v>0</v>
      </c>
      <c r="AQ237" s="9">
        <v>0</v>
      </c>
      <c r="AR237" s="9">
        <v>0</v>
      </c>
      <c r="AS237" s="10">
        <f t="shared" si="18"/>
        <v>0</v>
      </c>
      <c r="AT237" s="10">
        <f t="shared" si="19"/>
        <v>0</v>
      </c>
      <c r="AU237" s="5" t="s">
        <v>372</v>
      </c>
    </row>
    <row r="238" spans="1:47" ht="15" customHeight="1" x14ac:dyDescent="0.3">
      <c r="A238" s="7" t="str">
        <f t="shared" si="15"/>
        <v>48_2022</v>
      </c>
      <c r="B238" s="7">
        <v>237</v>
      </c>
      <c r="C238" s="7">
        <f>'Panel Data (Long Format)'!B238</f>
        <v>48</v>
      </c>
      <c r="D238" s="7" t="str">
        <f>'Panel Data (Long Format)'!C238</f>
        <v>FTGINSURE</v>
      </c>
      <c r="E238" s="8" t="str">
        <f>'Panel Data (Long Format)'!D238</f>
        <v>Fortis Global Insurance Plc (formerly Standard Alliance Insurance Plc)</v>
      </c>
      <c r="F238" s="7" t="str">
        <f>'Panel Data (Long Format)'!E238</f>
        <v>FINANCIAL SERVICES</v>
      </c>
      <c r="G238" s="7">
        <f>'Panel Data (Long Format)'!F238</f>
        <v>2022</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10">
        <f t="shared" si="16"/>
        <v>0</v>
      </c>
      <c r="AC238" s="10">
        <f t="shared" si="17"/>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10">
        <f t="shared" si="18"/>
        <v>0</v>
      </c>
      <c r="AT238" s="10">
        <f t="shared" si="19"/>
        <v>0</v>
      </c>
      <c r="AU238" s="5" t="s">
        <v>373</v>
      </c>
    </row>
    <row r="239" spans="1:47" ht="15" customHeight="1" x14ac:dyDescent="0.3">
      <c r="A239" s="7" t="str">
        <f t="shared" si="15"/>
        <v>48_2023</v>
      </c>
      <c r="B239" s="7">
        <v>238</v>
      </c>
      <c r="C239" s="7">
        <f>'Panel Data (Long Format)'!B239</f>
        <v>48</v>
      </c>
      <c r="D239" s="7" t="str">
        <f>'Panel Data (Long Format)'!C239</f>
        <v>FTGINSURE</v>
      </c>
      <c r="E239" s="8" t="str">
        <f>'Panel Data (Long Format)'!D239</f>
        <v>Fortis Global Insurance Plc (formerly Standard Alliance Insurance Plc)</v>
      </c>
      <c r="F239" s="7" t="str">
        <f>'Panel Data (Long Format)'!E239</f>
        <v>FINANCIAL SERVICES</v>
      </c>
      <c r="G239" s="7">
        <f>'Panel Data (Long Format)'!F239</f>
        <v>2023</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10">
        <f t="shared" si="16"/>
        <v>0</v>
      </c>
      <c r="AC239" s="10">
        <f t="shared" si="17"/>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10">
        <f t="shared" si="18"/>
        <v>0</v>
      </c>
      <c r="AT239" s="10">
        <f t="shared" si="19"/>
        <v>0</v>
      </c>
      <c r="AU239" s="5" t="s">
        <v>374</v>
      </c>
    </row>
    <row r="240" spans="1:47" ht="15" customHeight="1" x14ac:dyDescent="0.3">
      <c r="A240" s="7" t="str">
        <f t="shared" si="15"/>
        <v>48_2024</v>
      </c>
      <c r="B240" s="7">
        <v>239</v>
      </c>
      <c r="C240" s="7">
        <f>'Panel Data (Long Format)'!B240</f>
        <v>48</v>
      </c>
      <c r="D240" s="7" t="str">
        <f>'Panel Data (Long Format)'!C240</f>
        <v>FTGINSURE</v>
      </c>
      <c r="E240" s="8" t="str">
        <f>'Panel Data (Long Format)'!D240</f>
        <v>Fortis Global Insurance Plc (formerly Standard Alliance Insurance Plc)</v>
      </c>
      <c r="F240" s="7" t="str">
        <f>'Panel Data (Long Format)'!E240</f>
        <v>FINANCIAL SERVICES</v>
      </c>
      <c r="G240" s="7">
        <f>'Panel Data (Long Format)'!F240</f>
        <v>2024</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9">
        <v>0</v>
      </c>
      <c r="AB240" s="10">
        <f t="shared" si="16"/>
        <v>0</v>
      </c>
      <c r="AC240" s="10">
        <f t="shared" si="17"/>
        <v>0</v>
      </c>
      <c r="AD240" s="9">
        <v>0</v>
      </c>
      <c r="AE240" s="9">
        <v>0</v>
      </c>
      <c r="AF240" s="9">
        <v>0</v>
      </c>
      <c r="AG240" s="9">
        <v>0</v>
      </c>
      <c r="AH240" s="9">
        <v>0</v>
      </c>
      <c r="AI240" s="9">
        <v>0</v>
      </c>
      <c r="AJ240" s="9">
        <v>0</v>
      </c>
      <c r="AK240" s="9">
        <v>0</v>
      </c>
      <c r="AL240" s="9">
        <v>0</v>
      </c>
      <c r="AM240" s="9">
        <v>0</v>
      </c>
      <c r="AN240" s="9">
        <v>0</v>
      </c>
      <c r="AO240" s="9">
        <v>0</v>
      </c>
      <c r="AP240" s="9">
        <v>0</v>
      </c>
      <c r="AQ240" s="9">
        <v>0</v>
      </c>
      <c r="AR240" s="9">
        <v>0</v>
      </c>
      <c r="AS240" s="10">
        <f t="shared" si="18"/>
        <v>0</v>
      </c>
      <c r="AT240" s="10">
        <f t="shared" si="19"/>
        <v>0</v>
      </c>
      <c r="AU240" s="5" t="s">
        <v>375</v>
      </c>
    </row>
    <row r="241" spans="1:47" ht="15" customHeight="1" x14ac:dyDescent="0.3">
      <c r="A241" s="7" t="str">
        <f t="shared" si="15"/>
        <v>48_2025</v>
      </c>
      <c r="B241" s="7">
        <v>240</v>
      </c>
      <c r="C241" s="7">
        <f>'Panel Data (Long Format)'!B241</f>
        <v>48</v>
      </c>
      <c r="D241" s="7" t="str">
        <f>'Panel Data (Long Format)'!C241</f>
        <v>FTGINSURE</v>
      </c>
      <c r="E241" s="8" t="str">
        <f>'Panel Data (Long Format)'!D241</f>
        <v>Fortis Global Insurance Plc (formerly Standard Alliance Insurance Plc)</v>
      </c>
      <c r="F241" s="7" t="str">
        <f>'Panel Data (Long Format)'!E241</f>
        <v>FINANCIAL SERVICES</v>
      </c>
      <c r="G241" s="7">
        <f>'Panel Data (Long Format)'!F241</f>
        <v>2025</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10">
        <f t="shared" si="16"/>
        <v>0</v>
      </c>
      <c r="AC241" s="10">
        <f t="shared" si="17"/>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10">
        <f t="shared" si="18"/>
        <v>0</v>
      </c>
      <c r="AT241" s="10">
        <f t="shared" si="19"/>
        <v>0</v>
      </c>
      <c r="AU241" s="5" t="s">
        <v>376</v>
      </c>
    </row>
    <row r="242" spans="1:47" ht="15" customHeight="1" x14ac:dyDescent="0.3">
      <c r="A242" s="7" t="str">
        <f t="shared" si="15"/>
        <v>49_2021</v>
      </c>
      <c r="B242" s="7">
        <v>241</v>
      </c>
      <c r="C242" s="7">
        <f>'Panel Data (Long Format)'!B242</f>
        <v>49</v>
      </c>
      <c r="D242" s="7" t="str">
        <f>'Panel Data (Long Format)'!C242</f>
        <v>FTNCOCOA</v>
      </c>
      <c r="E242" s="8" t="str">
        <f>'Panel Data (Long Format)'!D242</f>
        <v>FTN Cocoa Processors Plc</v>
      </c>
      <c r="F242" s="7" t="str">
        <f>'Panel Data (Long Format)'!E242</f>
        <v>AGRICULTURE</v>
      </c>
      <c r="G242" s="7">
        <f>'Panel Data (Long Format)'!F242</f>
        <v>2021</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10">
        <f t="shared" si="16"/>
        <v>0</v>
      </c>
      <c r="AC242" s="10">
        <f t="shared" si="17"/>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10">
        <f t="shared" si="18"/>
        <v>0</v>
      </c>
      <c r="AT242" s="10">
        <f t="shared" si="19"/>
        <v>0</v>
      </c>
      <c r="AU242" s="5" t="s">
        <v>377</v>
      </c>
    </row>
    <row r="243" spans="1:47" ht="15" customHeight="1" x14ac:dyDescent="0.3">
      <c r="A243" s="7" t="str">
        <f t="shared" si="15"/>
        <v>49_2022</v>
      </c>
      <c r="B243" s="7">
        <v>242</v>
      </c>
      <c r="C243" s="7">
        <f>'Panel Data (Long Format)'!B243</f>
        <v>49</v>
      </c>
      <c r="D243" s="7" t="str">
        <f>'Panel Data (Long Format)'!C243</f>
        <v>FTNCOCOA</v>
      </c>
      <c r="E243" s="8" t="str">
        <f>'Panel Data (Long Format)'!D243</f>
        <v>FTN Cocoa Processors Plc</v>
      </c>
      <c r="F243" s="7" t="str">
        <f>'Panel Data (Long Format)'!E243</f>
        <v>AGRICULTURE</v>
      </c>
      <c r="G243" s="7">
        <f>'Panel Data (Long Format)'!F243</f>
        <v>2022</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0</v>
      </c>
      <c r="AA243" s="9">
        <v>0</v>
      </c>
      <c r="AB243" s="10">
        <f t="shared" si="16"/>
        <v>0</v>
      </c>
      <c r="AC243" s="10">
        <f t="shared" si="17"/>
        <v>0</v>
      </c>
      <c r="AD243" s="9">
        <v>0</v>
      </c>
      <c r="AE243" s="9">
        <v>0</v>
      </c>
      <c r="AF243" s="9">
        <v>0</v>
      </c>
      <c r="AG243" s="9">
        <v>0</v>
      </c>
      <c r="AH243" s="9">
        <v>0</v>
      </c>
      <c r="AI243" s="9">
        <v>0</v>
      </c>
      <c r="AJ243" s="9">
        <v>0</v>
      </c>
      <c r="AK243" s="9">
        <v>0</v>
      </c>
      <c r="AL243" s="9">
        <v>0</v>
      </c>
      <c r="AM243" s="9">
        <v>0</v>
      </c>
      <c r="AN243" s="9">
        <v>0</v>
      </c>
      <c r="AO243" s="9">
        <v>0</v>
      </c>
      <c r="AP243" s="9">
        <v>0</v>
      </c>
      <c r="AQ243" s="9">
        <v>0</v>
      </c>
      <c r="AR243" s="9">
        <v>0</v>
      </c>
      <c r="AS243" s="10">
        <f t="shared" si="18"/>
        <v>0</v>
      </c>
      <c r="AT243" s="10">
        <f t="shared" si="19"/>
        <v>0</v>
      </c>
      <c r="AU243" s="5" t="s">
        <v>378</v>
      </c>
    </row>
    <row r="244" spans="1:47" ht="15" customHeight="1" x14ac:dyDescent="0.3">
      <c r="A244" s="7" t="str">
        <f t="shared" si="15"/>
        <v>49_2023</v>
      </c>
      <c r="B244" s="7">
        <v>243</v>
      </c>
      <c r="C244" s="7">
        <f>'Panel Data (Long Format)'!B244</f>
        <v>49</v>
      </c>
      <c r="D244" s="7" t="str">
        <f>'Panel Data (Long Format)'!C244</f>
        <v>FTNCOCOA</v>
      </c>
      <c r="E244" s="8" t="str">
        <f>'Panel Data (Long Format)'!D244</f>
        <v>FTN Cocoa Processors Plc</v>
      </c>
      <c r="F244" s="7" t="str">
        <f>'Panel Data (Long Format)'!E244</f>
        <v>AGRICULTURE</v>
      </c>
      <c r="G244" s="7">
        <f>'Panel Data (Long Format)'!F244</f>
        <v>2023</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c r="Y244" s="9">
        <v>0</v>
      </c>
      <c r="Z244" s="9">
        <v>0</v>
      </c>
      <c r="AA244" s="9">
        <v>0</v>
      </c>
      <c r="AB244" s="10">
        <f t="shared" si="16"/>
        <v>0</v>
      </c>
      <c r="AC244" s="10">
        <f t="shared" si="17"/>
        <v>0</v>
      </c>
      <c r="AD244" s="9">
        <v>0</v>
      </c>
      <c r="AE244" s="9">
        <v>0</v>
      </c>
      <c r="AF244" s="9">
        <v>0</v>
      </c>
      <c r="AG244" s="9">
        <v>0</v>
      </c>
      <c r="AH244" s="9">
        <v>0</v>
      </c>
      <c r="AI244" s="9">
        <v>0</v>
      </c>
      <c r="AJ244" s="9">
        <v>0</v>
      </c>
      <c r="AK244" s="9">
        <v>0</v>
      </c>
      <c r="AL244" s="9">
        <v>0</v>
      </c>
      <c r="AM244" s="9">
        <v>0</v>
      </c>
      <c r="AN244" s="9">
        <v>0</v>
      </c>
      <c r="AO244" s="9">
        <v>0</v>
      </c>
      <c r="AP244" s="9">
        <v>0</v>
      </c>
      <c r="AQ244" s="9">
        <v>0</v>
      </c>
      <c r="AR244" s="9">
        <v>0</v>
      </c>
      <c r="AS244" s="10">
        <f t="shared" si="18"/>
        <v>0</v>
      </c>
      <c r="AT244" s="10">
        <f t="shared" si="19"/>
        <v>0</v>
      </c>
      <c r="AU244" s="5" t="s">
        <v>379</v>
      </c>
    </row>
    <row r="245" spans="1:47" ht="15" customHeight="1" x14ac:dyDescent="0.3">
      <c r="A245" s="7" t="str">
        <f t="shared" si="15"/>
        <v>49_2024</v>
      </c>
      <c r="B245" s="7">
        <v>244</v>
      </c>
      <c r="C245" s="7">
        <f>'Panel Data (Long Format)'!B245</f>
        <v>49</v>
      </c>
      <c r="D245" s="7" t="str">
        <f>'Panel Data (Long Format)'!C245</f>
        <v>FTNCOCOA</v>
      </c>
      <c r="E245" s="8" t="str">
        <f>'Panel Data (Long Format)'!D245</f>
        <v>FTN Cocoa Processors Plc</v>
      </c>
      <c r="F245" s="7" t="str">
        <f>'Panel Data (Long Format)'!E245</f>
        <v>AGRICULTURE</v>
      </c>
      <c r="G245" s="7">
        <f>'Panel Data (Long Format)'!F245</f>
        <v>2024</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10">
        <f t="shared" si="16"/>
        <v>0</v>
      </c>
      <c r="AC245" s="10">
        <f t="shared" si="17"/>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10">
        <f t="shared" si="18"/>
        <v>0</v>
      </c>
      <c r="AT245" s="10">
        <f t="shared" si="19"/>
        <v>0</v>
      </c>
      <c r="AU245" s="5" t="s">
        <v>380</v>
      </c>
    </row>
    <row r="246" spans="1:47" ht="15" customHeight="1" x14ac:dyDescent="0.3">
      <c r="A246" s="7" t="str">
        <f t="shared" si="15"/>
        <v>49_2025</v>
      </c>
      <c r="B246" s="7">
        <v>245</v>
      </c>
      <c r="C246" s="7">
        <f>'Panel Data (Long Format)'!B246</f>
        <v>49</v>
      </c>
      <c r="D246" s="7" t="str">
        <f>'Panel Data (Long Format)'!C246</f>
        <v>FTNCOCOA</v>
      </c>
      <c r="E246" s="8" t="str">
        <f>'Panel Data (Long Format)'!D246</f>
        <v>FTN Cocoa Processors Plc</v>
      </c>
      <c r="F246" s="7" t="str">
        <f>'Panel Data (Long Format)'!E246</f>
        <v>AGRICULTURE</v>
      </c>
      <c r="G246" s="7">
        <f>'Panel Data (Long Format)'!F246</f>
        <v>2025</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0</v>
      </c>
      <c r="Y246" s="9">
        <v>0</v>
      </c>
      <c r="Z246" s="9">
        <v>0</v>
      </c>
      <c r="AA246" s="9">
        <v>0</v>
      </c>
      <c r="AB246" s="10">
        <f t="shared" si="16"/>
        <v>0</v>
      </c>
      <c r="AC246" s="10">
        <f t="shared" si="17"/>
        <v>0</v>
      </c>
      <c r="AD246" s="9">
        <v>0</v>
      </c>
      <c r="AE246" s="9">
        <v>0</v>
      </c>
      <c r="AF246" s="9">
        <v>0</v>
      </c>
      <c r="AG246" s="9">
        <v>0</v>
      </c>
      <c r="AH246" s="9">
        <v>0</v>
      </c>
      <c r="AI246" s="9">
        <v>0</v>
      </c>
      <c r="AJ246" s="9">
        <v>0</v>
      </c>
      <c r="AK246" s="9">
        <v>0</v>
      </c>
      <c r="AL246" s="9">
        <v>0</v>
      </c>
      <c r="AM246" s="9">
        <v>0</v>
      </c>
      <c r="AN246" s="9">
        <v>0</v>
      </c>
      <c r="AO246" s="9">
        <v>0</v>
      </c>
      <c r="AP246" s="9">
        <v>0</v>
      </c>
      <c r="AQ246" s="9">
        <v>0</v>
      </c>
      <c r="AR246" s="9">
        <v>0</v>
      </c>
      <c r="AS246" s="10">
        <f t="shared" si="18"/>
        <v>0</v>
      </c>
      <c r="AT246" s="10">
        <f t="shared" si="19"/>
        <v>0</v>
      </c>
      <c r="AU246" s="5" t="s">
        <v>381</v>
      </c>
    </row>
    <row r="247" spans="1:47" ht="15" customHeight="1" x14ac:dyDescent="0.3">
      <c r="A247" s="7" t="str">
        <f t="shared" si="15"/>
        <v>50_2021</v>
      </c>
      <c r="B247" s="7">
        <v>246</v>
      </c>
      <c r="C247" s="7">
        <f>'Panel Data (Long Format)'!B247</f>
        <v>50</v>
      </c>
      <c r="D247" s="7" t="str">
        <f>'Panel Data (Long Format)'!C247</f>
        <v>GEREGU</v>
      </c>
      <c r="E247" s="8" t="str">
        <f>'Panel Data (Long Format)'!D247</f>
        <v>Geregu Power Plc</v>
      </c>
      <c r="F247" s="7" t="str">
        <f>'Panel Data (Long Format)'!E247</f>
        <v>UTILITIES</v>
      </c>
      <c r="G247" s="7">
        <f>'Panel Data (Long Format)'!F247</f>
        <v>2021</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10">
        <f t="shared" si="16"/>
        <v>0</v>
      </c>
      <c r="AC247" s="10">
        <f t="shared" si="17"/>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10">
        <f t="shared" si="18"/>
        <v>0</v>
      </c>
      <c r="AT247" s="10">
        <f t="shared" si="19"/>
        <v>0</v>
      </c>
      <c r="AU247" s="5" t="s">
        <v>382</v>
      </c>
    </row>
    <row r="248" spans="1:47" ht="15" customHeight="1" x14ac:dyDescent="0.3">
      <c r="A248" s="7" t="str">
        <f t="shared" si="15"/>
        <v>50_2022</v>
      </c>
      <c r="B248" s="7">
        <v>247</v>
      </c>
      <c r="C248" s="7">
        <f>'Panel Data (Long Format)'!B248</f>
        <v>50</v>
      </c>
      <c r="D248" s="7" t="str">
        <f>'Panel Data (Long Format)'!C248</f>
        <v>GEREGU</v>
      </c>
      <c r="E248" s="8" t="str">
        <f>'Panel Data (Long Format)'!D248</f>
        <v>Geregu Power Plc</v>
      </c>
      <c r="F248" s="7" t="str">
        <f>'Panel Data (Long Format)'!E248</f>
        <v>UTILITIES</v>
      </c>
      <c r="G248" s="7">
        <f>'Panel Data (Long Format)'!F248</f>
        <v>2022</v>
      </c>
      <c r="H248" s="9">
        <v>1</v>
      </c>
      <c r="I248" s="9">
        <v>0</v>
      </c>
      <c r="J248" s="9">
        <v>0</v>
      </c>
      <c r="K248" s="9">
        <v>1</v>
      </c>
      <c r="L248" s="9">
        <v>0</v>
      </c>
      <c r="M248" s="9">
        <v>0</v>
      </c>
      <c r="N248" s="9">
        <v>0</v>
      </c>
      <c r="O248" s="9">
        <v>1</v>
      </c>
      <c r="P248" s="9">
        <v>0</v>
      </c>
      <c r="Q248" s="9">
        <v>0</v>
      </c>
      <c r="R248" s="9">
        <v>1</v>
      </c>
      <c r="S248" s="9">
        <v>0</v>
      </c>
      <c r="T248" s="9">
        <v>1</v>
      </c>
      <c r="U248" s="9">
        <v>1</v>
      </c>
      <c r="V248" s="9">
        <v>0</v>
      </c>
      <c r="W248" s="9">
        <v>1</v>
      </c>
      <c r="X248" s="9">
        <v>0</v>
      </c>
      <c r="Y248" s="9">
        <v>1</v>
      </c>
      <c r="Z248" s="9">
        <v>0</v>
      </c>
      <c r="AA248" s="9">
        <v>0</v>
      </c>
      <c r="AB248" s="10">
        <f t="shared" si="16"/>
        <v>8</v>
      </c>
      <c r="AC248" s="10">
        <f t="shared" si="17"/>
        <v>40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10">
        <f t="shared" si="18"/>
        <v>0</v>
      </c>
      <c r="AT248" s="10">
        <f t="shared" si="19"/>
        <v>0</v>
      </c>
      <c r="AU248" s="5" t="s">
        <v>383</v>
      </c>
    </row>
    <row r="249" spans="1:47" ht="15" customHeight="1" x14ac:dyDescent="0.3">
      <c r="A249" s="7" t="str">
        <f t="shared" si="15"/>
        <v>50_2023</v>
      </c>
      <c r="B249" s="7">
        <v>248</v>
      </c>
      <c r="C249" s="7">
        <f>'Panel Data (Long Format)'!B249</f>
        <v>50</v>
      </c>
      <c r="D249" s="7" t="str">
        <f>'Panel Data (Long Format)'!C249</f>
        <v>GEREGU</v>
      </c>
      <c r="E249" s="8" t="str">
        <f>'Panel Data (Long Format)'!D249</f>
        <v>Geregu Power Plc</v>
      </c>
      <c r="F249" s="7" t="str">
        <f>'Panel Data (Long Format)'!E249</f>
        <v>UTILITIES</v>
      </c>
      <c r="G249" s="7">
        <f>'Panel Data (Long Format)'!F249</f>
        <v>2023</v>
      </c>
      <c r="H249" s="9">
        <v>0</v>
      </c>
      <c r="I249" s="9">
        <v>0</v>
      </c>
      <c r="J249" s="9">
        <v>0</v>
      </c>
      <c r="K249" s="9">
        <v>0</v>
      </c>
      <c r="L249" s="9">
        <v>0</v>
      </c>
      <c r="M249" s="9">
        <v>0</v>
      </c>
      <c r="N249" s="9">
        <v>0</v>
      </c>
      <c r="O249" s="9">
        <v>0</v>
      </c>
      <c r="P249" s="9">
        <v>0</v>
      </c>
      <c r="Q249" s="9">
        <v>0</v>
      </c>
      <c r="R249" s="9">
        <v>0</v>
      </c>
      <c r="S249" s="9">
        <v>0</v>
      </c>
      <c r="T249" s="9">
        <v>0</v>
      </c>
      <c r="U249" s="9">
        <v>0</v>
      </c>
      <c r="V249" s="9">
        <v>0</v>
      </c>
      <c r="W249" s="9">
        <v>0</v>
      </c>
      <c r="X249" s="9">
        <v>0</v>
      </c>
      <c r="Y249" s="9">
        <v>0</v>
      </c>
      <c r="Z249" s="9">
        <v>0</v>
      </c>
      <c r="AA249" s="9">
        <v>0</v>
      </c>
      <c r="AB249" s="10">
        <f t="shared" si="16"/>
        <v>0</v>
      </c>
      <c r="AC249" s="10">
        <f t="shared" si="17"/>
        <v>0</v>
      </c>
      <c r="AD249" s="9">
        <v>0</v>
      </c>
      <c r="AE249" s="9">
        <v>0</v>
      </c>
      <c r="AF249" s="9">
        <v>0</v>
      </c>
      <c r="AG249" s="9">
        <v>0</v>
      </c>
      <c r="AH249" s="9">
        <v>0</v>
      </c>
      <c r="AI249" s="9">
        <v>0</v>
      </c>
      <c r="AJ249" s="9">
        <v>0</v>
      </c>
      <c r="AK249" s="9">
        <v>0</v>
      </c>
      <c r="AL249" s="9">
        <v>0</v>
      </c>
      <c r="AM249" s="9">
        <v>0</v>
      </c>
      <c r="AN249" s="9">
        <v>0</v>
      </c>
      <c r="AO249" s="9">
        <v>0</v>
      </c>
      <c r="AP249" s="9">
        <v>0</v>
      </c>
      <c r="AQ249" s="9">
        <v>0</v>
      </c>
      <c r="AR249" s="9">
        <v>0</v>
      </c>
      <c r="AS249" s="10">
        <f t="shared" si="18"/>
        <v>0</v>
      </c>
      <c r="AT249" s="10">
        <f t="shared" si="19"/>
        <v>0</v>
      </c>
      <c r="AU249" s="5" t="s">
        <v>384</v>
      </c>
    </row>
    <row r="250" spans="1:47" ht="15" customHeight="1" x14ac:dyDescent="0.3">
      <c r="A250" s="7" t="str">
        <f t="shared" si="15"/>
        <v>50_2024</v>
      </c>
      <c r="B250" s="7">
        <v>249</v>
      </c>
      <c r="C250" s="7">
        <f>'Panel Data (Long Format)'!B250</f>
        <v>50</v>
      </c>
      <c r="D250" s="7" t="str">
        <f>'Panel Data (Long Format)'!C250</f>
        <v>GEREGU</v>
      </c>
      <c r="E250" s="8" t="str">
        <f>'Panel Data (Long Format)'!D250</f>
        <v>Geregu Power Plc</v>
      </c>
      <c r="F250" s="7" t="str">
        <f>'Panel Data (Long Format)'!E250</f>
        <v>UTILITIES</v>
      </c>
      <c r="G250" s="7">
        <f>'Panel Data (Long Format)'!F250</f>
        <v>2024</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10">
        <f t="shared" si="16"/>
        <v>0</v>
      </c>
      <c r="AC250" s="10">
        <f t="shared" si="17"/>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10">
        <f t="shared" si="18"/>
        <v>0</v>
      </c>
      <c r="AT250" s="10">
        <f t="shared" si="19"/>
        <v>0</v>
      </c>
      <c r="AU250" s="5" t="s">
        <v>385</v>
      </c>
    </row>
    <row r="251" spans="1:47" ht="15" customHeight="1" x14ac:dyDescent="0.3">
      <c r="A251" s="7" t="str">
        <f t="shared" si="15"/>
        <v>50_2025</v>
      </c>
      <c r="B251" s="7">
        <v>250</v>
      </c>
      <c r="C251" s="7">
        <f>'Panel Data (Long Format)'!B251</f>
        <v>50</v>
      </c>
      <c r="D251" s="7" t="str">
        <f>'Panel Data (Long Format)'!C251</f>
        <v>GEREGU</v>
      </c>
      <c r="E251" s="8" t="str">
        <f>'Panel Data (Long Format)'!D251</f>
        <v>Geregu Power Plc</v>
      </c>
      <c r="F251" s="7" t="str">
        <f>'Panel Data (Long Format)'!E251</f>
        <v>UTILITIES</v>
      </c>
      <c r="G251" s="7">
        <f>'Panel Data (Long Format)'!F251</f>
        <v>2025</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10">
        <f t="shared" si="16"/>
        <v>0</v>
      </c>
      <c r="AC251" s="10">
        <f t="shared" si="17"/>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10">
        <f t="shared" si="18"/>
        <v>0</v>
      </c>
      <c r="AT251" s="10">
        <f t="shared" si="19"/>
        <v>0</v>
      </c>
      <c r="AU251" s="5" t="s">
        <v>386</v>
      </c>
    </row>
    <row r="252" spans="1:47" ht="15" customHeight="1" x14ac:dyDescent="0.3">
      <c r="A252" s="7" t="str">
        <f t="shared" si="15"/>
        <v>51_2021</v>
      </c>
      <c r="B252" s="7">
        <v>251</v>
      </c>
      <c r="C252" s="7">
        <f>'Panel Data (Long Format)'!B252</f>
        <v>51</v>
      </c>
      <c r="D252" s="7" t="str">
        <f>'Panel Data (Long Format)'!C252</f>
        <v>GOLDBREW</v>
      </c>
      <c r="E252" s="8" t="str">
        <f>'Panel Data (Long Format)'!D252</f>
        <v>Golden Guinea Breweries Plc</v>
      </c>
      <c r="F252" s="7" t="str">
        <f>'Panel Data (Long Format)'!E252</f>
        <v>CONSUMER GOODS</v>
      </c>
      <c r="G252" s="7">
        <f>'Panel Data (Long Format)'!F252</f>
        <v>2021</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10">
        <f t="shared" si="16"/>
        <v>0</v>
      </c>
      <c r="AC252" s="10">
        <f t="shared" si="17"/>
        <v>0</v>
      </c>
      <c r="AD252" s="9">
        <v>0</v>
      </c>
      <c r="AE252" s="9">
        <v>0</v>
      </c>
      <c r="AF252" s="9">
        <v>0</v>
      </c>
      <c r="AG252" s="9">
        <v>0</v>
      </c>
      <c r="AH252" s="9">
        <v>0</v>
      </c>
      <c r="AI252" s="9">
        <v>0</v>
      </c>
      <c r="AJ252" s="9">
        <v>0</v>
      </c>
      <c r="AK252" s="9">
        <v>0</v>
      </c>
      <c r="AL252" s="9">
        <v>0</v>
      </c>
      <c r="AM252" s="9">
        <v>0</v>
      </c>
      <c r="AN252" s="9">
        <v>0</v>
      </c>
      <c r="AO252" s="9">
        <v>0</v>
      </c>
      <c r="AP252" s="9">
        <v>0</v>
      </c>
      <c r="AQ252" s="9">
        <v>0</v>
      </c>
      <c r="AR252" s="9">
        <v>0</v>
      </c>
      <c r="AS252" s="10">
        <f t="shared" si="18"/>
        <v>0</v>
      </c>
      <c r="AT252" s="10">
        <f t="shared" si="19"/>
        <v>0</v>
      </c>
      <c r="AU252" s="5" t="s">
        <v>387</v>
      </c>
    </row>
    <row r="253" spans="1:47" ht="15" customHeight="1" x14ac:dyDescent="0.3">
      <c r="A253" s="7" t="str">
        <f t="shared" si="15"/>
        <v>51_2022</v>
      </c>
      <c r="B253" s="7">
        <v>252</v>
      </c>
      <c r="C253" s="7">
        <f>'Panel Data (Long Format)'!B253</f>
        <v>51</v>
      </c>
      <c r="D253" s="7" t="str">
        <f>'Panel Data (Long Format)'!C253</f>
        <v>GOLDBREW</v>
      </c>
      <c r="E253" s="8" t="str">
        <f>'Panel Data (Long Format)'!D253</f>
        <v>Golden Guinea Breweries Plc</v>
      </c>
      <c r="F253" s="7" t="str">
        <f>'Panel Data (Long Format)'!E253</f>
        <v>CONSUMER GOODS</v>
      </c>
      <c r="G253" s="7">
        <f>'Panel Data (Long Format)'!F253</f>
        <v>2022</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10">
        <f t="shared" si="16"/>
        <v>0</v>
      </c>
      <c r="AC253" s="10">
        <f t="shared" si="17"/>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10">
        <f t="shared" si="18"/>
        <v>0</v>
      </c>
      <c r="AT253" s="10">
        <f t="shared" si="19"/>
        <v>0</v>
      </c>
      <c r="AU253" s="5" t="s">
        <v>388</v>
      </c>
    </row>
    <row r="254" spans="1:47" ht="15" customHeight="1" x14ac:dyDescent="0.3">
      <c r="A254" s="7" t="str">
        <f t="shared" si="15"/>
        <v>51_2023</v>
      </c>
      <c r="B254" s="7">
        <v>253</v>
      </c>
      <c r="C254" s="7">
        <f>'Panel Data (Long Format)'!B254</f>
        <v>51</v>
      </c>
      <c r="D254" s="7" t="str">
        <f>'Panel Data (Long Format)'!C254</f>
        <v>GOLDBREW</v>
      </c>
      <c r="E254" s="8" t="str">
        <f>'Panel Data (Long Format)'!D254</f>
        <v>Golden Guinea Breweries Plc</v>
      </c>
      <c r="F254" s="7" t="str">
        <f>'Panel Data (Long Format)'!E254</f>
        <v>CONSUMER GOODS</v>
      </c>
      <c r="G254" s="7">
        <f>'Panel Data (Long Format)'!F254</f>
        <v>2023</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10">
        <f t="shared" si="16"/>
        <v>0</v>
      </c>
      <c r="AC254" s="10">
        <f t="shared" si="17"/>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10">
        <f t="shared" si="18"/>
        <v>0</v>
      </c>
      <c r="AT254" s="10">
        <f t="shared" si="19"/>
        <v>0</v>
      </c>
      <c r="AU254" s="5" t="s">
        <v>389</v>
      </c>
    </row>
    <row r="255" spans="1:47" ht="15" customHeight="1" x14ac:dyDescent="0.3">
      <c r="A255" s="7" t="str">
        <f t="shared" si="15"/>
        <v>51_2024</v>
      </c>
      <c r="B255" s="7">
        <v>254</v>
      </c>
      <c r="C255" s="7">
        <f>'Panel Data (Long Format)'!B255</f>
        <v>51</v>
      </c>
      <c r="D255" s="7" t="str">
        <f>'Panel Data (Long Format)'!C255</f>
        <v>GOLDBREW</v>
      </c>
      <c r="E255" s="8" t="str">
        <f>'Panel Data (Long Format)'!D255</f>
        <v>Golden Guinea Breweries Plc</v>
      </c>
      <c r="F255" s="7" t="str">
        <f>'Panel Data (Long Format)'!E255</f>
        <v>CONSUMER GOODS</v>
      </c>
      <c r="G255" s="7">
        <f>'Panel Data (Long Format)'!F255</f>
        <v>2024</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10">
        <f t="shared" si="16"/>
        <v>0</v>
      </c>
      <c r="AC255" s="10">
        <f t="shared" si="17"/>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10">
        <f t="shared" si="18"/>
        <v>0</v>
      </c>
      <c r="AT255" s="10">
        <f t="shared" si="19"/>
        <v>0</v>
      </c>
      <c r="AU255" s="5" t="s">
        <v>390</v>
      </c>
    </row>
    <row r="256" spans="1:47" ht="15" customHeight="1" x14ac:dyDescent="0.3">
      <c r="A256" s="7" t="str">
        <f t="shared" si="15"/>
        <v>51_2025</v>
      </c>
      <c r="B256" s="7">
        <v>255</v>
      </c>
      <c r="C256" s="7">
        <f>'Panel Data (Long Format)'!B256</f>
        <v>51</v>
      </c>
      <c r="D256" s="7" t="str">
        <f>'Panel Data (Long Format)'!C256</f>
        <v>GOLDBREW</v>
      </c>
      <c r="E256" s="8" t="str">
        <f>'Panel Data (Long Format)'!D256</f>
        <v>Golden Guinea Breweries Plc</v>
      </c>
      <c r="F256" s="7" t="str">
        <f>'Panel Data (Long Format)'!E256</f>
        <v>CONSUMER GOODS</v>
      </c>
      <c r="G256" s="7">
        <f>'Panel Data (Long Format)'!F256</f>
        <v>2025</v>
      </c>
      <c r="H256" s="9"/>
      <c r="I256" s="9"/>
      <c r="J256" s="9"/>
      <c r="K256" s="9"/>
      <c r="L256" s="9"/>
      <c r="M256" s="9"/>
      <c r="N256" s="9"/>
      <c r="O256" s="9"/>
      <c r="P256" s="9"/>
      <c r="Q256" s="9"/>
      <c r="R256" s="9"/>
      <c r="S256" s="9"/>
      <c r="T256" s="9"/>
      <c r="U256" s="9"/>
      <c r="V256" s="9"/>
      <c r="W256" s="9"/>
      <c r="X256" s="9"/>
      <c r="Y256" s="9"/>
      <c r="Z256" s="9"/>
      <c r="AA256" s="9"/>
      <c r="AB256" s="10" t="str">
        <f t="shared" si="16"/>
        <v/>
      </c>
      <c r="AC256" s="10" t="str">
        <f t="shared" si="17"/>
        <v/>
      </c>
      <c r="AD256" s="9"/>
      <c r="AE256" s="9"/>
      <c r="AF256" s="9"/>
      <c r="AG256" s="9"/>
      <c r="AH256" s="9"/>
      <c r="AI256" s="9"/>
      <c r="AJ256" s="9"/>
      <c r="AK256" s="9"/>
      <c r="AL256" s="9"/>
      <c r="AM256" s="9"/>
      <c r="AN256" s="9"/>
      <c r="AO256" s="9"/>
      <c r="AP256" s="9"/>
      <c r="AQ256" s="9"/>
      <c r="AR256" s="9"/>
      <c r="AS256" s="10" t="str">
        <f t="shared" si="18"/>
        <v/>
      </c>
      <c r="AT256" s="10" t="str">
        <f t="shared" si="19"/>
        <v/>
      </c>
      <c r="AU256" s="5" t="s">
        <v>391</v>
      </c>
    </row>
    <row r="257" spans="1:47" ht="15" customHeight="1" x14ac:dyDescent="0.3">
      <c r="A257" s="7" t="str">
        <f t="shared" si="15"/>
        <v>52_2021</v>
      </c>
      <c r="B257" s="7">
        <v>256</v>
      </c>
      <c r="C257" s="7">
        <f>'Panel Data (Long Format)'!B257</f>
        <v>52</v>
      </c>
      <c r="D257" s="7" t="str">
        <f>'Panel Data (Long Format)'!C257</f>
        <v>GTCO</v>
      </c>
      <c r="E257" s="8" t="str">
        <f>'Panel Data (Long Format)'!D257</f>
        <v>Guaranty Trust Holding Company Plc</v>
      </c>
      <c r="F257" s="7" t="str">
        <f>'Panel Data (Long Format)'!E257</f>
        <v>FINANCIAL SERVICES</v>
      </c>
      <c r="G257" s="7">
        <f>'Panel Data (Long Format)'!F257</f>
        <v>2021</v>
      </c>
      <c r="H257" s="9">
        <v>1</v>
      </c>
      <c r="I257" s="9">
        <v>1</v>
      </c>
      <c r="J257" s="9">
        <v>0</v>
      </c>
      <c r="K257" s="9">
        <v>0</v>
      </c>
      <c r="L257" s="9">
        <v>0</v>
      </c>
      <c r="M257" s="9">
        <v>0</v>
      </c>
      <c r="N257" s="9">
        <v>0</v>
      </c>
      <c r="O257" s="9">
        <v>0</v>
      </c>
      <c r="P257" s="9">
        <v>0</v>
      </c>
      <c r="Q257" s="9">
        <v>0</v>
      </c>
      <c r="R257" s="9">
        <v>1</v>
      </c>
      <c r="S257" s="9">
        <v>0</v>
      </c>
      <c r="T257" s="9">
        <v>1</v>
      </c>
      <c r="U257" s="9">
        <v>0</v>
      </c>
      <c r="V257" s="9">
        <v>0</v>
      </c>
      <c r="W257" s="9">
        <v>1</v>
      </c>
      <c r="X257" s="9">
        <v>0</v>
      </c>
      <c r="Y257" s="9">
        <v>1</v>
      </c>
      <c r="Z257" s="9">
        <v>0</v>
      </c>
      <c r="AA257" s="9">
        <v>0</v>
      </c>
      <c r="AB257" s="10">
        <f t="shared" si="16"/>
        <v>6</v>
      </c>
      <c r="AC257" s="10">
        <f t="shared" si="17"/>
        <v>30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10">
        <f t="shared" si="18"/>
        <v>0</v>
      </c>
      <c r="AT257" s="10">
        <f t="shared" si="19"/>
        <v>0</v>
      </c>
      <c r="AU257" s="5" t="s">
        <v>392</v>
      </c>
    </row>
    <row r="258" spans="1:47" ht="15" customHeight="1" x14ac:dyDescent="0.3">
      <c r="A258" s="7" t="str">
        <f t="shared" ref="A258:A321" si="20">C258&amp;"_"&amp;G258</f>
        <v>52_2022</v>
      </c>
      <c r="B258" s="7">
        <v>257</v>
      </c>
      <c r="C258" s="7">
        <f>'Panel Data (Long Format)'!B258</f>
        <v>52</v>
      </c>
      <c r="D258" s="7" t="str">
        <f>'Panel Data (Long Format)'!C258</f>
        <v>GTCO</v>
      </c>
      <c r="E258" s="8" t="str">
        <f>'Panel Data (Long Format)'!D258</f>
        <v>Guaranty Trust Holding Company Plc</v>
      </c>
      <c r="F258" s="7" t="str">
        <f>'Panel Data (Long Format)'!E258</f>
        <v>FINANCIAL SERVICES</v>
      </c>
      <c r="G258" s="7">
        <f>'Panel Data (Long Format)'!F258</f>
        <v>2022</v>
      </c>
      <c r="H258" s="9">
        <v>1</v>
      </c>
      <c r="I258" s="9">
        <v>1</v>
      </c>
      <c r="J258" s="9">
        <v>0</v>
      </c>
      <c r="K258" s="9">
        <v>0</v>
      </c>
      <c r="L258" s="9">
        <v>0</v>
      </c>
      <c r="M258" s="9">
        <v>1</v>
      </c>
      <c r="N258" s="9">
        <v>1</v>
      </c>
      <c r="O258" s="9">
        <v>1</v>
      </c>
      <c r="P258" s="9">
        <v>0</v>
      </c>
      <c r="Q258" s="9">
        <v>0</v>
      </c>
      <c r="R258" s="9">
        <v>1</v>
      </c>
      <c r="S258" s="9">
        <v>1</v>
      </c>
      <c r="T258" s="9">
        <v>1</v>
      </c>
      <c r="U258" s="9">
        <v>0</v>
      </c>
      <c r="V258" s="9">
        <v>0</v>
      </c>
      <c r="W258" s="9">
        <v>1</v>
      </c>
      <c r="X258" s="9">
        <v>0</v>
      </c>
      <c r="Y258" s="9">
        <v>1</v>
      </c>
      <c r="Z258" s="9">
        <v>0</v>
      </c>
      <c r="AA258" s="9">
        <v>0</v>
      </c>
      <c r="AB258" s="10">
        <f t="shared" ref="AB258:AB321" si="21">IF(COUNTBLANK(H258:AA258)&gt;0,"",SUM(H258:AA258))</f>
        <v>10</v>
      </c>
      <c r="AC258" s="10">
        <f t="shared" ref="AC258:AC321" si="22">IF(AB258="","",AB258/20*100)</f>
        <v>50</v>
      </c>
      <c r="AD258" s="9">
        <v>0</v>
      </c>
      <c r="AE258" s="9">
        <v>0</v>
      </c>
      <c r="AF258" s="9">
        <v>0</v>
      </c>
      <c r="AG258" s="9">
        <v>0</v>
      </c>
      <c r="AH258" s="9">
        <v>1</v>
      </c>
      <c r="AI258" s="9">
        <v>0</v>
      </c>
      <c r="AJ258" s="9">
        <v>0</v>
      </c>
      <c r="AK258" s="9">
        <v>1</v>
      </c>
      <c r="AL258" s="9">
        <v>0</v>
      </c>
      <c r="AM258" s="9">
        <v>0</v>
      </c>
      <c r="AN258" s="9">
        <v>0</v>
      </c>
      <c r="AO258" s="9">
        <v>0</v>
      </c>
      <c r="AP258" s="9">
        <v>0</v>
      </c>
      <c r="AQ258" s="9">
        <v>0</v>
      </c>
      <c r="AR258" s="9">
        <v>0</v>
      </c>
      <c r="AS258" s="10">
        <f t="shared" ref="AS258:AS321" si="23">IF(COUNTBLANK(AD258:AR258)&gt;0,"",SUM(AD258:AR258))</f>
        <v>2</v>
      </c>
      <c r="AT258" s="10">
        <f t="shared" ref="AT258:AT321" si="24">IF(AS258="","",AS258/15*100)</f>
        <v>13.333333333333334</v>
      </c>
      <c r="AU258" s="5" t="s">
        <v>393</v>
      </c>
    </row>
    <row r="259" spans="1:47" ht="15" customHeight="1" x14ac:dyDescent="0.3">
      <c r="A259" s="7" t="str">
        <f t="shared" si="20"/>
        <v>52_2023</v>
      </c>
      <c r="B259" s="7">
        <v>258</v>
      </c>
      <c r="C259" s="7">
        <f>'Panel Data (Long Format)'!B259</f>
        <v>52</v>
      </c>
      <c r="D259" s="7" t="str">
        <f>'Panel Data (Long Format)'!C259</f>
        <v>GTCO</v>
      </c>
      <c r="E259" s="8" t="str">
        <f>'Panel Data (Long Format)'!D259</f>
        <v>Guaranty Trust Holding Company Plc</v>
      </c>
      <c r="F259" s="7" t="str">
        <f>'Panel Data (Long Format)'!E259</f>
        <v>FINANCIAL SERVICES</v>
      </c>
      <c r="G259" s="7">
        <f>'Panel Data (Long Format)'!F259</f>
        <v>2023</v>
      </c>
      <c r="H259" s="9">
        <v>1</v>
      </c>
      <c r="I259" s="9">
        <v>1</v>
      </c>
      <c r="J259" s="9">
        <v>0</v>
      </c>
      <c r="K259" s="9">
        <v>0</v>
      </c>
      <c r="L259" s="9">
        <v>0</v>
      </c>
      <c r="M259" s="9">
        <v>1</v>
      </c>
      <c r="N259" s="9">
        <v>1</v>
      </c>
      <c r="O259" s="9">
        <v>1</v>
      </c>
      <c r="P259" s="9">
        <v>0</v>
      </c>
      <c r="Q259" s="9">
        <v>0</v>
      </c>
      <c r="R259" s="9">
        <v>1</v>
      </c>
      <c r="S259" s="9">
        <v>1</v>
      </c>
      <c r="T259" s="9">
        <v>1</v>
      </c>
      <c r="U259" s="9">
        <v>1</v>
      </c>
      <c r="V259" s="9">
        <v>1</v>
      </c>
      <c r="W259" s="9">
        <v>1</v>
      </c>
      <c r="X259" s="9">
        <v>0</v>
      </c>
      <c r="Y259" s="9">
        <v>1</v>
      </c>
      <c r="Z259" s="9">
        <v>0</v>
      </c>
      <c r="AA259" s="9">
        <v>0</v>
      </c>
      <c r="AB259" s="10">
        <f t="shared" si="21"/>
        <v>12</v>
      </c>
      <c r="AC259" s="10">
        <f t="shared" si="22"/>
        <v>60</v>
      </c>
      <c r="AD259" s="9">
        <v>1</v>
      </c>
      <c r="AE259" s="9">
        <v>1</v>
      </c>
      <c r="AF259" s="9">
        <v>1</v>
      </c>
      <c r="AG259" s="9">
        <v>1</v>
      </c>
      <c r="AH259" s="9">
        <v>1</v>
      </c>
      <c r="AI259" s="9">
        <v>0</v>
      </c>
      <c r="AJ259" s="9">
        <v>1</v>
      </c>
      <c r="AK259" s="9">
        <v>1</v>
      </c>
      <c r="AL259" s="9">
        <v>1</v>
      </c>
      <c r="AM259" s="9">
        <v>0</v>
      </c>
      <c r="AN259" s="9">
        <v>0</v>
      </c>
      <c r="AO259" s="9">
        <v>0</v>
      </c>
      <c r="AP259" s="9">
        <v>0</v>
      </c>
      <c r="AQ259" s="9">
        <v>0</v>
      </c>
      <c r="AR259" s="9">
        <v>0</v>
      </c>
      <c r="AS259" s="10">
        <f t="shared" si="23"/>
        <v>8</v>
      </c>
      <c r="AT259" s="10">
        <f t="shared" si="24"/>
        <v>53.333333333333336</v>
      </c>
      <c r="AU259" s="5" t="s">
        <v>394</v>
      </c>
    </row>
    <row r="260" spans="1:47" ht="15" customHeight="1" x14ac:dyDescent="0.3">
      <c r="A260" s="7" t="str">
        <f t="shared" si="20"/>
        <v>52_2024</v>
      </c>
      <c r="B260" s="7">
        <v>259</v>
      </c>
      <c r="C260" s="7">
        <f>'Panel Data (Long Format)'!B260</f>
        <v>52</v>
      </c>
      <c r="D260" s="7" t="str">
        <f>'Panel Data (Long Format)'!C260</f>
        <v>GTCO</v>
      </c>
      <c r="E260" s="8" t="str">
        <f>'Panel Data (Long Format)'!D260</f>
        <v>Guaranty Trust Holding Company Plc</v>
      </c>
      <c r="F260" s="7" t="str">
        <f>'Panel Data (Long Format)'!E260</f>
        <v>FINANCIAL SERVICES</v>
      </c>
      <c r="G260" s="7">
        <f>'Panel Data (Long Format)'!F260</f>
        <v>2024</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9">
        <v>0</v>
      </c>
      <c r="AB260" s="10">
        <f t="shared" si="21"/>
        <v>0</v>
      </c>
      <c r="AC260" s="10">
        <f t="shared" si="22"/>
        <v>0</v>
      </c>
      <c r="AD260" s="9">
        <v>0</v>
      </c>
      <c r="AE260" s="9">
        <v>0</v>
      </c>
      <c r="AF260" s="9">
        <v>0</v>
      </c>
      <c r="AG260" s="9">
        <v>0</v>
      </c>
      <c r="AH260" s="9">
        <v>0</v>
      </c>
      <c r="AI260" s="9">
        <v>0</v>
      </c>
      <c r="AJ260" s="9">
        <v>0</v>
      </c>
      <c r="AK260" s="9">
        <v>0</v>
      </c>
      <c r="AL260" s="9">
        <v>0</v>
      </c>
      <c r="AM260" s="9">
        <v>0</v>
      </c>
      <c r="AN260" s="9">
        <v>0</v>
      </c>
      <c r="AO260" s="9">
        <v>0</v>
      </c>
      <c r="AP260" s="9">
        <v>0</v>
      </c>
      <c r="AQ260" s="9">
        <v>0</v>
      </c>
      <c r="AR260" s="9">
        <v>0</v>
      </c>
      <c r="AS260" s="10">
        <f t="shared" si="23"/>
        <v>0</v>
      </c>
      <c r="AT260" s="10">
        <f t="shared" si="24"/>
        <v>0</v>
      </c>
      <c r="AU260" s="5" t="s">
        <v>395</v>
      </c>
    </row>
    <row r="261" spans="1:47" ht="15" customHeight="1" x14ac:dyDescent="0.3">
      <c r="A261" s="7" t="str">
        <f t="shared" si="20"/>
        <v>52_2025</v>
      </c>
      <c r="B261" s="7">
        <v>260</v>
      </c>
      <c r="C261" s="7">
        <f>'Panel Data (Long Format)'!B261</f>
        <v>52</v>
      </c>
      <c r="D261" s="7" t="str">
        <f>'Panel Data (Long Format)'!C261</f>
        <v>GTCO</v>
      </c>
      <c r="E261" s="8" t="str">
        <f>'Panel Data (Long Format)'!D261</f>
        <v>Guaranty Trust Holding Company Plc</v>
      </c>
      <c r="F261" s="7" t="str">
        <f>'Panel Data (Long Format)'!E261</f>
        <v>FINANCIAL SERVICES</v>
      </c>
      <c r="G261" s="7">
        <f>'Panel Data (Long Format)'!F261</f>
        <v>2025</v>
      </c>
      <c r="H261" s="9">
        <v>0</v>
      </c>
      <c r="I261" s="9">
        <v>0</v>
      </c>
      <c r="J261" s="9">
        <v>0</v>
      </c>
      <c r="K261" s="9">
        <v>0</v>
      </c>
      <c r="L261" s="9">
        <v>0</v>
      </c>
      <c r="M261" s="9">
        <v>0</v>
      </c>
      <c r="N261" s="9">
        <v>0</v>
      </c>
      <c r="O261" s="9">
        <v>0</v>
      </c>
      <c r="P261" s="9">
        <v>0</v>
      </c>
      <c r="Q261" s="9">
        <v>0</v>
      </c>
      <c r="R261" s="9">
        <v>0</v>
      </c>
      <c r="S261" s="9">
        <v>0</v>
      </c>
      <c r="T261" s="9">
        <v>0</v>
      </c>
      <c r="U261" s="9">
        <v>0</v>
      </c>
      <c r="V261" s="9">
        <v>0</v>
      </c>
      <c r="W261" s="9">
        <v>0</v>
      </c>
      <c r="X261" s="9">
        <v>0</v>
      </c>
      <c r="Y261" s="9">
        <v>0</v>
      </c>
      <c r="Z261" s="9">
        <v>0</v>
      </c>
      <c r="AA261" s="9">
        <v>0</v>
      </c>
      <c r="AB261" s="10">
        <f t="shared" si="21"/>
        <v>0</v>
      </c>
      <c r="AC261" s="10">
        <f t="shared" si="22"/>
        <v>0</v>
      </c>
      <c r="AD261" s="9">
        <v>0</v>
      </c>
      <c r="AE261" s="9">
        <v>0</v>
      </c>
      <c r="AF261" s="9">
        <v>0</v>
      </c>
      <c r="AG261" s="9">
        <v>0</v>
      </c>
      <c r="AH261" s="9">
        <v>0</v>
      </c>
      <c r="AI261" s="9">
        <v>0</v>
      </c>
      <c r="AJ261" s="9">
        <v>0</v>
      </c>
      <c r="AK261" s="9">
        <v>0</v>
      </c>
      <c r="AL261" s="9">
        <v>0</v>
      </c>
      <c r="AM261" s="9">
        <v>0</v>
      </c>
      <c r="AN261" s="9">
        <v>0</v>
      </c>
      <c r="AO261" s="9">
        <v>0</v>
      </c>
      <c r="AP261" s="9">
        <v>0</v>
      </c>
      <c r="AQ261" s="9">
        <v>0</v>
      </c>
      <c r="AR261" s="9">
        <v>0</v>
      </c>
      <c r="AS261" s="10">
        <f t="shared" si="23"/>
        <v>0</v>
      </c>
      <c r="AT261" s="10">
        <f t="shared" si="24"/>
        <v>0</v>
      </c>
      <c r="AU261" s="5" t="s">
        <v>396</v>
      </c>
    </row>
    <row r="262" spans="1:47" ht="15" customHeight="1" x14ac:dyDescent="0.3">
      <c r="A262" s="7" t="str">
        <f t="shared" si="20"/>
        <v>53_2021</v>
      </c>
      <c r="B262" s="7">
        <v>261</v>
      </c>
      <c r="C262" s="7">
        <f>'Panel Data (Long Format)'!B262</f>
        <v>53</v>
      </c>
      <c r="D262" s="7" t="str">
        <f>'Panel Data (Long Format)'!C262</f>
        <v>GUINEAINS</v>
      </c>
      <c r="E262" s="8" t="str">
        <f>'Panel Data (Long Format)'!D262</f>
        <v>Guinea Insurance Plc</v>
      </c>
      <c r="F262" s="7" t="str">
        <f>'Panel Data (Long Format)'!E262</f>
        <v>FINANCIAL SERVICES</v>
      </c>
      <c r="G262" s="7">
        <f>'Panel Data (Long Format)'!F262</f>
        <v>2021</v>
      </c>
      <c r="H262" s="9">
        <v>1</v>
      </c>
      <c r="I262" s="9">
        <v>0</v>
      </c>
      <c r="J262" s="9">
        <v>0</v>
      </c>
      <c r="K262" s="9">
        <v>1</v>
      </c>
      <c r="L262" s="9">
        <v>0</v>
      </c>
      <c r="M262" s="9">
        <v>0</v>
      </c>
      <c r="N262" s="9">
        <v>0</v>
      </c>
      <c r="O262" s="9">
        <v>0</v>
      </c>
      <c r="P262" s="9">
        <v>0</v>
      </c>
      <c r="Q262" s="9">
        <v>0</v>
      </c>
      <c r="R262" s="9">
        <v>1</v>
      </c>
      <c r="S262" s="9">
        <v>0</v>
      </c>
      <c r="T262" s="9">
        <v>1</v>
      </c>
      <c r="U262" s="9">
        <v>1</v>
      </c>
      <c r="V262" s="9">
        <v>0</v>
      </c>
      <c r="W262" s="9">
        <v>1</v>
      </c>
      <c r="X262" s="9">
        <v>0</v>
      </c>
      <c r="Y262" s="9">
        <v>0</v>
      </c>
      <c r="Z262" s="9">
        <v>0</v>
      </c>
      <c r="AA262" s="9">
        <v>0</v>
      </c>
      <c r="AB262" s="10">
        <f t="shared" si="21"/>
        <v>6</v>
      </c>
      <c r="AC262" s="10">
        <f t="shared" si="22"/>
        <v>30</v>
      </c>
      <c r="AD262" s="9">
        <v>0</v>
      </c>
      <c r="AE262" s="9">
        <v>0</v>
      </c>
      <c r="AF262" s="9">
        <v>0</v>
      </c>
      <c r="AG262" s="9">
        <v>0</v>
      </c>
      <c r="AH262" s="9">
        <v>0</v>
      </c>
      <c r="AI262" s="9">
        <v>0</v>
      </c>
      <c r="AJ262" s="9">
        <v>0</v>
      </c>
      <c r="AK262" s="9">
        <v>0</v>
      </c>
      <c r="AL262" s="9">
        <v>0</v>
      </c>
      <c r="AM262" s="9">
        <v>0</v>
      </c>
      <c r="AN262" s="9">
        <v>0</v>
      </c>
      <c r="AO262" s="9">
        <v>0</v>
      </c>
      <c r="AP262" s="9">
        <v>0</v>
      </c>
      <c r="AQ262" s="9">
        <v>0</v>
      </c>
      <c r="AR262" s="9">
        <v>0</v>
      </c>
      <c r="AS262" s="10">
        <f t="shared" si="23"/>
        <v>0</v>
      </c>
      <c r="AT262" s="10">
        <f t="shared" si="24"/>
        <v>0</v>
      </c>
      <c r="AU262" s="5" t="s">
        <v>397</v>
      </c>
    </row>
    <row r="263" spans="1:47" ht="15" customHeight="1" x14ac:dyDescent="0.3">
      <c r="A263" s="7" t="str">
        <f t="shared" si="20"/>
        <v>53_2022</v>
      </c>
      <c r="B263" s="7">
        <v>262</v>
      </c>
      <c r="C263" s="7">
        <f>'Panel Data (Long Format)'!B263</f>
        <v>53</v>
      </c>
      <c r="D263" s="7" t="str">
        <f>'Panel Data (Long Format)'!C263</f>
        <v>GUINEAINS</v>
      </c>
      <c r="E263" s="8" t="str">
        <f>'Panel Data (Long Format)'!D263</f>
        <v>Guinea Insurance Plc</v>
      </c>
      <c r="F263" s="7" t="str">
        <f>'Panel Data (Long Format)'!E263</f>
        <v>FINANCIAL SERVICES</v>
      </c>
      <c r="G263" s="7">
        <f>'Panel Data (Long Format)'!F263</f>
        <v>2022</v>
      </c>
      <c r="H263" s="9">
        <v>1</v>
      </c>
      <c r="I263" s="9">
        <v>0</v>
      </c>
      <c r="J263" s="9">
        <v>0</v>
      </c>
      <c r="K263" s="9">
        <v>0</v>
      </c>
      <c r="L263" s="9">
        <v>0</v>
      </c>
      <c r="M263" s="9">
        <v>0</v>
      </c>
      <c r="N263" s="9">
        <v>0</v>
      </c>
      <c r="O263" s="9">
        <v>0</v>
      </c>
      <c r="P263" s="9">
        <v>0</v>
      </c>
      <c r="Q263" s="9">
        <v>0</v>
      </c>
      <c r="R263" s="9">
        <v>1</v>
      </c>
      <c r="S263" s="9">
        <v>0</v>
      </c>
      <c r="T263" s="9">
        <v>0</v>
      </c>
      <c r="U263" s="9">
        <v>1</v>
      </c>
      <c r="V263" s="9">
        <v>0</v>
      </c>
      <c r="W263" s="9">
        <v>1</v>
      </c>
      <c r="X263" s="9">
        <v>0</v>
      </c>
      <c r="Y263" s="9">
        <v>0</v>
      </c>
      <c r="Z263" s="9">
        <v>0</v>
      </c>
      <c r="AA263" s="9">
        <v>0</v>
      </c>
      <c r="AB263" s="10">
        <f t="shared" si="21"/>
        <v>4</v>
      </c>
      <c r="AC263" s="10">
        <f t="shared" si="22"/>
        <v>20</v>
      </c>
      <c r="AD263" s="9">
        <v>0</v>
      </c>
      <c r="AE263" s="9">
        <v>0</v>
      </c>
      <c r="AF263" s="9">
        <v>0</v>
      </c>
      <c r="AG263" s="9">
        <v>0</v>
      </c>
      <c r="AH263" s="9">
        <v>0</v>
      </c>
      <c r="AI263" s="9">
        <v>0</v>
      </c>
      <c r="AJ263" s="9">
        <v>0</v>
      </c>
      <c r="AK263" s="9">
        <v>0</v>
      </c>
      <c r="AL263" s="9">
        <v>0</v>
      </c>
      <c r="AM263" s="9">
        <v>0</v>
      </c>
      <c r="AN263" s="9">
        <v>0</v>
      </c>
      <c r="AO263" s="9">
        <v>0</v>
      </c>
      <c r="AP263" s="9">
        <v>0</v>
      </c>
      <c r="AQ263" s="9">
        <v>0</v>
      </c>
      <c r="AR263" s="9">
        <v>0</v>
      </c>
      <c r="AS263" s="10">
        <f t="shared" si="23"/>
        <v>0</v>
      </c>
      <c r="AT263" s="10">
        <f t="shared" si="24"/>
        <v>0</v>
      </c>
      <c r="AU263" s="5" t="s">
        <v>398</v>
      </c>
    </row>
    <row r="264" spans="1:47" ht="15" customHeight="1" x14ac:dyDescent="0.3">
      <c r="A264" s="7" t="str">
        <f t="shared" si="20"/>
        <v>53_2023</v>
      </c>
      <c r="B264" s="7">
        <v>263</v>
      </c>
      <c r="C264" s="7">
        <f>'Panel Data (Long Format)'!B264</f>
        <v>53</v>
      </c>
      <c r="D264" s="7" t="str">
        <f>'Panel Data (Long Format)'!C264</f>
        <v>GUINEAINS</v>
      </c>
      <c r="E264" s="8" t="str">
        <f>'Panel Data (Long Format)'!D264</f>
        <v>Guinea Insurance Plc</v>
      </c>
      <c r="F264" s="7" t="str">
        <f>'Panel Data (Long Format)'!E264</f>
        <v>FINANCIAL SERVICES</v>
      </c>
      <c r="G264" s="7">
        <f>'Panel Data (Long Format)'!F264</f>
        <v>2023</v>
      </c>
      <c r="H264" s="9">
        <v>1</v>
      </c>
      <c r="I264" s="9">
        <v>0</v>
      </c>
      <c r="J264" s="9">
        <v>0</v>
      </c>
      <c r="K264" s="9">
        <v>0</v>
      </c>
      <c r="L264" s="9">
        <v>0</v>
      </c>
      <c r="M264" s="9">
        <v>0</v>
      </c>
      <c r="N264" s="9">
        <v>0</v>
      </c>
      <c r="O264" s="9">
        <v>0</v>
      </c>
      <c r="P264" s="9">
        <v>0</v>
      </c>
      <c r="Q264" s="9">
        <v>0</v>
      </c>
      <c r="R264" s="9">
        <v>0</v>
      </c>
      <c r="S264" s="9">
        <v>0</v>
      </c>
      <c r="T264" s="9">
        <v>0</v>
      </c>
      <c r="U264" s="9">
        <v>0</v>
      </c>
      <c r="V264" s="9">
        <v>0</v>
      </c>
      <c r="W264" s="9">
        <v>1</v>
      </c>
      <c r="X264" s="9">
        <v>0</v>
      </c>
      <c r="Y264" s="9">
        <v>0</v>
      </c>
      <c r="Z264" s="9">
        <v>0</v>
      </c>
      <c r="AA264" s="9">
        <v>0</v>
      </c>
      <c r="AB264" s="10">
        <f t="shared" si="21"/>
        <v>2</v>
      </c>
      <c r="AC264" s="10">
        <f t="shared" si="22"/>
        <v>10</v>
      </c>
      <c r="AD264" s="9">
        <v>0</v>
      </c>
      <c r="AE264" s="9">
        <v>0</v>
      </c>
      <c r="AF264" s="9">
        <v>0</v>
      </c>
      <c r="AG264" s="9">
        <v>0</v>
      </c>
      <c r="AH264" s="9">
        <v>0</v>
      </c>
      <c r="AI264" s="9">
        <v>0</v>
      </c>
      <c r="AJ264" s="9">
        <v>0</v>
      </c>
      <c r="AK264" s="9">
        <v>0</v>
      </c>
      <c r="AL264" s="9">
        <v>0</v>
      </c>
      <c r="AM264" s="9">
        <v>0</v>
      </c>
      <c r="AN264" s="9">
        <v>0</v>
      </c>
      <c r="AO264" s="9">
        <v>0</v>
      </c>
      <c r="AP264" s="9">
        <v>0</v>
      </c>
      <c r="AQ264" s="9">
        <v>0</v>
      </c>
      <c r="AR264" s="9">
        <v>0</v>
      </c>
      <c r="AS264" s="10">
        <f t="shared" si="23"/>
        <v>0</v>
      </c>
      <c r="AT264" s="10">
        <f t="shared" si="24"/>
        <v>0</v>
      </c>
      <c r="AU264" s="5" t="s">
        <v>399</v>
      </c>
    </row>
    <row r="265" spans="1:47" ht="15" customHeight="1" x14ac:dyDescent="0.3">
      <c r="A265" s="7" t="str">
        <f t="shared" si="20"/>
        <v>53_2024</v>
      </c>
      <c r="B265" s="7">
        <v>264</v>
      </c>
      <c r="C265" s="7">
        <f>'Panel Data (Long Format)'!B265</f>
        <v>53</v>
      </c>
      <c r="D265" s="7" t="str">
        <f>'Panel Data (Long Format)'!C265</f>
        <v>GUINEAINS</v>
      </c>
      <c r="E265" s="8" t="str">
        <f>'Panel Data (Long Format)'!D265</f>
        <v>Guinea Insurance Plc</v>
      </c>
      <c r="F265" s="7" t="str">
        <f>'Panel Data (Long Format)'!E265</f>
        <v>FINANCIAL SERVICES</v>
      </c>
      <c r="G265" s="7">
        <f>'Panel Data (Long Format)'!F265</f>
        <v>2024</v>
      </c>
      <c r="H265" s="9">
        <v>1</v>
      </c>
      <c r="I265" s="9">
        <v>0</v>
      </c>
      <c r="J265" s="9">
        <v>0</v>
      </c>
      <c r="K265" s="9">
        <v>1</v>
      </c>
      <c r="L265" s="9">
        <v>0</v>
      </c>
      <c r="M265" s="9">
        <v>1</v>
      </c>
      <c r="N265" s="9">
        <v>1</v>
      </c>
      <c r="O265" s="9">
        <v>1</v>
      </c>
      <c r="P265" s="9">
        <v>0</v>
      </c>
      <c r="Q265" s="9">
        <v>0</v>
      </c>
      <c r="R265" s="9">
        <v>1</v>
      </c>
      <c r="S265" s="9">
        <v>0</v>
      </c>
      <c r="T265" s="9">
        <v>1</v>
      </c>
      <c r="U265" s="9">
        <v>0</v>
      </c>
      <c r="V265" s="9">
        <v>1</v>
      </c>
      <c r="W265" s="9">
        <v>1</v>
      </c>
      <c r="X265" s="9">
        <v>1</v>
      </c>
      <c r="Y265" s="9">
        <v>1</v>
      </c>
      <c r="Z265" s="9">
        <v>0</v>
      </c>
      <c r="AA265" s="9">
        <v>0</v>
      </c>
      <c r="AB265" s="10">
        <f t="shared" si="21"/>
        <v>11</v>
      </c>
      <c r="AC265" s="10">
        <f t="shared" si="22"/>
        <v>55.000000000000007</v>
      </c>
      <c r="AD265" s="9">
        <v>0</v>
      </c>
      <c r="AE265" s="9">
        <v>0</v>
      </c>
      <c r="AF265" s="9">
        <v>0</v>
      </c>
      <c r="AG265" s="9">
        <v>0</v>
      </c>
      <c r="AH265" s="9">
        <v>1</v>
      </c>
      <c r="AI265" s="9">
        <v>0</v>
      </c>
      <c r="AJ265" s="9">
        <v>1</v>
      </c>
      <c r="AK265" s="9">
        <v>1</v>
      </c>
      <c r="AL265" s="9">
        <v>0</v>
      </c>
      <c r="AM265" s="9">
        <v>0</v>
      </c>
      <c r="AN265" s="9">
        <v>0</v>
      </c>
      <c r="AO265" s="9">
        <v>0</v>
      </c>
      <c r="AP265" s="9">
        <v>1</v>
      </c>
      <c r="AQ265" s="9">
        <v>1</v>
      </c>
      <c r="AR265" s="9">
        <v>1</v>
      </c>
      <c r="AS265" s="10">
        <f t="shared" si="23"/>
        <v>6</v>
      </c>
      <c r="AT265" s="10">
        <f t="shared" si="24"/>
        <v>40</v>
      </c>
      <c r="AU265" s="5" t="s">
        <v>400</v>
      </c>
    </row>
    <row r="266" spans="1:47" ht="15" customHeight="1" x14ac:dyDescent="0.3">
      <c r="A266" s="7" t="str">
        <f t="shared" si="20"/>
        <v>53_2025</v>
      </c>
      <c r="B266" s="7">
        <v>265</v>
      </c>
      <c r="C266" s="7">
        <f>'Panel Data (Long Format)'!B266</f>
        <v>53</v>
      </c>
      <c r="D266" s="7" t="str">
        <f>'Panel Data (Long Format)'!C266</f>
        <v>GUINEAINS</v>
      </c>
      <c r="E266" s="8" t="str">
        <f>'Panel Data (Long Format)'!D266</f>
        <v>Guinea Insurance Plc</v>
      </c>
      <c r="F266" s="7" t="str">
        <f>'Panel Data (Long Format)'!E266</f>
        <v>FINANCIAL SERVICES</v>
      </c>
      <c r="G266" s="7">
        <f>'Panel Data (Long Format)'!F266</f>
        <v>2025</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10">
        <f t="shared" si="21"/>
        <v>0</v>
      </c>
      <c r="AC266" s="10">
        <f t="shared" si="22"/>
        <v>0</v>
      </c>
      <c r="AD266" s="9">
        <v>0</v>
      </c>
      <c r="AE266" s="9">
        <v>0</v>
      </c>
      <c r="AF266" s="9">
        <v>0</v>
      </c>
      <c r="AG266" s="9">
        <v>0</v>
      </c>
      <c r="AH266" s="9">
        <v>0</v>
      </c>
      <c r="AI266" s="9">
        <v>0</v>
      </c>
      <c r="AJ266" s="9">
        <v>0</v>
      </c>
      <c r="AK266" s="9">
        <v>0</v>
      </c>
      <c r="AL266" s="9">
        <v>0</v>
      </c>
      <c r="AM266" s="9">
        <v>0</v>
      </c>
      <c r="AN266" s="9">
        <v>0</v>
      </c>
      <c r="AO266" s="9">
        <v>0</v>
      </c>
      <c r="AP266" s="9">
        <v>0</v>
      </c>
      <c r="AQ266" s="9">
        <v>0</v>
      </c>
      <c r="AR266" s="9">
        <v>0</v>
      </c>
      <c r="AS266" s="10">
        <f t="shared" si="23"/>
        <v>0</v>
      </c>
      <c r="AT266" s="10">
        <f t="shared" si="24"/>
        <v>0</v>
      </c>
      <c r="AU266" s="5" t="s">
        <v>401</v>
      </c>
    </row>
    <row r="267" spans="1:47" ht="15" customHeight="1" x14ac:dyDescent="0.3">
      <c r="A267" s="7" t="str">
        <f t="shared" si="20"/>
        <v>54_2021</v>
      </c>
      <c r="B267" s="7">
        <v>266</v>
      </c>
      <c r="C267" s="7">
        <f>'Panel Data (Long Format)'!B267</f>
        <v>54</v>
      </c>
      <c r="D267" s="7" t="str">
        <f>'Panel Data (Long Format)'!C267</f>
        <v>GUINNESS</v>
      </c>
      <c r="E267" s="8" t="str">
        <f>'Panel Data (Long Format)'!D267</f>
        <v>Guinness Nigeria Plc</v>
      </c>
      <c r="F267" s="7" t="str">
        <f>'Panel Data (Long Format)'!E267</f>
        <v>CONSUMER GOODS</v>
      </c>
      <c r="G267" s="7">
        <f>'Panel Data (Long Format)'!F267</f>
        <v>2021</v>
      </c>
      <c r="H267" s="9">
        <v>0</v>
      </c>
      <c r="I267" s="9">
        <v>0</v>
      </c>
      <c r="J267" s="9">
        <v>0</v>
      </c>
      <c r="K267" s="9">
        <v>0</v>
      </c>
      <c r="L267" s="9">
        <v>0</v>
      </c>
      <c r="M267" s="9">
        <v>0</v>
      </c>
      <c r="N267" s="9">
        <v>1</v>
      </c>
      <c r="O267" s="9">
        <v>1</v>
      </c>
      <c r="P267" s="9">
        <v>0</v>
      </c>
      <c r="Q267" s="9">
        <v>0</v>
      </c>
      <c r="R267" s="9">
        <v>1</v>
      </c>
      <c r="S267" s="9">
        <v>1</v>
      </c>
      <c r="T267" s="9">
        <v>1</v>
      </c>
      <c r="U267" s="9">
        <v>1</v>
      </c>
      <c r="V267" s="9">
        <v>1</v>
      </c>
      <c r="W267" s="9">
        <v>1</v>
      </c>
      <c r="X267" s="9">
        <v>1</v>
      </c>
      <c r="Y267" s="9">
        <v>1</v>
      </c>
      <c r="Z267" s="9">
        <v>0</v>
      </c>
      <c r="AA267" s="9">
        <v>0</v>
      </c>
      <c r="AB267" s="10">
        <f t="shared" si="21"/>
        <v>10</v>
      </c>
      <c r="AC267" s="10">
        <f t="shared" si="22"/>
        <v>50</v>
      </c>
      <c r="AD267" s="9">
        <v>0</v>
      </c>
      <c r="AE267" s="9">
        <v>0</v>
      </c>
      <c r="AF267" s="9">
        <v>0</v>
      </c>
      <c r="AG267" s="9">
        <v>0</v>
      </c>
      <c r="AH267" s="9">
        <v>0</v>
      </c>
      <c r="AI267" s="9">
        <v>0</v>
      </c>
      <c r="AJ267" s="9">
        <v>0</v>
      </c>
      <c r="AK267" s="9">
        <v>0</v>
      </c>
      <c r="AL267" s="9">
        <v>0</v>
      </c>
      <c r="AM267" s="9">
        <v>0</v>
      </c>
      <c r="AN267" s="9">
        <v>0</v>
      </c>
      <c r="AO267" s="9">
        <v>0</v>
      </c>
      <c r="AP267" s="9">
        <v>0</v>
      </c>
      <c r="AQ267" s="9">
        <v>0</v>
      </c>
      <c r="AR267" s="9">
        <v>0</v>
      </c>
      <c r="AS267" s="10">
        <f t="shared" si="23"/>
        <v>0</v>
      </c>
      <c r="AT267" s="10">
        <f t="shared" si="24"/>
        <v>0</v>
      </c>
      <c r="AU267" s="5" t="s">
        <v>402</v>
      </c>
    </row>
    <row r="268" spans="1:47" ht="15" customHeight="1" x14ac:dyDescent="0.3">
      <c r="A268" s="7" t="str">
        <f t="shared" si="20"/>
        <v>54_2022</v>
      </c>
      <c r="B268" s="7">
        <v>267</v>
      </c>
      <c r="C268" s="7">
        <f>'Panel Data (Long Format)'!B268</f>
        <v>54</v>
      </c>
      <c r="D268" s="7" t="str">
        <f>'Panel Data (Long Format)'!C268</f>
        <v>GUINNESS</v>
      </c>
      <c r="E268" s="8" t="str">
        <f>'Panel Data (Long Format)'!D268</f>
        <v>Guinness Nigeria Plc</v>
      </c>
      <c r="F268" s="7" t="str">
        <f>'Panel Data (Long Format)'!E268</f>
        <v>CONSUMER GOODS</v>
      </c>
      <c r="G268" s="7">
        <f>'Panel Data (Long Format)'!F268</f>
        <v>2022</v>
      </c>
      <c r="H268" s="9">
        <v>1</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9">
        <v>0</v>
      </c>
      <c r="AB268" s="10">
        <f t="shared" si="21"/>
        <v>1</v>
      </c>
      <c r="AC268" s="10">
        <f t="shared" si="22"/>
        <v>5</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10">
        <f t="shared" si="23"/>
        <v>0</v>
      </c>
      <c r="AT268" s="10">
        <f t="shared" si="24"/>
        <v>0</v>
      </c>
      <c r="AU268" s="5" t="s">
        <v>403</v>
      </c>
    </row>
    <row r="269" spans="1:47" ht="15" customHeight="1" x14ac:dyDescent="0.3">
      <c r="A269" s="7" t="str">
        <f t="shared" si="20"/>
        <v>54_2023</v>
      </c>
      <c r="B269" s="7">
        <v>268</v>
      </c>
      <c r="C269" s="7">
        <f>'Panel Data (Long Format)'!B269</f>
        <v>54</v>
      </c>
      <c r="D269" s="7" t="str">
        <f>'Panel Data (Long Format)'!C269</f>
        <v>GUINNESS</v>
      </c>
      <c r="E269" s="8" t="str">
        <f>'Panel Data (Long Format)'!D269</f>
        <v>Guinness Nigeria Plc</v>
      </c>
      <c r="F269" s="7" t="str">
        <f>'Panel Data (Long Format)'!E269</f>
        <v>CONSUMER GOODS</v>
      </c>
      <c r="G269" s="7">
        <f>'Panel Data (Long Format)'!F269</f>
        <v>2023</v>
      </c>
      <c r="H269" s="9">
        <v>1</v>
      </c>
      <c r="I269" s="9">
        <v>0</v>
      </c>
      <c r="J269" s="9">
        <v>0</v>
      </c>
      <c r="K269" s="9">
        <v>0</v>
      </c>
      <c r="L269" s="9">
        <v>1</v>
      </c>
      <c r="M269" s="9">
        <v>0</v>
      </c>
      <c r="N269" s="9">
        <v>0</v>
      </c>
      <c r="O269" s="9">
        <v>0</v>
      </c>
      <c r="P269" s="9">
        <v>0</v>
      </c>
      <c r="Q269" s="9">
        <v>0</v>
      </c>
      <c r="R269" s="9">
        <v>0</v>
      </c>
      <c r="S269" s="9">
        <v>0</v>
      </c>
      <c r="T269" s="9">
        <v>0</v>
      </c>
      <c r="U269" s="9">
        <v>0</v>
      </c>
      <c r="V269" s="9">
        <v>0</v>
      </c>
      <c r="W269" s="9">
        <v>0</v>
      </c>
      <c r="X269" s="9">
        <v>0</v>
      </c>
      <c r="Y269" s="9">
        <v>0</v>
      </c>
      <c r="Z269" s="9">
        <v>0</v>
      </c>
      <c r="AA269" s="9">
        <v>0</v>
      </c>
      <c r="AB269" s="10">
        <f t="shared" si="21"/>
        <v>2</v>
      </c>
      <c r="AC269" s="10">
        <f t="shared" si="22"/>
        <v>10</v>
      </c>
      <c r="AD269" s="9">
        <v>0</v>
      </c>
      <c r="AE269" s="9">
        <v>0</v>
      </c>
      <c r="AF269" s="9">
        <v>1</v>
      </c>
      <c r="AG269" s="9">
        <v>0</v>
      </c>
      <c r="AH269" s="9">
        <v>0</v>
      </c>
      <c r="AI269" s="9">
        <v>0</v>
      </c>
      <c r="AJ269" s="9">
        <v>0</v>
      </c>
      <c r="AK269" s="9">
        <v>0</v>
      </c>
      <c r="AL269" s="9">
        <v>0</v>
      </c>
      <c r="AM269" s="9">
        <v>0</v>
      </c>
      <c r="AN269" s="9">
        <v>0</v>
      </c>
      <c r="AO269" s="9">
        <v>0</v>
      </c>
      <c r="AP269" s="9">
        <v>0</v>
      </c>
      <c r="AQ269" s="9">
        <v>0</v>
      </c>
      <c r="AR269" s="9">
        <v>0</v>
      </c>
      <c r="AS269" s="10">
        <f t="shared" si="23"/>
        <v>1</v>
      </c>
      <c r="AT269" s="10">
        <f t="shared" si="24"/>
        <v>6.666666666666667</v>
      </c>
      <c r="AU269" s="5" t="s">
        <v>404</v>
      </c>
    </row>
    <row r="270" spans="1:47" ht="15" customHeight="1" x14ac:dyDescent="0.3">
      <c r="A270" s="7" t="str">
        <f t="shared" si="20"/>
        <v>54_2024</v>
      </c>
      <c r="B270" s="7">
        <v>269</v>
      </c>
      <c r="C270" s="7">
        <f>'Panel Data (Long Format)'!B270</f>
        <v>54</v>
      </c>
      <c r="D270" s="7" t="str">
        <f>'Panel Data (Long Format)'!C270</f>
        <v>GUINNESS</v>
      </c>
      <c r="E270" s="8" t="str">
        <f>'Panel Data (Long Format)'!D270</f>
        <v>Guinness Nigeria Plc</v>
      </c>
      <c r="F270" s="7" t="str">
        <f>'Panel Data (Long Format)'!E270</f>
        <v>CONSUMER GOODS</v>
      </c>
      <c r="G270" s="7">
        <f>'Panel Data (Long Format)'!F270</f>
        <v>2024</v>
      </c>
      <c r="H270" s="9">
        <v>1</v>
      </c>
      <c r="I270" s="9">
        <v>0</v>
      </c>
      <c r="J270" s="9">
        <v>0</v>
      </c>
      <c r="K270" s="9">
        <v>0</v>
      </c>
      <c r="L270" s="9">
        <v>0</v>
      </c>
      <c r="M270" s="9">
        <v>0</v>
      </c>
      <c r="N270" s="9">
        <v>0</v>
      </c>
      <c r="O270" s="9">
        <v>0</v>
      </c>
      <c r="P270" s="9">
        <v>0</v>
      </c>
      <c r="Q270" s="9">
        <v>0</v>
      </c>
      <c r="R270" s="9">
        <v>0</v>
      </c>
      <c r="S270" s="9">
        <v>0</v>
      </c>
      <c r="T270" s="9">
        <v>0</v>
      </c>
      <c r="U270" s="9">
        <v>0</v>
      </c>
      <c r="V270" s="9">
        <v>0</v>
      </c>
      <c r="W270" s="9">
        <v>0</v>
      </c>
      <c r="X270" s="9">
        <v>0</v>
      </c>
      <c r="Y270" s="9">
        <v>0</v>
      </c>
      <c r="Z270" s="9">
        <v>0</v>
      </c>
      <c r="AA270" s="9">
        <v>0</v>
      </c>
      <c r="AB270" s="10">
        <f t="shared" si="21"/>
        <v>1</v>
      </c>
      <c r="AC270" s="10">
        <f t="shared" si="22"/>
        <v>5</v>
      </c>
      <c r="AD270" s="9">
        <v>0</v>
      </c>
      <c r="AE270" s="9">
        <v>0</v>
      </c>
      <c r="AF270" s="9">
        <v>0</v>
      </c>
      <c r="AG270" s="9">
        <v>0</v>
      </c>
      <c r="AH270" s="9">
        <v>0</v>
      </c>
      <c r="AI270" s="9">
        <v>0</v>
      </c>
      <c r="AJ270" s="9">
        <v>0</v>
      </c>
      <c r="AK270" s="9">
        <v>0</v>
      </c>
      <c r="AL270" s="9">
        <v>0</v>
      </c>
      <c r="AM270" s="9">
        <v>0</v>
      </c>
      <c r="AN270" s="9">
        <v>0</v>
      </c>
      <c r="AO270" s="9">
        <v>0</v>
      </c>
      <c r="AP270" s="9">
        <v>0</v>
      </c>
      <c r="AQ270" s="9">
        <v>0</v>
      </c>
      <c r="AR270" s="9">
        <v>0</v>
      </c>
      <c r="AS270" s="10">
        <f t="shared" si="23"/>
        <v>0</v>
      </c>
      <c r="AT270" s="10">
        <f t="shared" si="24"/>
        <v>0</v>
      </c>
      <c r="AU270" s="5" t="s">
        <v>405</v>
      </c>
    </row>
    <row r="271" spans="1:47" ht="15" customHeight="1" x14ac:dyDescent="0.3">
      <c r="A271" s="7" t="str">
        <f t="shared" si="20"/>
        <v>54_2025</v>
      </c>
      <c r="B271" s="7">
        <v>270</v>
      </c>
      <c r="C271" s="7">
        <f>'Panel Data (Long Format)'!B271</f>
        <v>54</v>
      </c>
      <c r="D271" s="7" t="str">
        <f>'Panel Data (Long Format)'!C271</f>
        <v>GUINNESS</v>
      </c>
      <c r="E271" s="8" t="str">
        <f>'Panel Data (Long Format)'!D271</f>
        <v>Guinness Nigeria Plc</v>
      </c>
      <c r="F271" s="7" t="str">
        <f>'Panel Data (Long Format)'!E271</f>
        <v>CONSUMER GOODS</v>
      </c>
      <c r="G271" s="7">
        <f>'Panel Data (Long Format)'!F271</f>
        <v>2025</v>
      </c>
      <c r="H271" s="9">
        <v>1</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10">
        <f t="shared" si="21"/>
        <v>1</v>
      </c>
      <c r="AC271" s="10">
        <f t="shared" si="22"/>
        <v>5</v>
      </c>
      <c r="AD271" s="9">
        <v>0</v>
      </c>
      <c r="AE271" s="9">
        <v>0</v>
      </c>
      <c r="AF271" s="9">
        <v>0</v>
      </c>
      <c r="AG271" s="9">
        <v>0</v>
      </c>
      <c r="AH271" s="9">
        <v>0</v>
      </c>
      <c r="AI271" s="9">
        <v>0</v>
      </c>
      <c r="AJ271" s="9">
        <v>0</v>
      </c>
      <c r="AK271" s="9">
        <v>0</v>
      </c>
      <c r="AL271" s="9">
        <v>0</v>
      </c>
      <c r="AM271" s="9">
        <v>0</v>
      </c>
      <c r="AN271" s="9">
        <v>0</v>
      </c>
      <c r="AO271" s="9">
        <v>1</v>
      </c>
      <c r="AP271" s="9">
        <v>0</v>
      </c>
      <c r="AQ271" s="9">
        <v>0</v>
      </c>
      <c r="AR271" s="9">
        <v>0</v>
      </c>
      <c r="AS271" s="10">
        <f t="shared" si="23"/>
        <v>1</v>
      </c>
      <c r="AT271" s="10">
        <f t="shared" si="24"/>
        <v>6.666666666666667</v>
      </c>
      <c r="AU271" s="5" t="s">
        <v>406</v>
      </c>
    </row>
    <row r="272" spans="1:47" ht="15" customHeight="1" x14ac:dyDescent="0.3">
      <c r="A272" s="7" t="str">
        <f t="shared" si="20"/>
        <v>55_2021</v>
      </c>
      <c r="B272" s="7">
        <v>271</v>
      </c>
      <c r="C272" s="7">
        <f>'Panel Data (Long Format)'!B272</f>
        <v>55</v>
      </c>
      <c r="D272" s="7" t="str">
        <f>'Panel Data (Long Format)'!C272</f>
        <v>HBMNG</v>
      </c>
      <c r="E272" s="8" t="str">
        <f>'Panel Data (Long Format)'!D272</f>
        <v>HBM Nigeria Plc (formerly Lafarge Africa)</v>
      </c>
      <c r="F272" s="7" t="str">
        <f>'Panel Data (Long Format)'!E272</f>
        <v>INDUSTRIAL GOODS</v>
      </c>
      <c r="G272" s="7">
        <f>'Panel Data (Long Format)'!F272</f>
        <v>2021</v>
      </c>
      <c r="H272" s="9">
        <v>0</v>
      </c>
      <c r="I272" s="9">
        <v>0</v>
      </c>
      <c r="J272" s="9">
        <v>0</v>
      </c>
      <c r="K272" s="9">
        <v>0</v>
      </c>
      <c r="L272" s="9">
        <v>0</v>
      </c>
      <c r="M272" s="9">
        <v>1</v>
      </c>
      <c r="N272" s="9">
        <v>0</v>
      </c>
      <c r="O272" s="9">
        <v>0</v>
      </c>
      <c r="P272" s="9">
        <v>0</v>
      </c>
      <c r="Q272" s="9">
        <v>0</v>
      </c>
      <c r="R272" s="9">
        <v>0</v>
      </c>
      <c r="S272" s="9">
        <v>0</v>
      </c>
      <c r="T272" s="9">
        <v>0</v>
      </c>
      <c r="U272" s="9">
        <v>0</v>
      </c>
      <c r="V272" s="9">
        <v>0</v>
      </c>
      <c r="W272" s="9">
        <v>1</v>
      </c>
      <c r="X272" s="9">
        <v>1</v>
      </c>
      <c r="Y272" s="9">
        <v>1</v>
      </c>
      <c r="Z272" s="9">
        <v>0</v>
      </c>
      <c r="AA272" s="9">
        <v>0</v>
      </c>
      <c r="AB272" s="10">
        <f t="shared" si="21"/>
        <v>4</v>
      </c>
      <c r="AC272" s="10">
        <f t="shared" si="22"/>
        <v>20</v>
      </c>
      <c r="AD272" s="9">
        <v>0</v>
      </c>
      <c r="AE272" s="9">
        <v>0</v>
      </c>
      <c r="AF272" s="9">
        <v>0</v>
      </c>
      <c r="AG272" s="9">
        <v>0</v>
      </c>
      <c r="AH272" s="9">
        <v>0</v>
      </c>
      <c r="AI272" s="9">
        <v>0</v>
      </c>
      <c r="AJ272" s="9">
        <v>1</v>
      </c>
      <c r="AK272" s="9">
        <v>0</v>
      </c>
      <c r="AL272" s="9">
        <v>0</v>
      </c>
      <c r="AM272" s="9">
        <v>1</v>
      </c>
      <c r="AN272" s="9">
        <v>0</v>
      </c>
      <c r="AO272" s="9">
        <v>0</v>
      </c>
      <c r="AP272" s="9">
        <v>1</v>
      </c>
      <c r="AQ272" s="9">
        <v>1</v>
      </c>
      <c r="AR272" s="9">
        <v>0</v>
      </c>
      <c r="AS272" s="10">
        <f t="shared" si="23"/>
        <v>4</v>
      </c>
      <c r="AT272" s="10">
        <f t="shared" si="24"/>
        <v>26.666666666666668</v>
      </c>
      <c r="AU272" s="5" t="s">
        <v>407</v>
      </c>
    </row>
    <row r="273" spans="1:47" ht="15" customHeight="1" x14ac:dyDescent="0.3">
      <c r="A273" s="7" t="str">
        <f t="shared" si="20"/>
        <v>55_2022</v>
      </c>
      <c r="B273" s="7">
        <v>272</v>
      </c>
      <c r="C273" s="7">
        <f>'Panel Data (Long Format)'!B273</f>
        <v>55</v>
      </c>
      <c r="D273" s="7" t="str">
        <f>'Panel Data (Long Format)'!C273</f>
        <v>HBMNG</v>
      </c>
      <c r="E273" s="8" t="str">
        <f>'Panel Data (Long Format)'!D273</f>
        <v>HBM Nigeria Plc (formerly Lafarge Africa)</v>
      </c>
      <c r="F273" s="7" t="str">
        <f>'Panel Data (Long Format)'!E273</f>
        <v>INDUSTRIAL GOODS</v>
      </c>
      <c r="G273" s="7">
        <f>'Panel Data (Long Format)'!F273</f>
        <v>2022</v>
      </c>
      <c r="H273" s="9">
        <v>1</v>
      </c>
      <c r="I273" s="9">
        <v>0</v>
      </c>
      <c r="J273" s="9">
        <v>1</v>
      </c>
      <c r="K273" s="9">
        <v>1</v>
      </c>
      <c r="L273" s="9">
        <v>0</v>
      </c>
      <c r="M273" s="9">
        <v>1</v>
      </c>
      <c r="N273" s="9">
        <v>0</v>
      </c>
      <c r="O273" s="9">
        <v>1</v>
      </c>
      <c r="P273" s="9">
        <v>0</v>
      </c>
      <c r="Q273" s="9">
        <v>0</v>
      </c>
      <c r="R273" s="9">
        <v>1</v>
      </c>
      <c r="S273" s="9">
        <v>0</v>
      </c>
      <c r="T273" s="9">
        <v>1</v>
      </c>
      <c r="U273" s="9">
        <v>1</v>
      </c>
      <c r="V273" s="9">
        <v>0</v>
      </c>
      <c r="W273" s="9">
        <v>1</v>
      </c>
      <c r="X273" s="9">
        <v>1</v>
      </c>
      <c r="Y273" s="9">
        <v>1</v>
      </c>
      <c r="Z273" s="9">
        <v>0</v>
      </c>
      <c r="AA273" s="9">
        <v>0</v>
      </c>
      <c r="AB273" s="10">
        <f t="shared" si="21"/>
        <v>11</v>
      </c>
      <c r="AC273" s="10">
        <f t="shared" si="22"/>
        <v>55.000000000000007</v>
      </c>
      <c r="AD273" s="9">
        <v>0</v>
      </c>
      <c r="AE273" s="9">
        <v>0</v>
      </c>
      <c r="AF273" s="9">
        <v>0</v>
      </c>
      <c r="AG273" s="9">
        <v>0</v>
      </c>
      <c r="AH273" s="9">
        <v>0</v>
      </c>
      <c r="AI273" s="9">
        <v>0</v>
      </c>
      <c r="AJ273" s="9">
        <v>1</v>
      </c>
      <c r="AK273" s="9">
        <v>0</v>
      </c>
      <c r="AL273" s="9">
        <v>0</v>
      </c>
      <c r="AM273" s="9">
        <v>1</v>
      </c>
      <c r="AN273" s="9">
        <v>0</v>
      </c>
      <c r="AO273" s="9">
        <v>0</v>
      </c>
      <c r="AP273" s="9">
        <v>1</v>
      </c>
      <c r="AQ273" s="9">
        <v>1</v>
      </c>
      <c r="AR273" s="9">
        <v>0</v>
      </c>
      <c r="AS273" s="10">
        <f t="shared" si="23"/>
        <v>4</v>
      </c>
      <c r="AT273" s="10">
        <f t="shared" si="24"/>
        <v>26.666666666666668</v>
      </c>
      <c r="AU273" s="5" t="s">
        <v>408</v>
      </c>
    </row>
    <row r="274" spans="1:47" ht="15" customHeight="1" x14ac:dyDescent="0.3">
      <c r="A274" s="7" t="str">
        <f t="shared" si="20"/>
        <v>55_2023</v>
      </c>
      <c r="B274" s="7">
        <v>273</v>
      </c>
      <c r="C274" s="7">
        <f>'Panel Data (Long Format)'!B274</f>
        <v>55</v>
      </c>
      <c r="D274" s="7" t="str">
        <f>'Panel Data (Long Format)'!C274</f>
        <v>HBMNG</v>
      </c>
      <c r="E274" s="8" t="str">
        <f>'Panel Data (Long Format)'!D274</f>
        <v>HBM Nigeria Plc (formerly Lafarge Africa)</v>
      </c>
      <c r="F274" s="7" t="str">
        <f>'Panel Data (Long Format)'!E274</f>
        <v>INDUSTRIAL GOODS</v>
      </c>
      <c r="G274" s="7">
        <f>'Panel Data (Long Format)'!F274</f>
        <v>2023</v>
      </c>
      <c r="H274" s="9">
        <v>1</v>
      </c>
      <c r="I274" s="9">
        <v>0</v>
      </c>
      <c r="J274" s="9">
        <v>1</v>
      </c>
      <c r="K274" s="9">
        <v>1</v>
      </c>
      <c r="L274" s="9">
        <v>0</v>
      </c>
      <c r="M274" s="9">
        <v>1</v>
      </c>
      <c r="N274" s="9">
        <v>1</v>
      </c>
      <c r="O274" s="9">
        <v>1</v>
      </c>
      <c r="P274" s="9">
        <v>0</v>
      </c>
      <c r="Q274" s="9">
        <v>0</v>
      </c>
      <c r="R274" s="9">
        <v>1</v>
      </c>
      <c r="S274" s="9">
        <v>1</v>
      </c>
      <c r="T274" s="9">
        <v>1</v>
      </c>
      <c r="U274" s="9">
        <v>1</v>
      </c>
      <c r="V274" s="9">
        <v>0</v>
      </c>
      <c r="W274" s="9">
        <v>1</v>
      </c>
      <c r="X274" s="9">
        <v>1</v>
      </c>
      <c r="Y274" s="9">
        <v>1</v>
      </c>
      <c r="Z274" s="9">
        <v>0</v>
      </c>
      <c r="AA274" s="9">
        <v>0</v>
      </c>
      <c r="AB274" s="10">
        <f t="shared" si="21"/>
        <v>13</v>
      </c>
      <c r="AC274" s="10">
        <f t="shared" si="22"/>
        <v>65</v>
      </c>
      <c r="AD274" s="9">
        <v>0</v>
      </c>
      <c r="AE274" s="9">
        <v>0</v>
      </c>
      <c r="AF274" s="9">
        <v>0</v>
      </c>
      <c r="AG274" s="9">
        <v>0</v>
      </c>
      <c r="AH274" s="9">
        <v>1</v>
      </c>
      <c r="AI274" s="9">
        <v>0</v>
      </c>
      <c r="AJ274" s="9">
        <v>1</v>
      </c>
      <c r="AK274" s="9">
        <v>1</v>
      </c>
      <c r="AL274" s="9">
        <v>1</v>
      </c>
      <c r="AM274" s="9">
        <v>1</v>
      </c>
      <c r="AN274" s="9">
        <v>1</v>
      </c>
      <c r="AO274" s="9">
        <v>0</v>
      </c>
      <c r="AP274" s="9">
        <v>1</v>
      </c>
      <c r="AQ274" s="9">
        <v>1</v>
      </c>
      <c r="AR274" s="9">
        <v>0</v>
      </c>
      <c r="AS274" s="10">
        <f t="shared" si="23"/>
        <v>8</v>
      </c>
      <c r="AT274" s="10">
        <f t="shared" si="24"/>
        <v>53.333333333333336</v>
      </c>
      <c r="AU274" s="5" t="s">
        <v>409</v>
      </c>
    </row>
    <row r="275" spans="1:47" ht="15" customHeight="1" x14ac:dyDescent="0.3">
      <c r="A275" s="7" t="str">
        <f t="shared" si="20"/>
        <v>55_2024</v>
      </c>
      <c r="B275" s="7">
        <v>274</v>
      </c>
      <c r="C275" s="7">
        <f>'Panel Data (Long Format)'!B275</f>
        <v>55</v>
      </c>
      <c r="D275" s="7" t="str">
        <f>'Panel Data (Long Format)'!C275</f>
        <v>HBMNG</v>
      </c>
      <c r="E275" s="8" t="str">
        <f>'Panel Data (Long Format)'!D275</f>
        <v>HBM Nigeria Plc (formerly Lafarge Africa)</v>
      </c>
      <c r="F275" s="7" t="str">
        <f>'Panel Data (Long Format)'!E275</f>
        <v>INDUSTRIAL GOODS</v>
      </c>
      <c r="G275" s="7">
        <f>'Panel Data (Long Format)'!F275</f>
        <v>2024</v>
      </c>
      <c r="H275" s="9">
        <v>0</v>
      </c>
      <c r="I275" s="9">
        <v>0</v>
      </c>
      <c r="J275" s="9">
        <v>0</v>
      </c>
      <c r="K275" s="9">
        <v>0</v>
      </c>
      <c r="L275" s="9">
        <v>0</v>
      </c>
      <c r="M275" s="9">
        <v>0</v>
      </c>
      <c r="N275" s="9">
        <v>0</v>
      </c>
      <c r="O275" s="9">
        <v>0</v>
      </c>
      <c r="P275" s="9">
        <v>0</v>
      </c>
      <c r="Q275" s="9">
        <v>0</v>
      </c>
      <c r="R275" s="9">
        <v>0</v>
      </c>
      <c r="S275" s="9">
        <v>0</v>
      </c>
      <c r="T275" s="9">
        <v>0</v>
      </c>
      <c r="U275" s="9">
        <v>0</v>
      </c>
      <c r="V275" s="9">
        <v>0</v>
      </c>
      <c r="W275" s="9">
        <v>0</v>
      </c>
      <c r="X275" s="9">
        <v>0</v>
      </c>
      <c r="Y275" s="9">
        <v>0</v>
      </c>
      <c r="Z275" s="9">
        <v>0</v>
      </c>
      <c r="AA275" s="9">
        <v>0</v>
      </c>
      <c r="AB275" s="10">
        <f t="shared" si="21"/>
        <v>0</v>
      </c>
      <c r="AC275" s="10">
        <f t="shared" si="22"/>
        <v>0</v>
      </c>
      <c r="AD275" s="9">
        <v>0</v>
      </c>
      <c r="AE275" s="9">
        <v>0</v>
      </c>
      <c r="AF275" s="9">
        <v>0</v>
      </c>
      <c r="AG275" s="9">
        <v>0</v>
      </c>
      <c r="AH275" s="9">
        <v>0</v>
      </c>
      <c r="AI275" s="9">
        <v>0</v>
      </c>
      <c r="AJ275" s="9">
        <v>0</v>
      </c>
      <c r="AK275" s="9">
        <v>0</v>
      </c>
      <c r="AL275" s="9">
        <v>0</v>
      </c>
      <c r="AM275" s="9">
        <v>0</v>
      </c>
      <c r="AN275" s="9">
        <v>0</v>
      </c>
      <c r="AO275" s="9">
        <v>0</v>
      </c>
      <c r="AP275" s="9">
        <v>0</v>
      </c>
      <c r="AQ275" s="9">
        <v>0</v>
      </c>
      <c r="AR275" s="9">
        <v>0</v>
      </c>
      <c r="AS275" s="10">
        <f t="shared" si="23"/>
        <v>0</v>
      </c>
      <c r="AT275" s="10">
        <f t="shared" si="24"/>
        <v>0</v>
      </c>
      <c r="AU275" s="5" t="s">
        <v>410</v>
      </c>
    </row>
    <row r="276" spans="1:47" ht="15" customHeight="1" x14ac:dyDescent="0.3">
      <c r="A276" s="7" t="str">
        <f t="shared" si="20"/>
        <v>55_2025</v>
      </c>
      <c r="B276" s="7">
        <v>275</v>
      </c>
      <c r="C276" s="7">
        <f>'Panel Data (Long Format)'!B276</f>
        <v>55</v>
      </c>
      <c r="D276" s="7" t="str">
        <f>'Panel Data (Long Format)'!C276</f>
        <v>HBMNG</v>
      </c>
      <c r="E276" s="8" t="str">
        <f>'Panel Data (Long Format)'!D276</f>
        <v>HBM Nigeria Plc (formerly Lafarge Africa)</v>
      </c>
      <c r="F276" s="7" t="str">
        <f>'Panel Data (Long Format)'!E276</f>
        <v>INDUSTRIAL GOODS</v>
      </c>
      <c r="G276" s="7">
        <f>'Panel Data (Long Format)'!F276</f>
        <v>2025</v>
      </c>
      <c r="H276" s="9">
        <v>0</v>
      </c>
      <c r="I276" s="9">
        <v>0</v>
      </c>
      <c r="J276" s="9">
        <v>0</v>
      </c>
      <c r="K276" s="9">
        <v>0</v>
      </c>
      <c r="L276" s="9">
        <v>0</v>
      </c>
      <c r="M276" s="9">
        <v>0</v>
      </c>
      <c r="N276" s="9">
        <v>0</v>
      </c>
      <c r="O276" s="9">
        <v>0</v>
      </c>
      <c r="P276" s="9">
        <v>0</v>
      </c>
      <c r="Q276" s="9">
        <v>0</v>
      </c>
      <c r="R276" s="9">
        <v>0</v>
      </c>
      <c r="S276" s="9">
        <v>0</v>
      </c>
      <c r="T276" s="9">
        <v>0</v>
      </c>
      <c r="U276" s="9">
        <v>0</v>
      </c>
      <c r="V276" s="9">
        <v>0</v>
      </c>
      <c r="W276" s="9">
        <v>0</v>
      </c>
      <c r="X276" s="9">
        <v>0</v>
      </c>
      <c r="Y276" s="9">
        <v>0</v>
      </c>
      <c r="Z276" s="9">
        <v>0</v>
      </c>
      <c r="AA276" s="9">
        <v>0</v>
      </c>
      <c r="AB276" s="10">
        <f t="shared" si="21"/>
        <v>0</v>
      </c>
      <c r="AC276" s="10">
        <f t="shared" si="22"/>
        <v>0</v>
      </c>
      <c r="AD276" s="9">
        <v>0</v>
      </c>
      <c r="AE276" s="9">
        <v>0</v>
      </c>
      <c r="AF276" s="9">
        <v>0</v>
      </c>
      <c r="AG276" s="9">
        <v>0</v>
      </c>
      <c r="AH276" s="9">
        <v>0</v>
      </c>
      <c r="AI276" s="9">
        <v>0</v>
      </c>
      <c r="AJ276" s="9">
        <v>0</v>
      </c>
      <c r="AK276" s="9">
        <v>0</v>
      </c>
      <c r="AL276" s="9">
        <v>0</v>
      </c>
      <c r="AM276" s="9">
        <v>0</v>
      </c>
      <c r="AN276" s="9">
        <v>0</v>
      </c>
      <c r="AO276" s="9">
        <v>0</v>
      </c>
      <c r="AP276" s="9">
        <v>0</v>
      </c>
      <c r="AQ276" s="9">
        <v>0</v>
      </c>
      <c r="AR276" s="9">
        <v>0</v>
      </c>
      <c r="AS276" s="10">
        <f t="shared" si="23"/>
        <v>0</v>
      </c>
      <c r="AT276" s="10">
        <f t="shared" si="24"/>
        <v>0</v>
      </c>
      <c r="AU276" s="5" t="s">
        <v>411</v>
      </c>
    </row>
    <row r="277" spans="1:47" ht="15" customHeight="1" x14ac:dyDescent="0.3">
      <c r="A277" s="7" t="str">
        <f t="shared" si="20"/>
        <v>56_2021</v>
      </c>
      <c r="B277" s="7">
        <v>276</v>
      </c>
      <c r="C277" s="7">
        <f>'Panel Data (Long Format)'!B277</f>
        <v>56</v>
      </c>
      <c r="D277" s="7" t="str">
        <f>'Panel Data (Long Format)'!C277</f>
        <v>HMCALL</v>
      </c>
      <c r="E277" s="8" t="str">
        <f>'Panel Data (Long Format)'!D277</f>
        <v>Haldane McCall Plc</v>
      </c>
      <c r="F277" s="7" t="str">
        <f>'Panel Data (Long Format)'!E277</f>
        <v>CONSTRUCTION/REAL ESTATE</v>
      </c>
      <c r="G277" s="7">
        <f>'Panel Data (Long Format)'!F277</f>
        <v>2021</v>
      </c>
      <c r="H277" s="9"/>
      <c r="I277" s="9"/>
      <c r="J277" s="9"/>
      <c r="K277" s="9"/>
      <c r="L277" s="9"/>
      <c r="M277" s="9"/>
      <c r="N277" s="9"/>
      <c r="O277" s="9"/>
      <c r="P277" s="9"/>
      <c r="Q277" s="9"/>
      <c r="R277" s="9"/>
      <c r="S277" s="9"/>
      <c r="T277" s="9"/>
      <c r="U277" s="9"/>
      <c r="V277" s="9"/>
      <c r="W277" s="9"/>
      <c r="X277" s="9"/>
      <c r="Y277" s="9"/>
      <c r="Z277" s="9"/>
      <c r="AA277" s="9"/>
      <c r="AB277" s="10" t="str">
        <f t="shared" si="21"/>
        <v/>
      </c>
      <c r="AC277" s="10" t="str">
        <f t="shared" si="22"/>
        <v/>
      </c>
      <c r="AD277" s="9"/>
      <c r="AE277" s="9"/>
      <c r="AF277" s="9"/>
      <c r="AG277" s="9"/>
      <c r="AH277" s="9"/>
      <c r="AI277" s="9"/>
      <c r="AJ277" s="9"/>
      <c r="AK277" s="9"/>
      <c r="AL277" s="9"/>
      <c r="AM277" s="9"/>
      <c r="AN277" s="9"/>
      <c r="AO277" s="9"/>
      <c r="AP277" s="9"/>
      <c r="AQ277" s="9"/>
      <c r="AR277" s="9"/>
      <c r="AS277" s="10" t="str">
        <f t="shared" si="23"/>
        <v/>
      </c>
      <c r="AT277" s="10" t="str">
        <f t="shared" si="24"/>
        <v/>
      </c>
      <c r="AU277" s="5" t="s">
        <v>412</v>
      </c>
    </row>
    <row r="278" spans="1:47" ht="15" customHeight="1" x14ac:dyDescent="0.3">
      <c r="A278" s="7" t="str">
        <f t="shared" si="20"/>
        <v>56_2022</v>
      </c>
      <c r="B278" s="7">
        <v>277</v>
      </c>
      <c r="C278" s="7">
        <f>'Panel Data (Long Format)'!B278</f>
        <v>56</v>
      </c>
      <c r="D278" s="7" t="str">
        <f>'Panel Data (Long Format)'!C278</f>
        <v>HMCALL</v>
      </c>
      <c r="E278" s="8" t="str">
        <f>'Panel Data (Long Format)'!D278</f>
        <v>Haldane McCall Plc</v>
      </c>
      <c r="F278" s="7" t="str">
        <f>'Panel Data (Long Format)'!E278</f>
        <v>CONSTRUCTION/REAL ESTATE</v>
      </c>
      <c r="G278" s="7">
        <f>'Panel Data (Long Format)'!F278</f>
        <v>2022</v>
      </c>
      <c r="H278" s="9"/>
      <c r="I278" s="9"/>
      <c r="J278" s="9"/>
      <c r="K278" s="9"/>
      <c r="L278" s="9"/>
      <c r="M278" s="9"/>
      <c r="N278" s="9"/>
      <c r="O278" s="9"/>
      <c r="P278" s="9"/>
      <c r="Q278" s="9"/>
      <c r="R278" s="9"/>
      <c r="S278" s="9"/>
      <c r="T278" s="9"/>
      <c r="U278" s="9"/>
      <c r="V278" s="9"/>
      <c r="W278" s="9"/>
      <c r="X278" s="9"/>
      <c r="Y278" s="9"/>
      <c r="Z278" s="9"/>
      <c r="AA278" s="9"/>
      <c r="AB278" s="10" t="str">
        <f t="shared" si="21"/>
        <v/>
      </c>
      <c r="AC278" s="10" t="str">
        <f t="shared" si="22"/>
        <v/>
      </c>
      <c r="AD278" s="9"/>
      <c r="AE278" s="9"/>
      <c r="AF278" s="9"/>
      <c r="AG278" s="9"/>
      <c r="AH278" s="9"/>
      <c r="AI278" s="9"/>
      <c r="AJ278" s="9"/>
      <c r="AK278" s="9"/>
      <c r="AL278" s="9"/>
      <c r="AM278" s="9"/>
      <c r="AN278" s="9"/>
      <c r="AO278" s="9"/>
      <c r="AP278" s="9"/>
      <c r="AQ278" s="9"/>
      <c r="AR278" s="9"/>
      <c r="AS278" s="10" t="str">
        <f t="shared" si="23"/>
        <v/>
      </c>
      <c r="AT278" s="10" t="str">
        <f t="shared" si="24"/>
        <v/>
      </c>
      <c r="AU278" s="5" t="s">
        <v>413</v>
      </c>
    </row>
    <row r="279" spans="1:47" ht="15" customHeight="1" x14ac:dyDescent="0.3">
      <c r="A279" s="7" t="str">
        <f t="shared" si="20"/>
        <v>56_2023</v>
      </c>
      <c r="B279" s="7">
        <v>278</v>
      </c>
      <c r="C279" s="7">
        <f>'Panel Data (Long Format)'!B279</f>
        <v>56</v>
      </c>
      <c r="D279" s="7" t="str">
        <f>'Panel Data (Long Format)'!C279</f>
        <v>HMCALL</v>
      </c>
      <c r="E279" s="8" t="str">
        <f>'Panel Data (Long Format)'!D279</f>
        <v>Haldane McCall Plc</v>
      </c>
      <c r="F279" s="7" t="str">
        <f>'Panel Data (Long Format)'!E279</f>
        <v>CONSTRUCTION/REAL ESTATE</v>
      </c>
      <c r="G279" s="7">
        <f>'Panel Data (Long Format)'!F279</f>
        <v>2023</v>
      </c>
      <c r="H279" s="9"/>
      <c r="I279" s="9"/>
      <c r="J279" s="9"/>
      <c r="K279" s="9"/>
      <c r="L279" s="9"/>
      <c r="M279" s="9"/>
      <c r="N279" s="9"/>
      <c r="O279" s="9"/>
      <c r="P279" s="9"/>
      <c r="Q279" s="9"/>
      <c r="R279" s="9"/>
      <c r="S279" s="9"/>
      <c r="T279" s="9"/>
      <c r="U279" s="9"/>
      <c r="V279" s="9"/>
      <c r="W279" s="9"/>
      <c r="X279" s="9"/>
      <c r="Y279" s="9"/>
      <c r="Z279" s="9"/>
      <c r="AA279" s="9"/>
      <c r="AB279" s="10" t="str">
        <f t="shared" si="21"/>
        <v/>
      </c>
      <c r="AC279" s="10" t="str">
        <f t="shared" si="22"/>
        <v/>
      </c>
      <c r="AD279" s="9"/>
      <c r="AE279" s="9"/>
      <c r="AF279" s="9"/>
      <c r="AG279" s="9"/>
      <c r="AH279" s="9"/>
      <c r="AI279" s="9"/>
      <c r="AJ279" s="9"/>
      <c r="AK279" s="9"/>
      <c r="AL279" s="9"/>
      <c r="AM279" s="9"/>
      <c r="AN279" s="9"/>
      <c r="AO279" s="9"/>
      <c r="AP279" s="9"/>
      <c r="AQ279" s="9"/>
      <c r="AR279" s="9"/>
      <c r="AS279" s="10" t="str">
        <f t="shared" si="23"/>
        <v/>
      </c>
      <c r="AT279" s="10" t="str">
        <f t="shared" si="24"/>
        <v/>
      </c>
      <c r="AU279" s="5" t="s">
        <v>414</v>
      </c>
    </row>
    <row r="280" spans="1:47" ht="15" customHeight="1" x14ac:dyDescent="0.3">
      <c r="A280" s="7" t="str">
        <f t="shared" si="20"/>
        <v>56_2024</v>
      </c>
      <c r="B280" s="7">
        <v>279</v>
      </c>
      <c r="C280" s="7">
        <f>'Panel Data (Long Format)'!B280</f>
        <v>56</v>
      </c>
      <c r="D280" s="7" t="str">
        <f>'Panel Data (Long Format)'!C280</f>
        <v>HMCALL</v>
      </c>
      <c r="E280" s="8" t="str">
        <f>'Panel Data (Long Format)'!D280</f>
        <v>Haldane McCall Plc</v>
      </c>
      <c r="F280" s="7" t="str">
        <f>'Panel Data (Long Format)'!E280</f>
        <v>CONSTRUCTION/REAL ESTATE</v>
      </c>
      <c r="G280" s="7">
        <f>'Panel Data (Long Format)'!F280</f>
        <v>2024</v>
      </c>
      <c r="H280" s="9">
        <v>0</v>
      </c>
      <c r="I280" s="9">
        <v>0</v>
      </c>
      <c r="J280" s="9">
        <v>0</v>
      </c>
      <c r="K280" s="9">
        <v>0</v>
      </c>
      <c r="L280" s="9">
        <v>0</v>
      </c>
      <c r="M280" s="9">
        <v>0</v>
      </c>
      <c r="N280" s="9">
        <v>0</v>
      </c>
      <c r="O280" s="9">
        <v>0</v>
      </c>
      <c r="P280" s="9">
        <v>0</v>
      </c>
      <c r="Q280" s="9">
        <v>0</v>
      </c>
      <c r="R280" s="9">
        <v>0</v>
      </c>
      <c r="S280" s="9">
        <v>0</v>
      </c>
      <c r="T280" s="9">
        <v>0</v>
      </c>
      <c r="U280" s="9">
        <v>0</v>
      </c>
      <c r="V280" s="9">
        <v>0</v>
      </c>
      <c r="W280" s="9">
        <v>0</v>
      </c>
      <c r="X280" s="9">
        <v>0</v>
      </c>
      <c r="Y280" s="9">
        <v>0</v>
      </c>
      <c r="Z280" s="9">
        <v>0</v>
      </c>
      <c r="AA280" s="9">
        <v>0</v>
      </c>
      <c r="AB280" s="10">
        <f t="shared" si="21"/>
        <v>0</v>
      </c>
      <c r="AC280" s="10">
        <f t="shared" si="22"/>
        <v>0</v>
      </c>
      <c r="AD280" s="9">
        <v>0</v>
      </c>
      <c r="AE280" s="9">
        <v>0</v>
      </c>
      <c r="AF280" s="9">
        <v>0</v>
      </c>
      <c r="AG280" s="9">
        <v>0</v>
      </c>
      <c r="AH280" s="9">
        <v>0</v>
      </c>
      <c r="AI280" s="9">
        <v>0</v>
      </c>
      <c r="AJ280" s="9">
        <v>0</v>
      </c>
      <c r="AK280" s="9">
        <v>0</v>
      </c>
      <c r="AL280" s="9">
        <v>0</v>
      </c>
      <c r="AM280" s="9">
        <v>0</v>
      </c>
      <c r="AN280" s="9">
        <v>0</v>
      </c>
      <c r="AO280" s="9">
        <v>0</v>
      </c>
      <c r="AP280" s="9">
        <v>0</v>
      </c>
      <c r="AQ280" s="9">
        <v>0</v>
      </c>
      <c r="AR280" s="9">
        <v>0</v>
      </c>
      <c r="AS280" s="10">
        <f t="shared" si="23"/>
        <v>0</v>
      </c>
      <c r="AT280" s="10">
        <f t="shared" si="24"/>
        <v>0</v>
      </c>
      <c r="AU280" s="5" t="s">
        <v>415</v>
      </c>
    </row>
    <row r="281" spans="1:47" ht="15" customHeight="1" x14ac:dyDescent="0.3">
      <c r="A281" s="7" t="str">
        <f t="shared" si="20"/>
        <v>56_2025</v>
      </c>
      <c r="B281" s="7">
        <v>280</v>
      </c>
      <c r="C281" s="7">
        <f>'Panel Data (Long Format)'!B281</f>
        <v>56</v>
      </c>
      <c r="D281" s="7" t="str">
        <f>'Panel Data (Long Format)'!C281</f>
        <v>HMCALL</v>
      </c>
      <c r="E281" s="8" t="str">
        <f>'Panel Data (Long Format)'!D281</f>
        <v>Haldane McCall Plc</v>
      </c>
      <c r="F281" s="7" t="str">
        <f>'Panel Data (Long Format)'!E281</f>
        <v>CONSTRUCTION/REAL ESTATE</v>
      </c>
      <c r="G281" s="7">
        <f>'Panel Data (Long Format)'!F281</f>
        <v>2025</v>
      </c>
      <c r="H281" s="9">
        <v>0</v>
      </c>
      <c r="I281" s="9">
        <v>0</v>
      </c>
      <c r="J281" s="9">
        <v>0</v>
      </c>
      <c r="K281" s="9">
        <v>0</v>
      </c>
      <c r="L281" s="9">
        <v>0</v>
      </c>
      <c r="M281" s="9">
        <v>0</v>
      </c>
      <c r="N281" s="9">
        <v>0</v>
      </c>
      <c r="O281" s="9">
        <v>0</v>
      </c>
      <c r="P281" s="9">
        <v>0</v>
      </c>
      <c r="Q281" s="9">
        <v>0</v>
      </c>
      <c r="R281" s="9">
        <v>0</v>
      </c>
      <c r="S281" s="9">
        <v>0</v>
      </c>
      <c r="T281" s="9">
        <v>0</v>
      </c>
      <c r="U281" s="9">
        <v>0</v>
      </c>
      <c r="V281" s="9">
        <v>0</v>
      </c>
      <c r="W281" s="9">
        <v>0</v>
      </c>
      <c r="X281" s="9">
        <v>0</v>
      </c>
      <c r="Y281" s="9">
        <v>0</v>
      </c>
      <c r="Z281" s="9">
        <v>0</v>
      </c>
      <c r="AA281" s="9">
        <v>0</v>
      </c>
      <c r="AB281" s="10">
        <f t="shared" si="21"/>
        <v>0</v>
      </c>
      <c r="AC281" s="10">
        <f t="shared" si="22"/>
        <v>0</v>
      </c>
      <c r="AD281" s="9">
        <v>0</v>
      </c>
      <c r="AE281" s="9">
        <v>0</v>
      </c>
      <c r="AF281" s="9">
        <v>0</v>
      </c>
      <c r="AG281" s="9">
        <v>0</v>
      </c>
      <c r="AH281" s="9">
        <v>0</v>
      </c>
      <c r="AI281" s="9">
        <v>0</v>
      </c>
      <c r="AJ281" s="9">
        <v>0</v>
      </c>
      <c r="AK281" s="9">
        <v>0</v>
      </c>
      <c r="AL281" s="9">
        <v>0</v>
      </c>
      <c r="AM281" s="9">
        <v>0</v>
      </c>
      <c r="AN281" s="9">
        <v>0</v>
      </c>
      <c r="AO281" s="9">
        <v>0</v>
      </c>
      <c r="AP281" s="9">
        <v>0</v>
      </c>
      <c r="AQ281" s="9">
        <v>0</v>
      </c>
      <c r="AR281" s="9">
        <v>0</v>
      </c>
      <c r="AS281" s="10">
        <f t="shared" si="23"/>
        <v>0</v>
      </c>
      <c r="AT281" s="10">
        <f t="shared" si="24"/>
        <v>0</v>
      </c>
      <c r="AU281" s="5" t="s">
        <v>416</v>
      </c>
    </row>
    <row r="282" spans="1:47" ht="15" customHeight="1" x14ac:dyDescent="0.3">
      <c r="A282" s="7" t="str">
        <f t="shared" si="20"/>
        <v>57_2021</v>
      </c>
      <c r="B282" s="7">
        <v>281</v>
      </c>
      <c r="C282" s="7">
        <f>'Panel Data (Long Format)'!B282</f>
        <v>57</v>
      </c>
      <c r="D282" s="7" t="str">
        <f>'Panel Data (Long Format)'!C282</f>
        <v>HONYFLOUR</v>
      </c>
      <c r="E282" s="8" t="str">
        <f>'Panel Data (Long Format)'!D282</f>
        <v>Honeywell Flour Mills Plc</v>
      </c>
      <c r="F282" s="7" t="str">
        <f>'Panel Data (Long Format)'!E282</f>
        <v>CONSUMER GOODS</v>
      </c>
      <c r="G282" s="7">
        <f>'Panel Data (Long Format)'!F282</f>
        <v>2021</v>
      </c>
      <c r="H282" s="9">
        <v>0</v>
      </c>
      <c r="I282" s="9">
        <v>0</v>
      </c>
      <c r="J282" s="9">
        <v>0</v>
      </c>
      <c r="K282" s="9">
        <v>0</v>
      </c>
      <c r="L282" s="9">
        <v>0</v>
      </c>
      <c r="M282" s="9">
        <v>0</v>
      </c>
      <c r="N282" s="9">
        <v>0</v>
      </c>
      <c r="O282" s="9">
        <v>0</v>
      </c>
      <c r="P282" s="9">
        <v>0</v>
      </c>
      <c r="Q282" s="9">
        <v>0</v>
      </c>
      <c r="R282" s="9">
        <v>0</v>
      </c>
      <c r="S282" s="9">
        <v>0</v>
      </c>
      <c r="T282" s="9">
        <v>0</v>
      </c>
      <c r="U282" s="9">
        <v>0</v>
      </c>
      <c r="V282" s="9">
        <v>0</v>
      </c>
      <c r="W282" s="9">
        <v>0</v>
      </c>
      <c r="X282" s="9">
        <v>0</v>
      </c>
      <c r="Y282" s="9">
        <v>0</v>
      </c>
      <c r="Z282" s="9">
        <v>0</v>
      </c>
      <c r="AA282" s="9">
        <v>0</v>
      </c>
      <c r="AB282" s="10">
        <f t="shared" si="21"/>
        <v>0</v>
      </c>
      <c r="AC282" s="10">
        <f t="shared" si="22"/>
        <v>0</v>
      </c>
      <c r="AD282" s="9">
        <v>0</v>
      </c>
      <c r="AE282" s="9">
        <v>0</v>
      </c>
      <c r="AF282" s="9">
        <v>0</v>
      </c>
      <c r="AG282" s="9">
        <v>0</v>
      </c>
      <c r="AH282" s="9">
        <v>0</v>
      </c>
      <c r="AI282" s="9">
        <v>0</v>
      </c>
      <c r="AJ282" s="9">
        <v>0</v>
      </c>
      <c r="AK282" s="9">
        <v>0</v>
      </c>
      <c r="AL282" s="9">
        <v>0</v>
      </c>
      <c r="AM282" s="9">
        <v>0</v>
      </c>
      <c r="AN282" s="9">
        <v>0</v>
      </c>
      <c r="AO282" s="9">
        <v>0</v>
      </c>
      <c r="AP282" s="9">
        <v>0</v>
      </c>
      <c r="AQ282" s="9">
        <v>0</v>
      </c>
      <c r="AR282" s="9">
        <v>0</v>
      </c>
      <c r="AS282" s="10">
        <f t="shared" si="23"/>
        <v>0</v>
      </c>
      <c r="AT282" s="10">
        <f t="shared" si="24"/>
        <v>0</v>
      </c>
      <c r="AU282" s="5" t="s">
        <v>417</v>
      </c>
    </row>
    <row r="283" spans="1:47" ht="15" customHeight="1" x14ac:dyDescent="0.3">
      <c r="A283" s="7" t="str">
        <f t="shared" si="20"/>
        <v>57_2022</v>
      </c>
      <c r="B283" s="7">
        <v>282</v>
      </c>
      <c r="C283" s="7">
        <f>'Panel Data (Long Format)'!B283</f>
        <v>57</v>
      </c>
      <c r="D283" s="7" t="str">
        <f>'Panel Data (Long Format)'!C283</f>
        <v>HONYFLOUR</v>
      </c>
      <c r="E283" s="8" t="str">
        <f>'Panel Data (Long Format)'!D283</f>
        <v>Honeywell Flour Mills Plc</v>
      </c>
      <c r="F283" s="7" t="str">
        <f>'Panel Data (Long Format)'!E283</f>
        <v>CONSUMER GOODS</v>
      </c>
      <c r="G283" s="7">
        <f>'Panel Data (Long Format)'!F283</f>
        <v>2022</v>
      </c>
      <c r="H283" s="9">
        <v>0</v>
      </c>
      <c r="I283" s="9">
        <v>0</v>
      </c>
      <c r="J283" s="9">
        <v>0</v>
      </c>
      <c r="K283" s="9">
        <v>0</v>
      </c>
      <c r="L283" s="9">
        <v>0</v>
      </c>
      <c r="M283" s="9">
        <v>0</v>
      </c>
      <c r="N283" s="9">
        <v>0</v>
      </c>
      <c r="O283" s="9">
        <v>0</v>
      </c>
      <c r="P283" s="9">
        <v>0</v>
      </c>
      <c r="Q283" s="9">
        <v>0</v>
      </c>
      <c r="R283" s="9">
        <v>0</v>
      </c>
      <c r="S283" s="9">
        <v>0</v>
      </c>
      <c r="T283" s="9">
        <v>0</v>
      </c>
      <c r="U283" s="9">
        <v>0</v>
      </c>
      <c r="V283" s="9">
        <v>0</v>
      </c>
      <c r="W283" s="9">
        <v>0</v>
      </c>
      <c r="X283" s="9">
        <v>0</v>
      </c>
      <c r="Y283" s="9">
        <v>0</v>
      </c>
      <c r="Z283" s="9">
        <v>0</v>
      </c>
      <c r="AA283" s="9">
        <v>0</v>
      </c>
      <c r="AB283" s="10">
        <f t="shared" si="21"/>
        <v>0</v>
      </c>
      <c r="AC283" s="10">
        <f t="shared" si="22"/>
        <v>0</v>
      </c>
      <c r="AD283" s="9">
        <v>0</v>
      </c>
      <c r="AE283" s="9">
        <v>0</v>
      </c>
      <c r="AF283" s="9">
        <v>0</v>
      </c>
      <c r="AG283" s="9">
        <v>0</v>
      </c>
      <c r="AH283" s="9">
        <v>0</v>
      </c>
      <c r="AI283" s="9">
        <v>0</v>
      </c>
      <c r="AJ283" s="9">
        <v>0</v>
      </c>
      <c r="AK283" s="9">
        <v>0</v>
      </c>
      <c r="AL283" s="9">
        <v>0</v>
      </c>
      <c r="AM283" s="9">
        <v>0</v>
      </c>
      <c r="AN283" s="9">
        <v>0</v>
      </c>
      <c r="AO283" s="9">
        <v>0</v>
      </c>
      <c r="AP283" s="9">
        <v>0</v>
      </c>
      <c r="AQ283" s="9">
        <v>0</v>
      </c>
      <c r="AR283" s="9">
        <v>0</v>
      </c>
      <c r="AS283" s="10">
        <f t="shared" si="23"/>
        <v>0</v>
      </c>
      <c r="AT283" s="10">
        <f t="shared" si="24"/>
        <v>0</v>
      </c>
      <c r="AU283" s="5" t="s">
        <v>418</v>
      </c>
    </row>
    <row r="284" spans="1:47" ht="15" customHeight="1" x14ac:dyDescent="0.3">
      <c r="A284" s="7" t="str">
        <f t="shared" si="20"/>
        <v>57_2023</v>
      </c>
      <c r="B284" s="7">
        <v>283</v>
      </c>
      <c r="C284" s="7">
        <f>'Panel Data (Long Format)'!B284</f>
        <v>57</v>
      </c>
      <c r="D284" s="7" t="str">
        <f>'Panel Data (Long Format)'!C284</f>
        <v>HONYFLOUR</v>
      </c>
      <c r="E284" s="8" t="str">
        <f>'Panel Data (Long Format)'!D284</f>
        <v>Honeywell Flour Mills Plc</v>
      </c>
      <c r="F284" s="7" t="str">
        <f>'Panel Data (Long Format)'!E284</f>
        <v>CONSUMER GOODS</v>
      </c>
      <c r="G284" s="7">
        <f>'Panel Data (Long Format)'!F284</f>
        <v>2023</v>
      </c>
      <c r="H284" s="9">
        <v>0</v>
      </c>
      <c r="I284" s="9">
        <v>0</v>
      </c>
      <c r="J284" s="9">
        <v>0</v>
      </c>
      <c r="K284" s="9">
        <v>0</v>
      </c>
      <c r="L284" s="9">
        <v>0</v>
      </c>
      <c r="M284" s="9">
        <v>0</v>
      </c>
      <c r="N284" s="9">
        <v>0</v>
      </c>
      <c r="O284" s="9">
        <v>0</v>
      </c>
      <c r="P284" s="9">
        <v>0</v>
      </c>
      <c r="Q284" s="9">
        <v>0</v>
      </c>
      <c r="R284" s="9">
        <v>0</v>
      </c>
      <c r="S284" s="9">
        <v>0</v>
      </c>
      <c r="T284" s="9">
        <v>0</v>
      </c>
      <c r="U284" s="9">
        <v>0</v>
      </c>
      <c r="V284" s="9">
        <v>0</v>
      </c>
      <c r="W284" s="9">
        <v>0</v>
      </c>
      <c r="X284" s="9">
        <v>0</v>
      </c>
      <c r="Y284" s="9">
        <v>0</v>
      </c>
      <c r="Z284" s="9">
        <v>0</v>
      </c>
      <c r="AA284" s="9">
        <v>0</v>
      </c>
      <c r="AB284" s="10">
        <f t="shared" si="21"/>
        <v>0</v>
      </c>
      <c r="AC284" s="10">
        <f t="shared" si="22"/>
        <v>0</v>
      </c>
      <c r="AD284" s="9">
        <v>0</v>
      </c>
      <c r="AE284" s="9">
        <v>0</v>
      </c>
      <c r="AF284" s="9">
        <v>0</v>
      </c>
      <c r="AG284" s="9">
        <v>0</v>
      </c>
      <c r="AH284" s="9">
        <v>0</v>
      </c>
      <c r="AI284" s="9">
        <v>0</v>
      </c>
      <c r="AJ284" s="9">
        <v>0</v>
      </c>
      <c r="AK284" s="9">
        <v>0</v>
      </c>
      <c r="AL284" s="9">
        <v>0</v>
      </c>
      <c r="AM284" s="9">
        <v>0</v>
      </c>
      <c r="AN284" s="9">
        <v>0</v>
      </c>
      <c r="AO284" s="9">
        <v>0</v>
      </c>
      <c r="AP284" s="9">
        <v>0</v>
      </c>
      <c r="AQ284" s="9">
        <v>0</v>
      </c>
      <c r="AR284" s="9">
        <v>0</v>
      </c>
      <c r="AS284" s="10">
        <f t="shared" si="23"/>
        <v>0</v>
      </c>
      <c r="AT284" s="10">
        <f t="shared" si="24"/>
        <v>0</v>
      </c>
      <c r="AU284" s="5" t="s">
        <v>419</v>
      </c>
    </row>
    <row r="285" spans="1:47" ht="15" customHeight="1" x14ac:dyDescent="0.3">
      <c r="A285" s="7" t="str">
        <f t="shared" si="20"/>
        <v>57_2024</v>
      </c>
      <c r="B285" s="7">
        <v>284</v>
      </c>
      <c r="C285" s="7">
        <f>'Panel Data (Long Format)'!B285</f>
        <v>57</v>
      </c>
      <c r="D285" s="7" t="str">
        <f>'Panel Data (Long Format)'!C285</f>
        <v>HONYFLOUR</v>
      </c>
      <c r="E285" s="8" t="str">
        <f>'Panel Data (Long Format)'!D285</f>
        <v>Honeywell Flour Mills Plc</v>
      </c>
      <c r="F285" s="7" t="str">
        <f>'Panel Data (Long Format)'!E285</f>
        <v>CONSUMER GOODS</v>
      </c>
      <c r="G285" s="7">
        <f>'Panel Data (Long Format)'!F285</f>
        <v>2024</v>
      </c>
      <c r="H285" s="9">
        <v>0</v>
      </c>
      <c r="I285" s="9">
        <v>0</v>
      </c>
      <c r="J285" s="9">
        <v>0</v>
      </c>
      <c r="K285" s="9">
        <v>0</v>
      </c>
      <c r="L285" s="9">
        <v>0</v>
      </c>
      <c r="M285" s="9">
        <v>0</v>
      </c>
      <c r="N285" s="9">
        <v>0</v>
      </c>
      <c r="O285" s="9">
        <v>0</v>
      </c>
      <c r="P285" s="9">
        <v>0</v>
      </c>
      <c r="Q285" s="9">
        <v>0</v>
      </c>
      <c r="R285" s="9">
        <v>0</v>
      </c>
      <c r="S285" s="9">
        <v>0</v>
      </c>
      <c r="T285" s="9">
        <v>0</v>
      </c>
      <c r="U285" s="9">
        <v>0</v>
      </c>
      <c r="V285" s="9">
        <v>0</v>
      </c>
      <c r="W285" s="9">
        <v>0</v>
      </c>
      <c r="X285" s="9">
        <v>0</v>
      </c>
      <c r="Y285" s="9">
        <v>0</v>
      </c>
      <c r="Z285" s="9">
        <v>0</v>
      </c>
      <c r="AA285" s="9">
        <v>0</v>
      </c>
      <c r="AB285" s="10">
        <f t="shared" si="21"/>
        <v>0</v>
      </c>
      <c r="AC285" s="10">
        <f t="shared" si="22"/>
        <v>0</v>
      </c>
      <c r="AD285" s="9">
        <v>0</v>
      </c>
      <c r="AE285" s="9">
        <v>0</v>
      </c>
      <c r="AF285" s="9">
        <v>0</v>
      </c>
      <c r="AG285" s="9">
        <v>0</v>
      </c>
      <c r="AH285" s="9">
        <v>0</v>
      </c>
      <c r="AI285" s="9">
        <v>0</v>
      </c>
      <c r="AJ285" s="9">
        <v>0</v>
      </c>
      <c r="AK285" s="9">
        <v>0</v>
      </c>
      <c r="AL285" s="9">
        <v>0</v>
      </c>
      <c r="AM285" s="9">
        <v>0</v>
      </c>
      <c r="AN285" s="9">
        <v>0</v>
      </c>
      <c r="AO285" s="9">
        <v>0</v>
      </c>
      <c r="AP285" s="9">
        <v>0</v>
      </c>
      <c r="AQ285" s="9">
        <v>0</v>
      </c>
      <c r="AR285" s="9">
        <v>0</v>
      </c>
      <c r="AS285" s="10">
        <f t="shared" si="23"/>
        <v>0</v>
      </c>
      <c r="AT285" s="10">
        <f t="shared" si="24"/>
        <v>0</v>
      </c>
      <c r="AU285" s="5" t="s">
        <v>420</v>
      </c>
    </row>
    <row r="286" spans="1:47" ht="15" customHeight="1" x14ac:dyDescent="0.3">
      <c r="A286" s="7" t="str">
        <f t="shared" si="20"/>
        <v>57_2025</v>
      </c>
      <c r="B286" s="7">
        <v>285</v>
      </c>
      <c r="C286" s="7">
        <f>'Panel Data (Long Format)'!B286</f>
        <v>57</v>
      </c>
      <c r="D286" s="7" t="str">
        <f>'Panel Data (Long Format)'!C286</f>
        <v>HONYFLOUR</v>
      </c>
      <c r="E286" s="8" t="str">
        <f>'Panel Data (Long Format)'!D286</f>
        <v>Honeywell Flour Mills Plc</v>
      </c>
      <c r="F286" s="7" t="str">
        <f>'Panel Data (Long Format)'!E286</f>
        <v>CONSUMER GOODS</v>
      </c>
      <c r="G286" s="7">
        <f>'Panel Data (Long Format)'!F286</f>
        <v>2025</v>
      </c>
      <c r="H286" s="9">
        <v>0</v>
      </c>
      <c r="I286" s="9">
        <v>0</v>
      </c>
      <c r="J286" s="9">
        <v>0</v>
      </c>
      <c r="K286" s="9">
        <v>0</v>
      </c>
      <c r="L286" s="9">
        <v>0</v>
      </c>
      <c r="M286" s="9">
        <v>0</v>
      </c>
      <c r="N286" s="9">
        <v>0</v>
      </c>
      <c r="O286" s="9">
        <v>0</v>
      </c>
      <c r="P286" s="9">
        <v>0</v>
      </c>
      <c r="Q286" s="9">
        <v>0</v>
      </c>
      <c r="R286" s="9">
        <v>0</v>
      </c>
      <c r="S286" s="9">
        <v>0</v>
      </c>
      <c r="T286" s="9">
        <v>0</v>
      </c>
      <c r="U286" s="9">
        <v>0</v>
      </c>
      <c r="V286" s="9">
        <v>0</v>
      </c>
      <c r="W286" s="9">
        <v>0</v>
      </c>
      <c r="X286" s="9">
        <v>0</v>
      </c>
      <c r="Y286" s="9">
        <v>0</v>
      </c>
      <c r="Z286" s="9">
        <v>0</v>
      </c>
      <c r="AA286" s="9">
        <v>0</v>
      </c>
      <c r="AB286" s="10">
        <f t="shared" si="21"/>
        <v>0</v>
      </c>
      <c r="AC286" s="10">
        <f t="shared" si="22"/>
        <v>0</v>
      </c>
      <c r="AD286" s="9">
        <v>0</v>
      </c>
      <c r="AE286" s="9">
        <v>0</v>
      </c>
      <c r="AF286" s="9">
        <v>0</v>
      </c>
      <c r="AG286" s="9">
        <v>0</v>
      </c>
      <c r="AH286" s="9">
        <v>0</v>
      </c>
      <c r="AI286" s="9">
        <v>0</v>
      </c>
      <c r="AJ286" s="9">
        <v>0</v>
      </c>
      <c r="AK286" s="9">
        <v>0</v>
      </c>
      <c r="AL286" s="9">
        <v>0</v>
      </c>
      <c r="AM286" s="9">
        <v>0</v>
      </c>
      <c r="AN286" s="9">
        <v>0</v>
      </c>
      <c r="AO286" s="9">
        <v>0</v>
      </c>
      <c r="AP286" s="9">
        <v>0</v>
      </c>
      <c r="AQ286" s="9">
        <v>0</v>
      </c>
      <c r="AR286" s="9">
        <v>0</v>
      </c>
      <c r="AS286" s="10">
        <f t="shared" si="23"/>
        <v>0</v>
      </c>
      <c r="AT286" s="10">
        <f t="shared" si="24"/>
        <v>0</v>
      </c>
      <c r="AU286" s="5" t="s">
        <v>421</v>
      </c>
    </row>
    <row r="287" spans="1:47" ht="15" customHeight="1" x14ac:dyDescent="0.3">
      <c r="A287" s="7" t="str">
        <f t="shared" si="20"/>
        <v>58_2021</v>
      </c>
      <c r="B287" s="7">
        <v>286</v>
      </c>
      <c r="C287" s="7">
        <f>'Panel Data (Long Format)'!B287</f>
        <v>58</v>
      </c>
      <c r="D287" s="7" t="str">
        <f>'Panel Data (Long Format)'!C287</f>
        <v>IKEJAHOTEL</v>
      </c>
      <c r="E287" s="8" t="str">
        <f>'Panel Data (Long Format)'!D287</f>
        <v>Ikeja Hotel Plc</v>
      </c>
      <c r="F287" s="7" t="str">
        <f>'Panel Data (Long Format)'!E287</f>
        <v>SERVICES</v>
      </c>
      <c r="G287" s="7">
        <f>'Panel Data (Long Format)'!F287</f>
        <v>2021</v>
      </c>
      <c r="H287" s="9">
        <v>0</v>
      </c>
      <c r="I287" s="9">
        <v>0</v>
      </c>
      <c r="J287" s="9">
        <v>0</v>
      </c>
      <c r="K287" s="9">
        <v>0</v>
      </c>
      <c r="L287" s="9">
        <v>0</v>
      </c>
      <c r="M287" s="9">
        <v>0</v>
      </c>
      <c r="N287" s="9">
        <v>0</v>
      </c>
      <c r="O287" s="9">
        <v>0</v>
      </c>
      <c r="P287" s="9">
        <v>0</v>
      </c>
      <c r="Q287" s="9">
        <v>0</v>
      </c>
      <c r="R287" s="9">
        <v>0</v>
      </c>
      <c r="S287" s="9">
        <v>0</v>
      </c>
      <c r="T287" s="9">
        <v>0</v>
      </c>
      <c r="U287" s="9">
        <v>0</v>
      </c>
      <c r="V287" s="9">
        <v>0</v>
      </c>
      <c r="W287" s="9">
        <v>0</v>
      </c>
      <c r="X287" s="9">
        <v>0</v>
      </c>
      <c r="Y287" s="9">
        <v>0</v>
      </c>
      <c r="Z287" s="9">
        <v>0</v>
      </c>
      <c r="AA287" s="9">
        <v>0</v>
      </c>
      <c r="AB287" s="10">
        <f t="shared" si="21"/>
        <v>0</v>
      </c>
      <c r="AC287" s="10">
        <f t="shared" si="22"/>
        <v>0</v>
      </c>
      <c r="AD287" s="9">
        <v>0</v>
      </c>
      <c r="AE287" s="9">
        <v>0</v>
      </c>
      <c r="AF287" s="9">
        <v>0</v>
      </c>
      <c r="AG287" s="9">
        <v>0</v>
      </c>
      <c r="AH287" s="9">
        <v>0</v>
      </c>
      <c r="AI287" s="9">
        <v>0</v>
      </c>
      <c r="AJ287" s="9">
        <v>0</v>
      </c>
      <c r="AK287" s="9">
        <v>0</v>
      </c>
      <c r="AL287" s="9">
        <v>0</v>
      </c>
      <c r="AM287" s="9">
        <v>0</v>
      </c>
      <c r="AN287" s="9">
        <v>0</v>
      </c>
      <c r="AO287" s="9">
        <v>0</v>
      </c>
      <c r="AP287" s="9">
        <v>0</v>
      </c>
      <c r="AQ287" s="9">
        <v>0</v>
      </c>
      <c r="AR287" s="9">
        <v>0</v>
      </c>
      <c r="AS287" s="10">
        <f t="shared" si="23"/>
        <v>0</v>
      </c>
      <c r="AT287" s="10">
        <f t="shared" si="24"/>
        <v>0</v>
      </c>
      <c r="AU287" s="5" t="s">
        <v>422</v>
      </c>
    </row>
    <row r="288" spans="1:47" ht="15" customHeight="1" x14ac:dyDescent="0.3">
      <c r="A288" s="7" t="str">
        <f t="shared" si="20"/>
        <v>58_2022</v>
      </c>
      <c r="B288" s="7">
        <v>287</v>
      </c>
      <c r="C288" s="7">
        <f>'Panel Data (Long Format)'!B288</f>
        <v>58</v>
      </c>
      <c r="D288" s="7" t="str">
        <f>'Panel Data (Long Format)'!C288</f>
        <v>IKEJAHOTEL</v>
      </c>
      <c r="E288" s="8" t="str">
        <f>'Panel Data (Long Format)'!D288</f>
        <v>Ikeja Hotel Plc</v>
      </c>
      <c r="F288" s="7" t="str">
        <f>'Panel Data (Long Format)'!E288</f>
        <v>SERVICES</v>
      </c>
      <c r="G288" s="7">
        <f>'Panel Data (Long Format)'!F288</f>
        <v>2022</v>
      </c>
      <c r="H288" s="9">
        <v>0</v>
      </c>
      <c r="I288" s="9">
        <v>0</v>
      </c>
      <c r="J288" s="9">
        <v>0</v>
      </c>
      <c r="K288" s="9">
        <v>0</v>
      </c>
      <c r="L288" s="9">
        <v>0</v>
      </c>
      <c r="M288" s="9">
        <v>0</v>
      </c>
      <c r="N288" s="9">
        <v>0</v>
      </c>
      <c r="O288" s="9">
        <v>0</v>
      </c>
      <c r="P288" s="9">
        <v>0</v>
      </c>
      <c r="Q288" s="9">
        <v>0</v>
      </c>
      <c r="R288" s="9">
        <v>0</v>
      </c>
      <c r="S288" s="9">
        <v>0</v>
      </c>
      <c r="T288" s="9">
        <v>0</v>
      </c>
      <c r="U288" s="9">
        <v>0</v>
      </c>
      <c r="V288" s="9">
        <v>0</v>
      </c>
      <c r="W288" s="9">
        <v>0</v>
      </c>
      <c r="X288" s="9">
        <v>0</v>
      </c>
      <c r="Y288" s="9">
        <v>0</v>
      </c>
      <c r="Z288" s="9">
        <v>0</v>
      </c>
      <c r="AA288" s="9">
        <v>0</v>
      </c>
      <c r="AB288" s="10">
        <f t="shared" si="21"/>
        <v>0</v>
      </c>
      <c r="AC288" s="10">
        <f t="shared" si="22"/>
        <v>0</v>
      </c>
      <c r="AD288" s="9">
        <v>0</v>
      </c>
      <c r="AE288" s="9">
        <v>0</v>
      </c>
      <c r="AF288" s="9">
        <v>0</v>
      </c>
      <c r="AG288" s="9">
        <v>0</v>
      </c>
      <c r="AH288" s="9">
        <v>0</v>
      </c>
      <c r="AI288" s="9">
        <v>0</v>
      </c>
      <c r="AJ288" s="9">
        <v>0</v>
      </c>
      <c r="AK288" s="9">
        <v>0</v>
      </c>
      <c r="AL288" s="9">
        <v>0</v>
      </c>
      <c r="AM288" s="9">
        <v>0</v>
      </c>
      <c r="AN288" s="9">
        <v>0</v>
      </c>
      <c r="AO288" s="9">
        <v>0</v>
      </c>
      <c r="AP288" s="9">
        <v>0</v>
      </c>
      <c r="AQ288" s="9">
        <v>0</v>
      </c>
      <c r="AR288" s="9">
        <v>0</v>
      </c>
      <c r="AS288" s="10">
        <f t="shared" si="23"/>
        <v>0</v>
      </c>
      <c r="AT288" s="10">
        <f t="shared" si="24"/>
        <v>0</v>
      </c>
      <c r="AU288" s="5" t="s">
        <v>423</v>
      </c>
    </row>
    <row r="289" spans="1:47" ht="15" customHeight="1" x14ac:dyDescent="0.3">
      <c r="A289" s="7" t="str">
        <f t="shared" si="20"/>
        <v>58_2023</v>
      </c>
      <c r="B289" s="7">
        <v>288</v>
      </c>
      <c r="C289" s="7">
        <f>'Panel Data (Long Format)'!B289</f>
        <v>58</v>
      </c>
      <c r="D289" s="7" t="str">
        <f>'Panel Data (Long Format)'!C289</f>
        <v>IKEJAHOTEL</v>
      </c>
      <c r="E289" s="8" t="str">
        <f>'Panel Data (Long Format)'!D289</f>
        <v>Ikeja Hotel Plc</v>
      </c>
      <c r="F289" s="7" t="str">
        <f>'Panel Data (Long Format)'!E289</f>
        <v>SERVICES</v>
      </c>
      <c r="G289" s="7">
        <f>'Panel Data (Long Format)'!F289</f>
        <v>2023</v>
      </c>
      <c r="H289" s="9">
        <v>0</v>
      </c>
      <c r="I289" s="9">
        <v>0</v>
      </c>
      <c r="J289" s="9">
        <v>0</v>
      </c>
      <c r="K289" s="9">
        <v>0</v>
      </c>
      <c r="L289" s="9">
        <v>0</v>
      </c>
      <c r="M289" s="9">
        <v>0</v>
      </c>
      <c r="N289" s="9">
        <v>0</v>
      </c>
      <c r="O289" s="9">
        <v>0</v>
      </c>
      <c r="P289" s="9">
        <v>0</v>
      </c>
      <c r="Q289" s="9">
        <v>0</v>
      </c>
      <c r="R289" s="9">
        <v>0</v>
      </c>
      <c r="S289" s="9">
        <v>0</v>
      </c>
      <c r="T289" s="9">
        <v>0</v>
      </c>
      <c r="U289" s="9">
        <v>0</v>
      </c>
      <c r="V289" s="9">
        <v>0</v>
      </c>
      <c r="W289" s="9">
        <v>0</v>
      </c>
      <c r="X289" s="9">
        <v>0</v>
      </c>
      <c r="Y289" s="9">
        <v>0</v>
      </c>
      <c r="Z289" s="9">
        <v>0</v>
      </c>
      <c r="AA289" s="9">
        <v>0</v>
      </c>
      <c r="AB289" s="10">
        <f t="shared" si="21"/>
        <v>0</v>
      </c>
      <c r="AC289" s="10">
        <f t="shared" si="22"/>
        <v>0</v>
      </c>
      <c r="AD289" s="9">
        <v>0</v>
      </c>
      <c r="AE289" s="9">
        <v>0</v>
      </c>
      <c r="AF289" s="9">
        <v>0</v>
      </c>
      <c r="AG289" s="9">
        <v>0</v>
      </c>
      <c r="AH289" s="9">
        <v>0</v>
      </c>
      <c r="AI289" s="9">
        <v>0</v>
      </c>
      <c r="AJ289" s="9">
        <v>0</v>
      </c>
      <c r="AK289" s="9">
        <v>0</v>
      </c>
      <c r="AL289" s="9">
        <v>0</v>
      </c>
      <c r="AM289" s="9">
        <v>0</v>
      </c>
      <c r="AN289" s="9">
        <v>0</v>
      </c>
      <c r="AO289" s="9">
        <v>0</v>
      </c>
      <c r="AP289" s="9">
        <v>0</v>
      </c>
      <c r="AQ289" s="9">
        <v>0</v>
      </c>
      <c r="AR289" s="9">
        <v>0</v>
      </c>
      <c r="AS289" s="10">
        <f t="shared" si="23"/>
        <v>0</v>
      </c>
      <c r="AT289" s="10">
        <f t="shared" si="24"/>
        <v>0</v>
      </c>
      <c r="AU289" s="5" t="s">
        <v>424</v>
      </c>
    </row>
    <row r="290" spans="1:47" ht="15" customHeight="1" x14ac:dyDescent="0.3">
      <c r="A290" s="7" t="str">
        <f t="shared" si="20"/>
        <v>58_2024</v>
      </c>
      <c r="B290" s="7">
        <v>289</v>
      </c>
      <c r="C290" s="7">
        <f>'Panel Data (Long Format)'!B290</f>
        <v>58</v>
      </c>
      <c r="D290" s="7" t="str">
        <f>'Panel Data (Long Format)'!C290</f>
        <v>IKEJAHOTEL</v>
      </c>
      <c r="E290" s="8" t="str">
        <f>'Panel Data (Long Format)'!D290</f>
        <v>Ikeja Hotel Plc</v>
      </c>
      <c r="F290" s="7" t="str">
        <f>'Panel Data (Long Format)'!E290</f>
        <v>SERVICES</v>
      </c>
      <c r="G290" s="7">
        <f>'Panel Data (Long Format)'!F290</f>
        <v>2024</v>
      </c>
      <c r="H290" s="9">
        <v>0</v>
      </c>
      <c r="I290" s="9">
        <v>0</v>
      </c>
      <c r="J290" s="9">
        <v>0</v>
      </c>
      <c r="K290" s="9">
        <v>0</v>
      </c>
      <c r="L290" s="9">
        <v>0</v>
      </c>
      <c r="M290" s="9">
        <v>0</v>
      </c>
      <c r="N290" s="9">
        <v>0</v>
      </c>
      <c r="O290" s="9">
        <v>0</v>
      </c>
      <c r="P290" s="9">
        <v>0</v>
      </c>
      <c r="Q290" s="9">
        <v>0</v>
      </c>
      <c r="R290" s="9">
        <v>0</v>
      </c>
      <c r="S290" s="9">
        <v>0</v>
      </c>
      <c r="T290" s="9">
        <v>0</v>
      </c>
      <c r="U290" s="9">
        <v>0</v>
      </c>
      <c r="V290" s="9">
        <v>0</v>
      </c>
      <c r="W290" s="9">
        <v>0</v>
      </c>
      <c r="X290" s="9">
        <v>0</v>
      </c>
      <c r="Y290" s="9">
        <v>0</v>
      </c>
      <c r="Z290" s="9">
        <v>0</v>
      </c>
      <c r="AA290" s="9">
        <v>0</v>
      </c>
      <c r="AB290" s="10">
        <f t="shared" si="21"/>
        <v>0</v>
      </c>
      <c r="AC290" s="10">
        <f t="shared" si="22"/>
        <v>0</v>
      </c>
      <c r="AD290" s="9">
        <v>0</v>
      </c>
      <c r="AE290" s="9">
        <v>0</v>
      </c>
      <c r="AF290" s="9">
        <v>0</v>
      </c>
      <c r="AG290" s="9">
        <v>0</v>
      </c>
      <c r="AH290" s="9">
        <v>0</v>
      </c>
      <c r="AI290" s="9">
        <v>0</v>
      </c>
      <c r="AJ290" s="9">
        <v>0</v>
      </c>
      <c r="AK290" s="9">
        <v>0</v>
      </c>
      <c r="AL290" s="9">
        <v>0</v>
      </c>
      <c r="AM290" s="9">
        <v>0</v>
      </c>
      <c r="AN290" s="9">
        <v>0</v>
      </c>
      <c r="AO290" s="9">
        <v>0</v>
      </c>
      <c r="AP290" s="9">
        <v>0</v>
      </c>
      <c r="AQ290" s="9">
        <v>0</v>
      </c>
      <c r="AR290" s="9">
        <v>0</v>
      </c>
      <c r="AS290" s="10">
        <f t="shared" si="23"/>
        <v>0</v>
      </c>
      <c r="AT290" s="10">
        <f t="shared" si="24"/>
        <v>0</v>
      </c>
      <c r="AU290" s="5" t="s">
        <v>425</v>
      </c>
    </row>
    <row r="291" spans="1:47" ht="15" customHeight="1" x14ac:dyDescent="0.3">
      <c r="A291" s="7" t="str">
        <f t="shared" si="20"/>
        <v>58_2025</v>
      </c>
      <c r="B291" s="7">
        <v>290</v>
      </c>
      <c r="C291" s="7">
        <f>'Panel Data (Long Format)'!B291</f>
        <v>58</v>
      </c>
      <c r="D291" s="7" t="str">
        <f>'Panel Data (Long Format)'!C291</f>
        <v>IKEJAHOTEL</v>
      </c>
      <c r="E291" s="8" t="str">
        <f>'Panel Data (Long Format)'!D291</f>
        <v>Ikeja Hotel Plc</v>
      </c>
      <c r="F291" s="7" t="str">
        <f>'Panel Data (Long Format)'!E291</f>
        <v>SERVICES</v>
      </c>
      <c r="G291" s="7">
        <f>'Panel Data (Long Format)'!F291</f>
        <v>2025</v>
      </c>
      <c r="H291" s="9">
        <v>0</v>
      </c>
      <c r="I291" s="9">
        <v>0</v>
      </c>
      <c r="J291" s="9">
        <v>0</v>
      </c>
      <c r="K291" s="9">
        <v>0</v>
      </c>
      <c r="L291" s="9">
        <v>0</v>
      </c>
      <c r="M291" s="9">
        <v>0</v>
      </c>
      <c r="N291" s="9">
        <v>0</v>
      </c>
      <c r="O291" s="9">
        <v>0</v>
      </c>
      <c r="P291" s="9">
        <v>0</v>
      </c>
      <c r="Q291" s="9">
        <v>0</v>
      </c>
      <c r="R291" s="9">
        <v>0</v>
      </c>
      <c r="S291" s="9">
        <v>0</v>
      </c>
      <c r="T291" s="9">
        <v>0</v>
      </c>
      <c r="U291" s="9">
        <v>0</v>
      </c>
      <c r="V291" s="9">
        <v>0</v>
      </c>
      <c r="W291" s="9">
        <v>0</v>
      </c>
      <c r="X291" s="9">
        <v>0</v>
      </c>
      <c r="Y291" s="9">
        <v>0</v>
      </c>
      <c r="Z291" s="9">
        <v>0</v>
      </c>
      <c r="AA291" s="9">
        <v>0</v>
      </c>
      <c r="AB291" s="10">
        <f t="shared" si="21"/>
        <v>0</v>
      </c>
      <c r="AC291" s="10">
        <f t="shared" si="22"/>
        <v>0</v>
      </c>
      <c r="AD291" s="9">
        <v>0</v>
      </c>
      <c r="AE291" s="9">
        <v>0</v>
      </c>
      <c r="AF291" s="9">
        <v>0</v>
      </c>
      <c r="AG291" s="9">
        <v>0</v>
      </c>
      <c r="AH291" s="9">
        <v>0</v>
      </c>
      <c r="AI291" s="9">
        <v>0</v>
      </c>
      <c r="AJ291" s="9">
        <v>0</v>
      </c>
      <c r="AK291" s="9">
        <v>0</v>
      </c>
      <c r="AL291" s="9">
        <v>0</v>
      </c>
      <c r="AM291" s="9">
        <v>0</v>
      </c>
      <c r="AN291" s="9">
        <v>0</v>
      </c>
      <c r="AO291" s="9">
        <v>0</v>
      </c>
      <c r="AP291" s="9">
        <v>0</v>
      </c>
      <c r="AQ291" s="9">
        <v>0</v>
      </c>
      <c r="AR291" s="9">
        <v>0</v>
      </c>
      <c r="AS291" s="10">
        <f t="shared" si="23"/>
        <v>0</v>
      </c>
      <c r="AT291" s="10">
        <f t="shared" si="24"/>
        <v>0</v>
      </c>
      <c r="AU291" s="5" t="s">
        <v>426</v>
      </c>
    </row>
    <row r="292" spans="1:47" ht="15" customHeight="1" x14ac:dyDescent="0.3">
      <c r="A292" s="7" t="str">
        <f t="shared" si="20"/>
        <v>59_2021</v>
      </c>
      <c r="B292" s="7">
        <v>291</v>
      </c>
      <c r="C292" s="7">
        <f>'Panel Data (Long Format)'!B292</f>
        <v>59</v>
      </c>
      <c r="D292" s="7" t="str">
        <f>'Panel Data (Long Format)'!C292</f>
        <v>IMG</v>
      </c>
      <c r="E292" s="31" t="s">
        <v>1001</v>
      </c>
      <c r="F292" s="7" t="str">
        <f>'Panel Data (Long Format)'!E292</f>
        <v>NATURAL RESOURCES</v>
      </c>
      <c r="G292" s="7">
        <f>'Panel Data (Long Format)'!F292</f>
        <v>2021</v>
      </c>
      <c r="H292" s="9">
        <v>0</v>
      </c>
      <c r="I292" s="9">
        <v>0</v>
      </c>
      <c r="J292" s="9">
        <v>0</v>
      </c>
      <c r="K292" s="9">
        <v>0</v>
      </c>
      <c r="L292" s="9">
        <v>0</v>
      </c>
      <c r="M292" s="9">
        <v>0</v>
      </c>
      <c r="N292" s="9">
        <v>0</v>
      </c>
      <c r="O292" s="9">
        <v>0</v>
      </c>
      <c r="P292" s="9">
        <v>0</v>
      </c>
      <c r="Q292" s="9">
        <v>0</v>
      </c>
      <c r="R292" s="9">
        <v>0</v>
      </c>
      <c r="S292" s="9">
        <v>0</v>
      </c>
      <c r="T292" s="9">
        <v>0</v>
      </c>
      <c r="U292" s="9">
        <v>0</v>
      </c>
      <c r="V292" s="9">
        <v>0</v>
      </c>
      <c r="W292" s="9">
        <v>0</v>
      </c>
      <c r="X292" s="9">
        <v>0</v>
      </c>
      <c r="Y292" s="9">
        <v>0</v>
      </c>
      <c r="Z292" s="9">
        <v>0</v>
      </c>
      <c r="AA292" s="9">
        <v>0</v>
      </c>
      <c r="AB292" s="10">
        <f t="shared" si="21"/>
        <v>0</v>
      </c>
      <c r="AC292" s="10">
        <f t="shared" si="22"/>
        <v>0</v>
      </c>
      <c r="AD292" s="9">
        <v>0</v>
      </c>
      <c r="AE292" s="9">
        <v>0</v>
      </c>
      <c r="AF292" s="9">
        <v>0</v>
      </c>
      <c r="AG292" s="9">
        <v>0</v>
      </c>
      <c r="AH292" s="9">
        <v>0</v>
      </c>
      <c r="AI292" s="9">
        <v>0</v>
      </c>
      <c r="AJ292" s="9">
        <v>0</v>
      </c>
      <c r="AK292" s="9">
        <v>0</v>
      </c>
      <c r="AL292" s="9">
        <v>0</v>
      </c>
      <c r="AM292" s="9">
        <v>0</v>
      </c>
      <c r="AN292" s="9">
        <v>0</v>
      </c>
      <c r="AO292" s="9">
        <v>0</v>
      </c>
      <c r="AP292" s="9">
        <v>0</v>
      </c>
      <c r="AQ292" s="9">
        <v>0</v>
      </c>
      <c r="AR292" s="9">
        <v>0</v>
      </c>
      <c r="AS292" s="10">
        <f t="shared" si="23"/>
        <v>0</v>
      </c>
      <c r="AT292" s="10">
        <f t="shared" si="24"/>
        <v>0</v>
      </c>
      <c r="AU292" s="32" t="s">
        <v>427</v>
      </c>
    </row>
    <row r="293" spans="1:47" ht="15" customHeight="1" x14ac:dyDescent="0.3">
      <c r="A293" s="7" t="str">
        <f t="shared" si="20"/>
        <v>59_2022</v>
      </c>
      <c r="B293" s="7">
        <v>292</v>
      </c>
      <c r="C293" s="7">
        <f>'Panel Data (Long Format)'!B293</f>
        <v>59</v>
      </c>
      <c r="D293" s="7" t="str">
        <f>'Panel Data (Long Format)'!C293</f>
        <v>IMG</v>
      </c>
      <c r="E293" s="31" t="s">
        <v>1001</v>
      </c>
      <c r="F293" s="7" t="str">
        <f>'Panel Data (Long Format)'!E293</f>
        <v>NATURAL RESOURCES</v>
      </c>
      <c r="G293" s="7">
        <f>'Panel Data (Long Format)'!F293</f>
        <v>2022</v>
      </c>
      <c r="H293" s="9">
        <v>0</v>
      </c>
      <c r="I293" s="9">
        <v>0</v>
      </c>
      <c r="J293" s="9">
        <v>0</v>
      </c>
      <c r="K293" s="9">
        <v>0</v>
      </c>
      <c r="L293" s="9">
        <v>0</v>
      </c>
      <c r="M293" s="9">
        <v>0</v>
      </c>
      <c r="N293" s="9">
        <v>0</v>
      </c>
      <c r="O293" s="9">
        <v>0</v>
      </c>
      <c r="P293" s="9">
        <v>0</v>
      </c>
      <c r="Q293" s="9">
        <v>0</v>
      </c>
      <c r="R293" s="9">
        <v>0</v>
      </c>
      <c r="S293" s="9">
        <v>0</v>
      </c>
      <c r="T293" s="9">
        <v>0</v>
      </c>
      <c r="U293" s="9">
        <v>0</v>
      </c>
      <c r="V293" s="9">
        <v>0</v>
      </c>
      <c r="W293" s="9">
        <v>0</v>
      </c>
      <c r="X293" s="9">
        <v>0</v>
      </c>
      <c r="Y293" s="9">
        <v>0</v>
      </c>
      <c r="Z293" s="9">
        <v>0</v>
      </c>
      <c r="AA293" s="9">
        <v>0</v>
      </c>
      <c r="AB293" s="10">
        <f t="shared" si="21"/>
        <v>0</v>
      </c>
      <c r="AC293" s="10">
        <f t="shared" si="22"/>
        <v>0</v>
      </c>
      <c r="AD293" s="9">
        <v>0</v>
      </c>
      <c r="AE293" s="9">
        <v>0</v>
      </c>
      <c r="AF293" s="9">
        <v>0</v>
      </c>
      <c r="AG293" s="9">
        <v>0</v>
      </c>
      <c r="AH293" s="9">
        <v>0</v>
      </c>
      <c r="AI293" s="9">
        <v>0</v>
      </c>
      <c r="AJ293" s="9">
        <v>0</v>
      </c>
      <c r="AK293" s="9">
        <v>0</v>
      </c>
      <c r="AL293" s="9">
        <v>0</v>
      </c>
      <c r="AM293" s="9">
        <v>0</v>
      </c>
      <c r="AN293" s="9">
        <v>0</v>
      </c>
      <c r="AO293" s="9">
        <v>0</v>
      </c>
      <c r="AP293" s="9">
        <v>0</v>
      </c>
      <c r="AQ293" s="9">
        <v>0</v>
      </c>
      <c r="AR293" s="9">
        <v>0</v>
      </c>
      <c r="AS293" s="10">
        <f t="shared" si="23"/>
        <v>0</v>
      </c>
      <c r="AT293" s="10">
        <f t="shared" si="24"/>
        <v>0</v>
      </c>
      <c r="AU293" s="5" t="s">
        <v>428</v>
      </c>
    </row>
    <row r="294" spans="1:47" ht="15" customHeight="1" x14ac:dyDescent="0.3">
      <c r="A294" s="7" t="str">
        <f t="shared" si="20"/>
        <v>59_2023</v>
      </c>
      <c r="B294" s="7">
        <v>293</v>
      </c>
      <c r="C294" s="7">
        <f>'Panel Data (Long Format)'!B294</f>
        <v>59</v>
      </c>
      <c r="D294" s="7" t="str">
        <f>'Panel Data (Long Format)'!C294</f>
        <v>IMG</v>
      </c>
      <c r="E294" s="31" t="s">
        <v>1001</v>
      </c>
      <c r="F294" s="7" t="str">
        <f>'Panel Data (Long Format)'!E294</f>
        <v>NATURAL RESOURCES</v>
      </c>
      <c r="G294" s="7">
        <f>'Panel Data (Long Format)'!F294</f>
        <v>2023</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10">
        <f t="shared" si="21"/>
        <v>0</v>
      </c>
      <c r="AC294" s="10">
        <f t="shared" si="22"/>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10">
        <f t="shared" si="23"/>
        <v>0</v>
      </c>
      <c r="AT294" s="10">
        <f t="shared" si="24"/>
        <v>0</v>
      </c>
      <c r="AU294" s="5" t="s">
        <v>429</v>
      </c>
    </row>
    <row r="295" spans="1:47" ht="15" customHeight="1" x14ac:dyDescent="0.3">
      <c r="A295" s="7" t="str">
        <f t="shared" si="20"/>
        <v>59_2024</v>
      </c>
      <c r="B295" s="7">
        <v>294</v>
      </c>
      <c r="C295" s="7">
        <f>'Panel Data (Long Format)'!B295</f>
        <v>59</v>
      </c>
      <c r="D295" s="7" t="str">
        <f>'Panel Data (Long Format)'!C295</f>
        <v>IMG</v>
      </c>
      <c r="E295" s="31" t="s">
        <v>1001</v>
      </c>
      <c r="F295" s="7" t="str">
        <f>'Panel Data (Long Format)'!E295</f>
        <v>NATURAL RESOURCES</v>
      </c>
      <c r="G295" s="7">
        <f>'Panel Data (Long Format)'!F295</f>
        <v>2024</v>
      </c>
      <c r="H295" s="9">
        <v>0</v>
      </c>
      <c r="I295" s="9">
        <v>0</v>
      </c>
      <c r="J295" s="9">
        <v>0</v>
      </c>
      <c r="K295" s="9">
        <v>0</v>
      </c>
      <c r="L295" s="9">
        <v>0</v>
      </c>
      <c r="M295" s="9">
        <v>0</v>
      </c>
      <c r="N295" s="9">
        <v>0</v>
      </c>
      <c r="O295" s="9">
        <v>0</v>
      </c>
      <c r="P295" s="9">
        <v>0</v>
      </c>
      <c r="Q295" s="9">
        <v>0</v>
      </c>
      <c r="R295" s="9">
        <v>0</v>
      </c>
      <c r="S295" s="9">
        <v>0</v>
      </c>
      <c r="T295" s="9">
        <v>0</v>
      </c>
      <c r="U295" s="9">
        <v>0</v>
      </c>
      <c r="V295" s="9">
        <v>0</v>
      </c>
      <c r="W295" s="9">
        <v>0</v>
      </c>
      <c r="X295" s="9">
        <v>0</v>
      </c>
      <c r="Y295" s="9">
        <v>0</v>
      </c>
      <c r="Z295" s="9">
        <v>0</v>
      </c>
      <c r="AA295" s="9">
        <v>0</v>
      </c>
      <c r="AB295" s="10">
        <f t="shared" si="21"/>
        <v>0</v>
      </c>
      <c r="AC295" s="10">
        <f t="shared" si="22"/>
        <v>0</v>
      </c>
      <c r="AD295" s="9">
        <v>0</v>
      </c>
      <c r="AE295" s="9">
        <v>0</v>
      </c>
      <c r="AF295" s="9">
        <v>0</v>
      </c>
      <c r="AG295" s="9">
        <v>0</v>
      </c>
      <c r="AH295" s="9">
        <v>0</v>
      </c>
      <c r="AI295" s="9">
        <v>0</v>
      </c>
      <c r="AJ295" s="9">
        <v>0</v>
      </c>
      <c r="AK295" s="9">
        <v>0</v>
      </c>
      <c r="AL295" s="9">
        <v>0</v>
      </c>
      <c r="AM295" s="9">
        <v>0</v>
      </c>
      <c r="AN295" s="9">
        <v>0</v>
      </c>
      <c r="AO295" s="9">
        <v>0</v>
      </c>
      <c r="AP295" s="9">
        <v>0</v>
      </c>
      <c r="AQ295" s="9">
        <v>0</v>
      </c>
      <c r="AR295" s="9">
        <v>0</v>
      </c>
      <c r="AS295" s="10">
        <f t="shared" si="23"/>
        <v>0</v>
      </c>
      <c r="AT295" s="10">
        <f t="shared" si="24"/>
        <v>0</v>
      </c>
      <c r="AU295" s="5" t="s">
        <v>430</v>
      </c>
    </row>
    <row r="296" spans="1:47" ht="15" customHeight="1" x14ac:dyDescent="0.3">
      <c r="A296" s="7" t="str">
        <f t="shared" si="20"/>
        <v>59_2025</v>
      </c>
      <c r="B296" s="7">
        <v>295</v>
      </c>
      <c r="C296" s="7">
        <f>'Panel Data (Long Format)'!B296</f>
        <v>59</v>
      </c>
      <c r="D296" s="7" t="str">
        <f>'Panel Data (Long Format)'!C296</f>
        <v>IMG</v>
      </c>
      <c r="E296" s="31" t="s">
        <v>1001</v>
      </c>
      <c r="F296" s="7" t="str">
        <f>'Panel Data (Long Format)'!E296</f>
        <v>NATURAL RESOURCES</v>
      </c>
      <c r="G296" s="7">
        <f>'Panel Data (Long Format)'!F296</f>
        <v>2025</v>
      </c>
      <c r="H296" s="9">
        <v>0</v>
      </c>
      <c r="I296" s="9">
        <v>0</v>
      </c>
      <c r="J296" s="9">
        <v>0</v>
      </c>
      <c r="K296" s="9">
        <v>0</v>
      </c>
      <c r="L296" s="9">
        <v>0</v>
      </c>
      <c r="M296" s="9">
        <v>0</v>
      </c>
      <c r="N296" s="9">
        <v>0</v>
      </c>
      <c r="O296" s="9">
        <v>0</v>
      </c>
      <c r="P296" s="9">
        <v>0</v>
      </c>
      <c r="Q296" s="9">
        <v>0</v>
      </c>
      <c r="R296" s="9">
        <v>0</v>
      </c>
      <c r="S296" s="9">
        <v>0</v>
      </c>
      <c r="T296" s="9">
        <v>0</v>
      </c>
      <c r="U296" s="9">
        <v>0</v>
      </c>
      <c r="V296" s="9">
        <v>0</v>
      </c>
      <c r="W296" s="9">
        <v>0</v>
      </c>
      <c r="X296" s="9">
        <v>0</v>
      </c>
      <c r="Y296" s="9">
        <v>0</v>
      </c>
      <c r="Z296" s="9">
        <v>0</v>
      </c>
      <c r="AA296" s="9">
        <v>0</v>
      </c>
      <c r="AB296" s="10">
        <f t="shared" si="21"/>
        <v>0</v>
      </c>
      <c r="AC296" s="10">
        <f t="shared" si="22"/>
        <v>0</v>
      </c>
      <c r="AD296" s="9">
        <v>0</v>
      </c>
      <c r="AE296" s="9">
        <v>0</v>
      </c>
      <c r="AF296" s="9">
        <v>0</v>
      </c>
      <c r="AG296" s="9">
        <v>0</v>
      </c>
      <c r="AH296" s="9">
        <v>0</v>
      </c>
      <c r="AI296" s="9">
        <v>0</v>
      </c>
      <c r="AJ296" s="9">
        <v>0</v>
      </c>
      <c r="AK296" s="9">
        <v>0</v>
      </c>
      <c r="AL296" s="9">
        <v>0</v>
      </c>
      <c r="AM296" s="9">
        <v>0</v>
      </c>
      <c r="AN296" s="9">
        <v>0</v>
      </c>
      <c r="AO296" s="9">
        <v>0</v>
      </c>
      <c r="AP296" s="9">
        <v>0</v>
      </c>
      <c r="AQ296" s="9">
        <v>0</v>
      </c>
      <c r="AR296" s="9">
        <v>0</v>
      </c>
      <c r="AS296" s="10">
        <f t="shared" si="23"/>
        <v>0</v>
      </c>
      <c r="AT296" s="10">
        <f t="shared" si="24"/>
        <v>0</v>
      </c>
      <c r="AU296" s="5" t="s">
        <v>431</v>
      </c>
    </row>
    <row r="297" spans="1:47" ht="15" customHeight="1" x14ac:dyDescent="0.3">
      <c r="A297" s="7" t="str">
        <f t="shared" si="20"/>
        <v>60_2021</v>
      </c>
      <c r="B297" s="7">
        <v>296</v>
      </c>
      <c r="C297" s="7">
        <f>'Panel Data (Long Format)'!B297</f>
        <v>60</v>
      </c>
      <c r="D297" s="7" t="str">
        <f>'Panel Data (Long Format)'!C297</f>
        <v>INFINITY</v>
      </c>
      <c r="E297" s="8" t="str">
        <f>'Panel Data (Long Format)'!D297</f>
        <v>Infinity Trust Mortgage Bank Plc</v>
      </c>
      <c r="F297" s="7" t="str">
        <f>'Panel Data (Long Format)'!E297</f>
        <v>FINANCIAL SERVICES</v>
      </c>
      <c r="G297" s="7">
        <f>'Panel Data (Long Format)'!F297</f>
        <v>2021</v>
      </c>
      <c r="H297" s="9">
        <v>0</v>
      </c>
      <c r="I297" s="9">
        <v>1</v>
      </c>
      <c r="J297" s="9">
        <v>0</v>
      </c>
      <c r="K297" s="9">
        <v>0</v>
      </c>
      <c r="L297" s="9">
        <v>0</v>
      </c>
      <c r="M297" s="9">
        <v>1</v>
      </c>
      <c r="N297" s="9">
        <v>1</v>
      </c>
      <c r="O297" s="9">
        <v>1</v>
      </c>
      <c r="P297" s="9">
        <v>0</v>
      </c>
      <c r="Q297" s="9">
        <v>0</v>
      </c>
      <c r="R297" s="9">
        <v>1</v>
      </c>
      <c r="S297" s="9">
        <v>1</v>
      </c>
      <c r="T297" s="9">
        <v>1</v>
      </c>
      <c r="U297" s="9">
        <v>1</v>
      </c>
      <c r="V297" s="9">
        <v>1</v>
      </c>
      <c r="W297" s="9">
        <v>1</v>
      </c>
      <c r="X297" s="9">
        <v>0</v>
      </c>
      <c r="Y297" s="9">
        <v>1</v>
      </c>
      <c r="Z297" s="9">
        <v>0</v>
      </c>
      <c r="AA297" s="9">
        <v>1</v>
      </c>
      <c r="AB297" s="10">
        <f t="shared" si="21"/>
        <v>12</v>
      </c>
      <c r="AC297" s="10">
        <f t="shared" si="22"/>
        <v>60</v>
      </c>
      <c r="AD297" s="9">
        <v>0</v>
      </c>
      <c r="AE297" s="9">
        <v>0</v>
      </c>
      <c r="AF297" s="9">
        <v>0</v>
      </c>
      <c r="AG297" s="9">
        <v>0</v>
      </c>
      <c r="AH297" s="9">
        <v>1</v>
      </c>
      <c r="AI297" s="9">
        <v>0</v>
      </c>
      <c r="AJ297" s="9">
        <v>1</v>
      </c>
      <c r="AK297" s="9">
        <v>0</v>
      </c>
      <c r="AL297" s="9">
        <v>0</v>
      </c>
      <c r="AM297" s="9">
        <v>0</v>
      </c>
      <c r="AN297" s="9">
        <v>0</v>
      </c>
      <c r="AO297" s="9">
        <v>0</v>
      </c>
      <c r="AP297" s="9">
        <v>0</v>
      </c>
      <c r="AQ297" s="9">
        <v>0</v>
      </c>
      <c r="AR297" s="9">
        <v>0</v>
      </c>
      <c r="AS297" s="10">
        <f t="shared" si="23"/>
        <v>2</v>
      </c>
      <c r="AT297" s="10">
        <f t="shared" si="24"/>
        <v>13.333333333333334</v>
      </c>
      <c r="AU297" s="5" t="s">
        <v>432</v>
      </c>
    </row>
    <row r="298" spans="1:47" ht="15" customHeight="1" x14ac:dyDescent="0.3">
      <c r="A298" s="7" t="str">
        <f t="shared" si="20"/>
        <v>60_2022</v>
      </c>
      <c r="B298" s="7">
        <v>297</v>
      </c>
      <c r="C298" s="7">
        <f>'Panel Data (Long Format)'!B298</f>
        <v>60</v>
      </c>
      <c r="D298" s="7" t="str">
        <f>'Panel Data (Long Format)'!C298</f>
        <v>INFINITY</v>
      </c>
      <c r="E298" s="8" t="str">
        <f>'Panel Data (Long Format)'!D298</f>
        <v>Infinity Trust Mortgage Bank Plc</v>
      </c>
      <c r="F298" s="7" t="str">
        <f>'Panel Data (Long Format)'!E298</f>
        <v>FINANCIAL SERVICES</v>
      </c>
      <c r="G298" s="7">
        <f>'Panel Data (Long Format)'!F298</f>
        <v>2022</v>
      </c>
      <c r="H298" s="9">
        <v>0</v>
      </c>
      <c r="I298" s="9">
        <v>1</v>
      </c>
      <c r="J298" s="9">
        <v>0</v>
      </c>
      <c r="K298" s="9">
        <v>0</v>
      </c>
      <c r="L298" s="9">
        <v>0</v>
      </c>
      <c r="M298" s="9">
        <v>1</v>
      </c>
      <c r="N298" s="9">
        <v>1</v>
      </c>
      <c r="O298" s="9">
        <v>1</v>
      </c>
      <c r="P298" s="9">
        <v>0</v>
      </c>
      <c r="Q298" s="9">
        <v>0</v>
      </c>
      <c r="R298" s="9">
        <v>1</v>
      </c>
      <c r="S298" s="9">
        <v>1</v>
      </c>
      <c r="T298" s="9">
        <v>1</v>
      </c>
      <c r="U298" s="9">
        <v>1</v>
      </c>
      <c r="V298" s="9">
        <v>1</v>
      </c>
      <c r="W298" s="9">
        <v>1</v>
      </c>
      <c r="X298" s="9">
        <v>0</v>
      </c>
      <c r="Y298" s="9">
        <v>1</v>
      </c>
      <c r="Z298" s="9">
        <v>0</v>
      </c>
      <c r="AA298" s="9">
        <v>1</v>
      </c>
      <c r="AB298" s="10">
        <f t="shared" si="21"/>
        <v>12</v>
      </c>
      <c r="AC298" s="10">
        <f t="shared" si="22"/>
        <v>60</v>
      </c>
      <c r="AD298" s="9">
        <v>0</v>
      </c>
      <c r="AE298" s="9">
        <v>0</v>
      </c>
      <c r="AF298" s="9">
        <v>0</v>
      </c>
      <c r="AG298" s="9">
        <v>0</v>
      </c>
      <c r="AH298" s="9">
        <v>1</v>
      </c>
      <c r="AI298" s="9">
        <v>0</v>
      </c>
      <c r="AJ298" s="9">
        <v>1</v>
      </c>
      <c r="AK298" s="9">
        <v>0</v>
      </c>
      <c r="AL298" s="9">
        <v>0</v>
      </c>
      <c r="AM298" s="9">
        <v>0</v>
      </c>
      <c r="AN298" s="9">
        <v>0</v>
      </c>
      <c r="AO298" s="9">
        <v>0</v>
      </c>
      <c r="AP298" s="9">
        <v>0</v>
      </c>
      <c r="AQ298" s="9">
        <v>0</v>
      </c>
      <c r="AR298" s="9">
        <v>0</v>
      </c>
      <c r="AS298" s="10">
        <f t="shared" si="23"/>
        <v>2</v>
      </c>
      <c r="AT298" s="10">
        <f t="shared" si="24"/>
        <v>13.333333333333334</v>
      </c>
      <c r="AU298" s="5" t="s">
        <v>433</v>
      </c>
    </row>
    <row r="299" spans="1:47" ht="15" customHeight="1" x14ac:dyDescent="0.3">
      <c r="A299" s="7" t="str">
        <f t="shared" si="20"/>
        <v>60_2023</v>
      </c>
      <c r="B299" s="7">
        <v>298</v>
      </c>
      <c r="C299" s="7">
        <f>'Panel Data (Long Format)'!B299</f>
        <v>60</v>
      </c>
      <c r="D299" s="7" t="str">
        <f>'Panel Data (Long Format)'!C299</f>
        <v>INFINITY</v>
      </c>
      <c r="E299" s="8" t="str">
        <f>'Panel Data (Long Format)'!D299</f>
        <v>Infinity Trust Mortgage Bank Plc</v>
      </c>
      <c r="F299" s="7" t="str">
        <f>'Panel Data (Long Format)'!E299</f>
        <v>FINANCIAL SERVICES</v>
      </c>
      <c r="G299" s="7">
        <f>'Panel Data (Long Format)'!F299</f>
        <v>2023</v>
      </c>
      <c r="H299" s="9">
        <v>0</v>
      </c>
      <c r="I299" s="9">
        <v>1</v>
      </c>
      <c r="J299" s="9">
        <v>0</v>
      </c>
      <c r="K299" s="9">
        <v>0</v>
      </c>
      <c r="L299" s="9">
        <v>0</v>
      </c>
      <c r="M299" s="9">
        <v>1</v>
      </c>
      <c r="N299" s="9">
        <v>1</v>
      </c>
      <c r="O299" s="9">
        <v>1</v>
      </c>
      <c r="P299" s="9">
        <v>0</v>
      </c>
      <c r="Q299" s="9">
        <v>0</v>
      </c>
      <c r="R299" s="9">
        <v>1</v>
      </c>
      <c r="S299" s="9">
        <v>1</v>
      </c>
      <c r="T299" s="9">
        <v>1</v>
      </c>
      <c r="U299" s="9">
        <v>1</v>
      </c>
      <c r="V299" s="9">
        <v>1</v>
      </c>
      <c r="W299" s="9">
        <v>1</v>
      </c>
      <c r="X299" s="9">
        <v>0</v>
      </c>
      <c r="Y299" s="9">
        <v>1</v>
      </c>
      <c r="Z299" s="9">
        <v>0</v>
      </c>
      <c r="AA299" s="9">
        <v>1</v>
      </c>
      <c r="AB299" s="10">
        <f t="shared" si="21"/>
        <v>12</v>
      </c>
      <c r="AC299" s="10">
        <f t="shared" si="22"/>
        <v>60</v>
      </c>
      <c r="AD299" s="9">
        <v>0</v>
      </c>
      <c r="AE299" s="9">
        <v>0</v>
      </c>
      <c r="AF299" s="9">
        <v>0</v>
      </c>
      <c r="AG299" s="9">
        <v>0</v>
      </c>
      <c r="AH299" s="9">
        <v>1</v>
      </c>
      <c r="AI299" s="9">
        <v>0</v>
      </c>
      <c r="AJ299" s="9">
        <v>1</v>
      </c>
      <c r="AK299" s="9">
        <v>0</v>
      </c>
      <c r="AL299" s="9">
        <v>0</v>
      </c>
      <c r="AM299" s="9">
        <v>0</v>
      </c>
      <c r="AN299" s="9">
        <v>0</v>
      </c>
      <c r="AO299" s="9">
        <v>0</v>
      </c>
      <c r="AP299" s="9">
        <v>0</v>
      </c>
      <c r="AQ299" s="9">
        <v>0</v>
      </c>
      <c r="AR299" s="9">
        <v>0</v>
      </c>
      <c r="AS299" s="10">
        <f t="shared" si="23"/>
        <v>2</v>
      </c>
      <c r="AT299" s="10">
        <f t="shared" si="24"/>
        <v>13.333333333333334</v>
      </c>
      <c r="AU299" s="5" t="s">
        <v>434</v>
      </c>
    </row>
    <row r="300" spans="1:47" ht="15" customHeight="1" x14ac:dyDescent="0.3">
      <c r="A300" s="7" t="str">
        <f t="shared" si="20"/>
        <v>60_2024</v>
      </c>
      <c r="B300" s="7">
        <v>299</v>
      </c>
      <c r="C300" s="7">
        <f>'Panel Data (Long Format)'!B300</f>
        <v>60</v>
      </c>
      <c r="D300" s="7" t="str">
        <f>'Panel Data (Long Format)'!C300</f>
        <v>INFINITY</v>
      </c>
      <c r="E300" s="8" t="str">
        <f>'Panel Data (Long Format)'!D300</f>
        <v>Infinity Trust Mortgage Bank Plc</v>
      </c>
      <c r="F300" s="7" t="str">
        <f>'Panel Data (Long Format)'!E300</f>
        <v>FINANCIAL SERVICES</v>
      </c>
      <c r="G300" s="7">
        <f>'Panel Data (Long Format)'!F300</f>
        <v>2024</v>
      </c>
      <c r="H300" s="9">
        <v>0</v>
      </c>
      <c r="I300" s="9">
        <v>1</v>
      </c>
      <c r="J300" s="9">
        <v>0</v>
      </c>
      <c r="K300" s="9">
        <v>0</v>
      </c>
      <c r="L300" s="9">
        <v>0</v>
      </c>
      <c r="M300" s="9">
        <v>1</v>
      </c>
      <c r="N300" s="9">
        <v>1</v>
      </c>
      <c r="O300" s="9">
        <v>1</v>
      </c>
      <c r="P300" s="9">
        <v>0</v>
      </c>
      <c r="Q300" s="9">
        <v>0</v>
      </c>
      <c r="R300" s="9">
        <v>1</v>
      </c>
      <c r="S300" s="9">
        <v>1</v>
      </c>
      <c r="T300" s="9">
        <v>1</v>
      </c>
      <c r="U300" s="9">
        <v>1</v>
      </c>
      <c r="V300" s="9">
        <v>1</v>
      </c>
      <c r="W300" s="9">
        <v>1</v>
      </c>
      <c r="X300" s="9">
        <v>0</v>
      </c>
      <c r="Y300" s="9">
        <v>1</v>
      </c>
      <c r="Z300" s="9">
        <v>0</v>
      </c>
      <c r="AA300" s="9">
        <v>1</v>
      </c>
      <c r="AB300" s="10">
        <f t="shared" si="21"/>
        <v>12</v>
      </c>
      <c r="AC300" s="10">
        <f t="shared" si="22"/>
        <v>60</v>
      </c>
      <c r="AD300" s="9">
        <v>0</v>
      </c>
      <c r="AE300" s="9">
        <v>0</v>
      </c>
      <c r="AF300" s="9">
        <v>0</v>
      </c>
      <c r="AG300" s="9">
        <v>0</v>
      </c>
      <c r="AH300" s="9">
        <v>1</v>
      </c>
      <c r="AI300" s="9">
        <v>0</v>
      </c>
      <c r="AJ300" s="9">
        <v>1</v>
      </c>
      <c r="AK300" s="9">
        <v>0</v>
      </c>
      <c r="AL300" s="9">
        <v>0</v>
      </c>
      <c r="AM300" s="9">
        <v>0</v>
      </c>
      <c r="AN300" s="9">
        <v>0</v>
      </c>
      <c r="AO300" s="9">
        <v>0</v>
      </c>
      <c r="AP300" s="9">
        <v>0</v>
      </c>
      <c r="AQ300" s="9">
        <v>0</v>
      </c>
      <c r="AR300" s="9">
        <v>0</v>
      </c>
      <c r="AS300" s="10">
        <f t="shared" si="23"/>
        <v>2</v>
      </c>
      <c r="AT300" s="10">
        <f t="shared" si="24"/>
        <v>13.333333333333334</v>
      </c>
      <c r="AU300" s="5" t="s">
        <v>435</v>
      </c>
    </row>
    <row r="301" spans="1:47" ht="15" customHeight="1" x14ac:dyDescent="0.3">
      <c r="A301" s="7" t="str">
        <f t="shared" si="20"/>
        <v>60_2025</v>
      </c>
      <c r="B301" s="7">
        <v>300</v>
      </c>
      <c r="C301" s="7">
        <f>'Panel Data (Long Format)'!B301</f>
        <v>60</v>
      </c>
      <c r="D301" s="7" t="str">
        <f>'Panel Data (Long Format)'!C301</f>
        <v>INFINITY</v>
      </c>
      <c r="E301" s="8" t="str">
        <f>'Panel Data (Long Format)'!D301</f>
        <v>Infinity Trust Mortgage Bank Plc</v>
      </c>
      <c r="F301" s="7" t="str">
        <f>'Panel Data (Long Format)'!E301</f>
        <v>FINANCIAL SERVICES</v>
      </c>
      <c r="G301" s="7">
        <f>'Panel Data (Long Format)'!F301</f>
        <v>2025</v>
      </c>
      <c r="H301" s="9">
        <v>0</v>
      </c>
      <c r="I301" s="9">
        <v>1</v>
      </c>
      <c r="J301" s="9">
        <v>0</v>
      </c>
      <c r="K301" s="9">
        <v>0</v>
      </c>
      <c r="L301" s="9">
        <v>0</v>
      </c>
      <c r="M301" s="9">
        <v>1</v>
      </c>
      <c r="N301" s="9">
        <v>1</v>
      </c>
      <c r="O301" s="9">
        <v>1</v>
      </c>
      <c r="P301" s="9">
        <v>0</v>
      </c>
      <c r="Q301" s="9">
        <v>0</v>
      </c>
      <c r="R301" s="9">
        <v>1</v>
      </c>
      <c r="S301" s="9">
        <v>1</v>
      </c>
      <c r="T301" s="9">
        <v>1</v>
      </c>
      <c r="U301" s="9">
        <v>1</v>
      </c>
      <c r="V301" s="9">
        <v>1</v>
      </c>
      <c r="W301" s="9">
        <v>1</v>
      </c>
      <c r="X301" s="9">
        <v>0</v>
      </c>
      <c r="Y301" s="9">
        <v>1</v>
      </c>
      <c r="Z301" s="9">
        <v>0</v>
      </c>
      <c r="AA301" s="9">
        <v>1</v>
      </c>
      <c r="AB301" s="10">
        <f t="shared" si="21"/>
        <v>12</v>
      </c>
      <c r="AC301" s="10">
        <f t="shared" si="22"/>
        <v>60</v>
      </c>
      <c r="AD301" s="9">
        <v>0</v>
      </c>
      <c r="AE301" s="9">
        <v>0</v>
      </c>
      <c r="AF301" s="9">
        <v>0</v>
      </c>
      <c r="AG301" s="9">
        <v>0</v>
      </c>
      <c r="AH301" s="9">
        <v>1</v>
      </c>
      <c r="AI301" s="9">
        <v>0</v>
      </c>
      <c r="AJ301" s="9">
        <v>1</v>
      </c>
      <c r="AK301" s="9">
        <v>0</v>
      </c>
      <c r="AL301" s="9">
        <v>0</v>
      </c>
      <c r="AM301" s="9">
        <v>0</v>
      </c>
      <c r="AN301" s="9">
        <v>0</v>
      </c>
      <c r="AO301" s="9">
        <v>0</v>
      </c>
      <c r="AP301" s="9">
        <v>0</v>
      </c>
      <c r="AQ301" s="9">
        <v>0</v>
      </c>
      <c r="AR301" s="9">
        <v>0</v>
      </c>
      <c r="AS301" s="10">
        <f t="shared" si="23"/>
        <v>2</v>
      </c>
      <c r="AT301" s="10">
        <f t="shared" si="24"/>
        <v>13.333333333333334</v>
      </c>
      <c r="AU301" s="5" t="s">
        <v>436</v>
      </c>
    </row>
    <row r="302" spans="1:47" ht="15" customHeight="1" x14ac:dyDescent="0.3">
      <c r="A302" s="7" t="str">
        <f t="shared" si="20"/>
        <v>61_2021</v>
      </c>
      <c r="B302" s="7">
        <v>301</v>
      </c>
      <c r="C302" s="7">
        <f>'Panel Data (Long Format)'!B302</f>
        <v>61</v>
      </c>
      <c r="D302" s="7" t="str">
        <f>'Panel Data (Long Format)'!C302</f>
        <v>INTBREW</v>
      </c>
      <c r="E302" s="8" t="str">
        <f>'Panel Data (Long Format)'!D302</f>
        <v>International Breweries Plc</v>
      </c>
      <c r="F302" s="7" t="str">
        <f>'Panel Data (Long Format)'!E302</f>
        <v>CONSUMER GOODS</v>
      </c>
      <c r="G302" s="7">
        <f>'Panel Data (Long Format)'!F302</f>
        <v>2021</v>
      </c>
      <c r="H302" s="9">
        <v>1</v>
      </c>
      <c r="I302" s="9">
        <v>0</v>
      </c>
      <c r="J302" s="9">
        <v>1</v>
      </c>
      <c r="K302" s="9">
        <v>0</v>
      </c>
      <c r="L302" s="9">
        <v>0</v>
      </c>
      <c r="M302" s="9">
        <v>0</v>
      </c>
      <c r="N302" s="9">
        <v>0</v>
      </c>
      <c r="O302" s="9">
        <v>0</v>
      </c>
      <c r="P302" s="9">
        <v>0</v>
      </c>
      <c r="Q302" s="9">
        <v>0</v>
      </c>
      <c r="R302" s="9">
        <v>0</v>
      </c>
      <c r="S302" s="9">
        <v>0</v>
      </c>
      <c r="T302" s="9">
        <v>0</v>
      </c>
      <c r="U302" s="9">
        <v>1</v>
      </c>
      <c r="V302" s="9">
        <v>0</v>
      </c>
      <c r="W302" s="9">
        <v>0</v>
      </c>
      <c r="X302" s="9">
        <v>0</v>
      </c>
      <c r="Y302" s="9">
        <v>0</v>
      </c>
      <c r="Z302" s="9">
        <v>0</v>
      </c>
      <c r="AA302" s="9">
        <v>0</v>
      </c>
      <c r="AB302" s="10">
        <f t="shared" si="21"/>
        <v>3</v>
      </c>
      <c r="AC302" s="10">
        <f t="shared" si="22"/>
        <v>15</v>
      </c>
      <c r="AD302" s="9">
        <v>0</v>
      </c>
      <c r="AE302" s="9">
        <v>0</v>
      </c>
      <c r="AF302" s="9">
        <v>0</v>
      </c>
      <c r="AG302" s="9">
        <v>0</v>
      </c>
      <c r="AH302" s="9">
        <v>0</v>
      </c>
      <c r="AI302" s="9">
        <v>0</v>
      </c>
      <c r="AJ302" s="9">
        <v>0</v>
      </c>
      <c r="AK302" s="9">
        <v>0</v>
      </c>
      <c r="AL302" s="9">
        <v>0</v>
      </c>
      <c r="AM302" s="9">
        <v>0</v>
      </c>
      <c r="AN302" s="9">
        <v>0</v>
      </c>
      <c r="AO302" s="9">
        <v>0</v>
      </c>
      <c r="AP302" s="9">
        <v>0</v>
      </c>
      <c r="AQ302" s="9">
        <v>0</v>
      </c>
      <c r="AR302" s="9">
        <v>0</v>
      </c>
      <c r="AS302" s="10">
        <f t="shared" si="23"/>
        <v>0</v>
      </c>
      <c r="AT302" s="10">
        <f t="shared" si="24"/>
        <v>0</v>
      </c>
      <c r="AU302" s="5" t="s">
        <v>437</v>
      </c>
    </row>
    <row r="303" spans="1:47" ht="15" customHeight="1" x14ac:dyDescent="0.3">
      <c r="A303" s="7" t="str">
        <f t="shared" si="20"/>
        <v>61_2022</v>
      </c>
      <c r="B303" s="7">
        <v>302</v>
      </c>
      <c r="C303" s="7">
        <f>'Panel Data (Long Format)'!B303</f>
        <v>61</v>
      </c>
      <c r="D303" s="7" t="str">
        <f>'Panel Data (Long Format)'!C303</f>
        <v>INTBREW</v>
      </c>
      <c r="E303" s="8" t="str">
        <f>'Panel Data (Long Format)'!D303</f>
        <v>International Breweries Plc</v>
      </c>
      <c r="F303" s="7" t="str">
        <f>'Panel Data (Long Format)'!E303</f>
        <v>CONSUMER GOODS</v>
      </c>
      <c r="G303" s="7">
        <f>'Panel Data (Long Format)'!F303</f>
        <v>2022</v>
      </c>
      <c r="H303" s="9">
        <v>1</v>
      </c>
      <c r="I303" s="9">
        <v>0</v>
      </c>
      <c r="J303" s="9">
        <v>1</v>
      </c>
      <c r="K303" s="9">
        <v>0</v>
      </c>
      <c r="L303" s="9">
        <v>0</v>
      </c>
      <c r="M303" s="9">
        <v>0</v>
      </c>
      <c r="N303" s="9">
        <v>0</v>
      </c>
      <c r="O303" s="9">
        <v>0</v>
      </c>
      <c r="P303" s="9">
        <v>0</v>
      </c>
      <c r="Q303" s="9">
        <v>0</v>
      </c>
      <c r="R303" s="9">
        <v>0</v>
      </c>
      <c r="S303" s="9">
        <v>0</v>
      </c>
      <c r="T303" s="9">
        <v>0</v>
      </c>
      <c r="U303" s="9">
        <v>1</v>
      </c>
      <c r="V303" s="9">
        <v>0</v>
      </c>
      <c r="W303" s="9">
        <v>0</v>
      </c>
      <c r="X303" s="9">
        <v>0</v>
      </c>
      <c r="Y303" s="9">
        <v>0</v>
      </c>
      <c r="Z303" s="9">
        <v>0</v>
      </c>
      <c r="AA303" s="9">
        <v>0</v>
      </c>
      <c r="AB303" s="10">
        <f t="shared" si="21"/>
        <v>3</v>
      </c>
      <c r="AC303" s="10">
        <f t="shared" si="22"/>
        <v>15</v>
      </c>
      <c r="AD303" s="9">
        <v>0</v>
      </c>
      <c r="AE303" s="9">
        <v>0</v>
      </c>
      <c r="AF303" s="9">
        <v>0</v>
      </c>
      <c r="AG303" s="9">
        <v>0</v>
      </c>
      <c r="AH303" s="9">
        <v>0</v>
      </c>
      <c r="AI303" s="9">
        <v>0</v>
      </c>
      <c r="AJ303" s="9">
        <v>0</v>
      </c>
      <c r="AK303" s="9">
        <v>0</v>
      </c>
      <c r="AL303" s="9">
        <v>0</v>
      </c>
      <c r="AM303" s="9">
        <v>0</v>
      </c>
      <c r="AN303" s="9">
        <v>0</v>
      </c>
      <c r="AO303" s="9">
        <v>0</v>
      </c>
      <c r="AP303" s="9">
        <v>0</v>
      </c>
      <c r="AQ303" s="9">
        <v>0</v>
      </c>
      <c r="AR303" s="9">
        <v>0</v>
      </c>
      <c r="AS303" s="10">
        <f t="shared" si="23"/>
        <v>0</v>
      </c>
      <c r="AT303" s="10">
        <f t="shared" si="24"/>
        <v>0</v>
      </c>
      <c r="AU303" s="5" t="s">
        <v>438</v>
      </c>
    </row>
    <row r="304" spans="1:47" ht="15" customHeight="1" x14ac:dyDescent="0.3">
      <c r="A304" s="7" t="str">
        <f t="shared" si="20"/>
        <v>61_2023</v>
      </c>
      <c r="B304" s="7">
        <v>303</v>
      </c>
      <c r="C304" s="7">
        <f>'Panel Data (Long Format)'!B304</f>
        <v>61</v>
      </c>
      <c r="D304" s="7" t="str">
        <f>'Panel Data (Long Format)'!C304</f>
        <v>INTBREW</v>
      </c>
      <c r="E304" s="8" t="str">
        <f>'Panel Data (Long Format)'!D304</f>
        <v>International Breweries Plc</v>
      </c>
      <c r="F304" s="7" t="str">
        <f>'Panel Data (Long Format)'!E304</f>
        <v>CONSUMER GOODS</v>
      </c>
      <c r="G304" s="7">
        <f>'Panel Data (Long Format)'!F304</f>
        <v>2023</v>
      </c>
      <c r="H304" s="9">
        <v>1</v>
      </c>
      <c r="I304" s="9">
        <v>0</v>
      </c>
      <c r="J304" s="9">
        <v>1</v>
      </c>
      <c r="K304" s="9">
        <v>0</v>
      </c>
      <c r="L304" s="9">
        <v>0</v>
      </c>
      <c r="M304" s="9">
        <v>0</v>
      </c>
      <c r="N304" s="9">
        <v>0</v>
      </c>
      <c r="O304" s="9">
        <v>0</v>
      </c>
      <c r="P304" s="9">
        <v>0</v>
      </c>
      <c r="Q304" s="9">
        <v>0</v>
      </c>
      <c r="R304" s="9">
        <v>0</v>
      </c>
      <c r="S304" s="9">
        <v>0</v>
      </c>
      <c r="T304" s="9">
        <v>0</v>
      </c>
      <c r="U304" s="9">
        <v>1</v>
      </c>
      <c r="V304" s="9">
        <v>0</v>
      </c>
      <c r="W304" s="9">
        <v>0</v>
      </c>
      <c r="X304" s="9">
        <v>0</v>
      </c>
      <c r="Y304" s="9">
        <v>0</v>
      </c>
      <c r="Z304" s="9">
        <v>0</v>
      </c>
      <c r="AA304" s="9">
        <v>0</v>
      </c>
      <c r="AB304" s="10">
        <f t="shared" si="21"/>
        <v>3</v>
      </c>
      <c r="AC304" s="10">
        <f t="shared" si="22"/>
        <v>15</v>
      </c>
      <c r="AD304" s="9">
        <v>0</v>
      </c>
      <c r="AE304" s="9">
        <v>0</v>
      </c>
      <c r="AF304" s="9">
        <v>0</v>
      </c>
      <c r="AG304" s="9">
        <v>0</v>
      </c>
      <c r="AH304" s="9">
        <v>0</v>
      </c>
      <c r="AI304" s="9">
        <v>0</v>
      </c>
      <c r="AJ304" s="9">
        <v>0</v>
      </c>
      <c r="AK304" s="9">
        <v>0</v>
      </c>
      <c r="AL304" s="9">
        <v>0</v>
      </c>
      <c r="AM304" s="9">
        <v>0</v>
      </c>
      <c r="AN304" s="9">
        <v>0</v>
      </c>
      <c r="AO304" s="9">
        <v>0</v>
      </c>
      <c r="AP304" s="9">
        <v>0</v>
      </c>
      <c r="AQ304" s="9">
        <v>0</v>
      </c>
      <c r="AR304" s="9">
        <v>0</v>
      </c>
      <c r="AS304" s="10">
        <f t="shared" si="23"/>
        <v>0</v>
      </c>
      <c r="AT304" s="10">
        <f t="shared" si="24"/>
        <v>0</v>
      </c>
      <c r="AU304" s="5" t="s">
        <v>439</v>
      </c>
    </row>
    <row r="305" spans="1:47" ht="15" customHeight="1" x14ac:dyDescent="0.3">
      <c r="A305" s="7" t="str">
        <f t="shared" si="20"/>
        <v>61_2024</v>
      </c>
      <c r="B305" s="7">
        <v>304</v>
      </c>
      <c r="C305" s="7">
        <f>'Panel Data (Long Format)'!B305</f>
        <v>61</v>
      </c>
      <c r="D305" s="7" t="str">
        <f>'Panel Data (Long Format)'!C305</f>
        <v>INTBREW</v>
      </c>
      <c r="E305" s="8" t="str">
        <f>'Panel Data (Long Format)'!D305</f>
        <v>International Breweries Plc</v>
      </c>
      <c r="F305" s="7" t="str">
        <f>'Panel Data (Long Format)'!E305</f>
        <v>CONSUMER GOODS</v>
      </c>
      <c r="G305" s="7">
        <f>'Panel Data (Long Format)'!F305</f>
        <v>2024</v>
      </c>
      <c r="H305" s="9">
        <v>1</v>
      </c>
      <c r="I305" s="9">
        <v>0</v>
      </c>
      <c r="J305" s="9">
        <v>1</v>
      </c>
      <c r="K305" s="9">
        <v>0</v>
      </c>
      <c r="L305" s="9">
        <v>0</v>
      </c>
      <c r="M305" s="9">
        <v>0</v>
      </c>
      <c r="N305" s="9">
        <v>0</v>
      </c>
      <c r="O305" s="9">
        <v>0</v>
      </c>
      <c r="P305" s="9">
        <v>0</v>
      </c>
      <c r="Q305" s="9">
        <v>0</v>
      </c>
      <c r="R305" s="9">
        <v>0</v>
      </c>
      <c r="S305" s="9">
        <v>0</v>
      </c>
      <c r="T305" s="9">
        <v>0</v>
      </c>
      <c r="U305" s="9">
        <v>1</v>
      </c>
      <c r="V305" s="9">
        <v>0</v>
      </c>
      <c r="W305" s="9">
        <v>0</v>
      </c>
      <c r="X305" s="9">
        <v>0</v>
      </c>
      <c r="Y305" s="9">
        <v>0</v>
      </c>
      <c r="Z305" s="9">
        <v>0</v>
      </c>
      <c r="AA305" s="9">
        <v>0</v>
      </c>
      <c r="AB305" s="10">
        <f t="shared" si="21"/>
        <v>3</v>
      </c>
      <c r="AC305" s="10">
        <f t="shared" si="22"/>
        <v>15</v>
      </c>
      <c r="AD305" s="9">
        <v>0</v>
      </c>
      <c r="AE305" s="9">
        <v>0</v>
      </c>
      <c r="AF305" s="9">
        <v>0</v>
      </c>
      <c r="AG305" s="9">
        <v>0</v>
      </c>
      <c r="AH305" s="9">
        <v>0</v>
      </c>
      <c r="AI305" s="9">
        <v>0</v>
      </c>
      <c r="AJ305" s="9">
        <v>0</v>
      </c>
      <c r="AK305" s="9">
        <v>0</v>
      </c>
      <c r="AL305" s="9">
        <v>0</v>
      </c>
      <c r="AM305" s="9">
        <v>0</v>
      </c>
      <c r="AN305" s="9">
        <v>0</v>
      </c>
      <c r="AO305" s="9">
        <v>0</v>
      </c>
      <c r="AP305" s="9">
        <v>0</v>
      </c>
      <c r="AQ305" s="9">
        <v>0</v>
      </c>
      <c r="AR305" s="9">
        <v>0</v>
      </c>
      <c r="AS305" s="10">
        <f t="shared" si="23"/>
        <v>0</v>
      </c>
      <c r="AT305" s="10">
        <f t="shared" si="24"/>
        <v>0</v>
      </c>
      <c r="AU305" s="5" t="s">
        <v>440</v>
      </c>
    </row>
    <row r="306" spans="1:47" ht="15" customHeight="1" x14ac:dyDescent="0.3">
      <c r="A306" s="7" t="str">
        <f t="shared" si="20"/>
        <v>61_2025</v>
      </c>
      <c r="B306" s="7">
        <v>305</v>
      </c>
      <c r="C306" s="7">
        <f>'Panel Data (Long Format)'!B306</f>
        <v>61</v>
      </c>
      <c r="D306" s="7" t="str">
        <f>'Panel Data (Long Format)'!C306</f>
        <v>INTBREW</v>
      </c>
      <c r="E306" s="8" t="str">
        <f>'Panel Data (Long Format)'!D306</f>
        <v>International Breweries Plc</v>
      </c>
      <c r="F306" s="7" t="str">
        <f>'Panel Data (Long Format)'!E306</f>
        <v>CONSUMER GOODS</v>
      </c>
      <c r="G306" s="7">
        <f>'Panel Data (Long Format)'!F306</f>
        <v>2025</v>
      </c>
      <c r="H306" s="9">
        <v>1</v>
      </c>
      <c r="I306" s="9">
        <v>0</v>
      </c>
      <c r="J306" s="9">
        <v>1</v>
      </c>
      <c r="K306" s="9">
        <v>0</v>
      </c>
      <c r="L306" s="9">
        <v>0</v>
      </c>
      <c r="M306" s="9">
        <v>0</v>
      </c>
      <c r="N306" s="9">
        <v>0</v>
      </c>
      <c r="O306" s="9">
        <v>0</v>
      </c>
      <c r="P306" s="9">
        <v>0</v>
      </c>
      <c r="Q306" s="9">
        <v>0</v>
      </c>
      <c r="R306" s="9">
        <v>0</v>
      </c>
      <c r="S306" s="9">
        <v>0</v>
      </c>
      <c r="T306" s="9">
        <v>0</v>
      </c>
      <c r="U306" s="9">
        <v>1</v>
      </c>
      <c r="V306" s="9">
        <v>0</v>
      </c>
      <c r="W306" s="9">
        <v>0</v>
      </c>
      <c r="X306" s="9">
        <v>0</v>
      </c>
      <c r="Y306" s="9">
        <v>0</v>
      </c>
      <c r="Z306" s="9">
        <v>0</v>
      </c>
      <c r="AA306" s="9">
        <v>0</v>
      </c>
      <c r="AB306" s="10">
        <f t="shared" si="21"/>
        <v>3</v>
      </c>
      <c r="AC306" s="10">
        <f t="shared" si="22"/>
        <v>15</v>
      </c>
      <c r="AD306" s="9">
        <v>0</v>
      </c>
      <c r="AE306" s="9">
        <v>0</v>
      </c>
      <c r="AF306" s="9">
        <v>0</v>
      </c>
      <c r="AG306" s="9">
        <v>0</v>
      </c>
      <c r="AH306" s="9">
        <v>0</v>
      </c>
      <c r="AI306" s="9">
        <v>0</v>
      </c>
      <c r="AJ306" s="9">
        <v>0</v>
      </c>
      <c r="AK306" s="9">
        <v>0</v>
      </c>
      <c r="AL306" s="9">
        <v>0</v>
      </c>
      <c r="AM306" s="9">
        <v>0</v>
      </c>
      <c r="AN306" s="9">
        <v>0</v>
      </c>
      <c r="AO306" s="9">
        <v>0</v>
      </c>
      <c r="AP306" s="9">
        <v>0</v>
      </c>
      <c r="AQ306" s="9">
        <v>0</v>
      </c>
      <c r="AR306" s="9">
        <v>0</v>
      </c>
      <c r="AS306" s="10">
        <f t="shared" si="23"/>
        <v>0</v>
      </c>
      <c r="AT306" s="10">
        <f t="shared" si="24"/>
        <v>0</v>
      </c>
      <c r="AU306" s="5" t="s">
        <v>441</v>
      </c>
    </row>
    <row r="307" spans="1:47" ht="15" customHeight="1" x14ac:dyDescent="0.3">
      <c r="A307" s="7" t="str">
        <f t="shared" si="20"/>
        <v>62_2021</v>
      </c>
      <c r="B307" s="7">
        <v>306</v>
      </c>
      <c r="C307" s="7">
        <f>'Panel Data (Long Format)'!B307</f>
        <v>62</v>
      </c>
      <c r="D307" s="7" t="str">
        <f>'Panel Data (Long Format)'!C307</f>
        <v>INTENEGINS</v>
      </c>
      <c r="E307" s="8" t="str">
        <f>'Panel Data (Long Format)'!D307</f>
        <v>International Energy Insurance Plc</v>
      </c>
      <c r="F307" s="7" t="str">
        <f>'Panel Data (Long Format)'!E307</f>
        <v>FINANCIAL SERVICES</v>
      </c>
      <c r="G307" s="7">
        <f>'Panel Data (Long Format)'!F307</f>
        <v>2021</v>
      </c>
      <c r="H307" s="9">
        <v>0</v>
      </c>
      <c r="I307" s="9">
        <v>0</v>
      </c>
      <c r="J307" s="9">
        <v>0</v>
      </c>
      <c r="K307" s="9">
        <v>0</v>
      </c>
      <c r="L307" s="9">
        <v>0</v>
      </c>
      <c r="M307" s="9">
        <v>0</v>
      </c>
      <c r="N307" s="9">
        <v>0</v>
      </c>
      <c r="O307" s="9">
        <v>0</v>
      </c>
      <c r="P307" s="9">
        <v>0</v>
      </c>
      <c r="Q307" s="9">
        <v>0</v>
      </c>
      <c r="R307" s="9">
        <v>0</v>
      </c>
      <c r="S307" s="9">
        <v>0</v>
      </c>
      <c r="T307" s="9">
        <v>0</v>
      </c>
      <c r="U307" s="9">
        <v>0</v>
      </c>
      <c r="V307" s="9">
        <v>0</v>
      </c>
      <c r="W307" s="9">
        <v>0</v>
      </c>
      <c r="X307" s="9">
        <v>0</v>
      </c>
      <c r="Y307" s="9">
        <v>0</v>
      </c>
      <c r="Z307" s="9">
        <v>0</v>
      </c>
      <c r="AA307" s="9">
        <v>0</v>
      </c>
      <c r="AB307" s="10">
        <f t="shared" si="21"/>
        <v>0</v>
      </c>
      <c r="AC307" s="10">
        <f t="shared" si="22"/>
        <v>0</v>
      </c>
      <c r="AD307" s="9">
        <v>0</v>
      </c>
      <c r="AE307" s="9">
        <v>0</v>
      </c>
      <c r="AF307" s="9">
        <v>0</v>
      </c>
      <c r="AG307" s="9">
        <v>0</v>
      </c>
      <c r="AH307" s="9">
        <v>0</v>
      </c>
      <c r="AI307" s="9">
        <v>0</v>
      </c>
      <c r="AJ307" s="9">
        <v>0</v>
      </c>
      <c r="AK307" s="9">
        <v>0</v>
      </c>
      <c r="AL307" s="9">
        <v>0</v>
      </c>
      <c r="AM307" s="9">
        <v>0</v>
      </c>
      <c r="AN307" s="9">
        <v>0</v>
      </c>
      <c r="AO307" s="9">
        <v>0</v>
      </c>
      <c r="AP307" s="9">
        <v>0</v>
      </c>
      <c r="AQ307" s="9">
        <v>0</v>
      </c>
      <c r="AR307" s="9">
        <v>0</v>
      </c>
      <c r="AS307" s="10">
        <f t="shared" si="23"/>
        <v>0</v>
      </c>
      <c r="AT307" s="10">
        <f t="shared" si="24"/>
        <v>0</v>
      </c>
      <c r="AU307" s="5" t="s">
        <v>442</v>
      </c>
    </row>
    <row r="308" spans="1:47" ht="15" customHeight="1" x14ac:dyDescent="0.3">
      <c r="A308" s="7" t="str">
        <f t="shared" si="20"/>
        <v>62_2022</v>
      </c>
      <c r="B308" s="7">
        <v>307</v>
      </c>
      <c r="C308" s="7">
        <f>'Panel Data (Long Format)'!B308</f>
        <v>62</v>
      </c>
      <c r="D308" s="7" t="str">
        <f>'Panel Data (Long Format)'!C308</f>
        <v>INTENEGINS</v>
      </c>
      <c r="E308" s="8" t="str">
        <f>'Panel Data (Long Format)'!D308</f>
        <v>International Energy Insurance Plc</v>
      </c>
      <c r="F308" s="7" t="str">
        <f>'Panel Data (Long Format)'!E308</f>
        <v>FINANCIAL SERVICES</v>
      </c>
      <c r="G308" s="7">
        <f>'Panel Data (Long Format)'!F308</f>
        <v>2022</v>
      </c>
      <c r="H308" s="9">
        <v>0</v>
      </c>
      <c r="I308" s="9">
        <v>0</v>
      </c>
      <c r="J308" s="9">
        <v>0</v>
      </c>
      <c r="K308" s="9">
        <v>0</v>
      </c>
      <c r="L308" s="9">
        <v>0</v>
      </c>
      <c r="M308" s="9">
        <v>0</v>
      </c>
      <c r="N308" s="9">
        <v>0</v>
      </c>
      <c r="O308" s="9">
        <v>0</v>
      </c>
      <c r="P308" s="9">
        <v>0</v>
      </c>
      <c r="Q308" s="9">
        <v>0</v>
      </c>
      <c r="R308" s="9">
        <v>0</v>
      </c>
      <c r="S308" s="9">
        <v>0</v>
      </c>
      <c r="T308" s="9">
        <v>0</v>
      </c>
      <c r="U308" s="9">
        <v>0</v>
      </c>
      <c r="V308" s="9">
        <v>0</v>
      </c>
      <c r="W308" s="9">
        <v>0</v>
      </c>
      <c r="X308" s="9">
        <v>0</v>
      </c>
      <c r="Y308" s="9">
        <v>0</v>
      </c>
      <c r="Z308" s="9">
        <v>0</v>
      </c>
      <c r="AA308" s="9">
        <v>0</v>
      </c>
      <c r="AB308" s="10">
        <f t="shared" si="21"/>
        <v>0</v>
      </c>
      <c r="AC308" s="10">
        <f t="shared" si="22"/>
        <v>0</v>
      </c>
      <c r="AD308" s="9">
        <v>0</v>
      </c>
      <c r="AE308" s="9">
        <v>0</v>
      </c>
      <c r="AF308" s="9">
        <v>0</v>
      </c>
      <c r="AG308" s="9">
        <v>0</v>
      </c>
      <c r="AH308" s="9">
        <v>0</v>
      </c>
      <c r="AI308" s="9">
        <v>0</v>
      </c>
      <c r="AJ308" s="9">
        <v>0</v>
      </c>
      <c r="AK308" s="9">
        <v>0</v>
      </c>
      <c r="AL308" s="9">
        <v>0</v>
      </c>
      <c r="AM308" s="9">
        <v>0</v>
      </c>
      <c r="AN308" s="9">
        <v>0</v>
      </c>
      <c r="AO308" s="9">
        <v>0</v>
      </c>
      <c r="AP308" s="9">
        <v>0</v>
      </c>
      <c r="AQ308" s="9">
        <v>0</v>
      </c>
      <c r="AR308" s="9">
        <v>0</v>
      </c>
      <c r="AS308" s="10">
        <f t="shared" si="23"/>
        <v>0</v>
      </c>
      <c r="AT308" s="10">
        <f t="shared" si="24"/>
        <v>0</v>
      </c>
      <c r="AU308" s="5" t="s">
        <v>443</v>
      </c>
    </row>
    <row r="309" spans="1:47" ht="15" customHeight="1" x14ac:dyDescent="0.3">
      <c r="A309" s="7" t="str">
        <f t="shared" si="20"/>
        <v>62_2023</v>
      </c>
      <c r="B309" s="7">
        <v>308</v>
      </c>
      <c r="C309" s="7">
        <f>'Panel Data (Long Format)'!B309</f>
        <v>62</v>
      </c>
      <c r="D309" s="7" t="str">
        <f>'Panel Data (Long Format)'!C309</f>
        <v>INTENEGINS</v>
      </c>
      <c r="E309" s="8" t="str">
        <f>'Panel Data (Long Format)'!D309</f>
        <v>International Energy Insurance Plc</v>
      </c>
      <c r="F309" s="7" t="str">
        <f>'Panel Data (Long Format)'!E309</f>
        <v>FINANCIAL SERVICES</v>
      </c>
      <c r="G309" s="7">
        <f>'Panel Data (Long Format)'!F309</f>
        <v>2023</v>
      </c>
      <c r="H309" s="9">
        <v>0</v>
      </c>
      <c r="I309" s="9">
        <v>0</v>
      </c>
      <c r="J309" s="9">
        <v>0</v>
      </c>
      <c r="K309" s="9">
        <v>0</v>
      </c>
      <c r="L309" s="9">
        <v>0</v>
      </c>
      <c r="M309" s="9">
        <v>0</v>
      </c>
      <c r="N309" s="9">
        <v>0</v>
      </c>
      <c r="O309" s="9">
        <v>0</v>
      </c>
      <c r="P309" s="9">
        <v>0</v>
      </c>
      <c r="Q309" s="9">
        <v>0</v>
      </c>
      <c r="R309" s="9">
        <v>0</v>
      </c>
      <c r="S309" s="9">
        <v>0</v>
      </c>
      <c r="T309" s="9">
        <v>0</v>
      </c>
      <c r="U309" s="9">
        <v>0</v>
      </c>
      <c r="V309" s="9">
        <v>0</v>
      </c>
      <c r="W309" s="9">
        <v>0</v>
      </c>
      <c r="X309" s="9">
        <v>0</v>
      </c>
      <c r="Y309" s="9">
        <v>0</v>
      </c>
      <c r="Z309" s="9">
        <v>0</v>
      </c>
      <c r="AA309" s="9">
        <v>0</v>
      </c>
      <c r="AB309" s="10">
        <f t="shared" si="21"/>
        <v>0</v>
      </c>
      <c r="AC309" s="10">
        <f t="shared" si="22"/>
        <v>0</v>
      </c>
      <c r="AD309" s="9">
        <v>0</v>
      </c>
      <c r="AE309" s="9">
        <v>0</v>
      </c>
      <c r="AF309" s="9">
        <v>0</v>
      </c>
      <c r="AG309" s="9">
        <v>0</v>
      </c>
      <c r="AH309" s="9">
        <v>0</v>
      </c>
      <c r="AI309" s="9">
        <v>0</v>
      </c>
      <c r="AJ309" s="9">
        <v>0</v>
      </c>
      <c r="AK309" s="9">
        <v>0</v>
      </c>
      <c r="AL309" s="9">
        <v>0</v>
      </c>
      <c r="AM309" s="9">
        <v>0</v>
      </c>
      <c r="AN309" s="9">
        <v>0</v>
      </c>
      <c r="AO309" s="9">
        <v>0</v>
      </c>
      <c r="AP309" s="9">
        <v>0</v>
      </c>
      <c r="AQ309" s="9">
        <v>0</v>
      </c>
      <c r="AR309" s="9">
        <v>0</v>
      </c>
      <c r="AS309" s="10">
        <f t="shared" si="23"/>
        <v>0</v>
      </c>
      <c r="AT309" s="10">
        <f t="shared" si="24"/>
        <v>0</v>
      </c>
      <c r="AU309" s="5" t="s">
        <v>444</v>
      </c>
    </row>
    <row r="310" spans="1:47" ht="15" customHeight="1" x14ac:dyDescent="0.3">
      <c r="A310" s="7" t="str">
        <f t="shared" si="20"/>
        <v>62_2024</v>
      </c>
      <c r="B310" s="7">
        <v>309</v>
      </c>
      <c r="C310" s="7">
        <f>'Panel Data (Long Format)'!B310</f>
        <v>62</v>
      </c>
      <c r="D310" s="7" t="str">
        <f>'Panel Data (Long Format)'!C310</f>
        <v>INTENEGINS</v>
      </c>
      <c r="E310" s="8" t="str">
        <f>'Panel Data (Long Format)'!D310</f>
        <v>International Energy Insurance Plc</v>
      </c>
      <c r="F310" s="7" t="str">
        <f>'Panel Data (Long Format)'!E310</f>
        <v>FINANCIAL SERVICES</v>
      </c>
      <c r="G310" s="7">
        <f>'Panel Data (Long Format)'!F310</f>
        <v>2024</v>
      </c>
      <c r="H310" s="9">
        <v>0</v>
      </c>
      <c r="I310" s="9">
        <v>0</v>
      </c>
      <c r="J310" s="9">
        <v>0</v>
      </c>
      <c r="K310" s="9">
        <v>0</v>
      </c>
      <c r="L310" s="9">
        <v>0</v>
      </c>
      <c r="M310" s="9">
        <v>0</v>
      </c>
      <c r="N310" s="9">
        <v>0</v>
      </c>
      <c r="O310" s="9">
        <v>0</v>
      </c>
      <c r="P310" s="9">
        <v>0</v>
      </c>
      <c r="Q310" s="9">
        <v>0</v>
      </c>
      <c r="R310" s="9">
        <v>0</v>
      </c>
      <c r="S310" s="9">
        <v>0</v>
      </c>
      <c r="T310" s="9">
        <v>0</v>
      </c>
      <c r="U310" s="9">
        <v>0</v>
      </c>
      <c r="V310" s="9">
        <v>0</v>
      </c>
      <c r="W310" s="9">
        <v>0</v>
      </c>
      <c r="X310" s="9">
        <v>0</v>
      </c>
      <c r="Y310" s="9">
        <v>0</v>
      </c>
      <c r="Z310" s="9">
        <v>0</v>
      </c>
      <c r="AA310" s="9">
        <v>0</v>
      </c>
      <c r="AB310" s="10">
        <f t="shared" si="21"/>
        <v>0</v>
      </c>
      <c r="AC310" s="10">
        <f t="shared" si="22"/>
        <v>0</v>
      </c>
      <c r="AD310" s="9">
        <v>0</v>
      </c>
      <c r="AE310" s="9">
        <v>0</v>
      </c>
      <c r="AF310" s="9">
        <v>0</v>
      </c>
      <c r="AG310" s="9">
        <v>0</v>
      </c>
      <c r="AH310" s="9">
        <v>0</v>
      </c>
      <c r="AI310" s="9">
        <v>0</v>
      </c>
      <c r="AJ310" s="9">
        <v>0</v>
      </c>
      <c r="AK310" s="9">
        <v>0</v>
      </c>
      <c r="AL310" s="9">
        <v>0</v>
      </c>
      <c r="AM310" s="9">
        <v>0</v>
      </c>
      <c r="AN310" s="9">
        <v>0</v>
      </c>
      <c r="AO310" s="9">
        <v>0</v>
      </c>
      <c r="AP310" s="9">
        <v>0</v>
      </c>
      <c r="AQ310" s="9">
        <v>0</v>
      </c>
      <c r="AR310" s="9">
        <v>0</v>
      </c>
      <c r="AS310" s="10">
        <f t="shared" si="23"/>
        <v>0</v>
      </c>
      <c r="AT310" s="10">
        <f t="shared" si="24"/>
        <v>0</v>
      </c>
      <c r="AU310" s="5" t="s">
        <v>445</v>
      </c>
    </row>
    <row r="311" spans="1:47" ht="15" customHeight="1" x14ac:dyDescent="0.3">
      <c r="A311" s="7" t="str">
        <f t="shared" si="20"/>
        <v>62_2025</v>
      </c>
      <c r="B311" s="7">
        <v>310</v>
      </c>
      <c r="C311" s="7">
        <f>'Panel Data (Long Format)'!B311</f>
        <v>62</v>
      </c>
      <c r="D311" s="7" t="str">
        <f>'Panel Data (Long Format)'!C311</f>
        <v>INTENEGINS</v>
      </c>
      <c r="E311" s="8" t="str">
        <f>'Panel Data (Long Format)'!D311</f>
        <v>International Energy Insurance Plc</v>
      </c>
      <c r="F311" s="7" t="str">
        <f>'Panel Data (Long Format)'!E311</f>
        <v>FINANCIAL SERVICES</v>
      </c>
      <c r="G311" s="7">
        <f>'Panel Data (Long Format)'!F311</f>
        <v>2025</v>
      </c>
      <c r="H311" s="9">
        <v>0</v>
      </c>
      <c r="I311" s="9">
        <v>0</v>
      </c>
      <c r="J311" s="9">
        <v>0</v>
      </c>
      <c r="K311" s="9">
        <v>0</v>
      </c>
      <c r="L311" s="9">
        <v>0</v>
      </c>
      <c r="M311" s="9">
        <v>0</v>
      </c>
      <c r="N311" s="9">
        <v>0</v>
      </c>
      <c r="O311" s="9">
        <v>0</v>
      </c>
      <c r="P311" s="9">
        <v>0</v>
      </c>
      <c r="Q311" s="9">
        <v>0</v>
      </c>
      <c r="R311" s="9">
        <v>1</v>
      </c>
      <c r="S311" s="9">
        <v>0</v>
      </c>
      <c r="T311" s="9">
        <v>0</v>
      </c>
      <c r="U311" s="9">
        <v>1</v>
      </c>
      <c r="V311" s="9">
        <v>0</v>
      </c>
      <c r="W311" s="9">
        <v>0</v>
      </c>
      <c r="X311" s="9">
        <v>0</v>
      </c>
      <c r="Y311" s="9">
        <v>0</v>
      </c>
      <c r="Z311" s="9">
        <v>0</v>
      </c>
      <c r="AA311" s="9">
        <v>0</v>
      </c>
      <c r="AB311" s="10">
        <f t="shared" si="21"/>
        <v>2</v>
      </c>
      <c r="AC311" s="10">
        <f t="shared" si="22"/>
        <v>10</v>
      </c>
      <c r="AD311" s="9">
        <v>0</v>
      </c>
      <c r="AE311" s="9">
        <v>0</v>
      </c>
      <c r="AF311" s="9">
        <v>0</v>
      </c>
      <c r="AG311" s="9">
        <v>0</v>
      </c>
      <c r="AH311" s="9">
        <v>0</v>
      </c>
      <c r="AI311" s="9">
        <v>0</v>
      </c>
      <c r="AJ311" s="9">
        <v>0</v>
      </c>
      <c r="AK311" s="9">
        <v>0</v>
      </c>
      <c r="AL311" s="9">
        <v>0</v>
      </c>
      <c r="AM311" s="9">
        <v>0</v>
      </c>
      <c r="AN311" s="9">
        <v>0</v>
      </c>
      <c r="AO311" s="9">
        <v>0</v>
      </c>
      <c r="AP311" s="9">
        <v>0</v>
      </c>
      <c r="AQ311" s="9">
        <v>0</v>
      </c>
      <c r="AR311" s="9">
        <v>0</v>
      </c>
      <c r="AS311" s="10">
        <f t="shared" si="23"/>
        <v>0</v>
      </c>
      <c r="AT311" s="10">
        <f t="shared" si="24"/>
        <v>0</v>
      </c>
      <c r="AU311" s="5" t="s">
        <v>446</v>
      </c>
    </row>
    <row r="312" spans="1:47" ht="15" customHeight="1" x14ac:dyDescent="0.3">
      <c r="A312" s="7" t="str">
        <f t="shared" si="20"/>
        <v>63_2021</v>
      </c>
      <c r="B312" s="7">
        <v>311</v>
      </c>
      <c r="C312" s="7">
        <f>'Panel Data (Long Format)'!B312</f>
        <v>63</v>
      </c>
      <c r="D312" s="7" t="str">
        <f>'Panel Data (Long Format)'!C312</f>
        <v>JAIZBANK</v>
      </c>
      <c r="E312" s="8" t="str">
        <f>'Panel Data (Long Format)'!D312</f>
        <v>Jaiz Bank Plc</v>
      </c>
      <c r="F312" s="7" t="str">
        <f>'Panel Data (Long Format)'!E312</f>
        <v>FINANCIAL SERVICES</v>
      </c>
      <c r="G312" s="7">
        <f>'Panel Data (Long Format)'!F312</f>
        <v>2021</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0</v>
      </c>
      <c r="AB312" s="10">
        <f t="shared" si="21"/>
        <v>0</v>
      </c>
      <c r="AC312" s="10">
        <f t="shared" si="22"/>
        <v>0</v>
      </c>
      <c r="AD312" s="9">
        <v>0</v>
      </c>
      <c r="AE312" s="9">
        <v>0</v>
      </c>
      <c r="AF312" s="9">
        <v>0</v>
      </c>
      <c r="AG312" s="9">
        <v>0</v>
      </c>
      <c r="AH312" s="9">
        <v>0</v>
      </c>
      <c r="AI312" s="9">
        <v>0</v>
      </c>
      <c r="AJ312" s="9">
        <v>0</v>
      </c>
      <c r="AK312" s="9">
        <v>0</v>
      </c>
      <c r="AL312" s="9">
        <v>0</v>
      </c>
      <c r="AM312" s="9">
        <v>0</v>
      </c>
      <c r="AN312" s="9">
        <v>0</v>
      </c>
      <c r="AO312" s="9">
        <v>0</v>
      </c>
      <c r="AP312" s="9">
        <v>0</v>
      </c>
      <c r="AQ312" s="9">
        <v>0</v>
      </c>
      <c r="AR312" s="9">
        <v>0</v>
      </c>
      <c r="AS312" s="10">
        <f t="shared" si="23"/>
        <v>0</v>
      </c>
      <c r="AT312" s="10">
        <f t="shared" si="24"/>
        <v>0</v>
      </c>
      <c r="AU312" s="5" t="s">
        <v>447</v>
      </c>
    </row>
    <row r="313" spans="1:47" ht="15" customHeight="1" x14ac:dyDescent="0.3">
      <c r="A313" s="7" t="str">
        <f t="shared" si="20"/>
        <v>63_2022</v>
      </c>
      <c r="B313" s="7">
        <v>312</v>
      </c>
      <c r="C313" s="7">
        <f>'Panel Data (Long Format)'!B313</f>
        <v>63</v>
      </c>
      <c r="D313" s="7" t="str">
        <f>'Panel Data (Long Format)'!C313</f>
        <v>JAIZBANK</v>
      </c>
      <c r="E313" s="8" t="str">
        <f>'Panel Data (Long Format)'!D313</f>
        <v>Jaiz Bank Plc</v>
      </c>
      <c r="F313" s="7" t="str">
        <f>'Panel Data (Long Format)'!E313</f>
        <v>FINANCIAL SERVICES</v>
      </c>
      <c r="G313" s="7">
        <f>'Panel Data (Long Format)'!F313</f>
        <v>2022</v>
      </c>
      <c r="H313" s="9">
        <v>0</v>
      </c>
      <c r="I313" s="9">
        <v>0</v>
      </c>
      <c r="J313" s="9">
        <v>0</v>
      </c>
      <c r="K313" s="9">
        <v>0</v>
      </c>
      <c r="L313" s="9">
        <v>0</v>
      </c>
      <c r="M313" s="9">
        <v>0</v>
      </c>
      <c r="N313" s="9">
        <v>0</v>
      </c>
      <c r="O313" s="9">
        <v>0</v>
      </c>
      <c r="P313" s="9">
        <v>0</v>
      </c>
      <c r="Q313" s="9">
        <v>0</v>
      </c>
      <c r="R313" s="9">
        <v>0</v>
      </c>
      <c r="S313" s="9">
        <v>0</v>
      </c>
      <c r="T313" s="9">
        <v>0</v>
      </c>
      <c r="U313" s="9">
        <v>0</v>
      </c>
      <c r="V313" s="9">
        <v>0</v>
      </c>
      <c r="W313" s="9">
        <v>0</v>
      </c>
      <c r="X313" s="9">
        <v>0</v>
      </c>
      <c r="Y313" s="9">
        <v>0</v>
      </c>
      <c r="Z313" s="9">
        <v>0</v>
      </c>
      <c r="AA313" s="9">
        <v>0</v>
      </c>
      <c r="AB313" s="10">
        <f t="shared" si="21"/>
        <v>0</v>
      </c>
      <c r="AC313" s="10">
        <f t="shared" si="22"/>
        <v>0</v>
      </c>
      <c r="AD313" s="9">
        <v>0</v>
      </c>
      <c r="AE313" s="9">
        <v>0</v>
      </c>
      <c r="AF313" s="9">
        <v>0</v>
      </c>
      <c r="AG313" s="9">
        <v>0</v>
      </c>
      <c r="AH313" s="9">
        <v>0</v>
      </c>
      <c r="AI313" s="9">
        <v>0</v>
      </c>
      <c r="AJ313" s="9">
        <v>0</v>
      </c>
      <c r="AK313" s="9">
        <v>0</v>
      </c>
      <c r="AL313" s="9">
        <v>0</v>
      </c>
      <c r="AM313" s="9">
        <v>0</v>
      </c>
      <c r="AN313" s="9">
        <v>0</v>
      </c>
      <c r="AO313" s="9">
        <v>0</v>
      </c>
      <c r="AP313" s="9">
        <v>0</v>
      </c>
      <c r="AQ313" s="9">
        <v>0</v>
      </c>
      <c r="AR313" s="9">
        <v>0</v>
      </c>
      <c r="AS313" s="10">
        <f t="shared" si="23"/>
        <v>0</v>
      </c>
      <c r="AT313" s="10">
        <f t="shared" si="24"/>
        <v>0</v>
      </c>
      <c r="AU313" s="5" t="s">
        <v>448</v>
      </c>
    </row>
    <row r="314" spans="1:47" ht="15" customHeight="1" x14ac:dyDescent="0.3">
      <c r="A314" s="7" t="str">
        <f t="shared" si="20"/>
        <v>63_2023</v>
      </c>
      <c r="B314" s="7">
        <v>313</v>
      </c>
      <c r="C314" s="7">
        <f>'Panel Data (Long Format)'!B314</f>
        <v>63</v>
      </c>
      <c r="D314" s="7" t="str">
        <f>'Panel Data (Long Format)'!C314</f>
        <v>JAIZBANK</v>
      </c>
      <c r="E314" s="8" t="str">
        <f>'Panel Data (Long Format)'!D314</f>
        <v>Jaiz Bank Plc</v>
      </c>
      <c r="F314" s="7" t="str">
        <f>'Panel Data (Long Format)'!E314</f>
        <v>FINANCIAL SERVICES</v>
      </c>
      <c r="G314" s="7">
        <f>'Panel Data (Long Format)'!F314</f>
        <v>2023</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10">
        <f t="shared" si="21"/>
        <v>0</v>
      </c>
      <c r="AC314" s="10">
        <f t="shared" si="22"/>
        <v>0</v>
      </c>
      <c r="AD314" s="9">
        <v>0</v>
      </c>
      <c r="AE314" s="9">
        <v>0</v>
      </c>
      <c r="AF314" s="9">
        <v>0</v>
      </c>
      <c r="AG314" s="9">
        <v>0</v>
      </c>
      <c r="AH314" s="9">
        <v>0</v>
      </c>
      <c r="AI314" s="9">
        <v>0</v>
      </c>
      <c r="AJ314" s="9">
        <v>0</v>
      </c>
      <c r="AK314" s="9">
        <v>0</v>
      </c>
      <c r="AL314" s="9">
        <v>0</v>
      </c>
      <c r="AM314" s="9">
        <v>0</v>
      </c>
      <c r="AN314" s="9">
        <v>0</v>
      </c>
      <c r="AO314" s="9">
        <v>0</v>
      </c>
      <c r="AP314" s="9">
        <v>0</v>
      </c>
      <c r="AQ314" s="9">
        <v>0</v>
      </c>
      <c r="AR314" s="9">
        <v>0</v>
      </c>
      <c r="AS314" s="10">
        <f t="shared" si="23"/>
        <v>0</v>
      </c>
      <c r="AT314" s="10">
        <f t="shared" si="24"/>
        <v>0</v>
      </c>
      <c r="AU314" s="5" t="s">
        <v>449</v>
      </c>
    </row>
    <row r="315" spans="1:47" ht="15" customHeight="1" x14ac:dyDescent="0.3">
      <c r="A315" s="7" t="str">
        <f t="shared" si="20"/>
        <v>63_2024</v>
      </c>
      <c r="B315" s="7">
        <v>314</v>
      </c>
      <c r="C315" s="7">
        <f>'Panel Data (Long Format)'!B315</f>
        <v>63</v>
      </c>
      <c r="D315" s="7" t="str">
        <f>'Panel Data (Long Format)'!C315</f>
        <v>JAIZBANK</v>
      </c>
      <c r="E315" s="8" t="str">
        <f>'Panel Data (Long Format)'!D315</f>
        <v>Jaiz Bank Plc</v>
      </c>
      <c r="F315" s="7" t="str">
        <f>'Panel Data (Long Format)'!E315</f>
        <v>FINANCIAL SERVICES</v>
      </c>
      <c r="G315" s="7">
        <f>'Panel Data (Long Format)'!F315</f>
        <v>2024</v>
      </c>
      <c r="H315" s="9">
        <v>0</v>
      </c>
      <c r="I315" s="9">
        <v>0</v>
      </c>
      <c r="J315" s="9">
        <v>0</v>
      </c>
      <c r="K315" s="9">
        <v>0</v>
      </c>
      <c r="L315" s="9">
        <v>0</v>
      </c>
      <c r="M315" s="9">
        <v>0</v>
      </c>
      <c r="N315" s="9">
        <v>0</v>
      </c>
      <c r="O315" s="9">
        <v>0</v>
      </c>
      <c r="P315" s="9">
        <v>0</v>
      </c>
      <c r="Q315" s="9">
        <v>0</v>
      </c>
      <c r="R315" s="9">
        <v>0</v>
      </c>
      <c r="S315" s="9">
        <v>0</v>
      </c>
      <c r="T315" s="9">
        <v>0</v>
      </c>
      <c r="U315" s="9">
        <v>0</v>
      </c>
      <c r="V315" s="9">
        <v>0</v>
      </c>
      <c r="W315" s="9">
        <v>0</v>
      </c>
      <c r="X315" s="9">
        <v>0</v>
      </c>
      <c r="Y315" s="9">
        <v>0</v>
      </c>
      <c r="Z315" s="9">
        <v>0</v>
      </c>
      <c r="AA315" s="9">
        <v>0</v>
      </c>
      <c r="AB315" s="10">
        <f t="shared" si="21"/>
        <v>0</v>
      </c>
      <c r="AC315" s="10">
        <f t="shared" si="22"/>
        <v>0</v>
      </c>
      <c r="AD315" s="9">
        <v>0</v>
      </c>
      <c r="AE315" s="9">
        <v>0</v>
      </c>
      <c r="AF315" s="9">
        <v>0</v>
      </c>
      <c r="AG315" s="9">
        <v>0</v>
      </c>
      <c r="AH315" s="9">
        <v>0</v>
      </c>
      <c r="AI315" s="9">
        <v>0</v>
      </c>
      <c r="AJ315" s="9">
        <v>0</v>
      </c>
      <c r="AK315" s="9">
        <v>0</v>
      </c>
      <c r="AL315" s="9">
        <v>0</v>
      </c>
      <c r="AM315" s="9">
        <v>0</v>
      </c>
      <c r="AN315" s="9">
        <v>0</v>
      </c>
      <c r="AO315" s="9">
        <v>0</v>
      </c>
      <c r="AP315" s="9">
        <v>0</v>
      </c>
      <c r="AQ315" s="9">
        <v>0</v>
      </c>
      <c r="AR315" s="9">
        <v>0</v>
      </c>
      <c r="AS315" s="10">
        <f t="shared" si="23"/>
        <v>0</v>
      </c>
      <c r="AT315" s="10">
        <f t="shared" si="24"/>
        <v>0</v>
      </c>
      <c r="AU315" s="5" t="s">
        <v>450</v>
      </c>
    </row>
    <row r="316" spans="1:47" ht="15" customHeight="1" x14ac:dyDescent="0.3">
      <c r="A316" s="7" t="str">
        <f t="shared" si="20"/>
        <v>63_2025</v>
      </c>
      <c r="B316" s="7">
        <v>315</v>
      </c>
      <c r="C316" s="7">
        <f>'Panel Data (Long Format)'!B316</f>
        <v>63</v>
      </c>
      <c r="D316" s="7" t="str">
        <f>'Panel Data (Long Format)'!C316</f>
        <v>JAIZBANK</v>
      </c>
      <c r="E316" s="8" t="str">
        <f>'Panel Data (Long Format)'!D316</f>
        <v>Jaiz Bank Plc</v>
      </c>
      <c r="F316" s="7" t="str">
        <f>'Panel Data (Long Format)'!E316</f>
        <v>FINANCIAL SERVICES</v>
      </c>
      <c r="G316" s="7">
        <f>'Panel Data (Long Format)'!F316</f>
        <v>2025</v>
      </c>
      <c r="H316" s="9">
        <v>0</v>
      </c>
      <c r="I316" s="9">
        <v>0</v>
      </c>
      <c r="J316" s="9">
        <v>0</v>
      </c>
      <c r="K316" s="9">
        <v>0</v>
      </c>
      <c r="L316" s="9">
        <v>0</v>
      </c>
      <c r="M316" s="9">
        <v>0</v>
      </c>
      <c r="N316" s="9">
        <v>0</v>
      </c>
      <c r="O316" s="9">
        <v>0</v>
      </c>
      <c r="P316" s="9">
        <v>0</v>
      </c>
      <c r="Q316" s="9">
        <v>0</v>
      </c>
      <c r="R316" s="9">
        <v>0</v>
      </c>
      <c r="S316" s="9">
        <v>0</v>
      </c>
      <c r="T316" s="9">
        <v>0</v>
      </c>
      <c r="U316" s="9">
        <v>0</v>
      </c>
      <c r="V316" s="9">
        <v>0</v>
      </c>
      <c r="W316" s="9">
        <v>0</v>
      </c>
      <c r="X316" s="9">
        <v>0</v>
      </c>
      <c r="Y316" s="9">
        <v>0</v>
      </c>
      <c r="Z316" s="9">
        <v>0</v>
      </c>
      <c r="AA316" s="9">
        <v>0</v>
      </c>
      <c r="AB316" s="10">
        <f t="shared" si="21"/>
        <v>0</v>
      </c>
      <c r="AC316" s="10">
        <f t="shared" si="22"/>
        <v>0</v>
      </c>
      <c r="AD316" s="9">
        <v>0</v>
      </c>
      <c r="AE316" s="9">
        <v>0</v>
      </c>
      <c r="AF316" s="9">
        <v>0</v>
      </c>
      <c r="AG316" s="9">
        <v>0</v>
      </c>
      <c r="AH316" s="9">
        <v>0</v>
      </c>
      <c r="AI316" s="9">
        <v>0</v>
      </c>
      <c r="AJ316" s="9">
        <v>0</v>
      </c>
      <c r="AK316" s="9">
        <v>0</v>
      </c>
      <c r="AL316" s="9">
        <v>0</v>
      </c>
      <c r="AM316" s="9">
        <v>0</v>
      </c>
      <c r="AN316" s="9">
        <v>0</v>
      </c>
      <c r="AO316" s="9">
        <v>0</v>
      </c>
      <c r="AP316" s="9">
        <v>0</v>
      </c>
      <c r="AQ316" s="9">
        <v>0</v>
      </c>
      <c r="AR316" s="9">
        <v>0</v>
      </c>
      <c r="AS316" s="10">
        <f t="shared" si="23"/>
        <v>0</v>
      </c>
      <c r="AT316" s="10">
        <f t="shared" si="24"/>
        <v>0</v>
      </c>
      <c r="AU316" s="5" t="s">
        <v>451</v>
      </c>
    </row>
    <row r="317" spans="1:47" ht="15" customHeight="1" x14ac:dyDescent="0.3">
      <c r="A317" s="7" t="str">
        <f t="shared" si="20"/>
        <v>64_2021</v>
      </c>
      <c r="B317" s="7">
        <v>316</v>
      </c>
      <c r="C317" s="7">
        <f>'Panel Data (Long Format)'!B317</f>
        <v>64</v>
      </c>
      <c r="D317" s="7" t="str">
        <f>'Panel Data (Long Format)'!C317</f>
        <v>JAPAULGOLD</v>
      </c>
      <c r="E317" s="8" t="str">
        <f>'Panel Data (Long Format)'!D317</f>
        <v>Japaul Gold &amp; Ventures Plc</v>
      </c>
      <c r="F317" s="7" t="str">
        <f>'Panel Data (Long Format)'!E317</f>
        <v>OIL AND GAS</v>
      </c>
      <c r="G317" s="7">
        <f>'Panel Data (Long Format)'!F317</f>
        <v>2021</v>
      </c>
      <c r="H317" s="9">
        <v>0</v>
      </c>
      <c r="I317" s="9">
        <v>0</v>
      </c>
      <c r="J317" s="9">
        <v>0</v>
      </c>
      <c r="K317" s="9">
        <v>0</v>
      </c>
      <c r="L317" s="9">
        <v>0</v>
      </c>
      <c r="M317" s="9">
        <v>0</v>
      </c>
      <c r="N317" s="9">
        <v>0</v>
      </c>
      <c r="O317" s="9">
        <v>0</v>
      </c>
      <c r="P317" s="9">
        <v>0</v>
      </c>
      <c r="Q317" s="9">
        <v>0</v>
      </c>
      <c r="R317" s="9">
        <v>0</v>
      </c>
      <c r="S317" s="9">
        <v>0</v>
      </c>
      <c r="T317" s="9">
        <v>0</v>
      </c>
      <c r="U317" s="9">
        <v>0</v>
      </c>
      <c r="V317" s="9">
        <v>0</v>
      </c>
      <c r="W317" s="9">
        <v>0</v>
      </c>
      <c r="X317" s="9">
        <v>0</v>
      </c>
      <c r="Y317" s="9">
        <v>0</v>
      </c>
      <c r="Z317" s="9">
        <v>0</v>
      </c>
      <c r="AA317" s="9">
        <v>0</v>
      </c>
      <c r="AB317" s="10">
        <f t="shared" si="21"/>
        <v>0</v>
      </c>
      <c r="AC317" s="10">
        <f t="shared" si="22"/>
        <v>0</v>
      </c>
      <c r="AD317" s="9">
        <v>0</v>
      </c>
      <c r="AE317" s="9">
        <v>0</v>
      </c>
      <c r="AF317" s="9">
        <v>0</v>
      </c>
      <c r="AG317" s="9">
        <v>0</v>
      </c>
      <c r="AH317" s="9">
        <v>0</v>
      </c>
      <c r="AI317" s="9">
        <v>0</v>
      </c>
      <c r="AJ317" s="9">
        <v>0</v>
      </c>
      <c r="AK317" s="9">
        <v>0</v>
      </c>
      <c r="AL317" s="9">
        <v>0</v>
      </c>
      <c r="AM317" s="9">
        <v>0</v>
      </c>
      <c r="AN317" s="9">
        <v>0</v>
      </c>
      <c r="AO317" s="9">
        <v>0</v>
      </c>
      <c r="AP317" s="9">
        <v>0</v>
      </c>
      <c r="AQ317" s="9">
        <v>0</v>
      </c>
      <c r="AR317" s="9">
        <v>0</v>
      </c>
      <c r="AS317" s="10">
        <f t="shared" si="23"/>
        <v>0</v>
      </c>
      <c r="AT317" s="10">
        <f t="shared" si="24"/>
        <v>0</v>
      </c>
      <c r="AU317" s="5" t="s">
        <v>452</v>
      </c>
    </row>
    <row r="318" spans="1:47" ht="15" customHeight="1" x14ac:dyDescent="0.3">
      <c r="A318" s="7" t="str">
        <f t="shared" si="20"/>
        <v>64_2022</v>
      </c>
      <c r="B318" s="7">
        <v>317</v>
      </c>
      <c r="C318" s="7">
        <f>'Panel Data (Long Format)'!B318</f>
        <v>64</v>
      </c>
      <c r="D318" s="7" t="str">
        <f>'Panel Data (Long Format)'!C318</f>
        <v>JAPAULGOLD</v>
      </c>
      <c r="E318" s="8" t="str">
        <f>'Panel Data (Long Format)'!D318</f>
        <v>Japaul Gold &amp; Ventures Plc</v>
      </c>
      <c r="F318" s="7" t="str">
        <f>'Panel Data (Long Format)'!E318</f>
        <v>OIL AND GAS</v>
      </c>
      <c r="G318" s="7">
        <f>'Panel Data (Long Format)'!F318</f>
        <v>2022</v>
      </c>
      <c r="H318" s="9">
        <v>0</v>
      </c>
      <c r="I318" s="9">
        <v>0</v>
      </c>
      <c r="J318" s="9">
        <v>0</v>
      </c>
      <c r="K318" s="9">
        <v>0</v>
      </c>
      <c r="L318" s="9">
        <v>0</v>
      </c>
      <c r="M318" s="9">
        <v>0</v>
      </c>
      <c r="N318" s="9">
        <v>0</v>
      </c>
      <c r="O318" s="9">
        <v>0</v>
      </c>
      <c r="P318" s="9">
        <v>0</v>
      </c>
      <c r="Q318" s="9">
        <v>0</v>
      </c>
      <c r="R318" s="9">
        <v>0</v>
      </c>
      <c r="S318" s="9">
        <v>0</v>
      </c>
      <c r="T318" s="9">
        <v>0</v>
      </c>
      <c r="U318" s="9">
        <v>0</v>
      </c>
      <c r="V318" s="9">
        <v>0</v>
      </c>
      <c r="W318" s="9">
        <v>0</v>
      </c>
      <c r="X318" s="9">
        <v>0</v>
      </c>
      <c r="Y318" s="9">
        <v>0</v>
      </c>
      <c r="Z318" s="9">
        <v>0</v>
      </c>
      <c r="AA318" s="9">
        <v>0</v>
      </c>
      <c r="AB318" s="10">
        <f t="shared" si="21"/>
        <v>0</v>
      </c>
      <c r="AC318" s="10">
        <f t="shared" si="22"/>
        <v>0</v>
      </c>
      <c r="AD318" s="9">
        <v>0</v>
      </c>
      <c r="AE318" s="9">
        <v>0</v>
      </c>
      <c r="AF318" s="9">
        <v>0</v>
      </c>
      <c r="AG318" s="9">
        <v>0</v>
      </c>
      <c r="AH318" s="9">
        <v>0</v>
      </c>
      <c r="AI318" s="9">
        <v>0</v>
      </c>
      <c r="AJ318" s="9">
        <v>0</v>
      </c>
      <c r="AK318" s="9">
        <v>0</v>
      </c>
      <c r="AL318" s="9">
        <v>0</v>
      </c>
      <c r="AM318" s="9">
        <v>0</v>
      </c>
      <c r="AN318" s="9">
        <v>0</v>
      </c>
      <c r="AO318" s="9">
        <v>0</v>
      </c>
      <c r="AP318" s="9">
        <v>0</v>
      </c>
      <c r="AQ318" s="9">
        <v>0</v>
      </c>
      <c r="AR318" s="9">
        <v>0</v>
      </c>
      <c r="AS318" s="10">
        <f t="shared" si="23"/>
        <v>0</v>
      </c>
      <c r="AT318" s="10">
        <f t="shared" si="24"/>
        <v>0</v>
      </c>
      <c r="AU318" s="5" t="s">
        <v>453</v>
      </c>
    </row>
    <row r="319" spans="1:47" ht="15" customHeight="1" x14ac:dyDescent="0.3">
      <c r="A319" s="7" t="str">
        <f t="shared" si="20"/>
        <v>64_2023</v>
      </c>
      <c r="B319" s="7">
        <v>318</v>
      </c>
      <c r="C319" s="7">
        <f>'Panel Data (Long Format)'!B319</f>
        <v>64</v>
      </c>
      <c r="D319" s="7" t="str">
        <f>'Panel Data (Long Format)'!C319</f>
        <v>JAPAULGOLD</v>
      </c>
      <c r="E319" s="8" t="str">
        <f>'Panel Data (Long Format)'!D319</f>
        <v>Japaul Gold &amp; Ventures Plc</v>
      </c>
      <c r="F319" s="7" t="str">
        <f>'Panel Data (Long Format)'!E319</f>
        <v>OIL AND GAS</v>
      </c>
      <c r="G319" s="7">
        <f>'Panel Data (Long Format)'!F319</f>
        <v>2023</v>
      </c>
      <c r="H319" s="9">
        <v>0</v>
      </c>
      <c r="I319" s="9">
        <v>0</v>
      </c>
      <c r="J319" s="9">
        <v>0</v>
      </c>
      <c r="K319" s="9">
        <v>0</v>
      </c>
      <c r="L319" s="9">
        <v>0</v>
      </c>
      <c r="M319" s="9">
        <v>0</v>
      </c>
      <c r="N319" s="9">
        <v>0</v>
      </c>
      <c r="O319" s="9">
        <v>0</v>
      </c>
      <c r="P319" s="9">
        <v>0</v>
      </c>
      <c r="Q319" s="9">
        <v>0</v>
      </c>
      <c r="R319" s="9">
        <v>0</v>
      </c>
      <c r="S319" s="9">
        <v>0</v>
      </c>
      <c r="T319" s="9">
        <v>0</v>
      </c>
      <c r="U319" s="9">
        <v>0</v>
      </c>
      <c r="V319" s="9">
        <v>0</v>
      </c>
      <c r="W319" s="9">
        <v>0</v>
      </c>
      <c r="X319" s="9">
        <v>0</v>
      </c>
      <c r="Y319" s="9">
        <v>0</v>
      </c>
      <c r="Z319" s="9">
        <v>0</v>
      </c>
      <c r="AA319" s="9">
        <v>0</v>
      </c>
      <c r="AB319" s="10">
        <f t="shared" si="21"/>
        <v>0</v>
      </c>
      <c r="AC319" s="10">
        <f t="shared" si="22"/>
        <v>0</v>
      </c>
      <c r="AD319" s="9">
        <v>0</v>
      </c>
      <c r="AE319" s="9">
        <v>0</v>
      </c>
      <c r="AF319" s="9">
        <v>0</v>
      </c>
      <c r="AG319" s="9">
        <v>0</v>
      </c>
      <c r="AH319" s="9">
        <v>0</v>
      </c>
      <c r="AI319" s="9">
        <v>0</v>
      </c>
      <c r="AJ319" s="9">
        <v>0</v>
      </c>
      <c r="AK319" s="9">
        <v>0</v>
      </c>
      <c r="AL319" s="9">
        <v>0</v>
      </c>
      <c r="AM319" s="9">
        <v>0</v>
      </c>
      <c r="AN319" s="9">
        <v>0</v>
      </c>
      <c r="AO319" s="9">
        <v>0</v>
      </c>
      <c r="AP319" s="9">
        <v>0</v>
      </c>
      <c r="AQ319" s="9">
        <v>0</v>
      </c>
      <c r="AR319" s="9">
        <v>0</v>
      </c>
      <c r="AS319" s="10">
        <f t="shared" si="23"/>
        <v>0</v>
      </c>
      <c r="AT319" s="10">
        <f t="shared" si="24"/>
        <v>0</v>
      </c>
      <c r="AU319" s="5" t="s">
        <v>454</v>
      </c>
    </row>
    <row r="320" spans="1:47" ht="15" customHeight="1" x14ac:dyDescent="0.3">
      <c r="A320" s="7" t="str">
        <f t="shared" si="20"/>
        <v>64_2024</v>
      </c>
      <c r="B320" s="7">
        <v>319</v>
      </c>
      <c r="C320" s="7">
        <f>'Panel Data (Long Format)'!B320</f>
        <v>64</v>
      </c>
      <c r="D320" s="7" t="str">
        <f>'Panel Data (Long Format)'!C320</f>
        <v>JAPAULGOLD</v>
      </c>
      <c r="E320" s="8" t="str">
        <f>'Panel Data (Long Format)'!D320</f>
        <v>Japaul Gold &amp; Ventures Plc</v>
      </c>
      <c r="F320" s="7" t="str">
        <f>'Panel Data (Long Format)'!E320</f>
        <v>OIL AND GAS</v>
      </c>
      <c r="G320" s="7">
        <f>'Panel Data (Long Format)'!F320</f>
        <v>2024</v>
      </c>
      <c r="H320" s="9">
        <v>0</v>
      </c>
      <c r="I320" s="9">
        <v>0</v>
      </c>
      <c r="J320" s="9">
        <v>0</v>
      </c>
      <c r="K320" s="9">
        <v>0</v>
      </c>
      <c r="L320" s="9">
        <v>0</v>
      </c>
      <c r="M320" s="9">
        <v>1</v>
      </c>
      <c r="N320" s="9">
        <v>1</v>
      </c>
      <c r="O320" s="9">
        <v>0</v>
      </c>
      <c r="P320" s="9">
        <v>0</v>
      </c>
      <c r="Q320" s="9">
        <v>0</v>
      </c>
      <c r="R320" s="9">
        <v>1</v>
      </c>
      <c r="S320" s="9">
        <v>0</v>
      </c>
      <c r="T320" s="9">
        <v>0</v>
      </c>
      <c r="U320" s="9">
        <v>0</v>
      </c>
      <c r="V320" s="9">
        <v>0</v>
      </c>
      <c r="W320" s="9">
        <v>0</v>
      </c>
      <c r="X320" s="9">
        <v>0</v>
      </c>
      <c r="Y320" s="9">
        <v>0</v>
      </c>
      <c r="Z320" s="9">
        <v>0</v>
      </c>
      <c r="AA320" s="9">
        <v>0</v>
      </c>
      <c r="AB320" s="10">
        <f t="shared" si="21"/>
        <v>3</v>
      </c>
      <c r="AC320" s="10">
        <f t="shared" si="22"/>
        <v>15</v>
      </c>
      <c r="AD320" s="9">
        <v>0</v>
      </c>
      <c r="AE320" s="9">
        <v>0</v>
      </c>
      <c r="AF320" s="9">
        <v>0</v>
      </c>
      <c r="AG320" s="9">
        <v>0</v>
      </c>
      <c r="AH320" s="9">
        <v>0</v>
      </c>
      <c r="AI320" s="9">
        <v>0</v>
      </c>
      <c r="AJ320" s="9">
        <v>0</v>
      </c>
      <c r="AK320" s="9">
        <v>0</v>
      </c>
      <c r="AL320" s="9">
        <v>0</v>
      </c>
      <c r="AM320" s="9">
        <v>0</v>
      </c>
      <c r="AN320" s="9">
        <v>0</v>
      </c>
      <c r="AO320" s="9">
        <v>0</v>
      </c>
      <c r="AP320" s="9">
        <v>0</v>
      </c>
      <c r="AQ320" s="9">
        <v>0</v>
      </c>
      <c r="AR320" s="9">
        <v>0</v>
      </c>
      <c r="AS320" s="10">
        <f t="shared" si="23"/>
        <v>0</v>
      </c>
      <c r="AT320" s="10">
        <f t="shared" si="24"/>
        <v>0</v>
      </c>
      <c r="AU320" s="5" t="s">
        <v>455</v>
      </c>
    </row>
    <row r="321" spans="1:47" ht="15" customHeight="1" x14ac:dyDescent="0.3">
      <c r="A321" s="7" t="str">
        <f t="shared" si="20"/>
        <v>64_2025</v>
      </c>
      <c r="B321" s="7">
        <v>320</v>
      </c>
      <c r="C321" s="7">
        <f>'Panel Data (Long Format)'!B321</f>
        <v>64</v>
      </c>
      <c r="D321" s="7" t="str">
        <f>'Panel Data (Long Format)'!C321</f>
        <v>JAPAULGOLD</v>
      </c>
      <c r="E321" s="8" t="str">
        <f>'Panel Data (Long Format)'!D321</f>
        <v>Japaul Gold &amp; Ventures Plc</v>
      </c>
      <c r="F321" s="7" t="str">
        <f>'Panel Data (Long Format)'!E321</f>
        <v>OIL AND GAS</v>
      </c>
      <c r="G321" s="7">
        <f>'Panel Data (Long Format)'!F321</f>
        <v>2025</v>
      </c>
      <c r="H321" s="9">
        <v>0</v>
      </c>
      <c r="I321" s="9">
        <v>0</v>
      </c>
      <c r="J321" s="9">
        <v>0</v>
      </c>
      <c r="K321" s="9">
        <v>0</v>
      </c>
      <c r="L321" s="9">
        <v>0</v>
      </c>
      <c r="M321" s="9">
        <v>0</v>
      </c>
      <c r="N321" s="9">
        <v>0</v>
      </c>
      <c r="O321" s="9">
        <v>0</v>
      </c>
      <c r="P321" s="9">
        <v>0</v>
      </c>
      <c r="Q321" s="9">
        <v>0</v>
      </c>
      <c r="R321" s="9">
        <v>0</v>
      </c>
      <c r="S321" s="9">
        <v>0</v>
      </c>
      <c r="T321" s="9">
        <v>0</v>
      </c>
      <c r="U321" s="9">
        <v>0</v>
      </c>
      <c r="V321" s="9">
        <v>0</v>
      </c>
      <c r="W321" s="9">
        <v>0</v>
      </c>
      <c r="X321" s="9">
        <v>0</v>
      </c>
      <c r="Y321" s="9">
        <v>0</v>
      </c>
      <c r="Z321" s="9">
        <v>0</v>
      </c>
      <c r="AA321" s="9">
        <v>0</v>
      </c>
      <c r="AB321" s="10">
        <f t="shared" si="21"/>
        <v>0</v>
      </c>
      <c r="AC321" s="10">
        <f t="shared" si="22"/>
        <v>0</v>
      </c>
      <c r="AD321" s="9">
        <v>0</v>
      </c>
      <c r="AE321" s="9">
        <v>0</v>
      </c>
      <c r="AF321" s="9">
        <v>0</v>
      </c>
      <c r="AG321" s="9">
        <v>0</v>
      </c>
      <c r="AH321" s="9">
        <v>0</v>
      </c>
      <c r="AI321" s="9">
        <v>0</v>
      </c>
      <c r="AJ321" s="9">
        <v>0</v>
      </c>
      <c r="AK321" s="9">
        <v>0</v>
      </c>
      <c r="AL321" s="9">
        <v>0</v>
      </c>
      <c r="AM321" s="9">
        <v>0</v>
      </c>
      <c r="AN321" s="9">
        <v>0</v>
      </c>
      <c r="AO321" s="9">
        <v>0</v>
      </c>
      <c r="AP321" s="9">
        <v>0</v>
      </c>
      <c r="AQ321" s="9">
        <v>0</v>
      </c>
      <c r="AR321" s="9">
        <v>0</v>
      </c>
      <c r="AS321" s="10">
        <f t="shared" si="23"/>
        <v>0</v>
      </c>
      <c r="AT321" s="10">
        <f t="shared" si="24"/>
        <v>0</v>
      </c>
      <c r="AU321" s="5" t="s">
        <v>456</v>
      </c>
    </row>
    <row r="322" spans="1:47" ht="15" customHeight="1" x14ac:dyDescent="0.3">
      <c r="A322" s="7" t="str">
        <f t="shared" ref="A322:A385" si="25">C322&amp;"_"&amp;G322</f>
        <v>65_2021</v>
      </c>
      <c r="B322" s="7">
        <v>321</v>
      </c>
      <c r="C322" s="7">
        <f>'Panel Data (Long Format)'!B322</f>
        <v>65</v>
      </c>
      <c r="D322" s="7" t="str">
        <f>'Panel Data (Long Format)'!C322</f>
        <v>JBERGER</v>
      </c>
      <c r="E322" s="8" t="str">
        <f>'Panel Data (Long Format)'!D322</f>
        <v>Julius Berger Nigeria Plc</v>
      </c>
      <c r="F322" s="7" t="str">
        <f>'Panel Data (Long Format)'!E322</f>
        <v>CONSTRUCTION/REAL ESTATE</v>
      </c>
      <c r="G322" s="7">
        <f>'Panel Data (Long Format)'!F322</f>
        <v>2021</v>
      </c>
      <c r="H322" s="9">
        <v>0</v>
      </c>
      <c r="I322" s="9">
        <v>0</v>
      </c>
      <c r="J322" s="9">
        <v>0</v>
      </c>
      <c r="K322" s="9">
        <v>0</v>
      </c>
      <c r="L322" s="9">
        <v>0</v>
      </c>
      <c r="M322" s="9">
        <v>1</v>
      </c>
      <c r="N322" s="9">
        <v>1</v>
      </c>
      <c r="O322" s="9">
        <v>1</v>
      </c>
      <c r="P322" s="9">
        <v>0</v>
      </c>
      <c r="Q322" s="9">
        <v>0</v>
      </c>
      <c r="R322" s="9">
        <v>1</v>
      </c>
      <c r="S322" s="9">
        <v>0</v>
      </c>
      <c r="T322" s="9">
        <v>0</v>
      </c>
      <c r="U322" s="9">
        <v>0</v>
      </c>
      <c r="V322" s="9">
        <v>0</v>
      </c>
      <c r="W322" s="9">
        <v>0</v>
      </c>
      <c r="X322" s="9">
        <v>0</v>
      </c>
      <c r="Y322" s="9">
        <v>0</v>
      </c>
      <c r="Z322" s="9">
        <v>0</v>
      </c>
      <c r="AA322" s="9">
        <v>0</v>
      </c>
      <c r="AB322" s="10">
        <f t="shared" ref="AB322:AB385" si="26">IF(COUNTBLANK(H322:AA322)&gt;0,"",SUM(H322:AA322))</f>
        <v>4</v>
      </c>
      <c r="AC322" s="10">
        <f t="shared" ref="AC322:AC385" si="27">IF(AB322="","",AB322/20*100)</f>
        <v>20</v>
      </c>
      <c r="AD322" s="9">
        <v>0</v>
      </c>
      <c r="AE322" s="9">
        <v>0</v>
      </c>
      <c r="AF322" s="9">
        <v>0</v>
      </c>
      <c r="AG322" s="9">
        <v>0</v>
      </c>
      <c r="AH322" s="9">
        <v>1</v>
      </c>
      <c r="AI322" s="9">
        <v>0</v>
      </c>
      <c r="AJ322" s="9">
        <v>1</v>
      </c>
      <c r="AK322" s="9">
        <v>0</v>
      </c>
      <c r="AL322" s="9">
        <v>0</v>
      </c>
      <c r="AM322" s="9">
        <v>0</v>
      </c>
      <c r="AN322" s="9">
        <v>0</v>
      </c>
      <c r="AO322" s="9">
        <v>0</v>
      </c>
      <c r="AP322" s="9">
        <v>0</v>
      </c>
      <c r="AQ322" s="9">
        <v>0</v>
      </c>
      <c r="AR322" s="9">
        <v>0</v>
      </c>
      <c r="AS322" s="10">
        <f t="shared" ref="AS322:AS385" si="28">IF(COUNTBLANK(AD322:AR322)&gt;0,"",SUM(AD322:AR322))</f>
        <v>2</v>
      </c>
      <c r="AT322" s="10">
        <f t="shared" ref="AT322:AT385" si="29">IF(AS322="","",AS322/15*100)</f>
        <v>13.333333333333334</v>
      </c>
      <c r="AU322" s="5" t="s">
        <v>457</v>
      </c>
    </row>
    <row r="323" spans="1:47" ht="15" customHeight="1" x14ac:dyDescent="0.3">
      <c r="A323" s="7" t="str">
        <f t="shared" si="25"/>
        <v>65_2022</v>
      </c>
      <c r="B323" s="7">
        <v>322</v>
      </c>
      <c r="C323" s="7">
        <f>'Panel Data (Long Format)'!B323</f>
        <v>65</v>
      </c>
      <c r="D323" s="7" t="str">
        <f>'Panel Data (Long Format)'!C323</f>
        <v>JBERGER</v>
      </c>
      <c r="E323" s="8" t="str">
        <f>'Panel Data (Long Format)'!D323</f>
        <v>Julius Berger Nigeria Plc</v>
      </c>
      <c r="F323" s="7" t="str">
        <f>'Panel Data (Long Format)'!E323</f>
        <v>CONSTRUCTION/REAL ESTATE</v>
      </c>
      <c r="G323" s="7">
        <f>'Panel Data (Long Format)'!F323</f>
        <v>2022</v>
      </c>
      <c r="H323" s="9">
        <v>0</v>
      </c>
      <c r="I323" s="9">
        <v>0</v>
      </c>
      <c r="J323" s="9">
        <v>0</v>
      </c>
      <c r="K323" s="9">
        <v>0</v>
      </c>
      <c r="L323" s="9">
        <v>0</v>
      </c>
      <c r="M323" s="9">
        <v>1</v>
      </c>
      <c r="N323" s="9">
        <v>1</v>
      </c>
      <c r="O323" s="9">
        <v>1</v>
      </c>
      <c r="P323" s="9">
        <v>0</v>
      </c>
      <c r="Q323" s="9">
        <v>0</v>
      </c>
      <c r="R323" s="9">
        <v>1</v>
      </c>
      <c r="S323" s="9">
        <v>0</v>
      </c>
      <c r="T323" s="9">
        <v>0</v>
      </c>
      <c r="U323" s="9">
        <v>0</v>
      </c>
      <c r="V323" s="9">
        <v>0</v>
      </c>
      <c r="W323" s="9">
        <v>0</v>
      </c>
      <c r="X323" s="9">
        <v>0</v>
      </c>
      <c r="Y323" s="9">
        <v>0</v>
      </c>
      <c r="Z323" s="9">
        <v>0</v>
      </c>
      <c r="AA323" s="9">
        <v>0</v>
      </c>
      <c r="AB323" s="10">
        <f t="shared" si="26"/>
        <v>4</v>
      </c>
      <c r="AC323" s="10">
        <f t="shared" si="27"/>
        <v>20</v>
      </c>
      <c r="AD323" s="9">
        <v>0</v>
      </c>
      <c r="AE323" s="9">
        <v>0</v>
      </c>
      <c r="AF323" s="9">
        <v>0</v>
      </c>
      <c r="AG323" s="9">
        <v>0</v>
      </c>
      <c r="AH323" s="9">
        <v>1</v>
      </c>
      <c r="AI323" s="9">
        <v>0</v>
      </c>
      <c r="AJ323" s="9">
        <v>1</v>
      </c>
      <c r="AK323" s="9">
        <v>0</v>
      </c>
      <c r="AL323" s="9">
        <v>0</v>
      </c>
      <c r="AM323" s="9">
        <v>0</v>
      </c>
      <c r="AN323" s="9">
        <v>0</v>
      </c>
      <c r="AO323" s="9">
        <v>0</v>
      </c>
      <c r="AP323" s="9">
        <v>0</v>
      </c>
      <c r="AQ323" s="9">
        <v>0</v>
      </c>
      <c r="AR323" s="9">
        <v>0</v>
      </c>
      <c r="AS323" s="10">
        <f t="shared" si="28"/>
        <v>2</v>
      </c>
      <c r="AT323" s="10">
        <f t="shared" si="29"/>
        <v>13.333333333333334</v>
      </c>
      <c r="AU323" s="5" t="s">
        <v>458</v>
      </c>
    </row>
    <row r="324" spans="1:47" ht="15" customHeight="1" x14ac:dyDescent="0.3">
      <c r="A324" s="7" t="str">
        <f t="shared" si="25"/>
        <v>65_2023</v>
      </c>
      <c r="B324" s="7">
        <v>323</v>
      </c>
      <c r="C324" s="7">
        <f>'Panel Data (Long Format)'!B324</f>
        <v>65</v>
      </c>
      <c r="D324" s="7" t="str">
        <f>'Panel Data (Long Format)'!C324</f>
        <v>JBERGER</v>
      </c>
      <c r="E324" s="8" t="str">
        <f>'Panel Data (Long Format)'!D324</f>
        <v>Julius Berger Nigeria Plc</v>
      </c>
      <c r="F324" s="7" t="str">
        <f>'Panel Data (Long Format)'!E324</f>
        <v>CONSTRUCTION/REAL ESTATE</v>
      </c>
      <c r="G324" s="7">
        <f>'Panel Data (Long Format)'!F324</f>
        <v>2023</v>
      </c>
      <c r="H324" s="9">
        <v>0</v>
      </c>
      <c r="I324" s="9">
        <v>0</v>
      </c>
      <c r="J324" s="9">
        <v>0</v>
      </c>
      <c r="K324" s="9">
        <v>0</v>
      </c>
      <c r="L324" s="9">
        <v>0</v>
      </c>
      <c r="M324" s="9">
        <v>1</v>
      </c>
      <c r="N324" s="9">
        <v>1</v>
      </c>
      <c r="O324" s="9">
        <v>1</v>
      </c>
      <c r="P324" s="9">
        <v>0</v>
      </c>
      <c r="Q324" s="9">
        <v>0</v>
      </c>
      <c r="R324" s="9">
        <v>1</v>
      </c>
      <c r="S324" s="9">
        <v>0</v>
      </c>
      <c r="T324" s="9">
        <v>0</v>
      </c>
      <c r="U324" s="9">
        <v>0</v>
      </c>
      <c r="V324" s="9">
        <v>0</v>
      </c>
      <c r="W324" s="9">
        <v>0</v>
      </c>
      <c r="X324" s="9">
        <v>0</v>
      </c>
      <c r="Y324" s="9">
        <v>0</v>
      </c>
      <c r="Z324" s="9">
        <v>0</v>
      </c>
      <c r="AA324" s="9">
        <v>0</v>
      </c>
      <c r="AB324" s="10">
        <f t="shared" si="26"/>
        <v>4</v>
      </c>
      <c r="AC324" s="10">
        <f t="shared" si="27"/>
        <v>20</v>
      </c>
      <c r="AD324" s="9">
        <v>0</v>
      </c>
      <c r="AE324" s="9">
        <v>0</v>
      </c>
      <c r="AF324" s="9">
        <v>0</v>
      </c>
      <c r="AG324" s="9">
        <v>0</v>
      </c>
      <c r="AH324" s="9">
        <v>1</v>
      </c>
      <c r="AI324" s="9">
        <v>0</v>
      </c>
      <c r="AJ324" s="9">
        <v>1</v>
      </c>
      <c r="AK324" s="9">
        <v>0</v>
      </c>
      <c r="AL324" s="9">
        <v>0</v>
      </c>
      <c r="AM324" s="9">
        <v>0</v>
      </c>
      <c r="AN324" s="9">
        <v>0</v>
      </c>
      <c r="AO324" s="9">
        <v>0</v>
      </c>
      <c r="AP324" s="9">
        <v>0</v>
      </c>
      <c r="AQ324" s="9">
        <v>0</v>
      </c>
      <c r="AR324" s="9">
        <v>0</v>
      </c>
      <c r="AS324" s="10">
        <f t="shared" si="28"/>
        <v>2</v>
      </c>
      <c r="AT324" s="10">
        <f t="shared" si="29"/>
        <v>13.333333333333334</v>
      </c>
      <c r="AU324" s="5" t="s">
        <v>459</v>
      </c>
    </row>
    <row r="325" spans="1:47" ht="15" customHeight="1" x14ac:dyDescent="0.3">
      <c r="A325" s="7" t="str">
        <f t="shared" si="25"/>
        <v>65_2024</v>
      </c>
      <c r="B325" s="7">
        <v>324</v>
      </c>
      <c r="C325" s="7">
        <f>'Panel Data (Long Format)'!B325</f>
        <v>65</v>
      </c>
      <c r="D325" s="7" t="str">
        <f>'Panel Data (Long Format)'!C325</f>
        <v>JBERGER</v>
      </c>
      <c r="E325" s="8" t="str">
        <f>'Panel Data (Long Format)'!D325</f>
        <v>Julius Berger Nigeria Plc</v>
      </c>
      <c r="F325" s="7" t="str">
        <f>'Panel Data (Long Format)'!E325</f>
        <v>CONSTRUCTION/REAL ESTATE</v>
      </c>
      <c r="G325" s="7">
        <f>'Panel Data (Long Format)'!F325</f>
        <v>2024</v>
      </c>
      <c r="H325" s="9">
        <v>0</v>
      </c>
      <c r="I325" s="9">
        <v>0</v>
      </c>
      <c r="J325" s="9">
        <v>1</v>
      </c>
      <c r="K325" s="9">
        <v>0</v>
      </c>
      <c r="L325" s="9">
        <v>0</v>
      </c>
      <c r="M325" s="9">
        <v>1</v>
      </c>
      <c r="N325" s="9">
        <v>1</v>
      </c>
      <c r="O325" s="9">
        <v>1</v>
      </c>
      <c r="P325" s="9">
        <v>1</v>
      </c>
      <c r="Q325" s="9">
        <v>0</v>
      </c>
      <c r="R325" s="9">
        <v>1</v>
      </c>
      <c r="S325" s="9">
        <v>0</v>
      </c>
      <c r="T325" s="9">
        <v>1</v>
      </c>
      <c r="U325" s="9">
        <v>0</v>
      </c>
      <c r="V325" s="9">
        <v>0</v>
      </c>
      <c r="W325" s="9">
        <v>1</v>
      </c>
      <c r="X325" s="9">
        <v>1</v>
      </c>
      <c r="Y325" s="9">
        <v>1</v>
      </c>
      <c r="Z325" s="9">
        <v>0</v>
      </c>
      <c r="AA325" s="9">
        <v>1</v>
      </c>
      <c r="AB325" s="10">
        <f t="shared" si="26"/>
        <v>11</v>
      </c>
      <c r="AC325" s="10">
        <f t="shared" si="27"/>
        <v>55.000000000000007</v>
      </c>
      <c r="AD325" s="9">
        <v>0</v>
      </c>
      <c r="AE325" s="9">
        <v>0</v>
      </c>
      <c r="AF325" s="9">
        <v>0</v>
      </c>
      <c r="AG325" s="9">
        <v>0</v>
      </c>
      <c r="AH325" s="9">
        <v>1</v>
      </c>
      <c r="AI325" s="9">
        <v>0</v>
      </c>
      <c r="AJ325" s="9">
        <v>1</v>
      </c>
      <c r="AK325" s="9">
        <v>0</v>
      </c>
      <c r="AL325" s="9">
        <v>0</v>
      </c>
      <c r="AM325" s="9">
        <v>1</v>
      </c>
      <c r="AN325" s="9">
        <v>0</v>
      </c>
      <c r="AO325" s="9">
        <v>0</v>
      </c>
      <c r="AP325" s="9">
        <v>0</v>
      </c>
      <c r="AQ325" s="9">
        <v>0</v>
      </c>
      <c r="AR325" s="9">
        <v>0</v>
      </c>
      <c r="AS325" s="10">
        <f t="shared" si="28"/>
        <v>3</v>
      </c>
      <c r="AT325" s="10">
        <f t="shared" si="29"/>
        <v>20</v>
      </c>
      <c r="AU325" s="5" t="s">
        <v>460</v>
      </c>
    </row>
    <row r="326" spans="1:47" ht="15" customHeight="1" x14ac:dyDescent="0.3">
      <c r="A326" s="7" t="str">
        <f t="shared" si="25"/>
        <v>65_2025</v>
      </c>
      <c r="B326" s="7">
        <v>325</v>
      </c>
      <c r="C326" s="7">
        <f>'Panel Data (Long Format)'!B326</f>
        <v>65</v>
      </c>
      <c r="D326" s="7" t="str">
        <f>'Panel Data (Long Format)'!C326</f>
        <v>JBERGER</v>
      </c>
      <c r="E326" s="8" t="str">
        <f>'Panel Data (Long Format)'!D326</f>
        <v>Julius Berger Nigeria Plc</v>
      </c>
      <c r="F326" s="7" t="str">
        <f>'Panel Data (Long Format)'!E326</f>
        <v>CONSTRUCTION/REAL ESTATE</v>
      </c>
      <c r="G326" s="7">
        <f>'Panel Data (Long Format)'!F326</f>
        <v>2025</v>
      </c>
      <c r="H326" s="9">
        <v>0</v>
      </c>
      <c r="I326" s="9">
        <v>0</v>
      </c>
      <c r="J326" s="9">
        <v>1</v>
      </c>
      <c r="K326" s="9">
        <v>0</v>
      </c>
      <c r="L326" s="9">
        <v>0</v>
      </c>
      <c r="M326" s="9">
        <v>1</v>
      </c>
      <c r="N326" s="9">
        <v>1</v>
      </c>
      <c r="O326" s="9">
        <v>1</v>
      </c>
      <c r="P326" s="9">
        <v>1</v>
      </c>
      <c r="Q326" s="9">
        <v>0</v>
      </c>
      <c r="R326" s="9">
        <v>1</v>
      </c>
      <c r="S326" s="9">
        <v>0</v>
      </c>
      <c r="T326" s="9">
        <v>1</v>
      </c>
      <c r="U326" s="9">
        <v>0</v>
      </c>
      <c r="V326" s="9">
        <v>0</v>
      </c>
      <c r="W326" s="9">
        <v>1</v>
      </c>
      <c r="X326" s="9">
        <v>1</v>
      </c>
      <c r="Y326" s="9">
        <v>1</v>
      </c>
      <c r="Z326" s="9">
        <v>0</v>
      </c>
      <c r="AA326" s="9">
        <v>1</v>
      </c>
      <c r="AB326" s="10">
        <f t="shared" si="26"/>
        <v>11</v>
      </c>
      <c r="AC326" s="10">
        <f t="shared" si="27"/>
        <v>55.000000000000007</v>
      </c>
      <c r="AD326" s="9">
        <v>0</v>
      </c>
      <c r="AE326" s="9">
        <v>0</v>
      </c>
      <c r="AF326" s="9">
        <v>0</v>
      </c>
      <c r="AG326" s="9">
        <v>0</v>
      </c>
      <c r="AH326" s="9">
        <v>1</v>
      </c>
      <c r="AI326" s="9">
        <v>0</v>
      </c>
      <c r="AJ326" s="9">
        <v>1</v>
      </c>
      <c r="AK326" s="9">
        <v>0</v>
      </c>
      <c r="AL326" s="9">
        <v>0</v>
      </c>
      <c r="AM326" s="9">
        <v>1</v>
      </c>
      <c r="AN326" s="9">
        <v>0</v>
      </c>
      <c r="AO326" s="9">
        <v>0</v>
      </c>
      <c r="AP326" s="9">
        <v>0</v>
      </c>
      <c r="AQ326" s="9">
        <v>0</v>
      </c>
      <c r="AR326" s="9">
        <v>0</v>
      </c>
      <c r="AS326" s="10">
        <f t="shared" si="28"/>
        <v>3</v>
      </c>
      <c r="AT326" s="10">
        <f t="shared" si="29"/>
        <v>20</v>
      </c>
      <c r="AU326" s="5" t="s">
        <v>461</v>
      </c>
    </row>
    <row r="327" spans="1:47" ht="15" customHeight="1" x14ac:dyDescent="0.3">
      <c r="A327" s="7" t="str">
        <f t="shared" si="25"/>
        <v>66_2021</v>
      </c>
      <c r="B327" s="7">
        <v>326</v>
      </c>
      <c r="C327" s="7">
        <f>'Panel Data (Long Format)'!B327</f>
        <v>66</v>
      </c>
      <c r="D327" s="7" t="str">
        <f>'Panel Data (Long Format)'!C327</f>
        <v>JOHNHOLT</v>
      </c>
      <c r="E327" s="8" t="str">
        <f>'Panel Data (Long Format)'!D327</f>
        <v>John Holt Plc</v>
      </c>
      <c r="F327" s="7" t="str">
        <f>'Panel Data (Long Format)'!E327</f>
        <v>CONGLOMERATES</v>
      </c>
      <c r="G327" s="7">
        <f>'Panel Data (Long Format)'!F327</f>
        <v>2021</v>
      </c>
      <c r="H327" s="9">
        <v>0</v>
      </c>
      <c r="I327" s="9">
        <v>0</v>
      </c>
      <c r="J327" s="9">
        <v>0</v>
      </c>
      <c r="K327" s="9">
        <v>0</v>
      </c>
      <c r="L327" s="9">
        <v>0</v>
      </c>
      <c r="M327" s="9">
        <v>0</v>
      </c>
      <c r="N327" s="9">
        <v>0</v>
      </c>
      <c r="O327" s="9">
        <v>0</v>
      </c>
      <c r="P327" s="9">
        <v>0</v>
      </c>
      <c r="Q327" s="9">
        <v>0</v>
      </c>
      <c r="R327" s="9">
        <v>0</v>
      </c>
      <c r="S327" s="9">
        <v>0</v>
      </c>
      <c r="T327" s="9">
        <v>0</v>
      </c>
      <c r="U327" s="9">
        <v>0</v>
      </c>
      <c r="V327" s="9">
        <v>0</v>
      </c>
      <c r="W327" s="9">
        <v>0</v>
      </c>
      <c r="X327" s="9">
        <v>0</v>
      </c>
      <c r="Y327" s="9">
        <v>0</v>
      </c>
      <c r="Z327" s="9">
        <v>0</v>
      </c>
      <c r="AA327" s="9">
        <v>0</v>
      </c>
      <c r="AB327" s="10">
        <f t="shared" si="26"/>
        <v>0</v>
      </c>
      <c r="AC327" s="10">
        <f t="shared" si="27"/>
        <v>0</v>
      </c>
      <c r="AD327" s="9">
        <v>0</v>
      </c>
      <c r="AE327" s="9">
        <v>0</v>
      </c>
      <c r="AF327" s="9">
        <v>0</v>
      </c>
      <c r="AG327" s="9">
        <v>0</v>
      </c>
      <c r="AH327" s="9">
        <v>0</v>
      </c>
      <c r="AI327" s="9">
        <v>0</v>
      </c>
      <c r="AJ327" s="9">
        <v>0</v>
      </c>
      <c r="AK327" s="9">
        <v>0</v>
      </c>
      <c r="AL327" s="9">
        <v>0</v>
      </c>
      <c r="AM327" s="9">
        <v>0</v>
      </c>
      <c r="AN327" s="9">
        <v>0</v>
      </c>
      <c r="AO327" s="9">
        <v>0</v>
      </c>
      <c r="AP327" s="9">
        <v>0</v>
      </c>
      <c r="AQ327" s="9">
        <v>0</v>
      </c>
      <c r="AR327" s="9">
        <v>0</v>
      </c>
      <c r="AS327" s="10">
        <f t="shared" si="28"/>
        <v>0</v>
      </c>
      <c r="AT327" s="10">
        <f t="shared" si="29"/>
        <v>0</v>
      </c>
      <c r="AU327" s="5" t="s">
        <v>462</v>
      </c>
    </row>
    <row r="328" spans="1:47" ht="15" customHeight="1" x14ac:dyDescent="0.3">
      <c r="A328" s="7" t="str">
        <f t="shared" si="25"/>
        <v>66_2022</v>
      </c>
      <c r="B328" s="7">
        <v>327</v>
      </c>
      <c r="C328" s="7">
        <f>'Panel Data (Long Format)'!B328</f>
        <v>66</v>
      </c>
      <c r="D328" s="7" t="str">
        <f>'Panel Data (Long Format)'!C328</f>
        <v>JOHNHOLT</v>
      </c>
      <c r="E328" s="8" t="str">
        <f>'Panel Data (Long Format)'!D328</f>
        <v>John Holt Plc</v>
      </c>
      <c r="F328" s="7" t="str">
        <f>'Panel Data (Long Format)'!E328</f>
        <v>CONGLOMERATES</v>
      </c>
      <c r="G328" s="7">
        <f>'Panel Data (Long Format)'!F328</f>
        <v>2022</v>
      </c>
      <c r="H328" s="9">
        <v>0</v>
      </c>
      <c r="I328" s="9">
        <v>0</v>
      </c>
      <c r="J328" s="9">
        <v>0</v>
      </c>
      <c r="K328" s="9">
        <v>0</v>
      </c>
      <c r="L328" s="9">
        <v>0</v>
      </c>
      <c r="M328" s="9">
        <v>0</v>
      </c>
      <c r="N328" s="9">
        <v>0</v>
      </c>
      <c r="O328" s="9">
        <v>0</v>
      </c>
      <c r="P328" s="9">
        <v>0</v>
      </c>
      <c r="Q328" s="9">
        <v>0</v>
      </c>
      <c r="R328" s="9">
        <v>0</v>
      </c>
      <c r="S328" s="9">
        <v>0</v>
      </c>
      <c r="T328" s="9">
        <v>0</v>
      </c>
      <c r="U328" s="9">
        <v>0</v>
      </c>
      <c r="V328" s="9">
        <v>0</v>
      </c>
      <c r="W328" s="9">
        <v>0</v>
      </c>
      <c r="X328" s="9">
        <v>0</v>
      </c>
      <c r="Y328" s="9">
        <v>0</v>
      </c>
      <c r="Z328" s="9">
        <v>0</v>
      </c>
      <c r="AA328" s="9">
        <v>0</v>
      </c>
      <c r="AB328" s="10">
        <f t="shared" si="26"/>
        <v>0</v>
      </c>
      <c r="AC328" s="10">
        <f t="shared" si="27"/>
        <v>0</v>
      </c>
      <c r="AD328" s="9">
        <v>0</v>
      </c>
      <c r="AE328" s="9">
        <v>0</v>
      </c>
      <c r="AF328" s="9">
        <v>0</v>
      </c>
      <c r="AG328" s="9">
        <v>0</v>
      </c>
      <c r="AH328" s="9">
        <v>0</v>
      </c>
      <c r="AI328" s="9">
        <v>0</v>
      </c>
      <c r="AJ328" s="9">
        <v>0</v>
      </c>
      <c r="AK328" s="9">
        <v>0</v>
      </c>
      <c r="AL328" s="9">
        <v>0</v>
      </c>
      <c r="AM328" s="9">
        <v>0</v>
      </c>
      <c r="AN328" s="9">
        <v>0</v>
      </c>
      <c r="AO328" s="9">
        <v>0</v>
      </c>
      <c r="AP328" s="9">
        <v>0</v>
      </c>
      <c r="AQ328" s="9">
        <v>0</v>
      </c>
      <c r="AR328" s="9">
        <v>0</v>
      </c>
      <c r="AS328" s="10">
        <f t="shared" si="28"/>
        <v>0</v>
      </c>
      <c r="AT328" s="10">
        <f t="shared" si="29"/>
        <v>0</v>
      </c>
      <c r="AU328" s="5" t="s">
        <v>463</v>
      </c>
    </row>
    <row r="329" spans="1:47" ht="15" customHeight="1" x14ac:dyDescent="0.3">
      <c r="A329" s="7" t="str">
        <f t="shared" si="25"/>
        <v>66_2023</v>
      </c>
      <c r="B329" s="7">
        <v>328</v>
      </c>
      <c r="C329" s="7">
        <f>'Panel Data (Long Format)'!B329</f>
        <v>66</v>
      </c>
      <c r="D329" s="7" t="str">
        <f>'Panel Data (Long Format)'!C329</f>
        <v>JOHNHOLT</v>
      </c>
      <c r="E329" s="8" t="str">
        <f>'Panel Data (Long Format)'!D329</f>
        <v>John Holt Plc</v>
      </c>
      <c r="F329" s="7" t="str">
        <f>'Panel Data (Long Format)'!E329</f>
        <v>CONGLOMERATES</v>
      </c>
      <c r="G329" s="7">
        <f>'Panel Data (Long Format)'!F329</f>
        <v>2023</v>
      </c>
      <c r="H329" s="9">
        <v>0</v>
      </c>
      <c r="I329" s="9">
        <v>0</v>
      </c>
      <c r="J329" s="9">
        <v>0</v>
      </c>
      <c r="K329" s="9">
        <v>0</v>
      </c>
      <c r="L329" s="9">
        <v>0</v>
      </c>
      <c r="M329" s="9">
        <v>0</v>
      </c>
      <c r="N329" s="9">
        <v>0</v>
      </c>
      <c r="O329" s="9">
        <v>0</v>
      </c>
      <c r="P329" s="9">
        <v>0</v>
      </c>
      <c r="Q329" s="9">
        <v>0</v>
      </c>
      <c r="R329" s="9">
        <v>0</v>
      </c>
      <c r="S329" s="9">
        <v>0</v>
      </c>
      <c r="T329" s="9">
        <v>0</v>
      </c>
      <c r="U329" s="9">
        <v>0</v>
      </c>
      <c r="V329" s="9">
        <v>0</v>
      </c>
      <c r="W329" s="9">
        <v>0</v>
      </c>
      <c r="X329" s="9">
        <v>0</v>
      </c>
      <c r="Y329" s="9">
        <v>0</v>
      </c>
      <c r="Z329" s="9">
        <v>0</v>
      </c>
      <c r="AA329" s="9">
        <v>0</v>
      </c>
      <c r="AB329" s="10">
        <f t="shared" si="26"/>
        <v>0</v>
      </c>
      <c r="AC329" s="10">
        <f t="shared" si="27"/>
        <v>0</v>
      </c>
      <c r="AD329" s="9">
        <v>0</v>
      </c>
      <c r="AE329" s="9">
        <v>0</v>
      </c>
      <c r="AF329" s="9">
        <v>0</v>
      </c>
      <c r="AG329" s="9">
        <v>0</v>
      </c>
      <c r="AH329" s="9">
        <v>0</v>
      </c>
      <c r="AI329" s="9">
        <v>0</v>
      </c>
      <c r="AJ329" s="9">
        <v>0</v>
      </c>
      <c r="AK329" s="9">
        <v>0</v>
      </c>
      <c r="AL329" s="9">
        <v>0</v>
      </c>
      <c r="AM329" s="9">
        <v>0</v>
      </c>
      <c r="AN329" s="9">
        <v>0</v>
      </c>
      <c r="AO329" s="9">
        <v>0</v>
      </c>
      <c r="AP329" s="9">
        <v>0</v>
      </c>
      <c r="AQ329" s="9">
        <v>0</v>
      </c>
      <c r="AR329" s="9">
        <v>0</v>
      </c>
      <c r="AS329" s="10">
        <f t="shared" si="28"/>
        <v>0</v>
      </c>
      <c r="AT329" s="10">
        <f t="shared" si="29"/>
        <v>0</v>
      </c>
      <c r="AU329" s="5" t="s">
        <v>464</v>
      </c>
    </row>
    <row r="330" spans="1:47" ht="15" customHeight="1" x14ac:dyDescent="0.3">
      <c r="A330" s="7" t="str">
        <f t="shared" si="25"/>
        <v>66_2024</v>
      </c>
      <c r="B330" s="7">
        <v>329</v>
      </c>
      <c r="C330" s="7">
        <f>'Panel Data (Long Format)'!B330</f>
        <v>66</v>
      </c>
      <c r="D330" s="7" t="str">
        <f>'Panel Data (Long Format)'!C330</f>
        <v>JOHNHOLT</v>
      </c>
      <c r="E330" s="8" t="str">
        <f>'Panel Data (Long Format)'!D330</f>
        <v>John Holt Plc</v>
      </c>
      <c r="F330" s="7" t="str">
        <f>'Panel Data (Long Format)'!E330</f>
        <v>CONGLOMERATES</v>
      </c>
      <c r="G330" s="7">
        <f>'Panel Data (Long Format)'!F330</f>
        <v>2024</v>
      </c>
      <c r="H330" s="9">
        <v>0</v>
      </c>
      <c r="I330" s="9">
        <v>0</v>
      </c>
      <c r="J330" s="9">
        <v>0</v>
      </c>
      <c r="K330" s="9">
        <v>0</v>
      </c>
      <c r="L330" s="9">
        <v>0</v>
      </c>
      <c r="M330" s="9">
        <v>0</v>
      </c>
      <c r="N330" s="9">
        <v>0</v>
      </c>
      <c r="O330" s="9">
        <v>0</v>
      </c>
      <c r="P330" s="9">
        <v>0</v>
      </c>
      <c r="Q330" s="9">
        <v>0</v>
      </c>
      <c r="R330" s="9">
        <v>0</v>
      </c>
      <c r="S330" s="9">
        <v>0</v>
      </c>
      <c r="T330" s="9">
        <v>0</v>
      </c>
      <c r="U330" s="9">
        <v>0</v>
      </c>
      <c r="V330" s="9">
        <v>0</v>
      </c>
      <c r="W330" s="9">
        <v>0</v>
      </c>
      <c r="X330" s="9">
        <v>0</v>
      </c>
      <c r="Y330" s="9">
        <v>0</v>
      </c>
      <c r="Z330" s="9">
        <v>0</v>
      </c>
      <c r="AA330" s="9">
        <v>0</v>
      </c>
      <c r="AB330" s="10">
        <f t="shared" si="26"/>
        <v>0</v>
      </c>
      <c r="AC330" s="10">
        <f t="shared" si="27"/>
        <v>0</v>
      </c>
      <c r="AD330" s="9">
        <v>0</v>
      </c>
      <c r="AE330" s="9">
        <v>0</v>
      </c>
      <c r="AF330" s="9">
        <v>0</v>
      </c>
      <c r="AG330" s="9">
        <v>0</v>
      </c>
      <c r="AH330" s="9">
        <v>0</v>
      </c>
      <c r="AI330" s="9">
        <v>0</v>
      </c>
      <c r="AJ330" s="9">
        <v>0</v>
      </c>
      <c r="AK330" s="9">
        <v>0</v>
      </c>
      <c r="AL330" s="9">
        <v>0</v>
      </c>
      <c r="AM330" s="9">
        <v>0</v>
      </c>
      <c r="AN330" s="9">
        <v>0</v>
      </c>
      <c r="AO330" s="9">
        <v>0</v>
      </c>
      <c r="AP330" s="9">
        <v>0</v>
      </c>
      <c r="AQ330" s="9">
        <v>0</v>
      </c>
      <c r="AR330" s="9">
        <v>0</v>
      </c>
      <c r="AS330" s="10">
        <f t="shared" si="28"/>
        <v>0</v>
      </c>
      <c r="AT330" s="10">
        <f t="shared" si="29"/>
        <v>0</v>
      </c>
      <c r="AU330" s="5" t="s">
        <v>465</v>
      </c>
    </row>
    <row r="331" spans="1:47" ht="15" customHeight="1" x14ac:dyDescent="0.3">
      <c r="A331" s="7" t="str">
        <f t="shared" si="25"/>
        <v>66_2025</v>
      </c>
      <c r="B331" s="7">
        <v>330</v>
      </c>
      <c r="C331" s="7">
        <f>'Panel Data (Long Format)'!B331</f>
        <v>66</v>
      </c>
      <c r="D331" s="7" t="str">
        <f>'Panel Data (Long Format)'!C331</f>
        <v>JOHNHOLT</v>
      </c>
      <c r="E331" s="8" t="str">
        <f>'Panel Data (Long Format)'!D331</f>
        <v>John Holt Plc</v>
      </c>
      <c r="F331" s="7" t="str">
        <f>'Panel Data (Long Format)'!E331</f>
        <v>CONGLOMERATES</v>
      </c>
      <c r="G331" s="7">
        <f>'Panel Data (Long Format)'!F331</f>
        <v>2025</v>
      </c>
      <c r="H331" s="9">
        <v>0</v>
      </c>
      <c r="I331" s="9">
        <v>0</v>
      </c>
      <c r="J331" s="9">
        <v>0</v>
      </c>
      <c r="K331" s="9">
        <v>0</v>
      </c>
      <c r="L331" s="9">
        <v>0</v>
      </c>
      <c r="M331" s="9">
        <v>0</v>
      </c>
      <c r="N331" s="9">
        <v>0</v>
      </c>
      <c r="O331" s="9">
        <v>0</v>
      </c>
      <c r="P331" s="9">
        <v>0</v>
      </c>
      <c r="Q331" s="9">
        <v>0</v>
      </c>
      <c r="R331" s="9">
        <v>0</v>
      </c>
      <c r="S331" s="9">
        <v>0</v>
      </c>
      <c r="T331" s="9">
        <v>0</v>
      </c>
      <c r="U331" s="9">
        <v>0</v>
      </c>
      <c r="V331" s="9">
        <v>0</v>
      </c>
      <c r="W331" s="9">
        <v>0</v>
      </c>
      <c r="X331" s="9">
        <v>0</v>
      </c>
      <c r="Y331" s="9">
        <v>0</v>
      </c>
      <c r="Z331" s="9">
        <v>0</v>
      </c>
      <c r="AA331" s="9">
        <v>0</v>
      </c>
      <c r="AB331" s="10">
        <f t="shared" si="26"/>
        <v>0</v>
      </c>
      <c r="AC331" s="10">
        <f t="shared" si="27"/>
        <v>0</v>
      </c>
      <c r="AD331" s="9">
        <v>0</v>
      </c>
      <c r="AE331" s="9">
        <v>0</v>
      </c>
      <c r="AF331" s="9">
        <v>0</v>
      </c>
      <c r="AG331" s="9">
        <v>0</v>
      </c>
      <c r="AH331" s="9">
        <v>0</v>
      </c>
      <c r="AI331" s="9">
        <v>0</v>
      </c>
      <c r="AJ331" s="9">
        <v>0</v>
      </c>
      <c r="AK331" s="9">
        <v>0</v>
      </c>
      <c r="AL331" s="9">
        <v>0</v>
      </c>
      <c r="AM331" s="9">
        <v>0</v>
      </c>
      <c r="AN331" s="9">
        <v>0</v>
      </c>
      <c r="AO331" s="9">
        <v>0</v>
      </c>
      <c r="AP331" s="9">
        <v>0</v>
      </c>
      <c r="AQ331" s="9">
        <v>0</v>
      </c>
      <c r="AR331" s="9">
        <v>0</v>
      </c>
      <c r="AS331" s="10">
        <f t="shared" si="28"/>
        <v>0</v>
      </c>
      <c r="AT331" s="10">
        <f t="shared" si="29"/>
        <v>0</v>
      </c>
      <c r="AU331" s="5" t="s">
        <v>466</v>
      </c>
    </row>
    <row r="332" spans="1:47" ht="15" customHeight="1" x14ac:dyDescent="0.3">
      <c r="A332" s="7" t="str">
        <f t="shared" si="25"/>
        <v>67_2021</v>
      </c>
      <c r="B332" s="7">
        <v>331</v>
      </c>
      <c r="C332" s="7">
        <f>'Panel Data (Long Format)'!B332</f>
        <v>67</v>
      </c>
      <c r="D332" s="7" t="str">
        <f>'Panel Data (Long Format)'!C332</f>
        <v>JULI</v>
      </c>
      <c r="E332" s="8" t="str">
        <f>'Panel Data (Long Format)'!D332</f>
        <v>Juli Plc</v>
      </c>
      <c r="F332" s="7" t="str">
        <f>'Panel Data (Long Format)'!E332</f>
        <v>SERVICES</v>
      </c>
      <c r="G332" s="7">
        <f>'Panel Data (Long Format)'!F332</f>
        <v>2021</v>
      </c>
      <c r="H332" s="9">
        <v>0</v>
      </c>
      <c r="I332" s="9">
        <v>0</v>
      </c>
      <c r="J332" s="9">
        <v>0</v>
      </c>
      <c r="K332" s="9">
        <v>0</v>
      </c>
      <c r="L332" s="9">
        <v>0</v>
      </c>
      <c r="M332" s="9">
        <v>0</v>
      </c>
      <c r="N332" s="9">
        <v>0</v>
      </c>
      <c r="O332" s="9">
        <v>0</v>
      </c>
      <c r="P332" s="9">
        <v>0</v>
      </c>
      <c r="Q332" s="9">
        <v>0</v>
      </c>
      <c r="R332" s="9">
        <v>0</v>
      </c>
      <c r="S332" s="9">
        <v>0</v>
      </c>
      <c r="T332" s="9">
        <v>0</v>
      </c>
      <c r="U332" s="9">
        <v>0</v>
      </c>
      <c r="V332" s="9">
        <v>0</v>
      </c>
      <c r="W332" s="9">
        <v>0</v>
      </c>
      <c r="X332" s="9">
        <v>0</v>
      </c>
      <c r="Y332" s="9">
        <v>0</v>
      </c>
      <c r="Z332" s="9">
        <v>0</v>
      </c>
      <c r="AA332" s="9">
        <v>0</v>
      </c>
      <c r="AB332" s="10">
        <f t="shared" si="26"/>
        <v>0</v>
      </c>
      <c r="AC332" s="10">
        <f t="shared" si="27"/>
        <v>0</v>
      </c>
      <c r="AD332" s="9">
        <v>0</v>
      </c>
      <c r="AE332" s="9">
        <v>0</v>
      </c>
      <c r="AF332" s="9">
        <v>0</v>
      </c>
      <c r="AG332" s="9">
        <v>0</v>
      </c>
      <c r="AH332" s="9">
        <v>0</v>
      </c>
      <c r="AI332" s="9">
        <v>0</v>
      </c>
      <c r="AJ332" s="9">
        <v>0</v>
      </c>
      <c r="AK332" s="9">
        <v>0</v>
      </c>
      <c r="AL332" s="9">
        <v>0</v>
      </c>
      <c r="AM332" s="9">
        <v>0</v>
      </c>
      <c r="AN332" s="9">
        <v>0</v>
      </c>
      <c r="AO332" s="9">
        <v>0</v>
      </c>
      <c r="AP332" s="9">
        <v>0</v>
      </c>
      <c r="AQ332" s="9">
        <v>0</v>
      </c>
      <c r="AR332" s="9">
        <v>0</v>
      </c>
      <c r="AS332" s="10">
        <f t="shared" si="28"/>
        <v>0</v>
      </c>
      <c r="AT332" s="10">
        <f t="shared" si="29"/>
        <v>0</v>
      </c>
      <c r="AU332" s="5" t="s">
        <v>467</v>
      </c>
    </row>
    <row r="333" spans="1:47" ht="15" customHeight="1" x14ac:dyDescent="0.3">
      <c r="A333" s="7" t="str">
        <f t="shared" si="25"/>
        <v>67_2022</v>
      </c>
      <c r="B333" s="7">
        <v>332</v>
      </c>
      <c r="C333" s="7">
        <f>'Panel Data (Long Format)'!B333</f>
        <v>67</v>
      </c>
      <c r="D333" s="7" t="str">
        <f>'Panel Data (Long Format)'!C333</f>
        <v>JULI</v>
      </c>
      <c r="E333" s="8" t="str">
        <f>'Panel Data (Long Format)'!D333</f>
        <v>Juli Plc</v>
      </c>
      <c r="F333" s="7" t="str">
        <f>'Panel Data (Long Format)'!E333</f>
        <v>SERVICES</v>
      </c>
      <c r="G333" s="7">
        <f>'Panel Data (Long Format)'!F333</f>
        <v>2022</v>
      </c>
      <c r="H333" s="9">
        <v>0</v>
      </c>
      <c r="I333" s="9">
        <v>0</v>
      </c>
      <c r="J333" s="9">
        <v>0</v>
      </c>
      <c r="K333" s="9">
        <v>0</v>
      </c>
      <c r="L333" s="9">
        <v>0</v>
      </c>
      <c r="M333" s="9">
        <v>0</v>
      </c>
      <c r="N333" s="9">
        <v>0</v>
      </c>
      <c r="O333" s="9">
        <v>0</v>
      </c>
      <c r="P333" s="9">
        <v>0</v>
      </c>
      <c r="Q333" s="9">
        <v>0</v>
      </c>
      <c r="R333" s="9">
        <v>0</v>
      </c>
      <c r="S333" s="9">
        <v>0</v>
      </c>
      <c r="T333" s="9">
        <v>0</v>
      </c>
      <c r="U333" s="9">
        <v>0</v>
      </c>
      <c r="V333" s="9">
        <v>0</v>
      </c>
      <c r="W333" s="9">
        <v>0</v>
      </c>
      <c r="X333" s="9">
        <v>0</v>
      </c>
      <c r="Y333" s="9">
        <v>0</v>
      </c>
      <c r="Z333" s="9">
        <v>0</v>
      </c>
      <c r="AA333" s="9">
        <v>0</v>
      </c>
      <c r="AB333" s="10">
        <f t="shared" si="26"/>
        <v>0</v>
      </c>
      <c r="AC333" s="10">
        <f t="shared" si="27"/>
        <v>0</v>
      </c>
      <c r="AD333" s="9">
        <v>0</v>
      </c>
      <c r="AE333" s="9">
        <v>0</v>
      </c>
      <c r="AF333" s="9">
        <v>0</v>
      </c>
      <c r="AG333" s="9">
        <v>0</v>
      </c>
      <c r="AH333" s="9">
        <v>0</v>
      </c>
      <c r="AI333" s="9">
        <v>0</v>
      </c>
      <c r="AJ333" s="9">
        <v>0</v>
      </c>
      <c r="AK333" s="9">
        <v>0</v>
      </c>
      <c r="AL333" s="9">
        <v>0</v>
      </c>
      <c r="AM333" s="9">
        <v>0</v>
      </c>
      <c r="AN333" s="9">
        <v>0</v>
      </c>
      <c r="AO333" s="9">
        <v>0</v>
      </c>
      <c r="AP333" s="9">
        <v>0</v>
      </c>
      <c r="AQ333" s="9">
        <v>0</v>
      </c>
      <c r="AR333" s="9">
        <v>0</v>
      </c>
      <c r="AS333" s="10">
        <f t="shared" si="28"/>
        <v>0</v>
      </c>
      <c r="AT333" s="10">
        <f t="shared" si="29"/>
        <v>0</v>
      </c>
      <c r="AU333" s="5" t="s">
        <v>468</v>
      </c>
    </row>
    <row r="334" spans="1:47" ht="15" customHeight="1" x14ac:dyDescent="0.3">
      <c r="A334" s="7" t="str">
        <f t="shared" si="25"/>
        <v>67_2023</v>
      </c>
      <c r="B334" s="7">
        <v>333</v>
      </c>
      <c r="C334" s="7">
        <f>'Panel Data (Long Format)'!B334</f>
        <v>67</v>
      </c>
      <c r="D334" s="7" t="str">
        <f>'Panel Data (Long Format)'!C334</f>
        <v>JULI</v>
      </c>
      <c r="E334" s="8" t="str">
        <f>'Panel Data (Long Format)'!D334</f>
        <v>Juli Plc</v>
      </c>
      <c r="F334" s="7" t="str">
        <f>'Panel Data (Long Format)'!E334</f>
        <v>SERVICES</v>
      </c>
      <c r="G334" s="7">
        <f>'Panel Data (Long Format)'!F334</f>
        <v>2023</v>
      </c>
      <c r="H334" s="9">
        <v>0</v>
      </c>
      <c r="I334" s="9">
        <v>0</v>
      </c>
      <c r="J334" s="9">
        <v>0</v>
      </c>
      <c r="K334" s="9">
        <v>0</v>
      </c>
      <c r="L334" s="9">
        <v>0</v>
      </c>
      <c r="M334" s="9">
        <v>0</v>
      </c>
      <c r="N334" s="9">
        <v>0</v>
      </c>
      <c r="O334" s="9">
        <v>0</v>
      </c>
      <c r="P334" s="9">
        <v>0</v>
      </c>
      <c r="Q334" s="9">
        <v>0</v>
      </c>
      <c r="R334" s="9">
        <v>0</v>
      </c>
      <c r="S334" s="9">
        <v>0</v>
      </c>
      <c r="T334" s="9">
        <v>0</v>
      </c>
      <c r="U334" s="9">
        <v>0</v>
      </c>
      <c r="V334" s="9">
        <v>0</v>
      </c>
      <c r="W334" s="9">
        <v>0</v>
      </c>
      <c r="X334" s="9">
        <v>0</v>
      </c>
      <c r="Y334" s="9">
        <v>0</v>
      </c>
      <c r="Z334" s="9">
        <v>0</v>
      </c>
      <c r="AA334" s="9">
        <v>0</v>
      </c>
      <c r="AB334" s="10">
        <f t="shared" si="26"/>
        <v>0</v>
      </c>
      <c r="AC334" s="10">
        <f t="shared" si="27"/>
        <v>0</v>
      </c>
      <c r="AD334" s="9">
        <v>0</v>
      </c>
      <c r="AE334" s="9">
        <v>0</v>
      </c>
      <c r="AF334" s="9">
        <v>0</v>
      </c>
      <c r="AG334" s="9">
        <v>0</v>
      </c>
      <c r="AH334" s="9">
        <v>0</v>
      </c>
      <c r="AI334" s="9">
        <v>0</v>
      </c>
      <c r="AJ334" s="9">
        <v>0</v>
      </c>
      <c r="AK334" s="9">
        <v>0</v>
      </c>
      <c r="AL334" s="9">
        <v>0</v>
      </c>
      <c r="AM334" s="9">
        <v>0</v>
      </c>
      <c r="AN334" s="9">
        <v>0</v>
      </c>
      <c r="AO334" s="9">
        <v>0</v>
      </c>
      <c r="AP334" s="9">
        <v>0</v>
      </c>
      <c r="AQ334" s="9">
        <v>0</v>
      </c>
      <c r="AR334" s="9">
        <v>0</v>
      </c>
      <c r="AS334" s="10">
        <f t="shared" si="28"/>
        <v>0</v>
      </c>
      <c r="AT334" s="10">
        <f t="shared" si="29"/>
        <v>0</v>
      </c>
      <c r="AU334" s="5" t="s">
        <v>469</v>
      </c>
    </row>
    <row r="335" spans="1:47" ht="15" customHeight="1" x14ac:dyDescent="0.3">
      <c r="A335" s="7" t="str">
        <f t="shared" si="25"/>
        <v>67_2024</v>
      </c>
      <c r="B335" s="7">
        <v>334</v>
      </c>
      <c r="C335" s="7">
        <f>'Panel Data (Long Format)'!B335</f>
        <v>67</v>
      </c>
      <c r="D335" s="7" t="str">
        <f>'Panel Data (Long Format)'!C335</f>
        <v>JULI</v>
      </c>
      <c r="E335" s="8" t="str">
        <f>'Panel Data (Long Format)'!D335</f>
        <v>Juli Plc</v>
      </c>
      <c r="F335" s="7" t="str">
        <f>'Panel Data (Long Format)'!E335</f>
        <v>SERVICES</v>
      </c>
      <c r="G335" s="7">
        <f>'Panel Data (Long Format)'!F335</f>
        <v>2024</v>
      </c>
      <c r="H335" s="9">
        <v>0</v>
      </c>
      <c r="I335" s="9">
        <v>0</v>
      </c>
      <c r="J335" s="9">
        <v>0</v>
      </c>
      <c r="K335" s="9">
        <v>0</v>
      </c>
      <c r="L335" s="9">
        <v>0</v>
      </c>
      <c r="M335" s="9">
        <v>0</v>
      </c>
      <c r="N335" s="9">
        <v>0</v>
      </c>
      <c r="O335" s="9">
        <v>0</v>
      </c>
      <c r="P335" s="9">
        <v>0</v>
      </c>
      <c r="Q335" s="9">
        <v>0</v>
      </c>
      <c r="R335" s="9">
        <v>0</v>
      </c>
      <c r="S335" s="9">
        <v>0</v>
      </c>
      <c r="T335" s="9">
        <v>0</v>
      </c>
      <c r="U335" s="9">
        <v>0</v>
      </c>
      <c r="V335" s="9">
        <v>0</v>
      </c>
      <c r="W335" s="9">
        <v>0</v>
      </c>
      <c r="X335" s="9">
        <v>0</v>
      </c>
      <c r="Y335" s="9">
        <v>0</v>
      </c>
      <c r="Z335" s="9">
        <v>0</v>
      </c>
      <c r="AA335" s="9">
        <v>0</v>
      </c>
      <c r="AB335" s="10">
        <f t="shared" si="26"/>
        <v>0</v>
      </c>
      <c r="AC335" s="10">
        <f t="shared" si="27"/>
        <v>0</v>
      </c>
      <c r="AD335" s="9">
        <v>0</v>
      </c>
      <c r="AE335" s="9">
        <v>0</v>
      </c>
      <c r="AF335" s="9">
        <v>0</v>
      </c>
      <c r="AG335" s="9">
        <v>0</v>
      </c>
      <c r="AH335" s="9">
        <v>0</v>
      </c>
      <c r="AI335" s="9">
        <v>0</v>
      </c>
      <c r="AJ335" s="9">
        <v>0</v>
      </c>
      <c r="AK335" s="9">
        <v>0</v>
      </c>
      <c r="AL335" s="9">
        <v>0</v>
      </c>
      <c r="AM335" s="9">
        <v>0</v>
      </c>
      <c r="AN335" s="9">
        <v>0</v>
      </c>
      <c r="AO335" s="9">
        <v>0</v>
      </c>
      <c r="AP335" s="9">
        <v>0</v>
      </c>
      <c r="AQ335" s="9">
        <v>0</v>
      </c>
      <c r="AR335" s="9">
        <v>0</v>
      </c>
      <c r="AS335" s="10">
        <f t="shared" si="28"/>
        <v>0</v>
      </c>
      <c r="AT335" s="10">
        <f t="shared" si="29"/>
        <v>0</v>
      </c>
      <c r="AU335" s="5" t="s">
        <v>470</v>
      </c>
    </row>
    <row r="336" spans="1:47" ht="15" customHeight="1" x14ac:dyDescent="0.3">
      <c r="A336" s="7" t="str">
        <f t="shared" si="25"/>
        <v>67_2025</v>
      </c>
      <c r="B336" s="7">
        <v>335</v>
      </c>
      <c r="C336" s="7">
        <f>'Panel Data (Long Format)'!B336</f>
        <v>67</v>
      </c>
      <c r="D336" s="7" t="str">
        <f>'Panel Data (Long Format)'!C336</f>
        <v>JULI</v>
      </c>
      <c r="E336" s="8" t="str">
        <f>'Panel Data (Long Format)'!D336</f>
        <v>Juli Plc</v>
      </c>
      <c r="F336" s="7" t="str">
        <f>'Panel Data (Long Format)'!E336</f>
        <v>SERVICES</v>
      </c>
      <c r="G336" s="7">
        <f>'Panel Data (Long Format)'!F336</f>
        <v>2025</v>
      </c>
      <c r="H336" s="9">
        <v>0</v>
      </c>
      <c r="I336" s="9">
        <v>0</v>
      </c>
      <c r="J336" s="9">
        <v>0</v>
      </c>
      <c r="K336" s="9">
        <v>0</v>
      </c>
      <c r="L336" s="9">
        <v>0</v>
      </c>
      <c r="M336" s="9">
        <v>0</v>
      </c>
      <c r="N336" s="9">
        <v>0</v>
      </c>
      <c r="O336" s="9">
        <v>0</v>
      </c>
      <c r="P336" s="9">
        <v>0</v>
      </c>
      <c r="Q336" s="9">
        <v>0</v>
      </c>
      <c r="R336" s="9">
        <v>0</v>
      </c>
      <c r="S336" s="9">
        <v>0</v>
      </c>
      <c r="T336" s="9">
        <v>0</v>
      </c>
      <c r="U336" s="9">
        <v>0</v>
      </c>
      <c r="V336" s="9">
        <v>0</v>
      </c>
      <c r="W336" s="9">
        <v>0</v>
      </c>
      <c r="X336" s="9">
        <v>0</v>
      </c>
      <c r="Y336" s="9">
        <v>0</v>
      </c>
      <c r="Z336" s="9">
        <v>0</v>
      </c>
      <c r="AA336" s="9">
        <v>0</v>
      </c>
      <c r="AB336" s="10">
        <f t="shared" si="26"/>
        <v>0</v>
      </c>
      <c r="AC336" s="10">
        <f t="shared" si="27"/>
        <v>0</v>
      </c>
      <c r="AD336" s="9">
        <v>0</v>
      </c>
      <c r="AE336" s="9">
        <v>0</v>
      </c>
      <c r="AF336" s="9">
        <v>0</v>
      </c>
      <c r="AG336" s="9">
        <v>0</v>
      </c>
      <c r="AH336" s="9">
        <v>0</v>
      </c>
      <c r="AI336" s="9">
        <v>0</v>
      </c>
      <c r="AJ336" s="9">
        <v>0</v>
      </c>
      <c r="AK336" s="9">
        <v>0</v>
      </c>
      <c r="AL336" s="9">
        <v>0</v>
      </c>
      <c r="AM336" s="9">
        <v>0</v>
      </c>
      <c r="AN336" s="9">
        <v>0</v>
      </c>
      <c r="AO336" s="9">
        <v>0</v>
      </c>
      <c r="AP336" s="9">
        <v>0</v>
      </c>
      <c r="AQ336" s="9">
        <v>0</v>
      </c>
      <c r="AR336" s="9">
        <v>0</v>
      </c>
      <c r="AS336" s="10">
        <f t="shared" si="28"/>
        <v>0</v>
      </c>
      <c r="AT336" s="10">
        <f t="shared" si="29"/>
        <v>0</v>
      </c>
      <c r="AU336" s="5" t="s">
        <v>471</v>
      </c>
    </row>
    <row r="337" spans="1:47" ht="15" customHeight="1" x14ac:dyDescent="0.3">
      <c r="A337" s="7" t="str">
        <f t="shared" si="25"/>
        <v>68_2021</v>
      </c>
      <c r="B337" s="7">
        <v>336</v>
      </c>
      <c r="C337" s="7">
        <f>'Panel Data (Long Format)'!B337</f>
        <v>68</v>
      </c>
      <c r="D337" s="7" t="str">
        <f>'Panel Data (Long Format)'!C337</f>
        <v>LASACO</v>
      </c>
      <c r="E337" s="8" t="str">
        <f>'Panel Data (Long Format)'!D337</f>
        <v>Lasaco Assurance Plc</v>
      </c>
      <c r="F337" s="7" t="str">
        <f>'Panel Data (Long Format)'!E337</f>
        <v>FINANCIAL SERVICES</v>
      </c>
      <c r="G337" s="7">
        <f>'Panel Data (Long Format)'!F337</f>
        <v>2021</v>
      </c>
      <c r="H337" s="9">
        <v>0</v>
      </c>
      <c r="I337" s="9">
        <v>0</v>
      </c>
      <c r="J337" s="9">
        <v>0</v>
      </c>
      <c r="K337" s="9">
        <v>0</v>
      </c>
      <c r="L337" s="9">
        <v>0</v>
      </c>
      <c r="M337" s="9">
        <v>0</v>
      </c>
      <c r="N337" s="9">
        <v>0</v>
      </c>
      <c r="O337" s="9">
        <v>0</v>
      </c>
      <c r="P337" s="9">
        <v>0</v>
      </c>
      <c r="Q337" s="9">
        <v>0</v>
      </c>
      <c r="R337" s="9">
        <v>0</v>
      </c>
      <c r="S337" s="9">
        <v>0</v>
      </c>
      <c r="T337" s="9">
        <v>0</v>
      </c>
      <c r="U337" s="9">
        <v>0</v>
      </c>
      <c r="V337" s="9">
        <v>0</v>
      </c>
      <c r="W337" s="9">
        <v>0</v>
      </c>
      <c r="X337" s="9">
        <v>0</v>
      </c>
      <c r="Y337" s="9">
        <v>0</v>
      </c>
      <c r="Z337" s="9">
        <v>0</v>
      </c>
      <c r="AA337" s="9">
        <v>0</v>
      </c>
      <c r="AB337" s="10">
        <f t="shared" si="26"/>
        <v>0</v>
      </c>
      <c r="AC337" s="10">
        <f t="shared" si="27"/>
        <v>0</v>
      </c>
      <c r="AD337" s="9">
        <v>0</v>
      </c>
      <c r="AE337" s="9">
        <v>0</v>
      </c>
      <c r="AF337" s="9">
        <v>0</v>
      </c>
      <c r="AG337" s="9">
        <v>0</v>
      </c>
      <c r="AH337" s="9">
        <v>0</v>
      </c>
      <c r="AI337" s="9">
        <v>0</v>
      </c>
      <c r="AJ337" s="9">
        <v>0</v>
      </c>
      <c r="AK337" s="9">
        <v>0</v>
      </c>
      <c r="AL337" s="9">
        <v>0</v>
      </c>
      <c r="AM337" s="9">
        <v>0</v>
      </c>
      <c r="AN337" s="9">
        <v>0</v>
      </c>
      <c r="AO337" s="9">
        <v>0</v>
      </c>
      <c r="AP337" s="9">
        <v>0</v>
      </c>
      <c r="AQ337" s="9">
        <v>0</v>
      </c>
      <c r="AR337" s="9">
        <v>0</v>
      </c>
      <c r="AS337" s="10">
        <f t="shared" si="28"/>
        <v>0</v>
      </c>
      <c r="AT337" s="10">
        <f t="shared" si="29"/>
        <v>0</v>
      </c>
      <c r="AU337" s="5" t="s">
        <v>472</v>
      </c>
    </row>
    <row r="338" spans="1:47" ht="15" customHeight="1" x14ac:dyDescent="0.3">
      <c r="A338" s="7" t="str">
        <f t="shared" si="25"/>
        <v>68_2022</v>
      </c>
      <c r="B338" s="7">
        <v>337</v>
      </c>
      <c r="C338" s="7">
        <f>'Panel Data (Long Format)'!B338</f>
        <v>68</v>
      </c>
      <c r="D338" s="7" t="str">
        <f>'Panel Data (Long Format)'!C338</f>
        <v>LASACO</v>
      </c>
      <c r="E338" s="8" t="str">
        <f>'Panel Data (Long Format)'!D338</f>
        <v>Lasaco Assurance Plc</v>
      </c>
      <c r="F338" s="7" t="str">
        <f>'Panel Data (Long Format)'!E338</f>
        <v>FINANCIAL SERVICES</v>
      </c>
      <c r="G338" s="7">
        <f>'Panel Data (Long Format)'!F338</f>
        <v>2022</v>
      </c>
      <c r="H338" s="9">
        <v>0</v>
      </c>
      <c r="I338" s="9">
        <v>0</v>
      </c>
      <c r="J338" s="9">
        <v>0</v>
      </c>
      <c r="K338" s="9">
        <v>0</v>
      </c>
      <c r="L338" s="9">
        <v>0</v>
      </c>
      <c r="M338" s="9">
        <v>0</v>
      </c>
      <c r="N338" s="9">
        <v>0</v>
      </c>
      <c r="O338" s="9">
        <v>0</v>
      </c>
      <c r="P338" s="9">
        <v>0</v>
      </c>
      <c r="Q338" s="9">
        <v>0</v>
      </c>
      <c r="R338" s="9">
        <v>0</v>
      </c>
      <c r="S338" s="9">
        <v>0</v>
      </c>
      <c r="T338" s="9">
        <v>0</v>
      </c>
      <c r="U338" s="9">
        <v>0</v>
      </c>
      <c r="V338" s="9">
        <v>0</v>
      </c>
      <c r="W338" s="9">
        <v>0</v>
      </c>
      <c r="X338" s="9">
        <v>0</v>
      </c>
      <c r="Y338" s="9">
        <v>0</v>
      </c>
      <c r="Z338" s="9">
        <v>0</v>
      </c>
      <c r="AA338" s="9">
        <v>0</v>
      </c>
      <c r="AB338" s="10">
        <f t="shared" si="26"/>
        <v>0</v>
      </c>
      <c r="AC338" s="10">
        <f t="shared" si="27"/>
        <v>0</v>
      </c>
      <c r="AD338" s="9">
        <v>0</v>
      </c>
      <c r="AE338" s="9">
        <v>0</v>
      </c>
      <c r="AF338" s="9">
        <v>0</v>
      </c>
      <c r="AG338" s="9">
        <v>0</v>
      </c>
      <c r="AH338" s="9">
        <v>0</v>
      </c>
      <c r="AI338" s="9">
        <v>0</v>
      </c>
      <c r="AJ338" s="9">
        <v>0</v>
      </c>
      <c r="AK338" s="9">
        <v>0</v>
      </c>
      <c r="AL338" s="9">
        <v>0</v>
      </c>
      <c r="AM338" s="9">
        <v>0</v>
      </c>
      <c r="AN338" s="9">
        <v>0</v>
      </c>
      <c r="AO338" s="9">
        <v>0</v>
      </c>
      <c r="AP338" s="9">
        <v>0</v>
      </c>
      <c r="AQ338" s="9">
        <v>0</v>
      </c>
      <c r="AR338" s="9">
        <v>0</v>
      </c>
      <c r="AS338" s="10">
        <f t="shared" si="28"/>
        <v>0</v>
      </c>
      <c r="AT338" s="10">
        <f t="shared" si="29"/>
        <v>0</v>
      </c>
      <c r="AU338" s="5" t="s">
        <v>473</v>
      </c>
    </row>
    <row r="339" spans="1:47" ht="15" customHeight="1" x14ac:dyDescent="0.3">
      <c r="A339" s="7" t="str">
        <f t="shared" si="25"/>
        <v>68_2023</v>
      </c>
      <c r="B339" s="7">
        <v>338</v>
      </c>
      <c r="C339" s="7">
        <f>'Panel Data (Long Format)'!B339</f>
        <v>68</v>
      </c>
      <c r="D339" s="7" t="str">
        <f>'Panel Data (Long Format)'!C339</f>
        <v>LASACO</v>
      </c>
      <c r="E339" s="8" t="str">
        <f>'Panel Data (Long Format)'!D339</f>
        <v>Lasaco Assurance Plc</v>
      </c>
      <c r="F339" s="7" t="str">
        <f>'Panel Data (Long Format)'!E339</f>
        <v>FINANCIAL SERVICES</v>
      </c>
      <c r="G339" s="7">
        <f>'Panel Data (Long Format)'!F339</f>
        <v>2023</v>
      </c>
      <c r="H339" s="9">
        <v>0</v>
      </c>
      <c r="I339" s="9">
        <v>0</v>
      </c>
      <c r="J339" s="9">
        <v>0</v>
      </c>
      <c r="K339" s="9">
        <v>0</v>
      </c>
      <c r="L339" s="9">
        <v>0</v>
      </c>
      <c r="M339" s="9">
        <v>0</v>
      </c>
      <c r="N339" s="9">
        <v>0</v>
      </c>
      <c r="O339" s="9">
        <v>0</v>
      </c>
      <c r="P339" s="9">
        <v>0</v>
      </c>
      <c r="Q339" s="9">
        <v>0</v>
      </c>
      <c r="R339" s="9">
        <v>0</v>
      </c>
      <c r="S339" s="9">
        <v>0</v>
      </c>
      <c r="T339" s="9">
        <v>0</v>
      </c>
      <c r="U339" s="9">
        <v>0</v>
      </c>
      <c r="V339" s="9">
        <v>0</v>
      </c>
      <c r="W339" s="9">
        <v>0</v>
      </c>
      <c r="X339" s="9">
        <v>0</v>
      </c>
      <c r="Y339" s="9">
        <v>0</v>
      </c>
      <c r="Z339" s="9">
        <v>0</v>
      </c>
      <c r="AA339" s="9">
        <v>0</v>
      </c>
      <c r="AB339" s="10">
        <f t="shared" si="26"/>
        <v>0</v>
      </c>
      <c r="AC339" s="10">
        <f t="shared" si="27"/>
        <v>0</v>
      </c>
      <c r="AD339" s="9">
        <v>0</v>
      </c>
      <c r="AE339" s="9">
        <v>0</v>
      </c>
      <c r="AF339" s="9">
        <v>0</v>
      </c>
      <c r="AG339" s="9">
        <v>0</v>
      </c>
      <c r="AH339" s="9">
        <v>0</v>
      </c>
      <c r="AI339" s="9">
        <v>0</v>
      </c>
      <c r="AJ339" s="9">
        <v>0</v>
      </c>
      <c r="AK339" s="9">
        <v>0</v>
      </c>
      <c r="AL339" s="9">
        <v>0</v>
      </c>
      <c r="AM339" s="9">
        <v>0</v>
      </c>
      <c r="AN339" s="9">
        <v>0</v>
      </c>
      <c r="AO339" s="9">
        <v>0</v>
      </c>
      <c r="AP339" s="9">
        <v>0</v>
      </c>
      <c r="AQ339" s="9">
        <v>0</v>
      </c>
      <c r="AR339" s="9">
        <v>0</v>
      </c>
      <c r="AS339" s="10">
        <f t="shared" si="28"/>
        <v>0</v>
      </c>
      <c r="AT339" s="10">
        <f t="shared" si="29"/>
        <v>0</v>
      </c>
      <c r="AU339" s="5" t="s">
        <v>474</v>
      </c>
    </row>
    <row r="340" spans="1:47" ht="15" customHeight="1" x14ac:dyDescent="0.3">
      <c r="A340" s="7" t="str">
        <f t="shared" si="25"/>
        <v>68_2024</v>
      </c>
      <c r="B340" s="7">
        <v>339</v>
      </c>
      <c r="C340" s="7">
        <f>'Panel Data (Long Format)'!B340</f>
        <v>68</v>
      </c>
      <c r="D340" s="7" t="str">
        <f>'Panel Data (Long Format)'!C340</f>
        <v>LASACO</v>
      </c>
      <c r="E340" s="8" t="str">
        <f>'Panel Data (Long Format)'!D340</f>
        <v>Lasaco Assurance Plc</v>
      </c>
      <c r="F340" s="7" t="str">
        <f>'Panel Data (Long Format)'!E340</f>
        <v>FINANCIAL SERVICES</v>
      </c>
      <c r="G340" s="7">
        <f>'Panel Data (Long Format)'!F340</f>
        <v>2024</v>
      </c>
      <c r="H340" s="9">
        <v>0</v>
      </c>
      <c r="I340" s="9">
        <v>0</v>
      </c>
      <c r="J340" s="9">
        <v>0</v>
      </c>
      <c r="K340" s="9">
        <v>0</v>
      </c>
      <c r="L340" s="9">
        <v>0</v>
      </c>
      <c r="M340" s="9">
        <v>0</v>
      </c>
      <c r="N340" s="9">
        <v>0</v>
      </c>
      <c r="O340" s="9">
        <v>0</v>
      </c>
      <c r="P340" s="9">
        <v>0</v>
      </c>
      <c r="Q340" s="9">
        <v>0</v>
      </c>
      <c r="R340" s="9">
        <v>0</v>
      </c>
      <c r="S340" s="9">
        <v>0</v>
      </c>
      <c r="T340" s="9">
        <v>0</v>
      </c>
      <c r="U340" s="9">
        <v>0</v>
      </c>
      <c r="V340" s="9">
        <v>0</v>
      </c>
      <c r="W340" s="9">
        <v>0</v>
      </c>
      <c r="X340" s="9">
        <v>0</v>
      </c>
      <c r="Y340" s="9">
        <v>0</v>
      </c>
      <c r="Z340" s="9">
        <v>0</v>
      </c>
      <c r="AA340" s="9">
        <v>0</v>
      </c>
      <c r="AB340" s="10">
        <f t="shared" si="26"/>
        <v>0</v>
      </c>
      <c r="AC340" s="10">
        <f t="shared" si="27"/>
        <v>0</v>
      </c>
      <c r="AD340" s="9">
        <v>0</v>
      </c>
      <c r="AE340" s="9">
        <v>0</v>
      </c>
      <c r="AF340" s="9">
        <v>0</v>
      </c>
      <c r="AG340" s="9">
        <v>0</v>
      </c>
      <c r="AH340" s="9">
        <v>0</v>
      </c>
      <c r="AI340" s="9">
        <v>0</v>
      </c>
      <c r="AJ340" s="9">
        <v>0</v>
      </c>
      <c r="AK340" s="9">
        <v>0</v>
      </c>
      <c r="AL340" s="9">
        <v>0</v>
      </c>
      <c r="AM340" s="9">
        <v>0</v>
      </c>
      <c r="AN340" s="9">
        <v>0</v>
      </c>
      <c r="AO340" s="9">
        <v>0</v>
      </c>
      <c r="AP340" s="9">
        <v>0</v>
      </c>
      <c r="AQ340" s="9">
        <v>0</v>
      </c>
      <c r="AR340" s="9">
        <v>0</v>
      </c>
      <c r="AS340" s="10">
        <f t="shared" si="28"/>
        <v>0</v>
      </c>
      <c r="AT340" s="10">
        <f t="shared" si="29"/>
        <v>0</v>
      </c>
      <c r="AU340" s="5" t="s">
        <v>475</v>
      </c>
    </row>
    <row r="341" spans="1:47" ht="15" customHeight="1" x14ac:dyDescent="0.3">
      <c r="A341" s="7" t="str">
        <f t="shared" si="25"/>
        <v>68_2025</v>
      </c>
      <c r="B341" s="7">
        <v>340</v>
      </c>
      <c r="C341" s="7">
        <f>'Panel Data (Long Format)'!B341</f>
        <v>68</v>
      </c>
      <c r="D341" s="7" t="str">
        <f>'Panel Data (Long Format)'!C341</f>
        <v>LASACO</v>
      </c>
      <c r="E341" s="8" t="str">
        <f>'Panel Data (Long Format)'!D341</f>
        <v>Lasaco Assurance Plc</v>
      </c>
      <c r="F341" s="7" t="str">
        <f>'Panel Data (Long Format)'!E341</f>
        <v>FINANCIAL SERVICES</v>
      </c>
      <c r="G341" s="7">
        <f>'Panel Data (Long Format)'!F341</f>
        <v>2025</v>
      </c>
      <c r="H341" s="9">
        <v>0</v>
      </c>
      <c r="I341" s="9">
        <v>0</v>
      </c>
      <c r="J341" s="9">
        <v>0</v>
      </c>
      <c r="K341" s="9">
        <v>0</v>
      </c>
      <c r="L341" s="9">
        <v>0</v>
      </c>
      <c r="M341" s="9">
        <v>0</v>
      </c>
      <c r="N341" s="9">
        <v>0</v>
      </c>
      <c r="O341" s="9">
        <v>0</v>
      </c>
      <c r="P341" s="9">
        <v>0</v>
      </c>
      <c r="Q341" s="9">
        <v>0</v>
      </c>
      <c r="R341" s="9">
        <v>0</v>
      </c>
      <c r="S341" s="9">
        <v>0</v>
      </c>
      <c r="T341" s="9">
        <v>0</v>
      </c>
      <c r="U341" s="9">
        <v>0</v>
      </c>
      <c r="V341" s="9">
        <v>0</v>
      </c>
      <c r="W341" s="9">
        <v>0</v>
      </c>
      <c r="X341" s="9">
        <v>0</v>
      </c>
      <c r="Y341" s="9">
        <v>0</v>
      </c>
      <c r="Z341" s="9">
        <v>0</v>
      </c>
      <c r="AA341" s="9">
        <v>0</v>
      </c>
      <c r="AB341" s="10">
        <f t="shared" si="26"/>
        <v>0</v>
      </c>
      <c r="AC341" s="10">
        <f t="shared" si="27"/>
        <v>0</v>
      </c>
      <c r="AD341" s="9">
        <v>0</v>
      </c>
      <c r="AE341" s="9">
        <v>0</v>
      </c>
      <c r="AF341" s="9">
        <v>0</v>
      </c>
      <c r="AG341" s="9">
        <v>0</v>
      </c>
      <c r="AH341" s="9">
        <v>0</v>
      </c>
      <c r="AI341" s="9">
        <v>0</v>
      </c>
      <c r="AJ341" s="9">
        <v>0</v>
      </c>
      <c r="AK341" s="9">
        <v>0</v>
      </c>
      <c r="AL341" s="9">
        <v>0</v>
      </c>
      <c r="AM341" s="9">
        <v>0</v>
      </c>
      <c r="AN341" s="9">
        <v>0</v>
      </c>
      <c r="AO341" s="9">
        <v>0</v>
      </c>
      <c r="AP341" s="9">
        <v>0</v>
      </c>
      <c r="AQ341" s="9">
        <v>0</v>
      </c>
      <c r="AR341" s="9">
        <v>0</v>
      </c>
      <c r="AS341" s="10">
        <f t="shared" si="28"/>
        <v>0</v>
      </c>
      <c r="AT341" s="10">
        <f t="shared" si="29"/>
        <v>0</v>
      </c>
      <c r="AU341" s="5" t="s">
        <v>476</v>
      </c>
    </row>
    <row r="342" spans="1:47" ht="15" customHeight="1" x14ac:dyDescent="0.3">
      <c r="A342" s="7" t="str">
        <f t="shared" si="25"/>
        <v>69_2021</v>
      </c>
      <c r="B342" s="7">
        <v>341</v>
      </c>
      <c r="C342" s="7">
        <f>'Panel Data (Long Format)'!B342</f>
        <v>69</v>
      </c>
      <c r="D342" s="7" t="str">
        <f>'Panel Data (Long Format)'!C342</f>
        <v>LEARNAFRCA</v>
      </c>
      <c r="E342" s="8" t="str">
        <f>'Panel Data (Long Format)'!D342</f>
        <v>Learn Africa Plc</v>
      </c>
      <c r="F342" s="7" t="str">
        <f>'Panel Data (Long Format)'!E342</f>
        <v>SERVICES</v>
      </c>
      <c r="G342" s="7">
        <f>'Panel Data (Long Format)'!F342</f>
        <v>2021</v>
      </c>
      <c r="H342" s="9">
        <v>0</v>
      </c>
      <c r="I342" s="9">
        <v>0</v>
      </c>
      <c r="J342" s="9">
        <v>0</v>
      </c>
      <c r="K342" s="9">
        <v>0</v>
      </c>
      <c r="L342" s="9">
        <v>0</v>
      </c>
      <c r="M342" s="9">
        <v>0</v>
      </c>
      <c r="N342" s="9">
        <v>0</v>
      </c>
      <c r="O342" s="9">
        <v>0</v>
      </c>
      <c r="P342" s="9">
        <v>0</v>
      </c>
      <c r="Q342" s="9">
        <v>0</v>
      </c>
      <c r="R342" s="9">
        <v>0</v>
      </c>
      <c r="S342" s="9">
        <v>0</v>
      </c>
      <c r="T342" s="9">
        <v>0</v>
      </c>
      <c r="U342" s="9">
        <v>0</v>
      </c>
      <c r="V342" s="9">
        <v>0</v>
      </c>
      <c r="W342" s="9">
        <v>0</v>
      </c>
      <c r="X342" s="9">
        <v>0</v>
      </c>
      <c r="Y342" s="9">
        <v>0</v>
      </c>
      <c r="Z342" s="9">
        <v>0</v>
      </c>
      <c r="AA342" s="9">
        <v>0</v>
      </c>
      <c r="AB342" s="10">
        <f t="shared" si="26"/>
        <v>0</v>
      </c>
      <c r="AC342" s="10">
        <f t="shared" si="27"/>
        <v>0</v>
      </c>
      <c r="AD342" s="9">
        <v>0</v>
      </c>
      <c r="AE342" s="9">
        <v>0</v>
      </c>
      <c r="AF342" s="9">
        <v>0</v>
      </c>
      <c r="AG342" s="9">
        <v>0</v>
      </c>
      <c r="AH342" s="9">
        <v>0</v>
      </c>
      <c r="AI342" s="9">
        <v>0</v>
      </c>
      <c r="AJ342" s="9">
        <v>0</v>
      </c>
      <c r="AK342" s="9">
        <v>0</v>
      </c>
      <c r="AL342" s="9">
        <v>0</v>
      </c>
      <c r="AM342" s="9">
        <v>0</v>
      </c>
      <c r="AN342" s="9">
        <v>0</v>
      </c>
      <c r="AO342" s="9">
        <v>0</v>
      </c>
      <c r="AP342" s="9">
        <v>0</v>
      </c>
      <c r="AQ342" s="9">
        <v>0</v>
      </c>
      <c r="AR342" s="9">
        <v>0</v>
      </c>
      <c r="AS342" s="10">
        <f t="shared" si="28"/>
        <v>0</v>
      </c>
      <c r="AT342" s="10">
        <f t="shared" si="29"/>
        <v>0</v>
      </c>
      <c r="AU342" s="5" t="s">
        <v>477</v>
      </c>
    </row>
    <row r="343" spans="1:47" ht="15" customHeight="1" x14ac:dyDescent="0.3">
      <c r="A343" s="7" t="str">
        <f t="shared" si="25"/>
        <v>69_2022</v>
      </c>
      <c r="B343" s="7">
        <v>342</v>
      </c>
      <c r="C343" s="7">
        <f>'Panel Data (Long Format)'!B343</f>
        <v>69</v>
      </c>
      <c r="D343" s="7" t="str">
        <f>'Panel Data (Long Format)'!C343</f>
        <v>LEARNAFRCA</v>
      </c>
      <c r="E343" s="8" t="str">
        <f>'Panel Data (Long Format)'!D343</f>
        <v>Learn Africa Plc</v>
      </c>
      <c r="F343" s="7" t="str">
        <f>'Panel Data (Long Format)'!E343</f>
        <v>SERVICES</v>
      </c>
      <c r="G343" s="7">
        <f>'Panel Data (Long Format)'!F343</f>
        <v>2022</v>
      </c>
      <c r="H343" s="9">
        <v>0</v>
      </c>
      <c r="I343" s="9">
        <v>0</v>
      </c>
      <c r="J343" s="9">
        <v>0</v>
      </c>
      <c r="K343" s="9">
        <v>0</v>
      </c>
      <c r="L343" s="9">
        <v>0</v>
      </c>
      <c r="M343" s="9">
        <v>0</v>
      </c>
      <c r="N343" s="9">
        <v>0</v>
      </c>
      <c r="O343" s="9">
        <v>0</v>
      </c>
      <c r="P343" s="9">
        <v>0</v>
      </c>
      <c r="Q343" s="9">
        <v>0</v>
      </c>
      <c r="R343" s="9">
        <v>0</v>
      </c>
      <c r="S343" s="9">
        <v>0</v>
      </c>
      <c r="T343" s="9">
        <v>0</v>
      </c>
      <c r="U343" s="9">
        <v>0</v>
      </c>
      <c r="V343" s="9">
        <v>0</v>
      </c>
      <c r="W343" s="9">
        <v>0</v>
      </c>
      <c r="X343" s="9">
        <v>0</v>
      </c>
      <c r="Y343" s="9">
        <v>0</v>
      </c>
      <c r="Z343" s="9">
        <v>0</v>
      </c>
      <c r="AA343" s="9">
        <v>0</v>
      </c>
      <c r="AB343" s="10">
        <f t="shared" si="26"/>
        <v>0</v>
      </c>
      <c r="AC343" s="10">
        <f t="shared" si="27"/>
        <v>0</v>
      </c>
      <c r="AD343" s="9">
        <v>0</v>
      </c>
      <c r="AE343" s="9">
        <v>0</v>
      </c>
      <c r="AF343" s="9">
        <v>0</v>
      </c>
      <c r="AG343" s="9">
        <v>0</v>
      </c>
      <c r="AH343" s="9">
        <v>0</v>
      </c>
      <c r="AI343" s="9">
        <v>0</v>
      </c>
      <c r="AJ343" s="9">
        <v>0</v>
      </c>
      <c r="AK343" s="9">
        <v>0</v>
      </c>
      <c r="AL343" s="9">
        <v>0</v>
      </c>
      <c r="AM343" s="9">
        <v>0</v>
      </c>
      <c r="AN343" s="9">
        <v>0</v>
      </c>
      <c r="AO343" s="9">
        <v>0</v>
      </c>
      <c r="AP343" s="9">
        <v>0</v>
      </c>
      <c r="AQ343" s="9">
        <v>0</v>
      </c>
      <c r="AR343" s="9">
        <v>0</v>
      </c>
      <c r="AS343" s="10">
        <f t="shared" si="28"/>
        <v>0</v>
      </c>
      <c r="AT343" s="10">
        <f t="shared" si="29"/>
        <v>0</v>
      </c>
      <c r="AU343" s="5" t="s">
        <v>478</v>
      </c>
    </row>
    <row r="344" spans="1:47" ht="15" customHeight="1" x14ac:dyDescent="0.3">
      <c r="A344" s="7" t="str">
        <f t="shared" si="25"/>
        <v>69_2023</v>
      </c>
      <c r="B344" s="7">
        <v>343</v>
      </c>
      <c r="C344" s="7">
        <f>'Panel Data (Long Format)'!B344</f>
        <v>69</v>
      </c>
      <c r="D344" s="7" t="str">
        <f>'Panel Data (Long Format)'!C344</f>
        <v>LEARNAFRCA</v>
      </c>
      <c r="E344" s="8" t="str">
        <f>'Panel Data (Long Format)'!D344</f>
        <v>Learn Africa Plc</v>
      </c>
      <c r="F344" s="7" t="str">
        <f>'Panel Data (Long Format)'!E344</f>
        <v>SERVICES</v>
      </c>
      <c r="G344" s="7">
        <f>'Panel Data (Long Format)'!F344</f>
        <v>2023</v>
      </c>
      <c r="H344" s="9">
        <v>0</v>
      </c>
      <c r="I344" s="9">
        <v>0</v>
      </c>
      <c r="J344" s="9">
        <v>0</v>
      </c>
      <c r="K344" s="9">
        <v>0</v>
      </c>
      <c r="L344" s="9">
        <v>0</v>
      </c>
      <c r="M344" s="9">
        <v>0</v>
      </c>
      <c r="N344" s="9">
        <v>0</v>
      </c>
      <c r="O344" s="9">
        <v>0</v>
      </c>
      <c r="P344" s="9">
        <v>0</v>
      </c>
      <c r="Q344" s="9">
        <v>0</v>
      </c>
      <c r="R344" s="9">
        <v>0</v>
      </c>
      <c r="S344" s="9">
        <v>0</v>
      </c>
      <c r="T344" s="9">
        <v>0</v>
      </c>
      <c r="U344" s="9">
        <v>0</v>
      </c>
      <c r="V344" s="9">
        <v>0</v>
      </c>
      <c r="W344" s="9">
        <v>0</v>
      </c>
      <c r="X344" s="9">
        <v>0</v>
      </c>
      <c r="Y344" s="9">
        <v>0</v>
      </c>
      <c r="Z344" s="9">
        <v>0</v>
      </c>
      <c r="AA344" s="9">
        <v>0</v>
      </c>
      <c r="AB344" s="10">
        <f t="shared" si="26"/>
        <v>0</v>
      </c>
      <c r="AC344" s="10">
        <f t="shared" si="27"/>
        <v>0</v>
      </c>
      <c r="AD344" s="9">
        <v>0</v>
      </c>
      <c r="AE344" s="9">
        <v>0</v>
      </c>
      <c r="AF344" s="9">
        <v>0</v>
      </c>
      <c r="AG344" s="9">
        <v>0</v>
      </c>
      <c r="AH344" s="9">
        <v>0</v>
      </c>
      <c r="AI344" s="9">
        <v>0</v>
      </c>
      <c r="AJ344" s="9">
        <v>0</v>
      </c>
      <c r="AK344" s="9">
        <v>0</v>
      </c>
      <c r="AL344" s="9">
        <v>0</v>
      </c>
      <c r="AM344" s="9">
        <v>0</v>
      </c>
      <c r="AN344" s="9">
        <v>0</v>
      </c>
      <c r="AO344" s="9">
        <v>0</v>
      </c>
      <c r="AP344" s="9">
        <v>0</v>
      </c>
      <c r="AQ344" s="9">
        <v>0</v>
      </c>
      <c r="AR344" s="9">
        <v>0</v>
      </c>
      <c r="AS344" s="10">
        <f t="shared" si="28"/>
        <v>0</v>
      </c>
      <c r="AT344" s="10">
        <f t="shared" si="29"/>
        <v>0</v>
      </c>
      <c r="AU344" s="5" t="s">
        <v>479</v>
      </c>
    </row>
    <row r="345" spans="1:47" ht="15" customHeight="1" x14ac:dyDescent="0.3">
      <c r="A345" s="7" t="str">
        <f t="shared" si="25"/>
        <v>69_2024</v>
      </c>
      <c r="B345" s="7">
        <v>344</v>
      </c>
      <c r="C345" s="7">
        <f>'Panel Data (Long Format)'!B345</f>
        <v>69</v>
      </c>
      <c r="D345" s="7" t="str">
        <f>'Panel Data (Long Format)'!C345</f>
        <v>LEARNAFRCA</v>
      </c>
      <c r="E345" s="8" t="str">
        <f>'Panel Data (Long Format)'!D345</f>
        <v>Learn Africa Plc</v>
      </c>
      <c r="F345" s="7" t="str">
        <f>'Panel Data (Long Format)'!E345</f>
        <v>SERVICES</v>
      </c>
      <c r="G345" s="7">
        <f>'Panel Data (Long Format)'!F345</f>
        <v>2024</v>
      </c>
      <c r="H345" s="9">
        <v>0</v>
      </c>
      <c r="I345" s="9">
        <v>0</v>
      </c>
      <c r="J345" s="9">
        <v>0</v>
      </c>
      <c r="K345" s="9">
        <v>0</v>
      </c>
      <c r="L345" s="9">
        <v>0</v>
      </c>
      <c r="M345" s="9">
        <v>0</v>
      </c>
      <c r="N345" s="9">
        <v>0</v>
      </c>
      <c r="O345" s="9">
        <v>0</v>
      </c>
      <c r="P345" s="9">
        <v>0</v>
      </c>
      <c r="Q345" s="9">
        <v>0</v>
      </c>
      <c r="R345" s="9">
        <v>0</v>
      </c>
      <c r="S345" s="9">
        <v>0</v>
      </c>
      <c r="T345" s="9">
        <v>0</v>
      </c>
      <c r="U345" s="9">
        <v>0</v>
      </c>
      <c r="V345" s="9">
        <v>0</v>
      </c>
      <c r="W345" s="9">
        <v>0</v>
      </c>
      <c r="X345" s="9">
        <v>0</v>
      </c>
      <c r="Y345" s="9">
        <v>0</v>
      </c>
      <c r="Z345" s="9">
        <v>0</v>
      </c>
      <c r="AA345" s="9">
        <v>0</v>
      </c>
      <c r="AB345" s="10">
        <f t="shared" si="26"/>
        <v>0</v>
      </c>
      <c r="AC345" s="10">
        <f t="shared" si="27"/>
        <v>0</v>
      </c>
      <c r="AD345" s="9">
        <v>0</v>
      </c>
      <c r="AE345" s="9">
        <v>0</v>
      </c>
      <c r="AF345" s="9">
        <v>0</v>
      </c>
      <c r="AG345" s="9">
        <v>0</v>
      </c>
      <c r="AH345" s="9">
        <v>0</v>
      </c>
      <c r="AI345" s="9">
        <v>0</v>
      </c>
      <c r="AJ345" s="9">
        <v>0</v>
      </c>
      <c r="AK345" s="9">
        <v>0</v>
      </c>
      <c r="AL345" s="9">
        <v>0</v>
      </c>
      <c r="AM345" s="9">
        <v>0</v>
      </c>
      <c r="AN345" s="9">
        <v>0</v>
      </c>
      <c r="AO345" s="9">
        <v>0</v>
      </c>
      <c r="AP345" s="9">
        <v>0</v>
      </c>
      <c r="AQ345" s="9">
        <v>0</v>
      </c>
      <c r="AR345" s="9">
        <v>0</v>
      </c>
      <c r="AS345" s="10">
        <f t="shared" si="28"/>
        <v>0</v>
      </c>
      <c r="AT345" s="10">
        <f t="shared" si="29"/>
        <v>0</v>
      </c>
      <c r="AU345" s="5" t="s">
        <v>480</v>
      </c>
    </row>
    <row r="346" spans="1:47" ht="15" customHeight="1" x14ac:dyDescent="0.3">
      <c r="A346" s="7" t="str">
        <f t="shared" si="25"/>
        <v>69_2025</v>
      </c>
      <c r="B346" s="7">
        <v>345</v>
      </c>
      <c r="C346" s="7">
        <f>'Panel Data (Long Format)'!B346</f>
        <v>69</v>
      </c>
      <c r="D346" s="7" t="str">
        <f>'Panel Data (Long Format)'!C346</f>
        <v>LEARNAFRCA</v>
      </c>
      <c r="E346" s="8" t="str">
        <f>'Panel Data (Long Format)'!D346</f>
        <v>Learn Africa Plc</v>
      </c>
      <c r="F346" s="7" t="str">
        <f>'Panel Data (Long Format)'!E346</f>
        <v>SERVICES</v>
      </c>
      <c r="G346" s="7">
        <f>'Panel Data (Long Format)'!F346</f>
        <v>2025</v>
      </c>
      <c r="H346" s="9">
        <v>0</v>
      </c>
      <c r="I346" s="9">
        <v>0</v>
      </c>
      <c r="J346" s="9">
        <v>0</v>
      </c>
      <c r="K346" s="9">
        <v>0</v>
      </c>
      <c r="L346" s="9">
        <v>0</v>
      </c>
      <c r="M346" s="9">
        <v>0</v>
      </c>
      <c r="N346" s="9">
        <v>0</v>
      </c>
      <c r="O346" s="9">
        <v>0</v>
      </c>
      <c r="P346" s="9">
        <v>0</v>
      </c>
      <c r="Q346" s="9">
        <v>0</v>
      </c>
      <c r="R346" s="9">
        <v>0</v>
      </c>
      <c r="S346" s="9">
        <v>0</v>
      </c>
      <c r="T346" s="9">
        <v>0</v>
      </c>
      <c r="U346" s="9">
        <v>0</v>
      </c>
      <c r="V346" s="9">
        <v>0</v>
      </c>
      <c r="W346" s="9">
        <v>0</v>
      </c>
      <c r="X346" s="9">
        <v>0</v>
      </c>
      <c r="Y346" s="9">
        <v>0</v>
      </c>
      <c r="Z346" s="9">
        <v>0</v>
      </c>
      <c r="AA346" s="9">
        <v>0</v>
      </c>
      <c r="AB346" s="10">
        <f t="shared" si="26"/>
        <v>0</v>
      </c>
      <c r="AC346" s="10">
        <f t="shared" si="27"/>
        <v>0</v>
      </c>
      <c r="AD346" s="9">
        <v>0</v>
      </c>
      <c r="AE346" s="9">
        <v>0</v>
      </c>
      <c r="AF346" s="9">
        <v>0</v>
      </c>
      <c r="AG346" s="9">
        <v>0</v>
      </c>
      <c r="AH346" s="9">
        <v>0</v>
      </c>
      <c r="AI346" s="9">
        <v>0</v>
      </c>
      <c r="AJ346" s="9">
        <v>0</v>
      </c>
      <c r="AK346" s="9">
        <v>0</v>
      </c>
      <c r="AL346" s="9">
        <v>0</v>
      </c>
      <c r="AM346" s="9">
        <v>0</v>
      </c>
      <c r="AN346" s="9">
        <v>0</v>
      </c>
      <c r="AO346" s="9">
        <v>0</v>
      </c>
      <c r="AP346" s="9">
        <v>0</v>
      </c>
      <c r="AQ346" s="9">
        <v>0</v>
      </c>
      <c r="AR346" s="9">
        <v>0</v>
      </c>
      <c r="AS346" s="10">
        <f t="shared" si="28"/>
        <v>0</v>
      </c>
      <c r="AT346" s="10">
        <f t="shared" si="29"/>
        <v>0</v>
      </c>
      <c r="AU346" s="5" t="s">
        <v>481</v>
      </c>
    </row>
    <row r="347" spans="1:47" ht="15" customHeight="1" x14ac:dyDescent="0.3">
      <c r="A347" s="7" t="str">
        <f t="shared" si="25"/>
        <v>70_2021</v>
      </c>
      <c r="B347" s="7">
        <v>346</v>
      </c>
      <c r="C347" s="7">
        <f>'Panel Data (Long Format)'!B347</f>
        <v>70</v>
      </c>
      <c r="D347" s="7" t="str">
        <f>'Panel Data (Long Format)'!C347</f>
        <v>LEGENDINT</v>
      </c>
      <c r="E347" s="8" t="str">
        <f>'Panel Data (Long Format)'!D347</f>
        <v>Legend Internet Plc</v>
      </c>
      <c r="F347" s="7" t="str">
        <f>'Panel Data (Long Format)'!E347</f>
        <v>ICT</v>
      </c>
      <c r="G347" s="7">
        <f>'Panel Data (Long Format)'!F347</f>
        <v>2021</v>
      </c>
      <c r="H347" s="9"/>
      <c r="I347" s="9"/>
      <c r="J347" s="9"/>
      <c r="K347" s="9"/>
      <c r="L347" s="9"/>
      <c r="M347" s="9"/>
      <c r="N347" s="9"/>
      <c r="O347" s="9"/>
      <c r="P347" s="9"/>
      <c r="Q347" s="9"/>
      <c r="R347" s="9"/>
      <c r="S347" s="9"/>
      <c r="T347" s="9"/>
      <c r="U347" s="9"/>
      <c r="V347" s="9"/>
      <c r="W347" s="9"/>
      <c r="X347" s="9"/>
      <c r="Y347" s="9"/>
      <c r="Z347" s="9"/>
      <c r="AA347" s="9"/>
      <c r="AB347" s="10" t="str">
        <f t="shared" si="26"/>
        <v/>
      </c>
      <c r="AC347" s="10" t="str">
        <f t="shared" si="27"/>
        <v/>
      </c>
      <c r="AD347" s="9"/>
      <c r="AE347" s="9"/>
      <c r="AF347" s="9"/>
      <c r="AG347" s="9"/>
      <c r="AH347" s="9"/>
      <c r="AI347" s="9"/>
      <c r="AJ347" s="9"/>
      <c r="AK347" s="9"/>
      <c r="AL347" s="9"/>
      <c r="AM347" s="9"/>
      <c r="AN347" s="9"/>
      <c r="AO347" s="9"/>
      <c r="AP347" s="9"/>
      <c r="AQ347" s="9"/>
      <c r="AR347" s="9"/>
      <c r="AS347" s="10" t="str">
        <f t="shared" si="28"/>
        <v/>
      </c>
      <c r="AT347" s="10" t="str">
        <f t="shared" si="29"/>
        <v/>
      </c>
      <c r="AU347" s="5" t="s">
        <v>482</v>
      </c>
    </row>
    <row r="348" spans="1:47" ht="15" customHeight="1" x14ac:dyDescent="0.3">
      <c r="A348" s="7" t="str">
        <f t="shared" si="25"/>
        <v>70_2022</v>
      </c>
      <c r="B348" s="7">
        <v>347</v>
      </c>
      <c r="C348" s="7">
        <f>'Panel Data (Long Format)'!B348</f>
        <v>70</v>
      </c>
      <c r="D348" s="7" t="str">
        <f>'Panel Data (Long Format)'!C348</f>
        <v>LEGENDINT</v>
      </c>
      <c r="E348" s="8" t="str">
        <f>'Panel Data (Long Format)'!D348</f>
        <v>Legend Internet Plc</v>
      </c>
      <c r="F348" s="7" t="str">
        <f>'Panel Data (Long Format)'!E348</f>
        <v>ICT</v>
      </c>
      <c r="G348" s="7">
        <f>'Panel Data (Long Format)'!F348</f>
        <v>2022</v>
      </c>
      <c r="H348" s="9"/>
      <c r="I348" s="9"/>
      <c r="J348" s="9"/>
      <c r="K348" s="9"/>
      <c r="L348" s="9"/>
      <c r="M348" s="9"/>
      <c r="N348" s="9"/>
      <c r="O348" s="9"/>
      <c r="P348" s="9"/>
      <c r="Q348" s="9"/>
      <c r="R348" s="9"/>
      <c r="S348" s="9"/>
      <c r="T348" s="9"/>
      <c r="U348" s="9"/>
      <c r="V348" s="9"/>
      <c r="W348" s="9"/>
      <c r="X348" s="9"/>
      <c r="Y348" s="9"/>
      <c r="Z348" s="9"/>
      <c r="AA348" s="9"/>
      <c r="AB348" s="10" t="str">
        <f t="shared" si="26"/>
        <v/>
      </c>
      <c r="AC348" s="10" t="str">
        <f t="shared" si="27"/>
        <v/>
      </c>
      <c r="AD348" s="9"/>
      <c r="AE348" s="9"/>
      <c r="AF348" s="9"/>
      <c r="AG348" s="9"/>
      <c r="AH348" s="9"/>
      <c r="AI348" s="9"/>
      <c r="AJ348" s="9"/>
      <c r="AK348" s="9"/>
      <c r="AL348" s="9"/>
      <c r="AM348" s="9"/>
      <c r="AN348" s="9"/>
      <c r="AO348" s="9"/>
      <c r="AP348" s="9"/>
      <c r="AQ348" s="9"/>
      <c r="AR348" s="9"/>
      <c r="AS348" s="10" t="str">
        <f t="shared" si="28"/>
        <v/>
      </c>
      <c r="AT348" s="10" t="str">
        <f t="shared" si="29"/>
        <v/>
      </c>
      <c r="AU348" s="5" t="s">
        <v>483</v>
      </c>
    </row>
    <row r="349" spans="1:47" ht="15" customHeight="1" x14ac:dyDescent="0.3">
      <c r="A349" s="7" t="str">
        <f t="shared" si="25"/>
        <v>70_2023</v>
      </c>
      <c r="B349" s="7">
        <v>348</v>
      </c>
      <c r="C349" s="7">
        <f>'Panel Data (Long Format)'!B349</f>
        <v>70</v>
      </c>
      <c r="D349" s="7" t="str">
        <f>'Panel Data (Long Format)'!C349</f>
        <v>LEGENDINT</v>
      </c>
      <c r="E349" s="8" t="str">
        <f>'Panel Data (Long Format)'!D349</f>
        <v>Legend Internet Plc</v>
      </c>
      <c r="F349" s="7" t="str">
        <f>'Panel Data (Long Format)'!E349</f>
        <v>ICT</v>
      </c>
      <c r="G349" s="7">
        <f>'Panel Data (Long Format)'!F349</f>
        <v>2023</v>
      </c>
      <c r="H349" s="9"/>
      <c r="I349" s="9"/>
      <c r="J349" s="9"/>
      <c r="K349" s="9"/>
      <c r="L349" s="9"/>
      <c r="M349" s="9"/>
      <c r="N349" s="9"/>
      <c r="O349" s="9"/>
      <c r="P349" s="9"/>
      <c r="Q349" s="9"/>
      <c r="R349" s="9"/>
      <c r="S349" s="9"/>
      <c r="T349" s="9"/>
      <c r="U349" s="9"/>
      <c r="V349" s="9"/>
      <c r="W349" s="9"/>
      <c r="X349" s="9"/>
      <c r="Y349" s="9"/>
      <c r="Z349" s="9"/>
      <c r="AA349" s="9"/>
      <c r="AB349" s="10" t="str">
        <f t="shared" si="26"/>
        <v/>
      </c>
      <c r="AC349" s="10" t="str">
        <f t="shared" si="27"/>
        <v/>
      </c>
      <c r="AD349" s="9"/>
      <c r="AE349" s="9"/>
      <c r="AF349" s="9"/>
      <c r="AG349" s="9"/>
      <c r="AH349" s="9"/>
      <c r="AI349" s="9"/>
      <c r="AJ349" s="9"/>
      <c r="AK349" s="9"/>
      <c r="AL349" s="9"/>
      <c r="AM349" s="9"/>
      <c r="AN349" s="9"/>
      <c r="AO349" s="9"/>
      <c r="AP349" s="9"/>
      <c r="AQ349" s="9"/>
      <c r="AR349" s="9"/>
      <c r="AS349" s="10" t="str">
        <f t="shared" si="28"/>
        <v/>
      </c>
      <c r="AT349" s="10" t="str">
        <f t="shared" si="29"/>
        <v/>
      </c>
      <c r="AU349" s="5" t="s">
        <v>483</v>
      </c>
    </row>
    <row r="350" spans="1:47" ht="15" customHeight="1" x14ac:dyDescent="0.3">
      <c r="A350" s="7" t="str">
        <f t="shared" si="25"/>
        <v>70_2024</v>
      </c>
      <c r="B350" s="7">
        <v>349</v>
      </c>
      <c r="C350" s="7">
        <f>'Panel Data (Long Format)'!B350</f>
        <v>70</v>
      </c>
      <c r="D350" s="7" t="str">
        <f>'Panel Data (Long Format)'!C350</f>
        <v>LEGENDINT</v>
      </c>
      <c r="E350" s="8" t="str">
        <f>'Panel Data (Long Format)'!D350</f>
        <v>Legend Internet Plc</v>
      </c>
      <c r="F350" s="7" t="str">
        <f>'Panel Data (Long Format)'!E350</f>
        <v>ICT</v>
      </c>
      <c r="G350" s="7">
        <f>'Panel Data (Long Format)'!F350</f>
        <v>2024</v>
      </c>
      <c r="H350" s="9"/>
      <c r="I350" s="9"/>
      <c r="J350" s="9"/>
      <c r="K350" s="9"/>
      <c r="L350" s="9"/>
      <c r="M350" s="9"/>
      <c r="N350" s="9"/>
      <c r="O350" s="9"/>
      <c r="P350" s="9"/>
      <c r="Q350" s="9"/>
      <c r="R350" s="9"/>
      <c r="S350" s="9"/>
      <c r="T350" s="9"/>
      <c r="U350" s="9"/>
      <c r="V350" s="9"/>
      <c r="W350" s="9"/>
      <c r="X350" s="9"/>
      <c r="Y350" s="9"/>
      <c r="Z350" s="9"/>
      <c r="AA350" s="9"/>
      <c r="AB350" s="10" t="str">
        <f t="shared" si="26"/>
        <v/>
      </c>
      <c r="AC350" s="10" t="str">
        <f t="shared" si="27"/>
        <v/>
      </c>
      <c r="AD350" s="9"/>
      <c r="AE350" s="9"/>
      <c r="AF350" s="9"/>
      <c r="AG350" s="9"/>
      <c r="AH350" s="9"/>
      <c r="AI350" s="9"/>
      <c r="AJ350" s="9"/>
      <c r="AK350" s="9"/>
      <c r="AL350" s="9"/>
      <c r="AM350" s="9"/>
      <c r="AN350" s="9"/>
      <c r="AO350" s="9"/>
      <c r="AP350" s="9"/>
      <c r="AQ350" s="9"/>
      <c r="AR350" s="9"/>
      <c r="AS350" s="10" t="str">
        <f t="shared" si="28"/>
        <v/>
      </c>
      <c r="AT350" s="10" t="str">
        <f t="shared" si="29"/>
        <v/>
      </c>
      <c r="AU350" s="5" t="s">
        <v>483</v>
      </c>
    </row>
    <row r="351" spans="1:47" ht="15" customHeight="1" x14ac:dyDescent="0.3">
      <c r="A351" s="7" t="str">
        <f t="shared" si="25"/>
        <v>70_2025</v>
      </c>
      <c r="B351" s="7">
        <v>350</v>
      </c>
      <c r="C351" s="7">
        <f>'Panel Data (Long Format)'!B351</f>
        <v>70</v>
      </c>
      <c r="D351" s="7" t="str">
        <f>'Panel Data (Long Format)'!C351</f>
        <v>LEGENDINT</v>
      </c>
      <c r="E351" s="8" t="str">
        <f>'Panel Data (Long Format)'!D351</f>
        <v>Legend Internet Plc</v>
      </c>
      <c r="F351" s="7" t="str">
        <f>'Panel Data (Long Format)'!E351</f>
        <v>ICT</v>
      </c>
      <c r="G351" s="7">
        <f>'Panel Data (Long Format)'!F351</f>
        <v>2025</v>
      </c>
      <c r="H351" s="9">
        <v>0</v>
      </c>
      <c r="I351" s="9">
        <v>0</v>
      </c>
      <c r="J351" s="9">
        <v>0</v>
      </c>
      <c r="K351" s="9">
        <v>0</v>
      </c>
      <c r="L351" s="9">
        <v>0</v>
      </c>
      <c r="M351" s="9">
        <v>0</v>
      </c>
      <c r="N351" s="9">
        <v>0</v>
      </c>
      <c r="O351" s="9">
        <v>0</v>
      </c>
      <c r="P351" s="9">
        <v>0</v>
      </c>
      <c r="Q351" s="9">
        <v>0</v>
      </c>
      <c r="R351" s="9">
        <v>0</v>
      </c>
      <c r="S351" s="9">
        <v>0</v>
      </c>
      <c r="T351" s="9">
        <v>0</v>
      </c>
      <c r="U351" s="9">
        <v>0</v>
      </c>
      <c r="V351" s="9">
        <v>0</v>
      </c>
      <c r="W351" s="9">
        <v>0</v>
      </c>
      <c r="X351" s="9">
        <v>0</v>
      </c>
      <c r="Y351" s="9">
        <v>0</v>
      </c>
      <c r="Z351" s="9">
        <v>0</v>
      </c>
      <c r="AA351" s="9">
        <v>0</v>
      </c>
      <c r="AB351" s="10">
        <f t="shared" si="26"/>
        <v>0</v>
      </c>
      <c r="AC351" s="10">
        <f t="shared" si="27"/>
        <v>0</v>
      </c>
      <c r="AD351" s="9">
        <v>0</v>
      </c>
      <c r="AE351" s="9">
        <v>0</v>
      </c>
      <c r="AF351" s="9">
        <v>0</v>
      </c>
      <c r="AG351" s="9">
        <v>0</v>
      </c>
      <c r="AH351" s="9">
        <v>0</v>
      </c>
      <c r="AI351" s="9">
        <v>0</v>
      </c>
      <c r="AJ351" s="9">
        <v>0</v>
      </c>
      <c r="AK351" s="9">
        <v>0</v>
      </c>
      <c r="AL351" s="9">
        <v>0</v>
      </c>
      <c r="AM351" s="9">
        <v>0</v>
      </c>
      <c r="AN351" s="9">
        <v>0</v>
      </c>
      <c r="AO351" s="9">
        <v>0</v>
      </c>
      <c r="AP351" s="9">
        <v>0</v>
      </c>
      <c r="AQ351" s="9">
        <v>0</v>
      </c>
      <c r="AR351" s="9">
        <v>0</v>
      </c>
      <c r="AS351" s="10">
        <f t="shared" si="28"/>
        <v>0</v>
      </c>
      <c r="AT351" s="10">
        <f t="shared" si="29"/>
        <v>0</v>
      </c>
      <c r="AU351" s="5" t="s">
        <v>484</v>
      </c>
    </row>
    <row r="352" spans="1:47" ht="15" customHeight="1" x14ac:dyDescent="0.3">
      <c r="A352" s="7" t="str">
        <f t="shared" si="25"/>
        <v>71_2021</v>
      </c>
      <c r="B352" s="7">
        <v>351</v>
      </c>
      <c r="C352" s="7">
        <f>'Panel Data (Long Format)'!B352</f>
        <v>71</v>
      </c>
      <c r="D352" s="7" t="str">
        <f>'Panel Data (Long Format)'!C352</f>
        <v>LINKASSURE</v>
      </c>
      <c r="E352" s="8" t="str">
        <f>'Panel Data (Long Format)'!D352</f>
        <v>Linkage Assurance Plc</v>
      </c>
      <c r="F352" s="7" t="str">
        <f>'Panel Data (Long Format)'!E352</f>
        <v>FINANCIAL SERVICES</v>
      </c>
      <c r="G352" s="7">
        <f>'Panel Data (Long Format)'!F352</f>
        <v>2021</v>
      </c>
      <c r="H352" s="9">
        <v>0</v>
      </c>
      <c r="I352" s="9">
        <v>0</v>
      </c>
      <c r="J352" s="9">
        <v>0</v>
      </c>
      <c r="K352" s="9">
        <v>0</v>
      </c>
      <c r="L352" s="9">
        <v>0</v>
      </c>
      <c r="M352" s="9">
        <v>0</v>
      </c>
      <c r="N352" s="9">
        <v>0</v>
      </c>
      <c r="O352" s="9">
        <v>0</v>
      </c>
      <c r="P352" s="9">
        <v>0</v>
      </c>
      <c r="Q352" s="9">
        <v>0</v>
      </c>
      <c r="R352" s="9">
        <v>0</v>
      </c>
      <c r="S352" s="9">
        <v>0</v>
      </c>
      <c r="T352" s="9">
        <v>0</v>
      </c>
      <c r="U352" s="9">
        <v>0</v>
      </c>
      <c r="V352" s="9">
        <v>0</v>
      </c>
      <c r="W352" s="9">
        <v>0</v>
      </c>
      <c r="X352" s="9">
        <v>0</v>
      </c>
      <c r="Y352" s="9">
        <v>0</v>
      </c>
      <c r="Z352" s="9">
        <v>0</v>
      </c>
      <c r="AA352" s="9">
        <v>0</v>
      </c>
      <c r="AB352" s="10">
        <f t="shared" si="26"/>
        <v>0</v>
      </c>
      <c r="AC352" s="10">
        <f t="shared" si="27"/>
        <v>0</v>
      </c>
      <c r="AD352" s="9">
        <v>0</v>
      </c>
      <c r="AE352" s="9">
        <v>0</v>
      </c>
      <c r="AF352" s="9">
        <v>0</v>
      </c>
      <c r="AG352" s="9">
        <v>0</v>
      </c>
      <c r="AH352" s="9">
        <v>0</v>
      </c>
      <c r="AI352" s="9">
        <v>0</v>
      </c>
      <c r="AJ352" s="9">
        <v>0</v>
      </c>
      <c r="AK352" s="9">
        <v>0</v>
      </c>
      <c r="AL352" s="9">
        <v>0</v>
      </c>
      <c r="AM352" s="9">
        <v>0</v>
      </c>
      <c r="AN352" s="9">
        <v>0</v>
      </c>
      <c r="AO352" s="9">
        <v>0</v>
      </c>
      <c r="AP352" s="9">
        <v>0</v>
      </c>
      <c r="AQ352" s="9">
        <v>0</v>
      </c>
      <c r="AR352" s="9">
        <v>0</v>
      </c>
      <c r="AS352" s="10">
        <f t="shared" si="28"/>
        <v>0</v>
      </c>
      <c r="AT352" s="10">
        <f t="shared" si="29"/>
        <v>0</v>
      </c>
      <c r="AU352" s="5" t="s">
        <v>485</v>
      </c>
    </row>
    <row r="353" spans="1:47" ht="15" customHeight="1" x14ac:dyDescent="0.3">
      <c r="A353" s="7" t="str">
        <f t="shared" si="25"/>
        <v>71_2022</v>
      </c>
      <c r="B353" s="7">
        <v>352</v>
      </c>
      <c r="C353" s="7">
        <f>'Panel Data (Long Format)'!B353</f>
        <v>71</v>
      </c>
      <c r="D353" s="7" t="str">
        <f>'Panel Data (Long Format)'!C353</f>
        <v>LINKASSURE</v>
      </c>
      <c r="E353" s="8" t="str">
        <f>'Panel Data (Long Format)'!D353</f>
        <v>Linkage Assurance Plc</v>
      </c>
      <c r="F353" s="7" t="str">
        <f>'Panel Data (Long Format)'!E353</f>
        <v>FINANCIAL SERVICES</v>
      </c>
      <c r="G353" s="7">
        <f>'Panel Data (Long Format)'!F353</f>
        <v>2022</v>
      </c>
      <c r="H353" s="9">
        <v>0</v>
      </c>
      <c r="I353" s="9">
        <v>0</v>
      </c>
      <c r="J353" s="9">
        <v>0</v>
      </c>
      <c r="K353" s="9">
        <v>0</v>
      </c>
      <c r="L353" s="9">
        <v>0</v>
      </c>
      <c r="M353" s="9">
        <v>0</v>
      </c>
      <c r="N353" s="9">
        <v>0</v>
      </c>
      <c r="O353" s="9">
        <v>0</v>
      </c>
      <c r="P353" s="9">
        <v>0</v>
      </c>
      <c r="Q353" s="9">
        <v>0</v>
      </c>
      <c r="R353" s="9">
        <v>0</v>
      </c>
      <c r="S353" s="9">
        <v>0</v>
      </c>
      <c r="T353" s="9">
        <v>0</v>
      </c>
      <c r="U353" s="9">
        <v>0</v>
      </c>
      <c r="V353" s="9">
        <v>0</v>
      </c>
      <c r="W353" s="9">
        <v>0</v>
      </c>
      <c r="X353" s="9">
        <v>0</v>
      </c>
      <c r="Y353" s="9">
        <v>0</v>
      </c>
      <c r="Z353" s="9">
        <v>0</v>
      </c>
      <c r="AA353" s="9">
        <v>0</v>
      </c>
      <c r="AB353" s="10">
        <f t="shared" si="26"/>
        <v>0</v>
      </c>
      <c r="AC353" s="10">
        <f t="shared" si="27"/>
        <v>0</v>
      </c>
      <c r="AD353" s="9">
        <v>0</v>
      </c>
      <c r="AE353" s="9">
        <v>0</v>
      </c>
      <c r="AF353" s="9">
        <v>0</v>
      </c>
      <c r="AG353" s="9">
        <v>0</v>
      </c>
      <c r="AH353" s="9">
        <v>0</v>
      </c>
      <c r="AI353" s="9">
        <v>0</v>
      </c>
      <c r="AJ353" s="9">
        <v>0</v>
      </c>
      <c r="AK353" s="9">
        <v>0</v>
      </c>
      <c r="AL353" s="9">
        <v>0</v>
      </c>
      <c r="AM353" s="9">
        <v>0</v>
      </c>
      <c r="AN353" s="9">
        <v>0</v>
      </c>
      <c r="AO353" s="9">
        <v>0</v>
      </c>
      <c r="AP353" s="9">
        <v>0</v>
      </c>
      <c r="AQ353" s="9">
        <v>0</v>
      </c>
      <c r="AR353" s="9">
        <v>0</v>
      </c>
      <c r="AS353" s="10">
        <f t="shared" si="28"/>
        <v>0</v>
      </c>
      <c r="AT353" s="10">
        <f t="shared" si="29"/>
        <v>0</v>
      </c>
      <c r="AU353" s="5" t="s">
        <v>485</v>
      </c>
    </row>
    <row r="354" spans="1:47" ht="15" customHeight="1" x14ac:dyDescent="0.3">
      <c r="A354" s="7" t="str">
        <f t="shared" si="25"/>
        <v>71_2023</v>
      </c>
      <c r="B354" s="7">
        <v>353</v>
      </c>
      <c r="C354" s="7">
        <f>'Panel Data (Long Format)'!B354</f>
        <v>71</v>
      </c>
      <c r="D354" s="7" t="str">
        <f>'Panel Data (Long Format)'!C354</f>
        <v>LINKASSURE</v>
      </c>
      <c r="E354" s="8" t="str">
        <f>'Panel Data (Long Format)'!D354</f>
        <v>Linkage Assurance Plc</v>
      </c>
      <c r="F354" s="7" t="str">
        <f>'Panel Data (Long Format)'!E354</f>
        <v>FINANCIAL SERVICES</v>
      </c>
      <c r="G354" s="7">
        <f>'Panel Data (Long Format)'!F354</f>
        <v>2023</v>
      </c>
      <c r="H354" s="9">
        <v>0</v>
      </c>
      <c r="I354" s="9">
        <v>0</v>
      </c>
      <c r="J354" s="9">
        <v>0</v>
      </c>
      <c r="K354" s="9">
        <v>0</v>
      </c>
      <c r="L354" s="9">
        <v>0</v>
      </c>
      <c r="M354" s="9">
        <v>0</v>
      </c>
      <c r="N354" s="9">
        <v>0</v>
      </c>
      <c r="O354" s="9">
        <v>0</v>
      </c>
      <c r="P354" s="9">
        <v>0</v>
      </c>
      <c r="Q354" s="9">
        <v>0</v>
      </c>
      <c r="R354" s="9">
        <v>0</v>
      </c>
      <c r="S354" s="9">
        <v>0</v>
      </c>
      <c r="T354" s="9">
        <v>0</v>
      </c>
      <c r="U354" s="9">
        <v>0</v>
      </c>
      <c r="V354" s="9">
        <v>0</v>
      </c>
      <c r="W354" s="9">
        <v>0</v>
      </c>
      <c r="X354" s="9">
        <v>0</v>
      </c>
      <c r="Y354" s="9">
        <v>0</v>
      </c>
      <c r="Z354" s="9">
        <v>0</v>
      </c>
      <c r="AA354" s="9">
        <v>0</v>
      </c>
      <c r="AB354" s="10">
        <f t="shared" si="26"/>
        <v>0</v>
      </c>
      <c r="AC354" s="10">
        <f t="shared" si="27"/>
        <v>0</v>
      </c>
      <c r="AD354" s="9">
        <v>0</v>
      </c>
      <c r="AE354" s="9">
        <v>0</v>
      </c>
      <c r="AF354" s="9">
        <v>0</v>
      </c>
      <c r="AG354" s="9">
        <v>0</v>
      </c>
      <c r="AH354" s="9">
        <v>0</v>
      </c>
      <c r="AI354" s="9">
        <v>0</v>
      </c>
      <c r="AJ354" s="9">
        <v>0</v>
      </c>
      <c r="AK354" s="9">
        <v>0</v>
      </c>
      <c r="AL354" s="9">
        <v>0</v>
      </c>
      <c r="AM354" s="9">
        <v>0</v>
      </c>
      <c r="AN354" s="9">
        <v>0</v>
      </c>
      <c r="AO354" s="9">
        <v>0</v>
      </c>
      <c r="AP354" s="9">
        <v>0</v>
      </c>
      <c r="AQ354" s="9">
        <v>0</v>
      </c>
      <c r="AR354" s="9">
        <v>0</v>
      </c>
      <c r="AS354" s="10">
        <f t="shared" si="28"/>
        <v>0</v>
      </c>
      <c r="AT354" s="10">
        <f t="shared" si="29"/>
        <v>0</v>
      </c>
      <c r="AU354" s="5" t="s">
        <v>485</v>
      </c>
    </row>
    <row r="355" spans="1:47" ht="15" customHeight="1" x14ac:dyDescent="0.3">
      <c r="A355" s="7" t="str">
        <f t="shared" si="25"/>
        <v>71_2024</v>
      </c>
      <c r="B355" s="7">
        <v>354</v>
      </c>
      <c r="C355" s="7">
        <f>'Panel Data (Long Format)'!B355</f>
        <v>71</v>
      </c>
      <c r="D355" s="7" t="str">
        <f>'Panel Data (Long Format)'!C355</f>
        <v>LINKASSURE</v>
      </c>
      <c r="E355" s="8" t="str">
        <f>'Panel Data (Long Format)'!D355</f>
        <v>Linkage Assurance Plc</v>
      </c>
      <c r="F355" s="7" t="str">
        <f>'Panel Data (Long Format)'!E355</f>
        <v>FINANCIAL SERVICES</v>
      </c>
      <c r="G355" s="7">
        <f>'Panel Data (Long Format)'!F355</f>
        <v>2024</v>
      </c>
      <c r="H355" s="9">
        <v>0</v>
      </c>
      <c r="I355" s="9">
        <v>0</v>
      </c>
      <c r="J355" s="9">
        <v>0</v>
      </c>
      <c r="K355" s="9">
        <v>0</v>
      </c>
      <c r="L355" s="9">
        <v>0</v>
      </c>
      <c r="M355" s="9">
        <v>0</v>
      </c>
      <c r="N355" s="9">
        <v>0</v>
      </c>
      <c r="O355" s="9">
        <v>0</v>
      </c>
      <c r="P355" s="9">
        <v>0</v>
      </c>
      <c r="Q355" s="9">
        <v>0</v>
      </c>
      <c r="R355" s="9">
        <v>0</v>
      </c>
      <c r="S355" s="9">
        <v>0</v>
      </c>
      <c r="T355" s="9">
        <v>0</v>
      </c>
      <c r="U355" s="9">
        <v>0</v>
      </c>
      <c r="V355" s="9">
        <v>0</v>
      </c>
      <c r="W355" s="9">
        <v>0</v>
      </c>
      <c r="X355" s="9">
        <v>0</v>
      </c>
      <c r="Y355" s="9">
        <v>0</v>
      </c>
      <c r="Z355" s="9">
        <v>0</v>
      </c>
      <c r="AA355" s="9">
        <v>0</v>
      </c>
      <c r="AB355" s="10">
        <f t="shared" si="26"/>
        <v>0</v>
      </c>
      <c r="AC355" s="10">
        <f t="shared" si="27"/>
        <v>0</v>
      </c>
      <c r="AD355" s="9">
        <v>0</v>
      </c>
      <c r="AE355" s="9">
        <v>0</v>
      </c>
      <c r="AF355" s="9">
        <v>0</v>
      </c>
      <c r="AG355" s="9">
        <v>0</v>
      </c>
      <c r="AH355" s="9">
        <v>0</v>
      </c>
      <c r="AI355" s="9">
        <v>0</v>
      </c>
      <c r="AJ355" s="9">
        <v>0</v>
      </c>
      <c r="AK355" s="9">
        <v>0</v>
      </c>
      <c r="AL355" s="9">
        <v>0</v>
      </c>
      <c r="AM355" s="9">
        <v>0</v>
      </c>
      <c r="AN355" s="9">
        <v>0</v>
      </c>
      <c r="AO355" s="9">
        <v>0</v>
      </c>
      <c r="AP355" s="9">
        <v>0</v>
      </c>
      <c r="AQ355" s="9">
        <v>0</v>
      </c>
      <c r="AR355" s="9">
        <v>0</v>
      </c>
      <c r="AS355" s="10">
        <f t="shared" si="28"/>
        <v>0</v>
      </c>
      <c r="AT355" s="10">
        <f t="shared" si="29"/>
        <v>0</v>
      </c>
      <c r="AU355" s="5" t="s">
        <v>485</v>
      </c>
    </row>
    <row r="356" spans="1:47" ht="15" customHeight="1" x14ac:dyDescent="0.3">
      <c r="A356" s="7" t="str">
        <f t="shared" si="25"/>
        <v>71_2025</v>
      </c>
      <c r="B356" s="7">
        <v>355</v>
      </c>
      <c r="C356" s="7">
        <f>'Panel Data (Long Format)'!B356</f>
        <v>71</v>
      </c>
      <c r="D356" s="7" t="str">
        <f>'Panel Data (Long Format)'!C356</f>
        <v>LINKASSURE</v>
      </c>
      <c r="E356" s="8" t="str">
        <f>'Panel Data (Long Format)'!D356</f>
        <v>Linkage Assurance Plc</v>
      </c>
      <c r="F356" s="7" t="str">
        <f>'Panel Data (Long Format)'!E356</f>
        <v>FINANCIAL SERVICES</v>
      </c>
      <c r="G356" s="7">
        <f>'Panel Data (Long Format)'!F356</f>
        <v>2025</v>
      </c>
      <c r="H356" s="9">
        <v>0</v>
      </c>
      <c r="I356" s="9">
        <v>0</v>
      </c>
      <c r="J356" s="9">
        <v>0</v>
      </c>
      <c r="K356" s="9">
        <v>0</v>
      </c>
      <c r="L356" s="9">
        <v>0</v>
      </c>
      <c r="M356" s="9">
        <v>0</v>
      </c>
      <c r="N356" s="9">
        <v>0</v>
      </c>
      <c r="O356" s="9">
        <v>0</v>
      </c>
      <c r="P356" s="9">
        <v>0</v>
      </c>
      <c r="Q356" s="9">
        <v>0</v>
      </c>
      <c r="R356" s="9">
        <v>0</v>
      </c>
      <c r="S356" s="9">
        <v>0</v>
      </c>
      <c r="T356" s="9">
        <v>0</v>
      </c>
      <c r="U356" s="9">
        <v>0</v>
      </c>
      <c r="V356" s="9">
        <v>0</v>
      </c>
      <c r="W356" s="9">
        <v>0</v>
      </c>
      <c r="X356" s="9">
        <v>0</v>
      </c>
      <c r="Y356" s="9">
        <v>0</v>
      </c>
      <c r="Z356" s="9">
        <v>0</v>
      </c>
      <c r="AA356" s="9">
        <v>0</v>
      </c>
      <c r="AB356" s="10">
        <f t="shared" si="26"/>
        <v>0</v>
      </c>
      <c r="AC356" s="10">
        <f t="shared" si="27"/>
        <v>0</v>
      </c>
      <c r="AD356" s="9">
        <v>0</v>
      </c>
      <c r="AE356" s="9">
        <v>0</v>
      </c>
      <c r="AF356" s="9">
        <v>0</v>
      </c>
      <c r="AG356" s="9">
        <v>0</v>
      </c>
      <c r="AH356" s="9">
        <v>0</v>
      </c>
      <c r="AI356" s="9">
        <v>0</v>
      </c>
      <c r="AJ356" s="9">
        <v>0</v>
      </c>
      <c r="AK356" s="9">
        <v>0</v>
      </c>
      <c r="AL356" s="9">
        <v>0</v>
      </c>
      <c r="AM356" s="9">
        <v>0</v>
      </c>
      <c r="AN356" s="9">
        <v>0</v>
      </c>
      <c r="AO356" s="9">
        <v>0</v>
      </c>
      <c r="AP356" s="9">
        <v>0</v>
      </c>
      <c r="AQ356" s="9">
        <v>0</v>
      </c>
      <c r="AR356" s="9">
        <v>0</v>
      </c>
      <c r="AS356" s="10">
        <f t="shared" si="28"/>
        <v>0</v>
      </c>
      <c r="AT356" s="10">
        <f t="shared" si="29"/>
        <v>0</v>
      </c>
      <c r="AU356" s="5" t="s">
        <v>485</v>
      </c>
    </row>
    <row r="357" spans="1:47" ht="15" customHeight="1" x14ac:dyDescent="0.3">
      <c r="A357" s="7" t="str">
        <f t="shared" si="25"/>
        <v>72_2021</v>
      </c>
      <c r="B357" s="7">
        <v>356</v>
      </c>
      <c r="C357" s="7">
        <f>'Panel Data (Long Format)'!B357</f>
        <v>72</v>
      </c>
      <c r="D357" s="7" t="str">
        <f>'Panel Data (Long Format)'!C357</f>
        <v>LIVESTOCK</v>
      </c>
      <c r="E357" s="8" t="str">
        <f>'Panel Data (Long Format)'!D357</f>
        <v>Livestock Feeds Plc</v>
      </c>
      <c r="F357" s="7" t="str">
        <f>'Panel Data (Long Format)'!E357</f>
        <v>AGRICULTURE</v>
      </c>
      <c r="G357" s="7">
        <f>'Panel Data (Long Format)'!F357</f>
        <v>2021</v>
      </c>
      <c r="H357" s="9">
        <v>0</v>
      </c>
      <c r="I357" s="9">
        <v>0</v>
      </c>
      <c r="J357" s="9">
        <v>0</v>
      </c>
      <c r="K357" s="9">
        <v>0</v>
      </c>
      <c r="L357" s="9">
        <v>0</v>
      </c>
      <c r="M357" s="9">
        <v>0</v>
      </c>
      <c r="N357" s="9">
        <v>0</v>
      </c>
      <c r="O357" s="9">
        <v>0</v>
      </c>
      <c r="P357" s="9">
        <v>0</v>
      </c>
      <c r="Q357" s="9">
        <v>0</v>
      </c>
      <c r="R357" s="9">
        <v>0</v>
      </c>
      <c r="S357" s="9">
        <v>0</v>
      </c>
      <c r="T357" s="9">
        <v>0</v>
      </c>
      <c r="U357" s="9">
        <v>0</v>
      </c>
      <c r="V357" s="9">
        <v>0</v>
      </c>
      <c r="W357" s="9">
        <v>0</v>
      </c>
      <c r="X357" s="9">
        <v>0</v>
      </c>
      <c r="Y357" s="9">
        <v>0</v>
      </c>
      <c r="Z357" s="9">
        <v>0</v>
      </c>
      <c r="AA357" s="9">
        <v>0</v>
      </c>
      <c r="AB357" s="10">
        <f t="shared" si="26"/>
        <v>0</v>
      </c>
      <c r="AC357" s="10">
        <f t="shared" si="27"/>
        <v>0</v>
      </c>
      <c r="AD357" s="9">
        <v>0</v>
      </c>
      <c r="AE357" s="9">
        <v>0</v>
      </c>
      <c r="AF357" s="9">
        <v>0</v>
      </c>
      <c r="AG357" s="9">
        <v>0</v>
      </c>
      <c r="AH357" s="9">
        <v>0</v>
      </c>
      <c r="AI357" s="9">
        <v>0</v>
      </c>
      <c r="AJ357" s="9">
        <v>0</v>
      </c>
      <c r="AK357" s="9">
        <v>0</v>
      </c>
      <c r="AL357" s="9">
        <v>0</v>
      </c>
      <c r="AM357" s="9">
        <v>0</v>
      </c>
      <c r="AN357" s="9">
        <v>0</v>
      </c>
      <c r="AO357" s="9">
        <v>0</v>
      </c>
      <c r="AP357" s="9">
        <v>0</v>
      </c>
      <c r="AQ357" s="9">
        <v>0</v>
      </c>
      <c r="AR357" s="9">
        <v>0</v>
      </c>
      <c r="AS357" s="10">
        <f t="shared" si="28"/>
        <v>0</v>
      </c>
      <c r="AT357" s="10">
        <f t="shared" si="29"/>
        <v>0</v>
      </c>
      <c r="AU357" s="5" t="s">
        <v>486</v>
      </c>
    </row>
    <row r="358" spans="1:47" ht="15" customHeight="1" x14ac:dyDescent="0.3">
      <c r="A358" s="7" t="str">
        <f t="shared" si="25"/>
        <v>72_2022</v>
      </c>
      <c r="B358" s="7">
        <v>357</v>
      </c>
      <c r="C358" s="7">
        <f>'Panel Data (Long Format)'!B358</f>
        <v>72</v>
      </c>
      <c r="D358" s="7" t="str">
        <f>'Panel Data (Long Format)'!C358</f>
        <v>LIVESTOCK</v>
      </c>
      <c r="E358" s="8" t="str">
        <f>'Panel Data (Long Format)'!D358</f>
        <v>Livestock Feeds Plc</v>
      </c>
      <c r="F358" s="7" t="str">
        <f>'Panel Data (Long Format)'!E358</f>
        <v>AGRICULTURE</v>
      </c>
      <c r="G358" s="7">
        <f>'Panel Data (Long Format)'!F358</f>
        <v>2022</v>
      </c>
      <c r="H358" s="9">
        <v>0</v>
      </c>
      <c r="I358" s="9">
        <v>0</v>
      </c>
      <c r="J358" s="9">
        <v>0</v>
      </c>
      <c r="K358" s="9">
        <v>0</v>
      </c>
      <c r="L358" s="9">
        <v>0</v>
      </c>
      <c r="M358" s="9">
        <v>0</v>
      </c>
      <c r="N358" s="9">
        <v>0</v>
      </c>
      <c r="O358" s="9">
        <v>0</v>
      </c>
      <c r="P358" s="9">
        <v>0</v>
      </c>
      <c r="Q358" s="9">
        <v>0</v>
      </c>
      <c r="R358" s="9">
        <v>0</v>
      </c>
      <c r="S358" s="9">
        <v>0</v>
      </c>
      <c r="T358" s="9">
        <v>0</v>
      </c>
      <c r="U358" s="9">
        <v>0</v>
      </c>
      <c r="V358" s="9">
        <v>0</v>
      </c>
      <c r="W358" s="9">
        <v>0</v>
      </c>
      <c r="X358" s="9">
        <v>0</v>
      </c>
      <c r="Y358" s="9">
        <v>0</v>
      </c>
      <c r="Z358" s="9">
        <v>0</v>
      </c>
      <c r="AA358" s="9">
        <v>0</v>
      </c>
      <c r="AB358" s="10">
        <f t="shared" si="26"/>
        <v>0</v>
      </c>
      <c r="AC358" s="10">
        <f t="shared" si="27"/>
        <v>0</v>
      </c>
      <c r="AD358" s="9">
        <v>0</v>
      </c>
      <c r="AE358" s="9">
        <v>0</v>
      </c>
      <c r="AF358" s="9">
        <v>0</v>
      </c>
      <c r="AG358" s="9">
        <v>0</v>
      </c>
      <c r="AH358" s="9">
        <v>0</v>
      </c>
      <c r="AI358" s="9">
        <v>0</v>
      </c>
      <c r="AJ358" s="9">
        <v>0</v>
      </c>
      <c r="AK358" s="9">
        <v>0</v>
      </c>
      <c r="AL358" s="9">
        <v>0</v>
      </c>
      <c r="AM358" s="9">
        <v>0</v>
      </c>
      <c r="AN358" s="9">
        <v>0</v>
      </c>
      <c r="AO358" s="9">
        <v>0</v>
      </c>
      <c r="AP358" s="9">
        <v>0</v>
      </c>
      <c r="AQ358" s="9">
        <v>0</v>
      </c>
      <c r="AR358" s="9">
        <v>0</v>
      </c>
      <c r="AS358" s="10">
        <f t="shared" si="28"/>
        <v>0</v>
      </c>
      <c r="AT358" s="10">
        <f t="shared" si="29"/>
        <v>0</v>
      </c>
      <c r="AU358" s="5" t="s">
        <v>486</v>
      </c>
    </row>
    <row r="359" spans="1:47" ht="15" customHeight="1" x14ac:dyDescent="0.3">
      <c r="A359" s="7" t="str">
        <f t="shared" si="25"/>
        <v>72_2023</v>
      </c>
      <c r="B359" s="7">
        <v>358</v>
      </c>
      <c r="C359" s="7">
        <f>'Panel Data (Long Format)'!B359</f>
        <v>72</v>
      </c>
      <c r="D359" s="7" t="str">
        <f>'Panel Data (Long Format)'!C359</f>
        <v>LIVESTOCK</v>
      </c>
      <c r="E359" s="8" t="str">
        <f>'Panel Data (Long Format)'!D359</f>
        <v>Livestock Feeds Plc</v>
      </c>
      <c r="F359" s="7" t="str">
        <f>'Panel Data (Long Format)'!E359</f>
        <v>AGRICULTURE</v>
      </c>
      <c r="G359" s="7">
        <f>'Panel Data (Long Format)'!F359</f>
        <v>2023</v>
      </c>
      <c r="H359" s="9">
        <v>0</v>
      </c>
      <c r="I359" s="9">
        <v>0</v>
      </c>
      <c r="J359" s="9">
        <v>0</v>
      </c>
      <c r="K359" s="9">
        <v>0</v>
      </c>
      <c r="L359" s="9">
        <v>0</v>
      </c>
      <c r="M359" s="9">
        <v>0</v>
      </c>
      <c r="N359" s="9">
        <v>0</v>
      </c>
      <c r="O359" s="9">
        <v>0</v>
      </c>
      <c r="P359" s="9">
        <v>0</v>
      </c>
      <c r="Q359" s="9">
        <v>0</v>
      </c>
      <c r="R359" s="9">
        <v>0</v>
      </c>
      <c r="S359" s="9">
        <v>0</v>
      </c>
      <c r="T359" s="9">
        <v>0</v>
      </c>
      <c r="U359" s="9">
        <v>0</v>
      </c>
      <c r="V359" s="9">
        <v>0</v>
      </c>
      <c r="W359" s="9">
        <v>0</v>
      </c>
      <c r="X359" s="9">
        <v>0</v>
      </c>
      <c r="Y359" s="9">
        <v>0</v>
      </c>
      <c r="Z359" s="9">
        <v>0</v>
      </c>
      <c r="AA359" s="9">
        <v>0</v>
      </c>
      <c r="AB359" s="10">
        <f t="shared" si="26"/>
        <v>0</v>
      </c>
      <c r="AC359" s="10">
        <f t="shared" si="27"/>
        <v>0</v>
      </c>
      <c r="AD359" s="9">
        <v>0</v>
      </c>
      <c r="AE359" s="9">
        <v>0</v>
      </c>
      <c r="AF359" s="9">
        <v>0</v>
      </c>
      <c r="AG359" s="9">
        <v>0</v>
      </c>
      <c r="AH359" s="9">
        <v>0</v>
      </c>
      <c r="AI359" s="9">
        <v>0</v>
      </c>
      <c r="AJ359" s="9">
        <v>0</v>
      </c>
      <c r="AK359" s="9">
        <v>0</v>
      </c>
      <c r="AL359" s="9">
        <v>0</v>
      </c>
      <c r="AM359" s="9">
        <v>0</v>
      </c>
      <c r="AN359" s="9">
        <v>0</v>
      </c>
      <c r="AO359" s="9">
        <v>0</v>
      </c>
      <c r="AP359" s="9">
        <v>0</v>
      </c>
      <c r="AQ359" s="9">
        <v>0</v>
      </c>
      <c r="AR359" s="9">
        <v>0</v>
      </c>
      <c r="AS359" s="10">
        <f t="shared" si="28"/>
        <v>0</v>
      </c>
      <c r="AT359" s="10">
        <f t="shared" si="29"/>
        <v>0</v>
      </c>
      <c r="AU359" s="5" t="s">
        <v>487</v>
      </c>
    </row>
    <row r="360" spans="1:47" ht="15" customHeight="1" x14ac:dyDescent="0.3">
      <c r="A360" s="7" t="str">
        <f t="shared" si="25"/>
        <v>72_2024</v>
      </c>
      <c r="B360" s="7">
        <v>359</v>
      </c>
      <c r="C360" s="7">
        <f>'Panel Data (Long Format)'!B360</f>
        <v>72</v>
      </c>
      <c r="D360" s="7" t="str">
        <f>'Panel Data (Long Format)'!C360</f>
        <v>LIVESTOCK</v>
      </c>
      <c r="E360" s="8" t="str">
        <f>'Panel Data (Long Format)'!D360</f>
        <v>Livestock Feeds Plc</v>
      </c>
      <c r="F360" s="7" t="str">
        <f>'Panel Data (Long Format)'!E360</f>
        <v>AGRICULTURE</v>
      </c>
      <c r="G360" s="7">
        <f>'Panel Data (Long Format)'!F360</f>
        <v>2024</v>
      </c>
      <c r="H360" s="9">
        <v>0</v>
      </c>
      <c r="I360" s="9">
        <v>0</v>
      </c>
      <c r="J360" s="9">
        <v>0</v>
      </c>
      <c r="K360" s="9">
        <v>0</v>
      </c>
      <c r="L360" s="9">
        <v>0</v>
      </c>
      <c r="M360" s="9">
        <v>0</v>
      </c>
      <c r="N360" s="9">
        <v>0</v>
      </c>
      <c r="O360" s="9">
        <v>0</v>
      </c>
      <c r="P360" s="9">
        <v>0</v>
      </c>
      <c r="Q360" s="9">
        <v>0</v>
      </c>
      <c r="R360" s="9">
        <v>0</v>
      </c>
      <c r="S360" s="9">
        <v>0</v>
      </c>
      <c r="T360" s="9">
        <v>0</v>
      </c>
      <c r="U360" s="9">
        <v>0</v>
      </c>
      <c r="V360" s="9">
        <v>0</v>
      </c>
      <c r="W360" s="9">
        <v>1</v>
      </c>
      <c r="X360" s="9">
        <v>0</v>
      </c>
      <c r="Y360" s="9">
        <v>0</v>
      </c>
      <c r="Z360" s="9">
        <v>0</v>
      </c>
      <c r="AA360" s="9">
        <v>0</v>
      </c>
      <c r="AB360" s="10">
        <f t="shared" si="26"/>
        <v>1</v>
      </c>
      <c r="AC360" s="10">
        <f t="shared" si="27"/>
        <v>5</v>
      </c>
      <c r="AD360" s="9">
        <v>0</v>
      </c>
      <c r="AE360" s="9">
        <v>0</v>
      </c>
      <c r="AF360" s="9">
        <v>0</v>
      </c>
      <c r="AG360" s="9">
        <v>0</v>
      </c>
      <c r="AH360" s="9">
        <v>0</v>
      </c>
      <c r="AI360" s="9">
        <v>0</v>
      </c>
      <c r="AJ360" s="9">
        <v>0</v>
      </c>
      <c r="AK360" s="9">
        <v>0</v>
      </c>
      <c r="AL360" s="9">
        <v>0</v>
      </c>
      <c r="AM360" s="9">
        <v>0</v>
      </c>
      <c r="AN360" s="9">
        <v>0</v>
      </c>
      <c r="AO360" s="9">
        <v>0</v>
      </c>
      <c r="AP360" s="9">
        <v>0</v>
      </c>
      <c r="AQ360" s="9">
        <v>0</v>
      </c>
      <c r="AR360" s="9">
        <v>0</v>
      </c>
      <c r="AS360" s="10">
        <f t="shared" si="28"/>
        <v>0</v>
      </c>
      <c r="AT360" s="10">
        <f t="shared" si="29"/>
        <v>0</v>
      </c>
      <c r="AU360" s="5" t="s">
        <v>488</v>
      </c>
    </row>
    <row r="361" spans="1:47" ht="15" customHeight="1" x14ac:dyDescent="0.3">
      <c r="A361" s="7" t="str">
        <f t="shared" si="25"/>
        <v>72_2025</v>
      </c>
      <c r="B361" s="7">
        <v>360</v>
      </c>
      <c r="C361" s="7">
        <f>'Panel Data (Long Format)'!B361</f>
        <v>72</v>
      </c>
      <c r="D361" s="7" t="str">
        <f>'Panel Data (Long Format)'!C361</f>
        <v>LIVESTOCK</v>
      </c>
      <c r="E361" s="8" t="str">
        <f>'Panel Data (Long Format)'!D361</f>
        <v>Livestock Feeds Plc</v>
      </c>
      <c r="F361" s="7" t="str">
        <f>'Panel Data (Long Format)'!E361</f>
        <v>AGRICULTURE</v>
      </c>
      <c r="G361" s="7">
        <f>'Panel Data (Long Format)'!F361</f>
        <v>2025</v>
      </c>
      <c r="H361" s="9">
        <v>0</v>
      </c>
      <c r="I361" s="9">
        <v>0</v>
      </c>
      <c r="J361" s="9">
        <v>0</v>
      </c>
      <c r="K361" s="9">
        <v>0</v>
      </c>
      <c r="L361" s="9">
        <v>0</v>
      </c>
      <c r="M361" s="9">
        <v>0</v>
      </c>
      <c r="N361" s="9">
        <v>0</v>
      </c>
      <c r="O361" s="9">
        <v>0</v>
      </c>
      <c r="P361" s="9">
        <v>0</v>
      </c>
      <c r="Q361" s="9">
        <v>0</v>
      </c>
      <c r="R361" s="9">
        <v>0</v>
      </c>
      <c r="S361" s="9">
        <v>0</v>
      </c>
      <c r="T361" s="9">
        <v>0</v>
      </c>
      <c r="U361" s="9">
        <v>0</v>
      </c>
      <c r="V361" s="9">
        <v>0</v>
      </c>
      <c r="W361" s="9">
        <v>1</v>
      </c>
      <c r="X361" s="9">
        <v>0</v>
      </c>
      <c r="Y361" s="9">
        <v>0</v>
      </c>
      <c r="Z361" s="9">
        <v>0</v>
      </c>
      <c r="AA361" s="9">
        <v>0</v>
      </c>
      <c r="AB361" s="10">
        <f t="shared" si="26"/>
        <v>1</v>
      </c>
      <c r="AC361" s="10">
        <f t="shared" si="27"/>
        <v>5</v>
      </c>
      <c r="AD361" s="9">
        <v>0</v>
      </c>
      <c r="AE361" s="9">
        <v>0</v>
      </c>
      <c r="AF361" s="9">
        <v>0</v>
      </c>
      <c r="AG361" s="9">
        <v>0</v>
      </c>
      <c r="AH361" s="9">
        <v>0</v>
      </c>
      <c r="AI361" s="9">
        <v>0</v>
      </c>
      <c r="AJ361" s="9">
        <v>0</v>
      </c>
      <c r="AK361" s="9">
        <v>0</v>
      </c>
      <c r="AL361" s="9">
        <v>0</v>
      </c>
      <c r="AM361" s="9">
        <v>0</v>
      </c>
      <c r="AN361" s="9">
        <v>0</v>
      </c>
      <c r="AO361" s="9">
        <v>0</v>
      </c>
      <c r="AP361" s="9">
        <v>0</v>
      </c>
      <c r="AQ361" s="9">
        <v>0</v>
      </c>
      <c r="AR361" s="9">
        <v>0</v>
      </c>
      <c r="AS361" s="10">
        <f t="shared" si="28"/>
        <v>0</v>
      </c>
      <c r="AT361" s="10">
        <f t="shared" si="29"/>
        <v>0</v>
      </c>
      <c r="AU361" s="5" t="s">
        <v>489</v>
      </c>
    </row>
    <row r="362" spans="1:47" ht="15" customHeight="1" x14ac:dyDescent="0.3">
      <c r="A362" s="7" t="str">
        <f t="shared" si="25"/>
        <v>73_2021</v>
      </c>
      <c r="B362" s="7">
        <v>361</v>
      </c>
      <c r="C362" s="7">
        <f>'Panel Data (Long Format)'!B362</f>
        <v>73</v>
      </c>
      <c r="D362" s="7" t="str">
        <f>'Panel Data (Long Format)'!C362</f>
        <v>LIVINGTRUST</v>
      </c>
      <c r="E362" s="8" t="str">
        <f>'Panel Data (Long Format)'!D362</f>
        <v>Living Trust Mortgage Bank Plc</v>
      </c>
      <c r="F362" s="7" t="str">
        <f>'Panel Data (Long Format)'!E362</f>
        <v>FINANCIAL SERVICES</v>
      </c>
      <c r="G362" s="7">
        <f>'Panel Data (Long Format)'!F362</f>
        <v>2021</v>
      </c>
      <c r="H362" s="9">
        <v>0</v>
      </c>
      <c r="I362" s="9">
        <v>0</v>
      </c>
      <c r="J362" s="9">
        <v>0</v>
      </c>
      <c r="K362" s="9">
        <v>0</v>
      </c>
      <c r="L362" s="9">
        <v>0</v>
      </c>
      <c r="M362" s="9">
        <v>0</v>
      </c>
      <c r="N362" s="9">
        <v>0</v>
      </c>
      <c r="O362" s="9">
        <v>0</v>
      </c>
      <c r="P362" s="9">
        <v>0</v>
      </c>
      <c r="Q362" s="9">
        <v>0</v>
      </c>
      <c r="R362" s="9">
        <v>0</v>
      </c>
      <c r="S362" s="9">
        <v>0</v>
      </c>
      <c r="T362" s="9">
        <v>0</v>
      </c>
      <c r="U362" s="9">
        <v>0</v>
      </c>
      <c r="V362" s="9">
        <v>0</v>
      </c>
      <c r="W362" s="9">
        <v>0</v>
      </c>
      <c r="X362" s="9">
        <v>0</v>
      </c>
      <c r="Y362" s="9">
        <v>0</v>
      </c>
      <c r="Z362" s="9">
        <v>0</v>
      </c>
      <c r="AA362" s="9">
        <v>0</v>
      </c>
      <c r="AB362" s="10">
        <f t="shared" si="26"/>
        <v>0</v>
      </c>
      <c r="AC362" s="10">
        <f t="shared" si="27"/>
        <v>0</v>
      </c>
      <c r="AD362" s="9">
        <v>0</v>
      </c>
      <c r="AE362" s="9">
        <v>0</v>
      </c>
      <c r="AF362" s="9">
        <v>0</v>
      </c>
      <c r="AG362" s="9">
        <v>0</v>
      </c>
      <c r="AH362" s="9">
        <v>0</v>
      </c>
      <c r="AI362" s="9">
        <v>0</v>
      </c>
      <c r="AJ362" s="9">
        <v>0</v>
      </c>
      <c r="AK362" s="9">
        <v>0</v>
      </c>
      <c r="AL362" s="9">
        <v>0</v>
      </c>
      <c r="AM362" s="9">
        <v>0</v>
      </c>
      <c r="AN362" s="9">
        <v>0</v>
      </c>
      <c r="AO362" s="9">
        <v>0</v>
      </c>
      <c r="AP362" s="9">
        <v>0</v>
      </c>
      <c r="AQ362" s="9">
        <v>0</v>
      </c>
      <c r="AR362" s="9">
        <v>0</v>
      </c>
      <c r="AS362" s="10">
        <f t="shared" si="28"/>
        <v>0</v>
      </c>
      <c r="AT362" s="10">
        <f t="shared" si="29"/>
        <v>0</v>
      </c>
      <c r="AU362" s="5" t="s">
        <v>490</v>
      </c>
    </row>
    <row r="363" spans="1:47" ht="15" customHeight="1" x14ac:dyDescent="0.3">
      <c r="A363" s="7" t="str">
        <f t="shared" si="25"/>
        <v>73_2022</v>
      </c>
      <c r="B363" s="7">
        <v>362</v>
      </c>
      <c r="C363" s="7">
        <f>'Panel Data (Long Format)'!B363</f>
        <v>73</v>
      </c>
      <c r="D363" s="7" t="str">
        <f>'Panel Data (Long Format)'!C363</f>
        <v>LIVINGTRUST</v>
      </c>
      <c r="E363" s="8" t="str">
        <f>'Panel Data (Long Format)'!D363</f>
        <v>Living Trust Mortgage Bank Plc</v>
      </c>
      <c r="F363" s="7" t="str">
        <f>'Panel Data (Long Format)'!E363</f>
        <v>FINANCIAL SERVICES</v>
      </c>
      <c r="G363" s="7">
        <f>'Panel Data (Long Format)'!F363</f>
        <v>2022</v>
      </c>
      <c r="H363" s="9">
        <v>0</v>
      </c>
      <c r="I363" s="9">
        <v>0</v>
      </c>
      <c r="J363" s="9">
        <v>0</v>
      </c>
      <c r="K363" s="9">
        <v>0</v>
      </c>
      <c r="L363" s="9">
        <v>0</v>
      </c>
      <c r="M363" s="9">
        <v>0</v>
      </c>
      <c r="N363" s="9">
        <v>0</v>
      </c>
      <c r="O363" s="9">
        <v>0</v>
      </c>
      <c r="P363" s="9">
        <v>0</v>
      </c>
      <c r="Q363" s="9">
        <v>0</v>
      </c>
      <c r="R363" s="9">
        <v>0</v>
      </c>
      <c r="S363" s="9">
        <v>0</v>
      </c>
      <c r="T363" s="9">
        <v>0</v>
      </c>
      <c r="U363" s="9">
        <v>0</v>
      </c>
      <c r="V363" s="9">
        <v>0</v>
      </c>
      <c r="W363" s="9">
        <v>0</v>
      </c>
      <c r="X363" s="9">
        <v>0</v>
      </c>
      <c r="Y363" s="9">
        <v>0</v>
      </c>
      <c r="Z363" s="9">
        <v>0</v>
      </c>
      <c r="AA363" s="9">
        <v>0</v>
      </c>
      <c r="AB363" s="10">
        <f t="shared" si="26"/>
        <v>0</v>
      </c>
      <c r="AC363" s="10">
        <f t="shared" si="27"/>
        <v>0</v>
      </c>
      <c r="AD363" s="9">
        <v>0</v>
      </c>
      <c r="AE363" s="9">
        <v>0</v>
      </c>
      <c r="AF363" s="9">
        <v>0</v>
      </c>
      <c r="AG363" s="9">
        <v>0</v>
      </c>
      <c r="AH363" s="9">
        <v>0</v>
      </c>
      <c r="AI363" s="9">
        <v>0</v>
      </c>
      <c r="AJ363" s="9">
        <v>0</v>
      </c>
      <c r="AK363" s="9">
        <v>0</v>
      </c>
      <c r="AL363" s="9">
        <v>0</v>
      </c>
      <c r="AM363" s="9">
        <v>0</v>
      </c>
      <c r="AN363" s="9">
        <v>0</v>
      </c>
      <c r="AO363" s="9">
        <v>0</v>
      </c>
      <c r="AP363" s="9">
        <v>0</v>
      </c>
      <c r="AQ363" s="9">
        <v>0</v>
      </c>
      <c r="AR363" s="9">
        <v>0</v>
      </c>
      <c r="AS363" s="10">
        <f t="shared" si="28"/>
        <v>0</v>
      </c>
      <c r="AT363" s="10">
        <f t="shared" si="29"/>
        <v>0</v>
      </c>
      <c r="AU363" s="5" t="s">
        <v>490</v>
      </c>
    </row>
    <row r="364" spans="1:47" ht="15" customHeight="1" x14ac:dyDescent="0.3">
      <c r="A364" s="7" t="str">
        <f t="shared" si="25"/>
        <v>73_2023</v>
      </c>
      <c r="B364" s="7">
        <v>363</v>
      </c>
      <c r="C364" s="7">
        <f>'Panel Data (Long Format)'!B364</f>
        <v>73</v>
      </c>
      <c r="D364" s="7" t="str">
        <f>'Panel Data (Long Format)'!C364</f>
        <v>LIVINGTRUST</v>
      </c>
      <c r="E364" s="8" t="str">
        <f>'Panel Data (Long Format)'!D364</f>
        <v>Living Trust Mortgage Bank Plc</v>
      </c>
      <c r="F364" s="7" t="str">
        <f>'Panel Data (Long Format)'!E364</f>
        <v>FINANCIAL SERVICES</v>
      </c>
      <c r="G364" s="7">
        <f>'Panel Data (Long Format)'!F364</f>
        <v>2023</v>
      </c>
      <c r="H364" s="9">
        <v>0</v>
      </c>
      <c r="I364" s="9">
        <v>0</v>
      </c>
      <c r="J364" s="9">
        <v>0</v>
      </c>
      <c r="K364" s="9">
        <v>0</v>
      </c>
      <c r="L364" s="9">
        <v>0</v>
      </c>
      <c r="M364" s="9">
        <v>0</v>
      </c>
      <c r="N364" s="9">
        <v>0</v>
      </c>
      <c r="O364" s="9">
        <v>0</v>
      </c>
      <c r="P364" s="9">
        <v>0</v>
      </c>
      <c r="Q364" s="9">
        <v>0</v>
      </c>
      <c r="R364" s="9">
        <v>0</v>
      </c>
      <c r="S364" s="9">
        <v>0</v>
      </c>
      <c r="T364" s="9">
        <v>0</v>
      </c>
      <c r="U364" s="9">
        <v>0</v>
      </c>
      <c r="V364" s="9">
        <v>0</v>
      </c>
      <c r="W364" s="9">
        <v>0</v>
      </c>
      <c r="X364" s="9">
        <v>0</v>
      </c>
      <c r="Y364" s="9">
        <v>0</v>
      </c>
      <c r="Z364" s="9">
        <v>0</v>
      </c>
      <c r="AA364" s="9">
        <v>0</v>
      </c>
      <c r="AB364" s="10">
        <f t="shared" si="26"/>
        <v>0</v>
      </c>
      <c r="AC364" s="10">
        <f t="shared" si="27"/>
        <v>0</v>
      </c>
      <c r="AD364" s="9">
        <v>0</v>
      </c>
      <c r="AE364" s="9">
        <v>0</v>
      </c>
      <c r="AF364" s="9">
        <v>0</v>
      </c>
      <c r="AG364" s="9">
        <v>0</v>
      </c>
      <c r="AH364" s="9">
        <v>0</v>
      </c>
      <c r="AI364" s="9">
        <v>0</v>
      </c>
      <c r="AJ364" s="9">
        <v>0</v>
      </c>
      <c r="AK364" s="9">
        <v>0</v>
      </c>
      <c r="AL364" s="9">
        <v>0</v>
      </c>
      <c r="AM364" s="9">
        <v>0</v>
      </c>
      <c r="AN364" s="9">
        <v>0</v>
      </c>
      <c r="AO364" s="9">
        <v>0</v>
      </c>
      <c r="AP364" s="9">
        <v>0</v>
      </c>
      <c r="AQ364" s="9">
        <v>0</v>
      </c>
      <c r="AR364" s="9">
        <v>0</v>
      </c>
      <c r="AS364" s="10">
        <f t="shared" si="28"/>
        <v>0</v>
      </c>
      <c r="AT364" s="10">
        <f t="shared" si="29"/>
        <v>0</v>
      </c>
      <c r="AU364" s="5" t="s">
        <v>490</v>
      </c>
    </row>
    <row r="365" spans="1:47" ht="15" customHeight="1" x14ac:dyDescent="0.3">
      <c r="A365" s="7" t="str">
        <f t="shared" si="25"/>
        <v>73_2024</v>
      </c>
      <c r="B365" s="7">
        <v>364</v>
      </c>
      <c r="C365" s="7">
        <f>'Panel Data (Long Format)'!B365</f>
        <v>73</v>
      </c>
      <c r="D365" s="7" t="str">
        <f>'Panel Data (Long Format)'!C365</f>
        <v>LIVINGTRUST</v>
      </c>
      <c r="E365" s="8" t="str">
        <f>'Panel Data (Long Format)'!D365</f>
        <v>Living Trust Mortgage Bank Plc</v>
      </c>
      <c r="F365" s="7" t="str">
        <f>'Panel Data (Long Format)'!E365</f>
        <v>FINANCIAL SERVICES</v>
      </c>
      <c r="G365" s="7">
        <f>'Panel Data (Long Format)'!F365</f>
        <v>2024</v>
      </c>
      <c r="H365" s="9">
        <v>0</v>
      </c>
      <c r="I365" s="9">
        <v>0</v>
      </c>
      <c r="J365" s="9">
        <v>0</v>
      </c>
      <c r="K365" s="9">
        <v>0</v>
      </c>
      <c r="L365" s="9">
        <v>0</v>
      </c>
      <c r="M365" s="9">
        <v>0</v>
      </c>
      <c r="N365" s="9">
        <v>0</v>
      </c>
      <c r="O365" s="9">
        <v>0</v>
      </c>
      <c r="P365" s="9">
        <v>0</v>
      </c>
      <c r="Q365" s="9">
        <v>0</v>
      </c>
      <c r="R365" s="9">
        <v>0</v>
      </c>
      <c r="S365" s="9">
        <v>0</v>
      </c>
      <c r="T365" s="9">
        <v>0</v>
      </c>
      <c r="U365" s="9">
        <v>0</v>
      </c>
      <c r="V365" s="9">
        <v>0</v>
      </c>
      <c r="W365" s="9">
        <v>0</v>
      </c>
      <c r="X365" s="9">
        <v>0</v>
      </c>
      <c r="Y365" s="9">
        <v>0</v>
      </c>
      <c r="Z365" s="9">
        <v>0</v>
      </c>
      <c r="AA365" s="9">
        <v>0</v>
      </c>
      <c r="AB365" s="10">
        <f t="shared" si="26"/>
        <v>0</v>
      </c>
      <c r="AC365" s="10">
        <f t="shared" si="27"/>
        <v>0</v>
      </c>
      <c r="AD365" s="9">
        <v>0</v>
      </c>
      <c r="AE365" s="9">
        <v>0</v>
      </c>
      <c r="AF365" s="9">
        <v>0</v>
      </c>
      <c r="AG365" s="9">
        <v>0</v>
      </c>
      <c r="AH365" s="9">
        <v>0</v>
      </c>
      <c r="AI365" s="9">
        <v>0</v>
      </c>
      <c r="AJ365" s="9">
        <v>0</v>
      </c>
      <c r="AK365" s="9">
        <v>0</v>
      </c>
      <c r="AL365" s="9">
        <v>0</v>
      </c>
      <c r="AM365" s="9">
        <v>0</v>
      </c>
      <c r="AN365" s="9">
        <v>0</v>
      </c>
      <c r="AO365" s="9">
        <v>0</v>
      </c>
      <c r="AP365" s="9">
        <v>0</v>
      </c>
      <c r="AQ365" s="9">
        <v>0</v>
      </c>
      <c r="AR365" s="9">
        <v>0</v>
      </c>
      <c r="AS365" s="10">
        <f t="shared" si="28"/>
        <v>0</v>
      </c>
      <c r="AT365" s="10">
        <f t="shared" si="29"/>
        <v>0</v>
      </c>
      <c r="AU365" s="5" t="s">
        <v>490</v>
      </c>
    </row>
    <row r="366" spans="1:47" ht="15" customHeight="1" x14ac:dyDescent="0.3">
      <c r="A366" s="7" t="str">
        <f t="shared" si="25"/>
        <v>73_2025</v>
      </c>
      <c r="B366" s="7">
        <v>365</v>
      </c>
      <c r="C366" s="7">
        <f>'Panel Data (Long Format)'!B366</f>
        <v>73</v>
      </c>
      <c r="D366" s="7" t="str">
        <f>'Panel Data (Long Format)'!C366</f>
        <v>LIVINGTRUST</v>
      </c>
      <c r="E366" s="8" t="str">
        <f>'Panel Data (Long Format)'!D366</f>
        <v>Living Trust Mortgage Bank Plc</v>
      </c>
      <c r="F366" s="7" t="str">
        <f>'Panel Data (Long Format)'!E366</f>
        <v>FINANCIAL SERVICES</v>
      </c>
      <c r="G366" s="7">
        <f>'Panel Data (Long Format)'!F366</f>
        <v>2025</v>
      </c>
      <c r="H366" s="9">
        <v>0</v>
      </c>
      <c r="I366" s="9">
        <v>0</v>
      </c>
      <c r="J366" s="9">
        <v>0</v>
      </c>
      <c r="K366" s="9">
        <v>0</v>
      </c>
      <c r="L366" s="9">
        <v>0</v>
      </c>
      <c r="M366" s="9">
        <v>0</v>
      </c>
      <c r="N366" s="9">
        <v>0</v>
      </c>
      <c r="O366" s="9">
        <v>0</v>
      </c>
      <c r="P366" s="9">
        <v>0</v>
      </c>
      <c r="Q366" s="9">
        <v>0</v>
      </c>
      <c r="R366" s="9">
        <v>0</v>
      </c>
      <c r="S366" s="9">
        <v>0</v>
      </c>
      <c r="T366" s="9">
        <v>0</v>
      </c>
      <c r="U366" s="9">
        <v>0</v>
      </c>
      <c r="V366" s="9">
        <v>0</v>
      </c>
      <c r="W366" s="9">
        <v>0</v>
      </c>
      <c r="X366" s="9">
        <v>0</v>
      </c>
      <c r="Y366" s="9">
        <v>0</v>
      </c>
      <c r="Z366" s="9">
        <v>0</v>
      </c>
      <c r="AA366" s="9">
        <v>0</v>
      </c>
      <c r="AB366" s="10">
        <f t="shared" si="26"/>
        <v>0</v>
      </c>
      <c r="AC366" s="10">
        <f t="shared" si="27"/>
        <v>0</v>
      </c>
      <c r="AD366" s="9">
        <v>0</v>
      </c>
      <c r="AE366" s="9">
        <v>0</v>
      </c>
      <c r="AF366" s="9">
        <v>0</v>
      </c>
      <c r="AG366" s="9">
        <v>0</v>
      </c>
      <c r="AH366" s="9">
        <v>0</v>
      </c>
      <c r="AI366" s="9">
        <v>0</v>
      </c>
      <c r="AJ366" s="9">
        <v>0</v>
      </c>
      <c r="AK366" s="9">
        <v>0</v>
      </c>
      <c r="AL366" s="9">
        <v>0</v>
      </c>
      <c r="AM366" s="9">
        <v>0</v>
      </c>
      <c r="AN366" s="9">
        <v>0</v>
      </c>
      <c r="AO366" s="9">
        <v>0</v>
      </c>
      <c r="AP366" s="9">
        <v>0</v>
      </c>
      <c r="AQ366" s="9">
        <v>0</v>
      </c>
      <c r="AR366" s="9">
        <v>0</v>
      </c>
      <c r="AS366" s="10">
        <f t="shared" si="28"/>
        <v>0</v>
      </c>
      <c r="AT366" s="10">
        <f t="shared" si="29"/>
        <v>0</v>
      </c>
      <c r="AU366" s="5" t="s">
        <v>490</v>
      </c>
    </row>
    <row r="367" spans="1:47" ht="15" customHeight="1" x14ac:dyDescent="0.3">
      <c r="A367" s="7" t="str">
        <f t="shared" si="25"/>
        <v>74_2021</v>
      </c>
      <c r="B367" s="7">
        <v>366</v>
      </c>
      <c r="C367" s="7">
        <f>'Panel Data (Long Format)'!B367</f>
        <v>74</v>
      </c>
      <c r="D367" s="7" t="str">
        <f>'Panel Data (Long Format)'!C367</f>
        <v>MANSARD</v>
      </c>
      <c r="E367" s="8" t="str">
        <f>'Panel Data (Long Format)'!D367</f>
        <v>AXA Mansard Insurance Plc</v>
      </c>
      <c r="F367" s="7" t="str">
        <f>'Panel Data (Long Format)'!E367</f>
        <v>FINANCIAL SERVICES</v>
      </c>
      <c r="G367" s="7">
        <f>'Panel Data (Long Format)'!F367</f>
        <v>2021</v>
      </c>
      <c r="H367" s="9">
        <v>0</v>
      </c>
      <c r="I367" s="9">
        <v>1</v>
      </c>
      <c r="J367" s="9">
        <v>0</v>
      </c>
      <c r="K367" s="9">
        <v>0</v>
      </c>
      <c r="L367" s="9">
        <v>0</v>
      </c>
      <c r="M367" s="9">
        <v>1</v>
      </c>
      <c r="N367" s="9">
        <v>1</v>
      </c>
      <c r="O367" s="9">
        <v>0</v>
      </c>
      <c r="P367" s="9">
        <v>0</v>
      </c>
      <c r="Q367" s="9">
        <v>0</v>
      </c>
      <c r="R367" s="9">
        <v>1</v>
      </c>
      <c r="S367" s="9">
        <v>1</v>
      </c>
      <c r="T367" s="9">
        <v>1</v>
      </c>
      <c r="U367" s="9">
        <v>1</v>
      </c>
      <c r="V367" s="9">
        <v>0</v>
      </c>
      <c r="W367" s="9">
        <v>1</v>
      </c>
      <c r="X367" s="9">
        <v>0</v>
      </c>
      <c r="Y367" s="9">
        <v>0</v>
      </c>
      <c r="Z367" s="9">
        <v>0</v>
      </c>
      <c r="AA367" s="9">
        <v>0</v>
      </c>
      <c r="AB367" s="10">
        <f t="shared" si="26"/>
        <v>8</v>
      </c>
      <c r="AC367" s="10">
        <f t="shared" si="27"/>
        <v>40</v>
      </c>
      <c r="AD367" s="9">
        <v>0</v>
      </c>
      <c r="AE367" s="9">
        <v>0</v>
      </c>
      <c r="AF367" s="9">
        <v>0</v>
      </c>
      <c r="AG367" s="9">
        <v>0</v>
      </c>
      <c r="AH367" s="9">
        <v>0</v>
      </c>
      <c r="AI367" s="9">
        <v>0</v>
      </c>
      <c r="AJ367" s="9">
        <v>0</v>
      </c>
      <c r="AK367" s="9">
        <v>0</v>
      </c>
      <c r="AL367" s="9">
        <v>0</v>
      </c>
      <c r="AM367" s="9">
        <v>0</v>
      </c>
      <c r="AN367" s="9">
        <v>0</v>
      </c>
      <c r="AO367" s="9">
        <v>0</v>
      </c>
      <c r="AP367" s="9">
        <v>0</v>
      </c>
      <c r="AQ367" s="9">
        <v>0</v>
      </c>
      <c r="AR367" s="9">
        <v>0</v>
      </c>
      <c r="AS367" s="10">
        <f t="shared" si="28"/>
        <v>0</v>
      </c>
      <c r="AT367" s="10">
        <f t="shared" si="29"/>
        <v>0</v>
      </c>
      <c r="AU367" s="5" t="s">
        <v>491</v>
      </c>
    </row>
    <row r="368" spans="1:47" ht="15" customHeight="1" x14ac:dyDescent="0.3">
      <c r="A368" s="7" t="str">
        <f t="shared" si="25"/>
        <v>74_2022</v>
      </c>
      <c r="B368" s="7">
        <v>367</v>
      </c>
      <c r="C368" s="7">
        <f>'Panel Data (Long Format)'!B368</f>
        <v>74</v>
      </c>
      <c r="D368" s="7" t="str">
        <f>'Panel Data (Long Format)'!C368</f>
        <v>MANSARD</v>
      </c>
      <c r="E368" s="8" t="str">
        <f>'Panel Data (Long Format)'!D368</f>
        <v>AXA Mansard Insurance Plc</v>
      </c>
      <c r="F368" s="7" t="str">
        <f>'Panel Data (Long Format)'!E368</f>
        <v>FINANCIAL SERVICES</v>
      </c>
      <c r="G368" s="7">
        <f>'Panel Data (Long Format)'!F368</f>
        <v>2022</v>
      </c>
      <c r="H368" s="9">
        <v>0</v>
      </c>
      <c r="I368" s="9">
        <v>1</v>
      </c>
      <c r="J368" s="9">
        <v>0</v>
      </c>
      <c r="K368" s="9">
        <v>0</v>
      </c>
      <c r="L368" s="9">
        <v>0</v>
      </c>
      <c r="M368" s="9">
        <v>1</v>
      </c>
      <c r="N368" s="9">
        <v>1</v>
      </c>
      <c r="O368" s="9">
        <v>0</v>
      </c>
      <c r="P368" s="9">
        <v>0</v>
      </c>
      <c r="Q368" s="9">
        <v>0</v>
      </c>
      <c r="R368" s="9">
        <v>1</v>
      </c>
      <c r="S368" s="9">
        <v>1</v>
      </c>
      <c r="T368" s="9">
        <v>1</v>
      </c>
      <c r="U368" s="9">
        <v>1</v>
      </c>
      <c r="V368" s="9">
        <v>0</v>
      </c>
      <c r="W368" s="9">
        <v>1</v>
      </c>
      <c r="X368" s="9">
        <v>0</v>
      </c>
      <c r="Y368" s="9">
        <v>0</v>
      </c>
      <c r="Z368" s="9">
        <v>0</v>
      </c>
      <c r="AA368" s="9">
        <v>0</v>
      </c>
      <c r="AB368" s="10">
        <f t="shared" si="26"/>
        <v>8</v>
      </c>
      <c r="AC368" s="10">
        <f t="shared" si="27"/>
        <v>40</v>
      </c>
      <c r="AD368" s="9">
        <v>0</v>
      </c>
      <c r="AE368" s="9">
        <v>0</v>
      </c>
      <c r="AF368" s="9">
        <v>0</v>
      </c>
      <c r="AG368" s="9">
        <v>0</v>
      </c>
      <c r="AH368" s="9">
        <v>0</v>
      </c>
      <c r="AI368" s="9">
        <v>0</v>
      </c>
      <c r="AJ368" s="9">
        <v>0</v>
      </c>
      <c r="AK368" s="9">
        <v>0</v>
      </c>
      <c r="AL368" s="9">
        <v>0</v>
      </c>
      <c r="AM368" s="9">
        <v>0</v>
      </c>
      <c r="AN368" s="9">
        <v>0</v>
      </c>
      <c r="AO368" s="9">
        <v>0</v>
      </c>
      <c r="AP368" s="9">
        <v>0</v>
      </c>
      <c r="AQ368" s="9">
        <v>0</v>
      </c>
      <c r="AR368" s="9">
        <v>0</v>
      </c>
      <c r="AS368" s="10">
        <f t="shared" si="28"/>
        <v>0</v>
      </c>
      <c r="AT368" s="10">
        <f t="shared" si="29"/>
        <v>0</v>
      </c>
      <c r="AU368" s="5" t="s">
        <v>491</v>
      </c>
    </row>
    <row r="369" spans="1:47" ht="15" customHeight="1" x14ac:dyDescent="0.3">
      <c r="A369" s="7" t="str">
        <f t="shared" si="25"/>
        <v>74_2023</v>
      </c>
      <c r="B369" s="7">
        <v>368</v>
      </c>
      <c r="C369" s="7">
        <f>'Panel Data (Long Format)'!B369</f>
        <v>74</v>
      </c>
      <c r="D369" s="7" t="str">
        <f>'Panel Data (Long Format)'!C369</f>
        <v>MANSARD</v>
      </c>
      <c r="E369" s="8" t="str">
        <f>'Panel Data (Long Format)'!D369</f>
        <v>AXA Mansard Insurance Plc</v>
      </c>
      <c r="F369" s="7" t="str">
        <f>'Panel Data (Long Format)'!E369</f>
        <v>FINANCIAL SERVICES</v>
      </c>
      <c r="G369" s="7">
        <f>'Panel Data (Long Format)'!F369</f>
        <v>2023</v>
      </c>
      <c r="H369" s="9">
        <v>0</v>
      </c>
      <c r="I369" s="9">
        <v>1</v>
      </c>
      <c r="J369" s="9">
        <v>0</v>
      </c>
      <c r="K369" s="9">
        <v>0</v>
      </c>
      <c r="L369" s="9">
        <v>0</v>
      </c>
      <c r="M369" s="9">
        <v>1</v>
      </c>
      <c r="N369" s="9">
        <v>1</v>
      </c>
      <c r="O369" s="9">
        <v>0</v>
      </c>
      <c r="P369" s="9">
        <v>0</v>
      </c>
      <c r="Q369" s="9">
        <v>0</v>
      </c>
      <c r="R369" s="9">
        <v>1</v>
      </c>
      <c r="S369" s="9">
        <v>1</v>
      </c>
      <c r="T369" s="9">
        <v>1</v>
      </c>
      <c r="U369" s="9">
        <v>1</v>
      </c>
      <c r="V369" s="9">
        <v>0</v>
      </c>
      <c r="W369" s="9">
        <v>1</v>
      </c>
      <c r="X369" s="9">
        <v>0</v>
      </c>
      <c r="Y369" s="9">
        <v>0</v>
      </c>
      <c r="Z369" s="9">
        <v>0</v>
      </c>
      <c r="AA369" s="9">
        <v>0</v>
      </c>
      <c r="AB369" s="10">
        <f t="shared" si="26"/>
        <v>8</v>
      </c>
      <c r="AC369" s="10">
        <f t="shared" si="27"/>
        <v>40</v>
      </c>
      <c r="AD369" s="9">
        <v>0</v>
      </c>
      <c r="AE369" s="9">
        <v>0</v>
      </c>
      <c r="AF369" s="9">
        <v>0</v>
      </c>
      <c r="AG369" s="9">
        <v>0</v>
      </c>
      <c r="AH369" s="9">
        <v>0</v>
      </c>
      <c r="AI369" s="9">
        <v>0</v>
      </c>
      <c r="AJ369" s="9">
        <v>0</v>
      </c>
      <c r="AK369" s="9">
        <v>0</v>
      </c>
      <c r="AL369" s="9">
        <v>0</v>
      </c>
      <c r="AM369" s="9">
        <v>0</v>
      </c>
      <c r="AN369" s="9">
        <v>0</v>
      </c>
      <c r="AO369" s="9">
        <v>0</v>
      </c>
      <c r="AP369" s="9">
        <v>0</v>
      </c>
      <c r="AQ369" s="9">
        <v>0</v>
      </c>
      <c r="AR369" s="9">
        <v>0</v>
      </c>
      <c r="AS369" s="10">
        <f t="shared" si="28"/>
        <v>0</v>
      </c>
      <c r="AT369" s="10">
        <f t="shared" si="29"/>
        <v>0</v>
      </c>
      <c r="AU369" s="5" t="s">
        <v>491</v>
      </c>
    </row>
    <row r="370" spans="1:47" ht="15" customHeight="1" x14ac:dyDescent="0.3">
      <c r="A370" s="7" t="str">
        <f t="shared" si="25"/>
        <v>74_2024</v>
      </c>
      <c r="B370" s="7">
        <v>369</v>
      </c>
      <c r="C370" s="7">
        <f>'Panel Data (Long Format)'!B370</f>
        <v>74</v>
      </c>
      <c r="D370" s="7" t="str">
        <f>'Panel Data (Long Format)'!C370</f>
        <v>MANSARD</v>
      </c>
      <c r="E370" s="8" t="str">
        <f>'Panel Data (Long Format)'!D370</f>
        <v>AXA Mansard Insurance Plc</v>
      </c>
      <c r="F370" s="7" t="str">
        <f>'Panel Data (Long Format)'!E370</f>
        <v>FINANCIAL SERVICES</v>
      </c>
      <c r="G370" s="7">
        <f>'Panel Data (Long Format)'!F370</f>
        <v>2024</v>
      </c>
      <c r="H370" s="9">
        <v>0</v>
      </c>
      <c r="I370" s="9">
        <v>1</v>
      </c>
      <c r="J370" s="9">
        <v>0</v>
      </c>
      <c r="K370" s="9">
        <v>0</v>
      </c>
      <c r="L370" s="9">
        <v>0</v>
      </c>
      <c r="M370" s="9">
        <v>1</v>
      </c>
      <c r="N370" s="9">
        <v>1</v>
      </c>
      <c r="O370" s="9">
        <v>0</v>
      </c>
      <c r="P370" s="9">
        <v>0</v>
      </c>
      <c r="Q370" s="9">
        <v>0</v>
      </c>
      <c r="R370" s="9">
        <v>1</v>
      </c>
      <c r="S370" s="9">
        <v>1</v>
      </c>
      <c r="T370" s="9">
        <v>1</v>
      </c>
      <c r="U370" s="9">
        <v>1</v>
      </c>
      <c r="V370" s="9">
        <v>0</v>
      </c>
      <c r="W370" s="9">
        <v>1</v>
      </c>
      <c r="X370" s="9">
        <v>0</v>
      </c>
      <c r="Y370" s="9">
        <v>0</v>
      </c>
      <c r="Z370" s="9">
        <v>0</v>
      </c>
      <c r="AA370" s="9">
        <v>0</v>
      </c>
      <c r="AB370" s="10">
        <f t="shared" si="26"/>
        <v>8</v>
      </c>
      <c r="AC370" s="10">
        <f t="shared" si="27"/>
        <v>40</v>
      </c>
      <c r="AD370" s="9">
        <v>0</v>
      </c>
      <c r="AE370" s="9">
        <v>0</v>
      </c>
      <c r="AF370" s="9">
        <v>0</v>
      </c>
      <c r="AG370" s="9">
        <v>0</v>
      </c>
      <c r="AH370" s="9">
        <v>0</v>
      </c>
      <c r="AI370" s="9">
        <v>0</v>
      </c>
      <c r="AJ370" s="9">
        <v>0</v>
      </c>
      <c r="AK370" s="9">
        <v>0</v>
      </c>
      <c r="AL370" s="9">
        <v>0</v>
      </c>
      <c r="AM370" s="9">
        <v>0</v>
      </c>
      <c r="AN370" s="9">
        <v>0</v>
      </c>
      <c r="AO370" s="9">
        <v>0</v>
      </c>
      <c r="AP370" s="9">
        <v>0</v>
      </c>
      <c r="AQ370" s="9">
        <v>0</v>
      </c>
      <c r="AR370" s="9">
        <v>0</v>
      </c>
      <c r="AS370" s="10">
        <f t="shared" si="28"/>
        <v>0</v>
      </c>
      <c r="AT370" s="10">
        <f t="shared" si="29"/>
        <v>0</v>
      </c>
      <c r="AU370" s="5" t="s">
        <v>491</v>
      </c>
    </row>
    <row r="371" spans="1:47" ht="15" customHeight="1" x14ac:dyDescent="0.3">
      <c r="A371" s="7" t="str">
        <f t="shared" si="25"/>
        <v>74_2025</v>
      </c>
      <c r="B371" s="7">
        <v>370</v>
      </c>
      <c r="C371" s="7">
        <f>'Panel Data (Long Format)'!B371</f>
        <v>74</v>
      </c>
      <c r="D371" s="7" t="str">
        <f>'Panel Data (Long Format)'!C371</f>
        <v>MANSARD</v>
      </c>
      <c r="E371" s="8" t="str">
        <f>'Panel Data (Long Format)'!D371</f>
        <v>AXA Mansard Insurance Plc</v>
      </c>
      <c r="F371" s="7" t="str">
        <f>'Panel Data (Long Format)'!E371</f>
        <v>FINANCIAL SERVICES</v>
      </c>
      <c r="G371" s="7">
        <f>'Panel Data (Long Format)'!F371</f>
        <v>2025</v>
      </c>
      <c r="H371" s="9">
        <v>0</v>
      </c>
      <c r="I371" s="9">
        <v>1</v>
      </c>
      <c r="J371" s="9">
        <v>0</v>
      </c>
      <c r="K371" s="9">
        <v>0</v>
      </c>
      <c r="L371" s="9">
        <v>0</v>
      </c>
      <c r="M371" s="9">
        <v>1</v>
      </c>
      <c r="N371" s="9">
        <v>1</v>
      </c>
      <c r="O371" s="9">
        <v>0</v>
      </c>
      <c r="P371" s="9">
        <v>0</v>
      </c>
      <c r="Q371" s="9">
        <v>0</v>
      </c>
      <c r="R371" s="9">
        <v>1</v>
      </c>
      <c r="S371" s="9">
        <v>1</v>
      </c>
      <c r="T371" s="9">
        <v>1</v>
      </c>
      <c r="U371" s="9">
        <v>1</v>
      </c>
      <c r="V371" s="9">
        <v>0</v>
      </c>
      <c r="W371" s="9">
        <v>1</v>
      </c>
      <c r="X371" s="9">
        <v>0</v>
      </c>
      <c r="Y371" s="9">
        <v>0</v>
      </c>
      <c r="Z371" s="9">
        <v>0</v>
      </c>
      <c r="AA371" s="9">
        <v>0</v>
      </c>
      <c r="AB371" s="10">
        <f t="shared" si="26"/>
        <v>8</v>
      </c>
      <c r="AC371" s="10">
        <f t="shared" si="27"/>
        <v>40</v>
      </c>
      <c r="AD371" s="9">
        <v>0</v>
      </c>
      <c r="AE371" s="9">
        <v>0</v>
      </c>
      <c r="AF371" s="9">
        <v>0</v>
      </c>
      <c r="AG371" s="9">
        <v>0</v>
      </c>
      <c r="AH371" s="9">
        <v>0</v>
      </c>
      <c r="AI371" s="9">
        <v>0</v>
      </c>
      <c r="AJ371" s="9">
        <v>0</v>
      </c>
      <c r="AK371" s="9">
        <v>0</v>
      </c>
      <c r="AL371" s="9">
        <v>0</v>
      </c>
      <c r="AM371" s="9">
        <v>0</v>
      </c>
      <c r="AN371" s="9">
        <v>0</v>
      </c>
      <c r="AO371" s="9">
        <v>0</v>
      </c>
      <c r="AP371" s="9">
        <v>0</v>
      </c>
      <c r="AQ371" s="9">
        <v>0</v>
      </c>
      <c r="AR371" s="9">
        <v>0</v>
      </c>
      <c r="AS371" s="10">
        <f t="shared" si="28"/>
        <v>0</v>
      </c>
      <c r="AT371" s="10">
        <f t="shared" si="29"/>
        <v>0</v>
      </c>
      <c r="AU371" s="5" t="s">
        <v>491</v>
      </c>
    </row>
    <row r="372" spans="1:47" ht="15" customHeight="1" x14ac:dyDescent="0.3">
      <c r="A372" s="7" t="str">
        <f t="shared" si="25"/>
        <v>75_2021</v>
      </c>
      <c r="B372" s="7">
        <v>371</v>
      </c>
      <c r="C372" s="7">
        <f>'Panel Data (Long Format)'!B372</f>
        <v>75</v>
      </c>
      <c r="D372" s="7" t="str">
        <f>'Panel Data (Long Format)'!C372</f>
        <v>MAYBAKER</v>
      </c>
      <c r="E372" s="8" t="str">
        <f>'Panel Data (Long Format)'!D372</f>
        <v>May &amp; Baker Nigeria Plc</v>
      </c>
      <c r="F372" s="7" t="str">
        <f>'Panel Data (Long Format)'!E372</f>
        <v>HEALTHCARE</v>
      </c>
      <c r="G372" s="7">
        <f>'Panel Data (Long Format)'!F372</f>
        <v>2021</v>
      </c>
      <c r="H372" s="9">
        <v>0</v>
      </c>
      <c r="I372" s="9">
        <v>0</v>
      </c>
      <c r="J372" s="9">
        <v>0</v>
      </c>
      <c r="K372" s="9">
        <v>0</v>
      </c>
      <c r="L372" s="9">
        <v>0</v>
      </c>
      <c r="M372" s="9">
        <v>1</v>
      </c>
      <c r="N372" s="9">
        <v>1</v>
      </c>
      <c r="O372" s="9">
        <v>1</v>
      </c>
      <c r="P372" s="9">
        <v>0</v>
      </c>
      <c r="Q372" s="9">
        <v>0</v>
      </c>
      <c r="R372" s="9">
        <v>1</v>
      </c>
      <c r="S372" s="9">
        <v>1</v>
      </c>
      <c r="T372" s="9">
        <v>1</v>
      </c>
      <c r="U372" s="9">
        <v>0</v>
      </c>
      <c r="V372" s="9">
        <v>0</v>
      </c>
      <c r="W372" s="9">
        <v>1</v>
      </c>
      <c r="X372" s="9">
        <v>1</v>
      </c>
      <c r="Y372" s="9">
        <v>1</v>
      </c>
      <c r="Z372" s="9">
        <v>0</v>
      </c>
      <c r="AA372" s="9">
        <v>1</v>
      </c>
      <c r="AB372" s="10">
        <f t="shared" si="26"/>
        <v>10</v>
      </c>
      <c r="AC372" s="10">
        <f t="shared" si="27"/>
        <v>50</v>
      </c>
      <c r="AD372" s="9">
        <v>0</v>
      </c>
      <c r="AE372" s="9">
        <v>0</v>
      </c>
      <c r="AF372" s="9">
        <v>0</v>
      </c>
      <c r="AG372" s="9">
        <v>0</v>
      </c>
      <c r="AH372" s="9">
        <v>1</v>
      </c>
      <c r="AI372" s="9">
        <v>0</v>
      </c>
      <c r="AJ372" s="9">
        <v>1</v>
      </c>
      <c r="AK372" s="9">
        <v>1</v>
      </c>
      <c r="AL372" s="9">
        <v>0</v>
      </c>
      <c r="AM372" s="9">
        <v>1</v>
      </c>
      <c r="AN372" s="9">
        <v>0</v>
      </c>
      <c r="AO372" s="9">
        <v>0</v>
      </c>
      <c r="AP372" s="9">
        <v>0</v>
      </c>
      <c r="AQ372" s="9">
        <v>0</v>
      </c>
      <c r="AR372" s="9">
        <v>0</v>
      </c>
      <c r="AS372" s="10">
        <f t="shared" si="28"/>
        <v>4</v>
      </c>
      <c r="AT372" s="10">
        <f t="shared" si="29"/>
        <v>26.666666666666668</v>
      </c>
      <c r="AU372" s="5" t="s">
        <v>492</v>
      </c>
    </row>
    <row r="373" spans="1:47" ht="15" customHeight="1" x14ac:dyDescent="0.3">
      <c r="A373" s="7" t="str">
        <f t="shared" si="25"/>
        <v>75_2022</v>
      </c>
      <c r="B373" s="7">
        <v>372</v>
      </c>
      <c r="C373" s="7">
        <f>'Panel Data (Long Format)'!B373</f>
        <v>75</v>
      </c>
      <c r="D373" s="7" t="str">
        <f>'Panel Data (Long Format)'!C373</f>
        <v>MAYBAKER</v>
      </c>
      <c r="E373" s="8" t="str">
        <f>'Panel Data (Long Format)'!D373</f>
        <v>May &amp; Baker Nigeria Plc</v>
      </c>
      <c r="F373" s="7" t="str">
        <f>'Panel Data (Long Format)'!E373</f>
        <v>HEALTHCARE</v>
      </c>
      <c r="G373" s="7">
        <f>'Panel Data (Long Format)'!F373</f>
        <v>2022</v>
      </c>
      <c r="H373" s="9">
        <v>0</v>
      </c>
      <c r="I373" s="9">
        <v>0</v>
      </c>
      <c r="J373" s="9">
        <v>0</v>
      </c>
      <c r="K373" s="9">
        <v>0</v>
      </c>
      <c r="L373" s="9">
        <v>0</v>
      </c>
      <c r="M373" s="9">
        <v>1</v>
      </c>
      <c r="N373" s="9">
        <v>1</v>
      </c>
      <c r="O373" s="9">
        <v>1</v>
      </c>
      <c r="P373" s="9">
        <v>0</v>
      </c>
      <c r="Q373" s="9">
        <v>0</v>
      </c>
      <c r="R373" s="9">
        <v>1</v>
      </c>
      <c r="S373" s="9">
        <v>1</v>
      </c>
      <c r="T373" s="9">
        <v>1</v>
      </c>
      <c r="U373" s="9">
        <v>0</v>
      </c>
      <c r="V373" s="9">
        <v>0</v>
      </c>
      <c r="W373" s="9">
        <v>1</v>
      </c>
      <c r="X373" s="9">
        <v>1</v>
      </c>
      <c r="Y373" s="9">
        <v>1</v>
      </c>
      <c r="Z373" s="9">
        <v>0</v>
      </c>
      <c r="AA373" s="9">
        <v>1</v>
      </c>
      <c r="AB373" s="10">
        <f t="shared" si="26"/>
        <v>10</v>
      </c>
      <c r="AC373" s="10">
        <f t="shared" si="27"/>
        <v>50</v>
      </c>
      <c r="AD373" s="9">
        <v>0</v>
      </c>
      <c r="AE373" s="9">
        <v>0</v>
      </c>
      <c r="AF373" s="9">
        <v>0</v>
      </c>
      <c r="AG373" s="9">
        <v>0</v>
      </c>
      <c r="AH373" s="9">
        <v>1</v>
      </c>
      <c r="AI373" s="9">
        <v>0</v>
      </c>
      <c r="AJ373" s="9">
        <v>1</v>
      </c>
      <c r="AK373" s="9">
        <v>1</v>
      </c>
      <c r="AL373" s="9">
        <v>0</v>
      </c>
      <c r="AM373" s="9">
        <v>1</v>
      </c>
      <c r="AN373" s="9">
        <v>0</v>
      </c>
      <c r="AO373" s="9">
        <v>0</v>
      </c>
      <c r="AP373" s="9">
        <v>0</v>
      </c>
      <c r="AQ373" s="9">
        <v>0</v>
      </c>
      <c r="AR373" s="9">
        <v>0</v>
      </c>
      <c r="AS373" s="10">
        <f t="shared" si="28"/>
        <v>4</v>
      </c>
      <c r="AT373" s="10">
        <f t="shared" si="29"/>
        <v>26.666666666666668</v>
      </c>
      <c r="AU373" s="5" t="s">
        <v>492</v>
      </c>
    </row>
    <row r="374" spans="1:47" ht="15" customHeight="1" x14ac:dyDescent="0.3">
      <c r="A374" s="7" t="str">
        <f t="shared" si="25"/>
        <v>75_2023</v>
      </c>
      <c r="B374" s="7">
        <v>373</v>
      </c>
      <c r="C374" s="7">
        <f>'Panel Data (Long Format)'!B374</f>
        <v>75</v>
      </c>
      <c r="D374" s="7" t="str">
        <f>'Panel Data (Long Format)'!C374</f>
        <v>MAYBAKER</v>
      </c>
      <c r="E374" s="8" t="str">
        <f>'Panel Data (Long Format)'!D374</f>
        <v>May &amp; Baker Nigeria Plc</v>
      </c>
      <c r="F374" s="7" t="str">
        <f>'Panel Data (Long Format)'!E374</f>
        <v>HEALTHCARE</v>
      </c>
      <c r="G374" s="7">
        <f>'Panel Data (Long Format)'!F374</f>
        <v>2023</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c r="Y374" s="9">
        <v>0</v>
      </c>
      <c r="Z374" s="9">
        <v>0</v>
      </c>
      <c r="AA374" s="9">
        <v>0</v>
      </c>
      <c r="AB374" s="10">
        <f t="shared" si="26"/>
        <v>0</v>
      </c>
      <c r="AC374" s="10">
        <f t="shared" si="27"/>
        <v>0</v>
      </c>
      <c r="AD374" s="9">
        <v>0</v>
      </c>
      <c r="AE374" s="9">
        <v>0</v>
      </c>
      <c r="AF374" s="9">
        <v>0</v>
      </c>
      <c r="AG374" s="9">
        <v>0</v>
      </c>
      <c r="AH374" s="9">
        <v>0</v>
      </c>
      <c r="AI374" s="9">
        <v>0</v>
      </c>
      <c r="AJ374" s="9">
        <v>0</v>
      </c>
      <c r="AK374" s="9">
        <v>0</v>
      </c>
      <c r="AL374" s="9">
        <v>0</v>
      </c>
      <c r="AM374" s="9">
        <v>0</v>
      </c>
      <c r="AN374" s="9">
        <v>0</v>
      </c>
      <c r="AO374" s="9">
        <v>0</v>
      </c>
      <c r="AP374" s="9">
        <v>0</v>
      </c>
      <c r="AQ374" s="9">
        <v>0</v>
      </c>
      <c r="AR374" s="9">
        <v>0</v>
      </c>
      <c r="AS374" s="10">
        <f t="shared" si="28"/>
        <v>0</v>
      </c>
      <c r="AT374" s="10">
        <f t="shared" si="29"/>
        <v>0</v>
      </c>
      <c r="AU374" s="5" t="s">
        <v>493</v>
      </c>
    </row>
    <row r="375" spans="1:47" ht="15" customHeight="1" x14ac:dyDescent="0.3">
      <c r="A375" s="7" t="str">
        <f t="shared" si="25"/>
        <v>75_2024</v>
      </c>
      <c r="B375" s="7">
        <v>374</v>
      </c>
      <c r="C375" s="7">
        <f>'Panel Data (Long Format)'!B375</f>
        <v>75</v>
      </c>
      <c r="D375" s="7" t="str">
        <f>'Panel Data (Long Format)'!C375</f>
        <v>MAYBAKER</v>
      </c>
      <c r="E375" s="8" t="str">
        <f>'Panel Data (Long Format)'!D375</f>
        <v>May &amp; Baker Nigeria Plc</v>
      </c>
      <c r="F375" s="7" t="str">
        <f>'Panel Data (Long Format)'!E375</f>
        <v>HEALTHCARE</v>
      </c>
      <c r="G375" s="7">
        <f>'Panel Data (Long Format)'!F375</f>
        <v>2024</v>
      </c>
      <c r="H375" s="9">
        <v>0</v>
      </c>
      <c r="I375" s="9">
        <v>0</v>
      </c>
      <c r="J375" s="9">
        <v>0</v>
      </c>
      <c r="K375" s="9">
        <v>0</v>
      </c>
      <c r="L375" s="9">
        <v>0</v>
      </c>
      <c r="M375" s="9">
        <v>0</v>
      </c>
      <c r="N375" s="9">
        <v>0</v>
      </c>
      <c r="O375" s="9">
        <v>0</v>
      </c>
      <c r="P375" s="9">
        <v>0</v>
      </c>
      <c r="Q375" s="9">
        <v>0</v>
      </c>
      <c r="R375" s="9">
        <v>0</v>
      </c>
      <c r="S375" s="9">
        <v>0</v>
      </c>
      <c r="T375" s="9">
        <v>0</v>
      </c>
      <c r="U375" s="9">
        <v>0</v>
      </c>
      <c r="V375" s="9">
        <v>0</v>
      </c>
      <c r="W375" s="9">
        <v>0</v>
      </c>
      <c r="X375" s="9">
        <v>0</v>
      </c>
      <c r="Y375" s="9">
        <v>0</v>
      </c>
      <c r="Z375" s="9">
        <v>0</v>
      </c>
      <c r="AA375" s="9">
        <v>0</v>
      </c>
      <c r="AB375" s="10">
        <f t="shared" si="26"/>
        <v>0</v>
      </c>
      <c r="AC375" s="10">
        <f t="shared" si="27"/>
        <v>0</v>
      </c>
      <c r="AD375" s="9">
        <v>0</v>
      </c>
      <c r="AE375" s="9">
        <v>0</v>
      </c>
      <c r="AF375" s="9">
        <v>0</v>
      </c>
      <c r="AG375" s="9">
        <v>0</v>
      </c>
      <c r="AH375" s="9">
        <v>0</v>
      </c>
      <c r="AI375" s="9">
        <v>0</v>
      </c>
      <c r="AJ375" s="9">
        <v>0</v>
      </c>
      <c r="AK375" s="9">
        <v>0</v>
      </c>
      <c r="AL375" s="9">
        <v>0</v>
      </c>
      <c r="AM375" s="9">
        <v>0</v>
      </c>
      <c r="AN375" s="9">
        <v>0</v>
      </c>
      <c r="AO375" s="9">
        <v>0</v>
      </c>
      <c r="AP375" s="9">
        <v>0</v>
      </c>
      <c r="AQ375" s="9">
        <v>0</v>
      </c>
      <c r="AR375" s="9">
        <v>0</v>
      </c>
      <c r="AS375" s="10">
        <f t="shared" si="28"/>
        <v>0</v>
      </c>
      <c r="AT375" s="10">
        <f t="shared" si="29"/>
        <v>0</v>
      </c>
      <c r="AU375" s="5" t="s">
        <v>493</v>
      </c>
    </row>
    <row r="376" spans="1:47" ht="15" customHeight="1" x14ac:dyDescent="0.3">
      <c r="A376" s="7" t="str">
        <f t="shared" si="25"/>
        <v>75_2025</v>
      </c>
      <c r="B376" s="7">
        <v>375</v>
      </c>
      <c r="C376" s="7">
        <f>'Panel Data (Long Format)'!B376</f>
        <v>75</v>
      </c>
      <c r="D376" s="7" t="str">
        <f>'Panel Data (Long Format)'!C376</f>
        <v>MAYBAKER</v>
      </c>
      <c r="E376" s="8" t="str">
        <f>'Panel Data (Long Format)'!D376</f>
        <v>May &amp; Baker Nigeria Plc</v>
      </c>
      <c r="F376" s="7" t="str">
        <f>'Panel Data (Long Format)'!E376</f>
        <v>HEALTHCARE</v>
      </c>
      <c r="G376" s="7">
        <f>'Panel Data (Long Format)'!F376</f>
        <v>2025</v>
      </c>
      <c r="H376" s="9">
        <v>0</v>
      </c>
      <c r="I376" s="9">
        <v>0</v>
      </c>
      <c r="J376" s="9">
        <v>0</v>
      </c>
      <c r="K376" s="9">
        <v>0</v>
      </c>
      <c r="L376" s="9">
        <v>0</v>
      </c>
      <c r="M376" s="9">
        <v>0</v>
      </c>
      <c r="N376" s="9">
        <v>0</v>
      </c>
      <c r="O376" s="9">
        <v>0</v>
      </c>
      <c r="P376" s="9">
        <v>0</v>
      </c>
      <c r="Q376" s="9">
        <v>0</v>
      </c>
      <c r="R376" s="9">
        <v>0</v>
      </c>
      <c r="S376" s="9">
        <v>0</v>
      </c>
      <c r="T376" s="9">
        <v>0</v>
      </c>
      <c r="U376" s="9">
        <v>0</v>
      </c>
      <c r="V376" s="9">
        <v>0</v>
      </c>
      <c r="W376" s="9">
        <v>0</v>
      </c>
      <c r="X376" s="9">
        <v>0</v>
      </c>
      <c r="Y376" s="9">
        <v>0</v>
      </c>
      <c r="Z376" s="9">
        <v>0</v>
      </c>
      <c r="AA376" s="9">
        <v>0</v>
      </c>
      <c r="AB376" s="10">
        <f t="shared" si="26"/>
        <v>0</v>
      </c>
      <c r="AC376" s="10">
        <f t="shared" si="27"/>
        <v>0</v>
      </c>
      <c r="AD376" s="9">
        <v>0</v>
      </c>
      <c r="AE376" s="9">
        <v>0</v>
      </c>
      <c r="AF376" s="9">
        <v>0</v>
      </c>
      <c r="AG376" s="9">
        <v>0</v>
      </c>
      <c r="AH376" s="9">
        <v>0</v>
      </c>
      <c r="AI376" s="9">
        <v>0</v>
      </c>
      <c r="AJ376" s="9">
        <v>0</v>
      </c>
      <c r="AK376" s="9">
        <v>0</v>
      </c>
      <c r="AL376" s="9">
        <v>0</v>
      </c>
      <c r="AM376" s="9">
        <v>0</v>
      </c>
      <c r="AN376" s="9">
        <v>0</v>
      </c>
      <c r="AO376" s="9">
        <v>0</v>
      </c>
      <c r="AP376" s="9">
        <v>0</v>
      </c>
      <c r="AQ376" s="9">
        <v>0</v>
      </c>
      <c r="AR376" s="9">
        <v>0</v>
      </c>
      <c r="AS376" s="10">
        <f t="shared" si="28"/>
        <v>0</v>
      </c>
      <c r="AT376" s="10">
        <f t="shared" si="29"/>
        <v>0</v>
      </c>
      <c r="AU376" s="5" t="s">
        <v>493</v>
      </c>
    </row>
    <row r="377" spans="1:47" ht="15" customHeight="1" x14ac:dyDescent="0.3">
      <c r="A377" s="7" t="str">
        <f t="shared" si="25"/>
        <v>76_2021</v>
      </c>
      <c r="B377" s="7">
        <v>376</v>
      </c>
      <c r="C377" s="7">
        <f>'Panel Data (Long Format)'!B377</f>
        <v>76</v>
      </c>
      <c r="D377" s="7" t="str">
        <f>'Panel Data (Long Format)'!C377</f>
        <v>MBENEFIT</v>
      </c>
      <c r="E377" s="8" t="str">
        <f>'Panel Data (Long Format)'!D377</f>
        <v>Mutual Benefits Assurance Plc</v>
      </c>
      <c r="F377" s="7" t="str">
        <f>'Panel Data (Long Format)'!E377</f>
        <v>FINANCIAL SERVICES</v>
      </c>
      <c r="G377" s="7">
        <f>'Panel Data (Long Format)'!F377</f>
        <v>2021</v>
      </c>
      <c r="H377" s="9">
        <v>0</v>
      </c>
      <c r="I377" s="9">
        <v>0</v>
      </c>
      <c r="J377" s="9">
        <v>0</v>
      </c>
      <c r="K377" s="9">
        <v>0</v>
      </c>
      <c r="L377" s="9">
        <v>0</v>
      </c>
      <c r="M377" s="9">
        <v>0</v>
      </c>
      <c r="N377" s="9">
        <v>0</v>
      </c>
      <c r="O377" s="9">
        <v>0</v>
      </c>
      <c r="P377" s="9">
        <v>0</v>
      </c>
      <c r="Q377" s="9">
        <v>0</v>
      </c>
      <c r="R377" s="9">
        <v>0</v>
      </c>
      <c r="S377" s="9">
        <v>0</v>
      </c>
      <c r="T377" s="9">
        <v>0</v>
      </c>
      <c r="U377" s="9">
        <v>0</v>
      </c>
      <c r="V377" s="9">
        <v>0</v>
      </c>
      <c r="W377" s="9">
        <v>1</v>
      </c>
      <c r="X377" s="9">
        <v>0</v>
      </c>
      <c r="Y377" s="9">
        <v>0</v>
      </c>
      <c r="Z377" s="9">
        <v>0</v>
      </c>
      <c r="AA377" s="9">
        <v>0</v>
      </c>
      <c r="AB377" s="10">
        <f t="shared" si="26"/>
        <v>1</v>
      </c>
      <c r="AC377" s="10">
        <f t="shared" si="27"/>
        <v>5</v>
      </c>
      <c r="AD377" s="9">
        <v>0</v>
      </c>
      <c r="AE377" s="9">
        <v>0</v>
      </c>
      <c r="AF377" s="9">
        <v>0</v>
      </c>
      <c r="AG377" s="9">
        <v>0</v>
      </c>
      <c r="AH377" s="9">
        <v>0</v>
      </c>
      <c r="AI377" s="9">
        <v>0</v>
      </c>
      <c r="AJ377" s="9">
        <v>0</v>
      </c>
      <c r="AK377" s="9">
        <v>0</v>
      </c>
      <c r="AL377" s="9">
        <v>0</v>
      </c>
      <c r="AM377" s="9">
        <v>0</v>
      </c>
      <c r="AN377" s="9">
        <v>0</v>
      </c>
      <c r="AO377" s="9">
        <v>0</v>
      </c>
      <c r="AP377" s="9">
        <v>0</v>
      </c>
      <c r="AQ377" s="9">
        <v>0</v>
      </c>
      <c r="AR377" s="9">
        <v>0</v>
      </c>
      <c r="AS377" s="10">
        <f t="shared" si="28"/>
        <v>0</v>
      </c>
      <c r="AT377" s="10">
        <f t="shared" si="29"/>
        <v>0</v>
      </c>
      <c r="AU377" s="5" t="s">
        <v>494</v>
      </c>
    </row>
    <row r="378" spans="1:47" ht="15" customHeight="1" x14ac:dyDescent="0.3">
      <c r="A378" s="7" t="str">
        <f t="shared" si="25"/>
        <v>76_2022</v>
      </c>
      <c r="B378" s="7">
        <v>377</v>
      </c>
      <c r="C378" s="7">
        <f>'Panel Data (Long Format)'!B378</f>
        <v>76</v>
      </c>
      <c r="D378" s="7" t="str">
        <f>'Panel Data (Long Format)'!C378</f>
        <v>MBENEFIT</v>
      </c>
      <c r="E378" s="8" t="str">
        <f>'Panel Data (Long Format)'!D378</f>
        <v>Mutual Benefits Assurance Plc</v>
      </c>
      <c r="F378" s="7" t="str">
        <f>'Panel Data (Long Format)'!E378</f>
        <v>FINANCIAL SERVICES</v>
      </c>
      <c r="G378" s="7">
        <f>'Panel Data (Long Format)'!F378</f>
        <v>2022</v>
      </c>
      <c r="H378" s="9">
        <v>0</v>
      </c>
      <c r="I378" s="9">
        <v>0</v>
      </c>
      <c r="J378" s="9">
        <v>0</v>
      </c>
      <c r="K378" s="9">
        <v>0</v>
      </c>
      <c r="L378" s="9">
        <v>0</v>
      </c>
      <c r="M378" s="9">
        <v>0</v>
      </c>
      <c r="N378" s="9">
        <v>0</v>
      </c>
      <c r="O378" s="9">
        <v>0</v>
      </c>
      <c r="P378" s="9">
        <v>0</v>
      </c>
      <c r="Q378" s="9">
        <v>0</v>
      </c>
      <c r="R378" s="9">
        <v>0</v>
      </c>
      <c r="S378" s="9">
        <v>0</v>
      </c>
      <c r="T378" s="9">
        <v>0</v>
      </c>
      <c r="U378" s="9">
        <v>0</v>
      </c>
      <c r="V378" s="9">
        <v>0</v>
      </c>
      <c r="W378" s="9">
        <v>1</v>
      </c>
      <c r="X378" s="9">
        <v>0</v>
      </c>
      <c r="Y378" s="9">
        <v>0</v>
      </c>
      <c r="Z378" s="9">
        <v>0</v>
      </c>
      <c r="AA378" s="9">
        <v>0</v>
      </c>
      <c r="AB378" s="10">
        <f t="shared" si="26"/>
        <v>1</v>
      </c>
      <c r="AC378" s="10">
        <f t="shared" si="27"/>
        <v>5</v>
      </c>
      <c r="AD378" s="9">
        <v>0</v>
      </c>
      <c r="AE378" s="9">
        <v>0</v>
      </c>
      <c r="AF378" s="9">
        <v>0</v>
      </c>
      <c r="AG378" s="9">
        <v>0</v>
      </c>
      <c r="AH378" s="9">
        <v>0</v>
      </c>
      <c r="AI378" s="9">
        <v>0</v>
      </c>
      <c r="AJ378" s="9">
        <v>0</v>
      </c>
      <c r="AK378" s="9">
        <v>0</v>
      </c>
      <c r="AL378" s="9">
        <v>0</v>
      </c>
      <c r="AM378" s="9">
        <v>0</v>
      </c>
      <c r="AN378" s="9">
        <v>0</v>
      </c>
      <c r="AO378" s="9">
        <v>0</v>
      </c>
      <c r="AP378" s="9">
        <v>0</v>
      </c>
      <c r="AQ378" s="9">
        <v>0</v>
      </c>
      <c r="AR378" s="9">
        <v>0</v>
      </c>
      <c r="AS378" s="10">
        <f t="shared" si="28"/>
        <v>0</v>
      </c>
      <c r="AT378" s="10">
        <f t="shared" si="29"/>
        <v>0</v>
      </c>
      <c r="AU378" s="5" t="s">
        <v>494</v>
      </c>
    </row>
    <row r="379" spans="1:47" ht="15" customHeight="1" x14ac:dyDescent="0.3">
      <c r="A379" s="7" t="str">
        <f t="shared" si="25"/>
        <v>76_2023</v>
      </c>
      <c r="B379" s="7">
        <v>378</v>
      </c>
      <c r="C379" s="7">
        <f>'Panel Data (Long Format)'!B379</f>
        <v>76</v>
      </c>
      <c r="D379" s="7" t="str">
        <f>'Panel Data (Long Format)'!C379</f>
        <v>MBENEFIT</v>
      </c>
      <c r="E379" s="8" t="str">
        <f>'Panel Data (Long Format)'!D379</f>
        <v>Mutual Benefits Assurance Plc</v>
      </c>
      <c r="F379" s="7" t="str">
        <f>'Panel Data (Long Format)'!E379</f>
        <v>FINANCIAL SERVICES</v>
      </c>
      <c r="G379" s="7">
        <f>'Panel Data (Long Format)'!F379</f>
        <v>2023</v>
      </c>
      <c r="H379" s="9">
        <v>0</v>
      </c>
      <c r="I379" s="9">
        <v>0</v>
      </c>
      <c r="J379" s="9">
        <v>0</v>
      </c>
      <c r="K379" s="9">
        <v>0</v>
      </c>
      <c r="L379" s="9">
        <v>0</v>
      </c>
      <c r="M379" s="9">
        <v>0</v>
      </c>
      <c r="N379" s="9">
        <v>0</v>
      </c>
      <c r="O379" s="9">
        <v>0</v>
      </c>
      <c r="P379" s="9">
        <v>0</v>
      </c>
      <c r="Q379" s="9">
        <v>0</v>
      </c>
      <c r="R379" s="9">
        <v>0</v>
      </c>
      <c r="S379" s="9">
        <v>0</v>
      </c>
      <c r="T379" s="9">
        <v>0</v>
      </c>
      <c r="U379" s="9">
        <v>0</v>
      </c>
      <c r="V379" s="9">
        <v>0</v>
      </c>
      <c r="W379" s="9">
        <v>1</v>
      </c>
      <c r="X379" s="9">
        <v>0</v>
      </c>
      <c r="Y379" s="9">
        <v>0</v>
      </c>
      <c r="Z379" s="9">
        <v>0</v>
      </c>
      <c r="AA379" s="9">
        <v>0</v>
      </c>
      <c r="AB379" s="10">
        <f t="shared" si="26"/>
        <v>1</v>
      </c>
      <c r="AC379" s="10">
        <f t="shared" si="27"/>
        <v>5</v>
      </c>
      <c r="AD379" s="9">
        <v>0</v>
      </c>
      <c r="AE379" s="9">
        <v>0</v>
      </c>
      <c r="AF379" s="9">
        <v>0</v>
      </c>
      <c r="AG379" s="9">
        <v>0</v>
      </c>
      <c r="AH379" s="9">
        <v>0</v>
      </c>
      <c r="AI379" s="9">
        <v>0</v>
      </c>
      <c r="AJ379" s="9">
        <v>0</v>
      </c>
      <c r="AK379" s="9">
        <v>0</v>
      </c>
      <c r="AL379" s="9">
        <v>0</v>
      </c>
      <c r="AM379" s="9">
        <v>0</v>
      </c>
      <c r="AN379" s="9">
        <v>0</v>
      </c>
      <c r="AO379" s="9">
        <v>0</v>
      </c>
      <c r="AP379" s="9">
        <v>0</v>
      </c>
      <c r="AQ379" s="9">
        <v>0</v>
      </c>
      <c r="AR379" s="9">
        <v>0</v>
      </c>
      <c r="AS379" s="10">
        <f t="shared" si="28"/>
        <v>0</v>
      </c>
      <c r="AT379" s="10">
        <f t="shared" si="29"/>
        <v>0</v>
      </c>
      <c r="AU379" s="5" t="s">
        <v>494</v>
      </c>
    </row>
    <row r="380" spans="1:47" ht="15" customHeight="1" x14ac:dyDescent="0.3">
      <c r="A380" s="7" t="str">
        <f t="shared" si="25"/>
        <v>76_2024</v>
      </c>
      <c r="B380" s="7">
        <v>379</v>
      </c>
      <c r="C380" s="7">
        <f>'Panel Data (Long Format)'!B380</f>
        <v>76</v>
      </c>
      <c r="D380" s="7" t="str">
        <f>'Panel Data (Long Format)'!C380</f>
        <v>MBENEFIT</v>
      </c>
      <c r="E380" s="8" t="str">
        <f>'Panel Data (Long Format)'!D380</f>
        <v>Mutual Benefits Assurance Plc</v>
      </c>
      <c r="F380" s="7" t="str">
        <f>'Panel Data (Long Format)'!E380</f>
        <v>FINANCIAL SERVICES</v>
      </c>
      <c r="G380" s="7">
        <f>'Panel Data (Long Format)'!F380</f>
        <v>2024</v>
      </c>
      <c r="H380" s="9">
        <v>0</v>
      </c>
      <c r="I380" s="9">
        <v>0</v>
      </c>
      <c r="J380" s="9">
        <v>0</v>
      </c>
      <c r="K380" s="9">
        <v>0</v>
      </c>
      <c r="L380" s="9">
        <v>0</v>
      </c>
      <c r="M380" s="9">
        <v>0</v>
      </c>
      <c r="N380" s="9">
        <v>0</v>
      </c>
      <c r="O380" s="9">
        <v>0</v>
      </c>
      <c r="P380" s="9">
        <v>0</v>
      </c>
      <c r="Q380" s="9">
        <v>0</v>
      </c>
      <c r="R380" s="9">
        <v>0</v>
      </c>
      <c r="S380" s="9">
        <v>0</v>
      </c>
      <c r="T380" s="9">
        <v>0</v>
      </c>
      <c r="U380" s="9">
        <v>0</v>
      </c>
      <c r="V380" s="9">
        <v>0</v>
      </c>
      <c r="W380" s="9">
        <v>1</v>
      </c>
      <c r="X380" s="9">
        <v>0</v>
      </c>
      <c r="Y380" s="9">
        <v>0</v>
      </c>
      <c r="Z380" s="9">
        <v>0</v>
      </c>
      <c r="AA380" s="9">
        <v>0</v>
      </c>
      <c r="AB380" s="10">
        <f t="shared" si="26"/>
        <v>1</v>
      </c>
      <c r="AC380" s="10">
        <f t="shared" si="27"/>
        <v>5</v>
      </c>
      <c r="AD380" s="9">
        <v>0</v>
      </c>
      <c r="AE380" s="9">
        <v>0</v>
      </c>
      <c r="AF380" s="9">
        <v>0</v>
      </c>
      <c r="AG380" s="9">
        <v>0</v>
      </c>
      <c r="AH380" s="9">
        <v>0</v>
      </c>
      <c r="AI380" s="9">
        <v>0</v>
      </c>
      <c r="AJ380" s="9">
        <v>0</v>
      </c>
      <c r="AK380" s="9">
        <v>0</v>
      </c>
      <c r="AL380" s="9">
        <v>0</v>
      </c>
      <c r="AM380" s="9">
        <v>0</v>
      </c>
      <c r="AN380" s="9">
        <v>0</v>
      </c>
      <c r="AO380" s="9">
        <v>0</v>
      </c>
      <c r="AP380" s="9">
        <v>0</v>
      </c>
      <c r="AQ380" s="9">
        <v>0</v>
      </c>
      <c r="AR380" s="9">
        <v>0</v>
      </c>
      <c r="AS380" s="10">
        <f t="shared" si="28"/>
        <v>0</v>
      </c>
      <c r="AT380" s="10">
        <f t="shared" si="29"/>
        <v>0</v>
      </c>
      <c r="AU380" s="5" t="s">
        <v>494</v>
      </c>
    </row>
    <row r="381" spans="1:47" ht="15" customHeight="1" x14ac:dyDescent="0.3">
      <c r="A381" s="7" t="str">
        <f t="shared" si="25"/>
        <v>76_2025</v>
      </c>
      <c r="B381" s="7">
        <v>380</v>
      </c>
      <c r="C381" s="7">
        <f>'Panel Data (Long Format)'!B381</f>
        <v>76</v>
      </c>
      <c r="D381" s="7" t="str">
        <f>'Panel Data (Long Format)'!C381</f>
        <v>MBENEFIT</v>
      </c>
      <c r="E381" s="8" t="str">
        <f>'Panel Data (Long Format)'!D381</f>
        <v>Mutual Benefits Assurance Plc</v>
      </c>
      <c r="F381" s="7" t="str">
        <f>'Panel Data (Long Format)'!E381</f>
        <v>FINANCIAL SERVICES</v>
      </c>
      <c r="G381" s="7">
        <f>'Panel Data (Long Format)'!F381</f>
        <v>2025</v>
      </c>
      <c r="H381" s="9">
        <v>0</v>
      </c>
      <c r="I381" s="9">
        <v>0</v>
      </c>
      <c r="J381" s="9">
        <v>0</v>
      </c>
      <c r="K381" s="9">
        <v>0</v>
      </c>
      <c r="L381" s="9">
        <v>0</v>
      </c>
      <c r="M381" s="9">
        <v>0</v>
      </c>
      <c r="N381" s="9">
        <v>0</v>
      </c>
      <c r="O381" s="9">
        <v>0</v>
      </c>
      <c r="P381" s="9">
        <v>0</v>
      </c>
      <c r="Q381" s="9">
        <v>0</v>
      </c>
      <c r="R381" s="9">
        <v>0</v>
      </c>
      <c r="S381" s="9">
        <v>0</v>
      </c>
      <c r="T381" s="9">
        <v>0</v>
      </c>
      <c r="U381" s="9">
        <v>0</v>
      </c>
      <c r="V381" s="9">
        <v>0</v>
      </c>
      <c r="W381" s="9">
        <v>1</v>
      </c>
      <c r="X381" s="9">
        <v>0</v>
      </c>
      <c r="Y381" s="9">
        <v>0</v>
      </c>
      <c r="Z381" s="9">
        <v>0</v>
      </c>
      <c r="AA381" s="9">
        <v>0</v>
      </c>
      <c r="AB381" s="10">
        <f t="shared" si="26"/>
        <v>1</v>
      </c>
      <c r="AC381" s="10">
        <f t="shared" si="27"/>
        <v>5</v>
      </c>
      <c r="AD381" s="9">
        <v>0</v>
      </c>
      <c r="AE381" s="9">
        <v>0</v>
      </c>
      <c r="AF381" s="9">
        <v>0</v>
      </c>
      <c r="AG381" s="9">
        <v>0</v>
      </c>
      <c r="AH381" s="9">
        <v>0</v>
      </c>
      <c r="AI381" s="9">
        <v>0</v>
      </c>
      <c r="AJ381" s="9">
        <v>0</v>
      </c>
      <c r="AK381" s="9">
        <v>0</v>
      </c>
      <c r="AL381" s="9">
        <v>0</v>
      </c>
      <c r="AM381" s="9">
        <v>0</v>
      </c>
      <c r="AN381" s="9">
        <v>0</v>
      </c>
      <c r="AO381" s="9">
        <v>0</v>
      </c>
      <c r="AP381" s="9">
        <v>0</v>
      </c>
      <c r="AQ381" s="9">
        <v>0</v>
      </c>
      <c r="AR381" s="9">
        <v>0</v>
      </c>
      <c r="AS381" s="10">
        <f t="shared" si="28"/>
        <v>0</v>
      </c>
      <c r="AT381" s="10">
        <f t="shared" si="29"/>
        <v>0</v>
      </c>
      <c r="AU381" s="5" t="s">
        <v>494</v>
      </c>
    </row>
    <row r="382" spans="1:47" ht="15" customHeight="1" x14ac:dyDescent="0.3">
      <c r="A382" s="7" t="str">
        <f t="shared" si="25"/>
        <v>77_2021</v>
      </c>
      <c r="B382" s="7">
        <v>381</v>
      </c>
      <c r="C382" s="7">
        <f>'Panel Data (Long Format)'!B382</f>
        <v>77</v>
      </c>
      <c r="D382" s="7" t="str">
        <f>'Panel Data (Long Format)'!C382</f>
        <v>MCNICHOLS</v>
      </c>
      <c r="E382" s="8" t="str">
        <f>'Panel Data (Long Format)'!D382</f>
        <v>McNichols Consolidated Plc</v>
      </c>
      <c r="F382" s="7" t="str">
        <f>'Panel Data (Long Format)'!E382</f>
        <v>CONSUMER GOODS</v>
      </c>
      <c r="G382" s="7">
        <f>'Panel Data (Long Format)'!F382</f>
        <v>2021</v>
      </c>
      <c r="H382" s="9">
        <v>0</v>
      </c>
      <c r="I382" s="9">
        <v>0</v>
      </c>
      <c r="J382" s="9">
        <v>0</v>
      </c>
      <c r="K382" s="9">
        <v>0</v>
      </c>
      <c r="L382" s="9">
        <v>0</v>
      </c>
      <c r="M382" s="9">
        <v>0</v>
      </c>
      <c r="N382" s="9">
        <v>0</v>
      </c>
      <c r="O382" s="9">
        <v>0</v>
      </c>
      <c r="P382" s="9">
        <v>0</v>
      </c>
      <c r="Q382" s="9">
        <v>0</v>
      </c>
      <c r="R382" s="9">
        <v>0</v>
      </c>
      <c r="S382" s="9">
        <v>0</v>
      </c>
      <c r="T382" s="9">
        <v>0</v>
      </c>
      <c r="U382" s="9">
        <v>0</v>
      </c>
      <c r="V382" s="9">
        <v>0</v>
      </c>
      <c r="W382" s="9">
        <v>0</v>
      </c>
      <c r="X382" s="9">
        <v>0</v>
      </c>
      <c r="Y382" s="9">
        <v>0</v>
      </c>
      <c r="Z382" s="9">
        <v>0</v>
      </c>
      <c r="AA382" s="9">
        <v>0</v>
      </c>
      <c r="AB382" s="10">
        <f t="shared" si="26"/>
        <v>0</v>
      </c>
      <c r="AC382" s="10">
        <f t="shared" si="27"/>
        <v>0</v>
      </c>
      <c r="AD382" s="9">
        <v>0</v>
      </c>
      <c r="AE382" s="9">
        <v>0</v>
      </c>
      <c r="AF382" s="9">
        <v>0</v>
      </c>
      <c r="AG382" s="9">
        <v>0</v>
      </c>
      <c r="AH382" s="9">
        <v>0</v>
      </c>
      <c r="AI382" s="9">
        <v>0</v>
      </c>
      <c r="AJ382" s="9">
        <v>0</v>
      </c>
      <c r="AK382" s="9">
        <v>0</v>
      </c>
      <c r="AL382" s="9">
        <v>0</v>
      </c>
      <c r="AM382" s="9">
        <v>0</v>
      </c>
      <c r="AN382" s="9">
        <v>0</v>
      </c>
      <c r="AO382" s="9">
        <v>0</v>
      </c>
      <c r="AP382" s="9">
        <v>0</v>
      </c>
      <c r="AQ382" s="9">
        <v>0</v>
      </c>
      <c r="AR382" s="9">
        <v>0</v>
      </c>
      <c r="AS382" s="10">
        <f t="shared" si="28"/>
        <v>0</v>
      </c>
      <c r="AT382" s="10">
        <f t="shared" si="29"/>
        <v>0</v>
      </c>
      <c r="AU382" s="5" t="s">
        <v>495</v>
      </c>
    </row>
    <row r="383" spans="1:47" ht="15" customHeight="1" x14ac:dyDescent="0.3">
      <c r="A383" s="7" t="str">
        <f t="shared" si="25"/>
        <v>77_2022</v>
      </c>
      <c r="B383" s="7">
        <v>382</v>
      </c>
      <c r="C383" s="7">
        <f>'Panel Data (Long Format)'!B383</f>
        <v>77</v>
      </c>
      <c r="D383" s="7" t="str">
        <f>'Panel Data (Long Format)'!C383</f>
        <v>MCNICHOLS</v>
      </c>
      <c r="E383" s="8" t="str">
        <f>'Panel Data (Long Format)'!D383</f>
        <v>McNichols Consolidated Plc</v>
      </c>
      <c r="F383" s="7" t="str">
        <f>'Panel Data (Long Format)'!E383</f>
        <v>CONSUMER GOODS</v>
      </c>
      <c r="G383" s="7">
        <f>'Panel Data (Long Format)'!F383</f>
        <v>2022</v>
      </c>
      <c r="H383" s="9">
        <v>0</v>
      </c>
      <c r="I383" s="9">
        <v>0</v>
      </c>
      <c r="J383" s="9">
        <v>0</v>
      </c>
      <c r="K383" s="9">
        <v>0</v>
      </c>
      <c r="L383" s="9">
        <v>0</v>
      </c>
      <c r="M383" s="9">
        <v>0</v>
      </c>
      <c r="N383" s="9">
        <v>0</v>
      </c>
      <c r="O383" s="9">
        <v>0</v>
      </c>
      <c r="P383" s="9">
        <v>0</v>
      </c>
      <c r="Q383" s="9">
        <v>0</v>
      </c>
      <c r="R383" s="9">
        <v>0</v>
      </c>
      <c r="S383" s="9">
        <v>0</v>
      </c>
      <c r="T383" s="9">
        <v>0</v>
      </c>
      <c r="U383" s="9">
        <v>0</v>
      </c>
      <c r="V383" s="9">
        <v>0</v>
      </c>
      <c r="W383" s="9">
        <v>0</v>
      </c>
      <c r="X383" s="9">
        <v>0</v>
      </c>
      <c r="Y383" s="9">
        <v>0</v>
      </c>
      <c r="Z383" s="9">
        <v>0</v>
      </c>
      <c r="AA383" s="9">
        <v>0</v>
      </c>
      <c r="AB383" s="10">
        <f t="shared" si="26"/>
        <v>0</v>
      </c>
      <c r="AC383" s="10">
        <f t="shared" si="27"/>
        <v>0</v>
      </c>
      <c r="AD383" s="9">
        <v>0</v>
      </c>
      <c r="AE383" s="9">
        <v>0</v>
      </c>
      <c r="AF383" s="9">
        <v>0</v>
      </c>
      <c r="AG383" s="9">
        <v>0</v>
      </c>
      <c r="AH383" s="9">
        <v>0</v>
      </c>
      <c r="AI383" s="9">
        <v>0</v>
      </c>
      <c r="AJ383" s="9">
        <v>0</v>
      </c>
      <c r="AK383" s="9">
        <v>0</v>
      </c>
      <c r="AL383" s="9">
        <v>0</v>
      </c>
      <c r="AM383" s="9">
        <v>0</v>
      </c>
      <c r="AN383" s="9">
        <v>0</v>
      </c>
      <c r="AO383" s="9">
        <v>0</v>
      </c>
      <c r="AP383" s="9">
        <v>0</v>
      </c>
      <c r="AQ383" s="9">
        <v>0</v>
      </c>
      <c r="AR383" s="9">
        <v>0</v>
      </c>
      <c r="AS383" s="10">
        <f t="shared" si="28"/>
        <v>0</v>
      </c>
      <c r="AT383" s="10">
        <f t="shared" si="29"/>
        <v>0</v>
      </c>
      <c r="AU383" s="5" t="s">
        <v>495</v>
      </c>
    </row>
    <row r="384" spans="1:47" ht="15" customHeight="1" x14ac:dyDescent="0.3">
      <c r="A384" s="7" t="str">
        <f t="shared" si="25"/>
        <v>77_2023</v>
      </c>
      <c r="B384" s="7">
        <v>383</v>
      </c>
      <c r="C384" s="7">
        <f>'Panel Data (Long Format)'!B384</f>
        <v>77</v>
      </c>
      <c r="D384" s="7" t="str">
        <f>'Panel Data (Long Format)'!C384</f>
        <v>MCNICHOLS</v>
      </c>
      <c r="E384" s="8" t="str">
        <f>'Panel Data (Long Format)'!D384</f>
        <v>McNichols Consolidated Plc</v>
      </c>
      <c r="F384" s="7" t="str">
        <f>'Panel Data (Long Format)'!E384</f>
        <v>CONSUMER GOODS</v>
      </c>
      <c r="G384" s="7">
        <f>'Panel Data (Long Format)'!F384</f>
        <v>2023</v>
      </c>
      <c r="H384" s="9">
        <v>0</v>
      </c>
      <c r="I384" s="9">
        <v>0</v>
      </c>
      <c r="J384" s="9">
        <v>0</v>
      </c>
      <c r="K384" s="9">
        <v>0</v>
      </c>
      <c r="L384" s="9">
        <v>0</v>
      </c>
      <c r="M384" s="9">
        <v>0</v>
      </c>
      <c r="N384" s="9">
        <v>0</v>
      </c>
      <c r="O384" s="9">
        <v>0</v>
      </c>
      <c r="P384" s="9">
        <v>0</v>
      </c>
      <c r="Q384" s="9">
        <v>0</v>
      </c>
      <c r="R384" s="9">
        <v>0</v>
      </c>
      <c r="S384" s="9">
        <v>0</v>
      </c>
      <c r="T384" s="9">
        <v>0</v>
      </c>
      <c r="U384" s="9">
        <v>0</v>
      </c>
      <c r="V384" s="9">
        <v>0</v>
      </c>
      <c r="W384" s="9">
        <v>0</v>
      </c>
      <c r="X384" s="9">
        <v>0</v>
      </c>
      <c r="Y384" s="9">
        <v>0</v>
      </c>
      <c r="Z384" s="9">
        <v>0</v>
      </c>
      <c r="AA384" s="9">
        <v>0</v>
      </c>
      <c r="AB384" s="10">
        <f t="shared" si="26"/>
        <v>0</v>
      </c>
      <c r="AC384" s="10">
        <f t="shared" si="27"/>
        <v>0</v>
      </c>
      <c r="AD384" s="9">
        <v>0</v>
      </c>
      <c r="AE384" s="9">
        <v>0</v>
      </c>
      <c r="AF384" s="9">
        <v>0</v>
      </c>
      <c r="AG384" s="9">
        <v>0</v>
      </c>
      <c r="AH384" s="9">
        <v>0</v>
      </c>
      <c r="AI384" s="9">
        <v>0</v>
      </c>
      <c r="AJ384" s="9">
        <v>0</v>
      </c>
      <c r="AK384" s="9">
        <v>0</v>
      </c>
      <c r="AL384" s="9">
        <v>0</v>
      </c>
      <c r="AM384" s="9">
        <v>0</v>
      </c>
      <c r="AN384" s="9">
        <v>0</v>
      </c>
      <c r="AO384" s="9">
        <v>0</v>
      </c>
      <c r="AP384" s="9">
        <v>0</v>
      </c>
      <c r="AQ384" s="9">
        <v>0</v>
      </c>
      <c r="AR384" s="9">
        <v>0</v>
      </c>
      <c r="AS384" s="10">
        <f t="shared" si="28"/>
        <v>0</v>
      </c>
      <c r="AT384" s="10">
        <f t="shared" si="29"/>
        <v>0</v>
      </c>
      <c r="AU384" s="5" t="s">
        <v>495</v>
      </c>
    </row>
    <row r="385" spans="1:47" ht="15" customHeight="1" x14ac:dyDescent="0.3">
      <c r="A385" s="7" t="str">
        <f t="shared" si="25"/>
        <v>77_2024</v>
      </c>
      <c r="B385" s="7">
        <v>384</v>
      </c>
      <c r="C385" s="7">
        <f>'Panel Data (Long Format)'!B385</f>
        <v>77</v>
      </c>
      <c r="D385" s="7" t="str">
        <f>'Panel Data (Long Format)'!C385</f>
        <v>MCNICHOLS</v>
      </c>
      <c r="E385" s="8" t="str">
        <f>'Panel Data (Long Format)'!D385</f>
        <v>McNichols Consolidated Plc</v>
      </c>
      <c r="F385" s="7" t="str">
        <f>'Panel Data (Long Format)'!E385</f>
        <v>CONSUMER GOODS</v>
      </c>
      <c r="G385" s="7">
        <f>'Panel Data (Long Format)'!F385</f>
        <v>2024</v>
      </c>
      <c r="H385" s="9">
        <v>0</v>
      </c>
      <c r="I385" s="9">
        <v>0</v>
      </c>
      <c r="J385" s="9">
        <v>0</v>
      </c>
      <c r="K385" s="9">
        <v>0</v>
      </c>
      <c r="L385" s="9">
        <v>0</v>
      </c>
      <c r="M385" s="9">
        <v>0</v>
      </c>
      <c r="N385" s="9">
        <v>0</v>
      </c>
      <c r="O385" s="9">
        <v>0</v>
      </c>
      <c r="P385" s="9">
        <v>0</v>
      </c>
      <c r="Q385" s="9">
        <v>0</v>
      </c>
      <c r="R385" s="9">
        <v>0</v>
      </c>
      <c r="S385" s="9">
        <v>0</v>
      </c>
      <c r="T385" s="9">
        <v>0</v>
      </c>
      <c r="U385" s="9">
        <v>0</v>
      </c>
      <c r="V385" s="9">
        <v>0</v>
      </c>
      <c r="W385" s="9">
        <v>0</v>
      </c>
      <c r="X385" s="9">
        <v>0</v>
      </c>
      <c r="Y385" s="9">
        <v>0</v>
      </c>
      <c r="Z385" s="9">
        <v>0</v>
      </c>
      <c r="AA385" s="9">
        <v>0</v>
      </c>
      <c r="AB385" s="10">
        <f t="shared" si="26"/>
        <v>0</v>
      </c>
      <c r="AC385" s="10">
        <f t="shared" si="27"/>
        <v>0</v>
      </c>
      <c r="AD385" s="9">
        <v>0</v>
      </c>
      <c r="AE385" s="9">
        <v>0</v>
      </c>
      <c r="AF385" s="9">
        <v>0</v>
      </c>
      <c r="AG385" s="9">
        <v>0</v>
      </c>
      <c r="AH385" s="9">
        <v>0</v>
      </c>
      <c r="AI385" s="9">
        <v>0</v>
      </c>
      <c r="AJ385" s="9">
        <v>0</v>
      </c>
      <c r="AK385" s="9">
        <v>0</v>
      </c>
      <c r="AL385" s="9">
        <v>0</v>
      </c>
      <c r="AM385" s="9">
        <v>0</v>
      </c>
      <c r="AN385" s="9">
        <v>0</v>
      </c>
      <c r="AO385" s="9">
        <v>0</v>
      </c>
      <c r="AP385" s="9">
        <v>0</v>
      </c>
      <c r="AQ385" s="9">
        <v>0</v>
      </c>
      <c r="AR385" s="9">
        <v>0</v>
      </c>
      <c r="AS385" s="10">
        <f t="shared" si="28"/>
        <v>0</v>
      </c>
      <c r="AT385" s="10">
        <f t="shared" si="29"/>
        <v>0</v>
      </c>
      <c r="AU385" s="5" t="s">
        <v>495</v>
      </c>
    </row>
    <row r="386" spans="1:47" ht="15" customHeight="1" x14ac:dyDescent="0.3">
      <c r="A386" s="7" t="str">
        <f t="shared" ref="A386:A449" si="30">C386&amp;"_"&amp;G386</f>
        <v>77_2025</v>
      </c>
      <c r="B386" s="7">
        <v>385</v>
      </c>
      <c r="C386" s="7">
        <f>'Panel Data (Long Format)'!B386</f>
        <v>77</v>
      </c>
      <c r="D386" s="7" t="str">
        <f>'Panel Data (Long Format)'!C386</f>
        <v>MCNICHOLS</v>
      </c>
      <c r="E386" s="8" t="str">
        <f>'Panel Data (Long Format)'!D386</f>
        <v>McNichols Consolidated Plc</v>
      </c>
      <c r="F386" s="7" t="str">
        <f>'Panel Data (Long Format)'!E386</f>
        <v>CONSUMER GOODS</v>
      </c>
      <c r="G386" s="7">
        <f>'Panel Data (Long Format)'!F386</f>
        <v>2025</v>
      </c>
      <c r="H386" s="9">
        <v>0</v>
      </c>
      <c r="I386" s="9">
        <v>0</v>
      </c>
      <c r="J386" s="9">
        <v>0</v>
      </c>
      <c r="K386" s="9">
        <v>0</v>
      </c>
      <c r="L386" s="9">
        <v>0</v>
      </c>
      <c r="M386" s="9">
        <v>0</v>
      </c>
      <c r="N386" s="9">
        <v>0</v>
      </c>
      <c r="O386" s="9">
        <v>0</v>
      </c>
      <c r="P386" s="9">
        <v>0</v>
      </c>
      <c r="Q386" s="9">
        <v>0</v>
      </c>
      <c r="R386" s="9">
        <v>0</v>
      </c>
      <c r="S386" s="9">
        <v>0</v>
      </c>
      <c r="T386" s="9">
        <v>0</v>
      </c>
      <c r="U386" s="9">
        <v>0</v>
      </c>
      <c r="V386" s="9">
        <v>0</v>
      </c>
      <c r="W386" s="9">
        <v>0</v>
      </c>
      <c r="X386" s="9">
        <v>0</v>
      </c>
      <c r="Y386" s="9">
        <v>0</v>
      </c>
      <c r="Z386" s="9">
        <v>0</v>
      </c>
      <c r="AA386" s="9">
        <v>0</v>
      </c>
      <c r="AB386" s="10">
        <f t="shared" ref="AB386:AB449" si="31">IF(COUNTBLANK(H386:AA386)&gt;0,"",SUM(H386:AA386))</f>
        <v>0</v>
      </c>
      <c r="AC386" s="10">
        <f t="shared" ref="AC386:AC449" si="32">IF(AB386="","",AB386/20*100)</f>
        <v>0</v>
      </c>
      <c r="AD386" s="9">
        <v>0</v>
      </c>
      <c r="AE386" s="9">
        <v>0</v>
      </c>
      <c r="AF386" s="9">
        <v>0</v>
      </c>
      <c r="AG386" s="9">
        <v>0</v>
      </c>
      <c r="AH386" s="9">
        <v>0</v>
      </c>
      <c r="AI386" s="9">
        <v>0</v>
      </c>
      <c r="AJ386" s="9">
        <v>0</v>
      </c>
      <c r="AK386" s="9">
        <v>0</v>
      </c>
      <c r="AL386" s="9">
        <v>0</v>
      </c>
      <c r="AM386" s="9">
        <v>0</v>
      </c>
      <c r="AN386" s="9">
        <v>0</v>
      </c>
      <c r="AO386" s="9">
        <v>0</v>
      </c>
      <c r="AP386" s="9">
        <v>0</v>
      </c>
      <c r="AQ386" s="9">
        <v>0</v>
      </c>
      <c r="AR386" s="9">
        <v>0</v>
      </c>
      <c r="AS386" s="10">
        <f t="shared" ref="AS386:AS449" si="33">IF(COUNTBLANK(AD386:AR386)&gt;0,"",SUM(AD386:AR386))</f>
        <v>0</v>
      </c>
      <c r="AT386" s="10">
        <f t="shared" ref="AT386:AT449" si="34">IF(AS386="","",AS386/15*100)</f>
        <v>0</v>
      </c>
      <c r="AU386" s="5" t="s">
        <v>495</v>
      </c>
    </row>
    <row r="387" spans="1:47" ht="15" customHeight="1" x14ac:dyDescent="0.3">
      <c r="A387" s="7" t="str">
        <f t="shared" si="30"/>
        <v>78_2021</v>
      </c>
      <c r="B387" s="7">
        <v>386</v>
      </c>
      <c r="C387" s="7">
        <f>'Panel Data (Long Format)'!B387</f>
        <v>78</v>
      </c>
      <c r="D387" s="7" t="str">
        <f>'Panel Data (Long Format)'!C387</f>
        <v>MECURE</v>
      </c>
      <c r="E387" s="8" t="str">
        <f>'Panel Data (Long Format)'!D387</f>
        <v>Mecure Industries Plc</v>
      </c>
      <c r="F387" s="7" t="str">
        <f>'Panel Data (Long Format)'!E387</f>
        <v>HEALTHCARE</v>
      </c>
      <c r="G387" s="7">
        <f>'Panel Data (Long Format)'!F387</f>
        <v>2021</v>
      </c>
      <c r="H387" s="9"/>
      <c r="I387" s="9"/>
      <c r="J387" s="9"/>
      <c r="K387" s="9"/>
      <c r="L387" s="9"/>
      <c r="M387" s="9"/>
      <c r="N387" s="9"/>
      <c r="O387" s="9"/>
      <c r="P387" s="9"/>
      <c r="Q387" s="9"/>
      <c r="R387" s="9"/>
      <c r="S387" s="9"/>
      <c r="T387" s="9"/>
      <c r="U387" s="9"/>
      <c r="V387" s="9"/>
      <c r="W387" s="9"/>
      <c r="X387" s="9"/>
      <c r="Y387" s="9"/>
      <c r="Z387" s="9"/>
      <c r="AA387" s="9"/>
      <c r="AB387" s="10" t="str">
        <f t="shared" si="31"/>
        <v/>
      </c>
      <c r="AC387" s="10" t="str">
        <f t="shared" si="32"/>
        <v/>
      </c>
      <c r="AD387" s="9"/>
      <c r="AE387" s="9"/>
      <c r="AF387" s="9"/>
      <c r="AG387" s="9"/>
      <c r="AH387" s="9"/>
      <c r="AI387" s="9"/>
      <c r="AJ387" s="9"/>
      <c r="AK387" s="9"/>
      <c r="AL387" s="9"/>
      <c r="AM387" s="9"/>
      <c r="AN387" s="9"/>
      <c r="AO387" s="9"/>
      <c r="AP387" s="9"/>
      <c r="AQ387" s="9"/>
      <c r="AR387" s="9"/>
      <c r="AS387" s="10" t="str">
        <f t="shared" si="33"/>
        <v/>
      </c>
      <c r="AT387" s="10" t="str">
        <f t="shared" si="34"/>
        <v/>
      </c>
      <c r="AU387" s="5" t="s">
        <v>496</v>
      </c>
    </row>
    <row r="388" spans="1:47" ht="15" customHeight="1" x14ac:dyDescent="0.3">
      <c r="A388" s="7" t="str">
        <f t="shared" si="30"/>
        <v>78_2022</v>
      </c>
      <c r="B388" s="7">
        <v>387</v>
      </c>
      <c r="C388" s="7">
        <f>'Panel Data (Long Format)'!B388</f>
        <v>78</v>
      </c>
      <c r="D388" s="7" t="str">
        <f>'Panel Data (Long Format)'!C388</f>
        <v>MECURE</v>
      </c>
      <c r="E388" s="8" t="str">
        <f>'Panel Data (Long Format)'!D388</f>
        <v>Mecure Industries Plc</v>
      </c>
      <c r="F388" s="7" t="str">
        <f>'Panel Data (Long Format)'!E388</f>
        <v>HEALTHCARE</v>
      </c>
      <c r="G388" s="7">
        <f>'Panel Data (Long Format)'!F388</f>
        <v>2022</v>
      </c>
      <c r="H388" s="9"/>
      <c r="I388" s="9"/>
      <c r="J388" s="9"/>
      <c r="K388" s="9"/>
      <c r="L388" s="9"/>
      <c r="M388" s="9"/>
      <c r="N388" s="9"/>
      <c r="O388" s="9"/>
      <c r="P388" s="9"/>
      <c r="Q388" s="9"/>
      <c r="R388" s="9"/>
      <c r="S388" s="9"/>
      <c r="T388" s="9"/>
      <c r="U388" s="9"/>
      <c r="V388" s="9"/>
      <c r="W388" s="9"/>
      <c r="X388" s="9"/>
      <c r="Y388" s="9"/>
      <c r="Z388" s="9"/>
      <c r="AA388" s="9"/>
      <c r="AB388" s="10" t="str">
        <f t="shared" si="31"/>
        <v/>
      </c>
      <c r="AC388" s="10" t="str">
        <f t="shared" si="32"/>
        <v/>
      </c>
      <c r="AD388" s="9"/>
      <c r="AE388" s="9"/>
      <c r="AF388" s="9"/>
      <c r="AG388" s="9"/>
      <c r="AH388" s="9"/>
      <c r="AI388" s="9"/>
      <c r="AJ388" s="9"/>
      <c r="AK388" s="9"/>
      <c r="AL388" s="9"/>
      <c r="AM388" s="9"/>
      <c r="AN388" s="9"/>
      <c r="AO388" s="9"/>
      <c r="AP388" s="9"/>
      <c r="AQ388" s="9"/>
      <c r="AR388" s="9"/>
      <c r="AS388" s="10" t="str">
        <f t="shared" si="33"/>
        <v/>
      </c>
      <c r="AT388" s="10" t="str">
        <f t="shared" si="34"/>
        <v/>
      </c>
      <c r="AU388" s="5" t="s">
        <v>496</v>
      </c>
    </row>
    <row r="389" spans="1:47" ht="15" customHeight="1" x14ac:dyDescent="0.3">
      <c r="A389" s="7" t="str">
        <f t="shared" si="30"/>
        <v>78_2023</v>
      </c>
      <c r="B389" s="7">
        <v>388</v>
      </c>
      <c r="C389" s="7">
        <f>'Panel Data (Long Format)'!B389</f>
        <v>78</v>
      </c>
      <c r="D389" s="7" t="str">
        <f>'Panel Data (Long Format)'!C389</f>
        <v>MECURE</v>
      </c>
      <c r="E389" s="8" t="str">
        <f>'Panel Data (Long Format)'!D389</f>
        <v>Mecure Industries Plc</v>
      </c>
      <c r="F389" s="7" t="str">
        <f>'Panel Data (Long Format)'!E389</f>
        <v>HEALTHCARE</v>
      </c>
      <c r="G389" s="7">
        <f>'Panel Data (Long Format)'!F389</f>
        <v>2023</v>
      </c>
      <c r="H389" s="9">
        <v>0</v>
      </c>
      <c r="I389" s="9">
        <v>0</v>
      </c>
      <c r="J389" s="9">
        <v>0</v>
      </c>
      <c r="K389" s="9">
        <v>0</v>
      </c>
      <c r="L389" s="9">
        <v>0</v>
      </c>
      <c r="M389" s="9">
        <v>0</v>
      </c>
      <c r="N389" s="9">
        <v>0</v>
      </c>
      <c r="O389" s="9">
        <v>0</v>
      </c>
      <c r="P389" s="9">
        <v>0</v>
      </c>
      <c r="Q389" s="9">
        <v>0</v>
      </c>
      <c r="R389" s="9">
        <v>0</v>
      </c>
      <c r="S389" s="9">
        <v>0</v>
      </c>
      <c r="T389" s="9">
        <v>0</v>
      </c>
      <c r="U389" s="9">
        <v>0</v>
      </c>
      <c r="V389" s="9">
        <v>0</v>
      </c>
      <c r="W389" s="9">
        <v>0</v>
      </c>
      <c r="X389" s="9">
        <v>0</v>
      </c>
      <c r="Y389" s="9">
        <v>0</v>
      </c>
      <c r="Z389" s="9">
        <v>0</v>
      </c>
      <c r="AA389" s="9">
        <v>0</v>
      </c>
      <c r="AB389" s="10">
        <f t="shared" si="31"/>
        <v>0</v>
      </c>
      <c r="AC389" s="10">
        <f t="shared" si="32"/>
        <v>0</v>
      </c>
      <c r="AD389" s="9">
        <v>0</v>
      </c>
      <c r="AE389" s="9">
        <v>0</v>
      </c>
      <c r="AF389" s="9">
        <v>0</v>
      </c>
      <c r="AG389" s="9">
        <v>0</v>
      </c>
      <c r="AH389" s="9">
        <v>0</v>
      </c>
      <c r="AI389" s="9">
        <v>0</v>
      </c>
      <c r="AJ389" s="9">
        <v>0</v>
      </c>
      <c r="AK389" s="9">
        <v>0</v>
      </c>
      <c r="AL389" s="9">
        <v>0</v>
      </c>
      <c r="AM389" s="9">
        <v>0</v>
      </c>
      <c r="AN389" s="9">
        <v>0</v>
      </c>
      <c r="AO389" s="9">
        <v>0</v>
      </c>
      <c r="AP389" s="9">
        <v>0</v>
      </c>
      <c r="AQ389" s="9">
        <v>0</v>
      </c>
      <c r="AR389" s="9">
        <v>0</v>
      </c>
      <c r="AS389" s="10">
        <f t="shared" si="33"/>
        <v>0</v>
      </c>
      <c r="AT389" s="10">
        <f t="shared" si="34"/>
        <v>0</v>
      </c>
      <c r="AU389" s="5" t="s">
        <v>497</v>
      </c>
    </row>
    <row r="390" spans="1:47" ht="15" customHeight="1" x14ac:dyDescent="0.3">
      <c r="A390" s="7" t="str">
        <f t="shared" si="30"/>
        <v>78_2024</v>
      </c>
      <c r="B390" s="7">
        <v>389</v>
      </c>
      <c r="C390" s="7">
        <f>'Panel Data (Long Format)'!B390</f>
        <v>78</v>
      </c>
      <c r="D390" s="7" t="str">
        <f>'Panel Data (Long Format)'!C390</f>
        <v>MECURE</v>
      </c>
      <c r="E390" s="8" t="str">
        <f>'Panel Data (Long Format)'!D390</f>
        <v>Mecure Industries Plc</v>
      </c>
      <c r="F390" s="7" t="str">
        <f>'Panel Data (Long Format)'!E390</f>
        <v>HEALTHCARE</v>
      </c>
      <c r="G390" s="7">
        <f>'Panel Data (Long Format)'!F390</f>
        <v>2024</v>
      </c>
      <c r="H390" s="9">
        <v>0</v>
      </c>
      <c r="I390" s="9">
        <v>0</v>
      </c>
      <c r="J390" s="9">
        <v>0</v>
      </c>
      <c r="K390" s="9">
        <v>0</v>
      </c>
      <c r="L390" s="9">
        <v>0</v>
      </c>
      <c r="M390" s="9">
        <v>0</v>
      </c>
      <c r="N390" s="9">
        <v>0</v>
      </c>
      <c r="O390" s="9">
        <v>0</v>
      </c>
      <c r="P390" s="9">
        <v>0</v>
      </c>
      <c r="Q390" s="9">
        <v>0</v>
      </c>
      <c r="R390" s="9">
        <v>0</v>
      </c>
      <c r="S390" s="9">
        <v>0</v>
      </c>
      <c r="T390" s="9">
        <v>0</v>
      </c>
      <c r="U390" s="9">
        <v>0</v>
      </c>
      <c r="V390" s="9">
        <v>0</v>
      </c>
      <c r="W390" s="9">
        <v>0</v>
      </c>
      <c r="X390" s="9">
        <v>0</v>
      </c>
      <c r="Y390" s="9">
        <v>0</v>
      </c>
      <c r="Z390" s="9">
        <v>0</v>
      </c>
      <c r="AA390" s="9">
        <v>0</v>
      </c>
      <c r="AB390" s="10">
        <f t="shared" si="31"/>
        <v>0</v>
      </c>
      <c r="AC390" s="10">
        <f t="shared" si="32"/>
        <v>0</v>
      </c>
      <c r="AD390" s="9">
        <v>0</v>
      </c>
      <c r="AE390" s="9">
        <v>0</v>
      </c>
      <c r="AF390" s="9">
        <v>0</v>
      </c>
      <c r="AG390" s="9">
        <v>0</v>
      </c>
      <c r="AH390" s="9">
        <v>0</v>
      </c>
      <c r="AI390" s="9">
        <v>0</v>
      </c>
      <c r="AJ390" s="9">
        <v>0</v>
      </c>
      <c r="AK390" s="9">
        <v>0</v>
      </c>
      <c r="AL390" s="9">
        <v>0</v>
      </c>
      <c r="AM390" s="9">
        <v>0</v>
      </c>
      <c r="AN390" s="9">
        <v>0</v>
      </c>
      <c r="AO390" s="9">
        <v>0</v>
      </c>
      <c r="AP390" s="9">
        <v>0</v>
      </c>
      <c r="AQ390" s="9">
        <v>0</v>
      </c>
      <c r="AR390" s="9">
        <v>0</v>
      </c>
      <c r="AS390" s="10">
        <f t="shared" si="33"/>
        <v>0</v>
      </c>
      <c r="AT390" s="10">
        <f t="shared" si="34"/>
        <v>0</v>
      </c>
      <c r="AU390" s="5" t="s">
        <v>497</v>
      </c>
    </row>
    <row r="391" spans="1:47" ht="15" customHeight="1" x14ac:dyDescent="0.3">
      <c r="A391" s="7" t="str">
        <f t="shared" si="30"/>
        <v>78_2025</v>
      </c>
      <c r="B391" s="7">
        <v>390</v>
      </c>
      <c r="C391" s="7">
        <f>'Panel Data (Long Format)'!B391</f>
        <v>78</v>
      </c>
      <c r="D391" s="7" t="str">
        <f>'Panel Data (Long Format)'!C391</f>
        <v>MECURE</v>
      </c>
      <c r="E391" s="8" t="str">
        <f>'Panel Data (Long Format)'!D391</f>
        <v>Mecure Industries Plc</v>
      </c>
      <c r="F391" s="7" t="str">
        <f>'Panel Data (Long Format)'!E391</f>
        <v>HEALTHCARE</v>
      </c>
      <c r="G391" s="7">
        <f>'Panel Data (Long Format)'!F391</f>
        <v>2025</v>
      </c>
      <c r="H391" s="9">
        <v>0</v>
      </c>
      <c r="I391" s="9">
        <v>0</v>
      </c>
      <c r="J391" s="9">
        <v>0</v>
      </c>
      <c r="K391" s="9">
        <v>0</v>
      </c>
      <c r="L391" s="9">
        <v>0</v>
      </c>
      <c r="M391" s="9">
        <v>0</v>
      </c>
      <c r="N391" s="9">
        <v>0</v>
      </c>
      <c r="O391" s="9">
        <v>0</v>
      </c>
      <c r="P391" s="9">
        <v>0</v>
      </c>
      <c r="Q391" s="9">
        <v>0</v>
      </c>
      <c r="R391" s="9">
        <v>0</v>
      </c>
      <c r="S391" s="9">
        <v>0</v>
      </c>
      <c r="T391" s="9">
        <v>0</v>
      </c>
      <c r="U391" s="9">
        <v>0</v>
      </c>
      <c r="V391" s="9">
        <v>0</v>
      </c>
      <c r="W391" s="9">
        <v>0</v>
      </c>
      <c r="X391" s="9">
        <v>0</v>
      </c>
      <c r="Y391" s="9">
        <v>0</v>
      </c>
      <c r="Z391" s="9">
        <v>0</v>
      </c>
      <c r="AA391" s="9">
        <v>0</v>
      </c>
      <c r="AB391" s="10">
        <f t="shared" si="31"/>
        <v>0</v>
      </c>
      <c r="AC391" s="10">
        <f t="shared" si="32"/>
        <v>0</v>
      </c>
      <c r="AD391" s="9">
        <v>0</v>
      </c>
      <c r="AE391" s="9">
        <v>0</v>
      </c>
      <c r="AF391" s="9">
        <v>0</v>
      </c>
      <c r="AG391" s="9">
        <v>0</v>
      </c>
      <c r="AH391" s="9">
        <v>0</v>
      </c>
      <c r="AI391" s="9">
        <v>0</v>
      </c>
      <c r="AJ391" s="9">
        <v>0</v>
      </c>
      <c r="AK391" s="9">
        <v>0</v>
      </c>
      <c r="AL391" s="9">
        <v>0</v>
      </c>
      <c r="AM391" s="9">
        <v>0</v>
      </c>
      <c r="AN391" s="9">
        <v>0</v>
      </c>
      <c r="AO391" s="9">
        <v>0</v>
      </c>
      <c r="AP391" s="9">
        <v>0</v>
      </c>
      <c r="AQ391" s="9">
        <v>0</v>
      </c>
      <c r="AR391" s="9">
        <v>0</v>
      </c>
      <c r="AS391" s="10">
        <f t="shared" si="33"/>
        <v>0</v>
      </c>
      <c r="AT391" s="10">
        <f t="shared" si="34"/>
        <v>0</v>
      </c>
      <c r="AU391" s="5" t="s">
        <v>497</v>
      </c>
    </row>
    <row r="392" spans="1:47" ht="15" customHeight="1" x14ac:dyDescent="0.3">
      <c r="A392" s="7" t="str">
        <f t="shared" si="30"/>
        <v>79_2021</v>
      </c>
      <c r="B392" s="7">
        <v>391</v>
      </c>
      <c r="C392" s="7">
        <f>'Panel Data (Long Format)'!B392</f>
        <v>79</v>
      </c>
      <c r="D392" s="7" t="str">
        <f>'Panel Data (Long Format)'!C392</f>
        <v>MEYER</v>
      </c>
      <c r="E392" s="8" t="str">
        <f>'Panel Data (Long Format)'!D392</f>
        <v>Meyer Plc</v>
      </c>
      <c r="F392" s="7" t="str">
        <f>'Panel Data (Long Format)'!E392</f>
        <v>INDUSTRIAL GOODS</v>
      </c>
      <c r="G392" s="7">
        <f>'Panel Data (Long Format)'!F392</f>
        <v>2021</v>
      </c>
      <c r="H392" s="9">
        <v>0</v>
      </c>
      <c r="I392" s="9">
        <v>0</v>
      </c>
      <c r="J392" s="9">
        <v>0</v>
      </c>
      <c r="K392" s="9">
        <v>0</v>
      </c>
      <c r="L392" s="9">
        <v>0</v>
      </c>
      <c r="M392" s="9">
        <v>0</v>
      </c>
      <c r="N392" s="9">
        <v>0</v>
      </c>
      <c r="O392" s="9">
        <v>0</v>
      </c>
      <c r="P392" s="9">
        <v>0</v>
      </c>
      <c r="Q392" s="9">
        <v>0</v>
      </c>
      <c r="R392" s="9">
        <v>0</v>
      </c>
      <c r="S392" s="9">
        <v>0</v>
      </c>
      <c r="T392" s="9">
        <v>0</v>
      </c>
      <c r="U392" s="9">
        <v>0</v>
      </c>
      <c r="V392" s="9">
        <v>0</v>
      </c>
      <c r="W392" s="9">
        <v>0</v>
      </c>
      <c r="X392" s="9">
        <v>0</v>
      </c>
      <c r="Y392" s="9">
        <v>0</v>
      </c>
      <c r="Z392" s="9">
        <v>0</v>
      </c>
      <c r="AA392" s="9">
        <v>0</v>
      </c>
      <c r="AB392" s="10">
        <f t="shared" si="31"/>
        <v>0</v>
      </c>
      <c r="AC392" s="10">
        <f t="shared" si="32"/>
        <v>0</v>
      </c>
      <c r="AD392" s="9">
        <v>0</v>
      </c>
      <c r="AE392" s="9">
        <v>0</v>
      </c>
      <c r="AF392" s="9">
        <v>0</v>
      </c>
      <c r="AG392" s="9">
        <v>0</v>
      </c>
      <c r="AH392" s="9">
        <v>0</v>
      </c>
      <c r="AI392" s="9">
        <v>0</v>
      </c>
      <c r="AJ392" s="9">
        <v>0</v>
      </c>
      <c r="AK392" s="9">
        <v>0</v>
      </c>
      <c r="AL392" s="9">
        <v>0</v>
      </c>
      <c r="AM392" s="9">
        <v>0</v>
      </c>
      <c r="AN392" s="9">
        <v>0</v>
      </c>
      <c r="AO392" s="9">
        <v>0</v>
      </c>
      <c r="AP392" s="9">
        <v>0</v>
      </c>
      <c r="AQ392" s="9">
        <v>0</v>
      </c>
      <c r="AR392" s="9">
        <v>0</v>
      </c>
      <c r="AS392" s="10">
        <f t="shared" si="33"/>
        <v>0</v>
      </c>
      <c r="AT392" s="10">
        <f t="shared" si="34"/>
        <v>0</v>
      </c>
      <c r="AU392" s="5" t="s">
        <v>498</v>
      </c>
    </row>
    <row r="393" spans="1:47" ht="15" customHeight="1" x14ac:dyDescent="0.3">
      <c r="A393" s="7" t="str">
        <f t="shared" si="30"/>
        <v>79_2022</v>
      </c>
      <c r="B393" s="7">
        <v>392</v>
      </c>
      <c r="C393" s="7">
        <f>'Panel Data (Long Format)'!B393</f>
        <v>79</v>
      </c>
      <c r="D393" s="7" t="str">
        <f>'Panel Data (Long Format)'!C393</f>
        <v>MEYER</v>
      </c>
      <c r="E393" s="8" t="str">
        <f>'Panel Data (Long Format)'!D393</f>
        <v>Meyer Plc</v>
      </c>
      <c r="F393" s="7" t="str">
        <f>'Panel Data (Long Format)'!E393</f>
        <v>INDUSTRIAL GOODS</v>
      </c>
      <c r="G393" s="7">
        <f>'Panel Data (Long Format)'!F393</f>
        <v>2022</v>
      </c>
      <c r="H393" s="9">
        <v>0</v>
      </c>
      <c r="I393" s="9">
        <v>0</v>
      </c>
      <c r="J393" s="9">
        <v>0</v>
      </c>
      <c r="K393" s="9">
        <v>0</v>
      </c>
      <c r="L393" s="9">
        <v>0</v>
      </c>
      <c r="M393" s="9">
        <v>0</v>
      </c>
      <c r="N393" s="9">
        <v>0</v>
      </c>
      <c r="O393" s="9">
        <v>0</v>
      </c>
      <c r="P393" s="9">
        <v>0</v>
      </c>
      <c r="Q393" s="9">
        <v>0</v>
      </c>
      <c r="R393" s="9">
        <v>0</v>
      </c>
      <c r="S393" s="9">
        <v>0</v>
      </c>
      <c r="T393" s="9">
        <v>0</v>
      </c>
      <c r="U393" s="9">
        <v>0</v>
      </c>
      <c r="V393" s="9">
        <v>0</v>
      </c>
      <c r="W393" s="9">
        <v>0</v>
      </c>
      <c r="X393" s="9">
        <v>0</v>
      </c>
      <c r="Y393" s="9">
        <v>0</v>
      </c>
      <c r="Z393" s="9">
        <v>0</v>
      </c>
      <c r="AA393" s="9">
        <v>0</v>
      </c>
      <c r="AB393" s="10">
        <f t="shared" si="31"/>
        <v>0</v>
      </c>
      <c r="AC393" s="10">
        <f t="shared" si="32"/>
        <v>0</v>
      </c>
      <c r="AD393" s="9">
        <v>0</v>
      </c>
      <c r="AE393" s="9">
        <v>0</v>
      </c>
      <c r="AF393" s="9">
        <v>0</v>
      </c>
      <c r="AG393" s="9">
        <v>0</v>
      </c>
      <c r="AH393" s="9">
        <v>0</v>
      </c>
      <c r="AI393" s="9">
        <v>0</v>
      </c>
      <c r="AJ393" s="9">
        <v>0</v>
      </c>
      <c r="AK393" s="9">
        <v>0</v>
      </c>
      <c r="AL393" s="9">
        <v>0</v>
      </c>
      <c r="AM393" s="9">
        <v>0</v>
      </c>
      <c r="AN393" s="9">
        <v>0</v>
      </c>
      <c r="AO393" s="9">
        <v>0</v>
      </c>
      <c r="AP393" s="9">
        <v>0</v>
      </c>
      <c r="AQ393" s="9">
        <v>0</v>
      </c>
      <c r="AR393" s="9">
        <v>0</v>
      </c>
      <c r="AS393" s="10">
        <f t="shared" si="33"/>
        <v>0</v>
      </c>
      <c r="AT393" s="10">
        <f t="shared" si="34"/>
        <v>0</v>
      </c>
      <c r="AU393" s="5" t="s">
        <v>498</v>
      </c>
    </row>
    <row r="394" spans="1:47" ht="15" customHeight="1" x14ac:dyDescent="0.3">
      <c r="A394" s="7" t="str">
        <f t="shared" si="30"/>
        <v>79_2023</v>
      </c>
      <c r="B394" s="7">
        <v>393</v>
      </c>
      <c r="C394" s="7">
        <f>'Panel Data (Long Format)'!B394</f>
        <v>79</v>
      </c>
      <c r="D394" s="7" t="str">
        <f>'Panel Data (Long Format)'!C394</f>
        <v>MEYER</v>
      </c>
      <c r="E394" s="8" t="str">
        <f>'Panel Data (Long Format)'!D394</f>
        <v>Meyer Plc</v>
      </c>
      <c r="F394" s="7" t="str">
        <f>'Panel Data (Long Format)'!E394</f>
        <v>INDUSTRIAL GOODS</v>
      </c>
      <c r="G394" s="7">
        <f>'Panel Data (Long Format)'!F394</f>
        <v>2023</v>
      </c>
      <c r="H394" s="9">
        <v>0</v>
      </c>
      <c r="I394" s="9">
        <v>0</v>
      </c>
      <c r="J394" s="9">
        <v>0</v>
      </c>
      <c r="K394" s="9">
        <v>0</v>
      </c>
      <c r="L394" s="9">
        <v>0</v>
      </c>
      <c r="M394" s="9">
        <v>0</v>
      </c>
      <c r="N394" s="9">
        <v>0</v>
      </c>
      <c r="O394" s="9">
        <v>0</v>
      </c>
      <c r="P394" s="9">
        <v>0</v>
      </c>
      <c r="Q394" s="9">
        <v>0</v>
      </c>
      <c r="R394" s="9">
        <v>0</v>
      </c>
      <c r="S394" s="9">
        <v>0</v>
      </c>
      <c r="T394" s="9">
        <v>0</v>
      </c>
      <c r="U394" s="9">
        <v>0</v>
      </c>
      <c r="V394" s="9">
        <v>0</v>
      </c>
      <c r="W394" s="9">
        <v>0</v>
      </c>
      <c r="X394" s="9">
        <v>0</v>
      </c>
      <c r="Y394" s="9">
        <v>0</v>
      </c>
      <c r="Z394" s="9">
        <v>0</v>
      </c>
      <c r="AA394" s="9">
        <v>0</v>
      </c>
      <c r="AB394" s="10">
        <f t="shared" si="31"/>
        <v>0</v>
      </c>
      <c r="AC394" s="10">
        <f t="shared" si="32"/>
        <v>0</v>
      </c>
      <c r="AD394" s="9">
        <v>0</v>
      </c>
      <c r="AE394" s="9">
        <v>0</v>
      </c>
      <c r="AF394" s="9">
        <v>0</v>
      </c>
      <c r="AG394" s="9">
        <v>0</v>
      </c>
      <c r="AH394" s="9">
        <v>0</v>
      </c>
      <c r="AI394" s="9">
        <v>0</v>
      </c>
      <c r="AJ394" s="9">
        <v>0</v>
      </c>
      <c r="AK394" s="9">
        <v>0</v>
      </c>
      <c r="AL394" s="9">
        <v>0</v>
      </c>
      <c r="AM394" s="9">
        <v>0</v>
      </c>
      <c r="AN394" s="9">
        <v>0</v>
      </c>
      <c r="AO394" s="9">
        <v>0</v>
      </c>
      <c r="AP394" s="9">
        <v>0</v>
      </c>
      <c r="AQ394" s="9">
        <v>0</v>
      </c>
      <c r="AR394" s="9">
        <v>0</v>
      </c>
      <c r="AS394" s="10">
        <f t="shared" si="33"/>
        <v>0</v>
      </c>
      <c r="AT394" s="10">
        <f t="shared" si="34"/>
        <v>0</v>
      </c>
      <c r="AU394" s="5" t="s">
        <v>498</v>
      </c>
    </row>
    <row r="395" spans="1:47" ht="15" customHeight="1" x14ac:dyDescent="0.3">
      <c r="A395" s="7" t="str">
        <f t="shared" si="30"/>
        <v>79_2024</v>
      </c>
      <c r="B395" s="7">
        <v>394</v>
      </c>
      <c r="C395" s="7">
        <f>'Panel Data (Long Format)'!B395</f>
        <v>79</v>
      </c>
      <c r="D395" s="7" t="str">
        <f>'Panel Data (Long Format)'!C395</f>
        <v>MEYER</v>
      </c>
      <c r="E395" s="8" t="str">
        <f>'Panel Data (Long Format)'!D395</f>
        <v>Meyer Plc</v>
      </c>
      <c r="F395" s="7" t="str">
        <f>'Panel Data (Long Format)'!E395</f>
        <v>INDUSTRIAL GOODS</v>
      </c>
      <c r="G395" s="7">
        <f>'Panel Data (Long Format)'!F395</f>
        <v>2024</v>
      </c>
      <c r="H395" s="9">
        <v>0</v>
      </c>
      <c r="I395" s="9">
        <v>0</v>
      </c>
      <c r="J395" s="9">
        <v>0</v>
      </c>
      <c r="K395" s="9">
        <v>0</v>
      </c>
      <c r="L395" s="9">
        <v>0</v>
      </c>
      <c r="M395" s="9">
        <v>0</v>
      </c>
      <c r="N395" s="9">
        <v>0</v>
      </c>
      <c r="O395" s="9">
        <v>0</v>
      </c>
      <c r="P395" s="9">
        <v>0</v>
      </c>
      <c r="Q395" s="9">
        <v>0</v>
      </c>
      <c r="R395" s="9">
        <v>0</v>
      </c>
      <c r="S395" s="9">
        <v>0</v>
      </c>
      <c r="T395" s="9">
        <v>0</v>
      </c>
      <c r="U395" s="9">
        <v>0</v>
      </c>
      <c r="V395" s="9">
        <v>0</v>
      </c>
      <c r="W395" s="9">
        <v>0</v>
      </c>
      <c r="X395" s="9">
        <v>0</v>
      </c>
      <c r="Y395" s="9">
        <v>0</v>
      </c>
      <c r="Z395" s="9">
        <v>0</v>
      </c>
      <c r="AA395" s="9">
        <v>0</v>
      </c>
      <c r="AB395" s="10">
        <f t="shared" si="31"/>
        <v>0</v>
      </c>
      <c r="AC395" s="10">
        <f t="shared" si="32"/>
        <v>0</v>
      </c>
      <c r="AD395" s="9">
        <v>0</v>
      </c>
      <c r="AE395" s="9">
        <v>0</v>
      </c>
      <c r="AF395" s="9">
        <v>0</v>
      </c>
      <c r="AG395" s="9">
        <v>0</v>
      </c>
      <c r="AH395" s="9">
        <v>0</v>
      </c>
      <c r="AI395" s="9">
        <v>0</v>
      </c>
      <c r="AJ395" s="9">
        <v>0</v>
      </c>
      <c r="AK395" s="9">
        <v>0</v>
      </c>
      <c r="AL395" s="9">
        <v>0</v>
      </c>
      <c r="AM395" s="9">
        <v>0</v>
      </c>
      <c r="AN395" s="9">
        <v>0</v>
      </c>
      <c r="AO395" s="9">
        <v>0</v>
      </c>
      <c r="AP395" s="9">
        <v>0</v>
      </c>
      <c r="AQ395" s="9">
        <v>0</v>
      </c>
      <c r="AR395" s="9">
        <v>0</v>
      </c>
      <c r="AS395" s="10">
        <f t="shared" si="33"/>
        <v>0</v>
      </c>
      <c r="AT395" s="10">
        <f t="shared" si="34"/>
        <v>0</v>
      </c>
      <c r="AU395" s="5" t="s">
        <v>498</v>
      </c>
    </row>
    <row r="396" spans="1:47" ht="15" customHeight="1" x14ac:dyDescent="0.3">
      <c r="A396" s="7" t="str">
        <f t="shared" si="30"/>
        <v>79_2025</v>
      </c>
      <c r="B396" s="7">
        <v>395</v>
      </c>
      <c r="C396" s="7">
        <f>'Panel Data (Long Format)'!B396</f>
        <v>79</v>
      </c>
      <c r="D396" s="7" t="str">
        <f>'Panel Data (Long Format)'!C396</f>
        <v>MEYER</v>
      </c>
      <c r="E396" s="8" t="str">
        <f>'Panel Data (Long Format)'!D396</f>
        <v>Meyer Plc</v>
      </c>
      <c r="F396" s="7" t="str">
        <f>'Panel Data (Long Format)'!E396</f>
        <v>INDUSTRIAL GOODS</v>
      </c>
      <c r="G396" s="7">
        <f>'Panel Data (Long Format)'!F396</f>
        <v>2025</v>
      </c>
      <c r="H396" s="9">
        <v>0</v>
      </c>
      <c r="I396" s="9">
        <v>0</v>
      </c>
      <c r="J396" s="9">
        <v>0</v>
      </c>
      <c r="K396" s="9">
        <v>0</v>
      </c>
      <c r="L396" s="9">
        <v>0</v>
      </c>
      <c r="M396" s="9">
        <v>0</v>
      </c>
      <c r="N396" s="9">
        <v>0</v>
      </c>
      <c r="O396" s="9">
        <v>0</v>
      </c>
      <c r="P396" s="9">
        <v>0</v>
      </c>
      <c r="Q396" s="9">
        <v>0</v>
      </c>
      <c r="R396" s="9">
        <v>0</v>
      </c>
      <c r="S396" s="9">
        <v>0</v>
      </c>
      <c r="T396" s="9">
        <v>0</v>
      </c>
      <c r="U396" s="9">
        <v>0</v>
      </c>
      <c r="V396" s="9">
        <v>0</v>
      </c>
      <c r="W396" s="9">
        <v>0</v>
      </c>
      <c r="X396" s="9">
        <v>0</v>
      </c>
      <c r="Y396" s="9">
        <v>0</v>
      </c>
      <c r="Z396" s="9">
        <v>0</v>
      </c>
      <c r="AA396" s="9">
        <v>0</v>
      </c>
      <c r="AB396" s="10">
        <f t="shared" si="31"/>
        <v>0</v>
      </c>
      <c r="AC396" s="10">
        <f t="shared" si="32"/>
        <v>0</v>
      </c>
      <c r="AD396" s="9">
        <v>0</v>
      </c>
      <c r="AE396" s="9">
        <v>0</v>
      </c>
      <c r="AF396" s="9">
        <v>0</v>
      </c>
      <c r="AG396" s="9">
        <v>0</v>
      </c>
      <c r="AH396" s="9">
        <v>0</v>
      </c>
      <c r="AI396" s="9">
        <v>0</v>
      </c>
      <c r="AJ396" s="9">
        <v>0</v>
      </c>
      <c r="AK396" s="9">
        <v>0</v>
      </c>
      <c r="AL396" s="9">
        <v>0</v>
      </c>
      <c r="AM396" s="9">
        <v>0</v>
      </c>
      <c r="AN396" s="9">
        <v>0</v>
      </c>
      <c r="AO396" s="9">
        <v>0</v>
      </c>
      <c r="AP396" s="9">
        <v>0</v>
      </c>
      <c r="AQ396" s="9">
        <v>0</v>
      </c>
      <c r="AR396" s="9">
        <v>0</v>
      </c>
      <c r="AS396" s="10">
        <f t="shared" si="33"/>
        <v>0</v>
      </c>
      <c r="AT396" s="10">
        <f t="shared" si="34"/>
        <v>0</v>
      </c>
      <c r="AU396" s="5" t="s">
        <v>498</v>
      </c>
    </row>
    <row r="397" spans="1:47" ht="15" customHeight="1" x14ac:dyDescent="0.3">
      <c r="A397" s="7" t="str">
        <f t="shared" si="30"/>
        <v>80_2021</v>
      </c>
      <c r="B397" s="7">
        <v>396</v>
      </c>
      <c r="C397" s="7">
        <f>'Panel Data (Long Format)'!B397</f>
        <v>80</v>
      </c>
      <c r="D397" s="7" t="str">
        <f>'Panel Data (Long Format)'!C397</f>
        <v>MOFIREIF</v>
      </c>
      <c r="E397" s="8" t="str">
        <f>'Panel Data (Long Format)'!D397</f>
        <v>Moove Fire REIT</v>
      </c>
      <c r="F397" s="7" t="str">
        <f>'Panel Data (Long Format)'!E397</f>
        <v>CONSTRUCTION/REAL ESTATE</v>
      </c>
      <c r="G397" s="7">
        <f>'Panel Data (Long Format)'!F397</f>
        <v>2021</v>
      </c>
      <c r="H397" s="9"/>
      <c r="I397" s="9"/>
      <c r="J397" s="9"/>
      <c r="K397" s="9"/>
      <c r="L397" s="9"/>
      <c r="M397" s="9"/>
      <c r="N397" s="9"/>
      <c r="O397" s="9"/>
      <c r="P397" s="9"/>
      <c r="Q397" s="9"/>
      <c r="R397" s="9"/>
      <c r="S397" s="9"/>
      <c r="T397" s="9"/>
      <c r="U397" s="9"/>
      <c r="V397" s="9"/>
      <c r="W397" s="9"/>
      <c r="X397" s="9"/>
      <c r="Y397" s="9"/>
      <c r="Z397" s="9"/>
      <c r="AA397" s="9"/>
      <c r="AB397" s="10" t="str">
        <f t="shared" si="31"/>
        <v/>
      </c>
      <c r="AC397" s="10" t="str">
        <f t="shared" si="32"/>
        <v/>
      </c>
      <c r="AD397" s="9"/>
      <c r="AE397" s="9"/>
      <c r="AF397" s="9"/>
      <c r="AG397" s="9"/>
      <c r="AH397" s="9"/>
      <c r="AI397" s="9"/>
      <c r="AJ397" s="9"/>
      <c r="AK397" s="9"/>
      <c r="AL397" s="9"/>
      <c r="AM397" s="9"/>
      <c r="AN397" s="9"/>
      <c r="AO397" s="9"/>
      <c r="AP397" s="9"/>
      <c r="AQ397" s="9"/>
      <c r="AR397" s="9"/>
      <c r="AS397" s="10" t="str">
        <f t="shared" si="33"/>
        <v/>
      </c>
      <c r="AT397" s="10" t="str">
        <f t="shared" si="34"/>
        <v/>
      </c>
      <c r="AU397" s="5" t="s">
        <v>499</v>
      </c>
    </row>
    <row r="398" spans="1:47" ht="15" customHeight="1" x14ac:dyDescent="0.3">
      <c r="A398" s="7" t="str">
        <f t="shared" si="30"/>
        <v>80_2022</v>
      </c>
      <c r="B398" s="7">
        <v>397</v>
      </c>
      <c r="C398" s="7">
        <f>'Panel Data (Long Format)'!B398</f>
        <v>80</v>
      </c>
      <c r="D398" s="7" t="str">
        <f>'Panel Data (Long Format)'!C398</f>
        <v>MOFIREIF</v>
      </c>
      <c r="E398" s="8" t="str">
        <f>'Panel Data (Long Format)'!D398</f>
        <v>Moove Fire REIT</v>
      </c>
      <c r="F398" s="7" t="str">
        <f>'Panel Data (Long Format)'!E398</f>
        <v>CONSTRUCTION/REAL ESTATE</v>
      </c>
      <c r="G398" s="7">
        <f>'Panel Data (Long Format)'!F398</f>
        <v>2022</v>
      </c>
      <c r="H398" s="9"/>
      <c r="I398" s="9"/>
      <c r="J398" s="9"/>
      <c r="K398" s="9"/>
      <c r="L398" s="9"/>
      <c r="M398" s="9"/>
      <c r="N398" s="9"/>
      <c r="O398" s="9"/>
      <c r="P398" s="9"/>
      <c r="Q398" s="9"/>
      <c r="R398" s="9"/>
      <c r="S398" s="9"/>
      <c r="T398" s="9"/>
      <c r="U398" s="9"/>
      <c r="V398" s="9"/>
      <c r="W398" s="9"/>
      <c r="X398" s="9"/>
      <c r="Y398" s="9"/>
      <c r="Z398" s="9"/>
      <c r="AA398" s="9"/>
      <c r="AB398" s="10" t="str">
        <f t="shared" si="31"/>
        <v/>
      </c>
      <c r="AC398" s="10" t="str">
        <f t="shared" si="32"/>
        <v/>
      </c>
      <c r="AD398" s="9"/>
      <c r="AE398" s="9"/>
      <c r="AF398" s="9"/>
      <c r="AG398" s="9"/>
      <c r="AH398" s="9"/>
      <c r="AI398" s="9"/>
      <c r="AJ398" s="9"/>
      <c r="AK398" s="9"/>
      <c r="AL398" s="9"/>
      <c r="AM398" s="9"/>
      <c r="AN398" s="9"/>
      <c r="AO398" s="9"/>
      <c r="AP398" s="9"/>
      <c r="AQ398" s="9"/>
      <c r="AR398" s="9"/>
      <c r="AS398" s="10" t="str">
        <f t="shared" si="33"/>
        <v/>
      </c>
      <c r="AT398" s="10" t="str">
        <f t="shared" si="34"/>
        <v/>
      </c>
      <c r="AU398" s="5" t="s">
        <v>499</v>
      </c>
    </row>
    <row r="399" spans="1:47" ht="15" customHeight="1" x14ac:dyDescent="0.3">
      <c r="A399" s="7" t="str">
        <f t="shared" si="30"/>
        <v>80_2023</v>
      </c>
      <c r="B399" s="7">
        <v>398</v>
      </c>
      <c r="C399" s="7">
        <f>'Panel Data (Long Format)'!B399</f>
        <v>80</v>
      </c>
      <c r="D399" s="7" t="str">
        <f>'Panel Data (Long Format)'!C399</f>
        <v>MOFIREIF</v>
      </c>
      <c r="E399" s="8" t="str">
        <f>'Panel Data (Long Format)'!D399</f>
        <v>Moove Fire REIT</v>
      </c>
      <c r="F399" s="7" t="str">
        <f>'Panel Data (Long Format)'!E399</f>
        <v>CONSTRUCTION/REAL ESTATE</v>
      </c>
      <c r="G399" s="7">
        <f>'Panel Data (Long Format)'!F399</f>
        <v>2023</v>
      </c>
      <c r="H399" s="9"/>
      <c r="I399" s="9"/>
      <c r="J399" s="9"/>
      <c r="K399" s="9"/>
      <c r="L399" s="9"/>
      <c r="M399" s="9"/>
      <c r="N399" s="9"/>
      <c r="O399" s="9"/>
      <c r="P399" s="9"/>
      <c r="Q399" s="9"/>
      <c r="R399" s="9"/>
      <c r="S399" s="9"/>
      <c r="T399" s="9"/>
      <c r="U399" s="9"/>
      <c r="V399" s="9"/>
      <c r="W399" s="9"/>
      <c r="X399" s="9"/>
      <c r="Y399" s="9"/>
      <c r="Z399" s="9"/>
      <c r="AA399" s="9"/>
      <c r="AB399" s="10" t="str">
        <f t="shared" si="31"/>
        <v/>
      </c>
      <c r="AC399" s="10" t="str">
        <f t="shared" si="32"/>
        <v/>
      </c>
      <c r="AD399" s="9"/>
      <c r="AE399" s="9"/>
      <c r="AF399" s="9"/>
      <c r="AG399" s="9"/>
      <c r="AH399" s="9"/>
      <c r="AI399" s="9"/>
      <c r="AJ399" s="9"/>
      <c r="AK399" s="9"/>
      <c r="AL399" s="9"/>
      <c r="AM399" s="9"/>
      <c r="AN399" s="9"/>
      <c r="AO399" s="9"/>
      <c r="AP399" s="9"/>
      <c r="AQ399" s="9"/>
      <c r="AR399" s="9"/>
      <c r="AS399" s="10" t="str">
        <f t="shared" si="33"/>
        <v/>
      </c>
      <c r="AT399" s="10" t="str">
        <f t="shared" si="34"/>
        <v/>
      </c>
      <c r="AU399" s="5" t="s">
        <v>499</v>
      </c>
    </row>
    <row r="400" spans="1:47" ht="15" customHeight="1" x14ac:dyDescent="0.3">
      <c r="A400" s="7" t="str">
        <f t="shared" si="30"/>
        <v>80_2024</v>
      </c>
      <c r="B400" s="7">
        <v>399</v>
      </c>
      <c r="C400" s="7">
        <f>'Panel Data (Long Format)'!B400</f>
        <v>80</v>
      </c>
      <c r="D400" s="7" t="str">
        <f>'Panel Data (Long Format)'!C400</f>
        <v>MOFIREIF</v>
      </c>
      <c r="E400" s="8" t="str">
        <f>'Panel Data (Long Format)'!D400</f>
        <v>Moove Fire REIT</v>
      </c>
      <c r="F400" s="7" t="str">
        <f>'Panel Data (Long Format)'!E400</f>
        <v>CONSTRUCTION/REAL ESTATE</v>
      </c>
      <c r="G400" s="7">
        <f>'Panel Data (Long Format)'!F400</f>
        <v>2024</v>
      </c>
      <c r="H400" s="9"/>
      <c r="I400" s="9"/>
      <c r="J400" s="9"/>
      <c r="K400" s="9"/>
      <c r="L400" s="9"/>
      <c r="M400" s="9"/>
      <c r="N400" s="9"/>
      <c r="O400" s="9"/>
      <c r="P400" s="9"/>
      <c r="Q400" s="9"/>
      <c r="R400" s="9"/>
      <c r="S400" s="9"/>
      <c r="T400" s="9"/>
      <c r="U400" s="9"/>
      <c r="V400" s="9"/>
      <c r="W400" s="9"/>
      <c r="X400" s="9"/>
      <c r="Y400" s="9"/>
      <c r="Z400" s="9"/>
      <c r="AA400" s="9"/>
      <c r="AB400" s="10" t="str">
        <f t="shared" si="31"/>
        <v/>
      </c>
      <c r="AC400" s="10" t="str">
        <f t="shared" si="32"/>
        <v/>
      </c>
      <c r="AD400" s="9"/>
      <c r="AE400" s="9"/>
      <c r="AF400" s="9"/>
      <c r="AG400" s="9"/>
      <c r="AH400" s="9"/>
      <c r="AI400" s="9"/>
      <c r="AJ400" s="9"/>
      <c r="AK400" s="9"/>
      <c r="AL400" s="9"/>
      <c r="AM400" s="9"/>
      <c r="AN400" s="9"/>
      <c r="AO400" s="9"/>
      <c r="AP400" s="9"/>
      <c r="AQ400" s="9"/>
      <c r="AR400" s="9"/>
      <c r="AS400" s="10" t="str">
        <f t="shared" si="33"/>
        <v/>
      </c>
      <c r="AT400" s="10" t="str">
        <f t="shared" si="34"/>
        <v/>
      </c>
      <c r="AU400" s="5" t="s">
        <v>499</v>
      </c>
    </row>
    <row r="401" spans="1:47" ht="15" customHeight="1" x14ac:dyDescent="0.3">
      <c r="A401" s="7" t="str">
        <f t="shared" si="30"/>
        <v>80_2025</v>
      </c>
      <c r="B401" s="7">
        <v>400</v>
      </c>
      <c r="C401" s="7">
        <f>'Panel Data (Long Format)'!B401</f>
        <v>80</v>
      </c>
      <c r="D401" s="7" t="str">
        <f>'Panel Data (Long Format)'!C401</f>
        <v>MOFIREIF</v>
      </c>
      <c r="E401" s="8" t="str">
        <f>'Panel Data (Long Format)'!D401</f>
        <v>Moove Fire REIT</v>
      </c>
      <c r="F401" s="7" t="str">
        <f>'Panel Data (Long Format)'!E401</f>
        <v>CONSTRUCTION/REAL ESTATE</v>
      </c>
      <c r="G401" s="7">
        <f>'Panel Data (Long Format)'!F401</f>
        <v>2025</v>
      </c>
      <c r="H401" s="9">
        <v>0</v>
      </c>
      <c r="I401" s="9">
        <v>0</v>
      </c>
      <c r="J401" s="9">
        <v>0</v>
      </c>
      <c r="K401" s="9">
        <v>0</v>
      </c>
      <c r="L401" s="9">
        <v>0</v>
      </c>
      <c r="M401" s="9">
        <v>0</v>
      </c>
      <c r="N401" s="9">
        <v>0</v>
      </c>
      <c r="O401" s="9">
        <v>0</v>
      </c>
      <c r="P401" s="9">
        <v>0</v>
      </c>
      <c r="Q401" s="9">
        <v>0</v>
      </c>
      <c r="R401" s="9">
        <v>0</v>
      </c>
      <c r="S401" s="9">
        <v>0</v>
      </c>
      <c r="T401" s="9">
        <v>0</v>
      </c>
      <c r="U401" s="9">
        <v>0</v>
      </c>
      <c r="V401" s="9">
        <v>0</v>
      </c>
      <c r="W401" s="9">
        <v>0</v>
      </c>
      <c r="X401" s="9">
        <v>0</v>
      </c>
      <c r="Y401" s="9">
        <v>0</v>
      </c>
      <c r="Z401" s="9">
        <v>0</v>
      </c>
      <c r="AA401" s="9">
        <v>0</v>
      </c>
      <c r="AB401" s="10">
        <f t="shared" si="31"/>
        <v>0</v>
      </c>
      <c r="AC401" s="10">
        <f t="shared" si="32"/>
        <v>0</v>
      </c>
      <c r="AD401" s="9">
        <v>0</v>
      </c>
      <c r="AE401" s="9">
        <v>0</v>
      </c>
      <c r="AF401" s="9">
        <v>0</v>
      </c>
      <c r="AG401" s="9">
        <v>0</v>
      </c>
      <c r="AH401" s="9">
        <v>0</v>
      </c>
      <c r="AI401" s="9">
        <v>0</v>
      </c>
      <c r="AJ401" s="9">
        <v>0</v>
      </c>
      <c r="AK401" s="9">
        <v>0</v>
      </c>
      <c r="AL401" s="9">
        <v>0</v>
      </c>
      <c r="AM401" s="9">
        <v>0</v>
      </c>
      <c r="AN401" s="9">
        <v>0</v>
      </c>
      <c r="AO401" s="9">
        <v>0</v>
      </c>
      <c r="AP401" s="9">
        <v>0</v>
      </c>
      <c r="AQ401" s="9">
        <v>0</v>
      </c>
      <c r="AR401" s="9">
        <v>0</v>
      </c>
      <c r="AS401" s="10">
        <f t="shared" si="33"/>
        <v>0</v>
      </c>
      <c r="AT401" s="10">
        <f t="shared" si="34"/>
        <v>0</v>
      </c>
      <c r="AU401" s="5" t="s">
        <v>500</v>
      </c>
    </row>
    <row r="402" spans="1:47" ht="15" customHeight="1" x14ac:dyDescent="0.3">
      <c r="A402" s="7" t="str">
        <f t="shared" si="30"/>
        <v>81_2021</v>
      </c>
      <c r="B402" s="7">
        <v>401</v>
      </c>
      <c r="C402" s="7">
        <f>'Panel Data (Long Format)'!B402</f>
        <v>81</v>
      </c>
      <c r="D402" s="7" t="str">
        <f>'Panel Data (Long Format)'!C402</f>
        <v>MORISON</v>
      </c>
      <c r="E402" s="8" t="str">
        <f>'Panel Data (Long Format)'!D402</f>
        <v>Morison Industries Plc</v>
      </c>
      <c r="F402" s="7" t="str">
        <f>'Panel Data (Long Format)'!E402</f>
        <v>HEALTHCARE</v>
      </c>
      <c r="G402" s="7">
        <f>'Panel Data (Long Format)'!F402</f>
        <v>2021</v>
      </c>
      <c r="H402" s="9">
        <v>0</v>
      </c>
      <c r="I402" s="9">
        <v>0</v>
      </c>
      <c r="J402" s="9">
        <v>0</v>
      </c>
      <c r="K402" s="9">
        <v>0</v>
      </c>
      <c r="L402" s="9">
        <v>0</v>
      </c>
      <c r="M402" s="9">
        <v>0</v>
      </c>
      <c r="N402" s="9">
        <v>0</v>
      </c>
      <c r="O402" s="9">
        <v>0</v>
      </c>
      <c r="P402" s="9">
        <v>0</v>
      </c>
      <c r="Q402" s="9">
        <v>0</v>
      </c>
      <c r="R402" s="9">
        <v>0</v>
      </c>
      <c r="S402" s="9">
        <v>0</v>
      </c>
      <c r="T402" s="9">
        <v>0</v>
      </c>
      <c r="U402" s="9">
        <v>0</v>
      </c>
      <c r="V402" s="9">
        <v>0</v>
      </c>
      <c r="W402" s="9">
        <v>0</v>
      </c>
      <c r="X402" s="9">
        <v>0</v>
      </c>
      <c r="Y402" s="9">
        <v>0</v>
      </c>
      <c r="Z402" s="9">
        <v>0</v>
      </c>
      <c r="AA402" s="9">
        <v>0</v>
      </c>
      <c r="AB402" s="10">
        <f t="shared" si="31"/>
        <v>0</v>
      </c>
      <c r="AC402" s="10">
        <f t="shared" si="32"/>
        <v>0</v>
      </c>
      <c r="AD402" s="9">
        <v>0</v>
      </c>
      <c r="AE402" s="9">
        <v>0</v>
      </c>
      <c r="AF402" s="9">
        <v>0</v>
      </c>
      <c r="AG402" s="9">
        <v>0</v>
      </c>
      <c r="AH402" s="9">
        <v>0</v>
      </c>
      <c r="AI402" s="9">
        <v>0</v>
      </c>
      <c r="AJ402" s="9">
        <v>0</v>
      </c>
      <c r="AK402" s="9">
        <v>0</v>
      </c>
      <c r="AL402" s="9">
        <v>0</v>
      </c>
      <c r="AM402" s="9">
        <v>0</v>
      </c>
      <c r="AN402" s="9">
        <v>0</v>
      </c>
      <c r="AO402" s="9">
        <v>0</v>
      </c>
      <c r="AP402" s="9">
        <v>0</v>
      </c>
      <c r="AQ402" s="9">
        <v>0</v>
      </c>
      <c r="AR402" s="9">
        <v>0</v>
      </c>
      <c r="AS402" s="10">
        <f t="shared" si="33"/>
        <v>0</v>
      </c>
      <c r="AT402" s="10">
        <f t="shared" si="34"/>
        <v>0</v>
      </c>
      <c r="AU402" s="5" t="s">
        <v>501</v>
      </c>
    </row>
    <row r="403" spans="1:47" ht="15" customHeight="1" x14ac:dyDescent="0.3">
      <c r="A403" s="7" t="str">
        <f t="shared" si="30"/>
        <v>81_2022</v>
      </c>
      <c r="B403" s="7">
        <v>402</v>
      </c>
      <c r="C403" s="7">
        <f>'Panel Data (Long Format)'!B403</f>
        <v>81</v>
      </c>
      <c r="D403" s="7" t="str">
        <f>'Panel Data (Long Format)'!C403</f>
        <v>MORISON</v>
      </c>
      <c r="E403" s="8" t="str">
        <f>'Panel Data (Long Format)'!D403</f>
        <v>Morison Industries Plc</v>
      </c>
      <c r="F403" s="7" t="str">
        <f>'Panel Data (Long Format)'!E403</f>
        <v>HEALTHCARE</v>
      </c>
      <c r="G403" s="7">
        <f>'Panel Data (Long Format)'!F403</f>
        <v>2022</v>
      </c>
      <c r="H403" s="9">
        <v>0</v>
      </c>
      <c r="I403" s="9">
        <v>0</v>
      </c>
      <c r="J403" s="9">
        <v>0</v>
      </c>
      <c r="K403" s="9">
        <v>0</v>
      </c>
      <c r="L403" s="9">
        <v>0</v>
      </c>
      <c r="M403" s="9">
        <v>0</v>
      </c>
      <c r="N403" s="9">
        <v>0</v>
      </c>
      <c r="O403" s="9">
        <v>0</v>
      </c>
      <c r="P403" s="9">
        <v>0</v>
      </c>
      <c r="Q403" s="9">
        <v>0</v>
      </c>
      <c r="R403" s="9">
        <v>0</v>
      </c>
      <c r="S403" s="9">
        <v>0</v>
      </c>
      <c r="T403" s="9">
        <v>0</v>
      </c>
      <c r="U403" s="9">
        <v>0</v>
      </c>
      <c r="V403" s="9">
        <v>0</v>
      </c>
      <c r="W403" s="9">
        <v>0</v>
      </c>
      <c r="X403" s="9">
        <v>0</v>
      </c>
      <c r="Y403" s="9">
        <v>0</v>
      </c>
      <c r="Z403" s="9">
        <v>0</v>
      </c>
      <c r="AA403" s="9">
        <v>0</v>
      </c>
      <c r="AB403" s="10">
        <f t="shared" si="31"/>
        <v>0</v>
      </c>
      <c r="AC403" s="10">
        <f t="shared" si="32"/>
        <v>0</v>
      </c>
      <c r="AD403" s="9">
        <v>0</v>
      </c>
      <c r="AE403" s="9">
        <v>0</v>
      </c>
      <c r="AF403" s="9">
        <v>0</v>
      </c>
      <c r="AG403" s="9">
        <v>0</v>
      </c>
      <c r="AH403" s="9">
        <v>0</v>
      </c>
      <c r="AI403" s="9">
        <v>0</v>
      </c>
      <c r="AJ403" s="9">
        <v>0</v>
      </c>
      <c r="AK403" s="9">
        <v>0</v>
      </c>
      <c r="AL403" s="9">
        <v>0</v>
      </c>
      <c r="AM403" s="9">
        <v>0</v>
      </c>
      <c r="AN403" s="9">
        <v>0</v>
      </c>
      <c r="AO403" s="9">
        <v>0</v>
      </c>
      <c r="AP403" s="9">
        <v>0</v>
      </c>
      <c r="AQ403" s="9">
        <v>0</v>
      </c>
      <c r="AR403" s="9">
        <v>0</v>
      </c>
      <c r="AS403" s="10">
        <f t="shared" si="33"/>
        <v>0</v>
      </c>
      <c r="AT403" s="10">
        <f t="shared" si="34"/>
        <v>0</v>
      </c>
      <c r="AU403" s="5" t="s">
        <v>501</v>
      </c>
    </row>
    <row r="404" spans="1:47" ht="15" customHeight="1" x14ac:dyDescent="0.3">
      <c r="A404" s="7" t="str">
        <f t="shared" si="30"/>
        <v>81_2023</v>
      </c>
      <c r="B404" s="7">
        <v>403</v>
      </c>
      <c r="C404" s="7">
        <f>'Panel Data (Long Format)'!B404</f>
        <v>81</v>
      </c>
      <c r="D404" s="7" t="str">
        <f>'Panel Data (Long Format)'!C404</f>
        <v>MORISON</v>
      </c>
      <c r="E404" s="8" t="str">
        <f>'Panel Data (Long Format)'!D404</f>
        <v>Morison Industries Plc</v>
      </c>
      <c r="F404" s="7" t="str">
        <f>'Panel Data (Long Format)'!E404</f>
        <v>HEALTHCARE</v>
      </c>
      <c r="G404" s="7">
        <f>'Panel Data (Long Format)'!F404</f>
        <v>2023</v>
      </c>
      <c r="H404" s="9">
        <v>0</v>
      </c>
      <c r="I404" s="9">
        <v>0</v>
      </c>
      <c r="J404" s="9">
        <v>0</v>
      </c>
      <c r="K404" s="9">
        <v>0</v>
      </c>
      <c r="L404" s="9">
        <v>0</v>
      </c>
      <c r="M404" s="9">
        <v>0</v>
      </c>
      <c r="N404" s="9">
        <v>0</v>
      </c>
      <c r="O404" s="9">
        <v>0</v>
      </c>
      <c r="P404" s="9">
        <v>0</v>
      </c>
      <c r="Q404" s="9">
        <v>0</v>
      </c>
      <c r="R404" s="9">
        <v>0</v>
      </c>
      <c r="S404" s="9">
        <v>0</v>
      </c>
      <c r="T404" s="9">
        <v>0</v>
      </c>
      <c r="U404" s="9">
        <v>0</v>
      </c>
      <c r="V404" s="9">
        <v>0</v>
      </c>
      <c r="W404" s="9">
        <v>0</v>
      </c>
      <c r="X404" s="9">
        <v>0</v>
      </c>
      <c r="Y404" s="9">
        <v>0</v>
      </c>
      <c r="Z404" s="9">
        <v>0</v>
      </c>
      <c r="AA404" s="9">
        <v>0</v>
      </c>
      <c r="AB404" s="10">
        <f t="shared" si="31"/>
        <v>0</v>
      </c>
      <c r="AC404" s="10">
        <f t="shared" si="32"/>
        <v>0</v>
      </c>
      <c r="AD404" s="9">
        <v>0</v>
      </c>
      <c r="AE404" s="9">
        <v>0</v>
      </c>
      <c r="AF404" s="9">
        <v>0</v>
      </c>
      <c r="AG404" s="9">
        <v>0</v>
      </c>
      <c r="AH404" s="9">
        <v>0</v>
      </c>
      <c r="AI404" s="9">
        <v>0</v>
      </c>
      <c r="AJ404" s="9">
        <v>0</v>
      </c>
      <c r="AK404" s="9">
        <v>0</v>
      </c>
      <c r="AL404" s="9">
        <v>0</v>
      </c>
      <c r="AM404" s="9">
        <v>0</v>
      </c>
      <c r="AN404" s="9">
        <v>0</v>
      </c>
      <c r="AO404" s="9">
        <v>0</v>
      </c>
      <c r="AP404" s="9">
        <v>0</v>
      </c>
      <c r="AQ404" s="9">
        <v>0</v>
      </c>
      <c r="AR404" s="9">
        <v>0</v>
      </c>
      <c r="AS404" s="10">
        <f t="shared" si="33"/>
        <v>0</v>
      </c>
      <c r="AT404" s="10">
        <f t="shared" si="34"/>
        <v>0</v>
      </c>
      <c r="AU404" s="5" t="s">
        <v>501</v>
      </c>
    </row>
    <row r="405" spans="1:47" ht="15" customHeight="1" x14ac:dyDescent="0.3">
      <c r="A405" s="7" t="str">
        <f t="shared" si="30"/>
        <v>81_2024</v>
      </c>
      <c r="B405" s="7">
        <v>404</v>
      </c>
      <c r="C405" s="7">
        <f>'Panel Data (Long Format)'!B405</f>
        <v>81</v>
      </c>
      <c r="D405" s="7" t="str">
        <f>'Panel Data (Long Format)'!C405</f>
        <v>MORISON</v>
      </c>
      <c r="E405" s="8" t="str">
        <f>'Panel Data (Long Format)'!D405</f>
        <v>Morison Industries Plc</v>
      </c>
      <c r="F405" s="7" t="str">
        <f>'Panel Data (Long Format)'!E405</f>
        <v>HEALTHCARE</v>
      </c>
      <c r="G405" s="7">
        <f>'Panel Data (Long Format)'!F405</f>
        <v>2024</v>
      </c>
      <c r="H405" s="9">
        <v>0</v>
      </c>
      <c r="I405" s="9">
        <v>0</v>
      </c>
      <c r="J405" s="9">
        <v>0</v>
      </c>
      <c r="K405" s="9">
        <v>0</v>
      </c>
      <c r="L405" s="9">
        <v>0</v>
      </c>
      <c r="M405" s="9">
        <v>0</v>
      </c>
      <c r="N405" s="9">
        <v>0</v>
      </c>
      <c r="O405" s="9">
        <v>0</v>
      </c>
      <c r="P405" s="9">
        <v>0</v>
      </c>
      <c r="Q405" s="9">
        <v>0</v>
      </c>
      <c r="R405" s="9">
        <v>0</v>
      </c>
      <c r="S405" s="9">
        <v>0</v>
      </c>
      <c r="T405" s="9">
        <v>0</v>
      </c>
      <c r="U405" s="9">
        <v>0</v>
      </c>
      <c r="V405" s="9">
        <v>0</v>
      </c>
      <c r="W405" s="9">
        <v>0</v>
      </c>
      <c r="X405" s="9">
        <v>0</v>
      </c>
      <c r="Y405" s="9">
        <v>0</v>
      </c>
      <c r="Z405" s="9">
        <v>0</v>
      </c>
      <c r="AA405" s="9">
        <v>0</v>
      </c>
      <c r="AB405" s="10">
        <f t="shared" si="31"/>
        <v>0</v>
      </c>
      <c r="AC405" s="10">
        <f t="shared" si="32"/>
        <v>0</v>
      </c>
      <c r="AD405" s="9">
        <v>0</v>
      </c>
      <c r="AE405" s="9">
        <v>0</v>
      </c>
      <c r="AF405" s="9">
        <v>0</v>
      </c>
      <c r="AG405" s="9">
        <v>0</v>
      </c>
      <c r="AH405" s="9">
        <v>0</v>
      </c>
      <c r="AI405" s="9">
        <v>0</v>
      </c>
      <c r="AJ405" s="9">
        <v>0</v>
      </c>
      <c r="AK405" s="9">
        <v>0</v>
      </c>
      <c r="AL405" s="9">
        <v>0</v>
      </c>
      <c r="AM405" s="9">
        <v>0</v>
      </c>
      <c r="AN405" s="9">
        <v>0</v>
      </c>
      <c r="AO405" s="9">
        <v>0</v>
      </c>
      <c r="AP405" s="9">
        <v>0</v>
      </c>
      <c r="AQ405" s="9">
        <v>0</v>
      </c>
      <c r="AR405" s="9">
        <v>0</v>
      </c>
      <c r="AS405" s="10">
        <f t="shared" si="33"/>
        <v>0</v>
      </c>
      <c r="AT405" s="10">
        <f t="shared" si="34"/>
        <v>0</v>
      </c>
      <c r="AU405" s="5" t="s">
        <v>501</v>
      </c>
    </row>
    <row r="406" spans="1:47" ht="15" customHeight="1" x14ac:dyDescent="0.3">
      <c r="A406" s="7" t="str">
        <f t="shared" si="30"/>
        <v>81_2025</v>
      </c>
      <c r="B406" s="7">
        <v>405</v>
      </c>
      <c r="C406" s="7">
        <f>'Panel Data (Long Format)'!B406</f>
        <v>81</v>
      </c>
      <c r="D406" s="7" t="str">
        <f>'Panel Data (Long Format)'!C406</f>
        <v>MORISON</v>
      </c>
      <c r="E406" s="8" t="str">
        <f>'Panel Data (Long Format)'!D406</f>
        <v>Morison Industries Plc</v>
      </c>
      <c r="F406" s="7" t="str">
        <f>'Panel Data (Long Format)'!E406</f>
        <v>HEALTHCARE</v>
      </c>
      <c r="G406" s="7">
        <f>'Panel Data (Long Format)'!F406</f>
        <v>2025</v>
      </c>
      <c r="H406" s="9">
        <v>0</v>
      </c>
      <c r="I406" s="9">
        <v>0</v>
      </c>
      <c r="J406" s="9">
        <v>0</v>
      </c>
      <c r="K406" s="9">
        <v>0</v>
      </c>
      <c r="L406" s="9">
        <v>0</v>
      </c>
      <c r="M406" s="9">
        <v>0</v>
      </c>
      <c r="N406" s="9">
        <v>0</v>
      </c>
      <c r="O406" s="9">
        <v>0</v>
      </c>
      <c r="P406" s="9">
        <v>0</v>
      </c>
      <c r="Q406" s="9">
        <v>0</v>
      </c>
      <c r="R406" s="9">
        <v>0</v>
      </c>
      <c r="S406" s="9">
        <v>0</v>
      </c>
      <c r="T406" s="9">
        <v>0</v>
      </c>
      <c r="U406" s="9">
        <v>0</v>
      </c>
      <c r="V406" s="9">
        <v>0</v>
      </c>
      <c r="W406" s="9">
        <v>0</v>
      </c>
      <c r="X406" s="9">
        <v>0</v>
      </c>
      <c r="Y406" s="9">
        <v>0</v>
      </c>
      <c r="Z406" s="9">
        <v>0</v>
      </c>
      <c r="AA406" s="9">
        <v>0</v>
      </c>
      <c r="AB406" s="10">
        <f t="shared" si="31"/>
        <v>0</v>
      </c>
      <c r="AC406" s="10">
        <f t="shared" si="32"/>
        <v>0</v>
      </c>
      <c r="AD406" s="9">
        <v>0</v>
      </c>
      <c r="AE406" s="9">
        <v>0</v>
      </c>
      <c r="AF406" s="9">
        <v>0</v>
      </c>
      <c r="AG406" s="9">
        <v>0</v>
      </c>
      <c r="AH406" s="9">
        <v>0</v>
      </c>
      <c r="AI406" s="9">
        <v>0</v>
      </c>
      <c r="AJ406" s="9">
        <v>0</v>
      </c>
      <c r="AK406" s="9">
        <v>0</v>
      </c>
      <c r="AL406" s="9">
        <v>0</v>
      </c>
      <c r="AM406" s="9">
        <v>0</v>
      </c>
      <c r="AN406" s="9">
        <v>0</v>
      </c>
      <c r="AO406" s="9">
        <v>0</v>
      </c>
      <c r="AP406" s="9">
        <v>0</v>
      </c>
      <c r="AQ406" s="9">
        <v>0</v>
      </c>
      <c r="AR406" s="9">
        <v>0</v>
      </c>
      <c r="AS406" s="10">
        <f t="shared" si="33"/>
        <v>0</v>
      </c>
      <c r="AT406" s="10">
        <f t="shared" si="34"/>
        <v>0</v>
      </c>
      <c r="AU406" s="5" t="s">
        <v>501</v>
      </c>
    </row>
    <row r="407" spans="1:47" ht="15" customHeight="1" x14ac:dyDescent="0.3">
      <c r="A407" s="7" t="str">
        <f t="shared" si="30"/>
        <v>82_2021</v>
      </c>
      <c r="B407" s="7">
        <v>406</v>
      </c>
      <c r="C407" s="7">
        <f>'Panel Data (Long Format)'!B407</f>
        <v>82</v>
      </c>
      <c r="D407" s="7" t="str">
        <f>'Panel Data (Long Format)'!C407</f>
        <v>MTNN</v>
      </c>
      <c r="E407" s="8" t="str">
        <f>'Panel Data (Long Format)'!D407</f>
        <v>MTN Nigeria Communications Plc</v>
      </c>
      <c r="F407" s="7" t="str">
        <f>'Panel Data (Long Format)'!E407</f>
        <v>ICT</v>
      </c>
      <c r="G407" s="7">
        <f>'Panel Data (Long Format)'!F407</f>
        <v>2021</v>
      </c>
      <c r="H407" s="9">
        <v>0</v>
      </c>
      <c r="I407" s="9">
        <v>0</v>
      </c>
      <c r="J407" s="9">
        <v>0</v>
      </c>
      <c r="K407" s="9">
        <v>0</v>
      </c>
      <c r="L407" s="9">
        <v>0</v>
      </c>
      <c r="M407" s="9">
        <v>1</v>
      </c>
      <c r="N407" s="9">
        <v>0</v>
      </c>
      <c r="O407" s="9">
        <v>1</v>
      </c>
      <c r="P407" s="9">
        <v>0</v>
      </c>
      <c r="Q407" s="9">
        <v>0</v>
      </c>
      <c r="R407" s="9">
        <v>1</v>
      </c>
      <c r="S407" s="9">
        <v>0</v>
      </c>
      <c r="T407" s="9">
        <v>0</v>
      </c>
      <c r="U407" s="9">
        <v>0</v>
      </c>
      <c r="V407" s="9">
        <v>0</v>
      </c>
      <c r="W407" s="9">
        <v>1</v>
      </c>
      <c r="X407" s="9">
        <v>0</v>
      </c>
      <c r="Y407" s="9">
        <v>0</v>
      </c>
      <c r="Z407" s="9">
        <v>0</v>
      </c>
      <c r="AA407" s="9">
        <v>1</v>
      </c>
      <c r="AB407" s="10">
        <f t="shared" si="31"/>
        <v>5</v>
      </c>
      <c r="AC407" s="10">
        <f t="shared" si="32"/>
        <v>25</v>
      </c>
      <c r="AD407" s="9">
        <v>0</v>
      </c>
      <c r="AE407" s="9">
        <v>0</v>
      </c>
      <c r="AF407" s="9">
        <v>0</v>
      </c>
      <c r="AG407" s="9">
        <v>0</v>
      </c>
      <c r="AH407" s="9">
        <v>0</v>
      </c>
      <c r="AI407" s="9">
        <v>0</v>
      </c>
      <c r="AJ407" s="9">
        <v>1</v>
      </c>
      <c r="AK407" s="9">
        <v>1</v>
      </c>
      <c r="AL407" s="9">
        <v>0</v>
      </c>
      <c r="AM407" s="9">
        <v>1</v>
      </c>
      <c r="AN407" s="9">
        <v>1</v>
      </c>
      <c r="AO407" s="9">
        <v>0</v>
      </c>
      <c r="AP407" s="9">
        <v>1</v>
      </c>
      <c r="AQ407" s="9">
        <v>0</v>
      </c>
      <c r="AR407" s="9">
        <v>0</v>
      </c>
      <c r="AS407" s="10">
        <f t="shared" si="33"/>
        <v>5</v>
      </c>
      <c r="AT407" s="10">
        <f t="shared" si="34"/>
        <v>33.333333333333329</v>
      </c>
      <c r="AU407" s="5" t="s">
        <v>502</v>
      </c>
    </row>
    <row r="408" spans="1:47" ht="15" customHeight="1" x14ac:dyDescent="0.3">
      <c r="A408" s="7" t="str">
        <f t="shared" si="30"/>
        <v>82_2022</v>
      </c>
      <c r="B408" s="7">
        <v>407</v>
      </c>
      <c r="C408" s="7">
        <f>'Panel Data (Long Format)'!B408</f>
        <v>82</v>
      </c>
      <c r="D408" s="7" t="str">
        <f>'Panel Data (Long Format)'!C408</f>
        <v>MTNN</v>
      </c>
      <c r="E408" s="8" t="str">
        <f>'Panel Data (Long Format)'!D408</f>
        <v>MTN Nigeria Communications Plc</v>
      </c>
      <c r="F408" s="7" t="str">
        <f>'Panel Data (Long Format)'!E408</f>
        <v>ICT</v>
      </c>
      <c r="G408" s="7">
        <f>'Panel Data (Long Format)'!F408</f>
        <v>2022</v>
      </c>
      <c r="H408" s="9">
        <v>1</v>
      </c>
      <c r="I408" s="9">
        <v>0</v>
      </c>
      <c r="J408" s="9">
        <v>0</v>
      </c>
      <c r="K408" s="9">
        <v>1</v>
      </c>
      <c r="L408" s="9">
        <v>0</v>
      </c>
      <c r="M408" s="9">
        <v>1</v>
      </c>
      <c r="N408" s="9">
        <v>0</v>
      </c>
      <c r="O408" s="9">
        <v>1</v>
      </c>
      <c r="P408" s="9">
        <v>0</v>
      </c>
      <c r="Q408" s="9">
        <v>0</v>
      </c>
      <c r="R408" s="9">
        <v>1</v>
      </c>
      <c r="S408" s="9">
        <v>0</v>
      </c>
      <c r="T408" s="9">
        <v>0</v>
      </c>
      <c r="U408" s="9">
        <v>0</v>
      </c>
      <c r="V408" s="9">
        <v>0</v>
      </c>
      <c r="W408" s="9">
        <v>1</v>
      </c>
      <c r="X408" s="9">
        <v>1</v>
      </c>
      <c r="Y408" s="9">
        <v>0</v>
      </c>
      <c r="Z408" s="9">
        <v>0</v>
      </c>
      <c r="AA408" s="9">
        <v>1</v>
      </c>
      <c r="AB408" s="10">
        <f t="shared" si="31"/>
        <v>8</v>
      </c>
      <c r="AC408" s="10">
        <f t="shared" si="32"/>
        <v>40</v>
      </c>
      <c r="AD408" s="9">
        <v>1</v>
      </c>
      <c r="AE408" s="9">
        <v>0</v>
      </c>
      <c r="AF408" s="9">
        <v>0</v>
      </c>
      <c r="AG408" s="9">
        <v>0</v>
      </c>
      <c r="AH408" s="9">
        <v>0</v>
      </c>
      <c r="AI408" s="9">
        <v>0</v>
      </c>
      <c r="AJ408" s="9">
        <v>1</v>
      </c>
      <c r="AK408" s="9">
        <v>1</v>
      </c>
      <c r="AL408" s="9">
        <v>0</v>
      </c>
      <c r="AM408" s="9">
        <v>1</v>
      </c>
      <c r="AN408" s="9">
        <v>1</v>
      </c>
      <c r="AO408" s="9">
        <v>0</v>
      </c>
      <c r="AP408" s="9">
        <v>1</v>
      </c>
      <c r="AQ408" s="9">
        <v>1</v>
      </c>
      <c r="AR408" s="9">
        <v>0</v>
      </c>
      <c r="AS408" s="10">
        <f t="shared" si="33"/>
        <v>7</v>
      </c>
      <c r="AT408" s="10">
        <f t="shared" si="34"/>
        <v>46.666666666666664</v>
      </c>
      <c r="AU408" s="5" t="s">
        <v>503</v>
      </c>
    </row>
    <row r="409" spans="1:47" ht="15" customHeight="1" x14ac:dyDescent="0.3">
      <c r="A409" s="7" t="str">
        <f t="shared" si="30"/>
        <v>82_2023</v>
      </c>
      <c r="B409" s="7">
        <v>408</v>
      </c>
      <c r="C409" s="7">
        <f>'Panel Data (Long Format)'!B409</f>
        <v>82</v>
      </c>
      <c r="D409" s="7" t="str">
        <f>'Panel Data (Long Format)'!C409</f>
        <v>MTNN</v>
      </c>
      <c r="E409" s="8" t="str">
        <f>'Panel Data (Long Format)'!D409</f>
        <v>MTN Nigeria Communications Plc</v>
      </c>
      <c r="F409" s="7" t="str">
        <f>'Panel Data (Long Format)'!E409</f>
        <v>ICT</v>
      </c>
      <c r="G409" s="7">
        <f>'Panel Data (Long Format)'!F409</f>
        <v>2023</v>
      </c>
      <c r="H409" s="9">
        <v>1</v>
      </c>
      <c r="I409" s="9">
        <v>1</v>
      </c>
      <c r="J409" s="9">
        <v>1</v>
      </c>
      <c r="K409" s="9">
        <v>1</v>
      </c>
      <c r="L409" s="9">
        <v>0</v>
      </c>
      <c r="M409" s="9">
        <v>1</v>
      </c>
      <c r="N409" s="9">
        <v>1</v>
      </c>
      <c r="O409" s="9">
        <v>1</v>
      </c>
      <c r="P409" s="9">
        <v>1</v>
      </c>
      <c r="Q409" s="9">
        <v>0</v>
      </c>
      <c r="R409" s="9">
        <v>1</v>
      </c>
      <c r="S409" s="9">
        <v>1</v>
      </c>
      <c r="T409" s="9">
        <v>1</v>
      </c>
      <c r="U409" s="9">
        <v>1</v>
      </c>
      <c r="V409" s="9">
        <v>0</v>
      </c>
      <c r="W409" s="9">
        <v>1</v>
      </c>
      <c r="X409" s="9">
        <v>1</v>
      </c>
      <c r="Y409" s="9">
        <v>1</v>
      </c>
      <c r="Z409" s="9">
        <v>1</v>
      </c>
      <c r="AA409" s="9">
        <v>1</v>
      </c>
      <c r="AB409" s="10">
        <f t="shared" si="31"/>
        <v>17</v>
      </c>
      <c r="AC409" s="10">
        <f t="shared" si="32"/>
        <v>85</v>
      </c>
      <c r="AD409" s="9">
        <v>1</v>
      </c>
      <c r="AE409" s="9">
        <v>1</v>
      </c>
      <c r="AF409" s="9">
        <v>0</v>
      </c>
      <c r="AG409" s="9">
        <v>1</v>
      </c>
      <c r="AH409" s="9">
        <v>1</v>
      </c>
      <c r="AI409" s="9">
        <v>0</v>
      </c>
      <c r="AJ409" s="9">
        <v>1</v>
      </c>
      <c r="AK409" s="9">
        <v>1</v>
      </c>
      <c r="AL409" s="9">
        <v>1</v>
      </c>
      <c r="AM409" s="9">
        <v>1</v>
      </c>
      <c r="AN409" s="9">
        <v>1</v>
      </c>
      <c r="AO409" s="9">
        <v>1</v>
      </c>
      <c r="AP409" s="9">
        <v>1</v>
      </c>
      <c r="AQ409" s="9">
        <v>1</v>
      </c>
      <c r="AR409" s="9">
        <v>0</v>
      </c>
      <c r="AS409" s="10">
        <f t="shared" si="33"/>
        <v>12</v>
      </c>
      <c r="AT409" s="10">
        <f t="shared" si="34"/>
        <v>80</v>
      </c>
      <c r="AU409" s="5" t="s">
        <v>504</v>
      </c>
    </row>
    <row r="410" spans="1:47" ht="15" customHeight="1" x14ac:dyDescent="0.3">
      <c r="A410" s="7" t="str">
        <f t="shared" si="30"/>
        <v>82_2024</v>
      </c>
      <c r="B410" s="7">
        <v>409</v>
      </c>
      <c r="C410" s="7">
        <f>'Panel Data (Long Format)'!B410</f>
        <v>82</v>
      </c>
      <c r="D410" s="7" t="str">
        <f>'Panel Data (Long Format)'!C410</f>
        <v>MTNN</v>
      </c>
      <c r="E410" s="8" t="str">
        <f>'Panel Data (Long Format)'!D410</f>
        <v>MTN Nigeria Communications Plc</v>
      </c>
      <c r="F410" s="7" t="str">
        <f>'Panel Data (Long Format)'!E410</f>
        <v>ICT</v>
      </c>
      <c r="G410" s="7">
        <f>'Panel Data (Long Format)'!F410</f>
        <v>2024</v>
      </c>
      <c r="H410" s="9">
        <v>1</v>
      </c>
      <c r="I410" s="9">
        <v>1</v>
      </c>
      <c r="J410" s="9">
        <v>1</v>
      </c>
      <c r="K410" s="9">
        <v>1</v>
      </c>
      <c r="L410" s="9">
        <v>0</v>
      </c>
      <c r="M410" s="9">
        <v>1</v>
      </c>
      <c r="N410" s="9">
        <v>1</v>
      </c>
      <c r="O410" s="9">
        <v>1</v>
      </c>
      <c r="P410" s="9">
        <v>1</v>
      </c>
      <c r="Q410" s="9">
        <v>1</v>
      </c>
      <c r="R410" s="9">
        <v>1</v>
      </c>
      <c r="S410" s="9">
        <v>1</v>
      </c>
      <c r="T410" s="9">
        <v>1</v>
      </c>
      <c r="U410" s="9">
        <v>1</v>
      </c>
      <c r="V410" s="9">
        <v>1</v>
      </c>
      <c r="W410" s="9">
        <v>1</v>
      </c>
      <c r="X410" s="9">
        <v>1</v>
      </c>
      <c r="Y410" s="9">
        <v>1</v>
      </c>
      <c r="Z410" s="9">
        <v>1</v>
      </c>
      <c r="AA410" s="9">
        <v>1</v>
      </c>
      <c r="AB410" s="10">
        <f t="shared" si="31"/>
        <v>19</v>
      </c>
      <c r="AC410" s="10">
        <f t="shared" si="32"/>
        <v>95</v>
      </c>
      <c r="AD410" s="9">
        <v>1</v>
      </c>
      <c r="AE410" s="9">
        <v>1</v>
      </c>
      <c r="AF410" s="9">
        <v>0</v>
      </c>
      <c r="AG410" s="9">
        <v>1</v>
      </c>
      <c r="AH410" s="9">
        <v>1</v>
      </c>
      <c r="AI410" s="9">
        <v>1</v>
      </c>
      <c r="AJ410" s="9">
        <v>1</v>
      </c>
      <c r="AK410" s="9">
        <v>1</v>
      </c>
      <c r="AL410" s="9">
        <v>1</v>
      </c>
      <c r="AM410" s="9">
        <v>1</v>
      </c>
      <c r="AN410" s="9">
        <v>1</v>
      </c>
      <c r="AO410" s="9">
        <v>1</v>
      </c>
      <c r="AP410" s="9">
        <v>1</v>
      </c>
      <c r="AQ410" s="9">
        <v>1</v>
      </c>
      <c r="AR410" s="9">
        <v>0</v>
      </c>
      <c r="AS410" s="10">
        <f t="shared" si="33"/>
        <v>13</v>
      </c>
      <c r="AT410" s="10">
        <f t="shared" si="34"/>
        <v>86.666666666666671</v>
      </c>
      <c r="AU410" s="5" t="s">
        <v>505</v>
      </c>
    </row>
    <row r="411" spans="1:47" ht="15" customHeight="1" x14ac:dyDescent="0.3">
      <c r="A411" s="7" t="str">
        <f t="shared" si="30"/>
        <v>82_2025</v>
      </c>
      <c r="B411" s="7">
        <v>410</v>
      </c>
      <c r="C411" s="7">
        <f>'Panel Data (Long Format)'!B411</f>
        <v>82</v>
      </c>
      <c r="D411" s="7" t="str">
        <f>'Panel Data (Long Format)'!C411</f>
        <v>MTNN</v>
      </c>
      <c r="E411" s="8" t="str">
        <f>'Panel Data (Long Format)'!D411</f>
        <v>MTN Nigeria Communications Plc</v>
      </c>
      <c r="F411" s="7" t="str">
        <f>'Panel Data (Long Format)'!E411</f>
        <v>ICT</v>
      </c>
      <c r="G411" s="7">
        <f>'Panel Data (Long Format)'!F411</f>
        <v>2025</v>
      </c>
      <c r="H411" s="9">
        <v>1</v>
      </c>
      <c r="I411" s="9">
        <v>1</v>
      </c>
      <c r="J411" s="9">
        <v>1</v>
      </c>
      <c r="K411" s="9">
        <v>1</v>
      </c>
      <c r="L411" s="9">
        <v>0</v>
      </c>
      <c r="M411" s="9">
        <v>1</v>
      </c>
      <c r="N411" s="9">
        <v>1</v>
      </c>
      <c r="O411" s="9">
        <v>1</v>
      </c>
      <c r="P411" s="9">
        <v>1</v>
      </c>
      <c r="Q411" s="9">
        <v>1</v>
      </c>
      <c r="R411" s="9">
        <v>1</v>
      </c>
      <c r="S411" s="9">
        <v>1</v>
      </c>
      <c r="T411" s="9">
        <v>1</v>
      </c>
      <c r="U411" s="9">
        <v>1</v>
      </c>
      <c r="V411" s="9">
        <v>1</v>
      </c>
      <c r="W411" s="9">
        <v>1</v>
      </c>
      <c r="X411" s="9">
        <v>1</v>
      </c>
      <c r="Y411" s="9">
        <v>1</v>
      </c>
      <c r="Z411" s="9">
        <v>1</v>
      </c>
      <c r="AA411" s="9">
        <v>1</v>
      </c>
      <c r="AB411" s="10">
        <f t="shared" si="31"/>
        <v>19</v>
      </c>
      <c r="AC411" s="10">
        <f t="shared" si="32"/>
        <v>95</v>
      </c>
      <c r="AD411" s="9">
        <v>1</v>
      </c>
      <c r="AE411" s="9">
        <v>1</v>
      </c>
      <c r="AF411" s="9">
        <v>0</v>
      </c>
      <c r="AG411" s="9">
        <v>1</v>
      </c>
      <c r="AH411" s="9">
        <v>1</v>
      </c>
      <c r="AI411" s="9">
        <v>1</v>
      </c>
      <c r="AJ411" s="9">
        <v>1</v>
      </c>
      <c r="AK411" s="9">
        <v>1</v>
      </c>
      <c r="AL411" s="9">
        <v>1</v>
      </c>
      <c r="AM411" s="9">
        <v>1</v>
      </c>
      <c r="AN411" s="9">
        <v>1</v>
      </c>
      <c r="AO411" s="9">
        <v>1</v>
      </c>
      <c r="AP411" s="9">
        <v>1</v>
      </c>
      <c r="AQ411" s="9">
        <v>1</v>
      </c>
      <c r="AR411" s="9">
        <v>0</v>
      </c>
      <c r="AS411" s="10">
        <f t="shared" si="33"/>
        <v>13</v>
      </c>
      <c r="AT411" s="10">
        <f t="shared" si="34"/>
        <v>86.666666666666671</v>
      </c>
      <c r="AU411" s="5" t="s">
        <v>506</v>
      </c>
    </row>
    <row r="412" spans="1:47" ht="15" customHeight="1" x14ac:dyDescent="0.3">
      <c r="A412" s="7" t="str">
        <f t="shared" si="30"/>
        <v>83_2021</v>
      </c>
      <c r="B412" s="7">
        <v>411</v>
      </c>
      <c r="C412" s="7">
        <f>'Panel Data (Long Format)'!B412</f>
        <v>83</v>
      </c>
      <c r="D412" s="7" t="str">
        <f>'Panel Data (Long Format)'!C412</f>
        <v>MULTITREX</v>
      </c>
      <c r="E412" s="8" t="str">
        <f>'Panel Data (Long Format)'!D412</f>
        <v>Multi-Trex Integrated Foods Plc</v>
      </c>
      <c r="F412" s="7" t="str">
        <f>'Panel Data (Long Format)'!E412</f>
        <v>CONSUMER GOODS</v>
      </c>
      <c r="G412" s="7">
        <f>'Panel Data (Long Format)'!F412</f>
        <v>2021</v>
      </c>
      <c r="H412" s="9">
        <v>0</v>
      </c>
      <c r="I412" s="9">
        <v>0</v>
      </c>
      <c r="J412" s="9">
        <v>0</v>
      </c>
      <c r="K412" s="9">
        <v>0</v>
      </c>
      <c r="L412" s="9">
        <v>0</v>
      </c>
      <c r="M412" s="9">
        <v>0</v>
      </c>
      <c r="N412" s="9">
        <v>0</v>
      </c>
      <c r="O412" s="9">
        <v>0</v>
      </c>
      <c r="P412" s="9">
        <v>0</v>
      </c>
      <c r="Q412" s="9">
        <v>0</v>
      </c>
      <c r="R412" s="9">
        <v>0</v>
      </c>
      <c r="S412" s="9">
        <v>0</v>
      </c>
      <c r="T412" s="9">
        <v>0</v>
      </c>
      <c r="U412" s="9">
        <v>0</v>
      </c>
      <c r="V412" s="9">
        <v>0</v>
      </c>
      <c r="W412" s="9">
        <v>0</v>
      </c>
      <c r="X412" s="9">
        <v>0</v>
      </c>
      <c r="Y412" s="9">
        <v>0</v>
      </c>
      <c r="Z412" s="9">
        <v>0</v>
      </c>
      <c r="AA412" s="9">
        <v>0</v>
      </c>
      <c r="AB412" s="10">
        <f t="shared" si="31"/>
        <v>0</v>
      </c>
      <c r="AC412" s="10">
        <f t="shared" si="32"/>
        <v>0</v>
      </c>
      <c r="AD412" s="9">
        <v>0</v>
      </c>
      <c r="AE412" s="9">
        <v>0</v>
      </c>
      <c r="AF412" s="9">
        <v>0</v>
      </c>
      <c r="AG412" s="9">
        <v>0</v>
      </c>
      <c r="AH412" s="9">
        <v>0</v>
      </c>
      <c r="AI412" s="9">
        <v>0</v>
      </c>
      <c r="AJ412" s="9">
        <v>0</v>
      </c>
      <c r="AK412" s="9">
        <v>0</v>
      </c>
      <c r="AL412" s="9">
        <v>0</v>
      </c>
      <c r="AM412" s="9">
        <v>0</v>
      </c>
      <c r="AN412" s="9">
        <v>0</v>
      </c>
      <c r="AO412" s="9">
        <v>0</v>
      </c>
      <c r="AP412" s="9">
        <v>0</v>
      </c>
      <c r="AQ412" s="9">
        <v>0</v>
      </c>
      <c r="AR412" s="9">
        <v>0</v>
      </c>
      <c r="AS412" s="10">
        <f t="shared" si="33"/>
        <v>0</v>
      </c>
      <c r="AT412" s="10">
        <f t="shared" si="34"/>
        <v>0</v>
      </c>
      <c r="AU412" s="5" t="s">
        <v>507</v>
      </c>
    </row>
    <row r="413" spans="1:47" ht="15" customHeight="1" x14ac:dyDescent="0.3">
      <c r="A413" s="7" t="str">
        <f t="shared" si="30"/>
        <v>83_2022</v>
      </c>
      <c r="B413" s="7">
        <v>412</v>
      </c>
      <c r="C413" s="7">
        <f>'Panel Data (Long Format)'!B413</f>
        <v>83</v>
      </c>
      <c r="D413" s="7" t="str">
        <f>'Panel Data (Long Format)'!C413</f>
        <v>MULTITREX</v>
      </c>
      <c r="E413" s="8" t="str">
        <f>'Panel Data (Long Format)'!D413</f>
        <v>Multi-Trex Integrated Foods Plc</v>
      </c>
      <c r="F413" s="7" t="str">
        <f>'Panel Data (Long Format)'!E413</f>
        <v>CONSUMER GOODS</v>
      </c>
      <c r="G413" s="7">
        <f>'Panel Data (Long Format)'!F413</f>
        <v>2022</v>
      </c>
      <c r="H413" s="9">
        <v>0</v>
      </c>
      <c r="I413" s="9">
        <v>0</v>
      </c>
      <c r="J413" s="9">
        <v>0</v>
      </c>
      <c r="K413" s="9">
        <v>0</v>
      </c>
      <c r="L413" s="9">
        <v>0</v>
      </c>
      <c r="M413" s="9">
        <v>0</v>
      </c>
      <c r="N413" s="9">
        <v>0</v>
      </c>
      <c r="O413" s="9">
        <v>0</v>
      </c>
      <c r="P413" s="9">
        <v>0</v>
      </c>
      <c r="Q413" s="9">
        <v>0</v>
      </c>
      <c r="R413" s="9">
        <v>0</v>
      </c>
      <c r="S413" s="9">
        <v>0</v>
      </c>
      <c r="T413" s="9">
        <v>0</v>
      </c>
      <c r="U413" s="9">
        <v>0</v>
      </c>
      <c r="V413" s="9">
        <v>0</v>
      </c>
      <c r="W413" s="9">
        <v>0</v>
      </c>
      <c r="X413" s="9">
        <v>0</v>
      </c>
      <c r="Y413" s="9">
        <v>0</v>
      </c>
      <c r="Z413" s="9">
        <v>0</v>
      </c>
      <c r="AA413" s="9">
        <v>0</v>
      </c>
      <c r="AB413" s="10">
        <f t="shared" si="31"/>
        <v>0</v>
      </c>
      <c r="AC413" s="10">
        <f t="shared" si="32"/>
        <v>0</v>
      </c>
      <c r="AD413" s="9">
        <v>0</v>
      </c>
      <c r="AE413" s="9">
        <v>0</v>
      </c>
      <c r="AF413" s="9">
        <v>0</v>
      </c>
      <c r="AG413" s="9">
        <v>0</v>
      </c>
      <c r="AH413" s="9">
        <v>0</v>
      </c>
      <c r="AI413" s="9">
        <v>0</v>
      </c>
      <c r="AJ413" s="9">
        <v>0</v>
      </c>
      <c r="AK413" s="9">
        <v>0</v>
      </c>
      <c r="AL413" s="9">
        <v>0</v>
      </c>
      <c r="AM413" s="9">
        <v>0</v>
      </c>
      <c r="AN413" s="9">
        <v>0</v>
      </c>
      <c r="AO413" s="9">
        <v>0</v>
      </c>
      <c r="AP413" s="9">
        <v>0</v>
      </c>
      <c r="AQ413" s="9">
        <v>0</v>
      </c>
      <c r="AR413" s="9">
        <v>0</v>
      </c>
      <c r="AS413" s="10">
        <f t="shared" si="33"/>
        <v>0</v>
      </c>
      <c r="AT413" s="10">
        <f t="shared" si="34"/>
        <v>0</v>
      </c>
      <c r="AU413" s="5" t="s">
        <v>507</v>
      </c>
    </row>
    <row r="414" spans="1:47" ht="15" customHeight="1" x14ac:dyDescent="0.3">
      <c r="A414" s="7" t="str">
        <f t="shared" si="30"/>
        <v>83_2023</v>
      </c>
      <c r="B414" s="7">
        <v>413</v>
      </c>
      <c r="C414" s="7">
        <f>'Panel Data (Long Format)'!B414</f>
        <v>83</v>
      </c>
      <c r="D414" s="7" t="str">
        <f>'Panel Data (Long Format)'!C414</f>
        <v>MULTITREX</v>
      </c>
      <c r="E414" s="8" t="str">
        <f>'Panel Data (Long Format)'!D414</f>
        <v>Multi-Trex Integrated Foods Plc</v>
      </c>
      <c r="F414" s="7" t="str">
        <f>'Panel Data (Long Format)'!E414</f>
        <v>CONSUMER GOODS</v>
      </c>
      <c r="G414" s="7">
        <f>'Panel Data (Long Format)'!F414</f>
        <v>2023</v>
      </c>
      <c r="H414" s="9">
        <v>0</v>
      </c>
      <c r="I414" s="9">
        <v>0</v>
      </c>
      <c r="J414" s="9">
        <v>0</v>
      </c>
      <c r="K414" s="9">
        <v>0</v>
      </c>
      <c r="L414" s="9">
        <v>0</v>
      </c>
      <c r="M414" s="9">
        <v>0</v>
      </c>
      <c r="N414" s="9">
        <v>0</v>
      </c>
      <c r="O414" s="9">
        <v>0</v>
      </c>
      <c r="P414" s="9">
        <v>0</v>
      </c>
      <c r="Q414" s="9">
        <v>0</v>
      </c>
      <c r="R414" s="9">
        <v>0</v>
      </c>
      <c r="S414" s="9">
        <v>0</v>
      </c>
      <c r="T414" s="9">
        <v>0</v>
      </c>
      <c r="U414" s="9">
        <v>0</v>
      </c>
      <c r="V414" s="9">
        <v>0</v>
      </c>
      <c r="W414" s="9">
        <v>0</v>
      </c>
      <c r="X414" s="9">
        <v>0</v>
      </c>
      <c r="Y414" s="9">
        <v>0</v>
      </c>
      <c r="Z414" s="9">
        <v>0</v>
      </c>
      <c r="AA414" s="9">
        <v>0</v>
      </c>
      <c r="AB414" s="10">
        <f t="shared" si="31"/>
        <v>0</v>
      </c>
      <c r="AC414" s="10">
        <f t="shared" si="32"/>
        <v>0</v>
      </c>
      <c r="AD414" s="9">
        <v>0</v>
      </c>
      <c r="AE414" s="9">
        <v>0</v>
      </c>
      <c r="AF414" s="9">
        <v>0</v>
      </c>
      <c r="AG414" s="9">
        <v>0</v>
      </c>
      <c r="AH414" s="9">
        <v>0</v>
      </c>
      <c r="AI414" s="9">
        <v>0</v>
      </c>
      <c r="AJ414" s="9">
        <v>0</v>
      </c>
      <c r="AK414" s="9">
        <v>0</v>
      </c>
      <c r="AL414" s="9">
        <v>0</v>
      </c>
      <c r="AM414" s="9">
        <v>0</v>
      </c>
      <c r="AN414" s="9">
        <v>0</v>
      </c>
      <c r="AO414" s="9">
        <v>0</v>
      </c>
      <c r="AP414" s="9">
        <v>0</v>
      </c>
      <c r="AQ414" s="9">
        <v>0</v>
      </c>
      <c r="AR414" s="9">
        <v>0</v>
      </c>
      <c r="AS414" s="10">
        <f t="shared" si="33"/>
        <v>0</v>
      </c>
      <c r="AT414" s="10">
        <f t="shared" si="34"/>
        <v>0</v>
      </c>
      <c r="AU414" s="5" t="s">
        <v>507</v>
      </c>
    </row>
    <row r="415" spans="1:47" ht="15" customHeight="1" x14ac:dyDescent="0.3">
      <c r="A415" s="7" t="str">
        <f t="shared" si="30"/>
        <v>83_2024</v>
      </c>
      <c r="B415" s="7">
        <v>414</v>
      </c>
      <c r="C415" s="7">
        <f>'Panel Data (Long Format)'!B415</f>
        <v>83</v>
      </c>
      <c r="D415" s="7" t="str">
        <f>'Panel Data (Long Format)'!C415</f>
        <v>MULTITREX</v>
      </c>
      <c r="E415" s="8" t="str">
        <f>'Panel Data (Long Format)'!D415</f>
        <v>Multi-Trex Integrated Foods Plc</v>
      </c>
      <c r="F415" s="7" t="str">
        <f>'Panel Data (Long Format)'!E415</f>
        <v>CONSUMER GOODS</v>
      </c>
      <c r="G415" s="7">
        <f>'Panel Data (Long Format)'!F415</f>
        <v>2024</v>
      </c>
      <c r="H415" s="9">
        <v>0</v>
      </c>
      <c r="I415" s="9">
        <v>0</v>
      </c>
      <c r="J415" s="9">
        <v>0</v>
      </c>
      <c r="K415" s="9">
        <v>0</v>
      </c>
      <c r="L415" s="9">
        <v>0</v>
      </c>
      <c r="M415" s="9">
        <v>0</v>
      </c>
      <c r="N415" s="9">
        <v>0</v>
      </c>
      <c r="O415" s="9">
        <v>0</v>
      </c>
      <c r="P415" s="9">
        <v>0</v>
      </c>
      <c r="Q415" s="9">
        <v>0</v>
      </c>
      <c r="R415" s="9">
        <v>0</v>
      </c>
      <c r="S415" s="9">
        <v>0</v>
      </c>
      <c r="T415" s="9">
        <v>0</v>
      </c>
      <c r="U415" s="9">
        <v>0</v>
      </c>
      <c r="V415" s="9">
        <v>0</v>
      </c>
      <c r="W415" s="9">
        <v>0</v>
      </c>
      <c r="X415" s="9">
        <v>0</v>
      </c>
      <c r="Y415" s="9">
        <v>0</v>
      </c>
      <c r="Z415" s="9">
        <v>0</v>
      </c>
      <c r="AA415" s="9">
        <v>0</v>
      </c>
      <c r="AB415" s="10">
        <f t="shared" si="31"/>
        <v>0</v>
      </c>
      <c r="AC415" s="10">
        <f t="shared" si="32"/>
        <v>0</v>
      </c>
      <c r="AD415" s="9">
        <v>0</v>
      </c>
      <c r="AE415" s="9">
        <v>0</v>
      </c>
      <c r="AF415" s="9">
        <v>0</v>
      </c>
      <c r="AG415" s="9">
        <v>0</v>
      </c>
      <c r="AH415" s="9">
        <v>0</v>
      </c>
      <c r="AI415" s="9">
        <v>0</v>
      </c>
      <c r="AJ415" s="9">
        <v>0</v>
      </c>
      <c r="AK415" s="9">
        <v>0</v>
      </c>
      <c r="AL415" s="9">
        <v>0</v>
      </c>
      <c r="AM415" s="9">
        <v>0</v>
      </c>
      <c r="AN415" s="9">
        <v>0</v>
      </c>
      <c r="AO415" s="9">
        <v>0</v>
      </c>
      <c r="AP415" s="9">
        <v>0</v>
      </c>
      <c r="AQ415" s="9">
        <v>0</v>
      </c>
      <c r="AR415" s="9">
        <v>0</v>
      </c>
      <c r="AS415" s="10">
        <f t="shared" si="33"/>
        <v>0</v>
      </c>
      <c r="AT415" s="10">
        <f t="shared" si="34"/>
        <v>0</v>
      </c>
      <c r="AU415" s="5" t="s">
        <v>507</v>
      </c>
    </row>
    <row r="416" spans="1:47" ht="15" customHeight="1" x14ac:dyDescent="0.3">
      <c r="A416" s="7" t="str">
        <f t="shared" si="30"/>
        <v>83_2025</v>
      </c>
      <c r="B416" s="7">
        <v>415</v>
      </c>
      <c r="C416" s="7">
        <f>'Panel Data (Long Format)'!B416</f>
        <v>83</v>
      </c>
      <c r="D416" s="7" t="str">
        <f>'Panel Data (Long Format)'!C416</f>
        <v>MULTITREX</v>
      </c>
      <c r="E416" s="8" t="str">
        <f>'Panel Data (Long Format)'!D416</f>
        <v>Multi-Trex Integrated Foods Plc</v>
      </c>
      <c r="F416" s="7" t="str">
        <f>'Panel Data (Long Format)'!E416</f>
        <v>CONSUMER GOODS</v>
      </c>
      <c r="G416" s="7">
        <f>'Panel Data (Long Format)'!F416</f>
        <v>2025</v>
      </c>
      <c r="H416" s="9">
        <v>0</v>
      </c>
      <c r="I416" s="9">
        <v>0</v>
      </c>
      <c r="J416" s="9">
        <v>0</v>
      </c>
      <c r="K416" s="9">
        <v>0</v>
      </c>
      <c r="L416" s="9">
        <v>0</v>
      </c>
      <c r="M416" s="9">
        <v>0</v>
      </c>
      <c r="N416" s="9">
        <v>0</v>
      </c>
      <c r="O416" s="9">
        <v>0</v>
      </c>
      <c r="P416" s="9">
        <v>0</v>
      </c>
      <c r="Q416" s="9">
        <v>0</v>
      </c>
      <c r="R416" s="9">
        <v>0</v>
      </c>
      <c r="S416" s="9">
        <v>0</v>
      </c>
      <c r="T416" s="9">
        <v>0</v>
      </c>
      <c r="U416" s="9">
        <v>0</v>
      </c>
      <c r="V416" s="9">
        <v>0</v>
      </c>
      <c r="W416" s="9">
        <v>0</v>
      </c>
      <c r="X416" s="9">
        <v>0</v>
      </c>
      <c r="Y416" s="9">
        <v>0</v>
      </c>
      <c r="Z416" s="9">
        <v>0</v>
      </c>
      <c r="AA416" s="9">
        <v>0</v>
      </c>
      <c r="AB416" s="10">
        <f t="shared" si="31"/>
        <v>0</v>
      </c>
      <c r="AC416" s="10">
        <f t="shared" si="32"/>
        <v>0</v>
      </c>
      <c r="AD416" s="9">
        <v>0</v>
      </c>
      <c r="AE416" s="9">
        <v>0</v>
      </c>
      <c r="AF416" s="9">
        <v>0</v>
      </c>
      <c r="AG416" s="9">
        <v>0</v>
      </c>
      <c r="AH416" s="9">
        <v>0</v>
      </c>
      <c r="AI416" s="9">
        <v>0</v>
      </c>
      <c r="AJ416" s="9">
        <v>0</v>
      </c>
      <c r="AK416" s="9">
        <v>0</v>
      </c>
      <c r="AL416" s="9">
        <v>0</v>
      </c>
      <c r="AM416" s="9">
        <v>0</v>
      </c>
      <c r="AN416" s="9">
        <v>0</v>
      </c>
      <c r="AO416" s="9">
        <v>0</v>
      </c>
      <c r="AP416" s="9">
        <v>0</v>
      </c>
      <c r="AQ416" s="9">
        <v>0</v>
      </c>
      <c r="AR416" s="9">
        <v>0</v>
      </c>
      <c r="AS416" s="10">
        <f t="shared" si="33"/>
        <v>0</v>
      </c>
      <c r="AT416" s="10">
        <f t="shared" si="34"/>
        <v>0</v>
      </c>
      <c r="AU416" s="5" t="s">
        <v>507</v>
      </c>
    </row>
    <row r="417" spans="1:47" ht="15" customHeight="1" x14ac:dyDescent="0.3">
      <c r="A417" s="7" t="str">
        <f t="shared" si="30"/>
        <v>84_2021</v>
      </c>
      <c r="B417" s="7">
        <v>416</v>
      </c>
      <c r="C417" s="7">
        <f>'Panel Data (Long Format)'!B417</f>
        <v>84</v>
      </c>
      <c r="D417" s="7" t="str">
        <f>'Panel Data (Long Format)'!C417</f>
        <v>MULTIVERSE</v>
      </c>
      <c r="E417" s="8" t="str">
        <f>'Panel Data (Long Format)'!D417</f>
        <v>Multiverse Mining and Exploration Plc</v>
      </c>
      <c r="F417" s="7" t="str">
        <f>'Panel Data (Long Format)'!E417</f>
        <v>NATURAL RESOURCES</v>
      </c>
      <c r="G417" s="7">
        <f>'Panel Data (Long Format)'!F417</f>
        <v>2021</v>
      </c>
      <c r="H417" s="9">
        <v>0</v>
      </c>
      <c r="I417" s="9">
        <v>0</v>
      </c>
      <c r="J417" s="9">
        <v>0</v>
      </c>
      <c r="K417" s="9">
        <v>0</v>
      </c>
      <c r="L417" s="9">
        <v>0</v>
      </c>
      <c r="M417" s="9">
        <v>0</v>
      </c>
      <c r="N417" s="9">
        <v>0</v>
      </c>
      <c r="O417" s="9">
        <v>0</v>
      </c>
      <c r="P417" s="9">
        <v>0</v>
      </c>
      <c r="Q417" s="9">
        <v>0</v>
      </c>
      <c r="R417" s="9">
        <v>0</v>
      </c>
      <c r="S417" s="9">
        <v>0</v>
      </c>
      <c r="T417" s="9">
        <v>0</v>
      </c>
      <c r="U417" s="9">
        <v>0</v>
      </c>
      <c r="V417" s="9">
        <v>0</v>
      </c>
      <c r="W417" s="9">
        <v>0</v>
      </c>
      <c r="X417" s="9">
        <v>0</v>
      </c>
      <c r="Y417" s="9">
        <v>0</v>
      </c>
      <c r="Z417" s="9">
        <v>0</v>
      </c>
      <c r="AA417" s="9">
        <v>0</v>
      </c>
      <c r="AB417" s="10">
        <f t="shared" si="31"/>
        <v>0</v>
      </c>
      <c r="AC417" s="10">
        <f t="shared" si="32"/>
        <v>0</v>
      </c>
      <c r="AD417" s="9">
        <v>0</v>
      </c>
      <c r="AE417" s="9">
        <v>0</v>
      </c>
      <c r="AF417" s="9">
        <v>0</v>
      </c>
      <c r="AG417" s="9">
        <v>0</v>
      </c>
      <c r="AH417" s="9">
        <v>0</v>
      </c>
      <c r="AI417" s="9">
        <v>0</v>
      </c>
      <c r="AJ417" s="9">
        <v>0</v>
      </c>
      <c r="AK417" s="9">
        <v>0</v>
      </c>
      <c r="AL417" s="9">
        <v>0</v>
      </c>
      <c r="AM417" s="9">
        <v>0</v>
      </c>
      <c r="AN417" s="9">
        <v>0</v>
      </c>
      <c r="AO417" s="9">
        <v>0</v>
      </c>
      <c r="AP417" s="9">
        <v>0</v>
      </c>
      <c r="AQ417" s="9">
        <v>0</v>
      </c>
      <c r="AR417" s="9">
        <v>0</v>
      </c>
      <c r="AS417" s="10">
        <f t="shared" si="33"/>
        <v>0</v>
      </c>
      <c r="AT417" s="10">
        <f t="shared" si="34"/>
        <v>0</v>
      </c>
      <c r="AU417" s="5" t="s">
        <v>508</v>
      </c>
    </row>
    <row r="418" spans="1:47" ht="15" customHeight="1" x14ac:dyDescent="0.3">
      <c r="A418" s="7" t="str">
        <f t="shared" si="30"/>
        <v>84_2022</v>
      </c>
      <c r="B418" s="7">
        <v>417</v>
      </c>
      <c r="C418" s="7">
        <f>'Panel Data (Long Format)'!B418</f>
        <v>84</v>
      </c>
      <c r="D418" s="7" t="str">
        <f>'Panel Data (Long Format)'!C418</f>
        <v>MULTIVERSE</v>
      </c>
      <c r="E418" s="8" t="str">
        <f>'Panel Data (Long Format)'!D418</f>
        <v>Multiverse Mining and Exploration Plc</v>
      </c>
      <c r="F418" s="7" t="str">
        <f>'Panel Data (Long Format)'!E418</f>
        <v>NATURAL RESOURCES</v>
      </c>
      <c r="G418" s="7">
        <f>'Panel Data (Long Format)'!F418</f>
        <v>2022</v>
      </c>
      <c r="H418" s="9">
        <v>0</v>
      </c>
      <c r="I418" s="9">
        <v>0</v>
      </c>
      <c r="J418" s="9">
        <v>0</v>
      </c>
      <c r="K418" s="9">
        <v>0</v>
      </c>
      <c r="L418" s="9">
        <v>0</v>
      </c>
      <c r="M418" s="9">
        <v>0</v>
      </c>
      <c r="N418" s="9">
        <v>0</v>
      </c>
      <c r="O418" s="9">
        <v>0</v>
      </c>
      <c r="P418" s="9">
        <v>0</v>
      </c>
      <c r="Q418" s="9">
        <v>0</v>
      </c>
      <c r="R418" s="9">
        <v>0</v>
      </c>
      <c r="S418" s="9">
        <v>0</v>
      </c>
      <c r="T418" s="9">
        <v>0</v>
      </c>
      <c r="U418" s="9">
        <v>0</v>
      </c>
      <c r="V418" s="9">
        <v>0</v>
      </c>
      <c r="W418" s="9">
        <v>0</v>
      </c>
      <c r="X418" s="9">
        <v>0</v>
      </c>
      <c r="Y418" s="9">
        <v>0</v>
      </c>
      <c r="Z418" s="9">
        <v>0</v>
      </c>
      <c r="AA418" s="9">
        <v>0</v>
      </c>
      <c r="AB418" s="10">
        <f t="shared" si="31"/>
        <v>0</v>
      </c>
      <c r="AC418" s="10">
        <f t="shared" si="32"/>
        <v>0</v>
      </c>
      <c r="AD418" s="9">
        <v>0</v>
      </c>
      <c r="AE418" s="9">
        <v>0</v>
      </c>
      <c r="AF418" s="9">
        <v>0</v>
      </c>
      <c r="AG418" s="9">
        <v>0</v>
      </c>
      <c r="AH418" s="9">
        <v>0</v>
      </c>
      <c r="AI418" s="9">
        <v>0</v>
      </c>
      <c r="AJ418" s="9">
        <v>0</v>
      </c>
      <c r="AK418" s="9">
        <v>0</v>
      </c>
      <c r="AL418" s="9">
        <v>0</v>
      </c>
      <c r="AM418" s="9">
        <v>0</v>
      </c>
      <c r="AN418" s="9">
        <v>0</v>
      </c>
      <c r="AO418" s="9">
        <v>0</v>
      </c>
      <c r="AP418" s="9">
        <v>0</v>
      </c>
      <c r="AQ418" s="9">
        <v>0</v>
      </c>
      <c r="AR418" s="9">
        <v>0</v>
      </c>
      <c r="AS418" s="10">
        <f t="shared" si="33"/>
        <v>0</v>
      </c>
      <c r="AT418" s="10">
        <f t="shared" si="34"/>
        <v>0</v>
      </c>
      <c r="AU418" s="5" t="s">
        <v>508</v>
      </c>
    </row>
    <row r="419" spans="1:47" ht="15" customHeight="1" x14ac:dyDescent="0.3">
      <c r="A419" s="7" t="str">
        <f t="shared" si="30"/>
        <v>84_2023</v>
      </c>
      <c r="B419" s="7">
        <v>418</v>
      </c>
      <c r="C419" s="7">
        <f>'Panel Data (Long Format)'!B419</f>
        <v>84</v>
      </c>
      <c r="D419" s="7" t="str">
        <f>'Panel Data (Long Format)'!C419</f>
        <v>MULTIVERSE</v>
      </c>
      <c r="E419" s="8" t="str">
        <f>'Panel Data (Long Format)'!D419</f>
        <v>Multiverse Mining and Exploration Plc</v>
      </c>
      <c r="F419" s="7" t="str">
        <f>'Panel Data (Long Format)'!E419</f>
        <v>NATURAL RESOURCES</v>
      </c>
      <c r="G419" s="7">
        <f>'Panel Data (Long Format)'!F419</f>
        <v>2023</v>
      </c>
      <c r="H419" s="9">
        <v>0</v>
      </c>
      <c r="I419" s="9">
        <v>0</v>
      </c>
      <c r="J419" s="9">
        <v>0</v>
      </c>
      <c r="K419" s="9">
        <v>0</v>
      </c>
      <c r="L419" s="9">
        <v>0</v>
      </c>
      <c r="M419" s="9">
        <v>0</v>
      </c>
      <c r="N419" s="9">
        <v>0</v>
      </c>
      <c r="O419" s="9">
        <v>0</v>
      </c>
      <c r="P419" s="9">
        <v>0</v>
      </c>
      <c r="Q419" s="9">
        <v>0</v>
      </c>
      <c r="R419" s="9">
        <v>0</v>
      </c>
      <c r="S419" s="9">
        <v>0</v>
      </c>
      <c r="T419" s="9">
        <v>0</v>
      </c>
      <c r="U419" s="9">
        <v>0</v>
      </c>
      <c r="V419" s="9">
        <v>0</v>
      </c>
      <c r="W419" s="9">
        <v>0</v>
      </c>
      <c r="X419" s="9">
        <v>0</v>
      </c>
      <c r="Y419" s="9">
        <v>0</v>
      </c>
      <c r="Z419" s="9">
        <v>0</v>
      </c>
      <c r="AA419" s="9">
        <v>0</v>
      </c>
      <c r="AB419" s="10">
        <f t="shared" si="31"/>
        <v>0</v>
      </c>
      <c r="AC419" s="10">
        <f t="shared" si="32"/>
        <v>0</v>
      </c>
      <c r="AD419" s="9">
        <v>0</v>
      </c>
      <c r="AE419" s="9">
        <v>0</v>
      </c>
      <c r="AF419" s="9">
        <v>0</v>
      </c>
      <c r="AG419" s="9">
        <v>0</v>
      </c>
      <c r="AH419" s="9">
        <v>0</v>
      </c>
      <c r="AI419" s="9">
        <v>0</v>
      </c>
      <c r="AJ419" s="9">
        <v>0</v>
      </c>
      <c r="AK419" s="9">
        <v>0</v>
      </c>
      <c r="AL419" s="9">
        <v>0</v>
      </c>
      <c r="AM419" s="9">
        <v>0</v>
      </c>
      <c r="AN419" s="9">
        <v>0</v>
      </c>
      <c r="AO419" s="9">
        <v>0</v>
      </c>
      <c r="AP419" s="9">
        <v>0</v>
      </c>
      <c r="AQ419" s="9">
        <v>0</v>
      </c>
      <c r="AR419" s="9">
        <v>0</v>
      </c>
      <c r="AS419" s="10">
        <f t="shared" si="33"/>
        <v>0</v>
      </c>
      <c r="AT419" s="10">
        <f t="shared" si="34"/>
        <v>0</v>
      </c>
      <c r="AU419" s="5" t="s">
        <v>508</v>
      </c>
    </row>
    <row r="420" spans="1:47" ht="15" customHeight="1" x14ac:dyDescent="0.3">
      <c r="A420" s="7" t="str">
        <f t="shared" si="30"/>
        <v>84_2024</v>
      </c>
      <c r="B420" s="7">
        <v>419</v>
      </c>
      <c r="C420" s="7">
        <f>'Panel Data (Long Format)'!B420</f>
        <v>84</v>
      </c>
      <c r="D420" s="7" t="str">
        <f>'Panel Data (Long Format)'!C420</f>
        <v>MULTIVERSE</v>
      </c>
      <c r="E420" s="8" t="str">
        <f>'Panel Data (Long Format)'!D420</f>
        <v>Multiverse Mining and Exploration Plc</v>
      </c>
      <c r="F420" s="7" t="str">
        <f>'Panel Data (Long Format)'!E420</f>
        <v>NATURAL RESOURCES</v>
      </c>
      <c r="G420" s="7">
        <f>'Panel Data (Long Format)'!F420</f>
        <v>2024</v>
      </c>
      <c r="H420" s="9">
        <v>0</v>
      </c>
      <c r="I420" s="9">
        <v>0</v>
      </c>
      <c r="J420" s="9">
        <v>0</v>
      </c>
      <c r="K420" s="9">
        <v>0</v>
      </c>
      <c r="L420" s="9">
        <v>0</v>
      </c>
      <c r="M420" s="9">
        <v>0</v>
      </c>
      <c r="N420" s="9">
        <v>0</v>
      </c>
      <c r="O420" s="9">
        <v>0</v>
      </c>
      <c r="P420" s="9">
        <v>0</v>
      </c>
      <c r="Q420" s="9">
        <v>0</v>
      </c>
      <c r="R420" s="9">
        <v>0</v>
      </c>
      <c r="S420" s="9">
        <v>0</v>
      </c>
      <c r="T420" s="9">
        <v>0</v>
      </c>
      <c r="U420" s="9">
        <v>0</v>
      </c>
      <c r="V420" s="9">
        <v>0</v>
      </c>
      <c r="W420" s="9">
        <v>0</v>
      </c>
      <c r="X420" s="9">
        <v>0</v>
      </c>
      <c r="Y420" s="9">
        <v>0</v>
      </c>
      <c r="Z420" s="9">
        <v>0</v>
      </c>
      <c r="AA420" s="9">
        <v>0</v>
      </c>
      <c r="AB420" s="10">
        <f t="shared" si="31"/>
        <v>0</v>
      </c>
      <c r="AC420" s="10">
        <f t="shared" si="32"/>
        <v>0</v>
      </c>
      <c r="AD420" s="9">
        <v>0</v>
      </c>
      <c r="AE420" s="9">
        <v>0</v>
      </c>
      <c r="AF420" s="9">
        <v>0</v>
      </c>
      <c r="AG420" s="9">
        <v>0</v>
      </c>
      <c r="AH420" s="9">
        <v>0</v>
      </c>
      <c r="AI420" s="9">
        <v>0</v>
      </c>
      <c r="AJ420" s="9">
        <v>0</v>
      </c>
      <c r="AK420" s="9">
        <v>0</v>
      </c>
      <c r="AL420" s="9">
        <v>0</v>
      </c>
      <c r="AM420" s="9">
        <v>0</v>
      </c>
      <c r="AN420" s="9">
        <v>0</v>
      </c>
      <c r="AO420" s="9">
        <v>0</v>
      </c>
      <c r="AP420" s="9">
        <v>0</v>
      </c>
      <c r="AQ420" s="9">
        <v>0</v>
      </c>
      <c r="AR420" s="9">
        <v>0</v>
      </c>
      <c r="AS420" s="10">
        <f t="shared" si="33"/>
        <v>0</v>
      </c>
      <c r="AT420" s="10">
        <f t="shared" si="34"/>
        <v>0</v>
      </c>
      <c r="AU420" s="5" t="s">
        <v>508</v>
      </c>
    </row>
    <row r="421" spans="1:47" ht="15" customHeight="1" x14ac:dyDescent="0.3">
      <c r="A421" s="7" t="str">
        <f t="shared" si="30"/>
        <v>84_2025</v>
      </c>
      <c r="B421" s="7">
        <v>420</v>
      </c>
      <c r="C421" s="7">
        <f>'Panel Data (Long Format)'!B421</f>
        <v>84</v>
      </c>
      <c r="D421" s="7" t="str">
        <f>'Panel Data (Long Format)'!C421</f>
        <v>MULTIVERSE</v>
      </c>
      <c r="E421" s="8" t="str">
        <f>'Panel Data (Long Format)'!D421</f>
        <v>Multiverse Mining and Exploration Plc</v>
      </c>
      <c r="F421" s="7" t="str">
        <f>'Panel Data (Long Format)'!E421</f>
        <v>NATURAL RESOURCES</v>
      </c>
      <c r="G421" s="7">
        <f>'Panel Data (Long Format)'!F421</f>
        <v>2025</v>
      </c>
      <c r="H421" s="9">
        <v>0</v>
      </c>
      <c r="I421" s="9">
        <v>0</v>
      </c>
      <c r="J421" s="9">
        <v>0</v>
      </c>
      <c r="K421" s="9">
        <v>0</v>
      </c>
      <c r="L421" s="9">
        <v>0</v>
      </c>
      <c r="M421" s="9">
        <v>0</v>
      </c>
      <c r="N421" s="9">
        <v>0</v>
      </c>
      <c r="O421" s="9">
        <v>0</v>
      </c>
      <c r="P421" s="9">
        <v>0</v>
      </c>
      <c r="Q421" s="9">
        <v>0</v>
      </c>
      <c r="R421" s="9">
        <v>0</v>
      </c>
      <c r="S421" s="9">
        <v>0</v>
      </c>
      <c r="T421" s="9">
        <v>0</v>
      </c>
      <c r="U421" s="9">
        <v>0</v>
      </c>
      <c r="V421" s="9">
        <v>0</v>
      </c>
      <c r="W421" s="9">
        <v>0</v>
      </c>
      <c r="X421" s="9">
        <v>0</v>
      </c>
      <c r="Y421" s="9">
        <v>0</v>
      </c>
      <c r="Z421" s="9">
        <v>0</v>
      </c>
      <c r="AA421" s="9">
        <v>0</v>
      </c>
      <c r="AB421" s="10">
        <f t="shared" si="31"/>
        <v>0</v>
      </c>
      <c r="AC421" s="10">
        <f t="shared" si="32"/>
        <v>0</v>
      </c>
      <c r="AD421" s="9">
        <v>0</v>
      </c>
      <c r="AE421" s="9">
        <v>0</v>
      </c>
      <c r="AF421" s="9">
        <v>0</v>
      </c>
      <c r="AG421" s="9">
        <v>0</v>
      </c>
      <c r="AH421" s="9">
        <v>0</v>
      </c>
      <c r="AI421" s="9">
        <v>0</v>
      </c>
      <c r="AJ421" s="9">
        <v>0</v>
      </c>
      <c r="AK421" s="9">
        <v>0</v>
      </c>
      <c r="AL421" s="9">
        <v>0</v>
      </c>
      <c r="AM421" s="9">
        <v>0</v>
      </c>
      <c r="AN421" s="9">
        <v>0</v>
      </c>
      <c r="AO421" s="9">
        <v>0</v>
      </c>
      <c r="AP421" s="9">
        <v>0</v>
      </c>
      <c r="AQ421" s="9">
        <v>0</v>
      </c>
      <c r="AR421" s="9">
        <v>0</v>
      </c>
      <c r="AS421" s="10">
        <f t="shared" si="33"/>
        <v>0</v>
      </c>
      <c r="AT421" s="10">
        <f t="shared" si="34"/>
        <v>0</v>
      </c>
      <c r="AU421" s="5" t="s">
        <v>508</v>
      </c>
    </row>
    <row r="422" spans="1:47" ht="15" customHeight="1" x14ac:dyDescent="0.3">
      <c r="A422" s="7" t="str">
        <f t="shared" si="30"/>
        <v>85_2021</v>
      </c>
      <c r="B422" s="7">
        <v>421</v>
      </c>
      <c r="C422" s="7">
        <f>'Panel Data (Long Format)'!B422</f>
        <v>85</v>
      </c>
      <c r="D422" s="7" t="str">
        <f>'Panel Data (Long Format)'!C422</f>
        <v>NAHCO</v>
      </c>
      <c r="E422" s="8" t="str">
        <f>'Panel Data (Long Format)'!D422</f>
        <v>Nigerian Aviation Handling Company (NAHCO) Plc</v>
      </c>
      <c r="F422" s="7" t="str">
        <f>'Panel Data (Long Format)'!E422</f>
        <v>SERVICES</v>
      </c>
      <c r="G422" s="7">
        <f>'Panel Data (Long Format)'!F422</f>
        <v>2021</v>
      </c>
      <c r="H422" s="9">
        <v>0</v>
      </c>
      <c r="I422" s="9">
        <v>0</v>
      </c>
      <c r="J422" s="9">
        <v>0</v>
      </c>
      <c r="K422" s="9">
        <v>0</v>
      </c>
      <c r="L422" s="9">
        <v>0</v>
      </c>
      <c r="M422" s="9">
        <v>1</v>
      </c>
      <c r="N422" s="9">
        <v>0</v>
      </c>
      <c r="O422" s="9">
        <v>1</v>
      </c>
      <c r="P422" s="9">
        <v>0</v>
      </c>
      <c r="Q422" s="9">
        <v>0</v>
      </c>
      <c r="R422" s="9">
        <v>0</v>
      </c>
      <c r="S422" s="9">
        <v>0</v>
      </c>
      <c r="T422" s="9">
        <v>0</v>
      </c>
      <c r="U422" s="9">
        <v>0</v>
      </c>
      <c r="V422" s="9">
        <v>0</v>
      </c>
      <c r="W422" s="9">
        <v>1</v>
      </c>
      <c r="X422" s="9">
        <v>0</v>
      </c>
      <c r="Y422" s="9">
        <v>0</v>
      </c>
      <c r="Z422" s="9">
        <v>0</v>
      </c>
      <c r="AA422" s="9">
        <v>0</v>
      </c>
      <c r="AB422" s="10">
        <f t="shared" si="31"/>
        <v>3</v>
      </c>
      <c r="AC422" s="10">
        <f t="shared" si="32"/>
        <v>15</v>
      </c>
      <c r="AD422" s="9">
        <v>0</v>
      </c>
      <c r="AE422" s="9">
        <v>0</v>
      </c>
      <c r="AF422" s="9">
        <v>0</v>
      </c>
      <c r="AG422" s="9">
        <v>0</v>
      </c>
      <c r="AH422" s="9">
        <v>0</v>
      </c>
      <c r="AI422" s="9">
        <v>0</v>
      </c>
      <c r="AJ422" s="9">
        <v>0</v>
      </c>
      <c r="AK422" s="9">
        <v>0</v>
      </c>
      <c r="AL422" s="9">
        <v>0</v>
      </c>
      <c r="AM422" s="9">
        <v>0</v>
      </c>
      <c r="AN422" s="9">
        <v>0</v>
      </c>
      <c r="AO422" s="9">
        <v>0</v>
      </c>
      <c r="AP422" s="9">
        <v>0</v>
      </c>
      <c r="AQ422" s="9">
        <v>0</v>
      </c>
      <c r="AR422" s="9">
        <v>0</v>
      </c>
      <c r="AS422" s="10">
        <f t="shared" si="33"/>
        <v>0</v>
      </c>
      <c r="AT422" s="10">
        <f t="shared" si="34"/>
        <v>0</v>
      </c>
      <c r="AU422" s="5" t="s">
        <v>509</v>
      </c>
    </row>
    <row r="423" spans="1:47" ht="15" customHeight="1" x14ac:dyDescent="0.3">
      <c r="A423" s="7" t="str">
        <f t="shared" si="30"/>
        <v>85_2022</v>
      </c>
      <c r="B423" s="7">
        <v>422</v>
      </c>
      <c r="C423" s="7">
        <f>'Panel Data (Long Format)'!B423</f>
        <v>85</v>
      </c>
      <c r="D423" s="7" t="str">
        <f>'Panel Data (Long Format)'!C423</f>
        <v>NAHCO</v>
      </c>
      <c r="E423" s="8" t="str">
        <f>'Panel Data (Long Format)'!D423</f>
        <v>Nigerian Aviation Handling Company (NAHCO) Plc</v>
      </c>
      <c r="F423" s="7" t="str">
        <f>'Panel Data (Long Format)'!E423</f>
        <v>SERVICES</v>
      </c>
      <c r="G423" s="7">
        <f>'Panel Data (Long Format)'!F423</f>
        <v>2022</v>
      </c>
      <c r="H423" s="9">
        <v>0</v>
      </c>
      <c r="I423" s="9">
        <v>0</v>
      </c>
      <c r="J423" s="9">
        <v>0</v>
      </c>
      <c r="K423" s="9">
        <v>0</v>
      </c>
      <c r="L423" s="9">
        <v>0</v>
      </c>
      <c r="M423" s="9">
        <v>1</v>
      </c>
      <c r="N423" s="9">
        <v>0</v>
      </c>
      <c r="O423" s="9">
        <v>1</v>
      </c>
      <c r="P423" s="9">
        <v>0</v>
      </c>
      <c r="Q423" s="9">
        <v>0</v>
      </c>
      <c r="R423" s="9">
        <v>0</v>
      </c>
      <c r="S423" s="9">
        <v>0</v>
      </c>
      <c r="T423" s="9">
        <v>0</v>
      </c>
      <c r="U423" s="9">
        <v>0</v>
      </c>
      <c r="V423" s="9">
        <v>0</v>
      </c>
      <c r="W423" s="9">
        <v>1</v>
      </c>
      <c r="X423" s="9">
        <v>0</v>
      </c>
      <c r="Y423" s="9">
        <v>0</v>
      </c>
      <c r="Z423" s="9">
        <v>0</v>
      </c>
      <c r="AA423" s="9">
        <v>0</v>
      </c>
      <c r="AB423" s="10">
        <f t="shared" si="31"/>
        <v>3</v>
      </c>
      <c r="AC423" s="10">
        <f t="shared" si="32"/>
        <v>15</v>
      </c>
      <c r="AD423" s="9">
        <v>0</v>
      </c>
      <c r="AE423" s="9">
        <v>0</v>
      </c>
      <c r="AF423" s="9">
        <v>0</v>
      </c>
      <c r="AG423" s="9">
        <v>0</v>
      </c>
      <c r="AH423" s="9">
        <v>0</v>
      </c>
      <c r="AI423" s="9">
        <v>0</v>
      </c>
      <c r="AJ423" s="9">
        <v>0</v>
      </c>
      <c r="AK423" s="9">
        <v>0</v>
      </c>
      <c r="AL423" s="9">
        <v>0</v>
      </c>
      <c r="AM423" s="9">
        <v>0</v>
      </c>
      <c r="AN423" s="9">
        <v>0</v>
      </c>
      <c r="AO423" s="9">
        <v>0</v>
      </c>
      <c r="AP423" s="9">
        <v>0</v>
      </c>
      <c r="AQ423" s="9">
        <v>0</v>
      </c>
      <c r="AR423" s="9">
        <v>0</v>
      </c>
      <c r="AS423" s="10">
        <f t="shared" si="33"/>
        <v>0</v>
      </c>
      <c r="AT423" s="10">
        <f t="shared" si="34"/>
        <v>0</v>
      </c>
      <c r="AU423" s="5" t="s">
        <v>509</v>
      </c>
    </row>
    <row r="424" spans="1:47" ht="15" customHeight="1" x14ac:dyDescent="0.3">
      <c r="A424" s="7" t="str">
        <f t="shared" si="30"/>
        <v>85_2023</v>
      </c>
      <c r="B424" s="7">
        <v>423</v>
      </c>
      <c r="C424" s="7">
        <f>'Panel Data (Long Format)'!B424</f>
        <v>85</v>
      </c>
      <c r="D424" s="7" t="str">
        <f>'Panel Data (Long Format)'!C424</f>
        <v>NAHCO</v>
      </c>
      <c r="E424" s="8" t="str">
        <f>'Panel Data (Long Format)'!D424</f>
        <v>Nigerian Aviation Handling Company (NAHCO) Plc</v>
      </c>
      <c r="F424" s="7" t="str">
        <f>'Panel Data (Long Format)'!E424</f>
        <v>SERVICES</v>
      </c>
      <c r="G424" s="7">
        <f>'Panel Data (Long Format)'!F424</f>
        <v>2023</v>
      </c>
      <c r="H424" s="9">
        <v>0</v>
      </c>
      <c r="I424" s="9">
        <v>0</v>
      </c>
      <c r="J424" s="9">
        <v>0</v>
      </c>
      <c r="K424" s="9">
        <v>0</v>
      </c>
      <c r="L424" s="9">
        <v>0</v>
      </c>
      <c r="M424" s="9">
        <v>1</v>
      </c>
      <c r="N424" s="9">
        <v>0</v>
      </c>
      <c r="O424" s="9">
        <v>1</v>
      </c>
      <c r="P424" s="9">
        <v>0</v>
      </c>
      <c r="Q424" s="9">
        <v>0</v>
      </c>
      <c r="R424" s="9">
        <v>0</v>
      </c>
      <c r="S424" s="9">
        <v>0</v>
      </c>
      <c r="T424" s="9">
        <v>0</v>
      </c>
      <c r="U424" s="9">
        <v>0</v>
      </c>
      <c r="V424" s="9">
        <v>0</v>
      </c>
      <c r="W424" s="9">
        <v>1</v>
      </c>
      <c r="X424" s="9">
        <v>0</v>
      </c>
      <c r="Y424" s="9">
        <v>0</v>
      </c>
      <c r="Z424" s="9">
        <v>0</v>
      </c>
      <c r="AA424" s="9">
        <v>0</v>
      </c>
      <c r="AB424" s="10">
        <f t="shared" si="31"/>
        <v>3</v>
      </c>
      <c r="AC424" s="10">
        <f t="shared" si="32"/>
        <v>15</v>
      </c>
      <c r="AD424" s="9">
        <v>0</v>
      </c>
      <c r="AE424" s="9">
        <v>0</v>
      </c>
      <c r="AF424" s="9">
        <v>0</v>
      </c>
      <c r="AG424" s="9">
        <v>0</v>
      </c>
      <c r="AH424" s="9">
        <v>0</v>
      </c>
      <c r="AI424" s="9">
        <v>0</v>
      </c>
      <c r="AJ424" s="9">
        <v>0</v>
      </c>
      <c r="AK424" s="9">
        <v>0</v>
      </c>
      <c r="AL424" s="9">
        <v>0</v>
      </c>
      <c r="AM424" s="9">
        <v>0</v>
      </c>
      <c r="AN424" s="9">
        <v>0</v>
      </c>
      <c r="AO424" s="9">
        <v>0</v>
      </c>
      <c r="AP424" s="9">
        <v>0</v>
      </c>
      <c r="AQ424" s="9">
        <v>0</v>
      </c>
      <c r="AR424" s="9">
        <v>0</v>
      </c>
      <c r="AS424" s="10">
        <f t="shared" si="33"/>
        <v>0</v>
      </c>
      <c r="AT424" s="10">
        <f t="shared" si="34"/>
        <v>0</v>
      </c>
      <c r="AU424" s="5" t="s">
        <v>509</v>
      </c>
    </row>
    <row r="425" spans="1:47" ht="15" customHeight="1" x14ac:dyDescent="0.3">
      <c r="A425" s="7" t="str">
        <f t="shared" si="30"/>
        <v>85_2024</v>
      </c>
      <c r="B425" s="7">
        <v>424</v>
      </c>
      <c r="C425" s="7">
        <f>'Panel Data (Long Format)'!B425</f>
        <v>85</v>
      </c>
      <c r="D425" s="7" t="str">
        <f>'Panel Data (Long Format)'!C425</f>
        <v>NAHCO</v>
      </c>
      <c r="E425" s="8" t="str">
        <f>'Panel Data (Long Format)'!D425</f>
        <v>Nigerian Aviation Handling Company (NAHCO) Plc</v>
      </c>
      <c r="F425" s="7" t="str">
        <f>'Panel Data (Long Format)'!E425</f>
        <v>SERVICES</v>
      </c>
      <c r="G425" s="7">
        <f>'Panel Data (Long Format)'!F425</f>
        <v>2024</v>
      </c>
      <c r="H425" s="9">
        <v>0</v>
      </c>
      <c r="I425" s="9">
        <v>0</v>
      </c>
      <c r="J425" s="9">
        <v>0</v>
      </c>
      <c r="K425" s="9">
        <v>0</v>
      </c>
      <c r="L425" s="9">
        <v>0</v>
      </c>
      <c r="M425" s="9">
        <v>1</v>
      </c>
      <c r="N425" s="9">
        <v>0</v>
      </c>
      <c r="O425" s="9">
        <v>1</v>
      </c>
      <c r="P425" s="9">
        <v>0</v>
      </c>
      <c r="Q425" s="9">
        <v>0</v>
      </c>
      <c r="R425" s="9">
        <v>0</v>
      </c>
      <c r="S425" s="9">
        <v>0</v>
      </c>
      <c r="T425" s="9">
        <v>0</v>
      </c>
      <c r="U425" s="9">
        <v>0</v>
      </c>
      <c r="V425" s="9">
        <v>0</v>
      </c>
      <c r="W425" s="9">
        <v>1</v>
      </c>
      <c r="X425" s="9">
        <v>0</v>
      </c>
      <c r="Y425" s="9">
        <v>0</v>
      </c>
      <c r="Z425" s="9">
        <v>0</v>
      </c>
      <c r="AA425" s="9">
        <v>0</v>
      </c>
      <c r="AB425" s="10">
        <f t="shared" si="31"/>
        <v>3</v>
      </c>
      <c r="AC425" s="10">
        <f t="shared" si="32"/>
        <v>15</v>
      </c>
      <c r="AD425" s="9">
        <v>0</v>
      </c>
      <c r="AE425" s="9">
        <v>0</v>
      </c>
      <c r="AF425" s="9">
        <v>0</v>
      </c>
      <c r="AG425" s="9">
        <v>0</v>
      </c>
      <c r="AH425" s="9">
        <v>0</v>
      </c>
      <c r="AI425" s="9">
        <v>0</v>
      </c>
      <c r="AJ425" s="9">
        <v>0</v>
      </c>
      <c r="AK425" s="9">
        <v>0</v>
      </c>
      <c r="AL425" s="9">
        <v>0</v>
      </c>
      <c r="AM425" s="9">
        <v>0</v>
      </c>
      <c r="AN425" s="9">
        <v>0</v>
      </c>
      <c r="AO425" s="9">
        <v>0</v>
      </c>
      <c r="AP425" s="9">
        <v>0</v>
      </c>
      <c r="AQ425" s="9">
        <v>0</v>
      </c>
      <c r="AR425" s="9">
        <v>0</v>
      </c>
      <c r="AS425" s="10">
        <f t="shared" si="33"/>
        <v>0</v>
      </c>
      <c r="AT425" s="10">
        <f t="shared" si="34"/>
        <v>0</v>
      </c>
      <c r="AU425" s="5" t="s">
        <v>509</v>
      </c>
    </row>
    <row r="426" spans="1:47" ht="15" customHeight="1" x14ac:dyDescent="0.3">
      <c r="A426" s="7" t="str">
        <f t="shared" si="30"/>
        <v>85_2025</v>
      </c>
      <c r="B426" s="7">
        <v>425</v>
      </c>
      <c r="C426" s="7">
        <f>'Panel Data (Long Format)'!B426</f>
        <v>85</v>
      </c>
      <c r="D426" s="7" t="str">
        <f>'Panel Data (Long Format)'!C426</f>
        <v>NAHCO</v>
      </c>
      <c r="E426" s="8" t="str">
        <f>'Panel Data (Long Format)'!D426</f>
        <v>Nigerian Aviation Handling Company (NAHCO) Plc</v>
      </c>
      <c r="F426" s="7" t="str">
        <f>'Panel Data (Long Format)'!E426</f>
        <v>SERVICES</v>
      </c>
      <c r="G426" s="7">
        <f>'Panel Data (Long Format)'!F426</f>
        <v>2025</v>
      </c>
      <c r="H426" s="9">
        <v>0</v>
      </c>
      <c r="I426" s="9">
        <v>0</v>
      </c>
      <c r="J426" s="9">
        <v>0</v>
      </c>
      <c r="K426" s="9">
        <v>0</v>
      </c>
      <c r="L426" s="9">
        <v>0</v>
      </c>
      <c r="M426" s="9">
        <v>1</v>
      </c>
      <c r="N426" s="9">
        <v>0</v>
      </c>
      <c r="O426" s="9">
        <v>1</v>
      </c>
      <c r="P426" s="9">
        <v>0</v>
      </c>
      <c r="Q426" s="9">
        <v>0</v>
      </c>
      <c r="R426" s="9">
        <v>0</v>
      </c>
      <c r="S426" s="9">
        <v>0</v>
      </c>
      <c r="T426" s="9">
        <v>0</v>
      </c>
      <c r="U426" s="9">
        <v>0</v>
      </c>
      <c r="V426" s="9">
        <v>0</v>
      </c>
      <c r="W426" s="9">
        <v>1</v>
      </c>
      <c r="X426" s="9">
        <v>0</v>
      </c>
      <c r="Y426" s="9">
        <v>0</v>
      </c>
      <c r="Z426" s="9">
        <v>0</v>
      </c>
      <c r="AA426" s="9">
        <v>0</v>
      </c>
      <c r="AB426" s="10">
        <f t="shared" si="31"/>
        <v>3</v>
      </c>
      <c r="AC426" s="10">
        <f t="shared" si="32"/>
        <v>15</v>
      </c>
      <c r="AD426" s="9">
        <v>0</v>
      </c>
      <c r="AE426" s="9">
        <v>0</v>
      </c>
      <c r="AF426" s="9">
        <v>0</v>
      </c>
      <c r="AG426" s="9">
        <v>0</v>
      </c>
      <c r="AH426" s="9">
        <v>0</v>
      </c>
      <c r="AI426" s="9">
        <v>0</v>
      </c>
      <c r="AJ426" s="9">
        <v>0</v>
      </c>
      <c r="AK426" s="9">
        <v>0</v>
      </c>
      <c r="AL426" s="9">
        <v>0</v>
      </c>
      <c r="AM426" s="9">
        <v>0</v>
      </c>
      <c r="AN426" s="9">
        <v>0</v>
      </c>
      <c r="AO426" s="9">
        <v>0</v>
      </c>
      <c r="AP426" s="9">
        <v>0</v>
      </c>
      <c r="AQ426" s="9">
        <v>0</v>
      </c>
      <c r="AR426" s="9">
        <v>0</v>
      </c>
      <c r="AS426" s="10">
        <f t="shared" si="33"/>
        <v>0</v>
      </c>
      <c r="AT426" s="10">
        <f t="shared" si="34"/>
        <v>0</v>
      </c>
      <c r="AU426" s="5" t="s">
        <v>509</v>
      </c>
    </row>
    <row r="427" spans="1:47" ht="15" customHeight="1" x14ac:dyDescent="0.3">
      <c r="A427" s="7" t="str">
        <f t="shared" si="30"/>
        <v>86_2021</v>
      </c>
      <c r="B427" s="7">
        <v>426</v>
      </c>
      <c r="C427" s="7">
        <f>'Panel Data (Long Format)'!B427</f>
        <v>86</v>
      </c>
      <c r="D427" s="7" t="str">
        <f>'Panel Data (Long Format)'!C427</f>
        <v>NASCON</v>
      </c>
      <c r="E427" s="8" t="str">
        <f>'Panel Data (Long Format)'!D427</f>
        <v>NASCON Allied Industries Plc</v>
      </c>
      <c r="F427" s="7" t="str">
        <f>'Panel Data (Long Format)'!E427</f>
        <v>CONSUMER GOODS</v>
      </c>
      <c r="G427" s="7">
        <f>'Panel Data (Long Format)'!F427</f>
        <v>2021</v>
      </c>
      <c r="H427" s="9">
        <v>0</v>
      </c>
      <c r="I427" s="9">
        <v>0</v>
      </c>
      <c r="J427" s="9">
        <v>0</v>
      </c>
      <c r="K427" s="9">
        <v>0</v>
      </c>
      <c r="L427" s="9">
        <v>0</v>
      </c>
      <c r="M427" s="9">
        <v>1</v>
      </c>
      <c r="N427" s="9">
        <v>0</v>
      </c>
      <c r="O427" s="9">
        <v>1</v>
      </c>
      <c r="P427" s="9">
        <v>0</v>
      </c>
      <c r="Q427" s="9">
        <v>0</v>
      </c>
      <c r="R427" s="9">
        <v>1</v>
      </c>
      <c r="S427" s="9">
        <v>0</v>
      </c>
      <c r="T427" s="9">
        <v>1</v>
      </c>
      <c r="U427" s="9">
        <v>0</v>
      </c>
      <c r="V427" s="9">
        <v>0</v>
      </c>
      <c r="W427" s="9">
        <v>1</v>
      </c>
      <c r="X427" s="9">
        <v>0</v>
      </c>
      <c r="Y427" s="9">
        <v>1</v>
      </c>
      <c r="Z427" s="9">
        <v>0</v>
      </c>
      <c r="AA427" s="9">
        <v>1</v>
      </c>
      <c r="AB427" s="10">
        <f t="shared" si="31"/>
        <v>7</v>
      </c>
      <c r="AC427" s="10">
        <f t="shared" si="32"/>
        <v>35</v>
      </c>
      <c r="AD427" s="9">
        <v>0</v>
      </c>
      <c r="AE427" s="9">
        <v>0</v>
      </c>
      <c r="AF427" s="9">
        <v>0</v>
      </c>
      <c r="AG427" s="9">
        <v>0</v>
      </c>
      <c r="AH427" s="9">
        <v>0</v>
      </c>
      <c r="AI427" s="9">
        <v>0</v>
      </c>
      <c r="AJ427" s="9">
        <v>0</v>
      </c>
      <c r="AK427" s="9">
        <v>0</v>
      </c>
      <c r="AL427" s="9">
        <v>0</v>
      </c>
      <c r="AM427" s="9">
        <v>0</v>
      </c>
      <c r="AN427" s="9">
        <v>0</v>
      </c>
      <c r="AO427" s="9">
        <v>0</v>
      </c>
      <c r="AP427" s="9">
        <v>0</v>
      </c>
      <c r="AQ427" s="9">
        <v>0</v>
      </c>
      <c r="AR427" s="9">
        <v>0</v>
      </c>
      <c r="AS427" s="10">
        <f t="shared" si="33"/>
        <v>0</v>
      </c>
      <c r="AT427" s="10">
        <f t="shared" si="34"/>
        <v>0</v>
      </c>
      <c r="AU427" s="5" t="s">
        <v>510</v>
      </c>
    </row>
    <row r="428" spans="1:47" ht="15" customHeight="1" x14ac:dyDescent="0.3">
      <c r="A428" s="7" t="str">
        <f t="shared" si="30"/>
        <v>86_2022</v>
      </c>
      <c r="B428" s="7">
        <v>427</v>
      </c>
      <c r="C428" s="7">
        <f>'Panel Data (Long Format)'!B428</f>
        <v>86</v>
      </c>
      <c r="D428" s="7" t="str">
        <f>'Panel Data (Long Format)'!C428</f>
        <v>NASCON</v>
      </c>
      <c r="E428" s="8" t="str">
        <f>'Panel Data (Long Format)'!D428</f>
        <v>NASCON Allied Industries Plc</v>
      </c>
      <c r="F428" s="7" t="str">
        <f>'Panel Data (Long Format)'!E428</f>
        <v>CONSUMER GOODS</v>
      </c>
      <c r="G428" s="7">
        <f>'Panel Data (Long Format)'!F428</f>
        <v>2022</v>
      </c>
      <c r="H428" s="9">
        <v>0</v>
      </c>
      <c r="I428" s="9">
        <v>0</v>
      </c>
      <c r="J428" s="9">
        <v>0</v>
      </c>
      <c r="K428" s="9">
        <v>0</v>
      </c>
      <c r="L428" s="9">
        <v>0</v>
      </c>
      <c r="M428" s="9">
        <v>1</v>
      </c>
      <c r="N428" s="9">
        <v>0</v>
      </c>
      <c r="O428" s="9">
        <v>1</v>
      </c>
      <c r="P428" s="9">
        <v>0</v>
      </c>
      <c r="Q428" s="9">
        <v>0</v>
      </c>
      <c r="R428" s="9">
        <v>1</v>
      </c>
      <c r="S428" s="9">
        <v>0</v>
      </c>
      <c r="T428" s="9">
        <v>1</v>
      </c>
      <c r="U428" s="9">
        <v>0</v>
      </c>
      <c r="V428" s="9">
        <v>0</v>
      </c>
      <c r="W428" s="9">
        <v>1</v>
      </c>
      <c r="X428" s="9">
        <v>0</v>
      </c>
      <c r="Y428" s="9">
        <v>1</v>
      </c>
      <c r="Z428" s="9">
        <v>0</v>
      </c>
      <c r="AA428" s="9">
        <v>1</v>
      </c>
      <c r="AB428" s="10">
        <f t="shared" si="31"/>
        <v>7</v>
      </c>
      <c r="AC428" s="10">
        <f t="shared" si="32"/>
        <v>35</v>
      </c>
      <c r="AD428" s="9">
        <v>0</v>
      </c>
      <c r="AE428" s="9">
        <v>0</v>
      </c>
      <c r="AF428" s="9">
        <v>0</v>
      </c>
      <c r="AG428" s="9">
        <v>0</v>
      </c>
      <c r="AH428" s="9">
        <v>0</v>
      </c>
      <c r="AI428" s="9">
        <v>0</v>
      </c>
      <c r="AJ428" s="9">
        <v>0</v>
      </c>
      <c r="AK428" s="9">
        <v>0</v>
      </c>
      <c r="AL428" s="9">
        <v>0</v>
      </c>
      <c r="AM428" s="9">
        <v>0</v>
      </c>
      <c r="AN428" s="9">
        <v>0</v>
      </c>
      <c r="AO428" s="9">
        <v>0</v>
      </c>
      <c r="AP428" s="9">
        <v>0</v>
      </c>
      <c r="AQ428" s="9">
        <v>0</v>
      </c>
      <c r="AR428" s="9">
        <v>0</v>
      </c>
      <c r="AS428" s="10">
        <f t="shared" si="33"/>
        <v>0</v>
      </c>
      <c r="AT428" s="10">
        <f t="shared" si="34"/>
        <v>0</v>
      </c>
      <c r="AU428" s="5" t="s">
        <v>510</v>
      </c>
    </row>
    <row r="429" spans="1:47" ht="15" customHeight="1" x14ac:dyDescent="0.3">
      <c r="A429" s="7" t="str">
        <f t="shared" si="30"/>
        <v>86_2023</v>
      </c>
      <c r="B429" s="7">
        <v>428</v>
      </c>
      <c r="C429" s="7">
        <f>'Panel Data (Long Format)'!B429</f>
        <v>86</v>
      </c>
      <c r="D429" s="7" t="str">
        <f>'Panel Data (Long Format)'!C429</f>
        <v>NASCON</v>
      </c>
      <c r="E429" s="8" t="str">
        <f>'Panel Data (Long Format)'!D429</f>
        <v>NASCON Allied Industries Plc</v>
      </c>
      <c r="F429" s="7" t="str">
        <f>'Panel Data (Long Format)'!E429</f>
        <v>CONSUMER GOODS</v>
      </c>
      <c r="G429" s="7">
        <f>'Panel Data (Long Format)'!F429</f>
        <v>2023</v>
      </c>
      <c r="H429" s="9">
        <v>0</v>
      </c>
      <c r="I429" s="9">
        <v>0</v>
      </c>
      <c r="J429" s="9">
        <v>0</v>
      </c>
      <c r="K429" s="9">
        <v>0</v>
      </c>
      <c r="L429" s="9">
        <v>0</v>
      </c>
      <c r="M429" s="9">
        <v>1</v>
      </c>
      <c r="N429" s="9">
        <v>0</v>
      </c>
      <c r="O429" s="9">
        <v>1</v>
      </c>
      <c r="P429" s="9">
        <v>0</v>
      </c>
      <c r="Q429" s="9">
        <v>0</v>
      </c>
      <c r="R429" s="9">
        <v>1</v>
      </c>
      <c r="S429" s="9">
        <v>0</v>
      </c>
      <c r="T429" s="9">
        <v>1</v>
      </c>
      <c r="U429" s="9">
        <v>0</v>
      </c>
      <c r="V429" s="9">
        <v>0</v>
      </c>
      <c r="W429" s="9">
        <v>1</v>
      </c>
      <c r="X429" s="9">
        <v>0</v>
      </c>
      <c r="Y429" s="9">
        <v>1</v>
      </c>
      <c r="Z429" s="9">
        <v>0</v>
      </c>
      <c r="AA429" s="9">
        <v>1</v>
      </c>
      <c r="AB429" s="10">
        <f t="shared" si="31"/>
        <v>7</v>
      </c>
      <c r="AC429" s="10">
        <f t="shared" si="32"/>
        <v>35</v>
      </c>
      <c r="AD429" s="9">
        <v>0</v>
      </c>
      <c r="AE429" s="9">
        <v>0</v>
      </c>
      <c r="AF429" s="9">
        <v>0</v>
      </c>
      <c r="AG429" s="9">
        <v>0</v>
      </c>
      <c r="AH429" s="9">
        <v>0</v>
      </c>
      <c r="AI429" s="9">
        <v>0</v>
      </c>
      <c r="AJ429" s="9">
        <v>0</v>
      </c>
      <c r="AK429" s="9">
        <v>0</v>
      </c>
      <c r="AL429" s="9">
        <v>0</v>
      </c>
      <c r="AM429" s="9">
        <v>0</v>
      </c>
      <c r="AN429" s="9">
        <v>0</v>
      </c>
      <c r="AO429" s="9">
        <v>0</v>
      </c>
      <c r="AP429" s="9">
        <v>0</v>
      </c>
      <c r="AQ429" s="9">
        <v>0</v>
      </c>
      <c r="AR429" s="9">
        <v>0</v>
      </c>
      <c r="AS429" s="10">
        <f t="shared" si="33"/>
        <v>0</v>
      </c>
      <c r="AT429" s="10">
        <f t="shared" si="34"/>
        <v>0</v>
      </c>
      <c r="AU429" s="5" t="s">
        <v>510</v>
      </c>
    </row>
    <row r="430" spans="1:47" ht="15" customHeight="1" x14ac:dyDescent="0.3">
      <c r="A430" s="7" t="str">
        <f t="shared" si="30"/>
        <v>86_2024</v>
      </c>
      <c r="B430" s="7">
        <v>429</v>
      </c>
      <c r="C430" s="7">
        <f>'Panel Data (Long Format)'!B430</f>
        <v>86</v>
      </c>
      <c r="D430" s="7" t="str">
        <f>'Panel Data (Long Format)'!C430</f>
        <v>NASCON</v>
      </c>
      <c r="E430" s="8" t="str">
        <f>'Panel Data (Long Format)'!D430</f>
        <v>NASCON Allied Industries Plc</v>
      </c>
      <c r="F430" s="7" t="str">
        <f>'Panel Data (Long Format)'!E430</f>
        <v>CONSUMER GOODS</v>
      </c>
      <c r="G430" s="7">
        <f>'Panel Data (Long Format)'!F430</f>
        <v>2024</v>
      </c>
      <c r="H430" s="9">
        <v>0</v>
      </c>
      <c r="I430" s="9">
        <v>0</v>
      </c>
      <c r="J430" s="9">
        <v>0</v>
      </c>
      <c r="K430" s="9">
        <v>0</v>
      </c>
      <c r="L430" s="9">
        <v>0</v>
      </c>
      <c r="M430" s="9">
        <v>1</v>
      </c>
      <c r="N430" s="9">
        <v>0</v>
      </c>
      <c r="O430" s="9">
        <v>1</v>
      </c>
      <c r="P430" s="9">
        <v>0</v>
      </c>
      <c r="Q430" s="9">
        <v>0</v>
      </c>
      <c r="R430" s="9">
        <v>1</v>
      </c>
      <c r="S430" s="9">
        <v>0</v>
      </c>
      <c r="T430" s="9">
        <v>1</v>
      </c>
      <c r="U430" s="9">
        <v>0</v>
      </c>
      <c r="V430" s="9">
        <v>0</v>
      </c>
      <c r="W430" s="9">
        <v>1</v>
      </c>
      <c r="X430" s="9">
        <v>0</v>
      </c>
      <c r="Y430" s="9">
        <v>1</v>
      </c>
      <c r="Z430" s="9">
        <v>0</v>
      </c>
      <c r="AA430" s="9">
        <v>1</v>
      </c>
      <c r="AB430" s="10">
        <f t="shared" si="31"/>
        <v>7</v>
      </c>
      <c r="AC430" s="10">
        <f t="shared" si="32"/>
        <v>35</v>
      </c>
      <c r="AD430" s="9">
        <v>0</v>
      </c>
      <c r="AE430" s="9">
        <v>0</v>
      </c>
      <c r="AF430" s="9">
        <v>0</v>
      </c>
      <c r="AG430" s="9">
        <v>0</v>
      </c>
      <c r="AH430" s="9">
        <v>0</v>
      </c>
      <c r="AI430" s="9">
        <v>0</v>
      </c>
      <c r="AJ430" s="9">
        <v>0</v>
      </c>
      <c r="AK430" s="9">
        <v>0</v>
      </c>
      <c r="AL430" s="9">
        <v>0</v>
      </c>
      <c r="AM430" s="9">
        <v>0</v>
      </c>
      <c r="AN430" s="9">
        <v>0</v>
      </c>
      <c r="AO430" s="9">
        <v>0</v>
      </c>
      <c r="AP430" s="9">
        <v>0</v>
      </c>
      <c r="AQ430" s="9">
        <v>0</v>
      </c>
      <c r="AR430" s="9">
        <v>0</v>
      </c>
      <c r="AS430" s="10">
        <f t="shared" si="33"/>
        <v>0</v>
      </c>
      <c r="AT430" s="10">
        <f t="shared" si="34"/>
        <v>0</v>
      </c>
      <c r="AU430" s="5" t="s">
        <v>510</v>
      </c>
    </row>
    <row r="431" spans="1:47" ht="15" customHeight="1" x14ac:dyDescent="0.3">
      <c r="A431" s="7" t="str">
        <f t="shared" si="30"/>
        <v>86_2025</v>
      </c>
      <c r="B431" s="7">
        <v>430</v>
      </c>
      <c r="C431" s="7">
        <f>'Panel Data (Long Format)'!B431</f>
        <v>86</v>
      </c>
      <c r="D431" s="7" t="str">
        <f>'Panel Data (Long Format)'!C431</f>
        <v>NASCON</v>
      </c>
      <c r="E431" s="8" t="str">
        <f>'Panel Data (Long Format)'!D431</f>
        <v>NASCON Allied Industries Plc</v>
      </c>
      <c r="F431" s="7" t="str">
        <f>'Panel Data (Long Format)'!E431</f>
        <v>CONSUMER GOODS</v>
      </c>
      <c r="G431" s="7">
        <f>'Panel Data (Long Format)'!F431</f>
        <v>2025</v>
      </c>
      <c r="H431" s="9">
        <v>1</v>
      </c>
      <c r="I431" s="9">
        <v>0</v>
      </c>
      <c r="J431" s="9">
        <v>0</v>
      </c>
      <c r="K431" s="9">
        <v>1</v>
      </c>
      <c r="L431" s="9">
        <v>0</v>
      </c>
      <c r="M431" s="9">
        <v>1</v>
      </c>
      <c r="N431" s="9">
        <v>1</v>
      </c>
      <c r="O431" s="9">
        <v>1</v>
      </c>
      <c r="P431" s="9">
        <v>1</v>
      </c>
      <c r="Q431" s="9">
        <v>1</v>
      </c>
      <c r="R431" s="9">
        <v>1</v>
      </c>
      <c r="S431" s="9">
        <v>1</v>
      </c>
      <c r="T431" s="9">
        <v>1</v>
      </c>
      <c r="U431" s="9">
        <v>0</v>
      </c>
      <c r="V431" s="9">
        <v>1</v>
      </c>
      <c r="W431" s="9">
        <v>1</v>
      </c>
      <c r="X431" s="9">
        <v>1</v>
      </c>
      <c r="Y431" s="9">
        <v>1</v>
      </c>
      <c r="Z431" s="9">
        <v>0</v>
      </c>
      <c r="AA431" s="9">
        <v>1</v>
      </c>
      <c r="AB431" s="10">
        <f t="shared" si="31"/>
        <v>15</v>
      </c>
      <c r="AC431" s="10">
        <f t="shared" si="32"/>
        <v>75</v>
      </c>
      <c r="AD431" s="9">
        <v>0</v>
      </c>
      <c r="AE431" s="9">
        <v>0</v>
      </c>
      <c r="AF431" s="9">
        <v>0</v>
      </c>
      <c r="AG431" s="9">
        <v>1</v>
      </c>
      <c r="AH431" s="9">
        <v>1</v>
      </c>
      <c r="AI431" s="9">
        <v>1</v>
      </c>
      <c r="AJ431" s="9">
        <v>1</v>
      </c>
      <c r="AK431" s="9">
        <v>1</v>
      </c>
      <c r="AL431" s="9">
        <v>0</v>
      </c>
      <c r="AM431" s="9">
        <v>1</v>
      </c>
      <c r="AN431" s="9">
        <v>1</v>
      </c>
      <c r="AO431" s="9">
        <v>0</v>
      </c>
      <c r="AP431" s="9">
        <v>0</v>
      </c>
      <c r="AQ431" s="9">
        <v>0</v>
      </c>
      <c r="AR431" s="9">
        <v>0</v>
      </c>
      <c r="AS431" s="10">
        <f t="shared" si="33"/>
        <v>7</v>
      </c>
      <c r="AT431" s="10">
        <f t="shared" si="34"/>
        <v>46.666666666666664</v>
      </c>
      <c r="AU431" s="5" t="s">
        <v>511</v>
      </c>
    </row>
    <row r="432" spans="1:47" ht="15" customHeight="1" x14ac:dyDescent="0.3">
      <c r="A432" s="7" t="str">
        <f t="shared" si="30"/>
        <v>87_2021</v>
      </c>
      <c r="B432" s="7">
        <v>431</v>
      </c>
      <c r="C432" s="7">
        <f>'Panel Data (Long Format)'!B432</f>
        <v>87</v>
      </c>
      <c r="D432" s="7" t="str">
        <f>'Panel Data (Long Format)'!C432</f>
        <v>NB</v>
      </c>
      <c r="E432" s="8" t="str">
        <f>'Panel Data (Long Format)'!D432</f>
        <v>Nigerian Breweries Plc</v>
      </c>
      <c r="F432" s="7" t="str">
        <f>'Panel Data (Long Format)'!E432</f>
        <v>CONSUMER GOODS</v>
      </c>
      <c r="G432" s="7">
        <f>'Panel Data (Long Format)'!F432</f>
        <v>2021</v>
      </c>
      <c r="H432" s="9">
        <v>1</v>
      </c>
      <c r="I432" s="9">
        <v>0</v>
      </c>
      <c r="J432" s="9">
        <v>0</v>
      </c>
      <c r="K432" s="9">
        <v>0</v>
      </c>
      <c r="L432" s="9">
        <v>0</v>
      </c>
      <c r="M432" s="9">
        <v>1</v>
      </c>
      <c r="N432" s="9">
        <v>0</v>
      </c>
      <c r="O432" s="9">
        <v>1</v>
      </c>
      <c r="P432" s="9">
        <v>0</v>
      </c>
      <c r="Q432" s="9">
        <v>0</v>
      </c>
      <c r="R432" s="9">
        <v>0</v>
      </c>
      <c r="S432" s="9">
        <v>0</v>
      </c>
      <c r="T432" s="9">
        <v>0</v>
      </c>
      <c r="U432" s="9">
        <v>0</v>
      </c>
      <c r="V432" s="9">
        <v>0</v>
      </c>
      <c r="W432" s="9">
        <v>1</v>
      </c>
      <c r="X432" s="9">
        <v>1</v>
      </c>
      <c r="Y432" s="9">
        <v>0</v>
      </c>
      <c r="Z432" s="9">
        <v>0</v>
      </c>
      <c r="AA432" s="9">
        <v>0</v>
      </c>
      <c r="AB432" s="10">
        <f t="shared" si="31"/>
        <v>5</v>
      </c>
      <c r="AC432" s="10">
        <f t="shared" si="32"/>
        <v>25</v>
      </c>
      <c r="AD432" s="9">
        <v>0</v>
      </c>
      <c r="AE432" s="9">
        <v>0</v>
      </c>
      <c r="AF432" s="9">
        <v>0</v>
      </c>
      <c r="AG432" s="9">
        <v>0</v>
      </c>
      <c r="AH432" s="9">
        <v>0</v>
      </c>
      <c r="AI432" s="9">
        <v>0</v>
      </c>
      <c r="AJ432" s="9">
        <v>1</v>
      </c>
      <c r="AK432" s="9">
        <v>0</v>
      </c>
      <c r="AL432" s="9">
        <v>0</v>
      </c>
      <c r="AM432" s="9">
        <v>0</v>
      </c>
      <c r="AN432" s="9">
        <v>0</v>
      </c>
      <c r="AO432" s="9">
        <v>0</v>
      </c>
      <c r="AP432" s="9">
        <v>1</v>
      </c>
      <c r="AQ432" s="9">
        <v>0</v>
      </c>
      <c r="AR432" s="9">
        <v>0</v>
      </c>
      <c r="AS432" s="10">
        <f t="shared" si="33"/>
        <v>2</v>
      </c>
      <c r="AT432" s="10">
        <f t="shared" si="34"/>
        <v>13.333333333333334</v>
      </c>
      <c r="AU432" s="5" t="s">
        <v>512</v>
      </c>
    </row>
    <row r="433" spans="1:47" ht="15" customHeight="1" x14ac:dyDescent="0.3">
      <c r="A433" s="7" t="str">
        <f t="shared" si="30"/>
        <v>87_2022</v>
      </c>
      <c r="B433" s="7">
        <v>432</v>
      </c>
      <c r="C433" s="7">
        <f>'Panel Data (Long Format)'!B433</f>
        <v>87</v>
      </c>
      <c r="D433" s="7" t="str">
        <f>'Panel Data (Long Format)'!C433</f>
        <v>NB</v>
      </c>
      <c r="E433" s="8" t="str">
        <f>'Panel Data (Long Format)'!D433</f>
        <v>Nigerian Breweries Plc</v>
      </c>
      <c r="F433" s="7" t="str">
        <f>'Panel Data (Long Format)'!E433</f>
        <v>CONSUMER GOODS</v>
      </c>
      <c r="G433" s="7">
        <f>'Panel Data (Long Format)'!F433</f>
        <v>2022</v>
      </c>
      <c r="H433" s="9">
        <v>1</v>
      </c>
      <c r="I433" s="9">
        <v>0</v>
      </c>
      <c r="J433" s="9">
        <v>0</v>
      </c>
      <c r="K433" s="9">
        <v>0</v>
      </c>
      <c r="L433" s="9">
        <v>0</v>
      </c>
      <c r="M433" s="9">
        <v>1</v>
      </c>
      <c r="N433" s="9">
        <v>0</v>
      </c>
      <c r="O433" s="9">
        <v>1</v>
      </c>
      <c r="P433" s="9">
        <v>0</v>
      </c>
      <c r="Q433" s="9">
        <v>0</v>
      </c>
      <c r="R433" s="9">
        <v>0</v>
      </c>
      <c r="S433" s="9">
        <v>0</v>
      </c>
      <c r="T433" s="9">
        <v>0</v>
      </c>
      <c r="U433" s="9">
        <v>0</v>
      </c>
      <c r="V433" s="9">
        <v>0</v>
      </c>
      <c r="W433" s="9">
        <v>1</v>
      </c>
      <c r="X433" s="9">
        <v>1</v>
      </c>
      <c r="Y433" s="9">
        <v>1</v>
      </c>
      <c r="Z433" s="9">
        <v>0</v>
      </c>
      <c r="AA433" s="9">
        <v>0</v>
      </c>
      <c r="AB433" s="10">
        <f t="shared" si="31"/>
        <v>6</v>
      </c>
      <c r="AC433" s="10">
        <f t="shared" si="32"/>
        <v>30</v>
      </c>
      <c r="AD433" s="9">
        <v>0</v>
      </c>
      <c r="AE433" s="9">
        <v>0</v>
      </c>
      <c r="AF433" s="9">
        <v>0</v>
      </c>
      <c r="AG433" s="9">
        <v>0</v>
      </c>
      <c r="AH433" s="9">
        <v>0</v>
      </c>
      <c r="AI433" s="9">
        <v>0</v>
      </c>
      <c r="AJ433" s="9">
        <v>1</v>
      </c>
      <c r="AK433" s="9">
        <v>0</v>
      </c>
      <c r="AL433" s="9">
        <v>0</v>
      </c>
      <c r="AM433" s="9">
        <v>0</v>
      </c>
      <c r="AN433" s="9">
        <v>0</v>
      </c>
      <c r="AO433" s="9">
        <v>0</v>
      </c>
      <c r="AP433" s="9">
        <v>1</v>
      </c>
      <c r="AQ433" s="9">
        <v>0</v>
      </c>
      <c r="AR433" s="9">
        <v>0</v>
      </c>
      <c r="AS433" s="10">
        <f t="shared" si="33"/>
        <v>2</v>
      </c>
      <c r="AT433" s="10">
        <f t="shared" si="34"/>
        <v>13.333333333333334</v>
      </c>
      <c r="AU433" s="5" t="s">
        <v>513</v>
      </c>
    </row>
    <row r="434" spans="1:47" ht="15" customHeight="1" x14ac:dyDescent="0.3">
      <c r="A434" s="7" t="str">
        <f t="shared" si="30"/>
        <v>87_2023</v>
      </c>
      <c r="B434" s="7">
        <v>433</v>
      </c>
      <c r="C434" s="7">
        <f>'Panel Data (Long Format)'!B434</f>
        <v>87</v>
      </c>
      <c r="D434" s="7" t="str">
        <f>'Panel Data (Long Format)'!C434</f>
        <v>NB</v>
      </c>
      <c r="E434" s="8" t="str">
        <f>'Panel Data (Long Format)'!D434</f>
        <v>Nigerian Breweries Plc</v>
      </c>
      <c r="F434" s="7" t="str">
        <f>'Panel Data (Long Format)'!E434</f>
        <v>CONSUMER GOODS</v>
      </c>
      <c r="G434" s="7">
        <f>'Panel Data (Long Format)'!F434</f>
        <v>2023</v>
      </c>
      <c r="H434" s="9">
        <v>1</v>
      </c>
      <c r="I434" s="9">
        <v>0</v>
      </c>
      <c r="J434" s="9">
        <v>0</v>
      </c>
      <c r="K434" s="9">
        <v>0</v>
      </c>
      <c r="L434" s="9">
        <v>0</v>
      </c>
      <c r="M434" s="9">
        <v>1</v>
      </c>
      <c r="N434" s="9">
        <v>1</v>
      </c>
      <c r="O434" s="9">
        <v>1</v>
      </c>
      <c r="P434" s="9">
        <v>0</v>
      </c>
      <c r="Q434" s="9">
        <v>0</v>
      </c>
      <c r="R434" s="9">
        <v>0</v>
      </c>
      <c r="S434" s="9">
        <v>0</v>
      </c>
      <c r="T434" s="9">
        <v>0</v>
      </c>
      <c r="U434" s="9">
        <v>0</v>
      </c>
      <c r="V434" s="9">
        <v>0</v>
      </c>
      <c r="W434" s="9">
        <v>1</v>
      </c>
      <c r="X434" s="9">
        <v>1</v>
      </c>
      <c r="Y434" s="9">
        <v>1</v>
      </c>
      <c r="Z434" s="9">
        <v>0</v>
      </c>
      <c r="AA434" s="9">
        <v>0</v>
      </c>
      <c r="AB434" s="10">
        <f t="shared" si="31"/>
        <v>7</v>
      </c>
      <c r="AC434" s="10">
        <f t="shared" si="32"/>
        <v>35</v>
      </c>
      <c r="AD434" s="9">
        <v>0</v>
      </c>
      <c r="AE434" s="9">
        <v>0</v>
      </c>
      <c r="AF434" s="9">
        <v>0</v>
      </c>
      <c r="AG434" s="9">
        <v>0</v>
      </c>
      <c r="AH434" s="9">
        <v>1</v>
      </c>
      <c r="AI434" s="9">
        <v>0</v>
      </c>
      <c r="AJ434" s="9">
        <v>1</v>
      </c>
      <c r="AK434" s="9">
        <v>0</v>
      </c>
      <c r="AL434" s="9">
        <v>0</v>
      </c>
      <c r="AM434" s="9">
        <v>0</v>
      </c>
      <c r="AN434" s="9">
        <v>0</v>
      </c>
      <c r="AO434" s="9">
        <v>0</v>
      </c>
      <c r="AP434" s="9">
        <v>1</v>
      </c>
      <c r="AQ434" s="9">
        <v>0</v>
      </c>
      <c r="AR434" s="9">
        <v>0</v>
      </c>
      <c r="AS434" s="10">
        <f t="shared" si="33"/>
        <v>3</v>
      </c>
      <c r="AT434" s="10">
        <f t="shared" si="34"/>
        <v>20</v>
      </c>
      <c r="AU434" s="5" t="s">
        <v>514</v>
      </c>
    </row>
    <row r="435" spans="1:47" ht="15" customHeight="1" x14ac:dyDescent="0.3">
      <c r="A435" s="7" t="str">
        <f t="shared" si="30"/>
        <v>87_2024</v>
      </c>
      <c r="B435" s="7">
        <v>434</v>
      </c>
      <c r="C435" s="7">
        <f>'Panel Data (Long Format)'!B435</f>
        <v>87</v>
      </c>
      <c r="D435" s="7" t="str">
        <f>'Panel Data (Long Format)'!C435</f>
        <v>NB</v>
      </c>
      <c r="E435" s="8" t="str">
        <f>'Panel Data (Long Format)'!D435</f>
        <v>Nigerian Breweries Plc</v>
      </c>
      <c r="F435" s="7" t="str">
        <f>'Panel Data (Long Format)'!E435</f>
        <v>CONSUMER GOODS</v>
      </c>
      <c r="G435" s="7">
        <f>'Panel Data (Long Format)'!F435</f>
        <v>2024</v>
      </c>
      <c r="H435" s="9">
        <v>1</v>
      </c>
      <c r="I435" s="9">
        <v>0</v>
      </c>
      <c r="J435" s="9">
        <v>0</v>
      </c>
      <c r="K435" s="9">
        <v>1</v>
      </c>
      <c r="L435" s="9">
        <v>0</v>
      </c>
      <c r="M435" s="9">
        <v>1</v>
      </c>
      <c r="N435" s="9">
        <v>1</v>
      </c>
      <c r="O435" s="9">
        <v>1</v>
      </c>
      <c r="P435" s="9">
        <v>0</v>
      </c>
      <c r="Q435" s="9">
        <v>0</v>
      </c>
      <c r="R435" s="9">
        <v>0</v>
      </c>
      <c r="S435" s="9">
        <v>0</v>
      </c>
      <c r="T435" s="9">
        <v>0</v>
      </c>
      <c r="U435" s="9">
        <v>1</v>
      </c>
      <c r="V435" s="9">
        <v>0</v>
      </c>
      <c r="W435" s="9">
        <v>1</v>
      </c>
      <c r="X435" s="9">
        <v>1</v>
      </c>
      <c r="Y435" s="9">
        <v>1</v>
      </c>
      <c r="Z435" s="9">
        <v>0</v>
      </c>
      <c r="AA435" s="9">
        <v>0</v>
      </c>
      <c r="AB435" s="10">
        <f t="shared" si="31"/>
        <v>9</v>
      </c>
      <c r="AC435" s="10">
        <f t="shared" si="32"/>
        <v>45</v>
      </c>
      <c r="AD435" s="9">
        <v>0</v>
      </c>
      <c r="AE435" s="9">
        <v>0</v>
      </c>
      <c r="AF435" s="9">
        <v>0</v>
      </c>
      <c r="AG435" s="9">
        <v>0</v>
      </c>
      <c r="AH435" s="9">
        <v>1</v>
      </c>
      <c r="AI435" s="9">
        <v>0</v>
      </c>
      <c r="AJ435" s="9">
        <v>1</v>
      </c>
      <c r="AK435" s="9">
        <v>0</v>
      </c>
      <c r="AL435" s="9">
        <v>1</v>
      </c>
      <c r="AM435" s="9">
        <v>0</v>
      </c>
      <c r="AN435" s="9">
        <v>0</v>
      </c>
      <c r="AO435" s="9">
        <v>0</v>
      </c>
      <c r="AP435" s="9">
        <v>1</v>
      </c>
      <c r="AQ435" s="9">
        <v>1</v>
      </c>
      <c r="AR435" s="9">
        <v>0</v>
      </c>
      <c r="AS435" s="10">
        <f t="shared" si="33"/>
        <v>5</v>
      </c>
      <c r="AT435" s="10">
        <f t="shared" si="34"/>
        <v>33.333333333333329</v>
      </c>
      <c r="AU435" s="5" t="s">
        <v>515</v>
      </c>
    </row>
    <row r="436" spans="1:47" ht="15" customHeight="1" x14ac:dyDescent="0.3">
      <c r="A436" s="7" t="str">
        <f t="shared" si="30"/>
        <v>87_2025</v>
      </c>
      <c r="B436" s="7">
        <v>435</v>
      </c>
      <c r="C436" s="7">
        <f>'Panel Data (Long Format)'!B436</f>
        <v>87</v>
      </c>
      <c r="D436" s="7" t="str">
        <f>'Panel Data (Long Format)'!C436</f>
        <v>NB</v>
      </c>
      <c r="E436" s="8" t="str">
        <f>'Panel Data (Long Format)'!D436</f>
        <v>Nigerian Breweries Plc</v>
      </c>
      <c r="F436" s="7" t="str">
        <f>'Panel Data (Long Format)'!E436</f>
        <v>CONSUMER GOODS</v>
      </c>
      <c r="G436" s="7">
        <f>'Panel Data (Long Format)'!F436</f>
        <v>2025</v>
      </c>
      <c r="H436" s="9">
        <v>1</v>
      </c>
      <c r="I436" s="9">
        <v>0</v>
      </c>
      <c r="J436" s="9">
        <v>0</v>
      </c>
      <c r="K436" s="9">
        <v>1</v>
      </c>
      <c r="L436" s="9">
        <v>0</v>
      </c>
      <c r="M436" s="9">
        <v>1</v>
      </c>
      <c r="N436" s="9">
        <v>1</v>
      </c>
      <c r="O436" s="9">
        <v>1</v>
      </c>
      <c r="P436" s="9">
        <v>0</v>
      </c>
      <c r="Q436" s="9">
        <v>0</v>
      </c>
      <c r="R436" s="9">
        <v>0</v>
      </c>
      <c r="S436" s="9">
        <v>0</v>
      </c>
      <c r="T436" s="9">
        <v>0</v>
      </c>
      <c r="U436" s="9">
        <v>1</v>
      </c>
      <c r="V436" s="9">
        <v>0</v>
      </c>
      <c r="W436" s="9">
        <v>1</v>
      </c>
      <c r="X436" s="9">
        <v>1</v>
      </c>
      <c r="Y436" s="9">
        <v>1</v>
      </c>
      <c r="Z436" s="9">
        <v>0</v>
      </c>
      <c r="AA436" s="9">
        <v>0</v>
      </c>
      <c r="AB436" s="10">
        <f t="shared" si="31"/>
        <v>9</v>
      </c>
      <c r="AC436" s="10">
        <f t="shared" si="32"/>
        <v>45</v>
      </c>
      <c r="AD436" s="9">
        <v>0</v>
      </c>
      <c r="AE436" s="9">
        <v>0</v>
      </c>
      <c r="AF436" s="9">
        <v>0</v>
      </c>
      <c r="AG436" s="9">
        <v>0</v>
      </c>
      <c r="AH436" s="9">
        <v>1</v>
      </c>
      <c r="AI436" s="9">
        <v>0</v>
      </c>
      <c r="AJ436" s="9">
        <v>1</v>
      </c>
      <c r="AK436" s="9">
        <v>0</v>
      </c>
      <c r="AL436" s="9">
        <v>1</v>
      </c>
      <c r="AM436" s="9">
        <v>0</v>
      </c>
      <c r="AN436" s="9">
        <v>0</v>
      </c>
      <c r="AO436" s="9">
        <v>0</v>
      </c>
      <c r="AP436" s="9">
        <v>1</v>
      </c>
      <c r="AQ436" s="9">
        <v>1</v>
      </c>
      <c r="AR436" s="9">
        <v>0</v>
      </c>
      <c r="AS436" s="10">
        <f t="shared" si="33"/>
        <v>5</v>
      </c>
      <c r="AT436" s="10">
        <f t="shared" si="34"/>
        <v>33.333333333333329</v>
      </c>
      <c r="AU436" s="5" t="s">
        <v>516</v>
      </c>
    </row>
    <row r="437" spans="1:47" ht="15" customHeight="1" x14ac:dyDescent="0.3">
      <c r="A437" s="7" t="str">
        <f t="shared" si="30"/>
        <v>88_2021</v>
      </c>
      <c r="B437" s="7">
        <v>436</v>
      </c>
      <c r="C437" s="7">
        <f>'Panel Data (Long Format)'!B437</f>
        <v>88</v>
      </c>
      <c r="D437" s="7" t="str">
        <f>'Panel Data (Long Format)'!C437</f>
        <v>NCR</v>
      </c>
      <c r="E437" s="8" t="str">
        <f>'Panel Data (Long Format)'!D437</f>
        <v>NCR (Nigeria) Plc</v>
      </c>
      <c r="F437" s="7" t="str">
        <f>'Panel Data (Long Format)'!E437</f>
        <v>ICT</v>
      </c>
      <c r="G437" s="7">
        <f>'Panel Data (Long Format)'!F437</f>
        <v>2021</v>
      </c>
      <c r="H437" s="9">
        <v>0</v>
      </c>
      <c r="I437" s="9">
        <v>0</v>
      </c>
      <c r="J437" s="9">
        <v>0</v>
      </c>
      <c r="K437" s="9">
        <v>0</v>
      </c>
      <c r="L437" s="9">
        <v>0</v>
      </c>
      <c r="M437" s="9">
        <v>0</v>
      </c>
      <c r="N437" s="9">
        <v>0</v>
      </c>
      <c r="O437" s="9">
        <v>0</v>
      </c>
      <c r="P437" s="9">
        <v>0</v>
      </c>
      <c r="Q437" s="9">
        <v>0</v>
      </c>
      <c r="R437" s="9">
        <v>0</v>
      </c>
      <c r="S437" s="9">
        <v>0</v>
      </c>
      <c r="T437" s="9">
        <v>0</v>
      </c>
      <c r="U437" s="9">
        <v>0</v>
      </c>
      <c r="V437" s="9">
        <v>0</v>
      </c>
      <c r="W437" s="9">
        <v>0</v>
      </c>
      <c r="X437" s="9">
        <v>0</v>
      </c>
      <c r="Y437" s="9">
        <v>0</v>
      </c>
      <c r="Z437" s="9">
        <v>0</v>
      </c>
      <c r="AA437" s="9">
        <v>0</v>
      </c>
      <c r="AB437" s="10">
        <f t="shared" si="31"/>
        <v>0</v>
      </c>
      <c r="AC437" s="10">
        <f t="shared" si="32"/>
        <v>0</v>
      </c>
      <c r="AD437" s="9">
        <v>0</v>
      </c>
      <c r="AE437" s="9">
        <v>0</v>
      </c>
      <c r="AF437" s="9">
        <v>0</v>
      </c>
      <c r="AG437" s="9">
        <v>0</v>
      </c>
      <c r="AH437" s="9">
        <v>0</v>
      </c>
      <c r="AI437" s="9">
        <v>0</v>
      </c>
      <c r="AJ437" s="9">
        <v>0</v>
      </c>
      <c r="AK437" s="9">
        <v>0</v>
      </c>
      <c r="AL437" s="9">
        <v>0</v>
      </c>
      <c r="AM437" s="9">
        <v>0</v>
      </c>
      <c r="AN437" s="9">
        <v>0</v>
      </c>
      <c r="AO437" s="9">
        <v>0</v>
      </c>
      <c r="AP437" s="9">
        <v>0</v>
      </c>
      <c r="AQ437" s="9">
        <v>0</v>
      </c>
      <c r="AR437" s="9">
        <v>0</v>
      </c>
      <c r="AS437" s="10">
        <f t="shared" si="33"/>
        <v>0</v>
      </c>
      <c r="AT437" s="10">
        <f t="shared" si="34"/>
        <v>0</v>
      </c>
      <c r="AU437" s="5" t="s">
        <v>517</v>
      </c>
    </row>
    <row r="438" spans="1:47" ht="15" customHeight="1" x14ac:dyDescent="0.3">
      <c r="A438" s="7" t="str">
        <f t="shared" si="30"/>
        <v>88_2022</v>
      </c>
      <c r="B438" s="7">
        <v>437</v>
      </c>
      <c r="C438" s="7">
        <f>'Panel Data (Long Format)'!B438</f>
        <v>88</v>
      </c>
      <c r="D438" s="7" t="str">
        <f>'Panel Data (Long Format)'!C438</f>
        <v>NCR</v>
      </c>
      <c r="E438" s="8" t="str">
        <f>'Panel Data (Long Format)'!D438</f>
        <v>NCR (Nigeria) Plc</v>
      </c>
      <c r="F438" s="7" t="str">
        <f>'Panel Data (Long Format)'!E438</f>
        <v>ICT</v>
      </c>
      <c r="G438" s="7">
        <f>'Panel Data (Long Format)'!F438</f>
        <v>2022</v>
      </c>
      <c r="H438" s="9">
        <v>0</v>
      </c>
      <c r="I438" s="9">
        <v>0</v>
      </c>
      <c r="J438" s="9">
        <v>0</v>
      </c>
      <c r="K438" s="9">
        <v>0</v>
      </c>
      <c r="L438" s="9">
        <v>0</v>
      </c>
      <c r="M438" s="9">
        <v>0</v>
      </c>
      <c r="N438" s="9">
        <v>0</v>
      </c>
      <c r="O438" s="9">
        <v>0</v>
      </c>
      <c r="P438" s="9">
        <v>0</v>
      </c>
      <c r="Q438" s="9">
        <v>0</v>
      </c>
      <c r="R438" s="9">
        <v>0</v>
      </c>
      <c r="S438" s="9">
        <v>0</v>
      </c>
      <c r="T438" s="9">
        <v>0</v>
      </c>
      <c r="U438" s="9">
        <v>0</v>
      </c>
      <c r="V438" s="9">
        <v>0</v>
      </c>
      <c r="W438" s="9">
        <v>0</v>
      </c>
      <c r="X438" s="9">
        <v>0</v>
      </c>
      <c r="Y438" s="9">
        <v>0</v>
      </c>
      <c r="Z438" s="9">
        <v>0</v>
      </c>
      <c r="AA438" s="9">
        <v>0</v>
      </c>
      <c r="AB438" s="10">
        <f t="shared" si="31"/>
        <v>0</v>
      </c>
      <c r="AC438" s="10">
        <f t="shared" si="32"/>
        <v>0</v>
      </c>
      <c r="AD438" s="9">
        <v>0</v>
      </c>
      <c r="AE438" s="9">
        <v>0</v>
      </c>
      <c r="AF438" s="9">
        <v>0</v>
      </c>
      <c r="AG438" s="9">
        <v>0</v>
      </c>
      <c r="AH438" s="9">
        <v>0</v>
      </c>
      <c r="AI438" s="9">
        <v>0</v>
      </c>
      <c r="AJ438" s="9">
        <v>0</v>
      </c>
      <c r="AK438" s="9">
        <v>0</v>
      </c>
      <c r="AL438" s="9">
        <v>0</v>
      </c>
      <c r="AM438" s="9">
        <v>0</v>
      </c>
      <c r="AN438" s="9">
        <v>0</v>
      </c>
      <c r="AO438" s="9">
        <v>0</v>
      </c>
      <c r="AP438" s="9">
        <v>0</v>
      </c>
      <c r="AQ438" s="9">
        <v>0</v>
      </c>
      <c r="AR438" s="9">
        <v>0</v>
      </c>
      <c r="AS438" s="10">
        <f t="shared" si="33"/>
        <v>0</v>
      </c>
      <c r="AT438" s="10">
        <f t="shared" si="34"/>
        <v>0</v>
      </c>
      <c r="AU438" s="5" t="s">
        <v>517</v>
      </c>
    </row>
    <row r="439" spans="1:47" ht="15" customHeight="1" x14ac:dyDescent="0.3">
      <c r="A439" s="7" t="str">
        <f t="shared" si="30"/>
        <v>88_2023</v>
      </c>
      <c r="B439" s="7">
        <v>438</v>
      </c>
      <c r="C439" s="7">
        <f>'Panel Data (Long Format)'!B439</f>
        <v>88</v>
      </c>
      <c r="D439" s="7" t="str">
        <f>'Panel Data (Long Format)'!C439</f>
        <v>NCR</v>
      </c>
      <c r="E439" s="8" t="str">
        <f>'Panel Data (Long Format)'!D439</f>
        <v>NCR (Nigeria) Plc</v>
      </c>
      <c r="F439" s="7" t="str">
        <f>'Panel Data (Long Format)'!E439</f>
        <v>ICT</v>
      </c>
      <c r="G439" s="7">
        <f>'Panel Data (Long Format)'!F439</f>
        <v>2023</v>
      </c>
      <c r="H439" s="9">
        <v>0</v>
      </c>
      <c r="I439" s="9">
        <v>0</v>
      </c>
      <c r="J439" s="9">
        <v>0</v>
      </c>
      <c r="K439" s="9">
        <v>0</v>
      </c>
      <c r="L439" s="9">
        <v>0</v>
      </c>
      <c r="M439" s="9">
        <v>0</v>
      </c>
      <c r="N439" s="9">
        <v>0</v>
      </c>
      <c r="O439" s="9">
        <v>0</v>
      </c>
      <c r="P439" s="9">
        <v>0</v>
      </c>
      <c r="Q439" s="9">
        <v>0</v>
      </c>
      <c r="R439" s="9">
        <v>0</v>
      </c>
      <c r="S439" s="9">
        <v>0</v>
      </c>
      <c r="T439" s="9">
        <v>0</v>
      </c>
      <c r="U439" s="9">
        <v>0</v>
      </c>
      <c r="V439" s="9">
        <v>0</v>
      </c>
      <c r="W439" s="9">
        <v>0</v>
      </c>
      <c r="X439" s="9">
        <v>0</v>
      </c>
      <c r="Y439" s="9">
        <v>0</v>
      </c>
      <c r="Z439" s="9">
        <v>0</v>
      </c>
      <c r="AA439" s="9">
        <v>0</v>
      </c>
      <c r="AB439" s="10">
        <f t="shared" si="31"/>
        <v>0</v>
      </c>
      <c r="AC439" s="10">
        <f t="shared" si="32"/>
        <v>0</v>
      </c>
      <c r="AD439" s="9">
        <v>0</v>
      </c>
      <c r="AE439" s="9">
        <v>0</v>
      </c>
      <c r="AF439" s="9">
        <v>0</v>
      </c>
      <c r="AG439" s="9">
        <v>0</v>
      </c>
      <c r="AH439" s="9">
        <v>0</v>
      </c>
      <c r="AI439" s="9">
        <v>0</v>
      </c>
      <c r="AJ439" s="9">
        <v>0</v>
      </c>
      <c r="AK439" s="9">
        <v>0</v>
      </c>
      <c r="AL439" s="9">
        <v>0</v>
      </c>
      <c r="AM439" s="9">
        <v>0</v>
      </c>
      <c r="AN439" s="9">
        <v>0</v>
      </c>
      <c r="AO439" s="9">
        <v>0</v>
      </c>
      <c r="AP439" s="9">
        <v>0</v>
      </c>
      <c r="AQ439" s="9">
        <v>0</v>
      </c>
      <c r="AR439" s="9">
        <v>0</v>
      </c>
      <c r="AS439" s="10">
        <f t="shared" si="33"/>
        <v>0</v>
      </c>
      <c r="AT439" s="10">
        <f t="shared" si="34"/>
        <v>0</v>
      </c>
      <c r="AU439" s="5" t="s">
        <v>517</v>
      </c>
    </row>
    <row r="440" spans="1:47" ht="15" customHeight="1" x14ac:dyDescent="0.3">
      <c r="A440" s="7" t="str">
        <f t="shared" si="30"/>
        <v>88_2024</v>
      </c>
      <c r="B440" s="7">
        <v>439</v>
      </c>
      <c r="C440" s="7">
        <f>'Panel Data (Long Format)'!B440</f>
        <v>88</v>
      </c>
      <c r="D440" s="7" t="str">
        <f>'Panel Data (Long Format)'!C440</f>
        <v>NCR</v>
      </c>
      <c r="E440" s="8" t="str">
        <f>'Panel Data (Long Format)'!D440</f>
        <v>NCR (Nigeria) Plc</v>
      </c>
      <c r="F440" s="7" t="str">
        <f>'Panel Data (Long Format)'!E440</f>
        <v>ICT</v>
      </c>
      <c r="G440" s="7">
        <f>'Panel Data (Long Format)'!F440</f>
        <v>2024</v>
      </c>
      <c r="H440" s="9">
        <v>0</v>
      </c>
      <c r="I440" s="9">
        <v>0</v>
      </c>
      <c r="J440" s="9">
        <v>0</v>
      </c>
      <c r="K440" s="9">
        <v>0</v>
      </c>
      <c r="L440" s="9">
        <v>0</v>
      </c>
      <c r="M440" s="9">
        <v>0</v>
      </c>
      <c r="N440" s="9">
        <v>0</v>
      </c>
      <c r="O440" s="9">
        <v>0</v>
      </c>
      <c r="P440" s="9">
        <v>0</v>
      </c>
      <c r="Q440" s="9">
        <v>0</v>
      </c>
      <c r="R440" s="9">
        <v>0</v>
      </c>
      <c r="S440" s="9">
        <v>0</v>
      </c>
      <c r="T440" s="9">
        <v>0</v>
      </c>
      <c r="U440" s="9">
        <v>0</v>
      </c>
      <c r="V440" s="9">
        <v>0</v>
      </c>
      <c r="W440" s="9">
        <v>0</v>
      </c>
      <c r="X440" s="9">
        <v>0</v>
      </c>
      <c r="Y440" s="9">
        <v>0</v>
      </c>
      <c r="Z440" s="9">
        <v>0</v>
      </c>
      <c r="AA440" s="9">
        <v>0</v>
      </c>
      <c r="AB440" s="10">
        <f t="shared" si="31"/>
        <v>0</v>
      </c>
      <c r="AC440" s="10">
        <f t="shared" si="32"/>
        <v>0</v>
      </c>
      <c r="AD440" s="9">
        <v>0</v>
      </c>
      <c r="AE440" s="9">
        <v>0</v>
      </c>
      <c r="AF440" s="9">
        <v>0</v>
      </c>
      <c r="AG440" s="9">
        <v>0</v>
      </c>
      <c r="AH440" s="9">
        <v>0</v>
      </c>
      <c r="AI440" s="9">
        <v>0</v>
      </c>
      <c r="AJ440" s="9">
        <v>0</v>
      </c>
      <c r="AK440" s="9">
        <v>0</v>
      </c>
      <c r="AL440" s="9">
        <v>0</v>
      </c>
      <c r="AM440" s="9">
        <v>0</v>
      </c>
      <c r="AN440" s="9">
        <v>0</v>
      </c>
      <c r="AO440" s="9">
        <v>0</v>
      </c>
      <c r="AP440" s="9">
        <v>0</v>
      </c>
      <c r="AQ440" s="9">
        <v>0</v>
      </c>
      <c r="AR440" s="9">
        <v>0</v>
      </c>
      <c r="AS440" s="10">
        <f t="shared" si="33"/>
        <v>0</v>
      </c>
      <c r="AT440" s="10">
        <f t="shared" si="34"/>
        <v>0</v>
      </c>
      <c r="AU440" s="5" t="s">
        <v>517</v>
      </c>
    </row>
    <row r="441" spans="1:47" ht="15" customHeight="1" x14ac:dyDescent="0.3">
      <c r="A441" s="7" t="str">
        <f t="shared" si="30"/>
        <v>88_2025</v>
      </c>
      <c r="B441" s="7">
        <v>440</v>
      </c>
      <c r="C441" s="7">
        <f>'Panel Data (Long Format)'!B441</f>
        <v>88</v>
      </c>
      <c r="D441" s="7" t="str">
        <f>'Panel Data (Long Format)'!C441</f>
        <v>NCR</v>
      </c>
      <c r="E441" s="8" t="str">
        <f>'Panel Data (Long Format)'!D441</f>
        <v>NCR (Nigeria) Plc</v>
      </c>
      <c r="F441" s="7" t="str">
        <f>'Panel Data (Long Format)'!E441</f>
        <v>ICT</v>
      </c>
      <c r="G441" s="7">
        <f>'Panel Data (Long Format)'!F441</f>
        <v>2025</v>
      </c>
      <c r="H441" s="9">
        <v>0</v>
      </c>
      <c r="I441" s="9">
        <v>0</v>
      </c>
      <c r="J441" s="9">
        <v>0</v>
      </c>
      <c r="K441" s="9">
        <v>0</v>
      </c>
      <c r="L441" s="9">
        <v>0</v>
      </c>
      <c r="M441" s="9">
        <v>0</v>
      </c>
      <c r="N441" s="9">
        <v>0</v>
      </c>
      <c r="O441" s="9">
        <v>0</v>
      </c>
      <c r="P441" s="9">
        <v>0</v>
      </c>
      <c r="Q441" s="9">
        <v>0</v>
      </c>
      <c r="R441" s="9">
        <v>0</v>
      </c>
      <c r="S441" s="9">
        <v>0</v>
      </c>
      <c r="T441" s="9">
        <v>0</v>
      </c>
      <c r="U441" s="9">
        <v>0</v>
      </c>
      <c r="V441" s="9">
        <v>0</v>
      </c>
      <c r="W441" s="9">
        <v>0</v>
      </c>
      <c r="X441" s="9">
        <v>0</v>
      </c>
      <c r="Y441" s="9">
        <v>0</v>
      </c>
      <c r="Z441" s="9">
        <v>0</v>
      </c>
      <c r="AA441" s="9">
        <v>0</v>
      </c>
      <c r="AB441" s="10">
        <f t="shared" si="31"/>
        <v>0</v>
      </c>
      <c r="AC441" s="10">
        <f t="shared" si="32"/>
        <v>0</v>
      </c>
      <c r="AD441" s="9">
        <v>0</v>
      </c>
      <c r="AE441" s="9">
        <v>0</v>
      </c>
      <c r="AF441" s="9">
        <v>0</v>
      </c>
      <c r="AG441" s="9">
        <v>0</v>
      </c>
      <c r="AH441" s="9">
        <v>0</v>
      </c>
      <c r="AI441" s="9">
        <v>0</v>
      </c>
      <c r="AJ441" s="9">
        <v>0</v>
      </c>
      <c r="AK441" s="9">
        <v>0</v>
      </c>
      <c r="AL441" s="9">
        <v>0</v>
      </c>
      <c r="AM441" s="9">
        <v>0</v>
      </c>
      <c r="AN441" s="9">
        <v>0</v>
      </c>
      <c r="AO441" s="9">
        <v>0</v>
      </c>
      <c r="AP441" s="9">
        <v>0</v>
      </c>
      <c r="AQ441" s="9">
        <v>0</v>
      </c>
      <c r="AR441" s="9">
        <v>0</v>
      </c>
      <c r="AS441" s="10">
        <f t="shared" si="33"/>
        <v>0</v>
      </c>
      <c r="AT441" s="10">
        <f t="shared" si="34"/>
        <v>0</v>
      </c>
      <c r="AU441" s="5" t="s">
        <v>517</v>
      </c>
    </row>
    <row r="442" spans="1:47" ht="15" customHeight="1" x14ac:dyDescent="0.3">
      <c r="A442" s="7" t="str">
        <f t="shared" si="30"/>
        <v>89_2021</v>
      </c>
      <c r="B442" s="7">
        <v>441</v>
      </c>
      <c r="C442" s="7">
        <f>'Panel Data (Long Format)'!B442</f>
        <v>89</v>
      </c>
      <c r="D442" s="7" t="str">
        <f>'Panel Data (Long Format)'!C442</f>
        <v>NEIMETH</v>
      </c>
      <c r="E442" s="8" t="str">
        <f>'Panel Data (Long Format)'!D442</f>
        <v>Neimeth International Pharmaceuticals Plc</v>
      </c>
      <c r="F442" s="7" t="str">
        <f>'Panel Data (Long Format)'!E442</f>
        <v>HEALTHCARE</v>
      </c>
      <c r="G442" s="7">
        <f>'Panel Data (Long Format)'!F442</f>
        <v>2021</v>
      </c>
      <c r="H442" s="9">
        <v>0</v>
      </c>
      <c r="I442" s="9">
        <v>0</v>
      </c>
      <c r="J442" s="9">
        <v>0</v>
      </c>
      <c r="K442" s="9">
        <v>0</v>
      </c>
      <c r="L442" s="9">
        <v>0</v>
      </c>
      <c r="M442" s="9">
        <v>1</v>
      </c>
      <c r="N442" s="9">
        <v>0</v>
      </c>
      <c r="O442" s="9">
        <v>1</v>
      </c>
      <c r="P442" s="9">
        <v>0</v>
      </c>
      <c r="Q442" s="9">
        <v>0</v>
      </c>
      <c r="R442" s="9">
        <v>1</v>
      </c>
      <c r="S442" s="9">
        <v>0</v>
      </c>
      <c r="T442" s="9">
        <v>1</v>
      </c>
      <c r="U442" s="9">
        <v>0</v>
      </c>
      <c r="V442" s="9">
        <v>0</v>
      </c>
      <c r="W442" s="9">
        <v>1</v>
      </c>
      <c r="X442" s="9">
        <v>0</v>
      </c>
      <c r="Y442" s="9">
        <v>0</v>
      </c>
      <c r="Z442" s="9">
        <v>0</v>
      </c>
      <c r="AA442" s="9">
        <v>1</v>
      </c>
      <c r="AB442" s="10">
        <f t="shared" si="31"/>
        <v>6</v>
      </c>
      <c r="AC442" s="10">
        <f t="shared" si="32"/>
        <v>30</v>
      </c>
      <c r="AD442" s="9">
        <v>0</v>
      </c>
      <c r="AE442" s="9">
        <v>0</v>
      </c>
      <c r="AF442" s="9">
        <v>0</v>
      </c>
      <c r="AG442" s="9">
        <v>0</v>
      </c>
      <c r="AH442" s="9">
        <v>0</v>
      </c>
      <c r="AI442" s="9">
        <v>0</v>
      </c>
      <c r="AJ442" s="9">
        <v>0</v>
      </c>
      <c r="AK442" s="9">
        <v>1</v>
      </c>
      <c r="AL442" s="9">
        <v>0</v>
      </c>
      <c r="AM442" s="9">
        <v>0</v>
      </c>
      <c r="AN442" s="9">
        <v>0</v>
      </c>
      <c r="AO442" s="9">
        <v>0</v>
      </c>
      <c r="AP442" s="9">
        <v>0</v>
      </c>
      <c r="AQ442" s="9">
        <v>0</v>
      </c>
      <c r="AR442" s="9">
        <v>0</v>
      </c>
      <c r="AS442" s="10">
        <f t="shared" si="33"/>
        <v>1</v>
      </c>
      <c r="AT442" s="10">
        <f t="shared" si="34"/>
        <v>6.666666666666667</v>
      </c>
      <c r="AU442" s="5" t="s">
        <v>518</v>
      </c>
    </row>
    <row r="443" spans="1:47" ht="15" customHeight="1" x14ac:dyDescent="0.3">
      <c r="A443" s="7" t="str">
        <f t="shared" si="30"/>
        <v>89_2022</v>
      </c>
      <c r="B443" s="7">
        <v>442</v>
      </c>
      <c r="C443" s="7">
        <f>'Panel Data (Long Format)'!B443</f>
        <v>89</v>
      </c>
      <c r="D443" s="7" t="str">
        <f>'Panel Data (Long Format)'!C443</f>
        <v>NEIMETH</v>
      </c>
      <c r="E443" s="8" t="str">
        <f>'Panel Data (Long Format)'!D443</f>
        <v>Neimeth International Pharmaceuticals Plc</v>
      </c>
      <c r="F443" s="7" t="str">
        <f>'Panel Data (Long Format)'!E443</f>
        <v>HEALTHCARE</v>
      </c>
      <c r="G443" s="7">
        <f>'Panel Data (Long Format)'!F443</f>
        <v>2022</v>
      </c>
      <c r="H443" s="9">
        <v>0</v>
      </c>
      <c r="I443" s="9">
        <v>0</v>
      </c>
      <c r="J443" s="9">
        <v>0</v>
      </c>
      <c r="K443" s="9">
        <v>0</v>
      </c>
      <c r="L443" s="9">
        <v>0</v>
      </c>
      <c r="M443" s="9">
        <v>1</v>
      </c>
      <c r="N443" s="9">
        <v>0</v>
      </c>
      <c r="O443" s="9">
        <v>1</v>
      </c>
      <c r="P443" s="9">
        <v>0</v>
      </c>
      <c r="Q443" s="9">
        <v>0</v>
      </c>
      <c r="R443" s="9">
        <v>1</v>
      </c>
      <c r="S443" s="9">
        <v>0</v>
      </c>
      <c r="T443" s="9">
        <v>1</v>
      </c>
      <c r="U443" s="9">
        <v>0</v>
      </c>
      <c r="V443" s="9">
        <v>0</v>
      </c>
      <c r="W443" s="9">
        <v>1</v>
      </c>
      <c r="X443" s="9">
        <v>0</v>
      </c>
      <c r="Y443" s="9">
        <v>0</v>
      </c>
      <c r="Z443" s="9">
        <v>0</v>
      </c>
      <c r="AA443" s="9">
        <v>1</v>
      </c>
      <c r="AB443" s="10">
        <f t="shared" si="31"/>
        <v>6</v>
      </c>
      <c r="AC443" s="10">
        <f t="shared" si="32"/>
        <v>30</v>
      </c>
      <c r="AD443" s="9">
        <v>0</v>
      </c>
      <c r="AE443" s="9">
        <v>0</v>
      </c>
      <c r="AF443" s="9">
        <v>0</v>
      </c>
      <c r="AG443" s="9">
        <v>0</v>
      </c>
      <c r="AH443" s="9">
        <v>0</v>
      </c>
      <c r="AI443" s="9">
        <v>0</v>
      </c>
      <c r="AJ443" s="9">
        <v>0</v>
      </c>
      <c r="AK443" s="9">
        <v>1</v>
      </c>
      <c r="AL443" s="9">
        <v>0</v>
      </c>
      <c r="AM443" s="9">
        <v>0</v>
      </c>
      <c r="AN443" s="9">
        <v>0</v>
      </c>
      <c r="AO443" s="9">
        <v>0</v>
      </c>
      <c r="AP443" s="9">
        <v>0</v>
      </c>
      <c r="AQ443" s="9">
        <v>0</v>
      </c>
      <c r="AR443" s="9">
        <v>0</v>
      </c>
      <c r="AS443" s="10">
        <f t="shared" si="33"/>
        <v>1</v>
      </c>
      <c r="AT443" s="10">
        <f t="shared" si="34"/>
        <v>6.666666666666667</v>
      </c>
      <c r="AU443" s="5" t="s">
        <v>518</v>
      </c>
    </row>
    <row r="444" spans="1:47" ht="15" customHeight="1" x14ac:dyDescent="0.3">
      <c r="A444" s="7" t="str">
        <f t="shared" si="30"/>
        <v>89_2023</v>
      </c>
      <c r="B444" s="7">
        <v>443</v>
      </c>
      <c r="C444" s="7">
        <f>'Panel Data (Long Format)'!B444</f>
        <v>89</v>
      </c>
      <c r="D444" s="7" t="str">
        <f>'Panel Data (Long Format)'!C444</f>
        <v>NEIMETH</v>
      </c>
      <c r="E444" s="8" t="str">
        <f>'Panel Data (Long Format)'!D444</f>
        <v>Neimeth International Pharmaceuticals Plc</v>
      </c>
      <c r="F444" s="7" t="str">
        <f>'Panel Data (Long Format)'!E444</f>
        <v>HEALTHCARE</v>
      </c>
      <c r="G444" s="7">
        <f>'Panel Data (Long Format)'!F444</f>
        <v>2023</v>
      </c>
      <c r="H444" s="9">
        <v>0</v>
      </c>
      <c r="I444" s="9">
        <v>0</v>
      </c>
      <c r="J444" s="9">
        <v>0</v>
      </c>
      <c r="K444" s="9">
        <v>0</v>
      </c>
      <c r="L444" s="9">
        <v>0</v>
      </c>
      <c r="M444" s="9">
        <v>1</v>
      </c>
      <c r="N444" s="9">
        <v>0</v>
      </c>
      <c r="O444" s="9">
        <v>1</v>
      </c>
      <c r="P444" s="9">
        <v>0</v>
      </c>
      <c r="Q444" s="9">
        <v>0</v>
      </c>
      <c r="R444" s="9">
        <v>1</v>
      </c>
      <c r="S444" s="9">
        <v>0</v>
      </c>
      <c r="T444" s="9">
        <v>1</v>
      </c>
      <c r="U444" s="9">
        <v>0</v>
      </c>
      <c r="V444" s="9">
        <v>0</v>
      </c>
      <c r="W444" s="9">
        <v>1</v>
      </c>
      <c r="X444" s="9">
        <v>0</v>
      </c>
      <c r="Y444" s="9">
        <v>0</v>
      </c>
      <c r="Z444" s="9">
        <v>0</v>
      </c>
      <c r="AA444" s="9">
        <v>1</v>
      </c>
      <c r="AB444" s="10">
        <f t="shared" si="31"/>
        <v>6</v>
      </c>
      <c r="AC444" s="10">
        <f t="shared" si="32"/>
        <v>30</v>
      </c>
      <c r="AD444" s="9">
        <v>0</v>
      </c>
      <c r="AE444" s="9">
        <v>0</v>
      </c>
      <c r="AF444" s="9">
        <v>0</v>
      </c>
      <c r="AG444" s="9">
        <v>0</v>
      </c>
      <c r="AH444" s="9">
        <v>0</v>
      </c>
      <c r="AI444" s="9">
        <v>0</v>
      </c>
      <c r="AJ444" s="9">
        <v>0</v>
      </c>
      <c r="AK444" s="9">
        <v>1</v>
      </c>
      <c r="AL444" s="9">
        <v>0</v>
      </c>
      <c r="AM444" s="9">
        <v>0</v>
      </c>
      <c r="AN444" s="9">
        <v>0</v>
      </c>
      <c r="AO444" s="9">
        <v>0</v>
      </c>
      <c r="AP444" s="9">
        <v>0</v>
      </c>
      <c r="AQ444" s="9">
        <v>0</v>
      </c>
      <c r="AR444" s="9">
        <v>0</v>
      </c>
      <c r="AS444" s="10">
        <f t="shared" si="33"/>
        <v>1</v>
      </c>
      <c r="AT444" s="10">
        <f t="shared" si="34"/>
        <v>6.666666666666667</v>
      </c>
      <c r="AU444" s="5" t="s">
        <v>518</v>
      </c>
    </row>
    <row r="445" spans="1:47" ht="15" customHeight="1" x14ac:dyDescent="0.3">
      <c r="A445" s="7" t="str">
        <f t="shared" si="30"/>
        <v>89_2024</v>
      </c>
      <c r="B445" s="7">
        <v>444</v>
      </c>
      <c r="C445" s="7">
        <f>'Panel Data (Long Format)'!B445</f>
        <v>89</v>
      </c>
      <c r="D445" s="7" t="str">
        <f>'Panel Data (Long Format)'!C445</f>
        <v>NEIMETH</v>
      </c>
      <c r="E445" s="8" t="str">
        <f>'Panel Data (Long Format)'!D445</f>
        <v>Neimeth International Pharmaceuticals Plc</v>
      </c>
      <c r="F445" s="7" t="str">
        <f>'Panel Data (Long Format)'!E445</f>
        <v>HEALTHCARE</v>
      </c>
      <c r="G445" s="7">
        <f>'Panel Data (Long Format)'!F445</f>
        <v>2024</v>
      </c>
      <c r="H445" s="9">
        <v>0</v>
      </c>
      <c r="I445" s="9">
        <v>0</v>
      </c>
      <c r="J445" s="9">
        <v>0</v>
      </c>
      <c r="K445" s="9">
        <v>0</v>
      </c>
      <c r="L445" s="9">
        <v>0</v>
      </c>
      <c r="M445" s="9">
        <v>1</v>
      </c>
      <c r="N445" s="9">
        <v>0</v>
      </c>
      <c r="O445" s="9">
        <v>1</v>
      </c>
      <c r="P445" s="9">
        <v>0</v>
      </c>
      <c r="Q445" s="9">
        <v>0</v>
      </c>
      <c r="R445" s="9">
        <v>1</v>
      </c>
      <c r="S445" s="9">
        <v>0</v>
      </c>
      <c r="T445" s="9">
        <v>1</v>
      </c>
      <c r="U445" s="9">
        <v>0</v>
      </c>
      <c r="V445" s="9">
        <v>0</v>
      </c>
      <c r="W445" s="9">
        <v>1</v>
      </c>
      <c r="X445" s="9">
        <v>0</v>
      </c>
      <c r="Y445" s="9">
        <v>0</v>
      </c>
      <c r="Z445" s="9">
        <v>0</v>
      </c>
      <c r="AA445" s="9">
        <v>1</v>
      </c>
      <c r="AB445" s="10">
        <f t="shared" si="31"/>
        <v>6</v>
      </c>
      <c r="AC445" s="10">
        <f t="shared" si="32"/>
        <v>30</v>
      </c>
      <c r="AD445" s="9">
        <v>0</v>
      </c>
      <c r="AE445" s="9">
        <v>0</v>
      </c>
      <c r="AF445" s="9">
        <v>0</v>
      </c>
      <c r="AG445" s="9">
        <v>0</v>
      </c>
      <c r="AH445" s="9">
        <v>0</v>
      </c>
      <c r="AI445" s="9">
        <v>0</v>
      </c>
      <c r="AJ445" s="9">
        <v>0</v>
      </c>
      <c r="AK445" s="9">
        <v>1</v>
      </c>
      <c r="AL445" s="9">
        <v>0</v>
      </c>
      <c r="AM445" s="9">
        <v>0</v>
      </c>
      <c r="AN445" s="9">
        <v>0</v>
      </c>
      <c r="AO445" s="9">
        <v>0</v>
      </c>
      <c r="AP445" s="9">
        <v>0</v>
      </c>
      <c r="AQ445" s="9">
        <v>0</v>
      </c>
      <c r="AR445" s="9">
        <v>0</v>
      </c>
      <c r="AS445" s="10">
        <f t="shared" si="33"/>
        <v>1</v>
      </c>
      <c r="AT445" s="10">
        <f t="shared" si="34"/>
        <v>6.666666666666667</v>
      </c>
      <c r="AU445" s="5" t="s">
        <v>518</v>
      </c>
    </row>
    <row r="446" spans="1:47" ht="15" customHeight="1" x14ac:dyDescent="0.3">
      <c r="A446" s="7" t="str">
        <f t="shared" si="30"/>
        <v>89_2025</v>
      </c>
      <c r="B446" s="7">
        <v>445</v>
      </c>
      <c r="C446" s="7">
        <f>'Panel Data (Long Format)'!B446</f>
        <v>89</v>
      </c>
      <c r="D446" s="7" t="str">
        <f>'Panel Data (Long Format)'!C446</f>
        <v>NEIMETH</v>
      </c>
      <c r="E446" s="8" t="str">
        <f>'Panel Data (Long Format)'!D446</f>
        <v>Neimeth International Pharmaceuticals Plc</v>
      </c>
      <c r="F446" s="7" t="str">
        <f>'Panel Data (Long Format)'!E446</f>
        <v>HEALTHCARE</v>
      </c>
      <c r="G446" s="7">
        <f>'Panel Data (Long Format)'!F446</f>
        <v>2025</v>
      </c>
      <c r="H446" s="9">
        <v>0</v>
      </c>
      <c r="I446" s="9">
        <v>0</v>
      </c>
      <c r="J446" s="9">
        <v>0</v>
      </c>
      <c r="K446" s="9">
        <v>0</v>
      </c>
      <c r="L446" s="9">
        <v>0</v>
      </c>
      <c r="M446" s="9">
        <v>1</v>
      </c>
      <c r="N446" s="9">
        <v>0</v>
      </c>
      <c r="O446" s="9">
        <v>1</v>
      </c>
      <c r="P446" s="9">
        <v>0</v>
      </c>
      <c r="Q446" s="9">
        <v>0</v>
      </c>
      <c r="R446" s="9">
        <v>1</v>
      </c>
      <c r="S446" s="9">
        <v>0</v>
      </c>
      <c r="T446" s="9">
        <v>1</v>
      </c>
      <c r="U446" s="9">
        <v>0</v>
      </c>
      <c r="V446" s="9">
        <v>0</v>
      </c>
      <c r="W446" s="9">
        <v>1</v>
      </c>
      <c r="X446" s="9">
        <v>0</v>
      </c>
      <c r="Y446" s="9">
        <v>0</v>
      </c>
      <c r="Z446" s="9">
        <v>0</v>
      </c>
      <c r="AA446" s="9">
        <v>1</v>
      </c>
      <c r="AB446" s="10">
        <f t="shared" si="31"/>
        <v>6</v>
      </c>
      <c r="AC446" s="10">
        <f t="shared" si="32"/>
        <v>30</v>
      </c>
      <c r="AD446" s="9">
        <v>0</v>
      </c>
      <c r="AE446" s="9">
        <v>0</v>
      </c>
      <c r="AF446" s="9">
        <v>0</v>
      </c>
      <c r="AG446" s="9">
        <v>0</v>
      </c>
      <c r="AH446" s="9">
        <v>0</v>
      </c>
      <c r="AI446" s="9">
        <v>0</v>
      </c>
      <c r="AJ446" s="9">
        <v>0</v>
      </c>
      <c r="AK446" s="9">
        <v>1</v>
      </c>
      <c r="AL446" s="9">
        <v>0</v>
      </c>
      <c r="AM446" s="9">
        <v>0</v>
      </c>
      <c r="AN446" s="9">
        <v>0</v>
      </c>
      <c r="AO446" s="9">
        <v>0</v>
      </c>
      <c r="AP446" s="9">
        <v>0</v>
      </c>
      <c r="AQ446" s="9">
        <v>0</v>
      </c>
      <c r="AR446" s="9">
        <v>0</v>
      </c>
      <c r="AS446" s="10">
        <f t="shared" si="33"/>
        <v>1</v>
      </c>
      <c r="AT446" s="10">
        <f t="shared" si="34"/>
        <v>6.666666666666667</v>
      </c>
      <c r="AU446" s="5" t="s">
        <v>518</v>
      </c>
    </row>
    <row r="447" spans="1:47" ht="15" customHeight="1" x14ac:dyDescent="0.3">
      <c r="A447" s="7" t="str">
        <f t="shared" si="30"/>
        <v>90_2021</v>
      </c>
      <c r="B447" s="7">
        <v>446</v>
      </c>
      <c r="C447" s="7">
        <f>'Panel Data (Long Format)'!B447</f>
        <v>90</v>
      </c>
      <c r="D447" s="7" t="str">
        <f>'Panel Data (Long Format)'!C447</f>
        <v>NEM</v>
      </c>
      <c r="E447" s="8" t="str">
        <f>'Panel Data (Long Format)'!D447</f>
        <v>NEM Insurance Plc</v>
      </c>
      <c r="F447" s="7" t="str">
        <f>'Panel Data (Long Format)'!E447</f>
        <v>FINANCIAL SERVICES</v>
      </c>
      <c r="G447" s="7">
        <f>'Panel Data (Long Format)'!F447</f>
        <v>2021</v>
      </c>
      <c r="H447" s="9">
        <v>0</v>
      </c>
      <c r="I447" s="9">
        <v>0</v>
      </c>
      <c r="J447" s="9">
        <v>0</v>
      </c>
      <c r="K447" s="9">
        <v>0</v>
      </c>
      <c r="L447" s="9">
        <v>0</v>
      </c>
      <c r="M447" s="9">
        <v>1</v>
      </c>
      <c r="N447" s="9">
        <v>0</v>
      </c>
      <c r="O447" s="9">
        <v>1</v>
      </c>
      <c r="P447" s="9">
        <v>0</v>
      </c>
      <c r="Q447" s="9">
        <v>0</v>
      </c>
      <c r="R447" s="9">
        <v>0</v>
      </c>
      <c r="S447" s="9">
        <v>0</v>
      </c>
      <c r="T447" s="9">
        <v>0</v>
      </c>
      <c r="U447" s="9">
        <v>0</v>
      </c>
      <c r="V447" s="9">
        <v>0</v>
      </c>
      <c r="W447" s="9">
        <v>0</v>
      </c>
      <c r="X447" s="9">
        <v>0</v>
      </c>
      <c r="Y447" s="9">
        <v>0</v>
      </c>
      <c r="Z447" s="9">
        <v>0</v>
      </c>
      <c r="AA447" s="9">
        <v>0</v>
      </c>
      <c r="AB447" s="10">
        <f t="shared" si="31"/>
        <v>2</v>
      </c>
      <c r="AC447" s="10">
        <f t="shared" si="32"/>
        <v>10</v>
      </c>
      <c r="AD447" s="9">
        <v>0</v>
      </c>
      <c r="AE447" s="9">
        <v>0</v>
      </c>
      <c r="AF447" s="9">
        <v>0</v>
      </c>
      <c r="AG447" s="9">
        <v>0</v>
      </c>
      <c r="AH447" s="9">
        <v>0</v>
      </c>
      <c r="AI447" s="9">
        <v>0</v>
      </c>
      <c r="AJ447" s="9">
        <v>0</v>
      </c>
      <c r="AK447" s="9">
        <v>0</v>
      </c>
      <c r="AL447" s="9">
        <v>0</v>
      </c>
      <c r="AM447" s="9">
        <v>0</v>
      </c>
      <c r="AN447" s="9">
        <v>0</v>
      </c>
      <c r="AO447" s="9">
        <v>0</v>
      </c>
      <c r="AP447" s="9">
        <v>0</v>
      </c>
      <c r="AQ447" s="9">
        <v>0</v>
      </c>
      <c r="AR447" s="9">
        <v>0</v>
      </c>
      <c r="AS447" s="10">
        <f t="shared" si="33"/>
        <v>0</v>
      </c>
      <c r="AT447" s="10">
        <f t="shared" si="34"/>
        <v>0</v>
      </c>
      <c r="AU447" s="5" t="s">
        <v>519</v>
      </c>
    </row>
    <row r="448" spans="1:47" ht="15" customHeight="1" x14ac:dyDescent="0.3">
      <c r="A448" s="7" t="str">
        <f t="shared" si="30"/>
        <v>90_2022</v>
      </c>
      <c r="B448" s="7">
        <v>447</v>
      </c>
      <c r="C448" s="7">
        <f>'Panel Data (Long Format)'!B448</f>
        <v>90</v>
      </c>
      <c r="D448" s="7" t="str">
        <f>'Panel Data (Long Format)'!C448</f>
        <v>NEM</v>
      </c>
      <c r="E448" s="8" t="str">
        <f>'Panel Data (Long Format)'!D448</f>
        <v>NEM Insurance Plc</v>
      </c>
      <c r="F448" s="7" t="str">
        <f>'Panel Data (Long Format)'!E448</f>
        <v>FINANCIAL SERVICES</v>
      </c>
      <c r="G448" s="7">
        <f>'Panel Data (Long Format)'!F448</f>
        <v>2022</v>
      </c>
      <c r="H448" s="9">
        <v>0</v>
      </c>
      <c r="I448" s="9">
        <v>0</v>
      </c>
      <c r="J448" s="9">
        <v>0</v>
      </c>
      <c r="K448" s="9">
        <v>0</v>
      </c>
      <c r="L448" s="9">
        <v>0</v>
      </c>
      <c r="M448" s="9">
        <v>1</v>
      </c>
      <c r="N448" s="9">
        <v>0</v>
      </c>
      <c r="O448" s="9">
        <v>1</v>
      </c>
      <c r="P448" s="9">
        <v>0</v>
      </c>
      <c r="Q448" s="9">
        <v>0</v>
      </c>
      <c r="R448" s="9">
        <v>0</v>
      </c>
      <c r="S448" s="9">
        <v>0</v>
      </c>
      <c r="T448" s="9">
        <v>0</v>
      </c>
      <c r="U448" s="9">
        <v>0</v>
      </c>
      <c r="V448" s="9">
        <v>0</v>
      </c>
      <c r="W448" s="9">
        <v>0</v>
      </c>
      <c r="X448" s="9">
        <v>0</v>
      </c>
      <c r="Y448" s="9">
        <v>0</v>
      </c>
      <c r="Z448" s="9">
        <v>0</v>
      </c>
      <c r="AA448" s="9">
        <v>0</v>
      </c>
      <c r="AB448" s="10">
        <f t="shared" si="31"/>
        <v>2</v>
      </c>
      <c r="AC448" s="10">
        <f t="shared" si="32"/>
        <v>10</v>
      </c>
      <c r="AD448" s="9">
        <v>0</v>
      </c>
      <c r="AE448" s="9">
        <v>0</v>
      </c>
      <c r="AF448" s="9">
        <v>0</v>
      </c>
      <c r="AG448" s="9">
        <v>0</v>
      </c>
      <c r="AH448" s="9">
        <v>0</v>
      </c>
      <c r="AI448" s="9">
        <v>0</v>
      </c>
      <c r="AJ448" s="9">
        <v>0</v>
      </c>
      <c r="AK448" s="9">
        <v>0</v>
      </c>
      <c r="AL448" s="9">
        <v>0</v>
      </c>
      <c r="AM448" s="9">
        <v>0</v>
      </c>
      <c r="AN448" s="9">
        <v>0</v>
      </c>
      <c r="AO448" s="9">
        <v>0</v>
      </c>
      <c r="AP448" s="9">
        <v>0</v>
      </c>
      <c r="AQ448" s="9">
        <v>0</v>
      </c>
      <c r="AR448" s="9">
        <v>0</v>
      </c>
      <c r="AS448" s="10">
        <f t="shared" si="33"/>
        <v>0</v>
      </c>
      <c r="AT448" s="10">
        <f t="shared" si="34"/>
        <v>0</v>
      </c>
      <c r="AU448" s="5" t="s">
        <v>519</v>
      </c>
    </row>
    <row r="449" spans="1:47" ht="15" customHeight="1" x14ac:dyDescent="0.3">
      <c r="A449" s="7" t="str">
        <f t="shared" si="30"/>
        <v>90_2023</v>
      </c>
      <c r="B449" s="7">
        <v>448</v>
      </c>
      <c r="C449" s="7">
        <f>'Panel Data (Long Format)'!B449</f>
        <v>90</v>
      </c>
      <c r="D449" s="7" t="str">
        <f>'Panel Data (Long Format)'!C449</f>
        <v>NEM</v>
      </c>
      <c r="E449" s="8" t="str">
        <f>'Panel Data (Long Format)'!D449</f>
        <v>NEM Insurance Plc</v>
      </c>
      <c r="F449" s="7" t="str">
        <f>'Panel Data (Long Format)'!E449</f>
        <v>FINANCIAL SERVICES</v>
      </c>
      <c r="G449" s="7">
        <f>'Panel Data (Long Format)'!F449</f>
        <v>2023</v>
      </c>
      <c r="H449" s="9">
        <v>0</v>
      </c>
      <c r="I449" s="9">
        <v>0</v>
      </c>
      <c r="J449" s="9">
        <v>0</v>
      </c>
      <c r="K449" s="9">
        <v>0</v>
      </c>
      <c r="L449" s="9">
        <v>0</v>
      </c>
      <c r="M449" s="9">
        <v>1</v>
      </c>
      <c r="N449" s="9">
        <v>0</v>
      </c>
      <c r="O449" s="9">
        <v>1</v>
      </c>
      <c r="P449" s="9">
        <v>0</v>
      </c>
      <c r="Q449" s="9">
        <v>0</v>
      </c>
      <c r="R449" s="9">
        <v>0</v>
      </c>
      <c r="S449" s="9">
        <v>0</v>
      </c>
      <c r="T449" s="9">
        <v>0</v>
      </c>
      <c r="U449" s="9">
        <v>0</v>
      </c>
      <c r="V449" s="9">
        <v>0</v>
      </c>
      <c r="W449" s="9">
        <v>0</v>
      </c>
      <c r="X449" s="9">
        <v>0</v>
      </c>
      <c r="Y449" s="9">
        <v>0</v>
      </c>
      <c r="Z449" s="9">
        <v>0</v>
      </c>
      <c r="AA449" s="9">
        <v>0</v>
      </c>
      <c r="AB449" s="10">
        <f t="shared" si="31"/>
        <v>2</v>
      </c>
      <c r="AC449" s="10">
        <f t="shared" si="32"/>
        <v>10</v>
      </c>
      <c r="AD449" s="9">
        <v>0</v>
      </c>
      <c r="AE449" s="9">
        <v>0</v>
      </c>
      <c r="AF449" s="9">
        <v>0</v>
      </c>
      <c r="AG449" s="9">
        <v>0</v>
      </c>
      <c r="AH449" s="9">
        <v>0</v>
      </c>
      <c r="AI449" s="9">
        <v>0</v>
      </c>
      <c r="AJ449" s="9">
        <v>0</v>
      </c>
      <c r="AK449" s="9">
        <v>0</v>
      </c>
      <c r="AL449" s="9">
        <v>0</v>
      </c>
      <c r="AM449" s="9">
        <v>0</v>
      </c>
      <c r="AN449" s="9">
        <v>0</v>
      </c>
      <c r="AO449" s="9">
        <v>0</v>
      </c>
      <c r="AP449" s="9">
        <v>0</v>
      </c>
      <c r="AQ449" s="9">
        <v>0</v>
      </c>
      <c r="AR449" s="9">
        <v>0</v>
      </c>
      <c r="AS449" s="10">
        <f t="shared" si="33"/>
        <v>0</v>
      </c>
      <c r="AT449" s="10">
        <f t="shared" si="34"/>
        <v>0</v>
      </c>
      <c r="AU449" s="5" t="s">
        <v>519</v>
      </c>
    </row>
    <row r="450" spans="1:47" ht="15" customHeight="1" x14ac:dyDescent="0.3">
      <c r="A450" s="7" t="str">
        <f t="shared" ref="A450:A513" si="35">C450&amp;"_"&amp;G450</f>
        <v>90_2024</v>
      </c>
      <c r="B450" s="7">
        <v>449</v>
      </c>
      <c r="C450" s="7">
        <f>'Panel Data (Long Format)'!B450</f>
        <v>90</v>
      </c>
      <c r="D450" s="7" t="str">
        <f>'Panel Data (Long Format)'!C450</f>
        <v>NEM</v>
      </c>
      <c r="E450" s="8" t="str">
        <f>'Panel Data (Long Format)'!D450</f>
        <v>NEM Insurance Plc</v>
      </c>
      <c r="F450" s="7" t="str">
        <f>'Panel Data (Long Format)'!E450</f>
        <v>FINANCIAL SERVICES</v>
      </c>
      <c r="G450" s="7">
        <f>'Panel Data (Long Format)'!F450</f>
        <v>2024</v>
      </c>
      <c r="H450" s="9">
        <v>0</v>
      </c>
      <c r="I450" s="9">
        <v>0</v>
      </c>
      <c r="J450" s="9">
        <v>0</v>
      </c>
      <c r="K450" s="9">
        <v>0</v>
      </c>
      <c r="L450" s="9">
        <v>0</v>
      </c>
      <c r="M450" s="9">
        <v>1</v>
      </c>
      <c r="N450" s="9">
        <v>0</v>
      </c>
      <c r="O450" s="9">
        <v>1</v>
      </c>
      <c r="P450" s="9">
        <v>0</v>
      </c>
      <c r="Q450" s="9">
        <v>0</v>
      </c>
      <c r="R450" s="9">
        <v>0</v>
      </c>
      <c r="S450" s="9">
        <v>0</v>
      </c>
      <c r="T450" s="9">
        <v>0</v>
      </c>
      <c r="U450" s="9">
        <v>0</v>
      </c>
      <c r="V450" s="9">
        <v>0</v>
      </c>
      <c r="W450" s="9">
        <v>0</v>
      </c>
      <c r="X450" s="9">
        <v>0</v>
      </c>
      <c r="Y450" s="9">
        <v>0</v>
      </c>
      <c r="Z450" s="9">
        <v>0</v>
      </c>
      <c r="AA450" s="9">
        <v>0</v>
      </c>
      <c r="AB450" s="10">
        <f t="shared" ref="AB450:AB513" si="36">IF(COUNTBLANK(H450:AA450)&gt;0,"",SUM(H450:AA450))</f>
        <v>2</v>
      </c>
      <c r="AC450" s="10">
        <f t="shared" ref="AC450:AC513" si="37">IF(AB450="","",AB450/20*100)</f>
        <v>10</v>
      </c>
      <c r="AD450" s="9">
        <v>0</v>
      </c>
      <c r="AE450" s="9">
        <v>0</v>
      </c>
      <c r="AF450" s="9">
        <v>0</v>
      </c>
      <c r="AG450" s="9">
        <v>0</v>
      </c>
      <c r="AH450" s="9">
        <v>0</v>
      </c>
      <c r="AI450" s="9">
        <v>0</v>
      </c>
      <c r="AJ450" s="9">
        <v>0</v>
      </c>
      <c r="AK450" s="9">
        <v>0</v>
      </c>
      <c r="AL450" s="9">
        <v>0</v>
      </c>
      <c r="AM450" s="9">
        <v>0</v>
      </c>
      <c r="AN450" s="9">
        <v>0</v>
      </c>
      <c r="AO450" s="9">
        <v>0</v>
      </c>
      <c r="AP450" s="9">
        <v>0</v>
      </c>
      <c r="AQ450" s="9">
        <v>0</v>
      </c>
      <c r="AR450" s="9">
        <v>0</v>
      </c>
      <c r="AS450" s="10">
        <f t="shared" ref="AS450:AS513" si="38">IF(COUNTBLANK(AD450:AR450)&gt;0,"",SUM(AD450:AR450))</f>
        <v>0</v>
      </c>
      <c r="AT450" s="10">
        <f t="shared" ref="AT450:AT513" si="39">IF(AS450="","",AS450/15*100)</f>
        <v>0</v>
      </c>
      <c r="AU450" s="5" t="s">
        <v>519</v>
      </c>
    </row>
    <row r="451" spans="1:47" ht="15" customHeight="1" x14ac:dyDescent="0.3">
      <c r="A451" s="7" t="str">
        <f t="shared" si="35"/>
        <v>90_2025</v>
      </c>
      <c r="B451" s="7">
        <v>450</v>
      </c>
      <c r="C451" s="7">
        <f>'Panel Data (Long Format)'!B451</f>
        <v>90</v>
      </c>
      <c r="D451" s="7" t="str">
        <f>'Panel Data (Long Format)'!C451</f>
        <v>NEM</v>
      </c>
      <c r="E451" s="8" t="str">
        <f>'Panel Data (Long Format)'!D451</f>
        <v>NEM Insurance Plc</v>
      </c>
      <c r="F451" s="7" t="str">
        <f>'Panel Data (Long Format)'!E451</f>
        <v>FINANCIAL SERVICES</v>
      </c>
      <c r="G451" s="7">
        <f>'Panel Data (Long Format)'!F451</f>
        <v>2025</v>
      </c>
      <c r="H451" s="9">
        <v>0</v>
      </c>
      <c r="I451" s="9">
        <v>0</v>
      </c>
      <c r="J451" s="9">
        <v>0</v>
      </c>
      <c r="K451" s="9">
        <v>0</v>
      </c>
      <c r="L451" s="9">
        <v>0</v>
      </c>
      <c r="M451" s="9">
        <v>1</v>
      </c>
      <c r="N451" s="9">
        <v>0</v>
      </c>
      <c r="O451" s="9">
        <v>1</v>
      </c>
      <c r="P451" s="9">
        <v>0</v>
      </c>
      <c r="Q451" s="9">
        <v>0</v>
      </c>
      <c r="R451" s="9">
        <v>0</v>
      </c>
      <c r="S451" s="9">
        <v>0</v>
      </c>
      <c r="T451" s="9">
        <v>0</v>
      </c>
      <c r="U451" s="9">
        <v>0</v>
      </c>
      <c r="V451" s="9">
        <v>0</v>
      </c>
      <c r="W451" s="9">
        <v>0</v>
      </c>
      <c r="X451" s="9">
        <v>0</v>
      </c>
      <c r="Y451" s="9">
        <v>0</v>
      </c>
      <c r="Z451" s="9">
        <v>0</v>
      </c>
      <c r="AA451" s="9">
        <v>0</v>
      </c>
      <c r="AB451" s="10">
        <f t="shared" si="36"/>
        <v>2</v>
      </c>
      <c r="AC451" s="10">
        <f t="shared" si="37"/>
        <v>10</v>
      </c>
      <c r="AD451" s="9">
        <v>0</v>
      </c>
      <c r="AE451" s="9">
        <v>0</v>
      </c>
      <c r="AF451" s="9">
        <v>0</v>
      </c>
      <c r="AG451" s="9">
        <v>0</v>
      </c>
      <c r="AH451" s="9">
        <v>0</v>
      </c>
      <c r="AI451" s="9">
        <v>0</v>
      </c>
      <c r="AJ451" s="9">
        <v>0</v>
      </c>
      <c r="AK451" s="9">
        <v>0</v>
      </c>
      <c r="AL451" s="9">
        <v>0</v>
      </c>
      <c r="AM451" s="9">
        <v>0</v>
      </c>
      <c r="AN451" s="9">
        <v>0</v>
      </c>
      <c r="AO451" s="9">
        <v>0</v>
      </c>
      <c r="AP451" s="9">
        <v>0</v>
      </c>
      <c r="AQ451" s="9">
        <v>0</v>
      </c>
      <c r="AR451" s="9">
        <v>0</v>
      </c>
      <c r="AS451" s="10">
        <f t="shared" si="38"/>
        <v>0</v>
      </c>
      <c r="AT451" s="10">
        <f t="shared" si="39"/>
        <v>0</v>
      </c>
      <c r="AU451" s="5" t="s">
        <v>519</v>
      </c>
    </row>
    <row r="452" spans="1:47" ht="15" customHeight="1" x14ac:dyDescent="0.3">
      <c r="A452" s="7" t="str">
        <f t="shared" si="35"/>
        <v>91_2021</v>
      </c>
      <c r="B452" s="7">
        <v>451</v>
      </c>
      <c r="C452" s="7">
        <f>'Panel Data (Long Format)'!B452</f>
        <v>91</v>
      </c>
      <c r="D452" s="7" t="str">
        <f>'Panel Data (Long Format)'!C452</f>
        <v>NESTLE</v>
      </c>
      <c r="E452" s="8" t="str">
        <f>'Panel Data (Long Format)'!D452</f>
        <v>Nestle Nigeria Plc</v>
      </c>
      <c r="F452" s="7" t="str">
        <f>'Panel Data (Long Format)'!E452</f>
        <v>CONSUMER GOODS</v>
      </c>
      <c r="G452" s="7">
        <f>'Panel Data (Long Format)'!F452</f>
        <v>2021</v>
      </c>
      <c r="H452" s="9">
        <v>0</v>
      </c>
      <c r="I452" s="9">
        <v>1</v>
      </c>
      <c r="J452" s="9">
        <v>0</v>
      </c>
      <c r="K452" s="9">
        <v>0</v>
      </c>
      <c r="L452" s="9">
        <v>0</v>
      </c>
      <c r="M452" s="9">
        <v>1</v>
      </c>
      <c r="N452" s="9">
        <v>0</v>
      </c>
      <c r="O452" s="9">
        <v>1</v>
      </c>
      <c r="P452" s="9">
        <v>0</v>
      </c>
      <c r="Q452" s="9">
        <v>0</v>
      </c>
      <c r="R452" s="9">
        <v>0</v>
      </c>
      <c r="S452" s="9">
        <v>0</v>
      </c>
      <c r="T452" s="9">
        <v>0</v>
      </c>
      <c r="U452" s="9">
        <v>0</v>
      </c>
      <c r="V452" s="9">
        <v>0</v>
      </c>
      <c r="W452" s="9">
        <v>1</v>
      </c>
      <c r="X452" s="9">
        <v>1</v>
      </c>
      <c r="Y452" s="9">
        <v>0</v>
      </c>
      <c r="Z452" s="9">
        <v>0</v>
      </c>
      <c r="AA452" s="9">
        <v>1</v>
      </c>
      <c r="AB452" s="10">
        <f t="shared" si="36"/>
        <v>6</v>
      </c>
      <c r="AC452" s="10">
        <f t="shared" si="37"/>
        <v>30</v>
      </c>
      <c r="AD452" s="9">
        <v>0</v>
      </c>
      <c r="AE452" s="9">
        <v>0</v>
      </c>
      <c r="AF452" s="9">
        <v>0</v>
      </c>
      <c r="AG452" s="9">
        <v>0</v>
      </c>
      <c r="AH452" s="9">
        <v>0</v>
      </c>
      <c r="AI452" s="9">
        <v>0</v>
      </c>
      <c r="AJ452" s="9">
        <v>0</v>
      </c>
      <c r="AK452" s="9">
        <v>0</v>
      </c>
      <c r="AL452" s="9">
        <v>0</v>
      </c>
      <c r="AM452" s="9">
        <v>0</v>
      </c>
      <c r="AN452" s="9">
        <v>0</v>
      </c>
      <c r="AO452" s="9">
        <v>0</v>
      </c>
      <c r="AP452" s="9">
        <v>0</v>
      </c>
      <c r="AQ452" s="9">
        <v>0</v>
      </c>
      <c r="AR452" s="9">
        <v>0</v>
      </c>
      <c r="AS452" s="10">
        <f t="shared" si="38"/>
        <v>0</v>
      </c>
      <c r="AT452" s="10">
        <f t="shared" si="39"/>
        <v>0</v>
      </c>
      <c r="AU452" s="5" t="s">
        <v>520</v>
      </c>
    </row>
    <row r="453" spans="1:47" ht="15" customHeight="1" x14ac:dyDescent="0.3">
      <c r="A453" s="7" t="str">
        <f t="shared" si="35"/>
        <v>91_2022</v>
      </c>
      <c r="B453" s="7">
        <v>452</v>
      </c>
      <c r="C453" s="7">
        <f>'Panel Data (Long Format)'!B453</f>
        <v>91</v>
      </c>
      <c r="D453" s="7" t="str">
        <f>'Panel Data (Long Format)'!C453</f>
        <v>NESTLE</v>
      </c>
      <c r="E453" s="8" t="str">
        <f>'Panel Data (Long Format)'!D453</f>
        <v>Nestle Nigeria Plc</v>
      </c>
      <c r="F453" s="7" t="str">
        <f>'Panel Data (Long Format)'!E453</f>
        <v>CONSUMER GOODS</v>
      </c>
      <c r="G453" s="7">
        <f>'Panel Data (Long Format)'!F453</f>
        <v>2022</v>
      </c>
      <c r="H453" s="9">
        <v>0</v>
      </c>
      <c r="I453" s="9">
        <v>1</v>
      </c>
      <c r="J453" s="9">
        <v>0</v>
      </c>
      <c r="K453" s="9">
        <v>0</v>
      </c>
      <c r="L453" s="9">
        <v>0</v>
      </c>
      <c r="M453" s="9">
        <v>1</v>
      </c>
      <c r="N453" s="9">
        <v>0</v>
      </c>
      <c r="O453" s="9">
        <v>1</v>
      </c>
      <c r="P453" s="9">
        <v>0</v>
      </c>
      <c r="Q453" s="9">
        <v>0</v>
      </c>
      <c r="R453" s="9">
        <v>0</v>
      </c>
      <c r="S453" s="9">
        <v>0</v>
      </c>
      <c r="T453" s="9">
        <v>0</v>
      </c>
      <c r="U453" s="9">
        <v>0</v>
      </c>
      <c r="V453" s="9">
        <v>0</v>
      </c>
      <c r="W453" s="9">
        <v>1</v>
      </c>
      <c r="X453" s="9">
        <v>1</v>
      </c>
      <c r="Y453" s="9">
        <v>0</v>
      </c>
      <c r="Z453" s="9">
        <v>0</v>
      </c>
      <c r="AA453" s="9">
        <v>1</v>
      </c>
      <c r="AB453" s="10">
        <f t="shared" si="36"/>
        <v>6</v>
      </c>
      <c r="AC453" s="10">
        <f t="shared" si="37"/>
        <v>30</v>
      </c>
      <c r="AD453" s="9">
        <v>0</v>
      </c>
      <c r="AE453" s="9">
        <v>0</v>
      </c>
      <c r="AF453" s="9">
        <v>0</v>
      </c>
      <c r="AG453" s="9">
        <v>0</v>
      </c>
      <c r="AH453" s="9">
        <v>0</v>
      </c>
      <c r="AI453" s="9">
        <v>0</v>
      </c>
      <c r="AJ453" s="9">
        <v>0</v>
      </c>
      <c r="AK453" s="9">
        <v>0</v>
      </c>
      <c r="AL453" s="9">
        <v>0</v>
      </c>
      <c r="AM453" s="9">
        <v>0</v>
      </c>
      <c r="AN453" s="9">
        <v>0</v>
      </c>
      <c r="AO453" s="9">
        <v>0</v>
      </c>
      <c r="AP453" s="9">
        <v>0</v>
      </c>
      <c r="AQ453" s="9">
        <v>0</v>
      </c>
      <c r="AR453" s="9">
        <v>0</v>
      </c>
      <c r="AS453" s="10">
        <f t="shared" si="38"/>
        <v>0</v>
      </c>
      <c r="AT453" s="10">
        <f t="shared" si="39"/>
        <v>0</v>
      </c>
      <c r="AU453" s="5" t="s">
        <v>520</v>
      </c>
    </row>
    <row r="454" spans="1:47" ht="15" customHeight="1" x14ac:dyDescent="0.3">
      <c r="A454" s="7" t="str">
        <f t="shared" si="35"/>
        <v>91_2023</v>
      </c>
      <c r="B454" s="7">
        <v>453</v>
      </c>
      <c r="C454" s="7">
        <f>'Panel Data (Long Format)'!B454</f>
        <v>91</v>
      </c>
      <c r="D454" s="7" t="str">
        <f>'Panel Data (Long Format)'!C454</f>
        <v>NESTLE</v>
      </c>
      <c r="E454" s="8" t="str">
        <f>'Panel Data (Long Format)'!D454</f>
        <v>Nestle Nigeria Plc</v>
      </c>
      <c r="F454" s="7" t="str">
        <f>'Panel Data (Long Format)'!E454</f>
        <v>CONSUMER GOODS</v>
      </c>
      <c r="G454" s="7">
        <f>'Panel Data (Long Format)'!F454</f>
        <v>2023</v>
      </c>
      <c r="H454" s="9">
        <v>0</v>
      </c>
      <c r="I454" s="9">
        <v>1</v>
      </c>
      <c r="J454" s="9">
        <v>0</v>
      </c>
      <c r="K454" s="9">
        <v>0</v>
      </c>
      <c r="L454" s="9">
        <v>0</v>
      </c>
      <c r="M454" s="9">
        <v>1</v>
      </c>
      <c r="N454" s="9">
        <v>0</v>
      </c>
      <c r="O454" s="9">
        <v>1</v>
      </c>
      <c r="P454" s="9">
        <v>0</v>
      </c>
      <c r="Q454" s="9">
        <v>0</v>
      </c>
      <c r="R454" s="9">
        <v>0</v>
      </c>
      <c r="S454" s="9">
        <v>0</v>
      </c>
      <c r="T454" s="9">
        <v>0</v>
      </c>
      <c r="U454" s="9">
        <v>0</v>
      </c>
      <c r="V454" s="9">
        <v>0</v>
      </c>
      <c r="W454" s="9">
        <v>1</v>
      </c>
      <c r="X454" s="9">
        <v>1</v>
      </c>
      <c r="Y454" s="9">
        <v>0</v>
      </c>
      <c r="Z454" s="9">
        <v>0</v>
      </c>
      <c r="AA454" s="9">
        <v>1</v>
      </c>
      <c r="AB454" s="10">
        <f t="shared" si="36"/>
        <v>6</v>
      </c>
      <c r="AC454" s="10">
        <f t="shared" si="37"/>
        <v>30</v>
      </c>
      <c r="AD454" s="9">
        <v>0</v>
      </c>
      <c r="AE454" s="9">
        <v>0</v>
      </c>
      <c r="AF454" s="9">
        <v>0</v>
      </c>
      <c r="AG454" s="9">
        <v>0</v>
      </c>
      <c r="AH454" s="9">
        <v>0</v>
      </c>
      <c r="AI454" s="9">
        <v>0</v>
      </c>
      <c r="AJ454" s="9">
        <v>0</v>
      </c>
      <c r="AK454" s="9">
        <v>0</v>
      </c>
      <c r="AL454" s="9">
        <v>0</v>
      </c>
      <c r="AM454" s="9">
        <v>0</v>
      </c>
      <c r="AN454" s="9">
        <v>0</v>
      </c>
      <c r="AO454" s="9">
        <v>0</v>
      </c>
      <c r="AP454" s="9">
        <v>0</v>
      </c>
      <c r="AQ454" s="9">
        <v>0</v>
      </c>
      <c r="AR454" s="9">
        <v>0</v>
      </c>
      <c r="AS454" s="10">
        <f t="shared" si="38"/>
        <v>0</v>
      </c>
      <c r="AT454" s="10">
        <f t="shared" si="39"/>
        <v>0</v>
      </c>
      <c r="AU454" s="5" t="s">
        <v>520</v>
      </c>
    </row>
    <row r="455" spans="1:47" ht="15" customHeight="1" x14ac:dyDescent="0.3">
      <c r="A455" s="7" t="str">
        <f t="shared" si="35"/>
        <v>91_2024</v>
      </c>
      <c r="B455" s="7">
        <v>454</v>
      </c>
      <c r="C455" s="7">
        <f>'Panel Data (Long Format)'!B455</f>
        <v>91</v>
      </c>
      <c r="D455" s="7" t="str">
        <f>'Panel Data (Long Format)'!C455</f>
        <v>NESTLE</v>
      </c>
      <c r="E455" s="8" t="str">
        <f>'Panel Data (Long Format)'!D455</f>
        <v>Nestle Nigeria Plc</v>
      </c>
      <c r="F455" s="7" t="str">
        <f>'Panel Data (Long Format)'!E455</f>
        <v>CONSUMER GOODS</v>
      </c>
      <c r="G455" s="7">
        <f>'Panel Data (Long Format)'!F455</f>
        <v>2024</v>
      </c>
      <c r="H455" s="9">
        <v>0</v>
      </c>
      <c r="I455" s="9">
        <v>1</v>
      </c>
      <c r="J455" s="9">
        <v>0</v>
      </c>
      <c r="K455" s="9">
        <v>0</v>
      </c>
      <c r="L455" s="9">
        <v>0</v>
      </c>
      <c r="M455" s="9">
        <v>1</v>
      </c>
      <c r="N455" s="9">
        <v>0</v>
      </c>
      <c r="O455" s="9">
        <v>1</v>
      </c>
      <c r="P455" s="9">
        <v>0</v>
      </c>
      <c r="Q455" s="9">
        <v>0</v>
      </c>
      <c r="R455" s="9">
        <v>0</v>
      </c>
      <c r="S455" s="9">
        <v>0</v>
      </c>
      <c r="T455" s="9">
        <v>0</v>
      </c>
      <c r="U455" s="9">
        <v>0</v>
      </c>
      <c r="V455" s="9">
        <v>0</v>
      </c>
      <c r="W455" s="9">
        <v>1</v>
      </c>
      <c r="X455" s="9">
        <v>1</v>
      </c>
      <c r="Y455" s="9">
        <v>0</v>
      </c>
      <c r="Z455" s="9">
        <v>0</v>
      </c>
      <c r="AA455" s="9">
        <v>1</v>
      </c>
      <c r="AB455" s="10">
        <f t="shared" si="36"/>
        <v>6</v>
      </c>
      <c r="AC455" s="10">
        <f t="shared" si="37"/>
        <v>30</v>
      </c>
      <c r="AD455" s="9">
        <v>0</v>
      </c>
      <c r="AE455" s="9">
        <v>0</v>
      </c>
      <c r="AF455" s="9">
        <v>0</v>
      </c>
      <c r="AG455" s="9">
        <v>0</v>
      </c>
      <c r="AH455" s="9">
        <v>0</v>
      </c>
      <c r="AI455" s="9">
        <v>0</v>
      </c>
      <c r="AJ455" s="9">
        <v>0</v>
      </c>
      <c r="AK455" s="9">
        <v>0</v>
      </c>
      <c r="AL455" s="9">
        <v>0</v>
      </c>
      <c r="AM455" s="9">
        <v>0</v>
      </c>
      <c r="AN455" s="9">
        <v>0</v>
      </c>
      <c r="AO455" s="9">
        <v>0</v>
      </c>
      <c r="AP455" s="9">
        <v>0</v>
      </c>
      <c r="AQ455" s="9">
        <v>0</v>
      </c>
      <c r="AR455" s="9">
        <v>0</v>
      </c>
      <c r="AS455" s="10">
        <f t="shared" si="38"/>
        <v>0</v>
      </c>
      <c r="AT455" s="10">
        <f t="shared" si="39"/>
        <v>0</v>
      </c>
      <c r="AU455" s="5" t="s">
        <v>520</v>
      </c>
    </row>
    <row r="456" spans="1:47" ht="15" customHeight="1" x14ac:dyDescent="0.3">
      <c r="A456" s="7" t="str">
        <f t="shared" si="35"/>
        <v>91_2025</v>
      </c>
      <c r="B456" s="7">
        <v>455</v>
      </c>
      <c r="C456" s="7">
        <f>'Panel Data (Long Format)'!B456</f>
        <v>91</v>
      </c>
      <c r="D456" s="7" t="str">
        <f>'Panel Data (Long Format)'!C456</f>
        <v>NESTLE</v>
      </c>
      <c r="E456" s="8" t="str">
        <f>'Panel Data (Long Format)'!D456</f>
        <v>Nestle Nigeria Plc</v>
      </c>
      <c r="F456" s="7" t="str">
        <f>'Panel Data (Long Format)'!E456</f>
        <v>CONSUMER GOODS</v>
      </c>
      <c r="G456" s="7">
        <f>'Panel Data (Long Format)'!F456</f>
        <v>2025</v>
      </c>
      <c r="H456" s="9">
        <v>0</v>
      </c>
      <c r="I456" s="9">
        <v>1</v>
      </c>
      <c r="J456" s="9">
        <v>0</v>
      </c>
      <c r="K456" s="9">
        <v>0</v>
      </c>
      <c r="L456" s="9">
        <v>0</v>
      </c>
      <c r="M456" s="9">
        <v>1</v>
      </c>
      <c r="N456" s="9">
        <v>0</v>
      </c>
      <c r="O456" s="9">
        <v>1</v>
      </c>
      <c r="P456" s="9">
        <v>0</v>
      </c>
      <c r="Q456" s="9">
        <v>0</v>
      </c>
      <c r="R456" s="9">
        <v>0</v>
      </c>
      <c r="S456" s="9">
        <v>0</v>
      </c>
      <c r="T456" s="9">
        <v>0</v>
      </c>
      <c r="U456" s="9">
        <v>0</v>
      </c>
      <c r="V456" s="9">
        <v>0</v>
      </c>
      <c r="W456" s="9">
        <v>1</v>
      </c>
      <c r="X456" s="9">
        <v>1</v>
      </c>
      <c r="Y456" s="9">
        <v>0</v>
      </c>
      <c r="Z456" s="9">
        <v>0</v>
      </c>
      <c r="AA456" s="9">
        <v>1</v>
      </c>
      <c r="AB456" s="10">
        <f t="shared" si="36"/>
        <v>6</v>
      </c>
      <c r="AC456" s="10">
        <f t="shared" si="37"/>
        <v>30</v>
      </c>
      <c r="AD456" s="9">
        <v>0</v>
      </c>
      <c r="AE456" s="9">
        <v>0</v>
      </c>
      <c r="AF456" s="9">
        <v>0</v>
      </c>
      <c r="AG456" s="9">
        <v>0</v>
      </c>
      <c r="AH456" s="9">
        <v>0</v>
      </c>
      <c r="AI456" s="9">
        <v>0</v>
      </c>
      <c r="AJ456" s="9">
        <v>0</v>
      </c>
      <c r="AK456" s="9">
        <v>0</v>
      </c>
      <c r="AL456" s="9">
        <v>0</v>
      </c>
      <c r="AM456" s="9">
        <v>0</v>
      </c>
      <c r="AN456" s="9">
        <v>0</v>
      </c>
      <c r="AO456" s="9">
        <v>0</v>
      </c>
      <c r="AP456" s="9">
        <v>0</v>
      </c>
      <c r="AQ456" s="9">
        <v>0</v>
      </c>
      <c r="AR456" s="9">
        <v>0</v>
      </c>
      <c r="AS456" s="10">
        <f t="shared" si="38"/>
        <v>0</v>
      </c>
      <c r="AT456" s="10">
        <f t="shared" si="39"/>
        <v>0</v>
      </c>
      <c r="AU456" s="5" t="s">
        <v>520</v>
      </c>
    </row>
    <row r="457" spans="1:47" ht="15" customHeight="1" x14ac:dyDescent="0.3">
      <c r="A457" s="7" t="str">
        <f t="shared" si="35"/>
        <v>92_2021</v>
      </c>
      <c r="B457" s="7">
        <v>456</v>
      </c>
      <c r="C457" s="7">
        <f>'Panel Data (Long Format)'!B457</f>
        <v>92</v>
      </c>
      <c r="D457" s="7" t="str">
        <f>'Panel Data (Long Format)'!C457</f>
        <v>NGXGROUP</v>
      </c>
      <c r="E457" s="8" t="str">
        <f>'Panel Data (Long Format)'!D457</f>
        <v>Nigerian Exchange Group Plc</v>
      </c>
      <c r="F457" s="7" t="str">
        <f>'Panel Data (Long Format)'!E457</f>
        <v>FINANCIAL SERVICES</v>
      </c>
      <c r="G457" s="7">
        <f>'Panel Data (Long Format)'!F457</f>
        <v>2021</v>
      </c>
      <c r="H457" s="9">
        <v>1</v>
      </c>
      <c r="I457" s="9">
        <v>0</v>
      </c>
      <c r="J457" s="9">
        <v>0</v>
      </c>
      <c r="K457" s="9">
        <v>1</v>
      </c>
      <c r="L457" s="9">
        <v>0</v>
      </c>
      <c r="M457" s="9">
        <v>1</v>
      </c>
      <c r="N457" s="9">
        <v>0</v>
      </c>
      <c r="O457" s="9">
        <v>0</v>
      </c>
      <c r="P457" s="9">
        <v>0</v>
      </c>
      <c r="Q457" s="9">
        <v>0</v>
      </c>
      <c r="R457" s="9">
        <v>0</v>
      </c>
      <c r="S457" s="9">
        <v>0</v>
      </c>
      <c r="T457" s="9">
        <v>0</v>
      </c>
      <c r="U457" s="9">
        <v>1</v>
      </c>
      <c r="V457" s="9">
        <v>0</v>
      </c>
      <c r="W457" s="9">
        <v>1</v>
      </c>
      <c r="X457" s="9">
        <v>0</v>
      </c>
      <c r="Y457" s="9">
        <v>0</v>
      </c>
      <c r="Z457" s="9">
        <v>0</v>
      </c>
      <c r="AA457" s="9">
        <v>0</v>
      </c>
      <c r="AB457" s="10">
        <f t="shared" si="36"/>
        <v>5</v>
      </c>
      <c r="AC457" s="10">
        <f t="shared" si="37"/>
        <v>25</v>
      </c>
      <c r="AD457" s="9">
        <v>0</v>
      </c>
      <c r="AE457" s="9">
        <v>0</v>
      </c>
      <c r="AF457" s="9">
        <v>0</v>
      </c>
      <c r="AG457" s="9">
        <v>0</v>
      </c>
      <c r="AH457" s="9">
        <v>0</v>
      </c>
      <c r="AI457" s="9">
        <v>0</v>
      </c>
      <c r="AJ457" s="9">
        <v>0</v>
      </c>
      <c r="AK457" s="9">
        <v>0</v>
      </c>
      <c r="AL457" s="9">
        <v>0</v>
      </c>
      <c r="AM457" s="9">
        <v>0</v>
      </c>
      <c r="AN457" s="9">
        <v>0</v>
      </c>
      <c r="AO457" s="9">
        <v>0</v>
      </c>
      <c r="AP457" s="9">
        <v>0</v>
      </c>
      <c r="AQ457" s="9">
        <v>0</v>
      </c>
      <c r="AR457" s="9">
        <v>0</v>
      </c>
      <c r="AS457" s="10">
        <f t="shared" si="38"/>
        <v>0</v>
      </c>
      <c r="AT457" s="10">
        <f t="shared" si="39"/>
        <v>0</v>
      </c>
      <c r="AU457" s="5" t="s">
        <v>521</v>
      </c>
    </row>
    <row r="458" spans="1:47" ht="15" customHeight="1" x14ac:dyDescent="0.3">
      <c r="A458" s="7" t="str">
        <f t="shared" si="35"/>
        <v>92_2022</v>
      </c>
      <c r="B458" s="7">
        <v>457</v>
      </c>
      <c r="C458" s="7">
        <f>'Panel Data (Long Format)'!B458</f>
        <v>92</v>
      </c>
      <c r="D458" s="7" t="str">
        <f>'Panel Data (Long Format)'!C458</f>
        <v>NGXGROUP</v>
      </c>
      <c r="E458" s="8" t="str">
        <f>'Panel Data (Long Format)'!D458</f>
        <v>Nigerian Exchange Group Plc</v>
      </c>
      <c r="F458" s="7" t="str">
        <f>'Panel Data (Long Format)'!E458</f>
        <v>FINANCIAL SERVICES</v>
      </c>
      <c r="G458" s="7">
        <f>'Panel Data (Long Format)'!F458</f>
        <v>2022</v>
      </c>
      <c r="H458" s="9">
        <v>1</v>
      </c>
      <c r="I458" s="9">
        <v>0</v>
      </c>
      <c r="J458" s="9">
        <v>0</v>
      </c>
      <c r="K458" s="9">
        <v>1</v>
      </c>
      <c r="L458" s="9">
        <v>0</v>
      </c>
      <c r="M458" s="9">
        <v>1</v>
      </c>
      <c r="N458" s="9">
        <v>0</v>
      </c>
      <c r="O458" s="9">
        <v>0</v>
      </c>
      <c r="P458" s="9">
        <v>0</v>
      </c>
      <c r="Q458" s="9">
        <v>0</v>
      </c>
      <c r="R458" s="9">
        <v>0</v>
      </c>
      <c r="S458" s="9">
        <v>0</v>
      </c>
      <c r="T458" s="9">
        <v>0</v>
      </c>
      <c r="U458" s="9">
        <v>1</v>
      </c>
      <c r="V458" s="9">
        <v>0</v>
      </c>
      <c r="W458" s="9">
        <v>1</v>
      </c>
      <c r="X458" s="9">
        <v>0</v>
      </c>
      <c r="Y458" s="9">
        <v>0</v>
      </c>
      <c r="Z458" s="9">
        <v>0</v>
      </c>
      <c r="AA458" s="9">
        <v>0</v>
      </c>
      <c r="AB458" s="10">
        <f t="shared" si="36"/>
        <v>5</v>
      </c>
      <c r="AC458" s="10">
        <f t="shared" si="37"/>
        <v>25</v>
      </c>
      <c r="AD458" s="9">
        <v>0</v>
      </c>
      <c r="AE458" s="9">
        <v>0</v>
      </c>
      <c r="AF458" s="9">
        <v>0</v>
      </c>
      <c r="AG458" s="9">
        <v>0</v>
      </c>
      <c r="AH458" s="9">
        <v>0</v>
      </c>
      <c r="AI458" s="9">
        <v>0</v>
      </c>
      <c r="AJ458" s="9">
        <v>0</v>
      </c>
      <c r="AK458" s="9">
        <v>0</v>
      </c>
      <c r="AL458" s="9">
        <v>0</v>
      </c>
      <c r="AM458" s="9">
        <v>0</v>
      </c>
      <c r="AN458" s="9">
        <v>0</v>
      </c>
      <c r="AO458" s="9">
        <v>0</v>
      </c>
      <c r="AP458" s="9">
        <v>0</v>
      </c>
      <c r="AQ458" s="9">
        <v>0</v>
      </c>
      <c r="AR458" s="9">
        <v>0</v>
      </c>
      <c r="AS458" s="10">
        <f t="shared" si="38"/>
        <v>0</v>
      </c>
      <c r="AT458" s="10">
        <f t="shared" si="39"/>
        <v>0</v>
      </c>
      <c r="AU458" s="5" t="s">
        <v>521</v>
      </c>
    </row>
    <row r="459" spans="1:47" ht="15" customHeight="1" x14ac:dyDescent="0.3">
      <c r="A459" s="7" t="str">
        <f t="shared" si="35"/>
        <v>92_2023</v>
      </c>
      <c r="B459" s="7">
        <v>458</v>
      </c>
      <c r="C459" s="7">
        <f>'Panel Data (Long Format)'!B459</f>
        <v>92</v>
      </c>
      <c r="D459" s="7" t="str">
        <f>'Panel Data (Long Format)'!C459</f>
        <v>NGXGROUP</v>
      </c>
      <c r="E459" s="8" t="str">
        <f>'Panel Data (Long Format)'!D459</f>
        <v>Nigerian Exchange Group Plc</v>
      </c>
      <c r="F459" s="7" t="str">
        <f>'Panel Data (Long Format)'!E459</f>
        <v>FINANCIAL SERVICES</v>
      </c>
      <c r="G459" s="7">
        <f>'Panel Data (Long Format)'!F459</f>
        <v>2023</v>
      </c>
      <c r="H459" s="9">
        <v>1</v>
      </c>
      <c r="I459" s="9">
        <v>0</v>
      </c>
      <c r="J459" s="9">
        <v>0</v>
      </c>
      <c r="K459" s="9">
        <v>1</v>
      </c>
      <c r="L459" s="9">
        <v>0</v>
      </c>
      <c r="M459" s="9">
        <v>1</v>
      </c>
      <c r="N459" s="9">
        <v>0</v>
      </c>
      <c r="O459" s="9">
        <v>0</v>
      </c>
      <c r="P459" s="9">
        <v>0</v>
      </c>
      <c r="Q459" s="9">
        <v>0</v>
      </c>
      <c r="R459" s="9">
        <v>0</v>
      </c>
      <c r="S459" s="9">
        <v>0</v>
      </c>
      <c r="T459" s="9">
        <v>0</v>
      </c>
      <c r="U459" s="9">
        <v>1</v>
      </c>
      <c r="V459" s="9">
        <v>0</v>
      </c>
      <c r="W459" s="9">
        <v>1</v>
      </c>
      <c r="X459" s="9">
        <v>0</v>
      </c>
      <c r="Y459" s="9">
        <v>0</v>
      </c>
      <c r="Z459" s="9">
        <v>0</v>
      </c>
      <c r="AA459" s="9">
        <v>0</v>
      </c>
      <c r="AB459" s="10">
        <f t="shared" si="36"/>
        <v>5</v>
      </c>
      <c r="AC459" s="10">
        <f t="shared" si="37"/>
        <v>25</v>
      </c>
      <c r="AD459" s="9">
        <v>0</v>
      </c>
      <c r="AE459" s="9">
        <v>0</v>
      </c>
      <c r="AF459" s="9">
        <v>0</v>
      </c>
      <c r="AG459" s="9">
        <v>0</v>
      </c>
      <c r="AH459" s="9">
        <v>0</v>
      </c>
      <c r="AI459" s="9">
        <v>0</v>
      </c>
      <c r="AJ459" s="9">
        <v>0</v>
      </c>
      <c r="AK459" s="9">
        <v>0</v>
      </c>
      <c r="AL459" s="9">
        <v>0</v>
      </c>
      <c r="AM459" s="9">
        <v>0</v>
      </c>
      <c r="AN459" s="9">
        <v>0</v>
      </c>
      <c r="AO459" s="9">
        <v>0</v>
      </c>
      <c r="AP459" s="9">
        <v>0</v>
      </c>
      <c r="AQ459" s="9">
        <v>0</v>
      </c>
      <c r="AR459" s="9">
        <v>0</v>
      </c>
      <c r="AS459" s="10">
        <f t="shared" si="38"/>
        <v>0</v>
      </c>
      <c r="AT459" s="10">
        <f t="shared" si="39"/>
        <v>0</v>
      </c>
      <c r="AU459" s="5" t="s">
        <v>521</v>
      </c>
    </row>
    <row r="460" spans="1:47" ht="15" customHeight="1" x14ac:dyDescent="0.3">
      <c r="A460" s="7" t="str">
        <f t="shared" si="35"/>
        <v>92_2024</v>
      </c>
      <c r="B460" s="7">
        <v>459</v>
      </c>
      <c r="C460" s="7">
        <f>'Panel Data (Long Format)'!B460</f>
        <v>92</v>
      </c>
      <c r="D460" s="7" t="str">
        <f>'Panel Data (Long Format)'!C460</f>
        <v>NGXGROUP</v>
      </c>
      <c r="E460" s="8" t="str">
        <f>'Panel Data (Long Format)'!D460</f>
        <v>Nigerian Exchange Group Plc</v>
      </c>
      <c r="F460" s="7" t="str">
        <f>'Panel Data (Long Format)'!E460</f>
        <v>FINANCIAL SERVICES</v>
      </c>
      <c r="G460" s="7">
        <f>'Panel Data (Long Format)'!F460</f>
        <v>2024</v>
      </c>
      <c r="H460" s="9">
        <v>1</v>
      </c>
      <c r="I460" s="9">
        <v>0</v>
      </c>
      <c r="J460" s="9">
        <v>0</v>
      </c>
      <c r="K460" s="9">
        <v>1</v>
      </c>
      <c r="L460" s="9">
        <v>0</v>
      </c>
      <c r="M460" s="9">
        <v>1</v>
      </c>
      <c r="N460" s="9">
        <v>0</v>
      </c>
      <c r="O460" s="9">
        <v>0</v>
      </c>
      <c r="P460" s="9">
        <v>0</v>
      </c>
      <c r="Q460" s="9">
        <v>0</v>
      </c>
      <c r="R460" s="9">
        <v>0</v>
      </c>
      <c r="S460" s="9">
        <v>0</v>
      </c>
      <c r="T460" s="9">
        <v>0</v>
      </c>
      <c r="U460" s="9">
        <v>1</v>
      </c>
      <c r="V460" s="9">
        <v>0</v>
      </c>
      <c r="W460" s="9">
        <v>1</v>
      </c>
      <c r="X460" s="9">
        <v>0</v>
      </c>
      <c r="Y460" s="9">
        <v>0</v>
      </c>
      <c r="Z460" s="9">
        <v>0</v>
      </c>
      <c r="AA460" s="9">
        <v>0</v>
      </c>
      <c r="AB460" s="10">
        <f t="shared" si="36"/>
        <v>5</v>
      </c>
      <c r="AC460" s="10">
        <f t="shared" si="37"/>
        <v>25</v>
      </c>
      <c r="AD460" s="9">
        <v>0</v>
      </c>
      <c r="AE460" s="9">
        <v>0</v>
      </c>
      <c r="AF460" s="9">
        <v>0</v>
      </c>
      <c r="AG460" s="9">
        <v>0</v>
      </c>
      <c r="AH460" s="9">
        <v>0</v>
      </c>
      <c r="AI460" s="9">
        <v>0</v>
      </c>
      <c r="AJ460" s="9">
        <v>0</v>
      </c>
      <c r="AK460" s="9">
        <v>0</v>
      </c>
      <c r="AL460" s="9">
        <v>0</v>
      </c>
      <c r="AM460" s="9">
        <v>0</v>
      </c>
      <c r="AN460" s="9">
        <v>0</v>
      </c>
      <c r="AO460" s="9">
        <v>0</v>
      </c>
      <c r="AP460" s="9">
        <v>0</v>
      </c>
      <c r="AQ460" s="9">
        <v>0</v>
      </c>
      <c r="AR460" s="9">
        <v>0</v>
      </c>
      <c r="AS460" s="10">
        <f t="shared" si="38"/>
        <v>0</v>
      </c>
      <c r="AT460" s="10">
        <f t="shared" si="39"/>
        <v>0</v>
      </c>
      <c r="AU460" s="5" t="s">
        <v>521</v>
      </c>
    </row>
    <row r="461" spans="1:47" ht="15" customHeight="1" x14ac:dyDescent="0.3">
      <c r="A461" s="7" t="str">
        <f t="shared" si="35"/>
        <v>92_2025</v>
      </c>
      <c r="B461" s="7">
        <v>460</v>
      </c>
      <c r="C461" s="7">
        <f>'Panel Data (Long Format)'!B461</f>
        <v>92</v>
      </c>
      <c r="D461" s="7" t="str">
        <f>'Panel Data (Long Format)'!C461</f>
        <v>NGXGROUP</v>
      </c>
      <c r="E461" s="8" t="str">
        <f>'Panel Data (Long Format)'!D461</f>
        <v>Nigerian Exchange Group Plc</v>
      </c>
      <c r="F461" s="7" t="str">
        <f>'Panel Data (Long Format)'!E461</f>
        <v>FINANCIAL SERVICES</v>
      </c>
      <c r="G461" s="7">
        <f>'Panel Data (Long Format)'!F461</f>
        <v>2025</v>
      </c>
      <c r="H461" s="9">
        <v>1</v>
      </c>
      <c r="I461" s="9">
        <v>0</v>
      </c>
      <c r="J461" s="9">
        <v>1</v>
      </c>
      <c r="K461" s="9">
        <v>1</v>
      </c>
      <c r="L461" s="9">
        <v>0</v>
      </c>
      <c r="M461" s="9">
        <v>1</v>
      </c>
      <c r="N461" s="9">
        <v>0</v>
      </c>
      <c r="O461" s="9">
        <v>1</v>
      </c>
      <c r="P461" s="9">
        <v>0</v>
      </c>
      <c r="Q461" s="9">
        <v>0</v>
      </c>
      <c r="R461" s="9">
        <v>0</v>
      </c>
      <c r="S461" s="9">
        <v>0</v>
      </c>
      <c r="T461" s="9">
        <v>0</v>
      </c>
      <c r="U461" s="9">
        <v>1</v>
      </c>
      <c r="V461" s="9">
        <v>0</v>
      </c>
      <c r="W461" s="9">
        <v>1</v>
      </c>
      <c r="X461" s="9">
        <v>0</v>
      </c>
      <c r="Y461" s="9">
        <v>0</v>
      </c>
      <c r="Z461" s="9">
        <v>0</v>
      </c>
      <c r="AA461" s="9">
        <v>0</v>
      </c>
      <c r="AB461" s="10">
        <f t="shared" si="36"/>
        <v>7</v>
      </c>
      <c r="AC461" s="10">
        <f t="shared" si="37"/>
        <v>35</v>
      </c>
      <c r="AD461" s="9">
        <v>0</v>
      </c>
      <c r="AE461" s="9">
        <v>0</v>
      </c>
      <c r="AF461" s="9">
        <v>0</v>
      </c>
      <c r="AG461" s="9">
        <v>0</v>
      </c>
      <c r="AH461" s="9">
        <v>0</v>
      </c>
      <c r="AI461" s="9">
        <v>0</v>
      </c>
      <c r="AJ461" s="9">
        <v>1</v>
      </c>
      <c r="AK461" s="9">
        <v>0</v>
      </c>
      <c r="AL461" s="9">
        <v>0</v>
      </c>
      <c r="AM461" s="9">
        <v>0</v>
      </c>
      <c r="AN461" s="9">
        <v>0</v>
      </c>
      <c r="AO461" s="9">
        <v>0</v>
      </c>
      <c r="AP461" s="9">
        <v>0</v>
      </c>
      <c r="AQ461" s="9">
        <v>0</v>
      </c>
      <c r="AR461" s="9">
        <v>0</v>
      </c>
      <c r="AS461" s="10">
        <f t="shared" si="38"/>
        <v>1</v>
      </c>
      <c r="AT461" s="10">
        <f t="shared" si="39"/>
        <v>6.666666666666667</v>
      </c>
      <c r="AU461" s="5" t="s">
        <v>522</v>
      </c>
    </row>
    <row r="462" spans="1:47" ht="15" customHeight="1" x14ac:dyDescent="0.3">
      <c r="A462" s="7" t="str">
        <f t="shared" si="35"/>
        <v>93_2021</v>
      </c>
      <c r="B462" s="7">
        <v>461</v>
      </c>
      <c r="C462" s="7">
        <f>'Panel Data (Long Format)'!B462</f>
        <v>93</v>
      </c>
      <c r="D462" s="7" t="str">
        <f>'Panel Data (Long Format)'!C462</f>
        <v>NIDF</v>
      </c>
      <c r="E462" s="8" t="str">
        <f>'Panel Data (Long Format)'!D462</f>
        <v>Nigeria Infrastructure Debt Fund</v>
      </c>
      <c r="F462" s="7" t="str">
        <f>'Panel Data (Long Format)'!E462</f>
        <v>CONSTRUCTION/REAL ESTATE</v>
      </c>
      <c r="G462" s="7">
        <f>'Panel Data (Long Format)'!F462</f>
        <v>2021</v>
      </c>
      <c r="H462" s="9"/>
      <c r="I462" s="9"/>
      <c r="J462" s="9"/>
      <c r="K462" s="9"/>
      <c r="L462" s="9"/>
      <c r="M462" s="9"/>
      <c r="N462" s="9"/>
      <c r="O462" s="9"/>
      <c r="P462" s="9"/>
      <c r="Q462" s="9"/>
      <c r="R462" s="9"/>
      <c r="S462" s="9"/>
      <c r="T462" s="9"/>
      <c r="U462" s="9"/>
      <c r="V462" s="9"/>
      <c r="W462" s="9"/>
      <c r="X462" s="9"/>
      <c r="Y462" s="9"/>
      <c r="Z462" s="9"/>
      <c r="AA462" s="9"/>
      <c r="AB462" s="10" t="str">
        <f t="shared" si="36"/>
        <v/>
      </c>
      <c r="AC462" s="10" t="str">
        <f t="shared" si="37"/>
        <v/>
      </c>
      <c r="AD462" s="9"/>
      <c r="AE462" s="9"/>
      <c r="AF462" s="9"/>
      <c r="AG462" s="9"/>
      <c r="AH462" s="9"/>
      <c r="AI462" s="9"/>
      <c r="AJ462" s="9"/>
      <c r="AK462" s="9"/>
      <c r="AL462" s="9"/>
      <c r="AM462" s="9"/>
      <c r="AN462" s="9"/>
      <c r="AO462" s="9"/>
      <c r="AP462" s="9"/>
      <c r="AQ462" s="9"/>
      <c r="AR462" s="9"/>
      <c r="AS462" s="10" t="str">
        <f t="shared" si="38"/>
        <v/>
      </c>
      <c r="AT462" s="10" t="str">
        <f t="shared" si="39"/>
        <v/>
      </c>
      <c r="AU462" s="5" t="s">
        <v>523</v>
      </c>
    </row>
    <row r="463" spans="1:47" ht="15" customHeight="1" x14ac:dyDescent="0.3">
      <c r="A463" s="7" t="str">
        <f t="shared" si="35"/>
        <v>93_2022</v>
      </c>
      <c r="B463" s="7">
        <v>462</v>
      </c>
      <c r="C463" s="7">
        <f>'Panel Data (Long Format)'!B463</f>
        <v>93</v>
      </c>
      <c r="D463" s="7" t="str">
        <f>'Panel Data (Long Format)'!C463</f>
        <v>NIDF</v>
      </c>
      <c r="E463" s="8" t="str">
        <f>'Panel Data (Long Format)'!D463</f>
        <v>Nigeria Infrastructure Debt Fund</v>
      </c>
      <c r="F463" s="7" t="str">
        <f>'Panel Data (Long Format)'!E463</f>
        <v>CONSTRUCTION/REAL ESTATE</v>
      </c>
      <c r="G463" s="7">
        <f>'Panel Data (Long Format)'!F463</f>
        <v>2022</v>
      </c>
      <c r="H463" s="9"/>
      <c r="I463" s="9"/>
      <c r="J463" s="9"/>
      <c r="K463" s="9"/>
      <c r="L463" s="9"/>
      <c r="M463" s="9"/>
      <c r="N463" s="9"/>
      <c r="O463" s="9"/>
      <c r="P463" s="9"/>
      <c r="Q463" s="9"/>
      <c r="R463" s="9"/>
      <c r="S463" s="9"/>
      <c r="T463" s="9"/>
      <c r="U463" s="9"/>
      <c r="V463" s="9"/>
      <c r="W463" s="9"/>
      <c r="X463" s="9"/>
      <c r="Y463" s="9"/>
      <c r="Z463" s="9"/>
      <c r="AA463" s="9"/>
      <c r="AB463" s="10" t="str">
        <f t="shared" si="36"/>
        <v/>
      </c>
      <c r="AC463" s="10" t="str">
        <f t="shared" si="37"/>
        <v/>
      </c>
      <c r="AD463" s="9"/>
      <c r="AE463" s="9"/>
      <c r="AF463" s="9"/>
      <c r="AG463" s="9"/>
      <c r="AH463" s="9"/>
      <c r="AI463" s="9"/>
      <c r="AJ463" s="9"/>
      <c r="AK463" s="9"/>
      <c r="AL463" s="9"/>
      <c r="AM463" s="9"/>
      <c r="AN463" s="9"/>
      <c r="AO463" s="9"/>
      <c r="AP463" s="9"/>
      <c r="AQ463" s="9"/>
      <c r="AR463" s="9"/>
      <c r="AS463" s="10" t="str">
        <f t="shared" si="38"/>
        <v/>
      </c>
      <c r="AT463" s="10" t="str">
        <f t="shared" si="39"/>
        <v/>
      </c>
      <c r="AU463" s="5" t="s">
        <v>523</v>
      </c>
    </row>
    <row r="464" spans="1:47" ht="15" customHeight="1" x14ac:dyDescent="0.3">
      <c r="A464" s="7" t="str">
        <f t="shared" si="35"/>
        <v>93_2023</v>
      </c>
      <c r="B464" s="7">
        <v>463</v>
      </c>
      <c r="C464" s="7">
        <f>'Panel Data (Long Format)'!B464</f>
        <v>93</v>
      </c>
      <c r="D464" s="7" t="str">
        <f>'Panel Data (Long Format)'!C464</f>
        <v>NIDF</v>
      </c>
      <c r="E464" s="8" t="str">
        <f>'Panel Data (Long Format)'!D464</f>
        <v>Nigeria Infrastructure Debt Fund</v>
      </c>
      <c r="F464" s="7" t="str">
        <f>'Panel Data (Long Format)'!E464</f>
        <v>CONSTRUCTION/REAL ESTATE</v>
      </c>
      <c r="G464" s="7">
        <f>'Panel Data (Long Format)'!F464</f>
        <v>2023</v>
      </c>
      <c r="H464" s="9">
        <v>0</v>
      </c>
      <c r="I464" s="9">
        <v>0</v>
      </c>
      <c r="J464" s="9">
        <v>1</v>
      </c>
      <c r="K464" s="9">
        <v>1</v>
      </c>
      <c r="L464" s="9">
        <v>0</v>
      </c>
      <c r="M464" s="9">
        <v>1</v>
      </c>
      <c r="N464" s="9">
        <v>1</v>
      </c>
      <c r="O464" s="9">
        <v>1</v>
      </c>
      <c r="P464" s="9">
        <v>0</v>
      </c>
      <c r="Q464" s="9">
        <v>0</v>
      </c>
      <c r="R464" s="9">
        <v>1</v>
      </c>
      <c r="S464" s="9">
        <v>1</v>
      </c>
      <c r="T464" s="9">
        <v>1</v>
      </c>
      <c r="U464" s="9">
        <v>1</v>
      </c>
      <c r="V464" s="9">
        <v>1</v>
      </c>
      <c r="W464" s="9">
        <v>1</v>
      </c>
      <c r="X464" s="9">
        <v>0</v>
      </c>
      <c r="Y464" s="9">
        <v>1</v>
      </c>
      <c r="Z464" s="9">
        <v>0</v>
      </c>
      <c r="AA464" s="9">
        <v>1</v>
      </c>
      <c r="AB464" s="10">
        <f t="shared" si="36"/>
        <v>13</v>
      </c>
      <c r="AC464" s="10">
        <f t="shared" si="37"/>
        <v>65</v>
      </c>
      <c r="AD464" s="9">
        <v>0</v>
      </c>
      <c r="AE464" s="9">
        <v>0</v>
      </c>
      <c r="AF464" s="9">
        <v>0</v>
      </c>
      <c r="AG464" s="9">
        <v>0</v>
      </c>
      <c r="AH464" s="9">
        <v>1</v>
      </c>
      <c r="AI464" s="9">
        <v>0</v>
      </c>
      <c r="AJ464" s="9">
        <v>1</v>
      </c>
      <c r="AK464" s="9">
        <v>1</v>
      </c>
      <c r="AL464" s="9">
        <v>1</v>
      </c>
      <c r="AM464" s="9">
        <v>0</v>
      </c>
      <c r="AN464" s="9">
        <v>0</v>
      </c>
      <c r="AO464" s="9">
        <v>0</v>
      </c>
      <c r="AP464" s="9">
        <v>0</v>
      </c>
      <c r="AQ464" s="9">
        <v>0</v>
      </c>
      <c r="AR464" s="9">
        <v>0</v>
      </c>
      <c r="AS464" s="10">
        <f t="shared" si="38"/>
        <v>4</v>
      </c>
      <c r="AT464" s="10">
        <f t="shared" si="39"/>
        <v>26.666666666666668</v>
      </c>
      <c r="AU464" s="5" t="s">
        <v>524</v>
      </c>
    </row>
    <row r="465" spans="1:47" ht="15" customHeight="1" x14ac:dyDescent="0.3">
      <c r="A465" s="7" t="str">
        <f t="shared" si="35"/>
        <v>93_2024</v>
      </c>
      <c r="B465" s="7">
        <v>464</v>
      </c>
      <c r="C465" s="7">
        <f>'Panel Data (Long Format)'!B465</f>
        <v>93</v>
      </c>
      <c r="D465" s="7" t="str">
        <f>'Panel Data (Long Format)'!C465</f>
        <v>NIDF</v>
      </c>
      <c r="E465" s="8" t="str">
        <f>'Panel Data (Long Format)'!D465</f>
        <v>Nigeria Infrastructure Debt Fund</v>
      </c>
      <c r="F465" s="7" t="str">
        <f>'Panel Data (Long Format)'!E465</f>
        <v>CONSTRUCTION/REAL ESTATE</v>
      </c>
      <c r="G465" s="7">
        <f>'Panel Data (Long Format)'!F465</f>
        <v>2024</v>
      </c>
      <c r="H465" s="9">
        <v>0</v>
      </c>
      <c r="I465" s="9">
        <v>0</v>
      </c>
      <c r="J465" s="9">
        <v>1</v>
      </c>
      <c r="K465" s="9">
        <v>1</v>
      </c>
      <c r="L465" s="9">
        <v>0</v>
      </c>
      <c r="M465" s="9">
        <v>1</v>
      </c>
      <c r="N465" s="9">
        <v>1</v>
      </c>
      <c r="O465" s="9">
        <v>1</v>
      </c>
      <c r="P465" s="9">
        <v>0</v>
      </c>
      <c r="Q465" s="9">
        <v>0</v>
      </c>
      <c r="R465" s="9">
        <v>1</v>
      </c>
      <c r="S465" s="9">
        <v>1</v>
      </c>
      <c r="T465" s="9">
        <v>1</v>
      </c>
      <c r="U465" s="9">
        <v>1</v>
      </c>
      <c r="V465" s="9">
        <v>1</v>
      </c>
      <c r="W465" s="9">
        <v>1</v>
      </c>
      <c r="X465" s="9">
        <v>0</v>
      </c>
      <c r="Y465" s="9">
        <v>1</v>
      </c>
      <c r="Z465" s="9">
        <v>0</v>
      </c>
      <c r="AA465" s="9">
        <v>1</v>
      </c>
      <c r="AB465" s="10">
        <f t="shared" si="36"/>
        <v>13</v>
      </c>
      <c r="AC465" s="10">
        <f t="shared" si="37"/>
        <v>65</v>
      </c>
      <c r="AD465" s="9">
        <v>0</v>
      </c>
      <c r="AE465" s="9">
        <v>0</v>
      </c>
      <c r="AF465" s="9">
        <v>0</v>
      </c>
      <c r="AG465" s="9">
        <v>0</v>
      </c>
      <c r="AH465" s="9">
        <v>1</v>
      </c>
      <c r="AI465" s="9">
        <v>0</v>
      </c>
      <c r="AJ465" s="9">
        <v>1</v>
      </c>
      <c r="AK465" s="9">
        <v>1</v>
      </c>
      <c r="AL465" s="9">
        <v>1</v>
      </c>
      <c r="AM465" s="9">
        <v>0</v>
      </c>
      <c r="AN465" s="9">
        <v>0</v>
      </c>
      <c r="AO465" s="9">
        <v>0</v>
      </c>
      <c r="AP465" s="9">
        <v>0</v>
      </c>
      <c r="AQ465" s="9">
        <v>0</v>
      </c>
      <c r="AR465" s="9">
        <v>0</v>
      </c>
      <c r="AS465" s="10">
        <f t="shared" si="38"/>
        <v>4</v>
      </c>
      <c r="AT465" s="10">
        <f t="shared" si="39"/>
        <v>26.666666666666668</v>
      </c>
      <c r="AU465" s="5" t="s">
        <v>524</v>
      </c>
    </row>
    <row r="466" spans="1:47" ht="15" customHeight="1" x14ac:dyDescent="0.3">
      <c r="A466" s="7" t="str">
        <f t="shared" si="35"/>
        <v>93_2025</v>
      </c>
      <c r="B466" s="7">
        <v>465</v>
      </c>
      <c r="C466" s="7">
        <f>'Panel Data (Long Format)'!B466</f>
        <v>93</v>
      </c>
      <c r="D466" s="7" t="str">
        <f>'Panel Data (Long Format)'!C466</f>
        <v>NIDF</v>
      </c>
      <c r="E466" s="8" t="str">
        <f>'Panel Data (Long Format)'!D466</f>
        <v>Nigeria Infrastructure Debt Fund</v>
      </c>
      <c r="F466" s="7" t="str">
        <f>'Panel Data (Long Format)'!E466</f>
        <v>CONSTRUCTION/REAL ESTATE</v>
      </c>
      <c r="G466" s="7">
        <f>'Panel Data (Long Format)'!F466</f>
        <v>2025</v>
      </c>
      <c r="H466" s="9">
        <v>0</v>
      </c>
      <c r="I466" s="9">
        <v>0</v>
      </c>
      <c r="J466" s="9">
        <v>1</v>
      </c>
      <c r="K466" s="9">
        <v>1</v>
      </c>
      <c r="L466" s="9">
        <v>0</v>
      </c>
      <c r="M466" s="9">
        <v>1</v>
      </c>
      <c r="N466" s="9">
        <v>1</v>
      </c>
      <c r="O466" s="9">
        <v>1</v>
      </c>
      <c r="P466" s="9">
        <v>0</v>
      </c>
      <c r="Q466" s="9">
        <v>0</v>
      </c>
      <c r="R466" s="9">
        <v>1</v>
      </c>
      <c r="S466" s="9">
        <v>1</v>
      </c>
      <c r="T466" s="9">
        <v>1</v>
      </c>
      <c r="U466" s="9">
        <v>1</v>
      </c>
      <c r="V466" s="9">
        <v>1</v>
      </c>
      <c r="W466" s="9">
        <v>1</v>
      </c>
      <c r="X466" s="9">
        <v>0</v>
      </c>
      <c r="Y466" s="9">
        <v>1</v>
      </c>
      <c r="Z466" s="9">
        <v>0</v>
      </c>
      <c r="AA466" s="9">
        <v>1</v>
      </c>
      <c r="AB466" s="10">
        <f t="shared" si="36"/>
        <v>13</v>
      </c>
      <c r="AC466" s="10">
        <f t="shared" si="37"/>
        <v>65</v>
      </c>
      <c r="AD466" s="9">
        <v>0</v>
      </c>
      <c r="AE466" s="9">
        <v>0</v>
      </c>
      <c r="AF466" s="9">
        <v>0</v>
      </c>
      <c r="AG466" s="9">
        <v>0</v>
      </c>
      <c r="AH466" s="9">
        <v>1</v>
      </c>
      <c r="AI466" s="9">
        <v>0</v>
      </c>
      <c r="AJ466" s="9">
        <v>1</v>
      </c>
      <c r="AK466" s="9">
        <v>1</v>
      </c>
      <c r="AL466" s="9">
        <v>1</v>
      </c>
      <c r="AM466" s="9">
        <v>0</v>
      </c>
      <c r="AN466" s="9">
        <v>0</v>
      </c>
      <c r="AO466" s="9">
        <v>0</v>
      </c>
      <c r="AP466" s="9">
        <v>0</v>
      </c>
      <c r="AQ466" s="9">
        <v>0</v>
      </c>
      <c r="AR466" s="9">
        <v>0</v>
      </c>
      <c r="AS466" s="10">
        <f t="shared" si="38"/>
        <v>4</v>
      </c>
      <c r="AT466" s="10">
        <f t="shared" si="39"/>
        <v>26.666666666666668</v>
      </c>
      <c r="AU466" s="5" t="s">
        <v>524</v>
      </c>
    </row>
    <row r="467" spans="1:47" ht="15" customHeight="1" x14ac:dyDescent="0.3">
      <c r="A467" s="7" t="str">
        <f t="shared" si="35"/>
        <v>94_2021</v>
      </c>
      <c r="B467" s="7">
        <v>466</v>
      </c>
      <c r="C467" s="7">
        <f>'Panel Data (Long Format)'!B467</f>
        <v>94</v>
      </c>
      <c r="D467" s="7" t="str">
        <f>'Panel Data (Long Format)'!C467</f>
        <v>NNFM</v>
      </c>
      <c r="E467" s="8" t="str">
        <f>'Panel Data (Long Format)'!D467</f>
        <v>Northern Nigeria Flour Mills Plc</v>
      </c>
      <c r="F467" s="7" t="str">
        <f>'Panel Data (Long Format)'!E467</f>
        <v>CONSUMER GOODS</v>
      </c>
      <c r="G467" s="7">
        <f>'Panel Data (Long Format)'!F467</f>
        <v>2021</v>
      </c>
      <c r="H467" s="9">
        <v>0</v>
      </c>
      <c r="I467" s="9">
        <v>0</v>
      </c>
      <c r="J467" s="9">
        <v>0</v>
      </c>
      <c r="K467" s="9">
        <v>0</v>
      </c>
      <c r="L467" s="9">
        <v>0</v>
      </c>
      <c r="M467" s="9">
        <v>0</v>
      </c>
      <c r="N467" s="9">
        <v>0</v>
      </c>
      <c r="O467" s="9">
        <v>0</v>
      </c>
      <c r="P467" s="9">
        <v>0</v>
      </c>
      <c r="Q467" s="9">
        <v>0</v>
      </c>
      <c r="R467" s="9">
        <v>0</v>
      </c>
      <c r="S467" s="9">
        <v>0</v>
      </c>
      <c r="T467" s="9">
        <v>0</v>
      </c>
      <c r="U467" s="9">
        <v>0</v>
      </c>
      <c r="V467" s="9">
        <v>0</v>
      </c>
      <c r="W467" s="9">
        <v>1</v>
      </c>
      <c r="X467" s="9">
        <v>0</v>
      </c>
      <c r="Y467" s="9">
        <v>0</v>
      </c>
      <c r="Z467" s="9">
        <v>0</v>
      </c>
      <c r="AA467" s="9">
        <v>0</v>
      </c>
      <c r="AB467" s="10">
        <f t="shared" si="36"/>
        <v>1</v>
      </c>
      <c r="AC467" s="10">
        <f t="shared" si="37"/>
        <v>5</v>
      </c>
      <c r="AD467" s="9">
        <v>0</v>
      </c>
      <c r="AE467" s="9">
        <v>0</v>
      </c>
      <c r="AF467" s="9">
        <v>0</v>
      </c>
      <c r="AG467" s="9">
        <v>0</v>
      </c>
      <c r="AH467" s="9">
        <v>0</v>
      </c>
      <c r="AI467" s="9">
        <v>0</v>
      </c>
      <c r="AJ467" s="9">
        <v>0</v>
      </c>
      <c r="AK467" s="9">
        <v>0</v>
      </c>
      <c r="AL467" s="9">
        <v>0</v>
      </c>
      <c r="AM467" s="9">
        <v>0</v>
      </c>
      <c r="AN467" s="9">
        <v>0</v>
      </c>
      <c r="AO467" s="9">
        <v>0</v>
      </c>
      <c r="AP467" s="9">
        <v>0</v>
      </c>
      <c r="AQ467" s="9">
        <v>0</v>
      </c>
      <c r="AR467" s="9">
        <v>0</v>
      </c>
      <c r="AS467" s="10">
        <f t="shared" si="38"/>
        <v>0</v>
      </c>
      <c r="AT467" s="10">
        <f t="shared" si="39"/>
        <v>0</v>
      </c>
      <c r="AU467" s="5" t="s">
        <v>525</v>
      </c>
    </row>
    <row r="468" spans="1:47" ht="15" customHeight="1" x14ac:dyDescent="0.3">
      <c r="A468" s="7" t="str">
        <f t="shared" si="35"/>
        <v>94_2022</v>
      </c>
      <c r="B468" s="7">
        <v>467</v>
      </c>
      <c r="C468" s="7">
        <f>'Panel Data (Long Format)'!B468</f>
        <v>94</v>
      </c>
      <c r="D468" s="7" t="str">
        <f>'Panel Data (Long Format)'!C468</f>
        <v>NNFM</v>
      </c>
      <c r="E468" s="8" t="str">
        <f>'Panel Data (Long Format)'!D468</f>
        <v>Northern Nigeria Flour Mills Plc</v>
      </c>
      <c r="F468" s="7" t="str">
        <f>'Panel Data (Long Format)'!E468</f>
        <v>CONSUMER GOODS</v>
      </c>
      <c r="G468" s="7">
        <f>'Panel Data (Long Format)'!F468</f>
        <v>2022</v>
      </c>
      <c r="H468" s="9">
        <v>0</v>
      </c>
      <c r="I468" s="9">
        <v>0</v>
      </c>
      <c r="J468" s="9">
        <v>0</v>
      </c>
      <c r="K468" s="9">
        <v>0</v>
      </c>
      <c r="L468" s="9">
        <v>0</v>
      </c>
      <c r="M468" s="9">
        <v>0</v>
      </c>
      <c r="N468" s="9">
        <v>0</v>
      </c>
      <c r="O468" s="9">
        <v>0</v>
      </c>
      <c r="P468" s="9">
        <v>0</v>
      </c>
      <c r="Q468" s="9">
        <v>0</v>
      </c>
      <c r="R468" s="9">
        <v>0</v>
      </c>
      <c r="S468" s="9">
        <v>0</v>
      </c>
      <c r="T468" s="9">
        <v>0</v>
      </c>
      <c r="U468" s="9">
        <v>0</v>
      </c>
      <c r="V468" s="9">
        <v>0</v>
      </c>
      <c r="W468" s="9">
        <v>1</v>
      </c>
      <c r="X468" s="9">
        <v>0</v>
      </c>
      <c r="Y468" s="9">
        <v>0</v>
      </c>
      <c r="Z468" s="9">
        <v>0</v>
      </c>
      <c r="AA468" s="9">
        <v>0</v>
      </c>
      <c r="AB468" s="10">
        <f t="shared" si="36"/>
        <v>1</v>
      </c>
      <c r="AC468" s="10">
        <f t="shared" si="37"/>
        <v>5</v>
      </c>
      <c r="AD468" s="9">
        <v>0</v>
      </c>
      <c r="AE468" s="9">
        <v>0</v>
      </c>
      <c r="AF468" s="9">
        <v>0</v>
      </c>
      <c r="AG468" s="9">
        <v>0</v>
      </c>
      <c r="AH468" s="9">
        <v>0</v>
      </c>
      <c r="AI468" s="9">
        <v>0</v>
      </c>
      <c r="AJ468" s="9">
        <v>0</v>
      </c>
      <c r="AK468" s="9">
        <v>0</v>
      </c>
      <c r="AL468" s="9">
        <v>0</v>
      </c>
      <c r="AM468" s="9">
        <v>0</v>
      </c>
      <c r="AN468" s="9">
        <v>0</v>
      </c>
      <c r="AO468" s="9">
        <v>0</v>
      </c>
      <c r="AP468" s="9">
        <v>0</v>
      </c>
      <c r="AQ468" s="9">
        <v>0</v>
      </c>
      <c r="AR468" s="9">
        <v>0</v>
      </c>
      <c r="AS468" s="10">
        <f t="shared" si="38"/>
        <v>0</v>
      </c>
      <c r="AT468" s="10">
        <f t="shared" si="39"/>
        <v>0</v>
      </c>
      <c r="AU468" s="5" t="s">
        <v>525</v>
      </c>
    </row>
    <row r="469" spans="1:47" ht="15" customHeight="1" x14ac:dyDescent="0.3">
      <c r="A469" s="7" t="str">
        <f t="shared" si="35"/>
        <v>94_2023</v>
      </c>
      <c r="B469" s="7">
        <v>468</v>
      </c>
      <c r="C469" s="7">
        <f>'Panel Data (Long Format)'!B469</f>
        <v>94</v>
      </c>
      <c r="D469" s="7" t="str">
        <f>'Panel Data (Long Format)'!C469</f>
        <v>NNFM</v>
      </c>
      <c r="E469" s="8" t="str">
        <f>'Panel Data (Long Format)'!D469</f>
        <v>Northern Nigeria Flour Mills Plc</v>
      </c>
      <c r="F469" s="7" t="str">
        <f>'Panel Data (Long Format)'!E469</f>
        <v>CONSUMER GOODS</v>
      </c>
      <c r="G469" s="7">
        <f>'Panel Data (Long Format)'!F469</f>
        <v>2023</v>
      </c>
      <c r="H469" s="9">
        <v>0</v>
      </c>
      <c r="I469" s="9">
        <v>0</v>
      </c>
      <c r="J469" s="9">
        <v>0</v>
      </c>
      <c r="K469" s="9">
        <v>0</v>
      </c>
      <c r="L469" s="9">
        <v>0</v>
      </c>
      <c r="M469" s="9">
        <v>0</v>
      </c>
      <c r="N469" s="9">
        <v>0</v>
      </c>
      <c r="O469" s="9">
        <v>0</v>
      </c>
      <c r="P469" s="9">
        <v>0</v>
      </c>
      <c r="Q469" s="9">
        <v>0</v>
      </c>
      <c r="R469" s="9">
        <v>0</v>
      </c>
      <c r="S469" s="9">
        <v>0</v>
      </c>
      <c r="T469" s="9">
        <v>0</v>
      </c>
      <c r="U469" s="9">
        <v>0</v>
      </c>
      <c r="V469" s="9">
        <v>0</v>
      </c>
      <c r="W469" s="9">
        <v>1</v>
      </c>
      <c r="X469" s="9">
        <v>0</v>
      </c>
      <c r="Y469" s="9">
        <v>0</v>
      </c>
      <c r="Z469" s="9">
        <v>0</v>
      </c>
      <c r="AA469" s="9">
        <v>0</v>
      </c>
      <c r="AB469" s="10">
        <f t="shared" si="36"/>
        <v>1</v>
      </c>
      <c r="AC469" s="10">
        <f t="shared" si="37"/>
        <v>5</v>
      </c>
      <c r="AD469" s="9">
        <v>0</v>
      </c>
      <c r="AE469" s="9">
        <v>0</v>
      </c>
      <c r="AF469" s="9">
        <v>0</v>
      </c>
      <c r="AG469" s="9">
        <v>0</v>
      </c>
      <c r="AH469" s="9">
        <v>0</v>
      </c>
      <c r="AI469" s="9">
        <v>0</v>
      </c>
      <c r="AJ469" s="9">
        <v>0</v>
      </c>
      <c r="AK469" s="9">
        <v>0</v>
      </c>
      <c r="AL469" s="9">
        <v>0</v>
      </c>
      <c r="AM469" s="9">
        <v>0</v>
      </c>
      <c r="AN469" s="9">
        <v>0</v>
      </c>
      <c r="AO469" s="9">
        <v>0</v>
      </c>
      <c r="AP469" s="9">
        <v>0</v>
      </c>
      <c r="AQ469" s="9">
        <v>0</v>
      </c>
      <c r="AR469" s="9">
        <v>0</v>
      </c>
      <c r="AS469" s="10">
        <f t="shared" si="38"/>
        <v>0</v>
      </c>
      <c r="AT469" s="10">
        <f t="shared" si="39"/>
        <v>0</v>
      </c>
      <c r="AU469" s="5" t="s">
        <v>525</v>
      </c>
    </row>
    <row r="470" spans="1:47" ht="15" customHeight="1" x14ac:dyDescent="0.3">
      <c r="A470" s="7" t="str">
        <f t="shared" si="35"/>
        <v>94_2024</v>
      </c>
      <c r="B470" s="7">
        <v>469</v>
      </c>
      <c r="C470" s="7">
        <f>'Panel Data (Long Format)'!B470</f>
        <v>94</v>
      </c>
      <c r="D470" s="7" t="str">
        <f>'Panel Data (Long Format)'!C470</f>
        <v>NNFM</v>
      </c>
      <c r="E470" s="8" t="str">
        <f>'Panel Data (Long Format)'!D470</f>
        <v>Northern Nigeria Flour Mills Plc</v>
      </c>
      <c r="F470" s="7" t="str">
        <f>'Panel Data (Long Format)'!E470</f>
        <v>CONSUMER GOODS</v>
      </c>
      <c r="G470" s="7">
        <f>'Panel Data (Long Format)'!F470</f>
        <v>2024</v>
      </c>
      <c r="H470" s="9">
        <v>0</v>
      </c>
      <c r="I470" s="9">
        <v>0</v>
      </c>
      <c r="J470" s="9">
        <v>0</v>
      </c>
      <c r="K470" s="9">
        <v>0</v>
      </c>
      <c r="L470" s="9">
        <v>0</v>
      </c>
      <c r="M470" s="9">
        <v>0</v>
      </c>
      <c r="N470" s="9">
        <v>0</v>
      </c>
      <c r="O470" s="9">
        <v>0</v>
      </c>
      <c r="P470" s="9">
        <v>0</v>
      </c>
      <c r="Q470" s="9">
        <v>0</v>
      </c>
      <c r="R470" s="9">
        <v>0</v>
      </c>
      <c r="S470" s="9">
        <v>0</v>
      </c>
      <c r="T470" s="9">
        <v>0</v>
      </c>
      <c r="U470" s="9">
        <v>0</v>
      </c>
      <c r="V470" s="9">
        <v>0</v>
      </c>
      <c r="W470" s="9">
        <v>1</v>
      </c>
      <c r="X470" s="9">
        <v>0</v>
      </c>
      <c r="Y470" s="9">
        <v>0</v>
      </c>
      <c r="Z470" s="9">
        <v>0</v>
      </c>
      <c r="AA470" s="9">
        <v>0</v>
      </c>
      <c r="AB470" s="10">
        <f t="shared" si="36"/>
        <v>1</v>
      </c>
      <c r="AC470" s="10">
        <f t="shared" si="37"/>
        <v>5</v>
      </c>
      <c r="AD470" s="9">
        <v>0</v>
      </c>
      <c r="AE470" s="9">
        <v>0</v>
      </c>
      <c r="AF470" s="9">
        <v>0</v>
      </c>
      <c r="AG470" s="9">
        <v>0</v>
      </c>
      <c r="AH470" s="9">
        <v>0</v>
      </c>
      <c r="AI470" s="9">
        <v>0</v>
      </c>
      <c r="AJ470" s="9">
        <v>0</v>
      </c>
      <c r="AK470" s="9">
        <v>0</v>
      </c>
      <c r="AL470" s="9">
        <v>0</v>
      </c>
      <c r="AM470" s="9">
        <v>0</v>
      </c>
      <c r="AN470" s="9">
        <v>0</v>
      </c>
      <c r="AO470" s="9">
        <v>0</v>
      </c>
      <c r="AP470" s="9">
        <v>0</v>
      </c>
      <c r="AQ470" s="9">
        <v>0</v>
      </c>
      <c r="AR470" s="9">
        <v>0</v>
      </c>
      <c r="AS470" s="10">
        <f t="shared" si="38"/>
        <v>0</v>
      </c>
      <c r="AT470" s="10">
        <f t="shared" si="39"/>
        <v>0</v>
      </c>
      <c r="AU470" s="5" t="s">
        <v>525</v>
      </c>
    </row>
    <row r="471" spans="1:47" ht="15" customHeight="1" x14ac:dyDescent="0.3">
      <c r="A471" s="7" t="str">
        <f t="shared" si="35"/>
        <v>94_2025</v>
      </c>
      <c r="B471" s="7">
        <v>470</v>
      </c>
      <c r="C471" s="7">
        <f>'Panel Data (Long Format)'!B471</f>
        <v>94</v>
      </c>
      <c r="D471" s="7" t="str">
        <f>'Panel Data (Long Format)'!C471</f>
        <v>NNFM</v>
      </c>
      <c r="E471" s="8" t="str">
        <f>'Panel Data (Long Format)'!D471</f>
        <v>Northern Nigeria Flour Mills Plc</v>
      </c>
      <c r="F471" s="7" t="str">
        <f>'Panel Data (Long Format)'!E471</f>
        <v>CONSUMER GOODS</v>
      </c>
      <c r="G471" s="7">
        <f>'Panel Data (Long Format)'!F471</f>
        <v>2025</v>
      </c>
      <c r="H471" s="9">
        <v>0</v>
      </c>
      <c r="I471" s="9">
        <v>0</v>
      </c>
      <c r="J471" s="9">
        <v>0</v>
      </c>
      <c r="K471" s="9">
        <v>0</v>
      </c>
      <c r="L471" s="9">
        <v>0</v>
      </c>
      <c r="M471" s="9">
        <v>0</v>
      </c>
      <c r="N471" s="9">
        <v>0</v>
      </c>
      <c r="O471" s="9">
        <v>0</v>
      </c>
      <c r="P471" s="9">
        <v>0</v>
      </c>
      <c r="Q471" s="9">
        <v>0</v>
      </c>
      <c r="R471" s="9">
        <v>0</v>
      </c>
      <c r="S471" s="9">
        <v>0</v>
      </c>
      <c r="T471" s="9">
        <v>0</v>
      </c>
      <c r="U471" s="9">
        <v>0</v>
      </c>
      <c r="V471" s="9">
        <v>0</v>
      </c>
      <c r="W471" s="9">
        <v>1</v>
      </c>
      <c r="X471" s="9">
        <v>0</v>
      </c>
      <c r="Y471" s="9">
        <v>0</v>
      </c>
      <c r="Z471" s="9">
        <v>0</v>
      </c>
      <c r="AA471" s="9">
        <v>0</v>
      </c>
      <c r="AB471" s="10">
        <f t="shared" si="36"/>
        <v>1</v>
      </c>
      <c r="AC471" s="10">
        <f t="shared" si="37"/>
        <v>5</v>
      </c>
      <c r="AD471" s="9">
        <v>0</v>
      </c>
      <c r="AE471" s="9">
        <v>0</v>
      </c>
      <c r="AF471" s="9">
        <v>0</v>
      </c>
      <c r="AG471" s="9">
        <v>0</v>
      </c>
      <c r="AH471" s="9">
        <v>0</v>
      </c>
      <c r="AI471" s="9">
        <v>0</v>
      </c>
      <c r="AJ471" s="9">
        <v>0</v>
      </c>
      <c r="AK471" s="9">
        <v>0</v>
      </c>
      <c r="AL471" s="9">
        <v>0</v>
      </c>
      <c r="AM471" s="9">
        <v>0</v>
      </c>
      <c r="AN471" s="9">
        <v>0</v>
      </c>
      <c r="AO471" s="9">
        <v>0</v>
      </c>
      <c r="AP471" s="9">
        <v>0</v>
      </c>
      <c r="AQ471" s="9">
        <v>0</v>
      </c>
      <c r="AR471" s="9">
        <v>0</v>
      </c>
      <c r="AS471" s="10">
        <f t="shared" si="38"/>
        <v>0</v>
      </c>
      <c r="AT471" s="10">
        <f t="shared" si="39"/>
        <v>0</v>
      </c>
      <c r="AU471" s="5" t="s">
        <v>525</v>
      </c>
    </row>
    <row r="472" spans="1:47" ht="15" customHeight="1" x14ac:dyDescent="0.3">
      <c r="A472" s="7" t="str">
        <f t="shared" si="35"/>
        <v>95_2021</v>
      </c>
      <c r="B472" s="7">
        <v>471</v>
      </c>
      <c r="C472" s="7">
        <f>'Panel Data (Long Format)'!B472</f>
        <v>95</v>
      </c>
      <c r="D472" s="7" t="str">
        <f>'Panel Data (Long Format)'!C472</f>
        <v>NPFMCRFBK</v>
      </c>
      <c r="E472" s="8" t="str">
        <f>'Panel Data (Long Format)'!D472</f>
        <v>NPF Microfinance Bank Plc</v>
      </c>
      <c r="F472" s="7" t="str">
        <f>'Panel Data (Long Format)'!E472</f>
        <v>FINANCIAL SERVICES</v>
      </c>
      <c r="G472" s="7">
        <f>'Panel Data (Long Format)'!F472</f>
        <v>2021</v>
      </c>
      <c r="H472" s="9">
        <v>0</v>
      </c>
      <c r="I472" s="9">
        <v>0</v>
      </c>
      <c r="J472" s="9">
        <v>0</v>
      </c>
      <c r="K472" s="9">
        <v>0</v>
      </c>
      <c r="L472" s="9">
        <v>0</v>
      </c>
      <c r="M472" s="9">
        <v>0</v>
      </c>
      <c r="N472" s="9">
        <v>0</v>
      </c>
      <c r="O472" s="9">
        <v>0</v>
      </c>
      <c r="P472" s="9">
        <v>0</v>
      </c>
      <c r="Q472" s="9">
        <v>0</v>
      </c>
      <c r="R472" s="9">
        <v>0</v>
      </c>
      <c r="S472" s="9">
        <v>0</v>
      </c>
      <c r="T472" s="9">
        <v>0</v>
      </c>
      <c r="U472" s="9">
        <v>0</v>
      </c>
      <c r="V472" s="9">
        <v>0</v>
      </c>
      <c r="W472" s="9">
        <v>1</v>
      </c>
      <c r="X472" s="9">
        <v>0</v>
      </c>
      <c r="Y472" s="9">
        <v>0</v>
      </c>
      <c r="Z472" s="9">
        <v>0</v>
      </c>
      <c r="AA472" s="9">
        <v>0</v>
      </c>
      <c r="AB472" s="10">
        <f t="shared" si="36"/>
        <v>1</v>
      </c>
      <c r="AC472" s="10">
        <f t="shared" si="37"/>
        <v>5</v>
      </c>
      <c r="AD472" s="9">
        <v>0</v>
      </c>
      <c r="AE472" s="9">
        <v>0</v>
      </c>
      <c r="AF472" s="9">
        <v>0</v>
      </c>
      <c r="AG472" s="9">
        <v>0</v>
      </c>
      <c r="AH472" s="9">
        <v>0</v>
      </c>
      <c r="AI472" s="9">
        <v>0</v>
      </c>
      <c r="AJ472" s="9">
        <v>0</v>
      </c>
      <c r="AK472" s="9">
        <v>0</v>
      </c>
      <c r="AL472" s="9">
        <v>0</v>
      </c>
      <c r="AM472" s="9">
        <v>0</v>
      </c>
      <c r="AN472" s="9">
        <v>0</v>
      </c>
      <c r="AO472" s="9">
        <v>0</v>
      </c>
      <c r="AP472" s="9">
        <v>0</v>
      </c>
      <c r="AQ472" s="9">
        <v>0</v>
      </c>
      <c r="AR472" s="9">
        <v>0</v>
      </c>
      <c r="AS472" s="10">
        <f t="shared" si="38"/>
        <v>0</v>
      </c>
      <c r="AT472" s="10">
        <f t="shared" si="39"/>
        <v>0</v>
      </c>
      <c r="AU472" s="5" t="s">
        <v>526</v>
      </c>
    </row>
    <row r="473" spans="1:47" ht="15" customHeight="1" x14ac:dyDescent="0.3">
      <c r="A473" s="7" t="str">
        <f t="shared" si="35"/>
        <v>95_2022</v>
      </c>
      <c r="B473" s="7">
        <v>472</v>
      </c>
      <c r="C473" s="7">
        <f>'Panel Data (Long Format)'!B473</f>
        <v>95</v>
      </c>
      <c r="D473" s="7" t="str">
        <f>'Panel Data (Long Format)'!C473</f>
        <v>NPFMCRFBK</v>
      </c>
      <c r="E473" s="8" t="str">
        <f>'Panel Data (Long Format)'!D473</f>
        <v>NPF Microfinance Bank Plc</v>
      </c>
      <c r="F473" s="7" t="str">
        <f>'Panel Data (Long Format)'!E473</f>
        <v>FINANCIAL SERVICES</v>
      </c>
      <c r="G473" s="7">
        <f>'Panel Data (Long Format)'!F473</f>
        <v>2022</v>
      </c>
      <c r="H473" s="9">
        <v>0</v>
      </c>
      <c r="I473" s="9">
        <v>0</v>
      </c>
      <c r="J473" s="9">
        <v>0</v>
      </c>
      <c r="K473" s="9">
        <v>0</v>
      </c>
      <c r="L473" s="9">
        <v>0</v>
      </c>
      <c r="M473" s="9">
        <v>0</v>
      </c>
      <c r="N473" s="9">
        <v>0</v>
      </c>
      <c r="O473" s="9">
        <v>0</v>
      </c>
      <c r="P473" s="9">
        <v>0</v>
      </c>
      <c r="Q473" s="9">
        <v>0</v>
      </c>
      <c r="R473" s="9">
        <v>0</v>
      </c>
      <c r="S473" s="9">
        <v>0</v>
      </c>
      <c r="T473" s="9">
        <v>0</v>
      </c>
      <c r="U473" s="9">
        <v>0</v>
      </c>
      <c r="V473" s="9">
        <v>0</v>
      </c>
      <c r="W473" s="9">
        <v>1</v>
      </c>
      <c r="X473" s="9">
        <v>0</v>
      </c>
      <c r="Y473" s="9">
        <v>0</v>
      </c>
      <c r="Z473" s="9">
        <v>0</v>
      </c>
      <c r="AA473" s="9">
        <v>0</v>
      </c>
      <c r="AB473" s="10">
        <f t="shared" si="36"/>
        <v>1</v>
      </c>
      <c r="AC473" s="10">
        <f t="shared" si="37"/>
        <v>5</v>
      </c>
      <c r="AD473" s="9">
        <v>0</v>
      </c>
      <c r="AE473" s="9">
        <v>0</v>
      </c>
      <c r="AF473" s="9">
        <v>0</v>
      </c>
      <c r="AG473" s="9">
        <v>0</v>
      </c>
      <c r="AH473" s="9">
        <v>0</v>
      </c>
      <c r="AI473" s="9">
        <v>0</v>
      </c>
      <c r="AJ473" s="9">
        <v>0</v>
      </c>
      <c r="AK473" s="9">
        <v>0</v>
      </c>
      <c r="AL473" s="9">
        <v>0</v>
      </c>
      <c r="AM473" s="9">
        <v>0</v>
      </c>
      <c r="AN473" s="9">
        <v>0</v>
      </c>
      <c r="AO473" s="9">
        <v>0</v>
      </c>
      <c r="AP473" s="9">
        <v>0</v>
      </c>
      <c r="AQ473" s="9">
        <v>0</v>
      </c>
      <c r="AR473" s="9">
        <v>0</v>
      </c>
      <c r="AS473" s="10">
        <f t="shared" si="38"/>
        <v>0</v>
      </c>
      <c r="AT473" s="10">
        <f t="shared" si="39"/>
        <v>0</v>
      </c>
      <c r="AU473" s="5" t="s">
        <v>526</v>
      </c>
    </row>
    <row r="474" spans="1:47" ht="15" customHeight="1" x14ac:dyDescent="0.3">
      <c r="A474" s="7" t="str">
        <f t="shared" si="35"/>
        <v>95_2023</v>
      </c>
      <c r="B474" s="7">
        <v>473</v>
      </c>
      <c r="C474" s="7">
        <f>'Panel Data (Long Format)'!B474</f>
        <v>95</v>
      </c>
      <c r="D474" s="7" t="str">
        <f>'Panel Data (Long Format)'!C474</f>
        <v>NPFMCRFBK</v>
      </c>
      <c r="E474" s="8" t="str">
        <f>'Panel Data (Long Format)'!D474</f>
        <v>NPF Microfinance Bank Plc</v>
      </c>
      <c r="F474" s="7" t="str">
        <f>'Panel Data (Long Format)'!E474</f>
        <v>FINANCIAL SERVICES</v>
      </c>
      <c r="G474" s="7">
        <f>'Panel Data (Long Format)'!F474</f>
        <v>2023</v>
      </c>
      <c r="H474" s="9">
        <v>0</v>
      </c>
      <c r="I474" s="9">
        <v>0</v>
      </c>
      <c r="J474" s="9">
        <v>0</v>
      </c>
      <c r="K474" s="9">
        <v>0</v>
      </c>
      <c r="L474" s="9">
        <v>0</v>
      </c>
      <c r="M474" s="9">
        <v>0</v>
      </c>
      <c r="N474" s="9">
        <v>0</v>
      </c>
      <c r="O474" s="9">
        <v>0</v>
      </c>
      <c r="P474" s="9">
        <v>0</v>
      </c>
      <c r="Q474" s="9">
        <v>0</v>
      </c>
      <c r="R474" s="9">
        <v>0</v>
      </c>
      <c r="S474" s="9">
        <v>0</v>
      </c>
      <c r="T474" s="9">
        <v>0</v>
      </c>
      <c r="U474" s="9">
        <v>0</v>
      </c>
      <c r="V474" s="9">
        <v>0</v>
      </c>
      <c r="W474" s="9">
        <v>1</v>
      </c>
      <c r="X474" s="9">
        <v>0</v>
      </c>
      <c r="Y474" s="9">
        <v>0</v>
      </c>
      <c r="Z474" s="9">
        <v>0</v>
      </c>
      <c r="AA474" s="9">
        <v>0</v>
      </c>
      <c r="AB474" s="10">
        <f t="shared" si="36"/>
        <v>1</v>
      </c>
      <c r="AC474" s="10">
        <f t="shared" si="37"/>
        <v>5</v>
      </c>
      <c r="AD474" s="9">
        <v>0</v>
      </c>
      <c r="AE474" s="9">
        <v>0</v>
      </c>
      <c r="AF474" s="9">
        <v>0</v>
      </c>
      <c r="AG474" s="9">
        <v>0</v>
      </c>
      <c r="AH474" s="9">
        <v>0</v>
      </c>
      <c r="AI474" s="9">
        <v>0</v>
      </c>
      <c r="AJ474" s="9">
        <v>0</v>
      </c>
      <c r="AK474" s="9">
        <v>0</v>
      </c>
      <c r="AL474" s="9">
        <v>0</v>
      </c>
      <c r="AM474" s="9">
        <v>0</v>
      </c>
      <c r="AN474" s="9">
        <v>0</v>
      </c>
      <c r="AO474" s="9">
        <v>0</v>
      </c>
      <c r="AP474" s="9">
        <v>0</v>
      </c>
      <c r="AQ474" s="9">
        <v>0</v>
      </c>
      <c r="AR474" s="9">
        <v>0</v>
      </c>
      <c r="AS474" s="10">
        <f t="shared" si="38"/>
        <v>0</v>
      </c>
      <c r="AT474" s="10">
        <f t="shared" si="39"/>
        <v>0</v>
      </c>
      <c r="AU474" s="5" t="s">
        <v>526</v>
      </c>
    </row>
    <row r="475" spans="1:47" ht="15" customHeight="1" x14ac:dyDescent="0.3">
      <c r="A475" s="7" t="str">
        <f t="shared" si="35"/>
        <v>95_2024</v>
      </c>
      <c r="B475" s="7">
        <v>474</v>
      </c>
      <c r="C475" s="7">
        <f>'Panel Data (Long Format)'!B475</f>
        <v>95</v>
      </c>
      <c r="D475" s="7" t="str">
        <f>'Panel Data (Long Format)'!C475</f>
        <v>NPFMCRFBK</v>
      </c>
      <c r="E475" s="8" t="str">
        <f>'Panel Data (Long Format)'!D475</f>
        <v>NPF Microfinance Bank Plc</v>
      </c>
      <c r="F475" s="7" t="str">
        <f>'Panel Data (Long Format)'!E475</f>
        <v>FINANCIAL SERVICES</v>
      </c>
      <c r="G475" s="7">
        <f>'Panel Data (Long Format)'!F475</f>
        <v>2024</v>
      </c>
      <c r="H475" s="9">
        <v>0</v>
      </c>
      <c r="I475" s="9">
        <v>0</v>
      </c>
      <c r="J475" s="9">
        <v>0</v>
      </c>
      <c r="K475" s="9">
        <v>0</v>
      </c>
      <c r="L475" s="9">
        <v>0</v>
      </c>
      <c r="M475" s="9">
        <v>0</v>
      </c>
      <c r="N475" s="9">
        <v>0</v>
      </c>
      <c r="O475" s="9">
        <v>0</v>
      </c>
      <c r="P475" s="9">
        <v>0</v>
      </c>
      <c r="Q475" s="9">
        <v>0</v>
      </c>
      <c r="R475" s="9">
        <v>0</v>
      </c>
      <c r="S475" s="9">
        <v>0</v>
      </c>
      <c r="T475" s="9">
        <v>0</v>
      </c>
      <c r="U475" s="9">
        <v>0</v>
      </c>
      <c r="V475" s="9">
        <v>0</v>
      </c>
      <c r="W475" s="9">
        <v>1</v>
      </c>
      <c r="X475" s="9">
        <v>0</v>
      </c>
      <c r="Y475" s="9">
        <v>0</v>
      </c>
      <c r="Z475" s="9">
        <v>0</v>
      </c>
      <c r="AA475" s="9">
        <v>0</v>
      </c>
      <c r="AB475" s="10">
        <f t="shared" si="36"/>
        <v>1</v>
      </c>
      <c r="AC475" s="10">
        <f t="shared" si="37"/>
        <v>5</v>
      </c>
      <c r="AD475" s="9">
        <v>0</v>
      </c>
      <c r="AE475" s="9">
        <v>0</v>
      </c>
      <c r="AF475" s="9">
        <v>0</v>
      </c>
      <c r="AG475" s="9">
        <v>0</v>
      </c>
      <c r="AH475" s="9">
        <v>0</v>
      </c>
      <c r="AI475" s="9">
        <v>0</v>
      </c>
      <c r="AJ475" s="9">
        <v>0</v>
      </c>
      <c r="AK475" s="9">
        <v>0</v>
      </c>
      <c r="AL475" s="9">
        <v>0</v>
      </c>
      <c r="AM475" s="9">
        <v>0</v>
      </c>
      <c r="AN475" s="9">
        <v>0</v>
      </c>
      <c r="AO475" s="9">
        <v>0</v>
      </c>
      <c r="AP475" s="9">
        <v>0</v>
      </c>
      <c r="AQ475" s="9">
        <v>0</v>
      </c>
      <c r="AR475" s="9">
        <v>0</v>
      </c>
      <c r="AS475" s="10">
        <f t="shared" si="38"/>
        <v>0</v>
      </c>
      <c r="AT475" s="10">
        <f t="shared" si="39"/>
        <v>0</v>
      </c>
      <c r="AU475" s="5" t="s">
        <v>526</v>
      </c>
    </row>
    <row r="476" spans="1:47" ht="15" customHeight="1" x14ac:dyDescent="0.3">
      <c r="A476" s="7" t="str">
        <f t="shared" si="35"/>
        <v>95_2025</v>
      </c>
      <c r="B476" s="7">
        <v>475</v>
      </c>
      <c r="C476" s="7">
        <f>'Panel Data (Long Format)'!B476</f>
        <v>95</v>
      </c>
      <c r="D476" s="7" t="str">
        <f>'Panel Data (Long Format)'!C476</f>
        <v>NPFMCRFBK</v>
      </c>
      <c r="E476" s="8" t="str">
        <f>'Panel Data (Long Format)'!D476</f>
        <v>NPF Microfinance Bank Plc</v>
      </c>
      <c r="F476" s="7" t="str">
        <f>'Panel Data (Long Format)'!E476</f>
        <v>FINANCIAL SERVICES</v>
      </c>
      <c r="G476" s="7">
        <f>'Panel Data (Long Format)'!F476</f>
        <v>2025</v>
      </c>
      <c r="H476" s="9">
        <v>0</v>
      </c>
      <c r="I476" s="9">
        <v>0</v>
      </c>
      <c r="J476" s="9">
        <v>0</v>
      </c>
      <c r="K476" s="9">
        <v>0</v>
      </c>
      <c r="L476" s="9">
        <v>0</v>
      </c>
      <c r="M476" s="9">
        <v>0</v>
      </c>
      <c r="N476" s="9">
        <v>0</v>
      </c>
      <c r="O476" s="9">
        <v>0</v>
      </c>
      <c r="P476" s="9">
        <v>0</v>
      </c>
      <c r="Q476" s="9">
        <v>0</v>
      </c>
      <c r="R476" s="9">
        <v>0</v>
      </c>
      <c r="S476" s="9">
        <v>0</v>
      </c>
      <c r="T476" s="9">
        <v>0</v>
      </c>
      <c r="U476" s="9">
        <v>0</v>
      </c>
      <c r="V476" s="9">
        <v>0</v>
      </c>
      <c r="W476" s="9">
        <v>1</v>
      </c>
      <c r="X476" s="9">
        <v>0</v>
      </c>
      <c r="Y476" s="9">
        <v>0</v>
      </c>
      <c r="Z476" s="9">
        <v>0</v>
      </c>
      <c r="AA476" s="9">
        <v>0</v>
      </c>
      <c r="AB476" s="10">
        <f t="shared" si="36"/>
        <v>1</v>
      </c>
      <c r="AC476" s="10">
        <f t="shared" si="37"/>
        <v>5</v>
      </c>
      <c r="AD476" s="9">
        <v>0</v>
      </c>
      <c r="AE476" s="9">
        <v>0</v>
      </c>
      <c r="AF476" s="9">
        <v>0</v>
      </c>
      <c r="AG476" s="9">
        <v>0</v>
      </c>
      <c r="AH476" s="9">
        <v>0</v>
      </c>
      <c r="AI476" s="9">
        <v>0</v>
      </c>
      <c r="AJ476" s="9">
        <v>0</v>
      </c>
      <c r="AK476" s="9">
        <v>0</v>
      </c>
      <c r="AL476" s="9">
        <v>0</v>
      </c>
      <c r="AM476" s="9">
        <v>0</v>
      </c>
      <c r="AN476" s="9">
        <v>0</v>
      </c>
      <c r="AO476" s="9">
        <v>0</v>
      </c>
      <c r="AP476" s="9">
        <v>0</v>
      </c>
      <c r="AQ476" s="9">
        <v>0</v>
      </c>
      <c r="AR476" s="9">
        <v>0</v>
      </c>
      <c r="AS476" s="10">
        <f t="shared" si="38"/>
        <v>0</v>
      </c>
      <c r="AT476" s="10">
        <f t="shared" si="39"/>
        <v>0</v>
      </c>
      <c r="AU476" s="5" t="s">
        <v>526</v>
      </c>
    </row>
    <row r="477" spans="1:47" ht="15" customHeight="1" x14ac:dyDescent="0.3">
      <c r="A477" s="7" t="str">
        <f t="shared" si="35"/>
        <v>96_2021</v>
      </c>
      <c r="B477" s="7">
        <v>476</v>
      </c>
      <c r="C477" s="7">
        <f>'Panel Data (Long Format)'!B477</f>
        <v>96</v>
      </c>
      <c r="D477" s="7" t="str">
        <f>'Panel Data (Long Format)'!C477</f>
        <v>NREIT</v>
      </c>
      <c r="E477" s="8" t="str">
        <f>'Panel Data (Long Format)'!D477</f>
        <v>Chapel Hill Denham Nigeria Real Estate Investment Trust</v>
      </c>
      <c r="F477" s="7" t="str">
        <f>'Panel Data (Long Format)'!E477</f>
        <v>CONSTRUCTION/REAL ESTATE</v>
      </c>
      <c r="G477" s="7">
        <f>'Panel Data (Long Format)'!F477</f>
        <v>2021</v>
      </c>
      <c r="H477" s="9">
        <v>0</v>
      </c>
      <c r="I477" s="9">
        <v>0</v>
      </c>
      <c r="J477" s="9">
        <v>0</v>
      </c>
      <c r="K477" s="9">
        <v>0</v>
      </c>
      <c r="L477" s="9">
        <v>0</v>
      </c>
      <c r="M477" s="9">
        <v>0</v>
      </c>
      <c r="N477" s="9">
        <v>0</v>
      </c>
      <c r="O477" s="9">
        <v>0</v>
      </c>
      <c r="P477" s="9">
        <v>0</v>
      </c>
      <c r="Q477" s="9">
        <v>0</v>
      </c>
      <c r="R477" s="9">
        <v>0</v>
      </c>
      <c r="S477" s="9">
        <v>0</v>
      </c>
      <c r="T477" s="9">
        <v>0</v>
      </c>
      <c r="U477" s="9">
        <v>0</v>
      </c>
      <c r="V477" s="9">
        <v>0</v>
      </c>
      <c r="W477" s="9">
        <v>0</v>
      </c>
      <c r="X477" s="9">
        <v>0</v>
      </c>
      <c r="Y477" s="9">
        <v>0</v>
      </c>
      <c r="Z477" s="9">
        <v>0</v>
      </c>
      <c r="AA477" s="9">
        <v>0</v>
      </c>
      <c r="AB477" s="10">
        <f t="shared" si="36"/>
        <v>0</v>
      </c>
      <c r="AC477" s="10">
        <f t="shared" si="37"/>
        <v>0</v>
      </c>
      <c r="AD477" s="9">
        <v>0</v>
      </c>
      <c r="AE477" s="9">
        <v>0</v>
      </c>
      <c r="AF477" s="9">
        <v>0</v>
      </c>
      <c r="AG477" s="9">
        <v>0</v>
      </c>
      <c r="AH477" s="9">
        <v>0</v>
      </c>
      <c r="AI477" s="9">
        <v>0</v>
      </c>
      <c r="AJ477" s="9">
        <v>0</v>
      </c>
      <c r="AK477" s="9">
        <v>0</v>
      </c>
      <c r="AL477" s="9">
        <v>0</v>
      </c>
      <c r="AM477" s="9">
        <v>0</v>
      </c>
      <c r="AN477" s="9">
        <v>0</v>
      </c>
      <c r="AO477" s="9">
        <v>0</v>
      </c>
      <c r="AP477" s="9">
        <v>0</v>
      </c>
      <c r="AQ477" s="9">
        <v>0</v>
      </c>
      <c r="AR477" s="9">
        <v>0</v>
      </c>
      <c r="AS477" s="10">
        <f t="shared" si="38"/>
        <v>0</v>
      </c>
      <c r="AT477" s="10">
        <f t="shared" si="39"/>
        <v>0</v>
      </c>
      <c r="AU477" s="5" t="s">
        <v>527</v>
      </c>
    </row>
    <row r="478" spans="1:47" ht="15" customHeight="1" x14ac:dyDescent="0.3">
      <c r="A478" s="7" t="str">
        <f t="shared" si="35"/>
        <v>96_2022</v>
      </c>
      <c r="B478" s="7">
        <v>477</v>
      </c>
      <c r="C478" s="7">
        <f>'Panel Data (Long Format)'!B478</f>
        <v>96</v>
      </c>
      <c r="D478" s="7" t="str">
        <f>'Panel Data (Long Format)'!C478</f>
        <v>NREIT</v>
      </c>
      <c r="E478" s="8" t="str">
        <f>'Panel Data (Long Format)'!D478</f>
        <v>Chapel Hill Denham Nigeria Real Estate Investment Trust</v>
      </c>
      <c r="F478" s="7" t="str">
        <f>'Panel Data (Long Format)'!E478</f>
        <v>CONSTRUCTION/REAL ESTATE</v>
      </c>
      <c r="G478" s="7">
        <f>'Panel Data (Long Format)'!F478</f>
        <v>2022</v>
      </c>
      <c r="H478" s="9">
        <v>0</v>
      </c>
      <c r="I478" s="9">
        <v>0</v>
      </c>
      <c r="J478" s="9">
        <v>0</v>
      </c>
      <c r="K478" s="9">
        <v>0</v>
      </c>
      <c r="L478" s="9">
        <v>0</v>
      </c>
      <c r="M478" s="9">
        <v>0</v>
      </c>
      <c r="N478" s="9">
        <v>0</v>
      </c>
      <c r="O478" s="9">
        <v>0</v>
      </c>
      <c r="P478" s="9">
        <v>0</v>
      </c>
      <c r="Q478" s="9">
        <v>0</v>
      </c>
      <c r="R478" s="9">
        <v>0</v>
      </c>
      <c r="S478" s="9">
        <v>0</v>
      </c>
      <c r="T478" s="9">
        <v>0</v>
      </c>
      <c r="U478" s="9">
        <v>0</v>
      </c>
      <c r="V478" s="9">
        <v>0</v>
      </c>
      <c r="W478" s="9">
        <v>0</v>
      </c>
      <c r="X478" s="9">
        <v>0</v>
      </c>
      <c r="Y478" s="9">
        <v>0</v>
      </c>
      <c r="Z478" s="9">
        <v>0</v>
      </c>
      <c r="AA478" s="9">
        <v>0</v>
      </c>
      <c r="AB478" s="10">
        <f t="shared" si="36"/>
        <v>0</v>
      </c>
      <c r="AC478" s="10">
        <f t="shared" si="37"/>
        <v>0</v>
      </c>
      <c r="AD478" s="9">
        <v>0</v>
      </c>
      <c r="AE478" s="9">
        <v>0</v>
      </c>
      <c r="AF478" s="9">
        <v>0</v>
      </c>
      <c r="AG478" s="9">
        <v>0</v>
      </c>
      <c r="AH478" s="9">
        <v>0</v>
      </c>
      <c r="AI478" s="9">
        <v>0</v>
      </c>
      <c r="AJ478" s="9">
        <v>0</v>
      </c>
      <c r="AK478" s="9">
        <v>0</v>
      </c>
      <c r="AL478" s="9">
        <v>0</v>
      </c>
      <c r="AM478" s="9">
        <v>0</v>
      </c>
      <c r="AN478" s="9">
        <v>0</v>
      </c>
      <c r="AO478" s="9">
        <v>0</v>
      </c>
      <c r="AP478" s="9">
        <v>0</v>
      </c>
      <c r="AQ478" s="9">
        <v>0</v>
      </c>
      <c r="AR478" s="9">
        <v>0</v>
      </c>
      <c r="AS478" s="10">
        <f t="shared" si="38"/>
        <v>0</v>
      </c>
      <c r="AT478" s="10">
        <f t="shared" si="39"/>
        <v>0</v>
      </c>
      <c r="AU478" s="5" t="s">
        <v>527</v>
      </c>
    </row>
    <row r="479" spans="1:47" ht="15" customHeight="1" x14ac:dyDescent="0.3">
      <c r="A479" s="7" t="str">
        <f t="shared" si="35"/>
        <v>96_2023</v>
      </c>
      <c r="B479" s="7">
        <v>478</v>
      </c>
      <c r="C479" s="7">
        <f>'Panel Data (Long Format)'!B479</f>
        <v>96</v>
      </c>
      <c r="D479" s="7" t="str">
        <f>'Panel Data (Long Format)'!C479</f>
        <v>NREIT</v>
      </c>
      <c r="E479" s="8" t="str">
        <f>'Panel Data (Long Format)'!D479</f>
        <v>Chapel Hill Denham Nigeria Real Estate Investment Trust</v>
      </c>
      <c r="F479" s="7" t="str">
        <f>'Panel Data (Long Format)'!E479</f>
        <v>CONSTRUCTION/REAL ESTATE</v>
      </c>
      <c r="G479" s="7">
        <f>'Panel Data (Long Format)'!F479</f>
        <v>2023</v>
      </c>
      <c r="H479" s="9">
        <v>0</v>
      </c>
      <c r="I479" s="9">
        <v>0</v>
      </c>
      <c r="J479" s="9">
        <v>0</v>
      </c>
      <c r="K479" s="9">
        <v>0</v>
      </c>
      <c r="L479" s="9">
        <v>0</v>
      </c>
      <c r="M479" s="9">
        <v>0</v>
      </c>
      <c r="N479" s="9">
        <v>0</v>
      </c>
      <c r="O479" s="9">
        <v>0</v>
      </c>
      <c r="P479" s="9">
        <v>0</v>
      </c>
      <c r="Q479" s="9">
        <v>0</v>
      </c>
      <c r="R479" s="9">
        <v>0</v>
      </c>
      <c r="S479" s="9">
        <v>0</v>
      </c>
      <c r="T479" s="9">
        <v>0</v>
      </c>
      <c r="U479" s="9">
        <v>0</v>
      </c>
      <c r="V479" s="9">
        <v>0</v>
      </c>
      <c r="W479" s="9">
        <v>0</v>
      </c>
      <c r="X479" s="9">
        <v>0</v>
      </c>
      <c r="Y479" s="9">
        <v>0</v>
      </c>
      <c r="Z479" s="9">
        <v>0</v>
      </c>
      <c r="AA479" s="9">
        <v>0</v>
      </c>
      <c r="AB479" s="10">
        <f t="shared" si="36"/>
        <v>0</v>
      </c>
      <c r="AC479" s="10">
        <f t="shared" si="37"/>
        <v>0</v>
      </c>
      <c r="AD479" s="9">
        <v>0</v>
      </c>
      <c r="AE479" s="9">
        <v>0</v>
      </c>
      <c r="AF479" s="9">
        <v>0</v>
      </c>
      <c r="AG479" s="9">
        <v>0</v>
      </c>
      <c r="AH479" s="9">
        <v>0</v>
      </c>
      <c r="AI479" s="9">
        <v>0</v>
      </c>
      <c r="AJ479" s="9">
        <v>0</v>
      </c>
      <c r="AK479" s="9">
        <v>0</v>
      </c>
      <c r="AL479" s="9">
        <v>0</v>
      </c>
      <c r="AM479" s="9">
        <v>0</v>
      </c>
      <c r="AN479" s="9">
        <v>0</v>
      </c>
      <c r="AO479" s="9">
        <v>0</v>
      </c>
      <c r="AP479" s="9">
        <v>0</v>
      </c>
      <c r="AQ479" s="9">
        <v>0</v>
      </c>
      <c r="AR479" s="9">
        <v>0</v>
      </c>
      <c r="AS479" s="10">
        <f t="shared" si="38"/>
        <v>0</v>
      </c>
      <c r="AT479" s="10">
        <f t="shared" si="39"/>
        <v>0</v>
      </c>
      <c r="AU479" s="5" t="s">
        <v>527</v>
      </c>
    </row>
    <row r="480" spans="1:47" ht="15" customHeight="1" x14ac:dyDescent="0.3">
      <c r="A480" s="7" t="str">
        <f t="shared" si="35"/>
        <v>96_2024</v>
      </c>
      <c r="B480" s="7">
        <v>479</v>
      </c>
      <c r="C480" s="7">
        <f>'Panel Data (Long Format)'!B480</f>
        <v>96</v>
      </c>
      <c r="D480" s="7" t="str">
        <f>'Panel Data (Long Format)'!C480</f>
        <v>NREIT</v>
      </c>
      <c r="E480" s="8" t="str">
        <f>'Panel Data (Long Format)'!D480</f>
        <v>Chapel Hill Denham Nigeria Real Estate Investment Trust</v>
      </c>
      <c r="F480" s="7" t="str">
        <f>'Panel Data (Long Format)'!E480</f>
        <v>CONSTRUCTION/REAL ESTATE</v>
      </c>
      <c r="G480" s="7">
        <f>'Panel Data (Long Format)'!F480</f>
        <v>2024</v>
      </c>
      <c r="H480" s="9">
        <v>0</v>
      </c>
      <c r="I480" s="9">
        <v>0</v>
      </c>
      <c r="J480" s="9">
        <v>0</v>
      </c>
      <c r="K480" s="9">
        <v>0</v>
      </c>
      <c r="L480" s="9">
        <v>0</v>
      </c>
      <c r="M480" s="9">
        <v>0</v>
      </c>
      <c r="N480" s="9">
        <v>0</v>
      </c>
      <c r="O480" s="9">
        <v>0</v>
      </c>
      <c r="P480" s="9">
        <v>0</v>
      </c>
      <c r="Q480" s="9">
        <v>0</v>
      </c>
      <c r="R480" s="9">
        <v>0</v>
      </c>
      <c r="S480" s="9">
        <v>0</v>
      </c>
      <c r="T480" s="9">
        <v>0</v>
      </c>
      <c r="U480" s="9">
        <v>0</v>
      </c>
      <c r="V480" s="9">
        <v>0</v>
      </c>
      <c r="W480" s="9">
        <v>0</v>
      </c>
      <c r="X480" s="9">
        <v>0</v>
      </c>
      <c r="Y480" s="9">
        <v>0</v>
      </c>
      <c r="Z480" s="9">
        <v>0</v>
      </c>
      <c r="AA480" s="9">
        <v>0</v>
      </c>
      <c r="AB480" s="10">
        <f t="shared" si="36"/>
        <v>0</v>
      </c>
      <c r="AC480" s="10">
        <f t="shared" si="37"/>
        <v>0</v>
      </c>
      <c r="AD480" s="9">
        <v>0</v>
      </c>
      <c r="AE480" s="9">
        <v>0</v>
      </c>
      <c r="AF480" s="9">
        <v>0</v>
      </c>
      <c r="AG480" s="9">
        <v>0</v>
      </c>
      <c r="AH480" s="9">
        <v>0</v>
      </c>
      <c r="AI480" s="9">
        <v>0</v>
      </c>
      <c r="AJ480" s="9">
        <v>0</v>
      </c>
      <c r="AK480" s="9">
        <v>0</v>
      </c>
      <c r="AL480" s="9">
        <v>0</v>
      </c>
      <c r="AM480" s="9">
        <v>0</v>
      </c>
      <c r="AN480" s="9">
        <v>0</v>
      </c>
      <c r="AO480" s="9">
        <v>0</v>
      </c>
      <c r="AP480" s="9">
        <v>0</v>
      </c>
      <c r="AQ480" s="9">
        <v>0</v>
      </c>
      <c r="AR480" s="9">
        <v>0</v>
      </c>
      <c r="AS480" s="10">
        <f t="shared" si="38"/>
        <v>0</v>
      </c>
      <c r="AT480" s="10">
        <f t="shared" si="39"/>
        <v>0</v>
      </c>
      <c r="AU480" s="5" t="s">
        <v>527</v>
      </c>
    </row>
    <row r="481" spans="1:47" ht="15" customHeight="1" x14ac:dyDescent="0.3">
      <c r="A481" s="7" t="str">
        <f t="shared" si="35"/>
        <v>96_2025</v>
      </c>
      <c r="B481" s="7">
        <v>480</v>
      </c>
      <c r="C481" s="7">
        <f>'Panel Data (Long Format)'!B481</f>
        <v>96</v>
      </c>
      <c r="D481" s="7" t="str">
        <f>'Panel Data (Long Format)'!C481</f>
        <v>NREIT</v>
      </c>
      <c r="E481" s="8" t="str">
        <f>'Panel Data (Long Format)'!D481</f>
        <v>Chapel Hill Denham Nigeria Real Estate Investment Trust</v>
      </c>
      <c r="F481" s="7" t="str">
        <f>'Panel Data (Long Format)'!E481</f>
        <v>CONSTRUCTION/REAL ESTATE</v>
      </c>
      <c r="G481" s="7">
        <f>'Panel Data (Long Format)'!F481</f>
        <v>2025</v>
      </c>
      <c r="H481" s="9">
        <v>0</v>
      </c>
      <c r="I481" s="9">
        <v>0</v>
      </c>
      <c r="J481" s="9">
        <v>0</v>
      </c>
      <c r="K481" s="9">
        <v>0</v>
      </c>
      <c r="L481" s="9">
        <v>0</v>
      </c>
      <c r="M481" s="9">
        <v>0</v>
      </c>
      <c r="N481" s="9">
        <v>0</v>
      </c>
      <c r="O481" s="9">
        <v>0</v>
      </c>
      <c r="P481" s="9">
        <v>0</v>
      </c>
      <c r="Q481" s="9">
        <v>0</v>
      </c>
      <c r="R481" s="9">
        <v>0</v>
      </c>
      <c r="S481" s="9">
        <v>0</v>
      </c>
      <c r="T481" s="9">
        <v>0</v>
      </c>
      <c r="U481" s="9">
        <v>0</v>
      </c>
      <c r="V481" s="9">
        <v>0</v>
      </c>
      <c r="W481" s="9">
        <v>0</v>
      </c>
      <c r="X481" s="9">
        <v>0</v>
      </c>
      <c r="Y481" s="9">
        <v>0</v>
      </c>
      <c r="Z481" s="9">
        <v>0</v>
      </c>
      <c r="AA481" s="9">
        <v>0</v>
      </c>
      <c r="AB481" s="10">
        <f t="shared" si="36"/>
        <v>0</v>
      </c>
      <c r="AC481" s="10">
        <f t="shared" si="37"/>
        <v>0</v>
      </c>
      <c r="AD481" s="9">
        <v>0</v>
      </c>
      <c r="AE481" s="9">
        <v>0</v>
      </c>
      <c r="AF481" s="9">
        <v>0</v>
      </c>
      <c r="AG481" s="9">
        <v>0</v>
      </c>
      <c r="AH481" s="9">
        <v>0</v>
      </c>
      <c r="AI481" s="9">
        <v>0</v>
      </c>
      <c r="AJ481" s="9">
        <v>0</v>
      </c>
      <c r="AK481" s="9">
        <v>0</v>
      </c>
      <c r="AL481" s="9">
        <v>0</v>
      </c>
      <c r="AM481" s="9">
        <v>0</v>
      </c>
      <c r="AN481" s="9">
        <v>0</v>
      </c>
      <c r="AO481" s="9">
        <v>0</v>
      </c>
      <c r="AP481" s="9">
        <v>0</v>
      </c>
      <c r="AQ481" s="9">
        <v>0</v>
      </c>
      <c r="AR481" s="9">
        <v>0</v>
      </c>
      <c r="AS481" s="10">
        <f t="shared" si="38"/>
        <v>0</v>
      </c>
      <c r="AT481" s="10">
        <f t="shared" si="39"/>
        <v>0</v>
      </c>
      <c r="AU481" s="5" t="s">
        <v>527</v>
      </c>
    </row>
    <row r="482" spans="1:47" ht="15" customHeight="1" x14ac:dyDescent="0.3">
      <c r="A482" s="7" t="str">
        <f t="shared" si="35"/>
        <v>97_2021</v>
      </c>
      <c r="B482" s="7">
        <v>481</v>
      </c>
      <c r="C482" s="7">
        <f>'Panel Data (Long Format)'!B482</f>
        <v>97</v>
      </c>
      <c r="D482" s="7" t="str">
        <f>'Panel Data (Long Format)'!C482</f>
        <v>NSLTECH</v>
      </c>
      <c r="E482" s="8" t="str">
        <f>'Panel Data (Long Format)'!D482</f>
        <v>Secure Electronic Technology Plc</v>
      </c>
      <c r="F482" s="7" t="str">
        <f>'Panel Data (Long Format)'!E482</f>
        <v>SERVICES</v>
      </c>
      <c r="G482" s="7">
        <f>'Panel Data (Long Format)'!F482</f>
        <v>2021</v>
      </c>
      <c r="H482" s="9">
        <v>0</v>
      </c>
      <c r="I482" s="9">
        <v>0</v>
      </c>
      <c r="J482" s="9">
        <v>0</v>
      </c>
      <c r="K482" s="9">
        <v>0</v>
      </c>
      <c r="L482" s="9">
        <v>0</v>
      </c>
      <c r="M482" s="9">
        <v>0</v>
      </c>
      <c r="N482" s="9">
        <v>0</v>
      </c>
      <c r="O482" s="9">
        <v>0</v>
      </c>
      <c r="P482" s="9">
        <v>0</v>
      </c>
      <c r="Q482" s="9">
        <v>0</v>
      </c>
      <c r="R482" s="9">
        <v>0</v>
      </c>
      <c r="S482" s="9">
        <v>0</v>
      </c>
      <c r="T482" s="9">
        <v>0</v>
      </c>
      <c r="U482" s="9">
        <v>0</v>
      </c>
      <c r="V482" s="9">
        <v>0</v>
      </c>
      <c r="W482" s="9">
        <v>0</v>
      </c>
      <c r="X482" s="9">
        <v>0</v>
      </c>
      <c r="Y482" s="9">
        <v>0</v>
      </c>
      <c r="Z482" s="9">
        <v>0</v>
      </c>
      <c r="AA482" s="9">
        <v>0</v>
      </c>
      <c r="AB482" s="10">
        <f t="shared" si="36"/>
        <v>0</v>
      </c>
      <c r="AC482" s="10">
        <f t="shared" si="37"/>
        <v>0</v>
      </c>
      <c r="AD482" s="9">
        <v>0</v>
      </c>
      <c r="AE482" s="9">
        <v>0</v>
      </c>
      <c r="AF482" s="9">
        <v>0</v>
      </c>
      <c r="AG482" s="9">
        <v>0</v>
      </c>
      <c r="AH482" s="9">
        <v>0</v>
      </c>
      <c r="AI482" s="9">
        <v>0</v>
      </c>
      <c r="AJ482" s="9">
        <v>0</v>
      </c>
      <c r="AK482" s="9">
        <v>0</v>
      </c>
      <c r="AL482" s="9">
        <v>0</v>
      </c>
      <c r="AM482" s="9">
        <v>0</v>
      </c>
      <c r="AN482" s="9">
        <v>0</v>
      </c>
      <c r="AO482" s="9">
        <v>0</v>
      </c>
      <c r="AP482" s="9">
        <v>0</v>
      </c>
      <c r="AQ482" s="9">
        <v>0</v>
      </c>
      <c r="AR482" s="9">
        <v>0</v>
      </c>
      <c r="AS482" s="10">
        <f t="shared" si="38"/>
        <v>0</v>
      </c>
      <c r="AT482" s="10">
        <f t="shared" si="39"/>
        <v>0</v>
      </c>
      <c r="AU482" s="5" t="s">
        <v>528</v>
      </c>
    </row>
    <row r="483" spans="1:47" ht="15" customHeight="1" x14ac:dyDescent="0.3">
      <c r="A483" s="7" t="str">
        <f t="shared" si="35"/>
        <v>97_2022</v>
      </c>
      <c r="B483" s="7">
        <v>482</v>
      </c>
      <c r="C483" s="7">
        <f>'Panel Data (Long Format)'!B483</f>
        <v>97</v>
      </c>
      <c r="D483" s="7" t="str">
        <f>'Panel Data (Long Format)'!C483</f>
        <v>NSLTECH</v>
      </c>
      <c r="E483" s="8" t="str">
        <f>'Panel Data (Long Format)'!D483</f>
        <v>Secure Electronic Technology Plc</v>
      </c>
      <c r="F483" s="7" t="str">
        <f>'Panel Data (Long Format)'!E483</f>
        <v>SERVICES</v>
      </c>
      <c r="G483" s="7">
        <f>'Panel Data (Long Format)'!F483</f>
        <v>2022</v>
      </c>
      <c r="H483" s="9">
        <v>0</v>
      </c>
      <c r="I483" s="9">
        <v>0</v>
      </c>
      <c r="J483" s="9">
        <v>0</v>
      </c>
      <c r="K483" s="9">
        <v>0</v>
      </c>
      <c r="L483" s="9">
        <v>0</v>
      </c>
      <c r="M483" s="9">
        <v>0</v>
      </c>
      <c r="N483" s="9">
        <v>0</v>
      </c>
      <c r="O483" s="9">
        <v>0</v>
      </c>
      <c r="P483" s="9">
        <v>0</v>
      </c>
      <c r="Q483" s="9">
        <v>0</v>
      </c>
      <c r="R483" s="9">
        <v>0</v>
      </c>
      <c r="S483" s="9">
        <v>0</v>
      </c>
      <c r="T483" s="9">
        <v>0</v>
      </c>
      <c r="U483" s="9">
        <v>0</v>
      </c>
      <c r="V483" s="9">
        <v>0</v>
      </c>
      <c r="W483" s="9">
        <v>0</v>
      </c>
      <c r="X483" s="9">
        <v>0</v>
      </c>
      <c r="Y483" s="9">
        <v>0</v>
      </c>
      <c r="Z483" s="9">
        <v>0</v>
      </c>
      <c r="AA483" s="9">
        <v>0</v>
      </c>
      <c r="AB483" s="10">
        <f t="shared" si="36"/>
        <v>0</v>
      </c>
      <c r="AC483" s="10">
        <f t="shared" si="37"/>
        <v>0</v>
      </c>
      <c r="AD483" s="9">
        <v>0</v>
      </c>
      <c r="AE483" s="9">
        <v>0</v>
      </c>
      <c r="AF483" s="9">
        <v>0</v>
      </c>
      <c r="AG483" s="9">
        <v>0</v>
      </c>
      <c r="AH483" s="9">
        <v>0</v>
      </c>
      <c r="AI483" s="9">
        <v>0</v>
      </c>
      <c r="AJ483" s="9">
        <v>0</v>
      </c>
      <c r="AK483" s="9">
        <v>0</v>
      </c>
      <c r="AL483" s="9">
        <v>0</v>
      </c>
      <c r="AM483" s="9">
        <v>0</v>
      </c>
      <c r="AN483" s="9">
        <v>0</v>
      </c>
      <c r="AO483" s="9">
        <v>0</v>
      </c>
      <c r="AP483" s="9">
        <v>0</v>
      </c>
      <c r="AQ483" s="9">
        <v>0</v>
      </c>
      <c r="AR483" s="9">
        <v>0</v>
      </c>
      <c r="AS483" s="10">
        <f t="shared" si="38"/>
        <v>0</v>
      </c>
      <c r="AT483" s="10">
        <f t="shared" si="39"/>
        <v>0</v>
      </c>
      <c r="AU483" s="5" t="s">
        <v>528</v>
      </c>
    </row>
    <row r="484" spans="1:47" ht="15" customHeight="1" x14ac:dyDescent="0.3">
      <c r="A484" s="7" t="str">
        <f t="shared" si="35"/>
        <v>97_2023</v>
      </c>
      <c r="B484" s="7">
        <v>483</v>
      </c>
      <c r="C484" s="7">
        <f>'Panel Data (Long Format)'!B484</f>
        <v>97</v>
      </c>
      <c r="D484" s="7" t="str">
        <f>'Panel Data (Long Format)'!C484</f>
        <v>NSLTECH</v>
      </c>
      <c r="E484" s="8" t="str">
        <f>'Panel Data (Long Format)'!D484</f>
        <v>Secure Electronic Technology Plc</v>
      </c>
      <c r="F484" s="7" t="str">
        <f>'Panel Data (Long Format)'!E484</f>
        <v>SERVICES</v>
      </c>
      <c r="G484" s="7">
        <f>'Panel Data (Long Format)'!F484</f>
        <v>2023</v>
      </c>
      <c r="H484" s="9">
        <v>0</v>
      </c>
      <c r="I484" s="9">
        <v>0</v>
      </c>
      <c r="J484" s="9">
        <v>0</v>
      </c>
      <c r="K484" s="9">
        <v>0</v>
      </c>
      <c r="L484" s="9">
        <v>0</v>
      </c>
      <c r="M484" s="9">
        <v>0</v>
      </c>
      <c r="N484" s="9">
        <v>0</v>
      </c>
      <c r="O484" s="9">
        <v>0</v>
      </c>
      <c r="P484" s="9">
        <v>0</v>
      </c>
      <c r="Q484" s="9">
        <v>0</v>
      </c>
      <c r="R484" s="9">
        <v>0</v>
      </c>
      <c r="S484" s="9">
        <v>0</v>
      </c>
      <c r="T484" s="9">
        <v>0</v>
      </c>
      <c r="U484" s="9">
        <v>0</v>
      </c>
      <c r="V484" s="9">
        <v>0</v>
      </c>
      <c r="W484" s="9">
        <v>0</v>
      </c>
      <c r="X484" s="9">
        <v>0</v>
      </c>
      <c r="Y484" s="9">
        <v>0</v>
      </c>
      <c r="Z484" s="9">
        <v>0</v>
      </c>
      <c r="AA484" s="9">
        <v>0</v>
      </c>
      <c r="AB484" s="10">
        <f t="shared" si="36"/>
        <v>0</v>
      </c>
      <c r="AC484" s="10">
        <f t="shared" si="37"/>
        <v>0</v>
      </c>
      <c r="AD484" s="9">
        <v>0</v>
      </c>
      <c r="AE484" s="9">
        <v>0</v>
      </c>
      <c r="AF484" s="9">
        <v>0</v>
      </c>
      <c r="AG484" s="9">
        <v>0</v>
      </c>
      <c r="AH484" s="9">
        <v>0</v>
      </c>
      <c r="AI484" s="9">
        <v>0</v>
      </c>
      <c r="AJ484" s="9">
        <v>0</v>
      </c>
      <c r="AK484" s="9">
        <v>0</v>
      </c>
      <c r="AL484" s="9">
        <v>0</v>
      </c>
      <c r="AM484" s="9">
        <v>0</v>
      </c>
      <c r="AN484" s="9">
        <v>0</v>
      </c>
      <c r="AO484" s="9">
        <v>0</v>
      </c>
      <c r="AP484" s="9">
        <v>0</v>
      </c>
      <c r="AQ484" s="9">
        <v>0</v>
      </c>
      <c r="AR484" s="9">
        <v>0</v>
      </c>
      <c r="AS484" s="10">
        <f t="shared" si="38"/>
        <v>0</v>
      </c>
      <c r="AT484" s="10">
        <f t="shared" si="39"/>
        <v>0</v>
      </c>
      <c r="AU484" s="5" t="s">
        <v>528</v>
      </c>
    </row>
    <row r="485" spans="1:47" ht="15" customHeight="1" x14ac:dyDescent="0.3">
      <c r="A485" s="7" t="str">
        <f t="shared" si="35"/>
        <v>97_2024</v>
      </c>
      <c r="B485" s="7">
        <v>484</v>
      </c>
      <c r="C485" s="7">
        <f>'Panel Data (Long Format)'!B485</f>
        <v>97</v>
      </c>
      <c r="D485" s="7" t="str">
        <f>'Panel Data (Long Format)'!C485</f>
        <v>NSLTECH</v>
      </c>
      <c r="E485" s="8" t="str">
        <f>'Panel Data (Long Format)'!D485</f>
        <v>Secure Electronic Technology Plc</v>
      </c>
      <c r="F485" s="7" t="str">
        <f>'Panel Data (Long Format)'!E485</f>
        <v>SERVICES</v>
      </c>
      <c r="G485" s="7">
        <f>'Panel Data (Long Format)'!F485</f>
        <v>2024</v>
      </c>
      <c r="H485" s="9">
        <v>0</v>
      </c>
      <c r="I485" s="9">
        <v>0</v>
      </c>
      <c r="J485" s="9">
        <v>0</v>
      </c>
      <c r="K485" s="9">
        <v>0</v>
      </c>
      <c r="L485" s="9">
        <v>0</v>
      </c>
      <c r="M485" s="9">
        <v>0</v>
      </c>
      <c r="N485" s="9">
        <v>0</v>
      </c>
      <c r="O485" s="9">
        <v>0</v>
      </c>
      <c r="P485" s="9">
        <v>0</v>
      </c>
      <c r="Q485" s="9">
        <v>0</v>
      </c>
      <c r="R485" s="9">
        <v>0</v>
      </c>
      <c r="S485" s="9">
        <v>0</v>
      </c>
      <c r="T485" s="9">
        <v>0</v>
      </c>
      <c r="U485" s="9">
        <v>0</v>
      </c>
      <c r="V485" s="9">
        <v>0</v>
      </c>
      <c r="W485" s="9">
        <v>0</v>
      </c>
      <c r="X485" s="9">
        <v>0</v>
      </c>
      <c r="Y485" s="9">
        <v>0</v>
      </c>
      <c r="Z485" s="9">
        <v>0</v>
      </c>
      <c r="AA485" s="9">
        <v>0</v>
      </c>
      <c r="AB485" s="10">
        <f t="shared" si="36"/>
        <v>0</v>
      </c>
      <c r="AC485" s="10">
        <f t="shared" si="37"/>
        <v>0</v>
      </c>
      <c r="AD485" s="9">
        <v>0</v>
      </c>
      <c r="AE485" s="9">
        <v>0</v>
      </c>
      <c r="AF485" s="9">
        <v>0</v>
      </c>
      <c r="AG485" s="9">
        <v>0</v>
      </c>
      <c r="AH485" s="9">
        <v>0</v>
      </c>
      <c r="AI485" s="9">
        <v>0</v>
      </c>
      <c r="AJ485" s="9">
        <v>0</v>
      </c>
      <c r="AK485" s="9">
        <v>0</v>
      </c>
      <c r="AL485" s="9">
        <v>0</v>
      </c>
      <c r="AM485" s="9">
        <v>0</v>
      </c>
      <c r="AN485" s="9">
        <v>0</v>
      </c>
      <c r="AO485" s="9">
        <v>0</v>
      </c>
      <c r="AP485" s="9">
        <v>0</v>
      </c>
      <c r="AQ485" s="9">
        <v>0</v>
      </c>
      <c r="AR485" s="9">
        <v>0</v>
      </c>
      <c r="AS485" s="10">
        <f t="shared" si="38"/>
        <v>0</v>
      </c>
      <c r="AT485" s="10">
        <f t="shared" si="39"/>
        <v>0</v>
      </c>
      <c r="AU485" s="5" t="s">
        <v>528</v>
      </c>
    </row>
    <row r="486" spans="1:47" ht="15" customHeight="1" x14ac:dyDescent="0.3">
      <c r="A486" s="7" t="str">
        <f t="shared" si="35"/>
        <v>97_2025</v>
      </c>
      <c r="B486" s="7">
        <v>485</v>
      </c>
      <c r="C486" s="7">
        <f>'Panel Data (Long Format)'!B486</f>
        <v>97</v>
      </c>
      <c r="D486" s="7" t="str">
        <f>'Panel Data (Long Format)'!C486</f>
        <v>NSLTECH</v>
      </c>
      <c r="E486" s="8" t="str">
        <f>'Panel Data (Long Format)'!D486</f>
        <v>Secure Electronic Technology Plc</v>
      </c>
      <c r="F486" s="7" t="str">
        <f>'Panel Data (Long Format)'!E486</f>
        <v>SERVICES</v>
      </c>
      <c r="G486" s="7">
        <f>'Panel Data (Long Format)'!F486</f>
        <v>2025</v>
      </c>
      <c r="H486" s="9">
        <v>0</v>
      </c>
      <c r="I486" s="9">
        <v>0</v>
      </c>
      <c r="J486" s="9">
        <v>0</v>
      </c>
      <c r="K486" s="9">
        <v>0</v>
      </c>
      <c r="L486" s="9">
        <v>0</v>
      </c>
      <c r="M486" s="9">
        <v>0</v>
      </c>
      <c r="N486" s="9">
        <v>0</v>
      </c>
      <c r="O486" s="9">
        <v>0</v>
      </c>
      <c r="P486" s="9">
        <v>0</v>
      </c>
      <c r="Q486" s="9">
        <v>0</v>
      </c>
      <c r="R486" s="9">
        <v>0</v>
      </c>
      <c r="S486" s="9">
        <v>0</v>
      </c>
      <c r="T486" s="9">
        <v>0</v>
      </c>
      <c r="U486" s="9">
        <v>0</v>
      </c>
      <c r="V486" s="9">
        <v>0</v>
      </c>
      <c r="W486" s="9">
        <v>0</v>
      </c>
      <c r="X486" s="9">
        <v>0</v>
      </c>
      <c r="Y486" s="9">
        <v>0</v>
      </c>
      <c r="Z486" s="9">
        <v>0</v>
      </c>
      <c r="AA486" s="9">
        <v>0</v>
      </c>
      <c r="AB486" s="10">
        <f t="shared" si="36"/>
        <v>0</v>
      </c>
      <c r="AC486" s="10">
        <f t="shared" si="37"/>
        <v>0</v>
      </c>
      <c r="AD486" s="9">
        <v>0</v>
      </c>
      <c r="AE486" s="9">
        <v>0</v>
      </c>
      <c r="AF486" s="9">
        <v>0</v>
      </c>
      <c r="AG486" s="9">
        <v>0</v>
      </c>
      <c r="AH486" s="9">
        <v>0</v>
      </c>
      <c r="AI486" s="9">
        <v>0</v>
      </c>
      <c r="AJ486" s="9">
        <v>0</v>
      </c>
      <c r="AK486" s="9">
        <v>0</v>
      </c>
      <c r="AL486" s="9">
        <v>0</v>
      </c>
      <c r="AM486" s="9">
        <v>0</v>
      </c>
      <c r="AN486" s="9">
        <v>0</v>
      </c>
      <c r="AO486" s="9">
        <v>0</v>
      </c>
      <c r="AP486" s="9">
        <v>0</v>
      </c>
      <c r="AQ486" s="9">
        <v>0</v>
      </c>
      <c r="AR486" s="9">
        <v>0</v>
      </c>
      <c r="AS486" s="10">
        <f t="shared" si="38"/>
        <v>0</v>
      </c>
      <c r="AT486" s="10">
        <f t="shared" si="39"/>
        <v>0</v>
      </c>
      <c r="AU486" s="5" t="s">
        <v>528</v>
      </c>
    </row>
    <row r="487" spans="1:47" ht="15" customHeight="1" x14ac:dyDescent="0.3">
      <c r="A487" s="7" t="str">
        <f t="shared" si="35"/>
        <v>98_2021</v>
      </c>
      <c r="B487" s="7">
        <v>486</v>
      </c>
      <c r="C487" s="7">
        <f>'Panel Data (Long Format)'!B487</f>
        <v>98</v>
      </c>
      <c r="D487" s="7" t="str">
        <f>'Panel Data (Long Format)'!C487</f>
        <v>OANDO</v>
      </c>
      <c r="E487" s="8" t="str">
        <f>'Panel Data (Long Format)'!D487</f>
        <v>Oando Plc</v>
      </c>
      <c r="F487" s="7" t="str">
        <f>'Panel Data (Long Format)'!E487</f>
        <v>OIL AND GAS</v>
      </c>
      <c r="G487" s="7">
        <f>'Panel Data (Long Format)'!F487</f>
        <v>2021</v>
      </c>
      <c r="H487" s="9">
        <v>0</v>
      </c>
      <c r="I487" s="9">
        <v>0</v>
      </c>
      <c r="J487" s="9">
        <v>0</v>
      </c>
      <c r="K487" s="9">
        <v>0</v>
      </c>
      <c r="L487" s="9">
        <v>0</v>
      </c>
      <c r="M487" s="9">
        <v>0</v>
      </c>
      <c r="N487" s="9">
        <v>0</v>
      </c>
      <c r="O487" s="9">
        <v>1</v>
      </c>
      <c r="P487" s="9">
        <v>0</v>
      </c>
      <c r="Q487" s="9">
        <v>0</v>
      </c>
      <c r="R487" s="9">
        <v>0</v>
      </c>
      <c r="S487" s="9">
        <v>0</v>
      </c>
      <c r="T487" s="9">
        <v>0</v>
      </c>
      <c r="U487" s="9">
        <v>0</v>
      </c>
      <c r="V487" s="9">
        <v>0</v>
      </c>
      <c r="W487" s="9">
        <v>1</v>
      </c>
      <c r="X487" s="9">
        <v>0</v>
      </c>
      <c r="Y487" s="9">
        <v>1</v>
      </c>
      <c r="Z487" s="9">
        <v>0</v>
      </c>
      <c r="AA487" s="9">
        <v>0</v>
      </c>
      <c r="AB487" s="10">
        <f t="shared" si="36"/>
        <v>3</v>
      </c>
      <c r="AC487" s="10">
        <f t="shared" si="37"/>
        <v>15</v>
      </c>
      <c r="AD487" s="9">
        <v>0</v>
      </c>
      <c r="AE487" s="9">
        <v>0</v>
      </c>
      <c r="AF487" s="9">
        <v>0</v>
      </c>
      <c r="AG487" s="9">
        <v>0</v>
      </c>
      <c r="AH487" s="9">
        <v>0</v>
      </c>
      <c r="AI487" s="9">
        <v>0</v>
      </c>
      <c r="AJ487" s="9">
        <v>1</v>
      </c>
      <c r="AK487" s="9">
        <v>0</v>
      </c>
      <c r="AL487" s="9">
        <v>0</v>
      </c>
      <c r="AM487" s="9">
        <v>0</v>
      </c>
      <c r="AN487" s="9">
        <v>0</v>
      </c>
      <c r="AO487" s="9">
        <v>0</v>
      </c>
      <c r="AP487" s="9">
        <v>0</v>
      </c>
      <c r="AQ487" s="9">
        <v>0</v>
      </c>
      <c r="AR487" s="9">
        <v>0</v>
      </c>
      <c r="AS487" s="10">
        <f t="shared" si="38"/>
        <v>1</v>
      </c>
      <c r="AT487" s="10">
        <f t="shared" si="39"/>
        <v>6.666666666666667</v>
      </c>
      <c r="AU487" s="5" t="s">
        <v>529</v>
      </c>
    </row>
    <row r="488" spans="1:47" ht="15" customHeight="1" x14ac:dyDescent="0.3">
      <c r="A488" s="7" t="str">
        <f t="shared" si="35"/>
        <v>98_2022</v>
      </c>
      <c r="B488" s="7">
        <v>487</v>
      </c>
      <c r="C488" s="7">
        <f>'Panel Data (Long Format)'!B488</f>
        <v>98</v>
      </c>
      <c r="D488" s="7" t="str">
        <f>'Panel Data (Long Format)'!C488</f>
        <v>OANDO</v>
      </c>
      <c r="E488" s="8" t="str">
        <f>'Panel Data (Long Format)'!D488</f>
        <v>Oando Plc</v>
      </c>
      <c r="F488" s="7" t="str">
        <f>'Panel Data (Long Format)'!E488</f>
        <v>OIL AND GAS</v>
      </c>
      <c r="G488" s="7">
        <f>'Panel Data (Long Format)'!F488</f>
        <v>2022</v>
      </c>
      <c r="H488" s="9">
        <v>0</v>
      </c>
      <c r="I488" s="9">
        <v>0</v>
      </c>
      <c r="J488" s="9">
        <v>0</v>
      </c>
      <c r="K488" s="9">
        <v>0</v>
      </c>
      <c r="L488" s="9">
        <v>0</v>
      </c>
      <c r="M488" s="9">
        <v>0</v>
      </c>
      <c r="N488" s="9">
        <v>0</v>
      </c>
      <c r="O488" s="9">
        <v>1</v>
      </c>
      <c r="P488" s="9">
        <v>0</v>
      </c>
      <c r="Q488" s="9">
        <v>0</v>
      </c>
      <c r="R488" s="9">
        <v>0</v>
      </c>
      <c r="S488" s="9">
        <v>0</v>
      </c>
      <c r="T488" s="9">
        <v>0</v>
      </c>
      <c r="U488" s="9">
        <v>0</v>
      </c>
      <c r="V488" s="9">
        <v>0</v>
      </c>
      <c r="W488" s="9">
        <v>1</v>
      </c>
      <c r="X488" s="9">
        <v>0</v>
      </c>
      <c r="Y488" s="9">
        <v>1</v>
      </c>
      <c r="Z488" s="9">
        <v>0</v>
      </c>
      <c r="AA488" s="9">
        <v>0</v>
      </c>
      <c r="AB488" s="10">
        <f t="shared" si="36"/>
        <v>3</v>
      </c>
      <c r="AC488" s="10">
        <f t="shared" si="37"/>
        <v>15</v>
      </c>
      <c r="AD488" s="9">
        <v>0</v>
      </c>
      <c r="AE488" s="9">
        <v>0</v>
      </c>
      <c r="AF488" s="9">
        <v>0</v>
      </c>
      <c r="AG488" s="9">
        <v>0</v>
      </c>
      <c r="AH488" s="9">
        <v>0</v>
      </c>
      <c r="AI488" s="9">
        <v>0</v>
      </c>
      <c r="AJ488" s="9">
        <v>1</v>
      </c>
      <c r="AK488" s="9">
        <v>0</v>
      </c>
      <c r="AL488" s="9">
        <v>0</v>
      </c>
      <c r="AM488" s="9">
        <v>0</v>
      </c>
      <c r="AN488" s="9">
        <v>0</v>
      </c>
      <c r="AO488" s="9">
        <v>0</v>
      </c>
      <c r="AP488" s="9">
        <v>0</v>
      </c>
      <c r="AQ488" s="9">
        <v>0</v>
      </c>
      <c r="AR488" s="9">
        <v>0</v>
      </c>
      <c r="AS488" s="10">
        <f t="shared" si="38"/>
        <v>1</v>
      </c>
      <c r="AT488" s="10">
        <f t="shared" si="39"/>
        <v>6.666666666666667</v>
      </c>
      <c r="AU488" s="5" t="s">
        <v>529</v>
      </c>
    </row>
    <row r="489" spans="1:47" ht="15" customHeight="1" x14ac:dyDescent="0.3">
      <c r="A489" s="7" t="str">
        <f t="shared" si="35"/>
        <v>98_2023</v>
      </c>
      <c r="B489" s="7">
        <v>488</v>
      </c>
      <c r="C489" s="7">
        <f>'Panel Data (Long Format)'!B489</f>
        <v>98</v>
      </c>
      <c r="D489" s="7" t="str">
        <f>'Panel Data (Long Format)'!C489</f>
        <v>OANDO</v>
      </c>
      <c r="E489" s="8" t="str">
        <f>'Panel Data (Long Format)'!D489</f>
        <v>Oando Plc</v>
      </c>
      <c r="F489" s="7" t="str">
        <f>'Panel Data (Long Format)'!E489</f>
        <v>OIL AND GAS</v>
      </c>
      <c r="G489" s="7">
        <f>'Panel Data (Long Format)'!F489</f>
        <v>2023</v>
      </c>
      <c r="H489" s="9">
        <v>0</v>
      </c>
      <c r="I489" s="9">
        <v>0</v>
      </c>
      <c r="J489" s="9">
        <v>0</v>
      </c>
      <c r="K489" s="9">
        <v>0</v>
      </c>
      <c r="L489" s="9">
        <v>0</v>
      </c>
      <c r="M489" s="9">
        <v>0</v>
      </c>
      <c r="N489" s="9">
        <v>0</v>
      </c>
      <c r="O489" s="9">
        <v>1</v>
      </c>
      <c r="P489" s="9">
        <v>0</v>
      </c>
      <c r="Q489" s="9">
        <v>0</v>
      </c>
      <c r="R489" s="9">
        <v>0</v>
      </c>
      <c r="S489" s="9">
        <v>0</v>
      </c>
      <c r="T489" s="9">
        <v>0</v>
      </c>
      <c r="U489" s="9">
        <v>0</v>
      </c>
      <c r="V489" s="9">
        <v>0</v>
      </c>
      <c r="W489" s="9">
        <v>1</v>
      </c>
      <c r="X489" s="9">
        <v>0</v>
      </c>
      <c r="Y489" s="9">
        <v>1</v>
      </c>
      <c r="Z489" s="9">
        <v>0</v>
      </c>
      <c r="AA489" s="9">
        <v>0</v>
      </c>
      <c r="AB489" s="10">
        <f t="shared" si="36"/>
        <v>3</v>
      </c>
      <c r="AC489" s="10">
        <f t="shared" si="37"/>
        <v>15</v>
      </c>
      <c r="AD489" s="9">
        <v>0</v>
      </c>
      <c r="AE489" s="9">
        <v>0</v>
      </c>
      <c r="AF489" s="9">
        <v>0</v>
      </c>
      <c r="AG489" s="9">
        <v>0</v>
      </c>
      <c r="AH489" s="9">
        <v>0</v>
      </c>
      <c r="AI489" s="9">
        <v>0</v>
      </c>
      <c r="AJ489" s="9">
        <v>1</v>
      </c>
      <c r="AK489" s="9">
        <v>0</v>
      </c>
      <c r="AL489" s="9">
        <v>0</v>
      </c>
      <c r="AM489" s="9">
        <v>0</v>
      </c>
      <c r="AN489" s="9">
        <v>0</v>
      </c>
      <c r="AO489" s="9">
        <v>0</v>
      </c>
      <c r="AP489" s="9">
        <v>0</v>
      </c>
      <c r="AQ489" s="9">
        <v>0</v>
      </c>
      <c r="AR489" s="9">
        <v>0</v>
      </c>
      <c r="AS489" s="10">
        <f t="shared" si="38"/>
        <v>1</v>
      </c>
      <c r="AT489" s="10">
        <f t="shared" si="39"/>
        <v>6.666666666666667</v>
      </c>
      <c r="AU489" s="5" t="s">
        <v>529</v>
      </c>
    </row>
    <row r="490" spans="1:47" ht="15" customHeight="1" x14ac:dyDescent="0.3">
      <c r="A490" s="7" t="str">
        <f t="shared" si="35"/>
        <v>98_2024</v>
      </c>
      <c r="B490" s="7">
        <v>489</v>
      </c>
      <c r="C490" s="7">
        <f>'Panel Data (Long Format)'!B490</f>
        <v>98</v>
      </c>
      <c r="D490" s="7" t="str">
        <f>'Panel Data (Long Format)'!C490</f>
        <v>OANDO</v>
      </c>
      <c r="E490" s="8" t="str">
        <f>'Panel Data (Long Format)'!D490</f>
        <v>Oando Plc</v>
      </c>
      <c r="F490" s="7" t="str">
        <f>'Panel Data (Long Format)'!E490</f>
        <v>OIL AND GAS</v>
      </c>
      <c r="G490" s="7">
        <f>'Panel Data (Long Format)'!F490</f>
        <v>2024</v>
      </c>
      <c r="H490" s="9">
        <v>1</v>
      </c>
      <c r="I490" s="9">
        <v>1</v>
      </c>
      <c r="J490" s="9">
        <v>0</v>
      </c>
      <c r="K490" s="9">
        <v>1</v>
      </c>
      <c r="L490" s="9">
        <v>0</v>
      </c>
      <c r="M490" s="9">
        <v>1</v>
      </c>
      <c r="N490" s="9">
        <v>1</v>
      </c>
      <c r="O490" s="9">
        <v>1</v>
      </c>
      <c r="P490" s="9">
        <v>0</v>
      </c>
      <c r="Q490" s="9">
        <v>0</v>
      </c>
      <c r="R490" s="9">
        <v>1</v>
      </c>
      <c r="S490" s="9">
        <v>1</v>
      </c>
      <c r="T490" s="9">
        <v>0</v>
      </c>
      <c r="U490" s="9">
        <v>1</v>
      </c>
      <c r="V490" s="9">
        <v>1</v>
      </c>
      <c r="W490" s="9">
        <v>1</v>
      </c>
      <c r="X490" s="9">
        <v>0</v>
      </c>
      <c r="Y490" s="9">
        <v>1</v>
      </c>
      <c r="Z490" s="9">
        <v>0</v>
      </c>
      <c r="AA490" s="9">
        <v>1</v>
      </c>
      <c r="AB490" s="10">
        <f t="shared" si="36"/>
        <v>13</v>
      </c>
      <c r="AC490" s="10">
        <f t="shared" si="37"/>
        <v>65</v>
      </c>
      <c r="AD490" s="9">
        <v>0</v>
      </c>
      <c r="AE490" s="9">
        <v>0</v>
      </c>
      <c r="AF490" s="9">
        <v>0</v>
      </c>
      <c r="AG490" s="9">
        <v>0</v>
      </c>
      <c r="AH490" s="9">
        <v>1</v>
      </c>
      <c r="AI490" s="9">
        <v>0</v>
      </c>
      <c r="AJ490" s="9">
        <v>1</v>
      </c>
      <c r="AK490" s="9">
        <v>0</v>
      </c>
      <c r="AL490" s="9">
        <v>0</v>
      </c>
      <c r="AM490" s="9">
        <v>0</v>
      </c>
      <c r="AN490" s="9">
        <v>0</v>
      </c>
      <c r="AO490" s="9">
        <v>0</v>
      </c>
      <c r="AP490" s="9">
        <v>1</v>
      </c>
      <c r="AQ490" s="9">
        <v>0</v>
      </c>
      <c r="AR490" s="9">
        <v>0</v>
      </c>
      <c r="AS490" s="10">
        <f t="shared" si="38"/>
        <v>3</v>
      </c>
      <c r="AT490" s="10">
        <f t="shared" si="39"/>
        <v>20</v>
      </c>
      <c r="AU490" s="5" t="s">
        <v>530</v>
      </c>
    </row>
    <row r="491" spans="1:47" ht="15" customHeight="1" x14ac:dyDescent="0.3">
      <c r="A491" s="7" t="str">
        <f t="shared" si="35"/>
        <v>98_2025</v>
      </c>
      <c r="B491" s="7">
        <v>490</v>
      </c>
      <c r="C491" s="7">
        <f>'Panel Data (Long Format)'!B491</f>
        <v>98</v>
      </c>
      <c r="D491" s="7" t="str">
        <f>'Panel Data (Long Format)'!C491</f>
        <v>OANDO</v>
      </c>
      <c r="E491" s="8" t="str">
        <f>'Panel Data (Long Format)'!D491</f>
        <v>Oando Plc</v>
      </c>
      <c r="F491" s="7" t="str">
        <f>'Panel Data (Long Format)'!E491</f>
        <v>OIL AND GAS</v>
      </c>
      <c r="G491" s="7">
        <f>'Panel Data (Long Format)'!F491</f>
        <v>2025</v>
      </c>
      <c r="H491" s="9">
        <v>1</v>
      </c>
      <c r="I491" s="9">
        <v>1</v>
      </c>
      <c r="J491" s="9">
        <v>0</v>
      </c>
      <c r="K491" s="9">
        <v>1</v>
      </c>
      <c r="L491" s="9">
        <v>0</v>
      </c>
      <c r="M491" s="9">
        <v>1</v>
      </c>
      <c r="N491" s="9">
        <v>1</v>
      </c>
      <c r="O491" s="9">
        <v>1</v>
      </c>
      <c r="P491" s="9">
        <v>0</v>
      </c>
      <c r="Q491" s="9">
        <v>0</v>
      </c>
      <c r="R491" s="9">
        <v>1</v>
      </c>
      <c r="S491" s="9">
        <v>1</v>
      </c>
      <c r="T491" s="9">
        <v>0</v>
      </c>
      <c r="U491" s="9">
        <v>1</v>
      </c>
      <c r="V491" s="9">
        <v>1</v>
      </c>
      <c r="W491" s="9">
        <v>1</v>
      </c>
      <c r="X491" s="9">
        <v>0</v>
      </c>
      <c r="Y491" s="9">
        <v>1</v>
      </c>
      <c r="Z491" s="9">
        <v>0</v>
      </c>
      <c r="AA491" s="9">
        <v>1</v>
      </c>
      <c r="AB491" s="10">
        <f t="shared" si="36"/>
        <v>13</v>
      </c>
      <c r="AC491" s="10">
        <f t="shared" si="37"/>
        <v>65</v>
      </c>
      <c r="AD491" s="9">
        <v>0</v>
      </c>
      <c r="AE491" s="9">
        <v>0</v>
      </c>
      <c r="AF491" s="9">
        <v>0</v>
      </c>
      <c r="AG491" s="9">
        <v>0</v>
      </c>
      <c r="AH491" s="9">
        <v>1</v>
      </c>
      <c r="AI491" s="9">
        <v>0</v>
      </c>
      <c r="AJ491" s="9">
        <v>1</v>
      </c>
      <c r="AK491" s="9">
        <v>0</v>
      </c>
      <c r="AL491" s="9">
        <v>0</v>
      </c>
      <c r="AM491" s="9">
        <v>0</v>
      </c>
      <c r="AN491" s="9">
        <v>0</v>
      </c>
      <c r="AO491" s="9">
        <v>0</v>
      </c>
      <c r="AP491" s="9">
        <v>1</v>
      </c>
      <c r="AQ491" s="9">
        <v>0</v>
      </c>
      <c r="AR491" s="9">
        <v>0</v>
      </c>
      <c r="AS491" s="10">
        <f t="shared" si="38"/>
        <v>3</v>
      </c>
      <c r="AT491" s="10">
        <f t="shared" si="39"/>
        <v>20</v>
      </c>
      <c r="AU491" s="5" t="s">
        <v>531</v>
      </c>
    </row>
    <row r="492" spans="1:47" ht="15" customHeight="1" x14ac:dyDescent="0.3">
      <c r="A492" s="7" t="str">
        <f t="shared" si="35"/>
        <v>99_2021</v>
      </c>
      <c r="B492" s="7">
        <v>491</v>
      </c>
      <c r="C492" s="7">
        <f>'Panel Data (Long Format)'!B492</f>
        <v>99</v>
      </c>
      <c r="D492" s="7" t="str">
        <f>'Panel Data (Long Format)'!C492</f>
        <v>OKOMUOIL</v>
      </c>
      <c r="E492" s="8" t="str">
        <f>'Panel Data (Long Format)'!D492</f>
        <v>The Okomu Oil Palm Company Plc</v>
      </c>
      <c r="F492" s="7" t="str">
        <f>'Panel Data (Long Format)'!E492</f>
        <v>AGRICULTURE</v>
      </c>
      <c r="G492" s="7">
        <f>'Panel Data (Long Format)'!F492</f>
        <v>2021</v>
      </c>
      <c r="H492" s="9">
        <v>0</v>
      </c>
      <c r="I492" s="9">
        <v>0</v>
      </c>
      <c r="J492" s="9">
        <v>0</v>
      </c>
      <c r="K492" s="9">
        <v>0</v>
      </c>
      <c r="L492" s="9">
        <v>0</v>
      </c>
      <c r="M492" s="9">
        <v>1</v>
      </c>
      <c r="N492" s="9">
        <v>1</v>
      </c>
      <c r="O492" s="9">
        <v>1</v>
      </c>
      <c r="P492" s="9">
        <v>1</v>
      </c>
      <c r="Q492" s="9">
        <v>0</v>
      </c>
      <c r="R492" s="9">
        <v>1</v>
      </c>
      <c r="S492" s="9">
        <v>0</v>
      </c>
      <c r="T492" s="9">
        <v>1</v>
      </c>
      <c r="U492" s="9">
        <v>0</v>
      </c>
      <c r="V492" s="9">
        <v>0</v>
      </c>
      <c r="W492" s="9">
        <v>1</v>
      </c>
      <c r="X492" s="9">
        <v>0</v>
      </c>
      <c r="Y492" s="9">
        <v>1</v>
      </c>
      <c r="Z492" s="9">
        <v>0</v>
      </c>
      <c r="AA492" s="9">
        <v>1</v>
      </c>
      <c r="AB492" s="10">
        <f t="shared" si="36"/>
        <v>9</v>
      </c>
      <c r="AC492" s="10">
        <f t="shared" si="37"/>
        <v>45</v>
      </c>
      <c r="AD492" s="9">
        <v>0</v>
      </c>
      <c r="AE492" s="9">
        <v>0</v>
      </c>
      <c r="AF492" s="9">
        <v>0</v>
      </c>
      <c r="AG492" s="9">
        <v>0</v>
      </c>
      <c r="AH492" s="9">
        <v>0</v>
      </c>
      <c r="AI492" s="9">
        <v>0</v>
      </c>
      <c r="AJ492" s="9">
        <v>0</v>
      </c>
      <c r="AK492" s="9">
        <v>0</v>
      </c>
      <c r="AL492" s="9">
        <v>0</v>
      </c>
      <c r="AM492" s="9">
        <v>0</v>
      </c>
      <c r="AN492" s="9">
        <v>0</v>
      </c>
      <c r="AO492" s="9">
        <v>0</v>
      </c>
      <c r="AP492" s="9">
        <v>0</v>
      </c>
      <c r="AQ492" s="9">
        <v>0</v>
      </c>
      <c r="AR492" s="9">
        <v>0</v>
      </c>
      <c r="AS492" s="10">
        <f t="shared" si="38"/>
        <v>0</v>
      </c>
      <c r="AT492" s="10">
        <f t="shared" si="39"/>
        <v>0</v>
      </c>
      <c r="AU492" s="5" t="s">
        <v>532</v>
      </c>
    </row>
    <row r="493" spans="1:47" ht="15" customHeight="1" x14ac:dyDescent="0.3">
      <c r="A493" s="7" t="str">
        <f t="shared" si="35"/>
        <v>99_2022</v>
      </c>
      <c r="B493" s="7">
        <v>492</v>
      </c>
      <c r="C493" s="7">
        <f>'Panel Data (Long Format)'!B493</f>
        <v>99</v>
      </c>
      <c r="D493" s="7" t="str">
        <f>'Panel Data (Long Format)'!C493</f>
        <v>OKOMUOIL</v>
      </c>
      <c r="E493" s="8" t="str">
        <f>'Panel Data (Long Format)'!D493</f>
        <v>The Okomu Oil Palm Company Plc</v>
      </c>
      <c r="F493" s="7" t="str">
        <f>'Panel Data (Long Format)'!E493</f>
        <v>AGRICULTURE</v>
      </c>
      <c r="G493" s="7">
        <f>'Panel Data (Long Format)'!F493</f>
        <v>2022</v>
      </c>
      <c r="H493" s="9">
        <v>0</v>
      </c>
      <c r="I493" s="9">
        <v>0</v>
      </c>
      <c r="J493" s="9">
        <v>0</v>
      </c>
      <c r="K493" s="9">
        <v>0</v>
      </c>
      <c r="L493" s="9">
        <v>0</v>
      </c>
      <c r="M493" s="9">
        <v>1</v>
      </c>
      <c r="N493" s="9">
        <v>1</v>
      </c>
      <c r="O493" s="9">
        <v>1</v>
      </c>
      <c r="P493" s="9">
        <v>1</v>
      </c>
      <c r="Q493" s="9">
        <v>0</v>
      </c>
      <c r="R493" s="9">
        <v>1</v>
      </c>
      <c r="S493" s="9">
        <v>0</v>
      </c>
      <c r="T493" s="9">
        <v>1</v>
      </c>
      <c r="U493" s="9">
        <v>0</v>
      </c>
      <c r="V493" s="9">
        <v>0</v>
      </c>
      <c r="W493" s="9">
        <v>1</v>
      </c>
      <c r="X493" s="9">
        <v>0</v>
      </c>
      <c r="Y493" s="9">
        <v>1</v>
      </c>
      <c r="Z493" s="9">
        <v>0</v>
      </c>
      <c r="AA493" s="9">
        <v>1</v>
      </c>
      <c r="AB493" s="10">
        <f t="shared" si="36"/>
        <v>9</v>
      </c>
      <c r="AC493" s="10">
        <f t="shared" si="37"/>
        <v>45</v>
      </c>
      <c r="AD493" s="9">
        <v>0</v>
      </c>
      <c r="AE493" s="9">
        <v>0</v>
      </c>
      <c r="AF493" s="9">
        <v>0</v>
      </c>
      <c r="AG493" s="9">
        <v>0</v>
      </c>
      <c r="AH493" s="9">
        <v>0</v>
      </c>
      <c r="AI493" s="9">
        <v>0</v>
      </c>
      <c r="AJ493" s="9">
        <v>0</v>
      </c>
      <c r="AK493" s="9">
        <v>0</v>
      </c>
      <c r="AL493" s="9">
        <v>0</v>
      </c>
      <c r="AM493" s="9">
        <v>0</v>
      </c>
      <c r="AN493" s="9">
        <v>0</v>
      </c>
      <c r="AO493" s="9">
        <v>0</v>
      </c>
      <c r="AP493" s="9">
        <v>0</v>
      </c>
      <c r="AQ493" s="9">
        <v>0</v>
      </c>
      <c r="AR493" s="9">
        <v>0</v>
      </c>
      <c r="AS493" s="10">
        <f t="shared" si="38"/>
        <v>0</v>
      </c>
      <c r="AT493" s="10">
        <f t="shared" si="39"/>
        <v>0</v>
      </c>
      <c r="AU493" s="5" t="s">
        <v>532</v>
      </c>
    </row>
    <row r="494" spans="1:47" ht="15" customHeight="1" x14ac:dyDescent="0.3">
      <c r="A494" s="7" t="str">
        <f t="shared" si="35"/>
        <v>99_2023</v>
      </c>
      <c r="B494" s="7">
        <v>493</v>
      </c>
      <c r="C494" s="7">
        <f>'Panel Data (Long Format)'!B494</f>
        <v>99</v>
      </c>
      <c r="D494" s="7" t="str">
        <f>'Panel Data (Long Format)'!C494</f>
        <v>OKOMUOIL</v>
      </c>
      <c r="E494" s="8" t="str">
        <f>'Panel Data (Long Format)'!D494</f>
        <v>The Okomu Oil Palm Company Plc</v>
      </c>
      <c r="F494" s="7" t="str">
        <f>'Panel Data (Long Format)'!E494</f>
        <v>AGRICULTURE</v>
      </c>
      <c r="G494" s="7">
        <f>'Panel Data (Long Format)'!F494</f>
        <v>2023</v>
      </c>
      <c r="H494" s="9">
        <v>0</v>
      </c>
      <c r="I494" s="9">
        <v>0</v>
      </c>
      <c r="J494" s="9">
        <v>0</v>
      </c>
      <c r="K494" s="9">
        <v>0</v>
      </c>
      <c r="L494" s="9">
        <v>0</v>
      </c>
      <c r="M494" s="9">
        <v>1</v>
      </c>
      <c r="N494" s="9">
        <v>1</v>
      </c>
      <c r="O494" s="9">
        <v>1</v>
      </c>
      <c r="P494" s="9">
        <v>1</v>
      </c>
      <c r="Q494" s="9">
        <v>0</v>
      </c>
      <c r="R494" s="9">
        <v>1</v>
      </c>
      <c r="S494" s="9">
        <v>0</v>
      </c>
      <c r="T494" s="9">
        <v>1</v>
      </c>
      <c r="U494" s="9">
        <v>0</v>
      </c>
      <c r="V494" s="9">
        <v>0</v>
      </c>
      <c r="W494" s="9">
        <v>1</v>
      </c>
      <c r="X494" s="9">
        <v>0</v>
      </c>
      <c r="Y494" s="9">
        <v>1</v>
      </c>
      <c r="Z494" s="9">
        <v>0</v>
      </c>
      <c r="AA494" s="9">
        <v>1</v>
      </c>
      <c r="AB494" s="10">
        <f t="shared" si="36"/>
        <v>9</v>
      </c>
      <c r="AC494" s="10">
        <f t="shared" si="37"/>
        <v>45</v>
      </c>
      <c r="AD494" s="9">
        <v>0</v>
      </c>
      <c r="AE494" s="9">
        <v>0</v>
      </c>
      <c r="AF494" s="9">
        <v>0</v>
      </c>
      <c r="AG494" s="9">
        <v>0</v>
      </c>
      <c r="AH494" s="9">
        <v>0</v>
      </c>
      <c r="AI494" s="9">
        <v>0</v>
      </c>
      <c r="AJ494" s="9">
        <v>0</v>
      </c>
      <c r="AK494" s="9">
        <v>0</v>
      </c>
      <c r="AL494" s="9">
        <v>0</v>
      </c>
      <c r="AM494" s="9">
        <v>0</v>
      </c>
      <c r="AN494" s="9">
        <v>0</v>
      </c>
      <c r="AO494" s="9">
        <v>0</v>
      </c>
      <c r="AP494" s="9">
        <v>0</v>
      </c>
      <c r="AQ494" s="9">
        <v>0</v>
      </c>
      <c r="AR494" s="9">
        <v>0</v>
      </c>
      <c r="AS494" s="10">
        <f t="shared" si="38"/>
        <v>0</v>
      </c>
      <c r="AT494" s="10">
        <f t="shared" si="39"/>
        <v>0</v>
      </c>
      <c r="AU494" s="5" t="s">
        <v>532</v>
      </c>
    </row>
    <row r="495" spans="1:47" ht="15" customHeight="1" x14ac:dyDescent="0.3">
      <c r="A495" s="7" t="str">
        <f t="shared" si="35"/>
        <v>99_2024</v>
      </c>
      <c r="B495" s="7">
        <v>494</v>
      </c>
      <c r="C495" s="7">
        <f>'Panel Data (Long Format)'!B495</f>
        <v>99</v>
      </c>
      <c r="D495" s="7" t="str">
        <f>'Panel Data (Long Format)'!C495</f>
        <v>OKOMUOIL</v>
      </c>
      <c r="E495" s="8" t="str">
        <f>'Panel Data (Long Format)'!D495</f>
        <v>The Okomu Oil Palm Company Plc</v>
      </c>
      <c r="F495" s="7" t="str">
        <f>'Panel Data (Long Format)'!E495</f>
        <v>AGRICULTURE</v>
      </c>
      <c r="G495" s="7">
        <f>'Panel Data (Long Format)'!F495</f>
        <v>2024</v>
      </c>
      <c r="H495" s="9">
        <v>0</v>
      </c>
      <c r="I495" s="9">
        <v>0</v>
      </c>
      <c r="J495" s="9">
        <v>0</v>
      </c>
      <c r="K495" s="9">
        <v>0</v>
      </c>
      <c r="L495" s="9">
        <v>0</v>
      </c>
      <c r="M495" s="9">
        <v>1</v>
      </c>
      <c r="N495" s="9">
        <v>1</v>
      </c>
      <c r="O495" s="9">
        <v>1</v>
      </c>
      <c r="P495" s="9">
        <v>1</v>
      </c>
      <c r="Q495" s="9">
        <v>0</v>
      </c>
      <c r="R495" s="9">
        <v>1</v>
      </c>
      <c r="S495" s="9">
        <v>0</v>
      </c>
      <c r="T495" s="9">
        <v>1</v>
      </c>
      <c r="U495" s="9">
        <v>0</v>
      </c>
      <c r="V495" s="9">
        <v>0</v>
      </c>
      <c r="W495" s="9">
        <v>1</v>
      </c>
      <c r="X495" s="9">
        <v>0</v>
      </c>
      <c r="Y495" s="9">
        <v>1</v>
      </c>
      <c r="Z495" s="9">
        <v>0</v>
      </c>
      <c r="AA495" s="9">
        <v>1</v>
      </c>
      <c r="AB495" s="10">
        <f t="shared" si="36"/>
        <v>9</v>
      </c>
      <c r="AC495" s="10">
        <f t="shared" si="37"/>
        <v>45</v>
      </c>
      <c r="AD495" s="9">
        <v>0</v>
      </c>
      <c r="AE495" s="9">
        <v>0</v>
      </c>
      <c r="AF495" s="9">
        <v>0</v>
      </c>
      <c r="AG495" s="9">
        <v>0</v>
      </c>
      <c r="AH495" s="9">
        <v>0</v>
      </c>
      <c r="AI495" s="9">
        <v>0</v>
      </c>
      <c r="AJ495" s="9">
        <v>0</v>
      </c>
      <c r="AK495" s="9">
        <v>0</v>
      </c>
      <c r="AL495" s="9">
        <v>0</v>
      </c>
      <c r="AM495" s="9">
        <v>0</v>
      </c>
      <c r="AN495" s="9">
        <v>0</v>
      </c>
      <c r="AO495" s="9">
        <v>0</v>
      </c>
      <c r="AP495" s="9">
        <v>0</v>
      </c>
      <c r="AQ495" s="9">
        <v>0</v>
      </c>
      <c r="AR495" s="9">
        <v>0</v>
      </c>
      <c r="AS495" s="10">
        <f t="shared" si="38"/>
        <v>0</v>
      </c>
      <c r="AT495" s="10">
        <f t="shared" si="39"/>
        <v>0</v>
      </c>
      <c r="AU495" s="5" t="s">
        <v>532</v>
      </c>
    </row>
    <row r="496" spans="1:47" ht="15" customHeight="1" x14ac:dyDescent="0.3">
      <c r="A496" s="7" t="str">
        <f t="shared" si="35"/>
        <v>99_2025</v>
      </c>
      <c r="B496" s="7">
        <v>495</v>
      </c>
      <c r="C496" s="7">
        <f>'Panel Data (Long Format)'!B496</f>
        <v>99</v>
      </c>
      <c r="D496" s="7" t="str">
        <f>'Panel Data (Long Format)'!C496</f>
        <v>OKOMUOIL</v>
      </c>
      <c r="E496" s="8" t="str">
        <f>'Panel Data (Long Format)'!D496</f>
        <v>The Okomu Oil Palm Company Plc</v>
      </c>
      <c r="F496" s="7" t="str">
        <f>'Panel Data (Long Format)'!E496</f>
        <v>AGRICULTURE</v>
      </c>
      <c r="G496" s="7">
        <f>'Panel Data (Long Format)'!F496</f>
        <v>2025</v>
      </c>
      <c r="H496" s="9">
        <v>0</v>
      </c>
      <c r="I496" s="9">
        <v>0</v>
      </c>
      <c r="J496" s="9">
        <v>0</v>
      </c>
      <c r="K496" s="9">
        <v>0</v>
      </c>
      <c r="L496" s="9">
        <v>0</v>
      </c>
      <c r="M496" s="9">
        <v>1</v>
      </c>
      <c r="N496" s="9">
        <v>1</v>
      </c>
      <c r="O496" s="9">
        <v>1</v>
      </c>
      <c r="P496" s="9">
        <v>1</v>
      </c>
      <c r="Q496" s="9">
        <v>0</v>
      </c>
      <c r="R496" s="9">
        <v>1</v>
      </c>
      <c r="S496" s="9">
        <v>0</v>
      </c>
      <c r="T496" s="9">
        <v>1</v>
      </c>
      <c r="U496" s="9">
        <v>0</v>
      </c>
      <c r="V496" s="9">
        <v>0</v>
      </c>
      <c r="W496" s="9">
        <v>1</v>
      </c>
      <c r="X496" s="9">
        <v>0</v>
      </c>
      <c r="Y496" s="9">
        <v>1</v>
      </c>
      <c r="Z496" s="9">
        <v>0</v>
      </c>
      <c r="AA496" s="9">
        <v>1</v>
      </c>
      <c r="AB496" s="10">
        <f t="shared" si="36"/>
        <v>9</v>
      </c>
      <c r="AC496" s="10">
        <f t="shared" si="37"/>
        <v>45</v>
      </c>
      <c r="AD496" s="9">
        <v>0</v>
      </c>
      <c r="AE496" s="9">
        <v>0</v>
      </c>
      <c r="AF496" s="9">
        <v>0</v>
      </c>
      <c r="AG496" s="9">
        <v>0</v>
      </c>
      <c r="AH496" s="9">
        <v>0</v>
      </c>
      <c r="AI496" s="9">
        <v>0</v>
      </c>
      <c r="AJ496" s="9">
        <v>0</v>
      </c>
      <c r="AK496" s="9">
        <v>0</v>
      </c>
      <c r="AL496" s="9">
        <v>0</v>
      </c>
      <c r="AM496" s="9">
        <v>0</v>
      </c>
      <c r="AN496" s="9">
        <v>0</v>
      </c>
      <c r="AO496" s="9">
        <v>0</v>
      </c>
      <c r="AP496" s="9">
        <v>0</v>
      </c>
      <c r="AQ496" s="9">
        <v>0</v>
      </c>
      <c r="AR496" s="9">
        <v>0</v>
      </c>
      <c r="AS496" s="10">
        <f t="shared" si="38"/>
        <v>0</v>
      </c>
      <c r="AT496" s="10">
        <f t="shared" si="39"/>
        <v>0</v>
      </c>
      <c r="AU496" s="5" t="s">
        <v>532</v>
      </c>
    </row>
    <row r="497" spans="1:47" ht="15" customHeight="1" x14ac:dyDescent="0.3">
      <c r="A497" s="7" t="str">
        <f t="shared" si="35"/>
        <v>100_2021</v>
      </c>
      <c r="B497" s="7">
        <v>496</v>
      </c>
      <c r="C497" s="7">
        <f>'Panel Data (Long Format)'!B497</f>
        <v>100</v>
      </c>
      <c r="D497" s="7" t="str">
        <f>'Panel Data (Long Format)'!C497</f>
        <v>OMATEK</v>
      </c>
      <c r="E497" s="8" t="str">
        <f>'Panel Data (Long Format)'!D497</f>
        <v>Omatek Ventures Plc</v>
      </c>
      <c r="F497" s="7" t="str">
        <f>'Panel Data (Long Format)'!E497</f>
        <v>ICT</v>
      </c>
      <c r="G497" s="7">
        <f>'Panel Data (Long Format)'!F497</f>
        <v>2021</v>
      </c>
      <c r="H497" s="9">
        <v>0</v>
      </c>
      <c r="I497" s="9">
        <v>0</v>
      </c>
      <c r="J497" s="9">
        <v>0</v>
      </c>
      <c r="K497" s="9">
        <v>0</v>
      </c>
      <c r="L497" s="9">
        <v>0</v>
      </c>
      <c r="M497" s="9">
        <v>0</v>
      </c>
      <c r="N497" s="9">
        <v>0</v>
      </c>
      <c r="O497" s="9">
        <v>0</v>
      </c>
      <c r="P497" s="9">
        <v>0</v>
      </c>
      <c r="Q497" s="9">
        <v>0</v>
      </c>
      <c r="R497" s="9">
        <v>0</v>
      </c>
      <c r="S497" s="9">
        <v>0</v>
      </c>
      <c r="T497" s="9">
        <v>0</v>
      </c>
      <c r="U497" s="9">
        <v>0</v>
      </c>
      <c r="V497" s="9">
        <v>0</v>
      </c>
      <c r="W497" s="9">
        <v>0</v>
      </c>
      <c r="X497" s="9">
        <v>0</v>
      </c>
      <c r="Y497" s="9">
        <v>0</v>
      </c>
      <c r="Z497" s="9">
        <v>0</v>
      </c>
      <c r="AA497" s="9">
        <v>0</v>
      </c>
      <c r="AB497" s="10">
        <f t="shared" si="36"/>
        <v>0</v>
      </c>
      <c r="AC497" s="10">
        <f t="shared" si="37"/>
        <v>0</v>
      </c>
      <c r="AD497" s="9">
        <v>0</v>
      </c>
      <c r="AE497" s="9">
        <v>0</v>
      </c>
      <c r="AF497" s="9">
        <v>0</v>
      </c>
      <c r="AG497" s="9">
        <v>0</v>
      </c>
      <c r="AH497" s="9">
        <v>0</v>
      </c>
      <c r="AI497" s="9">
        <v>0</v>
      </c>
      <c r="AJ497" s="9">
        <v>0</v>
      </c>
      <c r="AK497" s="9">
        <v>0</v>
      </c>
      <c r="AL497" s="9">
        <v>0</v>
      </c>
      <c r="AM497" s="9">
        <v>0</v>
      </c>
      <c r="AN497" s="9">
        <v>0</v>
      </c>
      <c r="AO497" s="9">
        <v>0</v>
      </c>
      <c r="AP497" s="9">
        <v>0</v>
      </c>
      <c r="AQ497" s="9">
        <v>0</v>
      </c>
      <c r="AR497" s="9">
        <v>0</v>
      </c>
      <c r="AS497" s="10">
        <f t="shared" si="38"/>
        <v>0</v>
      </c>
      <c r="AT497" s="10">
        <f t="shared" si="39"/>
        <v>0</v>
      </c>
      <c r="AU497" s="5" t="s">
        <v>533</v>
      </c>
    </row>
    <row r="498" spans="1:47" ht="15" customHeight="1" x14ac:dyDescent="0.3">
      <c r="A498" s="7" t="str">
        <f t="shared" si="35"/>
        <v>100_2022</v>
      </c>
      <c r="B498" s="7">
        <v>497</v>
      </c>
      <c r="C498" s="7">
        <f>'Panel Data (Long Format)'!B498</f>
        <v>100</v>
      </c>
      <c r="D498" s="7" t="str">
        <f>'Panel Data (Long Format)'!C498</f>
        <v>OMATEK</v>
      </c>
      <c r="E498" s="8" t="str">
        <f>'Panel Data (Long Format)'!D498</f>
        <v>Omatek Ventures Plc</v>
      </c>
      <c r="F498" s="7" t="str">
        <f>'Panel Data (Long Format)'!E498</f>
        <v>ICT</v>
      </c>
      <c r="G498" s="7">
        <f>'Panel Data (Long Format)'!F498</f>
        <v>2022</v>
      </c>
      <c r="H498" s="9">
        <v>0</v>
      </c>
      <c r="I498" s="9">
        <v>0</v>
      </c>
      <c r="J498" s="9">
        <v>0</v>
      </c>
      <c r="K498" s="9">
        <v>0</v>
      </c>
      <c r="L498" s="9">
        <v>0</v>
      </c>
      <c r="M498" s="9">
        <v>0</v>
      </c>
      <c r="N498" s="9">
        <v>0</v>
      </c>
      <c r="O498" s="9">
        <v>0</v>
      </c>
      <c r="P498" s="9">
        <v>0</v>
      </c>
      <c r="Q498" s="9">
        <v>0</v>
      </c>
      <c r="R498" s="9">
        <v>0</v>
      </c>
      <c r="S498" s="9">
        <v>0</v>
      </c>
      <c r="T498" s="9">
        <v>0</v>
      </c>
      <c r="U498" s="9">
        <v>0</v>
      </c>
      <c r="V498" s="9">
        <v>0</v>
      </c>
      <c r="W498" s="9">
        <v>0</v>
      </c>
      <c r="X498" s="9">
        <v>0</v>
      </c>
      <c r="Y498" s="9">
        <v>0</v>
      </c>
      <c r="Z498" s="9">
        <v>0</v>
      </c>
      <c r="AA498" s="9">
        <v>0</v>
      </c>
      <c r="AB498" s="10">
        <f t="shared" si="36"/>
        <v>0</v>
      </c>
      <c r="AC498" s="10">
        <f t="shared" si="37"/>
        <v>0</v>
      </c>
      <c r="AD498" s="9">
        <v>0</v>
      </c>
      <c r="AE498" s="9">
        <v>0</v>
      </c>
      <c r="AF498" s="9">
        <v>0</v>
      </c>
      <c r="AG498" s="9">
        <v>0</v>
      </c>
      <c r="AH498" s="9">
        <v>0</v>
      </c>
      <c r="AI498" s="9">
        <v>0</v>
      </c>
      <c r="AJ498" s="9">
        <v>0</v>
      </c>
      <c r="AK498" s="9">
        <v>0</v>
      </c>
      <c r="AL498" s="9">
        <v>0</v>
      </c>
      <c r="AM498" s="9">
        <v>0</v>
      </c>
      <c r="AN498" s="9">
        <v>0</v>
      </c>
      <c r="AO498" s="9">
        <v>0</v>
      </c>
      <c r="AP498" s="9">
        <v>0</v>
      </c>
      <c r="AQ498" s="9">
        <v>0</v>
      </c>
      <c r="AR498" s="9">
        <v>0</v>
      </c>
      <c r="AS498" s="10">
        <f t="shared" si="38"/>
        <v>0</v>
      </c>
      <c r="AT498" s="10">
        <f t="shared" si="39"/>
        <v>0</v>
      </c>
      <c r="AU498" s="5" t="s">
        <v>533</v>
      </c>
    </row>
    <row r="499" spans="1:47" ht="15" customHeight="1" x14ac:dyDescent="0.3">
      <c r="A499" s="7" t="str">
        <f t="shared" si="35"/>
        <v>100_2023</v>
      </c>
      <c r="B499" s="7">
        <v>498</v>
      </c>
      <c r="C499" s="7">
        <f>'Panel Data (Long Format)'!B499</f>
        <v>100</v>
      </c>
      <c r="D499" s="7" t="str">
        <f>'Panel Data (Long Format)'!C499</f>
        <v>OMATEK</v>
      </c>
      <c r="E499" s="8" t="str">
        <f>'Panel Data (Long Format)'!D499</f>
        <v>Omatek Ventures Plc</v>
      </c>
      <c r="F499" s="7" t="str">
        <f>'Panel Data (Long Format)'!E499</f>
        <v>ICT</v>
      </c>
      <c r="G499" s="7">
        <f>'Panel Data (Long Format)'!F499</f>
        <v>2023</v>
      </c>
      <c r="H499" s="9">
        <v>0</v>
      </c>
      <c r="I499" s="9">
        <v>0</v>
      </c>
      <c r="J499" s="9">
        <v>0</v>
      </c>
      <c r="K499" s="9">
        <v>0</v>
      </c>
      <c r="L499" s="9">
        <v>0</v>
      </c>
      <c r="M499" s="9">
        <v>0</v>
      </c>
      <c r="N499" s="9">
        <v>0</v>
      </c>
      <c r="O499" s="9">
        <v>0</v>
      </c>
      <c r="P499" s="9">
        <v>0</v>
      </c>
      <c r="Q499" s="9">
        <v>0</v>
      </c>
      <c r="R499" s="9">
        <v>0</v>
      </c>
      <c r="S499" s="9">
        <v>0</v>
      </c>
      <c r="T499" s="9">
        <v>0</v>
      </c>
      <c r="U499" s="9">
        <v>0</v>
      </c>
      <c r="V499" s="9">
        <v>0</v>
      </c>
      <c r="W499" s="9">
        <v>0</v>
      </c>
      <c r="X499" s="9">
        <v>0</v>
      </c>
      <c r="Y499" s="9">
        <v>0</v>
      </c>
      <c r="Z499" s="9">
        <v>0</v>
      </c>
      <c r="AA499" s="9">
        <v>0</v>
      </c>
      <c r="AB499" s="10">
        <f t="shared" si="36"/>
        <v>0</v>
      </c>
      <c r="AC499" s="10">
        <f t="shared" si="37"/>
        <v>0</v>
      </c>
      <c r="AD499" s="9">
        <v>0</v>
      </c>
      <c r="AE499" s="9">
        <v>0</v>
      </c>
      <c r="AF499" s="9">
        <v>0</v>
      </c>
      <c r="AG499" s="9">
        <v>0</v>
      </c>
      <c r="AH499" s="9">
        <v>0</v>
      </c>
      <c r="AI499" s="9">
        <v>0</v>
      </c>
      <c r="AJ499" s="9">
        <v>0</v>
      </c>
      <c r="AK499" s="9">
        <v>0</v>
      </c>
      <c r="AL499" s="9">
        <v>0</v>
      </c>
      <c r="AM499" s="9">
        <v>0</v>
      </c>
      <c r="AN499" s="9">
        <v>0</v>
      </c>
      <c r="AO499" s="9">
        <v>0</v>
      </c>
      <c r="AP499" s="9">
        <v>0</v>
      </c>
      <c r="AQ499" s="9">
        <v>0</v>
      </c>
      <c r="AR499" s="9">
        <v>0</v>
      </c>
      <c r="AS499" s="10">
        <f t="shared" si="38"/>
        <v>0</v>
      </c>
      <c r="AT499" s="10">
        <f t="shared" si="39"/>
        <v>0</v>
      </c>
      <c r="AU499" s="5" t="s">
        <v>533</v>
      </c>
    </row>
    <row r="500" spans="1:47" ht="15" customHeight="1" x14ac:dyDescent="0.3">
      <c r="A500" s="7" t="str">
        <f t="shared" si="35"/>
        <v>100_2024</v>
      </c>
      <c r="B500" s="7">
        <v>499</v>
      </c>
      <c r="C500" s="7">
        <f>'Panel Data (Long Format)'!B500</f>
        <v>100</v>
      </c>
      <c r="D500" s="7" t="str">
        <f>'Panel Data (Long Format)'!C500</f>
        <v>OMATEK</v>
      </c>
      <c r="E500" s="8" t="str">
        <f>'Panel Data (Long Format)'!D500</f>
        <v>Omatek Ventures Plc</v>
      </c>
      <c r="F500" s="7" t="str">
        <f>'Panel Data (Long Format)'!E500</f>
        <v>ICT</v>
      </c>
      <c r="G500" s="7">
        <f>'Panel Data (Long Format)'!F500</f>
        <v>2024</v>
      </c>
      <c r="H500" s="9">
        <v>0</v>
      </c>
      <c r="I500" s="9">
        <v>0</v>
      </c>
      <c r="J500" s="9">
        <v>0</v>
      </c>
      <c r="K500" s="9">
        <v>0</v>
      </c>
      <c r="L500" s="9">
        <v>0</v>
      </c>
      <c r="M500" s="9">
        <v>0</v>
      </c>
      <c r="N500" s="9">
        <v>0</v>
      </c>
      <c r="O500" s="9">
        <v>0</v>
      </c>
      <c r="P500" s="9">
        <v>0</v>
      </c>
      <c r="Q500" s="9">
        <v>0</v>
      </c>
      <c r="R500" s="9">
        <v>0</v>
      </c>
      <c r="S500" s="9">
        <v>0</v>
      </c>
      <c r="T500" s="9">
        <v>0</v>
      </c>
      <c r="U500" s="9">
        <v>0</v>
      </c>
      <c r="V500" s="9">
        <v>0</v>
      </c>
      <c r="W500" s="9">
        <v>0</v>
      </c>
      <c r="X500" s="9">
        <v>0</v>
      </c>
      <c r="Y500" s="9">
        <v>0</v>
      </c>
      <c r="Z500" s="9">
        <v>0</v>
      </c>
      <c r="AA500" s="9">
        <v>0</v>
      </c>
      <c r="AB500" s="10">
        <f t="shared" si="36"/>
        <v>0</v>
      </c>
      <c r="AC500" s="10">
        <f t="shared" si="37"/>
        <v>0</v>
      </c>
      <c r="AD500" s="9">
        <v>0</v>
      </c>
      <c r="AE500" s="9">
        <v>0</v>
      </c>
      <c r="AF500" s="9">
        <v>0</v>
      </c>
      <c r="AG500" s="9">
        <v>0</v>
      </c>
      <c r="AH500" s="9">
        <v>0</v>
      </c>
      <c r="AI500" s="9">
        <v>0</v>
      </c>
      <c r="AJ500" s="9">
        <v>0</v>
      </c>
      <c r="AK500" s="9">
        <v>0</v>
      </c>
      <c r="AL500" s="9">
        <v>0</v>
      </c>
      <c r="AM500" s="9">
        <v>0</v>
      </c>
      <c r="AN500" s="9">
        <v>0</v>
      </c>
      <c r="AO500" s="9">
        <v>0</v>
      </c>
      <c r="AP500" s="9">
        <v>0</v>
      </c>
      <c r="AQ500" s="9">
        <v>0</v>
      </c>
      <c r="AR500" s="9">
        <v>0</v>
      </c>
      <c r="AS500" s="10">
        <f t="shared" si="38"/>
        <v>0</v>
      </c>
      <c r="AT500" s="10">
        <f t="shared" si="39"/>
        <v>0</v>
      </c>
      <c r="AU500" s="5" t="s">
        <v>533</v>
      </c>
    </row>
    <row r="501" spans="1:47" ht="15" customHeight="1" x14ac:dyDescent="0.3">
      <c r="A501" s="7" t="str">
        <f t="shared" si="35"/>
        <v>100_2025</v>
      </c>
      <c r="B501" s="7">
        <v>500</v>
      </c>
      <c r="C501" s="7">
        <f>'Panel Data (Long Format)'!B501</f>
        <v>100</v>
      </c>
      <c r="D501" s="7" t="str">
        <f>'Panel Data (Long Format)'!C501</f>
        <v>OMATEK</v>
      </c>
      <c r="E501" s="8" t="str">
        <f>'Panel Data (Long Format)'!D501</f>
        <v>Omatek Ventures Plc</v>
      </c>
      <c r="F501" s="7" t="str">
        <f>'Panel Data (Long Format)'!E501</f>
        <v>ICT</v>
      </c>
      <c r="G501" s="7">
        <f>'Panel Data (Long Format)'!F501</f>
        <v>2025</v>
      </c>
      <c r="H501" s="9">
        <v>0</v>
      </c>
      <c r="I501" s="9">
        <v>0</v>
      </c>
      <c r="J501" s="9">
        <v>0</v>
      </c>
      <c r="K501" s="9">
        <v>0</v>
      </c>
      <c r="L501" s="9">
        <v>0</v>
      </c>
      <c r="M501" s="9">
        <v>0</v>
      </c>
      <c r="N501" s="9">
        <v>0</v>
      </c>
      <c r="O501" s="9">
        <v>0</v>
      </c>
      <c r="P501" s="9">
        <v>0</v>
      </c>
      <c r="Q501" s="9">
        <v>0</v>
      </c>
      <c r="R501" s="9">
        <v>0</v>
      </c>
      <c r="S501" s="9">
        <v>0</v>
      </c>
      <c r="T501" s="9">
        <v>0</v>
      </c>
      <c r="U501" s="9">
        <v>0</v>
      </c>
      <c r="V501" s="9">
        <v>0</v>
      </c>
      <c r="W501" s="9">
        <v>0</v>
      </c>
      <c r="X501" s="9">
        <v>0</v>
      </c>
      <c r="Y501" s="9">
        <v>0</v>
      </c>
      <c r="Z501" s="9">
        <v>0</v>
      </c>
      <c r="AA501" s="9">
        <v>0</v>
      </c>
      <c r="AB501" s="10">
        <f t="shared" si="36"/>
        <v>0</v>
      </c>
      <c r="AC501" s="10">
        <f t="shared" si="37"/>
        <v>0</v>
      </c>
      <c r="AD501" s="9">
        <v>0</v>
      </c>
      <c r="AE501" s="9">
        <v>0</v>
      </c>
      <c r="AF501" s="9">
        <v>0</v>
      </c>
      <c r="AG501" s="9">
        <v>0</v>
      </c>
      <c r="AH501" s="9">
        <v>0</v>
      </c>
      <c r="AI501" s="9">
        <v>0</v>
      </c>
      <c r="AJ501" s="9">
        <v>0</v>
      </c>
      <c r="AK501" s="9">
        <v>0</v>
      </c>
      <c r="AL501" s="9">
        <v>0</v>
      </c>
      <c r="AM501" s="9">
        <v>0</v>
      </c>
      <c r="AN501" s="9">
        <v>0</v>
      </c>
      <c r="AO501" s="9">
        <v>0</v>
      </c>
      <c r="AP501" s="9">
        <v>0</v>
      </c>
      <c r="AQ501" s="9">
        <v>0</v>
      </c>
      <c r="AR501" s="9">
        <v>0</v>
      </c>
      <c r="AS501" s="10">
        <f t="shared" si="38"/>
        <v>0</v>
      </c>
      <c r="AT501" s="10">
        <f t="shared" si="39"/>
        <v>0</v>
      </c>
      <c r="AU501" s="5" t="s">
        <v>533</v>
      </c>
    </row>
    <row r="502" spans="1:47" ht="15" customHeight="1" x14ac:dyDescent="0.3">
      <c r="A502" s="7" t="str">
        <f t="shared" si="35"/>
        <v>101_2021</v>
      </c>
      <c r="B502" s="7">
        <v>501</v>
      </c>
      <c r="C502" s="7">
        <f>'Panel Data (Long Format)'!B502</f>
        <v>101</v>
      </c>
      <c r="D502" s="7" t="str">
        <f>'Panel Data (Long Format)'!C502</f>
        <v>PHARMDEKO</v>
      </c>
      <c r="E502" s="8" t="str">
        <f>'Panel Data (Long Format)'!D502</f>
        <v>Pharma-Deko Plc</v>
      </c>
      <c r="F502" s="7" t="str">
        <f>'Panel Data (Long Format)'!E502</f>
        <v>HEALTHCARE</v>
      </c>
      <c r="G502" s="7">
        <f>'Panel Data (Long Format)'!F502</f>
        <v>2021</v>
      </c>
      <c r="H502" s="9">
        <v>0</v>
      </c>
      <c r="I502" s="9">
        <v>0</v>
      </c>
      <c r="J502" s="9">
        <v>0</v>
      </c>
      <c r="K502" s="9">
        <v>0</v>
      </c>
      <c r="L502" s="9">
        <v>0</v>
      </c>
      <c r="M502" s="9">
        <v>0</v>
      </c>
      <c r="N502" s="9">
        <v>0</v>
      </c>
      <c r="O502" s="9">
        <v>0</v>
      </c>
      <c r="P502" s="9">
        <v>0</v>
      </c>
      <c r="Q502" s="9">
        <v>0</v>
      </c>
      <c r="R502" s="9">
        <v>0</v>
      </c>
      <c r="S502" s="9">
        <v>0</v>
      </c>
      <c r="T502" s="9">
        <v>0</v>
      </c>
      <c r="U502" s="9">
        <v>0</v>
      </c>
      <c r="V502" s="9">
        <v>0</v>
      </c>
      <c r="W502" s="9">
        <v>0</v>
      </c>
      <c r="X502" s="9">
        <v>0</v>
      </c>
      <c r="Y502" s="9">
        <v>0</v>
      </c>
      <c r="Z502" s="9">
        <v>0</v>
      </c>
      <c r="AA502" s="9">
        <v>0</v>
      </c>
      <c r="AB502" s="10">
        <f t="shared" si="36"/>
        <v>0</v>
      </c>
      <c r="AC502" s="10">
        <f t="shared" si="37"/>
        <v>0</v>
      </c>
      <c r="AD502" s="9">
        <v>0</v>
      </c>
      <c r="AE502" s="9">
        <v>0</v>
      </c>
      <c r="AF502" s="9">
        <v>0</v>
      </c>
      <c r="AG502" s="9">
        <v>0</v>
      </c>
      <c r="AH502" s="9">
        <v>0</v>
      </c>
      <c r="AI502" s="9">
        <v>0</v>
      </c>
      <c r="AJ502" s="9">
        <v>0</v>
      </c>
      <c r="AK502" s="9">
        <v>0</v>
      </c>
      <c r="AL502" s="9">
        <v>0</v>
      </c>
      <c r="AM502" s="9">
        <v>0</v>
      </c>
      <c r="AN502" s="9">
        <v>0</v>
      </c>
      <c r="AO502" s="9">
        <v>0</v>
      </c>
      <c r="AP502" s="9">
        <v>0</v>
      </c>
      <c r="AQ502" s="9">
        <v>0</v>
      </c>
      <c r="AR502" s="9">
        <v>0</v>
      </c>
      <c r="AS502" s="10">
        <f t="shared" si="38"/>
        <v>0</v>
      </c>
      <c r="AT502" s="10">
        <f t="shared" si="39"/>
        <v>0</v>
      </c>
      <c r="AU502" s="5" t="s">
        <v>534</v>
      </c>
    </row>
    <row r="503" spans="1:47" ht="15" customHeight="1" x14ac:dyDescent="0.3">
      <c r="A503" s="7" t="str">
        <f t="shared" si="35"/>
        <v>101_2022</v>
      </c>
      <c r="B503" s="7">
        <v>502</v>
      </c>
      <c r="C503" s="7">
        <f>'Panel Data (Long Format)'!B503</f>
        <v>101</v>
      </c>
      <c r="D503" s="7" t="str">
        <f>'Panel Data (Long Format)'!C503</f>
        <v>PHARMDEKO</v>
      </c>
      <c r="E503" s="8" t="str">
        <f>'Panel Data (Long Format)'!D503</f>
        <v>Pharma-Deko Plc</v>
      </c>
      <c r="F503" s="7" t="str">
        <f>'Panel Data (Long Format)'!E503</f>
        <v>HEALTHCARE</v>
      </c>
      <c r="G503" s="7">
        <f>'Panel Data (Long Format)'!F503</f>
        <v>2022</v>
      </c>
      <c r="H503" s="9">
        <v>0</v>
      </c>
      <c r="I503" s="9">
        <v>0</v>
      </c>
      <c r="J503" s="9">
        <v>0</v>
      </c>
      <c r="K503" s="9">
        <v>0</v>
      </c>
      <c r="L503" s="9">
        <v>0</v>
      </c>
      <c r="M503" s="9">
        <v>0</v>
      </c>
      <c r="N503" s="9">
        <v>0</v>
      </c>
      <c r="O503" s="9">
        <v>0</v>
      </c>
      <c r="P503" s="9">
        <v>0</v>
      </c>
      <c r="Q503" s="9">
        <v>0</v>
      </c>
      <c r="R503" s="9">
        <v>0</v>
      </c>
      <c r="S503" s="9">
        <v>0</v>
      </c>
      <c r="T503" s="9">
        <v>0</v>
      </c>
      <c r="U503" s="9">
        <v>0</v>
      </c>
      <c r="V503" s="9">
        <v>0</v>
      </c>
      <c r="W503" s="9">
        <v>0</v>
      </c>
      <c r="X503" s="9">
        <v>0</v>
      </c>
      <c r="Y503" s="9">
        <v>0</v>
      </c>
      <c r="Z503" s="9">
        <v>0</v>
      </c>
      <c r="AA503" s="9">
        <v>0</v>
      </c>
      <c r="AB503" s="10">
        <f t="shared" si="36"/>
        <v>0</v>
      </c>
      <c r="AC503" s="10">
        <f t="shared" si="37"/>
        <v>0</v>
      </c>
      <c r="AD503" s="9">
        <v>0</v>
      </c>
      <c r="AE503" s="9">
        <v>0</v>
      </c>
      <c r="AF503" s="9">
        <v>0</v>
      </c>
      <c r="AG503" s="9">
        <v>0</v>
      </c>
      <c r="AH503" s="9">
        <v>0</v>
      </c>
      <c r="AI503" s="9">
        <v>0</v>
      </c>
      <c r="AJ503" s="9">
        <v>0</v>
      </c>
      <c r="AK503" s="9">
        <v>0</v>
      </c>
      <c r="AL503" s="9">
        <v>0</v>
      </c>
      <c r="AM503" s="9">
        <v>0</v>
      </c>
      <c r="AN503" s="9">
        <v>0</v>
      </c>
      <c r="AO503" s="9">
        <v>0</v>
      </c>
      <c r="AP503" s="9">
        <v>0</v>
      </c>
      <c r="AQ503" s="9">
        <v>0</v>
      </c>
      <c r="AR503" s="9">
        <v>0</v>
      </c>
      <c r="AS503" s="10">
        <f t="shared" si="38"/>
        <v>0</v>
      </c>
      <c r="AT503" s="10">
        <f t="shared" si="39"/>
        <v>0</v>
      </c>
      <c r="AU503" s="5" t="s">
        <v>535</v>
      </c>
    </row>
    <row r="504" spans="1:47" ht="15" customHeight="1" x14ac:dyDescent="0.3">
      <c r="A504" s="7" t="str">
        <f t="shared" si="35"/>
        <v>101_2023</v>
      </c>
      <c r="B504" s="7">
        <v>503</v>
      </c>
      <c r="C504" s="7">
        <f>'Panel Data (Long Format)'!B504</f>
        <v>101</v>
      </c>
      <c r="D504" s="7" t="str">
        <f>'Panel Data (Long Format)'!C504</f>
        <v>PHARMDEKO</v>
      </c>
      <c r="E504" s="8" t="str">
        <f>'Panel Data (Long Format)'!D504</f>
        <v>Pharma-Deko Plc</v>
      </c>
      <c r="F504" s="7" t="str">
        <f>'Panel Data (Long Format)'!E504</f>
        <v>HEALTHCARE</v>
      </c>
      <c r="G504" s="7">
        <f>'Panel Data (Long Format)'!F504</f>
        <v>2023</v>
      </c>
      <c r="H504" s="9"/>
      <c r="I504" s="9"/>
      <c r="J504" s="9"/>
      <c r="K504" s="9"/>
      <c r="L504" s="9"/>
      <c r="M504" s="9"/>
      <c r="N504" s="9"/>
      <c r="O504" s="9"/>
      <c r="P504" s="9"/>
      <c r="Q504" s="9"/>
      <c r="R504" s="9"/>
      <c r="S504" s="9"/>
      <c r="T504" s="9"/>
      <c r="U504" s="9"/>
      <c r="V504" s="9"/>
      <c r="W504" s="9"/>
      <c r="X504" s="9"/>
      <c r="Y504" s="9"/>
      <c r="Z504" s="9"/>
      <c r="AA504" s="9"/>
      <c r="AB504" s="10" t="str">
        <f t="shared" si="36"/>
        <v/>
      </c>
      <c r="AC504" s="10" t="str">
        <f t="shared" si="37"/>
        <v/>
      </c>
      <c r="AD504" s="9"/>
      <c r="AE504" s="9"/>
      <c r="AF504" s="9"/>
      <c r="AG504" s="9"/>
      <c r="AH504" s="9"/>
      <c r="AI504" s="9"/>
      <c r="AJ504" s="9"/>
      <c r="AK504" s="9"/>
      <c r="AL504" s="9"/>
      <c r="AM504" s="9"/>
      <c r="AN504" s="9"/>
      <c r="AO504" s="9"/>
      <c r="AP504" s="9"/>
      <c r="AQ504" s="9"/>
      <c r="AR504" s="9"/>
      <c r="AS504" s="10" t="str">
        <f t="shared" si="38"/>
        <v/>
      </c>
      <c r="AT504" s="10" t="str">
        <f t="shared" si="39"/>
        <v/>
      </c>
      <c r="AU504" s="5" t="s">
        <v>536</v>
      </c>
    </row>
    <row r="505" spans="1:47" ht="15" customHeight="1" x14ac:dyDescent="0.3">
      <c r="A505" s="7" t="str">
        <f t="shared" si="35"/>
        <v>101_2024</v>
      </c>
      <c r="B505" s="7">
        <v>504</v>
      </c>
      <c r="C505" s="7">
        <f>'Panel Data (Long Format)'!B505</f>
        <v>101</v>
      </c>
      <c r="D505" s="7" t="str">
        <f>'Panel Data (Long Format)'!C505</f>
        <v>PHARMDEKO</v>
      </c>
      <c r="E505" s="8" t="str">
        <f>'Panel Data (Long Format)'!D505</f>
        <v>Pharma-Deko Plc</v>
      </c>
      <c r="F505" s="7" t="str">
        <f>'Panel Data (Long Format)'!E505</f>
        <v>HEALTHCARE</v>
      </c>
      <c r="G505" s="7">
        <f>'Panel Data (Long Format)'!F505</f>
        <v>2024</v>
      </c>
      <c r="H505" s="9"/>
      <c r="I505" s="9"/>
      <c r="J505" s="9"/>
      <c r="K505" s="9"/>
      <c r="L505" s="9"/>
      <c r="M505" s="9"/>
      <c r="N505" s="9"/>
      <c r="O505" s="9"/>
      <c r="P505" s="9"/>
      <c r="Q505" s="9"/>
      <c r="R505" s="9"/>
      <c r="S505" s="9"/>
      <c r="T505" s="9"/>
      <c r="U505" s="9"/>
      <c r="V505" s="9"/>
      <c r="W505" s="9"/>
      <c r="X505" s="9"/>
      <c r="Y505" s="9"/>
      <c r="Z505" s="9"/>
      <c r="AA505" s="9"/>
      <c r="AB505" s="10" t="str">
        <f t="shared" si="36"/>
        <v/>
      </c>
      <c r="AC505" s="10" t="str">
        <f t="shared" si="37"/>
        <v/>
      </c>
      <c r="AD505" s="9"/>
      <c r="AE505" s="9"/>
      <c r="AF505" s="9"/>
      <c r="AG505" s="9"/>
      <c r="AH505" s="9"/>
      <c r="AI505" s="9"/>
      <c r="AJ505" s="9"/>
      <c r="AK505" s="9"/>
      <c r="AL505" s="9"/>
      <c r="AM505" s="9"/>
      <c r="AN505" s="9"/>
      <c r="AO505" s="9"/>
      <c r="AP505" s="9"/>
      <c r="AQ505" s="9"/>
      <c r="AR505" s="9"/>
      <c r="AS505" s="10" t="str">
        <f t="shared" si="38"/>
        <v/>
      </c>
      <c r="AT505" s="10" t="str">
        <f t="shared" si="39"/>
        <v/>
      </c>
      <c r="AU505" s="5" t="s">
        <v>536</v>
      </c>
    </row>
    <row r="506" spans="1:47" ht="15" customHeight="1" x14ac:dyDescent="0.3">
      <c r="A506" s="7" t="str">
        <f t="shared" si="35"/>
        <v>101_2025</v>
      </c>
      <c r="B506" s="7">
        <v>505</v>
      </c>
      <c r="C506" s="7">
        <f>'Panel Data (Long Format)'!B506</f>
        <v>101</v>
      </c>
      <c r="D506" s="7" t="str">
        <f>'Panel Data (Long Format)'!C506</f>
        <v>PHARMDEKO</v>
      </c>
      <c r="E506" s="8" t="str">
        <f>'Panel Data (Long Format)'!D506</f>
        <v>Pharma-Deko Plc</v>
      </c>
      <c r="F506" s="7" t="str">
        <f>'Panel Data (Long Format)'!E506</f>
        <v>HEALTHCARE</v>
      </c>
      <c r="G506" s="7">
        <f>'Panel Data (Long Format)'!F506</f>
        <v>2025</v>
      </c>
      <c r="H506" s="9"/>
      <c r="I506" s="9"/>
      <c r="J506" s="9"/>
      <c r="K506" s="9"/>
      <c r="L506" s="9"/>
      <c r="M506" s="9"/>
      <c r="N506" s="9"/>
      <c r="O506" s="9"/>
      <c r="P506" s="9"/>
      <c r="Q506" s="9"/>
      <c r="R506" s="9"/>
      <c r="S506" s="9"/>
      <c r="T506" s="9"/>
      <c r="U506" s="9"/>
      <c r="V506" s="9"/>
      <c r="W506" s="9"/>
      <c r="X506" s="9"/>
      <c r="Y506" s="9"/>
      <c r="Z506" s="9"/>
      <c r="AA506" s="9"/>
      <c r="AB506" s="10" t="str">
        <f t="shared" si="36"/>
        <v/>
      </c>
      <c r="AC506" s="10" t="str">
        <f t="shared" si="37"/>
        <v/>
      </c>
      <c r="AD506" s="9"/>
      <c r="AE506" s="9"/>
      <c r="AF506" s="9"/>
      <c r="AG506" s="9"/>
      <c r="AH506" s="9"/>
      <c r="AI506" s="9"/>
      <c r="AJ506" s="9"/>
      <c r="AK506" s="9"/>
      <c r="AL506" s="9"/>
      <c r="AM506" s="9"/>
      <c r="AN506" s="9"/>
      <c r="AO506" s="9"/>
      <c r="AP506" s="9"/>
      <c r="AQ506" s="9"/>
      <c r="AR506" s="9"/>
      <c r="AS506" s="10" t="str">
        <f t="shared" si="38"/>
        <v/>
      </c>
      <c r="AT506" s="10" t="str">
        <f t="shared" si="39"/>
        <v/>
      </c>
      <c r="AU506" s="5" t="s">
        <v>536</v>
      </c>
    </row>
    <row r="507" spans="1:47" ht="15" customHeight="1" x14ac:dyDescent="0.3">
      <c r="A507" s="7" t="str">
        <f t="shared" si="35"/>
        <v>102_2021</v>
      </c>
      <c r="B507" s="7">
        <v>506</v>
      </c>
      <c r="C507" s="7">
        <f>'Panel Data (Long Format)'!B507</f>
        <v>102</v>
      </c>
      <c r="D507" s="7" t="str">
        <f>'Panel Data (Long Format)'!C507</f>
        <v>PREMPAINTS</v>
      </c>
      <c r="E507" s="8" t="str">
        <f>'Panel Data (Long Format)'!D507</f>
        <v>Premier Paints Plc</v>
      </c>
      <c r="F507" s="7" t="str">
        <f>'Panel Data (Long Format)'!E507</f>
        <v>INDUSTRIAL GOODS</v>
      </c>
      <c r="G507" s="7">
        <f>'Panel Data (Long Format)'!F507</f>
        <v>2021</v>
      </c>
      <c r="H507" s="9">
        <v>0</v>
      </c>
      <c r="I507" s="9">
        <v>0</v>
      </c>
      <c r="J507" s="9">
        <v>0</v>
      </c>
      <c r="K507" s="9">
        <v>0</v>
      </c>
      <c r="L507" s="9">
        <v>0</v>
      </c>
      <c r="M507" s="9">
        <v>0</v>
      </c>
      <c r="N507" s="9">
        <v>0</v>
      </c>
      <c r="O507" s="9">
        <v>0</v>
      </c>
      <c r="P507" s="9">
        <v>0</v>
      </c>
      <c r="Q507" s="9">
        <v>0</v>
      </c>
      <c r="R507" s="9">
        <v>0</v>
      </c>
      <c r="S507" s="9">
        <v>0</v>
      </c>
      <c r="T507" s="9">
        <v>0</v>
      </c>
      <c r="U507" s="9">
        <v>0</v>
      </c>
      <c r="V507" s="9">
        <v>0</v>
      </c>
      <c r="W507" s="9">
        <v>0</v>
      </c>
      <c r="X507" s="9">
        <v>0</v>
      </c>
      <c r="Y507" s="9">
        <v>0</v>
      </c>
      <c r="Z507" s="9">
        <v>0</v>
      </c>
      <c r="AA507" s="9">
        <v>0</v>
      </c>
      <c r="AB507" s="10">
        <f t="shared" si="36"/>
        <v>0</v>
      </c>
      <c r="AC507" s="10">
        <f t="shared" si="37"/>
        <v>0</v>
      </c>
      <c r="AD507" s="9">
        <v>0</v>
      </c>
      <c r="AE507" s="9">
        <v>0</v>
      </c>
      <c r="AF507" s="9">
        <v>0</v>
      </c>
      <c r="AG507" s="9">
        <v>0</v>
      </c>
      <c r="AH507" s="9">
        <v>0</v>
      </c>
      <c r="AI507" s="9">
        <v>0</v>
      </c>
      <c r="AJ507" s="9">
        <v>0</v>
      </c>
      <c r="AK507" s="9">
        <v>0</v>
      </c>
      <c r="AL507" s="9">
        <v>0</v>
      </c>
      <c r="AM507" s="9">
        <v>0</v>
      </c>
      <c r="AN507" s="9">
        <v>0</v>
      </c>
      <c r="AO507" s="9">
        <v>0</v>
      </c>
      <c r="AP507" s="9">
        <v>0</v>
      </c>
      <c r="AQ507" s="9">
        <v>0</v>
      </c>
      <c r="AR507" s="9">
        <v>0</v>
      </c>
      <c r="AS507" s="10">
        <f t="shared" si="38"/>
        <v>0</v>
      </c>
      <c r="AT507" s="10">
        <f t="shared" si="39"/>
        <v>0</v>
      </c>
      <c r="AU507" s="5" t="s">
        <v>537</v>
      </c>
    </row>
    <row r="508" spans="1:47" ht="15" customHeight="1" x14ac:dyDescent="0.3">
      <c r="A508" s="7" t="str">
        <f t="shared" si="35"/>
        <v>102_2022</v>
      </c>
      <c r="B508" s="7">
        <v>507</v>
      </c>
      <c r="C508" s="7">
        <f>'Panel Data (Long Format)'!B508</f>
        <v>102</v>
      </c>
      <c r="D508" s="7" t="str">
        <f>'Panel Data (Long Format)'!C508</f>
        <v>PREMPAINTS</v>
      </c>
      <c r="E508" s="8" t="str">
        <f>'Panel Data (Long Format)'!D508</f>
        <v>Premier Paints Plc</v>
      </c>
      <c r="F508" s="7" t="str">
        <f>'Panel Data (Long Format)'!E508</f>
        <v>INDUSTRIAL GOODS</v>
      </c>
      <c r="G508" s="7">
        <f>'Panel Data (Long Format)'!F508</f>
        <v>2022</v>
      </c>
      <c r="H508" s="9">
        <v>0</v>
      </c>
      <c r="I508" s="9">
        <v>0</v>
      </c>
      <c r="J508" s="9">
        <v>0</v>
      </c>
      <c r="K508" s="9">
        <v>0</v>
      </c>
      <c r="L508" s="9">
        <v>0</v>
      </c>
      <c r="M508" s="9">
        <v>0</v>
      </c>
      <c r="N508" s="9">
        <v>0</v>
      </c>
      <c r="O508" s="9">
        <v>0</v>
      </c>
      <c r="P508" s="9">
        <v>0</v>
      </c>
      <c r="Q508" s="9">
        <v>0</v>
      </c>
      <c r="R508" s="9">
        <v>0</v>
      </c>
      <c r="S508" s="9">
        <v>0</v>
      </c>
      <c r="T508" s="9">
        <v>0</v>
      </c>
      <c r="U508" s="9">
        <v>0</v>
      </c>
      <c r="V508" s="9">
        <v>0</v>
      </c>
      <c r="W508" s="9">
        <v>0</v>
      </c>
      <c r="X508" s="9">
        <v>0</v>
      </c>
      <c r="Y508" s="9">
        <v>0</v>
      </c>
      <c r="Z508" s="9">
        <v>0</v>
      </c>
      <c r="AA508" s="9">
        <v>0</v>
      </c>
      <c r="AB508" s="10">
        <f t="shared" si="36"/>
        <v>0</v>
      </c>
      <c r="AC508" s="10">
        <f t="shared" si="37"/>
        <v>0</v>
      </c>
      <c r="AD508" s="9">
        <v>0</v>
      </c>
      <c r="AE508" s="9">
        <v>0</v>
      </c>
      <c r="AF508" s="9">
        <v>0</v>
      </c>
      <c r="AG508" s="9">
        <v>0</v>
      </c>
      <c r="AH508" s="9">
        <v>0</v>
      </c>
      <c r="AI508" s="9">
        <v>0</v>
      </c>
      <c r="AJ508" s="9">
        <v>0</v>
      </c>
      <c r="AK508" s="9">
        <v>0</v>
      </c>
      <c r="AL508" s="9">
        <v>0</v>
      </c>
      <c r="AM508" s="9">
        <v>0</v>
      </c>
      <c r="AN508" s="9">
        <v>0</v>
      </c>
      <c r="AO508" s="9">
        <v>0</v>
      </c>
      <c r="AP508" s="9">
        <v>0</v>
      </c>
      <c r="AQ508" s="9">
        <v>0</v>
      </c>
      <c r="AR508" s="9">
        <v>0</v>
      </c>
      <c r="AS508" s="10">
        <f t="shared" si="38"/>
        <v>0</v>
      </c>
      <c r="AT508" s="10">
        <f t="shared" si="39"/>
        <v>0</v>
      </c>
      <c r="AU508" s="5" t="s">
        <v>537</v>
      </c>
    </row>
    <row r="509" spans="1:47" ht="15" customHeight="1" x14ac:dyDescent="0.3">
      <c r="A509" s="7" t="str">
        <f t="shared" si="35"/>
        <v>102_2023</v>
      </c>
      <c r="B509" s="7">
        <v>508</v>
      </c>
      <c r="C509" s="7">
        <f>'Panel Data (Long Format)'!B509</f>
        <v>102</v>
      </c>
      <c r="D509" s="7" t="str">
        <f>'Panel Data (Long Format)'!C509</f>
        <v>PREMPAINTS</v>
      </c>
      <c r="E509" s="8" t="str">
        <f>'Panel Data (Long Format)'!D509</f>
        <v>Premier Paints Plc</v>
      </c>
      <c r="F509" s="7" t="str">
        <f>'Panel Data (Long Format)'!E509</f>
        <v>INDUSTRIAL GOODS</v>
      </c>
      <c r="G509" s="7">
        <f>'Panel Data (Long Format)'!F509</f>
        <v>2023</v>
      </c>
      <c r="H509" s="9">
        <v>0</v>
      </c>
      <c r="I509" s="9">
        <v>0</v>
      </c>
      <c r="J509" s="9">
        <v>0</v>
      </c>
      <c r="K509" s="9">
        <v>0</v>
      </c>
      <c r="L509" s="9">
        <v>0</v>
      </c>
      <c r="M509" s="9">
        <v>0</v>
      </c>
      <c r="N509" s="9">
        <v>0</v>
      </c>
      <c r="O509" s="9">
        <v>0</v>
      </c>
      <c r="P509" s="9">
        <v>0</v>
      </c>
      <c r="Q509" s="9">
        <v>0</v>
      </c>
      <c r="R509" s="9">
        <v>0</v>
      </c>
      <c r="S509" s="9">
        <v>0</v>
      </c>
      <c r="T509" s="9">
        <v>0</v>
      </c>
      <c r="U509" s="9">
        <v>0</v>
      </c>
      <c r="V509" s="9">
        <v>0</v>
      </c>
      <c r="W509" s="9">
        <v>0</v>
      </c>
      <c r="X509" s="9">
        <v>0</v>
      </c>
      <c r="Y509" s="9">
        <v>0</v>
      </c>
      <c r="Z509" s="9">
        <v>0</v>
      </c>
      <c r="AA509" s="9">
        <v>0</v>
      </c>
      <c r="AB509" s="10">
        <f t="shared" si="36"/>
        <v>0</v>
      </c>
      <c r="AC509" s="10">
        <f t="shared" si="37"/>
        <v>0</v>
      </c>
      <c r="AD509" s="9">
        <v>0</v>
      </c>
      <c r="AE509" s="9">
        <v>0</v>
      </c>
      <c r="AF509" s="9">
        <v>0</v>
      </c>
      <c r="AG509" s="9">
        <v>0</v>
      </c>
      <c r="AH509" s="9">
        <v>0</v>
      </c>
      <c r="AI509" s="9">
        <v>0</v>
      </c>
      <c r="AJ509" s="9">
        <v>0</v>
      </c>
      <c r="AK509" s="9">
        <v>0</v>
      </c>
      <c r="AL509" s="9">
        <v>0</v>
      </c>
      <c r="AM509" s="9">
        <v>0</v>
      </c>
      <c r="AN509" s="9">
        <v>0</v>
      </c>
      <c r="AO509" s="9">
        <v>0</v>
      </c>
      <c r="AP509" s="9">
        <v>0</v>
      </c>
      <c r="AQ509" s="9">
        <v>0</v>
      </c>
      <c r="AR509" s="9">
        <v>0</v>
      </c>
      <c r="AS509" s="10">
        <f t="shared" si="38"/>
        <v>0</v>
      </c>
      <c r="AT509" s="10">
        <f t="shared" si="39"/>
        <v>0</v>
      </c>
      <c r="AU509" s="5" t="s">
        <v>537</v>
      </c>
    </row>
    <row r="510" spans="1:47" ht="15" customHeight="1" x14ac:dyDescent="0.3">
      <c r="A510" s="7" t="str">
        <f t="shared" si="35"/>
        <v>102_2024</v>
      </c>
      <c r="B510" s="7">
        <v>509</v>
      </c>
      <c r="C510" s="7">
        <f>'Panel Data (Long Format)'!B510</f>
        <v>102</v>
      </c>
      <c r="D510" s="7" t="str">
        <f>'Panel Data (Long Format)'!C510</f>
        <v>PREMPAINTS</v>
      </c>
      <c r="E510" s="8" t="str">
        <f>'Panel Data (Long Format)'!D510</f>
        <v>Premier Paints Plc</v>
      </c>
      <c r="F510" s="7" t="str">
        <f>'Panel Data (Long Format)'!E510</f>
        <v>INDUSTRIAL GOODS</v>
      </c>
      <c r="G510" s="7">
        <f>'Panel Data (Long Format)'!F510</f>
        <v>2024</v>
      </c>
      <c r="H510" s="9">
        <v>0</v>
      </c>
      <c r="I510" s="9">
        <v>0</v>
      </c>
      <c r="J510" s="9">
        <v>0</v>
      </c>
      <c r="K510" s="9">
        <v>0</v>
      </c>
      <c r="L510" s="9">
        <v>0</v>
      </c>
      <c r="M510" s="9">
        <v>0</v>
      </c>
      <c r="N510" s="9">
        <v>0</v>
      </c>
      <c r="O510" s="9">
        <v>0</v>
      </c>
      <c r="P510" s="9">
        <v>0</v>
      </c>
      <c r="Q510" s="9">
        <v>0</v>
      </c>
      <c r="R510" s="9">
        <v>0</v>
      </c>
      <c r="S510" s="9">
        <v>0</v>
      </c>
      <c r="T510" s="9">
        <v>0</v>
      </c>
      <c r="U510" s="9">
        <v>0</v>
      </c>
      <c r="V510" s="9">
        <v>0</v>
      </c>
      <c r="W510" s="9">
        <v>0</v>
      </c>
      <c r="X510" s="9">
        <v>0</v>
      </c>
      <c r="Y510" s="9">
        <v>0</v>
      </c>
      <c r="Z510" s="9">
        <v>0</v>
      </c>
      <c r="AA510" s="9">
        <v>0</v>
      </c>
      <c r="AB510" s="10">
        <f t="shared" si="36"/>
        <v>0</v>
      </c>
      <c r="AC510" s="10">
        <f t="shared" si="37"/>
        <v>0</v>
      </c>
      <c r="AD510" s="9">
        <v>0</v>
      </c>
      <c r="AE510" s="9">
        <v>0</v>
      </c>
      <c r="AF510" s="9">
        <v>0</v>
      </c>
      <c r="AG510" s="9">
        <v>0</v>
      </c>
      <c r="AH510" s="9">
        <v>0</v>
      </c>
      <c r="AI510" s="9">
        <v>0</v>
      </c>
      <c r="AJ510" s="9">
        <v>0</v>
      </c>
      <c r="AK510" s="9">
        <v>0</v>
      </c>
      <c r="AL510" s="9">
        <v>0</v>
      </c>
      <c r="AM510" s="9">
        <v>0</v>
      </c>
      <c r="AN510" s="9">
        <v>0</v>
      </c>
      <c r="AO510" s="9">
        <v>0</v>
      </c>
      <c r="AP510" s="9">
        <v>0</v>
      </c>
      <c r="AQ510" s="9">
        <v>0</v>
      </c>
      <c r="AR510" s="9">
        <v>0</v>
      </c>
      <c r="AS510" s="10">
        <f t="shared" si="38"/>
        <v>0</v>
      </c>
      <c r="AT510" s="10">
        <f t="shared" si="39"/>
        <v>0</v>
      </c>
      <c r="AU510" s="5" t="s">
        <v>537</v>
      </c>
    </row>
    <row r="511" spans="1:47" ht="15" customHeight="1" x14ac:dyDescent="0.3">
      <c r="A511" s="7" t="str">
        <f t="shared" si="35"/>
        <v>102_2025</v>
      </c>
      <c r="B511" s="7">
        <v>510</v>
      </c>
      <c r="C511" s="7">
        <f>'Panel Data (Long Format)'!B511</f>
        <v>102</v>
      </c>
      <c r="D511" s="7" t="str">
        <f>'Panel Data (Long Format)'!C511</f>
        <v>PREMPAINTS</v>
      </c>
      <c r="E511" s="8" t="str">
        <f>'Panel Data (Long Format)'!D511</f>
        <v>Premier Paints Plc</v>
      </c>
      <c r="F511" s="7" t="str">
        <f>'Panel Data (Long Format)'!E511</f>
        <v>INDUSTRIAL GOODS</v>
      </c>
      <c r="G511" s="7">
        <f>'Panel Data (Long Format)'!F511</f>
        <v>2025</v>
      </c>
      <c r="H511" s="9">
        <v>0</v>
      </c>
      <c r="I511" s="9">
        <v>0</v>
      </c>
      <c r="J511" s="9">
        <v>0</v>
      </c>
      <c r="K511" s="9">
        <v>0</v>
      </c>
      <c r="L511" s="9">
        <v>0</v>
      </c>
      <c r="M511" s="9">
        <v>0</v>
      </c>
      <c r="N511" s="9">
        <v>0</v>
      </c>
      <c r="O511" s="9">
        <v>0</v>
      </c>
      <c r="P511" s="9">
        <v>0</v>
      </c>
      <c r="Q511" s="9">
        <v>0</v>
      </c>
      <c r="R511" s="9">
        <v>0</v>
      </c>
      <c r="S511" s="9">
        <v>0</v>
      </c>
      <c r="T511" s="9">
        <v>0</v>
      </c>
      <c r="U511" s="9">
        <v>0</v>
      </c>
      <c r="V511" s="9">
        <v>0</v>
      </c>
      <c r="W511" s="9">
        <v>0</v>
      </c>
      <c r="X511" s="9">
        <v>0</v>
      </c>
      <c r="Y511" s="9">
        <v>0</v>
      </c>
      <c r="Z511" s="9">
        <v>0</v>
      </c>
      <c r="AA511" s="9">
        <v>0</v>
      </c>
      <c r="AB511" s="10">
        <f t="shared" si="36"/>
        <v>0</v>
      </c>
      <c r="AC511" s="10">
        <f t="shared" si="37"/>
        <v>0</v>
      </c>
      <c r="AD511" s="9">
        <v>0</v>
      </c>
      <c r="AE511" s="9">
        <v>0</v>
      </c>
      <c r="AF511" s="9">
        <v>0</v>
      </c>
      <c r="AG511" s="9">
        <v>0</v>
      </c>
      <c r="AH511" s="9">
        <v>0</v>
      </c>
      <c r="AI511" s="9">
        <v>0</v>
      </c>
      <c r="AJ511" s="9">
        <v>0</v>
      </c>
      <c r="AK511" s="9">
        <v>0</v>
      </c>
      <c r="AL511" s="9">
        <v>0</v>
      </c>
      <c r="AM511" s="9">
        <v>0</v>
      </c>
      <c r="AN511" s="9">
        <v>0</v>
      </c>
      <c r="AO511" s="9">
        <v>0</v>
      </c>
      <c r="AP511" s="9">
        <v>0</v>
      </c>
      <c r="AQ511" s="9">
        <v>0</v>
      </c>
      <c r="AR511" s="9">
        <v>0</v>
      </c>
      <c r="AS511" s="10">
        <f t="shared" si="38"/>
        <v>0</v>
      </c>
      <c r="AT511" s="10">
        <f t="shared" si="39"/>
        <v>0</v>
      </c>
      <c r="AU511" s="5" t="s">
        <v>537</v>
      </c>
    </row>
    <row r="512" spans="1:47" ht="15" customHeight="1" x14ac:dyDescent="0.3">
      <c r="A512" s="7" t="str">
        <f t="shared" si="35"/>
        <v>103_2021</v>
      </c>
      <c r="B512" s="7">
        <v>511</v>
      </c>
      <c r="C512" s="7">
        <f>'Panel Data (Long Format)'!B512</f>
        <v>103</v>
      </c>
      <c r="D512" s="7" t="str">
        <f>'Panel Data (Long Format)'!C512</f>
        <v>PRESCO</v>
      </c>
      <c r="E512" s="8" t="str">
        <f>'Panel Data (Long Format)'!D512</f>
        <v>Presco Plc</v>
      </c>
      <c r="F512" s="7" t="str">
        <f>'Panel Data (Long Format)'!E512</f>
        <v>AGRICULTURE</v>
      </c>
      <c r="G512" s="7">
        <f>'Panel Data (Long Format)'!F512</f>
        <v>2021</v>
      </c>
      <c r="H512" s="9">
        <v>0</v>
      </c>
      <c r="I512" s="9">
        <v>0</v>
      </c>
      <c r="J512" s="9">
        <v>0</v>
      </c>
      <c r="K512" s="9">
        <v>0</v>
      </c>
      <c r="L512" s="9">
        <v>0</v>
      </c>
      <c r="M512" s="9">
        <v>0</v>
      </c>
      <c r="N512" s="9">
        <v>0</v>
      </c>
      <c r="O512" s="9">
        <v>0</v>
      </c>
      <c r="P512" s="9">
        <v>0</v>
      </c>
      <c r="Q512" s="9">
        <v>0</v>
      </c>
      <c r="R512" s="9">
        <v>0</v>
      </c>
      <c r="S512" s="9">
        <v>0</v>
      </c>
      <c r="T512" s="9">
        <v>0</v>
      </c>
      <c r="U512" s="9">
        <v>0</v>
      </c>
      <c r="V512" s="9">
        <v>0</v>
      </c>
      <c r="W512" s="9">
        <v>0</v>
      </c>
      <c r="X512" s="9">
        <v>0</v>
      </c>
      <c r="Y512" s="9">
        <v>0</v>
      </c>
      <c r="Z512" s="9">
        <v>0</v>
      </c>
      <c r="AA512" s="9">
        <v>0</v>
      </c>
      <c r="AB512" s="10">
        <f t="shared" si="36"/>
        <v>0</v>
      </c>
      <c r="AC512" s="10">
        <f t="shared" si="37"/>
        <v>0</v>
      </c>
      <c r="AD512" s="9">
        <v>0</v>
      </c>
      <c r="AE512" s="9">
        <v>0</v>
      </c>
      <c r="AF512" s="9">
        <v>0</v>
      </c>
      <c r="AG512" s="9">
        <v>0</v>
      </c>
      <c r="AH512" s="9">
        <v>0</v>
      </c>
      <c r="AI512" s="9">
        <v>0</v>
      </c>
      <c r="AJ512" s="9">
        <v>0</v>
      </c>
      <c r="AK512" s="9">
        <v>0</v>
      </c>
      <c r="AL512" s="9">
        <v>0</v>
      </c>
      <c r="AM512" s="9">
        <v>0</v>
      </c>
      <c r="AN512" s="9">
        <v>0</v>
      </c>
      <c r="AO512" s="9">
        <v>0</v>
      </c>
      <c r="AP512" s="9">
        <v>0</v>
      </c>
      <c r="AQ512" s="9">
        <v>0</v>
      </c>
      <c r="AR512" s="9">
        <v>0</v>
      </c>
      <c r="AS512" s="10">
        <f t="shared" si="38"/>
        <v>0</v>
      </c>
      <c r="AT512" s="10">
        <f t="shared" si="39"/>
        <v>0</v>
      </c>
      <c r="AU512" s="5" t="s">
        <v>538</v>
      </c>
    </row>
    <row r="513" spans="1:47" ht="15" customHeight="1" x14ac:dyDescent="0.3">
      <c r="A513" s="7" t="str">
        <f t="shared" si="35"/>
        <v>103_2022</v>
      </c>
      <c r="B513" s="7">
        <v>512</v>
      </c>
      <c r="C513" s="7">
        <f>'Panel Data (Long Format)'!B513</f>
        <v>103</v>
      </c>
      <c r="D513" s="7" t="str">
        <f>'Panel Data (Long Format)'!C513</f>
        <v>PRESCO</v>
      </c>
      <c r="E513" s="8" t="str">
        <f>'Panel Data (Long Format)'!D513</f>
        <v>Presco Plc</v>
      </c>
      <c r="F513" s="7" t="str">
        <f>'Panel Data (Long Format)'!E513</f>
        <v>AGRICULTURE</v>
      </c>
      <c r="G513" s="7">
        <f>'Panel Data (Long Format)'!F513</f>
        <v>2022</v>
      </c>
      <c r="H513" s="9">
        <v>0</v>
      </c>
      <c r="I513" s="9">
        <v>0</v>
      </c>
      <c r="J513" s="9">
        <v>0</v>
      </c>
      <c r="K513" s="9">
        <v>0</v>
      </c>
      <c r="L513" s="9">
        <v>0</v>
      </c>
      <c r="M513" s="9">
        <v>0</v>
      </c>
      <c r="N513" s="9">
        <v>0</v>
      </c>
      <c r="O513" s="9">
        <v>0</v>
      </c>
      <c r="P513" s="9">
        <v>0</v>
      </c>
      <c r="Q513" s="9">
        <v>0</v>
      </c>
      <c r="R513" s="9">
        <v>0</v>
      </c>
      <c r="S513" s="9">
        <v>0</v>
      </c>
      <c r="T513" s="9">
        <v>0</v>
      </c>
      <c r="U513" s="9">
        <v>0</v>
      </c>
      <c r="V513" s="9">
        <v>0</v>
      </c>
      <c r="W513" s="9">
        <v>0</v>
      </c>
      <c r="X513" s="9">
        <v>0</v>
      </c>
      <c r="Y513" s="9">
        <v>0</v>
      </c>
      <c r="Z513" s="9">
        <v>0</v>
      </c>
      <c r="AA513" s="9">
        <v>0</v>
      </c>
      <c r="AB513" s="10">
        <f t="shared" si="36"/>
        <v>0</v>
      </c>
      <c r="AC513" s="10">
        <f t="shared" si="37"/>
        <v>0</v>
      </c>
      <c r="AD513" s="9">
        <v>0</v>
      </c>
      <c r="AE513" s="9">
        <v>0</v>
      </c>
      <c r="AF513" s="9">
        <v>0</v>
      </c>
      <c r="AG513" s="9">
        <v>0</v>
      </c>
      <c r="AH513" s="9">
        <v>0</v>
      </c>
      <c r="AI513" s="9">
        <v>0</v>
      </c>
      <c r="AJ513" s="9">
        <v>0</v>
      </c>
      <c r="AK513" s="9">
        <v>0</v>
      </c>
      <c r="AL513" s="9">
        <v>0</v>
      </c>
      <c r="AM513" s="9">
        <v>0</v>
      </c>
      <c r="AN513" s="9">
        <v>0</v>
      </c>
      <c r="AO513" s="9">
        <v>0</v>
      </c>
      <c r="AP513" s="9">
        <v>0</v>
      </c>
      <c r="AQ513" s="9">
        <v>0</v>
      </c>
      <c r="AR513" s="9">
        <v>0</v>
      </c>
      <c r="AS513" s="10">
        <f t="shared" si="38"/>
        <v>0</v>
      </c>
      <c r="AT513" s="10">
        <f t="shared" si="39"/>
        <v>0</v>
      </c>
      <c r="AU513" s="5" t="s">
        <v>539</v>
      </c>
    </row>
    <row r="514" spans="1:47" ht="15" customHeight="1" x14ac:dyDescent="0.3">
      <c r="A514" s="7" t="str">
        <f t="shared" ref="A514:A577" si="40">C514&amp;"_"&amp;G514</f>
        <v>103_2023</v>
      </c>
      <c r="B514" s="7">
        <v>513</v>
      </c>
      <c r="C514" s="7">
        <f>'Panel Data (Long Format)'!B514</f>
        <v>103</v>
      </c>
      <c r="D514" s="7" t="str">
        <f>'Panel Data (Long Format)'!C514</f>
        <v>PRESCO</v>
      </c>
      <c r="E514" s="8" t="str">
        <f>'Panel Data (Long Format)'!D514</f>
        <v>Presco Plc</v>
      </c>
      <c r="F514" s="7" t="str">
        <f>'Panel Data (Long Format)'!E514</f>
        <v>AGRICULTURE</v>
      </c>
      <c r="G514" s="7">
        <f>'Panel Data (Long Format)'!F514</f>
        <v>2023</v>
      </c>
      <c r="H514" s="9">
        <v>0</v>
      </c>
      <c r="I514" s="9">
        <v>0</v>
      </c>
      <c r="J514" s="9">
        <v>0</v>
      </c>
      <c r="K514" s="9">
        <v>0</v>
      </c>
      <c r="L514" s="9">
        <v>0</v>
      </c>
      <c r="M514" s="9">
        <v>0</v>
      </c>
      <c r="N514" s="9">
        <v>0</v>
      </c>
      <c r="O514" s="9">
        <v>0</v>
      </c>
      <c r="P514" s="9">
        <v>0</v>
      </c>
      <c r="Q514" s="9">
        <v>0</v>
      </c>
      <c r="R514" s="9">
        <v>0</v>
      </c>
      <c r="S514" s="9">
        <v>0</v>
      </c>
      <c r="T514" s="9">
        <v>0</v>
      </c>
      <c r="U514" s="9">
        <v>0</v>
      </c>
      <c r="V514" s="9">
        <v>0</v>
      </c>
      <c r="W514" s="9">
        <v>1</v>
      </c>
      <c r="X514" s="9">
        <v>0</v>
      </c>
      <c r="Y514" s="9">
        <v>0</v>
      </c>
      <c r="Z514" s="9">
        <v>0</v>
      </c>
      <c r="AA514" s="9">
        <v>0</v>
      </c>
      <c r="AB514" s="10">
        <f t="shared" ref="AB514:AB577" si="41">IF(COUNTBLANK(H514:AA514)&gt;0,"",SUM(H514:AA514))</f>
        <v>1</v>
      </c>
      <c r="AC514" s="10">
        <f t="shared" ref="AC514:AC577" si="42">IF(AB514="","",AB514/20*100)</f>
        <v>5</v>
      </c>
      <c r="AD514" s="9">
        <v>0</v>
      </c>
      <c r="AE514" s="9">
        <v>0</v>
      </c>
      <c r="AF514" s="9">
        <v>0</v>
      </c>
      <c r="AG514" s="9">
        <v>0</v>
      </c>
      <c r="AH514" s="9">
        <v>0</v>
      </c>
      <c r="AI514" s="9">
        <v>0</v>
      </c>
      <c r="AJ514" s="9">
        <v>0</v>
      </c>
      <c r="AK514" s="9">
        <v>0</v>
      </c>
      <c r="AL514" s="9">
        <v>0</v>
      </c>
      <c r="AM514" s="9">
        <v>0</v>
      </c>
      <c r="AN514" s="9">
        <v>0</v>
      </c>
      <c r="AO514" s="9">
        <v>0</v>
      </c>
      <c r="AP514" s="9">
        <v>0</v>
      </c>
      <c r="AQ514" s="9">
        <v>0</v>
      </c>
      <c r="AR514" s="9">
        <v>0</v>
      </c>
      <c r="AS514" s="10">
        <f t="shared" ref="AS514:AS577" si="43">IF(COUNTBLANK(AD514:AR514)&gt;0,"",SUM(AD514:AR514))</f>
        <v>0</v>
      </c>
      <c r="AT514" s="10">
        <f t="shared" ref="AT514:AT577" si="44">IF(AS514="","",AS514/15*100)</f>
        <v>0</v>
      </c>
      <c r="AU514" s="5" t="s">
        <v>540</v>
      </c>
    </row>
    <row r="515" spans="1:47" ht="15" customHeight="1" x14ac:dyDescent="0.3">
      <c r="A515" s="7" t="str">
        <f t="shared" si="40"/>
        <v>103_2024</v>
      </c>
      <c r="B515" s="7">
        <v>514</v>
      </c>
      <c r="C515" s="7">
        <f>'Panel Data (Long Format)'!B515</f>
        <v>103</v>
      </c>
      <c r="D515" s="7" t="str">
        <f>'Panel Data (Long Format)'!C515</f>
        <v>PRESCO</v>
      </c>
      <c r="E515" s="8" t="str">
        <f>'Panel Data (Long Format)'!D515</f>
        <v>Presco Plc</v>
      </c>
      <c r="F515" s="7" t="str">
        <f>'Panel Data (Long Format)'!E515</f>
        <v>AGRICULTURE</v>
      </c>
      <c r="G515" s="7">
        <f>'Panel Data (Long Format)'!F515</f>
        <v>2024</v>
      </c>
      <c r="H515" s="9">
        <v>1</v>
      </c>
      <c r="I515" s="9">
        <v>0</v>
      </c>
      <c r="J515" s="9">
        <v>0</v>
      </c>
      <c r="K515" s="9">
        <v>0</v>
      </c>
      <c r="L515" s="9">
        <v>0</v>
      </c>
      <c r="M515" s="9">
        <v>0</v>
      </c>
      <c r="N515" s="9">
        <v>0</v>
      </c>
      <c r="O515" s="9">
        <v>0</v>
      </c>
      <c r="P515" s="9">
        <v>0</v>
      </c>
      <c r="Q515" s="9">
        <v>0</v>
      </c>
      <c r="R515" s="9">
        <v>0</v>
      </c>
      <c r="S515" s="9">
        <v>0</v>
      </c>
      <c r="T515" s="9">
        <v>0</v>
      </c>
      <c r="U515" s="9">
        <v>0</v>
      </c>
      <c r="V515" s="9">
        <v>0</v>
      </c>
      <c r="W515" s="9">
        <v>1</v>
      </c>
      <c r="X515" s="9">
        <v>0</v>
      </c>
      <c r="Y515" s="9">
        <v>0</v>
      </c>
      <c r="Z515" s="9">
        <v>0</v>
      </c>
      <c r="AA515" s="9">
        <v>0</v>
      </c>
      <c r="AB515" s="10">
        <f t="shared" si="41"/>
        <v>2</v>
      </c>
      <c r="AC515" s="10">
        <f t="shared" si="42"/>
        <v>10</v>
      </c>
      <c r="AD515" s="9">
        <v>0</v>
      </c>
      <c r="AE515" s="9">
        <v>0</v>
      </c>
      <c r="AF515" s="9">
        <v>0</v>
      </c>
      <c r="AG515" s="9">
        <v>0</v>
      </c>
      <c r="AH515" s="9">
        <v>0</v>
      </c>
      <c r="AI515" s="9">
        <v>0</v>
      </c>
      <c r="AJ515" s="9">
        <v>0</v>
      </c>
      <c r="AK515" s="9">
        <v>0</v>
      </c>
      <c r="AL515" s="9">
        <v>0</v>
      </c>
      <c r="AM515" s="9">
        <v>0</v>
      </c>
      <c r="AN515" s="9">
        <v>0</v>
      </c>
      <c r="AO515" s="9">
        <v>0</v>
      </c>
      <c r="AP515" s="9">
        <v>0</v>
      </c>
      <c r="AQ515" s="9">
        <v>0</v>
      </c>
      <c r="AR515" s="9">
        <v>0</v>
      </c>
      <c r="AS515" s="10">
        <f t="shared" si="43"/>
        <v>0</v>
      </c>
      <c r="AT515" s="10">
        <f t="shared" si="44"/>
        <v>0</v>
      </c>
      <c r="AU515" s="5" t="s">
        <v>541</v>
      </c>
    </row>
    <row r="516" spans="1:47" ht="15" customHeight="1" x14ac:dyDescent="0.3">
      <c r="A516" s="7" t="str">
        <f t="shared" si="40"/>
        <v>103_2025</v>
      </c>
      <c r="B516" s="7">
        <v>515</v>
      </c>
      <c r="C516" s="7">
        <f>'Panel Data (Long Format)'!B516</f>
        <v>103</v>
      </c>
      <c r="D516" s="7" t="str">
        <f>'Panel Data (Long Format)'!C516</f>
        <v>PRESCO</v>
      </c>
      <c r="E516" s="8" t="str">
        <f>'Panel Data (Long Format)'!D516</f>
        <v>Presco Plc</v>
      </c>
      <c r="F516" s="7" t="str">
        <f>'Panel Data (Long Format)'!E516</f>
        <v>AGRICULTURE</v>
      </c>
      <c r="G516" s="7">
        <f>'Panel Data (Long Format)'!F516</f>
        <v>2025</v>
      </c>
      <c r="H516" s="9">
        <v>1</v>
      </c>
      <c r="I516" s="9">
        <v>0</v>
      </c>
      <c r="J516" s="9">
        <v>0</v>
      </c>
      <c r="K516" s="9">
        <v>0</v>
      </c>
      <c r="L516" s="9">
        <v>0</v>
      </c>
      <c r="M516" s="9">
        <v>0</v>
      </c>
      <c r="N516" s="9">
        <v>0</v>
      </c>
      <c r="O516" s="9">
        <v>0</v>
      </c>
      <c r="P516" s="9">
        <v>0</v>
      </c>
      <c r="Q516" s="9">
        <v>0</v>
      </c>
      <c r="R516" s="9">
        <v>0</v>
      </c>
      <c r="S516" s="9">
        <v>0</v>
      </c>
      <c r="T516" s="9">
        <v>0</v>
      </c>
      <c r="U516" s="9">
        <v>0</v>
      </c>
      <c r="V516" s="9">
        <v>0</v>
      </c>
      <c r="W516" s="9">
        <v>1</v>
      </c>
      <c r="X516" s="9">
        <v>0</v>
      </c>
      <c r="Y516" s="9">
        <v>0</v>
      </c>
      <c r="Z516" s="9">
        <v>0</v>
      </c>
      <c r="AA516" s="9">
        <v>0</v>
      </c>
      <c r="AB516" s="10">
        <f t="shared" si="41"/>
        <v>2</v>
      </c>
      <c r="AC516" s="10">
        <f t="shared" si="42"/>
        <v>10</v>
      </c>
      <c r="AD516" s="9">
        <v>0</v>
      </c>
      <c r="AE516" s="9">
        <v>0</v>
      </c>
      <c r="AF516" s="9">
        <v>0</v>
      </c>
      <c r="AG516" s="9">
        <v>0</v>
      </c>
      <c r="AH516" s="9">
        <v>0</v>
      </c>
      <c r="AI516" s="9">
        <v>0</v>
      </c>
      <c r="AJ516" s="9">
        <v>0</v>
      </c>
      <c r="AK516" s="9">
        <v>0</v>
      </c>
      <c r="AL516" s="9">
        <v>0</v>
      </c>
      <c r="AM516" s="9">
        <v>0</v>
      </c>
      <c r="AN516" s="9">
        <v>0</v>
      </c>
      <c r="AO516" s="9">
        <v>0</v>
      </c>
      <c r="AP516" s="9">
        <v>0</v>
      </c>
      <c r="AQ516" s="9">
        <v>0</v>
      </c>
      <c r="AR516" s="9">
        <v>0</v>
      </c>
      <c r="AS516" s="10">
        <f t="shared" si="43"/>
        <v>0</v>
      </c>
      <c r="AT516" s="10">
        <f t="shared" si="44"/>
        <v>0</v>
      </c>
      <c r="AU516" s="5" t="s">
        <v>542</v>
      </c>
    </row>
    <row r="517" spans="1:47" ht="15" customHeight="1" x14ac:dyDescent="0.3">
      <c r="A517" s="7" t="str">
        <f t="shared" si="40"/>
        <v>104_2021</v>
      </c>
      <c r="B517" s="7">
        <v>516</v>
      </c>
      <c r="C517" s="7">
        <f>'Panel Data (Long Format)'!B517</f>
        <v>104</v>
      </c>
      <c r="D517" s="7" t="str">
        <f>'Panel Data (Long Format)'!C517</f>
        <v>PRESTIGE</v>
      </c>
      <c r="E517" s="8" t="str">
        <f>'Panel Data (Long Format)'!D517</f>
        <v>Prestige Assurance Plc</v>
      </c>
      <c r="F517" s="7" t="str">
        <f>'Panel Data (Long Format)'!E517</f>
        <v>FINANCIAL SERVICES</v>
      </c>
      <c r="G517" s="7">
        <f>'Panel Data (Long Format)'!F517</f>
        <v>2021</v>
      </c>
      <c r="H517" s="9">
        <v>0</v>
      </c>
      <c r="I517" s="9">
        <v>0</v>
      </c>
      <c r="J517" s="9">
        <v>0</v>
      </c>
      <c r="K517" s="9">
        <v>0</v>
      </c>
      <c r="L517" s="9">
        <v>0</v>
      </c>
      <c r="M517" s="9">
        <v>0</v>
      </c>
      <c r="N517" s="9">
        <v>0</v>
      </c>
      <c r="O517" s="9">
        <v>0</v>
      </c>
      <c r="P517" s="9">
        <v>0</v>
      </c>
      <c r="Q517" s="9">
        <v>0</v>
      </c>
      <c r="R517" s="9">
        <v>0</v>
      </c>
      <c r="S517" s="9">
        <v>0</v>
      </c>
      <c r="T517" s="9">
        <v>0</v>
      </c>
      <c r="U517" s="9">
        <v>0</v>
      </c>
      <c r="V517" s="9">
        <v>0</v>
      </c>
      <c r="W517" s="9">
        <v>0</v>
      </c>
      <c r="X517" s="9">
        <v>0</v>
      </c>
      <c r="Y517" s="9">
        <v>0</v>
      </c>
      <c r="Z517" s="9">
        <v>0</v>
      </c>
      <c r="AA517" s="9">
        <v>0</v>
      </c>
      <c r="AB517" s="10">
        <f t="shared" si="41"/>
        <v>0</v>
      </c>
      <c r="AC517" s="10">
        <f t="shared" si="42"/>
        <v>0</v>
      </c>
      <c r="AD517" s="9">
        <v>0</v>
      </c>
      <c r="AE517" s="9">
        <v>0</v>
      </c>
      <c r="AF517" s="9">
        <v>0</v>
      </c>
      <c r="AG517" s="9">
        <v>0</v>
      </c>
      <c r="AH517" s="9">
        <v>0</v>
      </c>
      <c r="AI517" s="9">
        <v>0</v>
      </c>
      <c r="AJ517" s="9">
        <v>0</v>
      </c>
      <c r="AK517" s="9">
        <v>0</v>
      </c>
      <c r="AL517" s="9">
        <v>0</v>
      </c>
      <c r="AM517" s="9">
        <v>0</v>
      </c>
      <c r="AN517" s="9">
        <v>0</v>
      </c>
      <c r="AO517" s="9">
        <v>0</v>
      </c>
      <c r="AP517" s="9">
        <v>0</v>
      </c>
      <c r="AQ517" s="9">
        <v>0</v>
      </c>
      <c r="AR517" s="9">
        <v>0</v>
      </c>
      <c r="AS517" s="10">
        <f t="shared" si="43"/>
        <v>0</v>
      </c>
      <c r="AT517" s="10">
        <f t="shared" si="44"/>
        <v>0</v>
      </c>
      <c r="AU517" s="5" t="s">
        <v>543</v>
      </c>
    </row>
    <row r="518" spans="1:47" ht="15" customHeight="1" x14ac:dyDescent="0.3">
      <c r="A518" s="7" t="str">
        <f t="shared" si="40"/>
        <v>104_2022</v>
      </c>
      <c r="B518" s="7">
        <v>517</v>
      </c>
      <c r="C518" s="7">
        <f>'Panel Data (Long Format)'!B518</f>
        <v>104</v>
      </c>
      <c r="D518" s="7" t="str">
        <f>'Panel Data (Long Format)'!C518</f>
        <v>PRESTIGE</v>
      </c>
      <c r="E518" s="8" t="str">
        <f>'Panel Data (Long Format)'!D518</f>
        <v>Prestige Assurance Plc</v>
      </c>
      <c r="F518" s="7" t="str">
        <f>'Panel Data (Long Format)'!E518</f>
        <v>FINANCIAL SERVICES</v>
      </c>
      <c r="G518" s="7">
        <f>'Panel Data (Long Format)'!F518</f>
        <v>2022</v>
      </c>
      <c r="H518" s="9">
        <v>0</v>
      </c>
      <c r="I518" s="9">
        <v>0</v>
      </c>
      <c r="J518" s="9">
        <v>0</v>
      </c>
      <c r="K518" s="9">
        <v>0</v>
      </c>
      <c r="L518" s="9">
        <v>0</v>
      </c>
      <c r="M518" s="9">
        <v>0</v>
      </c>
      <c r="N518" s="9">
        <v>0</v>
      </c>
      <c r="O518" s="9">
        <v>0</v>
      </c>
      <c r="P518" s="9">
        <v>0</v>
      </c>
      <c r="Q518" s="9">
        <v>0</v>
      </c>
      <c r="R518" s="9">
        <v>0</v>
      </c>
      <c r="S518" s="9">
        <v>0</v>
      </c>
      <c r="T518" s="9">
        <v>0</v>
      </c>
      <c r="U518" s="9">
        <v>0</v>
      </c>
      <c r="V518" s="9">
        <v>0</v>
      </c>
      <c r="W518" s="9">
        <v>0</v>
      </c>
      <c r="X518" s="9">
        <v>0</v>
      </c>
      <c r="Y518" s="9">
        <v>0</v>
      </c>
      <c r="Z518" s="9">
        <v>0</v>
      </c>
      <c r="AA518" s="9">
        <v>0</v>
      </c>
      <c r="AB518" s="10">
        <f t="shared" si="41"/>
        <v>0</v>
      </c>
      <c r="AC518" s="10">
        <f t="shared" si="42"/>
        <v>0</v>
      </c>
      <c r="AD518" s="9">
        <v>0</v>
      </c>
      <c r="AE518" s="9">
        <v>0</v>
      </c>
      <c r="AF518" s="9">
        <v>0</v>
      </c>
      <c r="AG518" s="9">
        <v>0</v>
      </c>
      <c r="AH518" s="9">
        <v>0</v>
      </c>
      <c r="AI518" s="9">
        <v>0</v>
      </c>
      <c r="AJ518" s="9">
        <v>0</v>
      </c>
      <c r="AK518" s="9">
        <v>0</v>
      </c>
      <c r="AL518" s="9">
        <v>0</v>
      </c>
      <c r="AM518" s="9">
        <v>0</v>
      </c>
      <c r="AN518" s="9">
        <v>0</v>
      </c>
      <c r="AO518" s="9">
        <v>0</v>
      </c>
      <c r="AP518" s="9">
        <v>0</v>
      </c>
      <c r="AQ518" s="9">
        <v>0</v>
      </c>
      <c r="AR518" s="9">
        <v>0</v>
      </c>
      <c r="AS518" s="10">
        <f t="shared" si="43"/>
        <v>0</v>
      </c>
      <c r="AT518" s="10">
        <f t="shared" si="44"/>
        <v>0</v>
      </c>
      <c r="AU518" s="5" t="s">
        <v>543</v>
      </c>
    </row>
    <row r="519" spans="1:47" ht="15" customHeight="1" x14ac:dyDescent="0.3">
      <c r="A519" s="7" t="str">
        <f t="shared" si="40"/>
        <v>104_2023</v>
      </c>
      <c r="B519" s="7">
        <v>518</v>
      </c>
      <c r="C519" s="7">
        <f>'Panel Data (Long Format)'!B519</f>
        <v>104</v>
      </c>
      <c r="D519" s="7" t="str">
        <f>'Panel Data (Long Format)'!C519</f>
        <v>PRESTIGE</v>
      </c>
      <c r="E519" s="8" t="str">
        <f>'Panel Data (Long Format)'!D519</f>
        <v>Prestige Assurance Plc</v>
      </c>
      <c r="F519" s="7" t="str">
        <f>'Panel Data (Long Format)'!E519</f>
        <v>FINANCIAL SERVICES</v>
      </c>
      <c r="G519" s="7">
        <f>'Panel Data (Long Format)'!F519</f>
        <v>2023</v>
      </c>
      <c r="H519" s="9">
        <v>0</v>
      </c>
      <c r="I519" s="9">
        <v>0</v>
      </c>
      <c r="J519" s="9">
        <v>0</v>
      </c>
      <c r="K519" s="9">
        <v>0</v>
      </c>
      <c r="L519" s="9">
        <v>0</v>
      </c>
      <c r="M519" s="9">
        <v>0</v>
      </c>
      <c r="N519" s="9">
        <v>0</v>
      </c>
      <c r="O519" s="9">
        <v>0</v>
      </c>
      <c r="P519" s="9">
        <v>0</v>
      </c>
      <c r="Q519" s="9">
        <v>0</v>
      </c>
      <c r="R519" s="9">
        <v>0</v>
      </c>
      <c r="S519" s="9">
        <v>0</v>
      </c>
      <c r="T519" s="9">
        <v>0</v>
      </c>
      <c r="U519" s="9">
        <v>0</v>
      </c>
      <c r="V519" s="9">
        <v>0</v>
      </c>
      <c r="W519" s="9">
        <v>0</v>
      </c>
      <c r="X519" s="9">
        <v>0</v>
      </c>
      <c r="Y519" s="9">
        <v>0</v>
      </c>
      <c r="Z519" s="9">
        <v>0</v>
      </c>
      <c r="AA519" s="9">
        <v>0</v>
      </c>
      <c r="AB519" s="10">
        <f t="shared" si="41"/>
        <v>0</v>
      </c>
      <c r="AC519" s="10">
        <f t="shared" si="42"/>
        <v>0</v>
      </c>
      <c r="AD519" s="9">
        <v>0</v>
      </c>
      <c r="AE519" s="9">
        <v>0</v>
      </c>
      <c r="AF519" s="9">
        <v>0</v>
      </c>
      <c r="AG519" s="9">
        <v>0</v>
      </c>
      <c r="AH519" s="9">
        <v>0</v>
      </c>
      <c r="AI519" s="9">
        <v>0</v>
      </c>
      <c r="AJ519" s="9">
        <v>0</v>
      </c>
      <c r="AK519" s="9">
        <v>0</v>
      </c>
      <c r="AL519" s="9">
        <v>0</v>
      </c>
      <c r="AM519" s="9">
        <v>0</v>
      </c>
      <c r="AN519" s="9">
        <v>0</v>
      </c>
      <c r="AO519" s="9">
        <v>0</v>
      </c>
      <c r="AP519" s="9">
        <v>0</v>
      </c>
      <c r="AQ519" s="9">
        <v>0</v>
      </c>
      <c r="AR519" s="9">
        <v>0</v>
      </c>
      <c r="AS519" s="10">
        <f t="shared" si="43"/>
        <v>0</v>
      </c>
      <c r="AT519" s="10">
        <f t="shared" si="44"/>
        <v>0</v>
      </c>
      <c r="AU519" s="5" t="s">
        <v>543</v>
      </c>
    </row>
    <row r="520" spans="1:47" ht="15" customHeight="1" x14ac:dyDescent="0.3">
      <c r="A520" s="7" t="str">
        <f t="shared" si="40"/>
        <v>104_2024</v>
      </c>
      <c r="B520" s="7">
        <v>519</v>
      </c>
      <c r="C520" s="7">
        <f>'Panel Data (Long Format)'!B520</f>
        <v>104</v>
      </c>
      <c r="D520" s="7" t="str">
        <f>'Panel Data (Long Format)'!C520</f>
        <v>PRESTIGE</v>
      </c>
      <c r="E520" s="8" t="str">
        <f>'Panel Data (Long Format)'!D520</f>
        <v>Prestige Assurance Plc</v>
      </c>
      <c r="F520" s="7" t="str">
        <f>'Panel Data (Long Format)'!E520</f>
        <v>FINANCIAL SERVICES</v>
      </c>
      <c r="G520" s="7">
        <f>'Panel Data (Long Format)'!F520</f>
        <v>2024</v>
      </c>
      <c r="H520" s="9">
        <v>0</v>
      </c>
      <c r="I520" s="9">
        <v>0</v>
      </c>
      <c r="J520" s="9">
        <v>0</v>
      </c>
      <c r="K520" s="9">
        <v>0</v>
      </c>
      <c r="L520" s="9">
        <v>0</v>
      </c>
      <c r="M520" s="9">
        <v>0</v>
      </c>
      <c r="N520" s="9">
        <v>0</v>
      </c>
      <c r="O520" s="9">
        <v>0</v>
      </c>
      <c r="P520" s="9">
        <v>0</v>
      </c>
      <c r="Q520" s="9">
        <v>0</v>
      </c>
      <c r="R520" s="9">
        <v>0</v>
      </c>
      <c r="S520" s="9">
        <v>0</v>
      </c>
      <c r="T520" s="9">
        <v>0</v>
      </c>
      <c r="U520" s="9">
        <v>0</v>
      </c>
      <c r="V520" s="9">
        <v>0</v>
      </c>
      <c r="W520" s="9">
        <v>0</v>
      </c>
      <c r="X520" s="9">
        <v>0</v>
      </c>
      <c r="Y520" s="9">
        <v>0</v>
      </c>
      <c r="Z520" s="9">
        <v>0</v>
      </c>
      <c r="AA520" s="9">
        <v>0</v>
      </c>
      <c r="AB520" s="10">
        <f t="shared" si="41"/>
        <v>0</v>
      </c>
      <c r="AC520" s="10">
        <f t="shared" si="42"/>
        <v>0</v>
      </c>
      <c r="AD520" s="9">
        <v>0</v>
      </c>
      <c r="AE520" s="9">
        <v>0</v>
      </c>
      <c r="AF520" s="9">
        <v>0</v>
      </c>
      <c r="AG520" s="9">
        <v>0</v>
      </c>
      <c r="AH520" s="9">
        <v>0</v>
      </c>
      <c r="AI520" s="9">
        <v>0</v>
      </c>
      <c r="AJ520" s="9">
        <v>0</v>
      </c>
      <c r="AK520" s="9">
        <v>0</v>
      </c>
      <c r="AL520" s="9">
        <v>0</v>
      </c>
      <c r="AM520" s="9">
        <v>0</v>
      </c>
      <c r="AN520" s="9">
        <v>0</v>
      </c>
      <c r="AO520" s="9">
        <v>0</v>
      </c>
      <c r="AP520" s="9">
        <v>0</v>
      </c>
      <c r="AQ520" s="9">
        <v>0</v>
      </c>
      <c r="AR520" s="9">
        <v>0</v>
      </c>
      <c r="AS520" s="10">
        <f t="shared" si="43"/>
        <v>0</v>
      </c>
      <c r="AT520" s="10">
        <f t="shared" si="44"/>
        <v>0</v>
      </c>
      <c r="AU520" s="5" t="s">
        <v>543</v>
      </c>
    </row>
    <row r="521" spans="1:47" ht="15" customHeight="1" x14ac:dyDescent="0.3">
      <c r="A521" s="7" t="str">
        <f t="shared" si="40"/>
        <v>104_2025</v>
      </c>
      <c r="B521" s="7">
        <v>520</v>
      </c>
      <c r="C521" s="7">
        <f>'Panel Data (Long Format)'!B521</f>
        <v>104</v>
      </c>
      <c r="D521" s="7" t="str">
        <f>'Panel Data (Long Format)'!C521</f>
        <v>PRESTIGE</v>
      </c>
      <c r="E521" s="8" t="str">
        <f>'Panel Data (Long Format)'!D521</f>
        <v>Prestige Assurance Plc</v>
      </c>
      <c r="F521" s="7" t="str">
        <f>'Panel Data (Long Format)'!E521</f>
        <v>FINANCIAL SERVICES</v>
      </c>
      <c r="G521" s="7">
        <f>'Panel Data (Long Format)'!F521</f>
        <v>2025</v>
      </c>
      <c r="H521" s="9">
        <v>0</v>
      </c>
      <c r="I521" s="9">
        <v>0</v>
      </c>
      <c r="J521" s="9">
        <v>0</v>
      </c>
      <c r="K521" s="9">
        <v>0</v>
      </c>
      <c r="L521" s="9">
        <v>0</v>
      </c>
      <c r="M521" s="9">
        <v>0</v>
      </c>
      <c r="N521" s="9">
        <v>0</v>
      </c>
      <c r="O521" s="9">
        <v>0</v>
      </c>
      <c r="P521" s="9">
        <v>0</v>
      </c>
      <c r="Q521" s="9">
        <v>0</v>
      </c>
      <c r="R521" s="9">
        <v>0</v>
      </c>
      <c r="S521" s="9">
        <v>0</v>
      </c>
      <c r="T521" s="9">
        <v>0</v>
      </c>
      <c r="U521" s="9">
        <v>0</v>
      </c>
      <c r="V521" s="9">
        <v>0</v>
      </c>
      <c r="W521" s="9">
        <v>0</v>
      </c>
      <c r="X521" s="9">
        <v>0</v>
      </c>
      <c r="Y521" s="9">
        <v>0</v>
      </c>
      <c r="Z521" s="9">
        <v>0</v>
      </c>
      <c r="AA521" s="9">
        <v>0</v>
      </c>
      <c r="AB521" s="10">
        <f t="shared" si="41"/>
        <v>0</v>
      </c>
      <c r="AC521" s="10">
        <f t="shared" si="42"/>
        <v>0</v>
      </c>
      <c r="AD521" s="9">
        <v>0</v>
      </c>
      <c r="AE521" s="9">
        <v>0</v>
      </c>
      <c r="AF521" s="9">
        <v>0</v>
      </c>
      <c r="AG521" s="9">
        <v>0</v>
      </c>
      <c r="AH521" s="9">
        <v>0</v>
      </c>
      <c r="AI521" s="9">
        <v>0</v>
      </c>
      <c r="AJ521" s="9">
        <v>0</v>
      </c>
      <c r="AK521" s="9">
        <v>0</v>
      </c>
      <c r="AL521" s="9">
        <v>0</v>
      </c>
      <c r="AM521" s="9">
        <v>0</v>
      </c>
      <c r="AN521" s="9">
        <v>0</v>
      </c>
      <c r="AO521" s="9">
        <v>0</v>
      </c>
      <c r="AP521" s="9">
        <v>0</v>
      </c>
      <c r="AQ521" s="9">
        <v>0</v>
      </c>
      <c r="AR521" s="9">
        <v>0</v>
      </c>
      <c r="AS521" s="10">
        <f t="shared" si="43"/>
        <v>0</v>
      </c>
      <c r="AT521" s="10">
        <f t="shared" si="44"/>
        <v>0</v>
      </c>
      <c r="AU521" s="5" t="s">
        <v>543</v>
      </c>
    </row>
    <row r="522" spans="1:47" ht="15" customHeight="1" x14ac:dyDescent="0.3">
      <c r="A522" s="7" t="str">
        <f t="shared" si="40"/>
        <v>105_2021</v>
      </c>
      <c r="B522" s="7">
        <v>521</v>
      </c>
      <c r="C522" s="7">
        <f>'Panel Data (Long Format)'!B522</f>
        <v>105</v>
      </c>
      <c r="D522" s="7" t="str">
        <f>'Panel Data (Long Format)'!C522</f>
        <v>PZ</v>
      </c>
      <c r="E522" s="8" t="str">
        <f>'Panel Data (Long Format)'!D522</f>
        <v>PZ Cussons Nigeria Plc</v>
      </c>
      <c r="F522" s="7" t="str">
        <f>'Panel Data (Long Format)'!E522</f>
        <v>CONSUMER GOODS</v>
      </c>
      <c r="G522" s="7">
        <f>'Panel Data (Long Format)'!F522</f>
        <v>2021</v>
      </c>
      <c r="H522" s="9">
        <v>0</v>
      </c>
      <c r="I522" s="9">
        <v>0</v>
      </c>
      <c r="J522" s="9">
        <v>0</v>
      </c>
      <c r="K522" s="9">
        <v>0</v>
      </c>
      <c r="L522" s="9">
        <v>0</v>
      </c>
      <c r="M522" s="9">
        <v>0</v>
      </c>
      <c r="N522" s="9">
        <v>0</v>
      </c>
      <c r="O522" s="9">
        <v>0</v>
      </c>
      <c r="P522" s="9">
        <v>0</v>
      </c>
      <c r="Q522" s="9">
        <v>0</v>
      </c>
      <c r="R522" s="9">
        <v>0</v>
      </c>
      <c r="S522" s="9">
        <v>0</v>
      </c>
      <c r="T522" s="9">
        <v>0</v>
      </c>
      <c r="U522" s="9">
        <v>0</v>
      </c>
      <c r="V522" s="9">
        <v>0</v>
      </c>
      <c r="W522" s="9">
        <v>0</v>
      </c>
      <c r="X522" s="9">
        <v>0</v>
      </c>
      <c r="Y522" s="9">
        <v>0</v>
      </c>
      <c r="Z522" s="9">
        <v>0</v>
      </c>
      <c r="AA522" s="9">
        <v>0</v>
      </c>
      <c r="AB522" s="10">
        <f t="shared" si="41"/>
        <v>0</v>
      </c>
      <c r="AC522" s="10">
        <f t="shared" si="42"/>
        <v>0</v>
      </c>
      <c r="AD522" s="9">
        <v>0</v>
      </c>
      <c r="AE522" s="9">
        <v>0</v>
      </c>
      <c r="AF522" s="9">
        <v>0</v>
      </c>
      <c r="AG522" s="9">
        <v>0</v>
      </c>
      <c r="AH522" s="9">
        <v>0</v>
      </c>
      <c r="AI522" s="9">
        <v>0</v>
      </c>
      <c r="AJ522" s="9">
        <v>0</v>
      </c>
      <c r="AK522" s="9">
        <v>0</v>
      </c>
      <c r="AL522" s="9">
        <v>0</v>
      </c>
      <c r="AM522" s="9">
        <v>0</v>
      </c>
      <c r="AN522" s="9">
        <v>0</v>
      </c>
      <c r="AO522" s="9">
        <v>0</v>
      </c>
      <c r="AP522" s="9">
        <v>0</v>
      </c>
      <c r="AQ522" s="9">
        <v>0</v>
      </c>
      <c r="AR522" s="9">
        <v>0</v>
      </c>
      <c r="AS522" s="10">
        <f t="shared" si="43"/>
        <v>0</v>
      </c>
      <c r="AT522" s="10">
        <f t="shared" si="44"/>
        <v>0</v>
      </c>
      <c r="AU522" s="5" t="s">
        <v>544</v>
      </c>
    </row>
    <row r="523" spans="1:47" ht="15" customHeight="1" x14ac:dyDescent="0.3">
      <c r="A523" s="7" t="str">
        <f t="shared" si="40"/>
        <v>105_2022</v>
      </c>
      <c r="B523" s="7">
        <v>522</v>
      </c>
      <c r="C523" s="7">
        <f>'Panel Data (Long Format)'!B523</f>
        <v>105</v>
      </c>
      <c r="D523" s="7" t="str">
        <f>'Panel Data (Long Format)'!C523</f>
        <v>PZ</v>
      </c>
      <c r="E523" s="8" t="str">
        <f>'Panel Data (Long Format)'!D523</f>
        <v>PZ Cussons Nigeria Plc</v>
      </c>
      <c r="F523" s="7" t="str">
        <f>'Panel Data (Long Format)'!E523</f>
        <v>CONSUMER GOODS</v>
      </c>
      <c r="G523" s="7">
        <f>'Panel Data (Long Format)'!F523</f>
        <v>2022</v>
      </c>
      <c r="H523" s="9">
        <v>0</v>
      </c>
      <c r="I523" s="9">
        <v>0</v>
      </c>
      <c r="J523" s="9">
        <v>0</v>
      </c>
      <c r="K523" s="9">
        <v>0</v>
      </c>
      <c r="L523" s="9">
        <v>0</v>
      </c>
      <c r="M523" s="9">
        <v>0</v>
      </c>
      <c r="N523" s="9">
        <v>0</v>
      </c>
      <c r="O523" s="9">
        <v>0</v>
      </c>
      <c r="P523" s="9">
        <v>0</v>
      </c>
      <c r="Q523" s="9">
        <v>0</v>
      </c>
      <c r="R523" s="9">
        <v>0</v>
      </c>
      <c r="S523" s="9">
        <v>0</v>
      </c>
      <c r="T523" s="9">
        <v>0</v>
      </c>
      <c r="U523" s="9">
        <v>0</v>
      </c>
      <c r="V523" s="9">
        <v>0</v>
      </c>
      <c r="W523" s="9">
        <v>0</v>
      </c>
      <c r="X523" s="9">
        <v>0</v>
      </c>
      <c r="Y523" s="9">
        <v>0</v>
      </c>
      <c r="Z523" s="9">
        <v>0</v>
      </c>
      <c r="AA523" s="9">
        <v>0</v>
      </c>
      <c r="AB523" s="10">
        <f t="shared" si="41"/>
        <v>0</v>
      </c>
      <c r="AC523" s="10">
        <f t="shared" si="42"/>
        <v>0</v>
      </c>
      <c r="AD523" s="9">
        <v>0</v>
      </c>
      <c r="AE523" s="9">
        <v>0</v>
      </c>
      <c r="AF523" s="9">
        <v>0</v>
      </c>
      <c r="AG523" s="9">
        <v>0</v>
      </c>
      <c r="AH523" s="9">
        <v>0</v>
      </c>
      <c r="AI523" s="9">
        <v>0</v>
      </c>
      <c r="AJ523" s="9">
        <v>0</v>
      </c>
      <c r="AK523" s="9">
        <v>0</v>
      </c>
      <c r="AL523" s="9">
        <v>0</v>
      </c>
      <c r="AM523" s="9">
        <v>0</v>
      </c>
      <c r="AN523" s="9">
        <v>0</v>
      </c>
      <c r="AO523" s="9">
        <v>0</v>
      </c>
      <c r="AP523" s="9">
        <v>0</v>
      </c>
      <c r="AQ523" s="9">
        <v>0</v>
      </c>
      <c r="AR523" s="9">
        <v>0</v>
      </c>
      <c r="AS523" s="10">
        <f t="shared" si="43"/>
        <v>0</v>
      </c>
      <c r="AT523" s="10">
        <f t="shared" si="44"/>
        <v>0</v>
      </c>
      <c r="AU523" s="5" t="s">
        <v>545</v>
      </c>
    </row>
    <row r="524" spans="1:47" ht="15" customHeight="1" x14ac:dyDescent="0.3">
      <c r="A524" s="7" t="str">
        <f t="shared" si="40"/>
        <v>105_2023</v>
      </c>
      <c r="B524" s="7">
        <v>523</v>
      </c>
      <c r="C524" s="7">
        <f>'Panel Data (Long Format)'!B524</f>
        <v>105</v>
      </c>
      <c r="D524" s="7" t="str">
        <f>'Panel Data (Long Format)'!C524</f>
        <v>PZ</v>
      </c>
      <c r="E524" s="8" t="str">
        <f>'Panel Data (Long Format)'!D524</f>
        <v>PZ Cussons Nigeria Plc</v>
      </c>
      <c r="F524" s="7" t="str">
        <f>'Panel Data (Long Format)'!E524</f>
        <v>CONSUMER GOODS</v>
      </c>
      <c r="G524" s="7">
        <f>'Panel Data (Long Format)'!F524</f>
        <v>2023</v>
      </c>
      <c r="H524" s="9">
        <v>0</v>
      </c>
      <c r="I524" s="9">
        <v>0</v>
      </c>
      <c r="J524" s="9">
        <v>0</v>
      </c>
      <c r="K524" s="9">
        <v>0</v>
      </c>
      <c r="L524" s="9">
        <v>0</v>
      </c>
      <c r="M524" s="9">
        <v>0</v>
      </c>
      <c r="N524" s="9">
        <v>0</v>
      </c>
      <c r="O524" s="9">
        <v>0</v>
      </c>
      <c r="P524" s="9">
        <v>0</v>
      </c>
      <c r="Q524" s="9">
        <v>0</v>
      </c>
      <c r="R524" s="9">
        <v>0</v>
      </c>
      <c r="S524" s="9">
        <v>0</v>
      </c>
      <c r="T524" s="9">
        <v>0</v>
      </c>
      <c r="U524" s="9">
        <v>0</v>
      </c>
      <c r="V524" s="9">
        <v>0</v>
      </c>
      <c r="W524" s="9">
        <v>0</v>
      </c>
      <c r="X524" s="9">
        <v>0</v>
      </c>
      <c r="Y524" s="9">
        <v>0</v>
      </c>
      <c r="Z524" s="9">
        <v>0</v>
      </c>
      <c r="AA524" s="9">
        <v>0</v>
      </c>
      <c r="AB524" s="10">
        <f t="shared" si="41"/>
        <v>0</v>
      </c>
      <c r="AC524" s="10">
        <f t="shared" si="42"/>
        <v>0</v>
      </c>
      <c r="AD524" s="9">
        <v>0</v>
      </c>
      <c r="AE524" s="9">
        <v>0</v>
      </c>
      <c r="AF524" s="9">
        <v>0</v>
      </c>
      <c r="AG524" s="9">
        <v>0</v>
      </c>
      <c r="AH524" s="9">
        <v>0</v>
      </c>
      <c r="AI524" s="9">
        <v>0</v>
      </c>
      <c r="AJ524" s="9">
        <v>0</v>
      </c>
      <c r="AK524" s="9">
        <v>0</v>
      </c>
      <c r="AL524" s="9">
        <v>0</v>
      </c>
      <c r="AM524" s="9">
        <v>0</v>
      </c>
      <c r="AN524" s="9">
        <v>0</v>
      </c>
      <c r="AO524" s="9">
        <v>0</v>
      </c>
      <c r="AP524" s="9">
        <v>0</v>
      </c>
      <c r="AQ524" s="9">
        <v>0</v>
      </c>
      <c r="AR524" s="9">
        <v>0</v>
      </c>
      <c r="AS524" s="10">
        <f t="shared" si="43"/>
        <v>0</v>
      </c>
      <c r="AT524" s="10">
        <f t="shared" si="44"/>
        <v>0</v>
      </c>
      <c r="AU524" s="5" t="s">
        <v>546</v>
      </c>
    </row>
    <row r="525" spans="1:47" ht="15" customHeight="1" x14ac:dyDescent="0.3">
      <c r="A525" s="7" t="str">
        <f t="shared" si="40"/>
        <v>105_2024</v>
      </c>
      <c r="B525" s="7">
        <v>524</v>
      </c>
      <c r="C525" s="7">
        <f>'Panel Data (Long Format)'!B525</f>
        <v>105</v>
      </c>
      <c r="D525" s="7" t="str">
        <f>'Panel Data (Long Format)'!C525</f>
        <v>PZ</v>
      </c>
      <c r="E525" s="8" t="str">
        <f>'Panel Data (Long Format)'!D525</f>
        <v>PZ Cussons Nigeria Plc</v>
      </c>
      <c r="F525" s="7" t="str">
        <f>'Panel Data (Long Format)'!E525</f>
        <v>CONSUMER GOODS</v>
      </c>
      <c r="G525" s="7">
        <f>'Panel Data (Long Format)'!F525</f>
        <v>2024</v>
      </c>
      <c r="H525" s="9">
        <v>0</v>
      </c>
      <c r="I525" s="9">
        <v>0</v>
      </c>
      <c r="J525" s="9">
        <v>0</v>
      </c>
      <c r="K525" s="9">
        <v>0</v>
      </c>
      <c r="L525" s="9">
        <v>0</v>
      </c>
      <c r="M525" s="9">
        <v>0</v>
      </c>
      <c r="N525" s="9">
        <v>0</v>
      </c>
      <c r="O525" s="9">
        <v>0</v>
      </c>
      <c r="P525" s="9">
        <v>0</v>
      </c>
      <c r="Q525" s="9">
        <v>0</v>
      </c>
      <c r="R525" s="9">
        <v>0</v>
      </c>
      <c r="S525" s="9">
        <v>0</v>
      </c>
      <c r="T525" s="9">
        <v>0</v>
      </c>
      <c r="U525" s="9">
        <v>0</v>
      </c>
      <c r="V525" s="9">
        <v>0</v>
      </c>
      <c r="W525" s="9">
        <v>1</v>
      </c>
      <c r="X525" s="9">
        <v>0</v>
      </c>
      <c r="Y525" s="9">
        <v>0</v>
      </c>
      <c r="Z525" s="9">
        <v>0</v>
      </c>
      <c r="AA525" s="9">
        <v>0</v>
      </c>
      <c r="AB525" s="10">
        <f t="shared" si="41"/>
        <v>1</v>
      </c>
      <c r="AC525" s="10">
        <f t="shared" si="42"/>
        <v>5</v>
      </c>
      <c r="AD525" s="9">
        <v>0</v>
      </c>
      <c r="AE525" s="9">
        <v>0</v>
      </c>
      <c r="AF525" s="9">
        <v>0</v>
      </c>
      <c r="AG525" s="9">
        <v>0</v>
      </c>
      <c r="AH525" s="9">
        <v>0</v>
      </c>
      <c r="AI525" s="9">
        <v>0</v>
      </c>
      <c r="AJ525" s="9">
        <v>0</v>
      </c>
      <c r="AK525" s="9">
        <v>0</v>
      </c>
      <c r="AL525" s="9">
        <v>0</v>
      </c>
      <c r="AM525" s="9">
        <v>0</v>
      </c>
      <c r="AN525" s="9">
        <v>0</v>
      </c>
      <c r="AO525" s="9">
        <v>0</v>
      </c>
      <c r="AP525" s="9">
        <v>0</v>
      </c>
      <c r="AQ525" s="9">
        <v>0</v>
      </c>
      <c r="AR525" s="9">
        <v>0</v>
      </c>
      <c r="AS525" s="10">
        <f t="shared" si="43"/>
        <v>0</v>
      </c>
      <c r="AT525" s="10">
        <f t="shared" si="44"/>
        <v>0</v>
      </c>
      <c r="AU525" s="5" t="s">
        <v>547</v>
      </c>
    </row>
    <row r="526" spans="1:47" ht="15" customHeight="1" x14ac:dyDescent="0.3">
      <c r="A526" s="7" t="str">
        <f t="shared" si="40"/>
        <v>105_2025</v>
      </c>
      <c r="B526" s="7">
        <v>525</v>
      </c>
      <c r="C526" s="7">
        <f>'Panel Data (Long Format)'!B526</f>
        <v>105</v>
      </c>
      <c r="D526" s="7" t="str">
        <f>'Panel Data (Long Format)'!C526</f>
        <v>PZ</v>
      </c>
      <c r="E526" s="8" t="str">
        <f>'Panel Data (Long Format)'!D526</f>
        <v>PZ Cussons Nigeria Plc</v>
      </c>
      <c r="F526" s="7" t="str">
        <f>'Panel Data (Long Format)'!E526</f>
        <v>CONSUMER GOODS</v>
      </c>
      <c r="G526" s="7">
        <f>'Panel Data (Long Format)'!F526</f>
        <v>2025</v>
      </c>
      <c r="H526" s="9">
        <v>0</v>
      </c>
      <c r="I526" s="9">
        <v>0</v>
      </c>
      <c r="J526" s="9">
        <v>0</v>
      </c>
      <c r="K526" s="9">
        <v>0</v>
      </c>
      <c r="L526" s="9">
        <v>0</v>
      </c>
      <c r="M526" s="9">
        <v>0</v>
      </c>
      <c r="N526" s="9">
        <v>0</v>
      </c>
      <c r="O526" s="9">
        <v>0</v>
      </c>
      <c r="P526" s="9">
        <v>0</v>
      </c>
      <c r="Q526" s="9">
        <v>0</v>
      </c>
      <c r="R526" s="9">
        <v>0</v>
      </c>
      <c r="S526" s="9">
        <v>0</v>
      </c>
      <c r="T526" s="9">
        <v>0</v>
      </c>
      <c r="U526" s="9">
        <v>0</v>
      </c>
      <c r="V526" s="9">
        <v>0</v>
      </c>
      <c r="W526" s="9">
        <v>1</v>
      </c>
      <c r="X526" s="9">
        <v>0</v>
      </c>
      <c r="Y526" s="9">
        <v>0</v>
      </c>
      <c r="Z526" s="9">
        <v>0</v>
      </c>
      <c r="AA526" s="9">
        <v>0</v>
      </c>
      <c r="AB526" s="10">
        <f t="shared" si="41"/>
        <v>1</v>
      </c>
      <c r="AC526" s="10">
        <f t="shared" si="42"/>
        <v>5</v>
      </c>
      <c r="AD526" s="9">
        <v>0</v>
      </c>
      <c r="AE526" s="9">
        <v>0</v>
      </c>
      <c r="AF526" s="9">
        <v>0</v>
      </c>
      <c r="AG526" s="9">
        <v>0</v>
      </c>
      <c r="AH526" s="9">
        <v>0</v>
      </c>
      <c r="AI526" s="9">
        <v>0</v>
      </c>
      <c r="AJ526" s="9">
        <v>0</v>
      </c>
      <c r="AK526" s="9">
        <v>0</v>
      </c>
      <c r="AL526" s="9">
        <v>0</v>
      </c>
      <c r="AM526" s="9">
        <v>0</v>
      </c>
      <c r="AN526" s="9">
        <v>0</v>
      </c>
      <c r="AO526" s="9">
        <v>0</v>
      </c>
      <c r="AP526" s="9">
        <v>0</v>
      </c>
      <c r="AQ526" s="9">
        <v>0</v>
      </c>
      <c r="AR526" s="9">
        <v>0</v>
      </c>
      <c r="AS526" s="10">
        <f t="shared" si="43"/>
        <v>0</v>
      </c>
      <c r="AT526" s="10">
        <f t="shared" si="44"/>
        <v>0</v>
      </c>
      <c r="AU526" s="5" t="s">
        <v>548</v>
      </c>
    </row>
    <row r="527" spans="1:47" ht="15" customHeight="1" x14ac:dyDescent="0.3">
      <c r="A527" s="7" t="str">
        <f t="shared" si="40"/>
        <v>106_2021</v>
      </c>
      <c r="B527" s="7">
        <v>526</v>
      </c>
      <c r="C527" s="7">
        <f>'Panel Data (Long Format)'!B527</f>
        <v>106</v>
      </c>
      <c r="D527" s="7" t="str">
        <f>'Panel Data (Long Format)'!C527</f>
        <v>REDSTAREX</v>
      </c>
      <c r="E527" s="8" t="str">
        <f>'Panel Data (Long Format)'!D527</f>
        <v>Red Star Express Plc</v>
      </c>
      <c r="F527" s="7" t="str">
        <f>'Panel Data (Long Format)'!E527</f>
        <v>SERVICES</v>
      </c>
      <c r="G527" s="7">
        <f>'Panel Data (Long Format)'!F527</f>
        <v>2021</v>
      </c>
      <c r="H527" s="9">
        <v>0</v>
      </c>
      <c r="I527" s="9">
        <v>0</v>
      </c>
      <c r="J527" s="9">
        <v>0</v>
      </c>
      <c r="K527" s="9">
        <v>0</v>
      </c>
      <c r="L527" s="9">
        <v>0</v>
      </c>
      <c r="M527" s="9">
        <v>0</v>
      </c>
      <c r="N527" s="9">
        <v>0</v>
      </c>
      <c r="O527" s="9">
        <v>0</v>
      </c>
      <c r="P527" s="9">
        <v>0</v>
      </c>
      <c r="Q527" s="9">
        <v>0</v>
      </c>
      <c r="R527" s="9">
        <v>0</v>
      </c>
      <c r="S527" s="9">
        <v>0</v>
      </c>
      <c r="T527" s="9">
        <v>0</v>
      </c>
      <c r="U527" s="9">
        <v>0</v>
      </c>
      <c r="V527" s="9">
        <v>0</v>
      </c>
      <c r="W527" s="9">
        <v>0</v>
      </c>
      <c r="X527" s="9">
        <v>0</v>
      </c>
      <c r="Y527" s="9">
        <v>0</v>
      </c>
      <c r="Z527" s="9">
        <v>0</v>
      </c>
      <c r="AA527" s="9">
        <v>0</v>
      </c>
      <c r="AB527" s="10">
        <f t="shared" si="41"/>
        <v>0</v>
      </c>
      <c r="AC527" s="10">
        <f t="shared" si="42"/>
        <v>0</v>
      </c>
      <c r="AD527" s="9">
        <v>0</v>
      </c>
      <c r="AE527" s="9">
        <v>0</v>
      </c>
      <c r="AF527" s="9">
        <v>0</v>
      </c>
      <c r="AG527" s="9">
        <v>0</v>
      </c>
      <c r="AH527" s="9">
        <v>0</v>
      </c>
      <c r="AI527" s="9">
        <v>0</v>
      </c>
      <c r="AJ527" s="9">
        <v>0</v>
      </c>
      <c r="AK527" s="9">
        <v>0</v>
      </c>
      <c r="AL527" s="9">
        <v>0</v>
      </c>
      <c r="AM527" s="9">
        <v>0</v>
      </c>
      <c r="AN527" s="9">
        <v>0</v>
      </c>
      <c r="AO527" s="9">
        <v>0</v>
      </c>
      <c r="AP527" s="9">
        <v>0</v>
      </c>
      <c r="AQ527" s="9">
        <v>0</v>
      </c>
      <c r="AR527" s="9">
        <v>0</v>
      </c>
      <c r="AS527" s="10">
        <f t="shared" si="43"/>
        <v>0</v>
      </c>
      <c r="AT527" s="10">
        <f t="shared" si="44"/>
        <v>0</v>
      </c>
      <c r="AU527" s="5" t="s">
        <v>549</v>
      </c>
    </row>
    <row r="528" spans="1:47" ht="15" customHeight="1" x14ac:dyDescent="0.3">
      <c r="A528" s="7" t="str">
        <f t="shared" si="40"/>
        <v>106_2022</v>
      </c>
      <c r="B528" s="7">
        <v>527</v>
      </c>
      <c r="C528" s="7">
        <f>'Panel Data (Long Format)'!B528</f>
        <v>106</v>
      </c>
      <c r="D528" s="7" t="str">
        <f>'Panel Data (Long Format)'!C528</f>
        <v>REDSTAREX</v>
      </c>
      <c r="E528" s="8" t="str">
        <f>'Panel Data (Long Format)'!D528</f>
        <v>Red Star Express Plc</v>
      </c>
      <c r="F528" s="7" t="str">
        <f>'Panel Data (Long Format)'!E528</f>
        <v>SERVICES</v>
      </c>
      <c r="G528" s="7">
        <f>'Panel Data (Long Format)'!F528</f>
        <v>2022</v>
      </c>
      <c r="H528" s="9">
        <v>0</v>
      </c>
      <c r="I528" s="9">
        <v>0</v>
      </c>
      <c r="J528" s="9">
        <v>0</v>
      </c>
      <c r="K528" s="9">
        <v>0</v>
      </c>
      <c r="L528" s="9">
        <v>0</v>
      </c>
      <c r="M528" s="9">
        <v>0</v>
      </c>
      <c r="N528" s="9">
        <v>0</v>
      </c>
      <c r="O528" s="9">
        <v>0</v>
      </c>
      <c r="P528" s="9">
        <v>0</v>
      </c>
      <c r="Q528" s="9">
        <v>0</v>
      </c>
      <c r="R528" s="9">
        <v>0</v>
      </c>
      <c r="S528" s="9">
        <v>0</v>
      </c>
      <c r="T528" s="9">
        <v>0</v>
      </c>
      <c r="U528" s="9">
        <v>0</v>
      </c>
      <c r="V528" s="9">
        <v>0</v>
      </c>
      <c r="W528" s="9">
        <v>0</v>
      </c>
      <c r="X528" s="9">
        <v>0</v>
      </c>
      <c r="Y528" s="9">
        <v>0</v>
      </c>
      <c r="Z528" s="9">
        <v>0</v>
      </c>
      <c r="AA528" s="9">
        <v>0</v>
      </c>
      <c r="AB528" s="10">
        <f t="shared" si="41"/>
        <v>0</v>
      </c>
      <c r="AC528" s="10">
        <f t="shared" si="42"/>
        <v>0</v>
      </c>
      <c r="AD528" s="9">
        <v>0</v>
      </c>
      <c r="AE528" s="9">
        <v>0</v>
      </c>
      <c r="AF528" s="9">
        <v>0</v>
      </c>
      <c r="AG528" s="9">
        <v>0</v>
      </c>
      <c r="AH528" s="9">
        <v>0</v>
      </c>
      <c r="AI528" s="9">
        <v>0</v>
      </c>
      <c r="AJ528" s="9">
        <v>0</v>
      </c>
      <c r="AK528" s="9">
        <v>0</v>
      </c>
      <c r="AL528" s="9">
        <v>0</v>
      </c>
      <c r="AM528" s="9">
        <v>0</v>
      </c>
      <c r="AN528" s="9">
        <v>0</v>
      </c>
      <c r="AO528" s="9">
        <v>0</v>
      </c>
      <c r="AP528" s="9">
        <v>0</v>
      </c>
      <c r="AQ528" s="9">
        <v>0</v>
      </c>
      <c r="AR528" s="9">
        <v>0</v>
      </c>
      <c r="AS528" s="10">
        <f t="shared" si="43"/>
        <v>0</v>
      </c>
      <c r="AT528" s="10">
        <f t="shared" si="44"/>
        <v>0</v>
      </c>
      <c r="AU528" s="5" t="s">
        <v>550</v>
      </c>
    </row>
    <row r="529" spans="1:47" ht="15" customHeight="1" x14ac:dyDescent="0.3">
      <c r="A529" s="7" t="str">
        <f t="shared" si="40"/>
        <v>106_2023</v>
      </c>
      <c r="B529" s="7">
        <v>528</v>
      </c>
      <c r="C529" s="7">
        <f>'Panel Data (Long Format)'!B529</f>
        <v>106</v>
      </c>
      <c r="D529" s="7" t="str">
        <f>'Panel Data (Long Format)'!C529</f>
        <v>REDSTAREX</v>
      </c>
      <c r="E529" s="8" t="str">
        <f>'Panel Data (Long Format)'!D529</f>
        <v>Red Star Express Plc</v>
      </c>
      <c r="F529" s="7" t="str">
        <f>'Panel Data (Long Format)'!E529</f>
        <v>SERVICES</v>
      </c>
      <c r="G529" s="7">
        <f>'Panel Data (Long Format)'!F529</f>
        <v>2023</v>
      </c>
      <c r="H529" s="9">
        <v>0</v>
      </c>
      <c r="I529" s="9">
        <v>0</v>
      </c>
      <c r="J529" s="9">
        <v>0</v>
      </c>
      <c r="K529" s="9">
        <v>0</v>
      </c>
      <c r="L529" s="9">
        <v>0</v>
      </c>
      <c r="M529" s="9">
        <v>0</v>
      </c>
      <c r="N529" s="9">
        <v>0</v>
      </c>
      <c r="O529" s="9">
        <v>0</v>
      </c>
      <c r="P529" s="9">
        <v>0</v>
      </c>
      <c r="Q529" s="9">
        <v>0</v>
      </c>
      <c r="R529" s="9">
        <v>0</v>
      </c>
      <c r="S529" s="9">
        <v>0</v>
      </c>
      <c r="T529" s="9">
        <v>0</v>
      </c>
      <c r="U529" s="9">
        <v>0</v>
      </c>
      <c r="V529" s="9">
        <v>0</v>
      </c>
      <c r="W529" s="9">
        <v>0</v>
      </c>
      <c r="X529" s="9">
        <v>0</v>
      </c>
      <c r="Y529" s="9">
        <v>0</v>
      </c>
      <c r="Z529" s="9">
        <v>0</v>
      </c>
      <c r="AA529" s="9">
        <v>0</v>
      </c>
      <c r="AB529" s="10">
        <f t="shared" si="41"/>
        <v>0</v>
      </c>
      <c r="AC529" s="10">
        <f t="shared" si="42"/>
        <v>0</v>
      </c>
      <c r="AD529" s="9">
        <v>0</v>
      </c>
      <c r="AE529" s="9">
        <v>0</v>
      </c>
      <c r="AF529" s="9">
        <v>0</v>
      </c>
      <c r="AG529" s="9">
        <v>0</v>
      </c>
      <c r="AH529" s="9">
        <v>0</v>
      </c>
      <c r="AI529" s="9">
        <v>0</v>
      </c>
      <c r="AJ529" s="9">
        <v>0</v>
      </c>
      <c r="AK529" s="9">
        <v>0</v>
      </c>
      <c r="AL529" s="9">
        <v>0</v>
      </c>
      <c r="AM529" s="9">
        <v>0</v>
      </c>
      <c r="AN529" s="9">
        <v>0</v>
      </c>
      <c r="AO529" s="9">
        <v>0</v>
      </c>
      <c r="AP529" s="9">
        <v>0</v>
      </c>
      <c r="AQ529" s="9">
        <v>0</v>
      </c>
      <c r="AR529" s="9">
        <v>0</v>
      </c>
      <c r="AS529" s="10">
        <f t="shared" si="43"/>
        <v>0</v>
      </c>
      <c r="AT529" s="10">
        <f t="shared" si="44"/>
        <v>0</v>
      </c>
      <c r="AU529" s="5" t="s">
        <v>551</v>
      </c>
    </row>
    <row r="530" spans="1:47" ht="15" customHeight="1" x14ac:dyDescent="0.3">
      <c r="A530" s="7" t="str">
        <f t="shared" si="40"/>
        <v>106_2024</v>
      </c>
      <c r="B530" s="7">
        <v>529</v>
      </c>
      <c r="C530" s="7">
        <f>'Panel Data (Long Format)'!B530</f>
        <v>106</v>
      </c>
      <c r="D530" s="7" t="str">
        <f>'Panel Data (Long Format)'!C530</f>
        <v>REDSTAREX</v>
      </c>
      <c r="E530" s="8" t="str">
        <f>'Panel Data (Long Format)'!D530</f>
        <v>Red Star Express Plc</v>
      </c>
      <c r="F530" s="7" t="str">
        <f>'Panel Data (Long Format)'!E530</f>
        <v>SERVICES</v>
      </c>
      <c r="G530" s="7">
        <f>'Panel Data (Long Format)'!F530</f>
        <v>2024</v>
      </c>
      <c r="H530" s="9">
        <v>0</v>
      </c>
      <c r="I530" s="9">
        <v>0</v>
      </c>
      <c r="J530" s="9">
        <v>0</v>
      </c>
      <c r="K530" s="9">
        <v>0</v>
      </c>
      <c r="L530" s="9">
        <v>0</v>
      </c>
      <c r="M530" s="9">
        <v>0</v>
      </c>
      <c r="N530" s="9">
        <v>0</v>
      </c>
      <c r="O530" s="9">
        <v>0</v>
      </c>
      <c r="P530" s="9">
        <v>0</v>
      </c>
      <c r="Q530" s="9">
        <v>0</v>
      </c>
      <c r="R530" s="9">
        <v>0</v>
      </c>
      <c r="S530" s="9">
        <v>0</v>
      </c>
      <c r="T530" s="9">
        <v>0</v>
      </c>
      <c r="U530" s="9">
        <v>0</v>
      </c>
      <c r="V530" s="9">
        <v>0</v>
      </c>
      <c r="W530" s="9">
        <v>1</v>
      </c>
      <c r="X530" s="9">
        <v>0</v>
      </c>
      <c r="Y530" s="9">
        <v>0</v>
      </c>
      <c r="Z530" s="9">
        <v>0</v>
      </c>
      <c r="AA530" s="9">
        <v>0</v>
      </c>
      <c r="AB530" s="10">
        <f t="shared" si="41"/>
        <v>1</v>
      </c>
      <c r="AC530" s="10">
        <f t="shared" si="42"/>
        <v>5</v>
      </c>
      <c r="AD530" s="9">
        <v>0</v>
      </c>
      <c r="AE530" s="9">
        <v>0</v>
      </c>
      <c r="AF530" s="9">
        <v>0</v>
      </c>
      <c r="AG530" s="9">
        <v>0</v>
      </c>
      <c r="AH530" s="9">
        <v>0</v>
      </c>
      <c r="AI530" s="9">
        <v>0</v>
      </c>
      <c r="AJ530" s="9">
        <v>0</v>
      </c>
      <c r="AK530" s="9">
        <v>0</v>
      </c>
      <c r="AL530" s="9">
        <v>0</v>
      </c>
      <c r="AM530" s="9">
        <v>0</v>
      </c>
      <c r="AN530" s="9">
        <v>0</v>
      </c>
      <c r="AO530" s="9">
        <v>0</v>
      </c>
      <c r="AP530" s="9">
        <v>0</v>
      </c>
      <c r="AQ530" s="9">
        <v>0</v>
      </c>
      <c r="AR530" s="9">
        <v>0</v>
      </c>
      <c r="AS530" s="10">
        <f t="shared" si="43"/>
        <v>0</v>
      </c>
      <c r="AT530" s="10">
        <f t="shared" si="44"/>
        <v>0</v>
      </c>
      <c r="AU530" s="5" t="s">
        <v>552</v>
      </c>
    </row>
    <row r="531" spans="1:47" ht="15" customHeight="1" x14ac:dyDescent="0.3">
      <c r="A531" s="7" t="str">
        <f t="shared" si="40"/>
        <v>106_2025</v>
      </c>
      <c r="B531" s="7">
        <v>530</v>
      </c>
      <c r="C531" s="7">
        <f>'Panel Data (Long Format)'!B531</f>
        <v>106</v>
      </c>
      <c r="D531" s="7" t="str">
        <f>'Panel Data (Long Format)'!C531</f>
        <v>REDSTAREX</v>
      </c>
      <c r="E531" s="8" t="str">
        <f>'Panel Data (Long Format)'!D531</f>
        <v>Red Star Express Plc</v>
      </c>
      <c r="F531" s="7" t="str">
        <f>'Panel Data (Long Format)'!E531</f>
        <v>SERVICES</v>
      </c>
      <c r="G531" s="7">
        <f>'Panel Data (Long Format)'!F531</f>
        <v>2025</v>
      </c>
      <c r="H531" s="9">
        <v>0</v>
      </c>
      <c r="I531" s="9">
        <v>0</v>
      </c>
      <c r="J531" s="9">
        <v>0</v>
      </c>
      <c r="K531" s="9">
        <v>0</v>
      </c>
      <c r="L531" s="9">
        <v>0</v>
      </c>
      <c r="M531" s="9">
        <v>0</v>
      </c>
      <c r="N531" s="9">
        <v>0</v>
      </c>
      <c r="O531" s="9">
        <v>0</v>
      </c>
      <c r="P531" s="9">
        <v>0</v>
      </c>
      <c r="Q531" s="9">
        <v>0</v>
      </c>
      <c r="R531" s="9">
        <v>0</v>
      </c>
      <c r="S531" s="9">
        <v>0</v>
      </c>
      <c r="T531" s="9">
        <v>0</v>
      </c>
      <c r="U531" s="9">
        <v>0</v>
      </c>
      <c r="V531" s="9">
        <v>0</v>
      </c>
      <c r="W531" s="9">
        <v>1</v>
      </c>
      <c r="X531" s="9">
        <v>0</v>
      </c>
      <c r="Y531" s="9">
        <v>0</v>
      </c>
      <c r="Z531" s="9">
        <v>0</v>
      </c>
      <c r="AA531" s="9">
        <v>0</v>
      </c>
      <c r="AB531" s="10">
        <f t="shared" si="41"/>
        <v>1</v>
      </c>
      <c r="AC531" s="10">
        <f t="shared" si="42"/>
        <v>5</v>
      </c>
      <c r="AD531" s="9">
        <v>0</v>
      </c>
      <c r="AE531" s="9">
        <v>0</v>
      </c>
      <c r="AF531" s="9">
        <v>0</v>
      </c>
      <c r="AG531" s="9">
        <v>0</v>
      </c>
      <c r="AH531" s="9">
        <v>0</v>
      </c>
      <c r="AI531" s="9">
        <v>0</v>
      </c>
      <c r="AJ531" s="9">
        <v>0</v>
      </c>
      <c r="AK531" s="9">
        <v>0</v>
      </c>
      <c r="AL531" s="9">
        <v>0</v>
      </c>
      <c r="AM531" s="9">
        <v>0</v>
      </c>
      <c r="AN531" s="9">
        <v>0</v>
      </c>
      <c r="AO531" s="9">
        <v>0</v>
      </c>
      <c r="AP531" s="9">
        <v>0</v>
      </c>
      <c r="AQ531" s="9">
        <v>0</v>
      </c>
      <c r="AR531" s="9">
        <v>0</v>
      </c>
      <c r="AS531" s="10">
        <f t="shared" si="43"/>
        <v>0</v>
      </c>
      <c r="AT531" s="10">
        <f t="shared" si="44"/>
        <v>0</v>
      </c>
      <c r="AU531" s="5" t="s">
        <v>553</v>
      </c>
    </row>
    <row r="532" spans="1:47" ht="15" customHeight="1" x14ac:dyDescent="0.3">
      <c r="A532" s="7" t="str">
        <f t="shared" si="40"/>
        <v>107_2021</v>
      </c>
      <c r="B532" s="7">
        <v>531</v>
      </c>
      <c r="C532" s="7">
        <f>'Panel Data (Long Format)'!B532</f>
        <v>107</v>
      </c>
      <c r="D532" s="7" t="str">
        <f>'Panel Data (Long Format)'!C532</f>
        <v>REGALINS</v>
      </c>
      <c r="E532" s="8" t="str">
        <f>'Panel Data (Long Format)'!D532</f>
        <v>Regency Alliance Insurance Plc</v>
      </c>
      <c r="F532" s="7" t="str">
        <f>'Panel Data (Long Format)'!E532</f>
        <v>FINANCIAL SERVICES</v>
      </c>
      <c r="G532" s="7">
        <f>'Panel Data (Long Format)'!F532</f>
        <v>2021</v>
      </c>
      <c r="H532" s="9">
        <v>0</v>
      </c>
      <c r="I532" s="9">
        <v>0</v>
      </c>
      <c r="J532" s="9">
        <v>0</v>
      </c>
      <c r="K532" s="9">
        <v>0</v>
      </c>
      <c r="L532" s="9">
        <v>0</v>
      </c>
      <c r="M532" s="9">
        <v>0</v>
      </c>
      <c r="N532" s="9">
        <v>0</v>
      </c>
      <c r="O532" s="9">
        <v>0</v>
      </c>
      <c r="P532" s="9">
        <v>0</v>
      </c>
      <c r="Q532" s="9">
        <v>0</v>
      </c>
      <c r="R532" s="9">
        <v>0</v>
      </c>
      <c r="S532" s="9">
        <v>0</v>
      </c>
      <c r="T532" s="9">
        <v>0</v>
      </c>
      <c r="U532" s="9">
        <v>0</v>
      </c>
      <c r="V532" s="9">
        <v>0</v>
      </c>
      <c r="W532" s="9">
        <v>0</v>
      </c>
      <c r="X532" s="9">
        <v>0</v>
      </c>
      <c r="Y532" s="9">
        <v>0</v>
      </c>
      <c r="Z532" s="9">
        <v>0</v>
      </c>
      <c r="AA532" s="9">
        <v>0</v>
      </c>
      <c r="AB532" s="10">
        <f t="shared" si="41"/>
        <v>0</v>
      </c>
      <c r="AC532" s="10">
        <f t="shared" si="42"/>
        <v>0</v>
      </c>
      <c r="AD532" s="9">
        <v>0</v>
      </c>
      <c r="AE532" s="9">
        <v>0</v>
      </c>
      <c r="AF532" s="9">
        <v>0</v>
      </c>
      <c r="AG532" s="9">
        <v>0</v>
      </c>
      <c r="AH532" s="9">
        <v>0</v>
      </c>
      <c r="AI532" s="9">
        <v>0</v>
      </c>
      <c r="AJ532" s="9">
        <v>0</v>
      </c>
      <c r="AK532" s="9">
        <v>0</v>
      </c>
      <c r="AL532" s="9">
        <v>0</v>
      </c>
      <c r="AM532" s="9">
        <v>0</v>
      </c>
      <c r="AN532" s="9">
        <v>0</v>
      </c>
      <c r="AO532" s="9">
        <v>0</v>
      </c>
      <c r="AP532" s="9">
        <v>0</v>
      </c>
      <c r="AQ532" s="9">
        <v>0</v>
      </c>
      <c r="AR532" s="9">
        <v>0</v>
      </c>
      <c r="AS532" s="10">
        <f t="shared" si="43"/>
        <v>0</v>
      </c>
      <c r="AT532" s="10">
        <f t="shared" si="44"/>
        <v>0</v>
      </c>
      <c r="AU532" s="5" t="s">
        <v>554</v>
      </c>
    </row>
    <row r="533" spans="1:47" ht="15" customHeight="1" x14ac:dyDescent="0.3">
      <c r="A533" s="7" t="str">
        <f t="shared" si="40"/>
        <v>107_2022</v>
      </c>
      <c r="B533" s="7">
        <v>532</v>
      </c>
      <c r="C533" s="7">
        <f>'Panel Data (Long Format)'!B533</f>
        <v>107</v>
      </c>
      <c r="D533" s="7" t="str">
        <f>'Panel Data (Long Format)'!C533</f>
        <v>REGALINS</v>
      </c>
      <c r="E533" s="8" t="str">
        <f>'Panel Data (Long Format)'!D533</f>
        <v>Regency Alliance Insurance Plc</v>
      </c>
      <c r="F533" s="7" t="str">
        <f>'Panel Data (Long Format)'!E533</f>
        <v>FINANCIAL SERVICES</v>
      </c>
      <c r="G533" s="7">
        <f>'Panel Data (Long Format)'!F533</f>
        <v>2022</v>
      </c>
      <c r="H533" s="9">
        <v>0</v>
      </c>
      <c r="I533" s="9">
        <v>0</v>
      </c>
      <c r="J533" s="9">
        <v>0</v>
      </c>
      <c r="K533" s="9">
        <v>0</v>
      </c>
      <c r="L533" s="9">
        <v>0</v>
      </c>
      <c r="M533" s="9">
        <v>0</v>
      </c>
      <c r="N533" s="9">
        <v>0</v>
      </c>
      <c r="O533" s="9">
        <v>0</v>
      </c>
      <c r="P533" s="9">
        <v>0</v>
      </c>
      <c r="Q533" s="9">
        <v>0</v>
      </c>
      <c r="R533" s="9">
        <v>0</v>
      </c>
      <c r="S533" s="9">
        <v>0</v>
      </c>
      <c r="T533" s="9">
        <v>0</v>
      </c>
      <c r="U533" s="9">
        <v>0</v>
      </c>
      <c r="V533" s="9">
        <v>0</v>
      </c>
      <c r="W533" s="9">
        <v>0</v>
      </c>
      <c r="X533" s="9">
        <v>0</v>
      </c>
      <c r="Y533" s="9">
        <v>0</v>
      </c>
      <c r="Z533" s="9">
        <v>0</v>
      </c>
      <c r="AA533" s="9">
        <v>0</v>
      </c>
      <c r="AB533" s="10">
        <f t="shared" si="41"/>
        <v>0</v>
      </c>
      <c r="AC533" s="10">
        <f t="shared" si="42"/>
        <v>0</v>
      </c>
      <c r="AD533" s="9">
        <v>0</v>
      </c>
      <c r="AE533" s="9">
        <v>0</v>
      </c>
      <c r="AF533" s="9">
        <v>0</v>
      </c>
      <c r="AG533" s="9">
        <v>0</v>
      </c>
      <c r="AH533" s="9">
        <v>0</v>
      </c>
      <c r="AI533" s="9">
        <v>0</v>
      </c>
      <c r="AJ533" s="9">
        <v>0</v>
      </c>
      <c r="AK533" s="9">
        <v>0</v>
      </c>
      <c r="AL533" s="9">
        <v>0</v>
      </c>
      <c r="AM533" s="9">
        <v>0</v>
      </c>
      <c r="AN533" s="9">
        <v>0</v>
      </c>
      <c r="AO533" s="9">
        <v>0</v>
      </c>
      <c r="AP533" s="9">
        <v>0</v>
      </c>
      <c r="AQ533" s="9">
        <v>0</v>
      </c>
      <c r="AR533" s="9">
        <v>0</v>
      </c>
      <c r="AS533" s="10">
        <f t="shared" si="43"/>
        <v>0</v>
      </c>
      <c r="AT533" s="10">
        <f t="shared" si="44"/>
        <v>0</v>
      </c>
      <c r="AU533" s="5" t="s">
        <v>555</v>
      </c>
    </row>
    <row r="534" spans="1:47" ht="15" customHeight="1" x14ac:dyDescent="0.3">
      <c r="A534" s="7" t="str">
        <f t="shared" si="40"/>
        <v>107_2023</v>
      </c>
      <c r="B534" s="7">
        <v>533</v>
      </c>
      <c r="C534" s="7">
        <f>'Panel Data (Long Format)'!B534</f>
        <v>107</v>
      </c>
      <c r="D534" s="7" t="str">
        <f>'Panel Data (Long Format)'!C534</f>
        <v>REGALINS</v>
      </c>
      <c r="E534" s="8" t="str">
        <f>'Panel Data (Long Format)'!D534</f>
        <v>Regency Alliance Insurance Plc</v>
      </c>
      <c r="F534" s="7" t="str">
        <f>'Panel Data (Long Format)'!E534</f>
        <v>FINANCIAL SERVICES</v>
      </c>
      <c r="G534" s="7">
        <f>'Panel Data (Long Format)'!F534</f>
        <v>2023</v>
      </c>
      <c r="H534" s="9">
        <v>0</v>
      </c>
      <c r="I534" s="9">
        <v>0</v>
      </c>
      <c r="J534" s="9">
        <v>0</v>
      </c>
      <c r="K534" s="9">
        <v>0</v>
      </c>
      <c r="L534" s="9">
        <v>0</v>
      </c>
      <c r="M534" s="9">
        <v>0</v>
      </c>
      <c r="N534" s="9">
        <v>0</v>
      </c>
      <c r="O534" s="9">
        <v>0</v>
      </c>
      <c r="P534" s="9">
        <v>0</v>
      </c>
      <c r="Q534" s="9">
        <v>0</v>
      </c>
      <c r="R534" s="9">
        <v>0</v>
      </c>
      <c r="S534" s="9">
        <v>0</v>
      </c>
      <c r="T534" s="9">
        <v>0</v>
      </c>
      <c r="U534" s="9">
        <v>0</v>
      </c>
      <c r="V534" s="9">
        <v>0</v>
      </c>
      <c r="W534" s="9">
        <v>0</v>
      </c>
      <c r="X534" s="9">
        <v>0</v>
      </c>
      <c r="Y534" s="9">
        <v>0</v>
      </c>
      <c r="Z534" s="9">
        <v>0</v>
      </c>
      <c r="AA534" s="9">
        <v>0</v>
      </c>
      <c r="AB534" s="10">
        <f t="shared" si="41"/>
        <v>0</v>
      </c>
      <c r="AC534" s="10">
        <f t="shared" si="42"/>
        <v>0</v>
      </c>
      <c r="AD534" s="9">
        <v>0</v>
      </c>
      <c r="AE534" s="9">
        <v>0</v>
      </c>
      <c r="AF534" s="9">
        <v>0</v>
      </c>
      <c r="AG534" s="9">
        <v>0</v>
      </c>
      <c r="AH534" s="9">
        <v>0</v>
      </c>
      <c r="AI534" s="9">
        <v>0</v>
      </c>
      <c r="AJ534" s="9">
        <v>0</v>
      </c>
      <c r="AK534" s="9">
        <v>0</v>
      </c>
      <c r="AL534" s="9">
        <v>0</v>
      </c>
      <c r="AM534" s="9">
        <v>0</v>
      </c>
      <c r="AN534" s="9">
        <v>0</v>
      </c>
      <c r="AO534" s="9">
        <v>0</v>
      </c>
      <c r="AP534" s="9">
        <v>0</v>
      </c>
      <c r="AQ534" s="9">
        <v>0</v>
      </c>
      <c r="AR534" s="9">
        <v>0</v>
      </c>
      <c r="AS534" s="10">
        <f t="shared" si="43"/>
        <v>0</v>
      </c>
      <c r="AT534" s="10">
        <f t="shared" si="44"/>
        <v>0</v>
      </c>
      <c r="AU534" s="5" t="s">
        <v>556</v>
      </c>
    </row>
    <row r="535" spans="1:47" ht="15" customHeight="1" x14ac:dyDescent="0.3">
      <c r="A535" s="7" t="str">
        <f t="shared" si="40"/>
        <v>107_2024</v>
      </c>
      <c r="B535" s="7">
        <v>534</v>
      </c>
      <c r="C535" s="7">
        <f>'Panel Data (Long Format)'!B535</f>
        <v>107</v>
      </c>
      <c r="D535" s="7" t="str">
        <f>'Panel Data (Long Format)'!C535</f>
        <v>REGALINS</v>
      </c>
      <c r="E535" s="8" t="str">
        <f>'Panel Data (Long Format)'!D535</f>
        <v>Regency Alliance Insurance Plc</v>
      </c>
      <c r="F535" s="7" t="str">
        <f>'Panel Data (Long Format)'!E535</f>
        <v>FINANCIAL SERVICES</v>
      </c>
      <c r="G535" s="7">
        <f>'Panel Data (Long Format)'!F535</f>
        <v>2024</v>
      </c>
      <c r="H535" s="9">
        <v>0</v>
      </c>
      <c r="I535" s="9">
        <v>0</v>
      </c>
      <c r="J535" s="9">
        <v>0</v>
      </c>
      <c r="K535" s="9">
        <v>0</v>
      </c>
      <c r="L535" s="9">
        <v>0</v>
      </c>
      <c r="M535" s="9">
        <v>0</v>
      </c>
      <c r="N535" s="9">
        <v>0</v>
      </c>
      <c r="O535" s="9">
        <v>0</v>
      </c>
      <c r="P535" s="9">
        <v>0</v>
      </c>
      <c r="Q535" s="9">
        <v>0</v>
      </c>
      <c r="R535" s="9">
        <v>0</v>
      </c>
      <c r="S535" s="9">
        <v>0</v>
      </c>
      <c r="T535" s="9">
        <v>0</v>
      </c>
      <c r="U535" s="9">
        <v>0</v>
      </c>
      <c r="V535" s="9">
        <v>0</v>
      </c>
      <c r="W535" s="9">
        <v>1</v>
      </c>
      <c r="X535" s="9">
        <v>0</v>
      </c>
      <c r="Y535" s="9">
        <v>0</v>
      </c>
      <c r="Z535" s="9">
        <v>0</v>
      </c>
      <c r="AA535" s="9">
        <v>0</v>
      </c>
      <c r="AB535" s="10">
        <f t="shared" si="41"/>
        <v>1</v>
      </c>
      <c r="AC535" s="10">
        <f t="shared" si="42"/>
        <v>5</v>
      </c>
      <c r="AD535" s="9">
        <v>0</v>
      </c>
      <c r="AE535" s="9">
        <v>0</v>
      </c>
      <c r="AF535" s="9">
        <v>0</v>
      </c>
      <c r="AG535" s="9">
        <v>0</v>
      </c>
      <c r="AH535" s="9">
        <v>0</v>
      </c>
      <c r="AI535" s="9">
        <v>0</v>
      </c>
      <c r="AJ535" s="9">
        <v>0</v>
      </c>
      <c r="AK535" s="9">
        <v>0</v>
      </c>
      <c r="AL535" s="9">
        <v>0</v>
      </c>
      <c r="AM535" s="9">
        <v>0</v>
      </c>
      <c r="AN535" s="9">
        <v>0</v>
      </c>
      <c r="AO535" s="9">
        <v>0</v>
      </c>
      <c r="AP535" s="9">
        <v>0</v>
      </c>
      <c r="AQ535" s="9">
        <v>0</v>
      </c>
      <c r="AR535" s="9">
        <v>0</v>
      </c>
      <c r="AS535" s="10">
        <f t="shared" si="43"/>
        <v>0</v>
      </c>
      <c r="AT535" s="10">
        <f t="shared" si="44"/>
        <v>0</v>
      </c>
      <c r="AU535" s="5" t="s">
        <v>557</v>
      </c>
    </row>
    <row r="536" spans="1:47" ht="15" customHeight="1" x14ac:dyDescent="0.3">
      <c r="A536" s="7" t="str">
        <f t="shared" si="40"/>
        <v>107_2025</v>
      </c>
      <c r="B536" s="7">
        <v>535</v>
      </c>
      <c r="C536" s="7">
        <f>'Panel Data (Long Format)'!B536</f>
        <v>107</v>
      </c>
      <c r="D536" s="7" t="str">
        <f>'Panel Data (Long Format)'!C536</f>
        <v>REGALINS</v>
      </c>
      <c r="E536" s="8" t="str">
        <f>'Panel Data (Long Format)'!D536</f>
        <v>Regency Alliance Insurance Plc</v>
      </c>
      <c r="F536" s="7" t="str">
        <f>'Panel Data (Long Format)'!E536</f>
        <v>FINANCIAL SERVICES</v>
      </c>
      <c r="G536" s="7">
        <f>'Panel Data (Long Format)'!F536</f>
        <v>2025</v>
      </c>
      <c r="H536" s="9">
        <v>0</v>
      </c>
      <c r="I536" s="9">
        <v>0</v>
      </c>
      <c r="J536" s="9">
        <v>0</v>
      </c>
      <c r="K536" s="9">
        <v>0</v>
      </c>
      <c r="L536" s="9">
        <v>0</v>
      </c>
      <c r="M536" s="9">
        <v>0</v>
      </c>
      <c r="N536" s="9">
        <v>0</v>
      </c>
      <c r="O536" s="9">
        <v>1</v>
      </c>
      <c r="P536" s="9">
        <v>0</v>
      </c>
      <c r="Q536" s="9">
        <v>0</v>
      </c>
      <c r="R536" s="9">
        <v>0</v>
      </c>
      <c r="S536" s="9">
        <v>0</v>
      </c>
      <c r="T536" s="9">
        <v>0</v>
      </c>
      <c r="U536" s="9">
        <v>0</v>
      </c>
      <c r="V536" s="9">
        <v>0</v>
      </c>
      <c r="W536" s="9">
        <v>1</v>
      </c>
      <c r="X536" s="9">
        <v>0</v>
      </c>
      <c r="Y536" s="9">
        <v>0</v>
      </c>
      <c r="Z536" s="9">
        <v>0</v>
      </c>
      <c r="AA536" s="9">
        <v>0</v>
      </c>
      <c r="AB536" s="10">
        <f t="shared" si="41"/>
        <v>2</v>
      </c>
      <c r="AC536" s="10">
        <f t="shared" si="42"/>
        <v>10</v>
      </c>
      <c r="AD536" s="9">
        <v>0</v>
      </c>
      <c r="AE536" s="9">
        <v>0</v>
      </c>
      <c r="AF536" s="9">
        <v>0</v>
      </c>
      <c r="AG536" s="9">
        <v>0</v>
      </c>
      <c r="AH536" s="9">
        <v>0</v>
      </c>
      <c r="AI536" s="9">
        <v>0</v>
      </c>
      <c r="AJ536" s="9">
        <v>0</v>
      </c>
      <c r="AK536" s="9">
        <v>0</v>
      </c>
      <c r="AL536" s="9">
        <v>0</v>
      </c>
      <c r="AM536" s="9">
        <v>0</v>
      </c>
      <c r="AN536" s="9">
        <v>0</v>
      </c>
      <c r="AO536" s="9">
        <v>0</v>
      </c>
      <c r="AP536" s="9">
        <v>0</v>
      </c>
      <c r="AQ536" s="9">
        <v>0</v>
      </c>
      <c r="AR536" s="9">
        <v>0</v>
      </c>
      <c r="AS536" s="10">
        <f t="shared" si="43"/>
        <v>0</v>
      </c>
      <c r="AT536" s="10">
        <f t="shared" si="44"/>
        <v>0</v>
      </c>
      <c r="AU536" s="5" t="s">
        <v>558</v>
      </c>
    </row>
    <row r="537" spans="1:47" ht="15" customHeight="1" x14ac:dyDescent="0.3">
      <c r="A537" s="7" t="str">
        <f t="shared" si="40"/>
        <v>108_2021</v>
      </c>
      <c r="B537" s="7">
        <v>536</v>
      </c>
      <c r="C537" s="7">
        <f>'Panel Data (Long Format)'!B537</f>
        <v>108</v>
      </c>
      <c r="D537" s="7" t="str">
        <f>'Panel Data (Long Format)'!C537</f>
        <v>RONCHESS</v>
      </c>
      <c r="E537" s="8" t="str">
        <f>'Panel Data (Long Format)'!D537</f>
        <v>Ronchess Global Resources Plc</v>
      </c>
      <c r="F537" s="7" t="str">
        <f>'Panel Data (Long Format)'!E537</f>
        <v>CONSTRUCTION/REAL ESTATE</v>
      </c>
      <c r="G537" s="7">
        <f>'Panel Data (Long Format)'!F537</f>
        <v>2021</v>
      </c>
      <c r="H537" s="9">
        <v>0</v>
      </c>
      <c r="I537" s="9">
        <v>0</v>
      </c>
      <c r="J537" s="9">
        <v>0</v>
      </c>
      <c r="K537" s="9">
        <v>0</v>
      </c>
      <c r="L537" s="9">
        <v>0</v>
      </c>
      <c r="M537" s="9">
        <v>0</v>
      </c>
      <c r="N537" s="9">
        <v>0</v>
      </c>
      <c r="O537" s="9">
        <v>0</v>
      </c>
      <c r="P537" s="9">
        <v>0</v>
      </c>
      <c r="Q537" s="9">
        <v>0</v>
      </c>
      <c r="R537" s="9">
        <v>0</v>
      </c>
      <c r="S537" s="9">
        <v>0</v>
      </c>
      <c r="T537" s="9">
        <v>0</v>
      </c>
      <c r="U537" s="9">
        <v>0</v>
      </c>
      <c r="V537" s="9">
        <v>0</v>
      </c>
      <c r="W537" s="9">
        <v>0</v>
      </c>
      <c r="X537" s="9">
        <v>0</v>
      </c>
      <c r="Y537" s="9">
        <v>0</v>
      </c>
      <c r="Z537" s="9">
        <v>0</v>
      </c>
      <c r="AA537" s="9">
        <v>0</v>
      </c>
      <c r="AB537" s="10">
        <f t="shared" si="41"/>
        <v>0</v>
      </c>
      <c r="AC537" s="10">
        <f t="shared" si="42"/>
        <v>0</v>
      </c>
      <c r="AD537" s="9">
        <v>0</v>
      </c>
      <c r="AE537" s="9">
        <v>0</v>
      </c>
      <c r="AF537" s="9">
        <v>0</v>
      </c>
      <c r="AG537" s="9">
        <v>0</v>
      </c>
      <c r="AH537" s="9">
        <v>0</v>
      </c>
      <c r="AI537" s="9">
        <v>0</v>
      </c>
      <c r="AJ537" s="9">
        <v>0</v>
      </c>
      <c r="AK537" s="9">
        <v>0</v>
      </c>
      <c r="AL537" s="9">
        <v>0</v>
      </c>
      <c r="AM537" s="9">
        <v>0</v>
      </c>
      <c r="AN537" s="9">
        <v>0</v>
      </c>
      <c r="AO537" s="9">
        <v>0</v>
      </c>
      <c r="AP537" s="9">
        <v>0</v>
      </c>
      <c r="AQ537" s="9">
        <v>0</v>
      </c>
      <c r="AR537" s="9">
        <v>0</v>
      </c>
      <c r="AS537" s="10">
        <f t="shared" si="43"/>
        <v>0</v>
      </c>
      <c r="AT537" s="10">
        <f t="shared" si="44"/>
        <v>0</v>
      </c>
      <c r="AU537" s="5" t="s">
        <v>559</v>
      </c>
    </row>
    <row r="538" spans="1:47" ht="15" customHeight="1" x14ac:dyDescent="0.3">
      <c r="A538" s="7" t="str">
        <f t="shared" si="40"/>
        <v>108_2022</v>
      </c>
      <c r="B538" s="7">
        <v>537</v>
      </c>
      <c r="C538" s="7">
        <f>'Panel Data (Long Format)'!B538</f>
        <v>108</v>
      </c>
      <c r="D538" s="7" t="str">
        <f>'Panel Data (Long Format)'!C538</f>
        <v>RONCHESS</v>
      </c>
      <c r="E538" s="8" t="str">
        <f>'Panel Data (Long Format)'!D538</f>
        <v>Ronchess Global Resources Plc</v>
      </c>
      <c r="F538" s="7" t="str">
        <f>'Panel Data (Long Format)'!E538</f>
        <v>CONSTRUCTION/REAL ESTATE</v>
      </c>
      <c r="G538" s="7">
        <f>'Panel Data (Long Format)'!F538</f>
        <v>2022</v>
      </c>
      <c r="H538" s="9">
        <v>0</v>
      </c>
      <c r="I538" s="9">
        <v>0</v>
      </c>
      <c r="J538" s="9">
        <v>0</v>
      </c>
      <c r="K538" s="9">
        <v>0</v>
      </c>
      <c r="L538" s="9">
        <v>0</v>
      </c>
      <c r="M538" s="9">
        <v>0</v>
      </c>
      <c r="N538" s="9">
        <v>0</v>
      </c>
      <c r="O538" s="9">
        <v>0</v>
      </c>
      <c r="P538" s="9">
        <v>0</v>
      </c>
      <c r="Q538" s="9">
        <v>0</v>
      </c>
      <c r="R538" s="9">
        <v>0</v>
      </c>
      <c r="S538" s="9">
        <v>0</v>
      </c>
      <c r="T538" s="9">
        <v>0</v>
      </c>
      <c r="U538" s="9">
        <v>0</v>
      </c>
      <c r="V538" s="9">
        <v>0</v>
      </c>
      <c r="W538" s="9">
        <v>0</v>
      </c>
      <c r="X538" s="9">
        <v>0</v>
      </c>
      <c r="Y538" s="9">
        <v>0</v>
      </c>
      <c r="Z538" s="9">
        <v>0</v>
      </c>
      <c r="AA538" s="9">
        <v>0</v>
      </c>
      <c r="AB538" s="10">
        <f t="shared" si="41"/>
        <v>0</v>
      </c>
      <c r="AC538" s="10">
        <f t="shared" si="42"/>
        <v>0</v>
      </c>
      <c r="AD538" s="9">
        <v>0</v>
      </c>
      <c r="AE538" s="9">
        <v>0</v>
      </c>
      <c r="AF538" s="9">
        <v>0</v>
      </c>
      <c r="AG538" s="9">
        <v>0</v>
      </c>
      <c r="AH538" s="9">
        <v>0</v>
      </c>
      <c r="AI538" s="9">
        <v>0</v>
      </c>
      <c r="AJ538" s="9">
        <v>0</v>
      </c>
      <c r="AK538" s="9">
        <v>0</v>
      </c>
      <c r="AL538" s="9">
        <v>0</v>
      </c>
      <c r="AM538" s="9">
        <v>0</v>
      </c>
      <c r="AN538" s="9">
        <v>0</v>
      </c>
      <c r="AO538" s="9">
        <v>0</v>
      </c>
      <c r="AP538" s="9">
        <v>0</v>
      </c>
      <c r="AQ538" s="9">
        <v>0</v>
      </c>
      <c r="AR538" s="9">
        <v>0</v>
      </c>
      <c r="AS538" s="10">
        <f t="shared" si="43"/>
        <v>0</v>
      </c>
      <c r="AT538" s="10">
        <f t="shared" si="44"/>
        <v>0</v>
      </c>
      <c r="AU538" s="5" t="s">
        <v>559</v>
      </c>
    </row>
    <row r="539" spans="1:47" ht="15" customHeight="1" x14ac:dyDescent="0.3">
      <c r="A539" s="7" t="str">
        <f t="shared" si="40"/>
        <v>108_2023</v>
      </c>
      <c r="B539" s="7">
        <v>538</v>
      </c>
      <c r="C539" s="7">
        <f>'Panel Data (Long Format)'!B539</f>
        <v>108</v>
      </c>
      <c r="D539" s="7" t="str">
        <f>'Panel Data (Long Format)'!C539</f>
        <v>RONCHESS</v>
      </c>
      <c r="E539" s="8" t="str">
        <f>'Panel Data (Long Format)'!D539</f>
        <v>Ronchess Global Resources Plc</v>
      </c>
      <c r="F539" s="7" t="str">
        <f>'Panel Data (Long Format)'!E539</f>
        <v>CONSTRUCTION/REAL ESTATE</v>
      </c>
      <c r="G539" s="7">
        <f>'Panel Data (Long Format)'!F539</f>
        <v>2023</v>
      </c>
      <c r="H539" s="9">
        <v>0</v>
      </c>
      <c r="I539" s="9">
        <v>0</v>
      </c>
      <c r="J539" s="9">
        <v>0</v>
      </c>
      <c r="K539" s="9">
        <v>0</v>
      </c>
      <c r="L539" s="9">
        <v>0</v>
      </c>
      <c r="M539" s="9">
        <v>0</v>
      </c>
      <c r="N539" s="9">
        <v>0</v>
      </c>
      <c r="O539" s="9">
        <v>0</v>
      </c>
      <c r="P539" s="9">
        <v>0</v>
      </c>
      <c r="Q539" s="9">
        <v>0</v>
      </c>
      <c r="R539" s="9">
        <v>0</v>
      </c>
      <c r="S539" s="9">
        <v>0</v>
      </c>
      <c r="T539" s="9">
        <v>0</v>
      </c>
      <c r="U539" s="9">
        <v>0</v>
      </c>
      <c r="V539" s="9">
        <v>0</v>
      </c>
      <c r="W539" s="9">
        <v>0</v>
      </c>
      <c r="X539" s="9">
        <v>0</v>
      </c>
      <c r="Y539" s="9">
        <v>0</v>
      </c>
      <c r="Z539" s="9">
        <v>0</v>
      </c>
      <c r="AA539" s="9">
        <v>0</v>
      </c>
      <c r="AB539" s="10">
        <f t="shared" si="41"/>
        <v>0</v>
      </c>
      <c r="AC539" s="10">
        <f t="shared" si="42"/>
        <v>0</v>
      </c>
      <c r="AD539" s="9">
        <v>0</v>
      </c>
      <c r="AE539" s="9">
        <v>0</v>
      </c>
      <c r="AF539" s="9">
        <v>0</v>
      </c>
      <c r="AG539" s="9">
        <v>0</v>
      </c>
      <c r="AH539" s="9">
        <v>0</v>
      </c>
      <c r="AI539" s="9">
        <v>0</v>
      </c>
      <c r="AJ539" s="9">
        <v>0</v>
      </c>
      <c r="AK539" s="9">
        <v>0</v>
      </c>
      <c r="AL539" s="9">
        <v>0</v>
      </c>
      <c r="AM539" s="9">
        <v>0</v>
      </c>
      <c r="AN539" s="9">
        <v>0</v>
      </c>
      <c r="AO539" s="9">
        <v>0</v>
      </c>
      <c r="AP539" s="9">
        <v>0</v>
      </c>
      <c r="AQ539" s="9">
        <v>0</v>
      </c>
      <c r="AR539" s="9">
        <v>0</v>
      </c>
      <c r="AS539" s="10">
        <f t="shared" si="43"/>
        <v>0</v>
      </c>
      <c r="AT539" s="10">
        <f t="shared" si="44"/>
        <v>0</v>
      </c>
      <c r="AU539" s="5" t="s">
        <v>559</v>
      </c>
    </row>
    <row r="540" spans="1:47" ht="15" customHeight="1" x14ac:dyDescent="0.3">
      <c r="A540" s="7" t="str">
        <f t="shared" si="40"/>
        <v>108_2024</v>
      </c>
      <c r="B540" s="7">
        <v>539</v>
      </c>
      <c r="C540" s="7">
        <f>'Panel Data (Long Format)'!B540</f>
        <v>108</v>
      </c>
      <c r="D540" s="7" t="str">
        <f>'Panel Data (Long Format)'!C540</f>
        <v>RONCHESS</v>
      </c>
      <c r="E540" s="8" t="str">
        <f>'Panel Data (Long Format)'!D540</f>
        <v>Ronchess Global Resources Plc</v>
      </c>
      <c r="F540" s="7" t="str">
        <f>'Panel Data (Long Format)'!E540</f>
        <v>CONSTRUCTION/REAL ESTATE</v>
      </c>
      <c r="G540" s="7">
        <f>'Panel Data (Long Format)'!F540</f>
        <v>2024</v>
      </c>
      <c r="H540" s="9">
        <v>0</v>
      </c>
      <c r="I540" s="9">
        <v>0</v>
      </c>
      <c r="J540" s="9">
        <v>0</v>
      </c>
      <c r="K540" s="9">
        <v>0</v>
      </c>
      <c r="L540" s="9">
        <v>0</v>
      </c>
      <c r="M540" s="9">
        <v>0</v>
      </c>
      <c r="N540" s="9">
        <v>0</v>
      </c>
      <c r="O540" s="9">
        <v>0</v>
      </c>
      <c r="P540" s="9">
        <v>0</v>
      </c>
      <c r="Q540" s="9">
        <v>0</v>
      </c>
      <c r="R540" s="9">
        <v>0</v>
      </c>
      <c r="S540" s="9">
        <v>0</v>
      </c>
      <c r="T540" s="9">
        <v>0</v>
      </c>
      <c r="U540" s="9">
        <v>0</v>
      </c>
      <c r="V540" s="9">
        <v>0</v>
      </c>
      <c r="W540" s="9">
        <v>0</v>
      </c>
      <c r="X540" s="9">
        <v>0</v>
      </c>
      <c r="Y540" s="9">
        <v>0</v>
      </c>
      <c r="Z540" s="9">
        <v>0</v>
      </c>
      <c r="AA540" s="9">
        <v>0</v>
      </c>
      <c r="AB540" s="10">
        <f t="shared" si="41"/>
        <v>0</v>
      </c>
      <c r="AC540" s="10">
        <f t="shared" si="42"/>
        <v>0</v>
      </c>
      <c r="AD540" s="9">
        <v>0</v>
      </c>
      <c r="AE540" s="9">
        <v>0</v>
      </c>
      <c r="AF540" s="9">
        <v>0</v>
      </c>
      <c r="AG540" s="9">
        <v>0</v>
      </c>
      <c r="AH540" s="9">
        <v>0</v>
      </c>
      <c r="AI540" s="9">
        <v>0</v>
      </c>
      <c r="AJ540" s="9">
        <v>0</v>
      </c>
      <c r="AK540" s="9">
        <v>0</v>
      </c>
      <c r="AL540" s="9">
        <v>0</v>
      </c>
      <c r="AM540" s="9">
        <v>0</v>
      </c>
      <c r="AN540" s="9">
        <v>0</v>
      </c>
      <c r="AO540" s="9">
        <v>0</v>
      </c>
      <c r="AP540" s="9">
        <v>0</v>
      </c>
      <c r="AQ540" s="9">
        <v>0</v>
      </c>
      <c r="AR540" s="9">
        <v>0</v>
      </c>
      <c r="AS540" s="10">
        <f t="shared" si="43"/>
        <v>0</v>
      </c>
      <c r="AT540" s="10">
        <f t="shared" si="44"/>
        <v>0</v>
      </c>
      <c r="AU540" s="5" t="s">
        <v>559</v>
      </c>
    </row>
    <row r="541" spans="1:47" ht="15" customHeight="1" x14ac:dyDescent="0.3">
      <c r="A541" s="7" t="str">
        <f t="shared" si="40"/>
        <v>108_2025</v>
      </c>
      <c r="B541" s="7">
        <v>540</v>
      </c>
      <c r="C541" s="7">
        <f>'Panel Data (Long Format)'!B541</f>
        <v>108</v>
      </c>
      <c r="D541" s="7" t="str">
        <f>'Panel Data (Long Format)'!C541</f>
        <v>RONCHESS</v>
      </c>
      <c r="E541" s="8" t="str">
        <f>'Panel Data (Long Format)'!D541</f>
        <v>Ronchess Global Resources Plc</v>
      </c>
      <c r="F541" s="7" t="str">
        <f>'Panel Data (Long Format)'!E541</f>
        <v>CONSTRUCTION/REAL ESTATE</v>
      </c>
      <c r="G541" s="7">
        <f>'Panel Data (Long Format)'!F541</f>
        <v>2025</v>
      </c>
      <c r="H541" s="9">
        <v>0</v>
      </c>
      <c r="I541" s="9">
        <v>0</v>
      </c>
      <c r="J541" s="9">
        <v>0</v>
      </c>
      <c r="K541" s="9">
        <v>0</v>
      </c>
      <c r="L541" s="9">
        <v>0</v>
      </c>
      <c r="M541" s="9">
        <v>0</v>
      </c>
      <c r="N541" s="9">
        <v>0</v>
      </c>
      <c r="O541" s="9">
        <v>0</v>
      </c>
      <c r="P541" s="9">
        <v>0</v>
      </c>
      <c r="Q541" s="9">
        <v>0</v>
      </c>
      <c r="R541" s="9">
        <v>0</v>
      </c>
      <c r="S541" s="9">
        <v>0</v>
      </c>
      <c r="T541" s="9">
        <v>0</v>
      </c>
      <c r="U541" s="9">
        <v>0</v>
      </c>
      <c r="V541" s="9">
        <v>0</v>
      </c>
      <c r="W541" s="9">
        <v>0</v>
      </c>
      <c r="X541" s="9">
        <v>0</v>
      </c>
      <c r="Y541" s="9">
        <v>0</v>
      </c>
      <c r="Z541" s="9">
        <v>0</v>
      </c>
      <c r="AA541" s="9">
        <v>0</v>
      </c>
      <c r="AB541" s="10">
        <f t="shared" si="41"/>
        <v>0</v>
      </c>
      <c r="AC541" s="10">
        <f t="shared" si="42"/>
        <v>0</v>
      </c>
      <c r="AD541" s="9">
        <v>0</v>
      </c>
      <c r="AE541" s="9">
        <v>0</v>
      </c>
      <c r="AF541" s="9">
        <v>0</v>
      </c>
      <c r="AG541" s="9">
        <v>0</v>
      </c>
      <c r="AH541" s="9">
        <v>0</v>
      </c>
      <c r="AI541" s="9">
        <v>0</v>
      </c>
      <c r="AJ541" s="9">
        <v>0</v>
      </c>
      <c r="AK541" s="9">
        <v>0</v>
      </c>
      <c r="AL541" s="9">
        <v>0</v>
      </c>
      <c r="AM541" s="9">
        <v>0</v>
      </c>
      <c r="AN541" s="9">
        <v>0</v>
      </c>
      <c r="AO541" s="9">
        <v>0</v>
      </c>
      <c r="AP541" s="9">
        <v>0</v>
      </c>
      <c r="AQ541" s="9">
        <v>0</v>
      </c>
      <c r="AR541" s="9">
        <v>0</v>
      </c>
      <c r="AS541" s="10">
        <f t="shared" si="43"/>
        <v>0</v>
      </c>
      <c r="AT541" s="10">
        <f t="shared" si="44"/>
        <v>0</v>
      </c>
      <c r="AU541" s="5" t="s">
        <v>559</v>
      </c>
    </row>
    <row r="542" spans="1:47" ht="15" customHeight="1" x14ac:dyDescent="0.3">
      <c r="A542" s="7" t="str">
        <f t="shared" si="40"/>
        <v>109_2021</v>
      </c>
      <c r="B542" s="7">
        <v>541</v>
      </c>
      <c r="C542" s="7">
        <f>'Panel Data (Long Format)'!B542</f>
        <v>109</v>
      </c>
      <c r="D542" s="7" t="str">
        <f>'Panel Data (Long Format)'!C542</f>
        <v>ROYALEX</v>
      </c>
      <c r="E542" s="8" t="str">
        <f>'Panel Data (Long Format)'!D542</f>
        <v>Royal Exchange Plc</v>
      </c>
      <c r="F542" s="7" t="str">
        <f>'Panel Data (Long Format)'!E542</f>
        <v>FINANCIAL SERVICES</v>
      </c>
      <c r="G542" s="7">
        <f>'Panel Data (Long Format)'!F542</f>
        <v>2021</v>
      </c>
      <c r="H542" s="9">
        <v>0</v>
      </c>
      <c r="I542" s="9">
        <v>0</v>
      </c>
      <c r="J542" s="9">
        <v>0</v>
      </c>
      <c r="K542" s="9">
        <v>0</v>
      </c>
      <c r="L542" s="9">
        <v>0</v>
      </c>
      <c r="M542" s="9">
        <v>0</v>
      </c>
      <c r="N542" s="9">
        <v>0</v>
      </c>
      <c r="O542" s="9">
        <v>0</v>
      </c>
      <c r="P542" s="9">
        <v>0</v>
      </c>
      <c r="Q542" s="9">
        <v>0</v>
      </c>
      <c r="R542" s="9">
        <v>0</v>
      </c>
      <c r="S542" s="9">
        <v>0</v>
      </c>
      <c r="T542" s="9">
        <v>0</v>
      </c>
      <c r="U542" s="9">
        <v>0</v>
      </c>
      <c r="V542" s="9">
        <v>0</v>
      </c>
      <c r="W542" s="9">
        <v>0</v>
      </c>
      <c r="X542" s="9">
        <v>0</v>
      </c>
      <c r="Y542" s="9">
        <v>0</v>
      </c>
      <c r="Z542" s="9">
        <v>0</v>
      </c>
      <c r="AA542" s="9">
        <v>0</v>
      </c>
      <c r="AB542" s="10">
        <f t="shared" si="41"/>
        <v>0</v>
      </c>
      <c r="AC542" s="10">
        <f t="shared" si="42"/>
        <v>0</v>
      </c>
      <c r="AD542" s="9">
        <v>0</v>
      </c>
      <c r="AE542" s="9">
        <v>0</v>
      </c>
      <c r="AF542" s="9">
        <v>0</v>
      </c>
      <c r="AG542" s="9">
        <v>0</v>
      </c>
      <c r="AH542" s="9">
        <v>0</v>
      </c>
      <c r="AI542" s="9">
        <v>0</v>
      </c>
      <c r="AJ542" s="9">
        <v>0</v>
      </c>
      <c r="AK542" s="9">
        <v>0</v>
      </c>
      <c r="AL542" s="9">
        <v>0</v>
      </c>
      <c r="AM542" s="9">
        <v>0</v>
      </c>
      <c r="AN542" s="9">
        <v>0</v>
      </c>
      <c r="AO542" s="9">
        <v>0</v>
      </c>
      <c r="AP542" s="9">
        <v>0</v>
      </c>
      <c r="AQ542" s="9">
        <v>0</v>
      </c>
      <c r="AR542" s="9">
        <v>0</v>
      </c>
      <c r="AS542" s="10">
        <f t="shared" si="43"/>
        <v>0</v>
      </c>
      <c r="AT542" s="10">
        <f t="shared" si="44"/>
        <v>0</v>
      </c>
      <c r="AU542" s="5" t="s">
        <v>560</v>
      </c>
    </row>
    <row r="543" spans="1:47" ht="15" customHeight="1" x14ac:dyDescent="0.3">
      <c r="A543" s="7" t="str">
        <f t="shared" si="40"/>
        <v>109_2022</v>
      </c>
      <c r="B543" s="7">
        <v>542</v>
      </c>
      <c r="C543" s="7">
        <f>'Panel Data (Long Format)'!B543</f>
        <v>109</v>
      </c>
      <c r="D543" s="7" t="str">
        <f>'Panel Data (Long Format)'!C543</f>
        <v>ROYALEX</v>
      </c>
      <c r="E543" s="8" t="str">
        <f>'Panel Data (Long Format)'!D543</f>
        <v>Royal Exchange Plc</v>
      </c>
      <c r="F543" s="7" t="str">
        <f>'Panel Data (Long Format)'!E543</f>
        <v>FINANCIAL SERVICES</v>
      </c>
      <c r="G543" s="7">
        <f>'Panel Data (Long Format)'!F543</f>
        <v>2022</v>
      </c>
      <c r="H543" s="9">
        <v>0</v>
      </c>
      <c r="I543" s="9">
        <v>0</v>
      </c>
      <c r="J543" s="9">
        <v>0</v>
      </c>
      <c r="K543" s="9">
        <v>0</v>
      </c>
      <c r="L543" s="9">
        <v>0</v>
      </c>
      <c r="M543" s="9">
        <v>0</v>
      </c>
      <c r="N543" s="9">
        <v>0</v>
      </c>
      <c r="O543" s="9">
        <v>0</v>
      </c>
      <c r="P543" s="9">
        <v>0</v>
      </c>
      <c r="Q543" s="9">
        <v>0</v>
      </c>
      <c r="R543" s="9">
        <v>0</v>
      </c>
      <c r="S543" s="9">
        <v>0</v>
      </c>
      <c r="T543" s="9">
        <v>0</v>
      </c>
      <c r="U543" s="9">
        <v>0</v>
      </c>
      <c r="V543" s="9">
        <v>0</v>
      </c>
      <c r="W543" s="9">
        <v>0</v>
      </c>
      <c r="X543" s="9">
        <v>0</v>
      </c>
      <c r="Y543" s="9">
        <v>0</v>
      </c>
      <c r="Z543" s="9">
        <v>0</v>
      </c>
      <c r="AA543" s="9">
        <v>0</v>
      </c>
      <c r="AB543" s="10">
        <f t="shared" si="41"/>
        <v>0</v>
      </c>
      <c r="AC543" s="10">
        <f t="shared" si="42"/>
        <v>0</v>
      </c>
      <c r="AD543" s="9">
        <v>0</v>
      </c>
      <c r="AE543" s="9">
        <v>0</v>
      </c>
      <c r="AF543" s="9">
        <v>0</v>
      </c>
      <c r="AG543" s="9">
        <v>0</v>
      </c>
      <c r="AH543" s="9">
        <v>0</v>
      </c>
      <c r="AI543" s="9">
        <v>0</v>
      </c>
      <c r="AJ543" s="9">
        <v>0</v>
      </c>
      <c r="AK543" s="9">
        <v>0</v>
      </c>
      <c r="AL543" s="9">
        <v>0</v>
      </c>
      <c r="AM543" s="9">
        <v>0</v>
      </c>
      <c r="AN543" s="9">
        <v>0</v>
      </c>
      <c r="AO543" s="9">
        <v>0</v>
      </c>
      <c r="AP543" s="9">
        <v>0</v>
      </c>
      <c r="AQ543" s="9">
        <v>0</v>
      </c>
      <c r="AR543" s="9">
        <v>0</v>
      </c>
      <c r="AS543" s="10">
        <f t="shared" si="43"/>
        <v>0</v>
      </c>
      <c r="AT543" s="10">
        <f t="shared" si="44"/>
        <v>0</v>
      </c>
      <c r="AU543" s="5" t="s">
        <v>561</v>
      </c>
    </row>
    <row r="544" spans="1:47" ht="15" customHeight="1" x14ac:dyDescent="0.3">
      <c r="A544" s="7" t="str">
        <f t="shared" si="40"/>
        <v>109_2023</v>
      </c>
      <c r="B544" s="7">
        <v>543</v>
      </c>
      <c r="C544" s="7">
        <f>'Panel Data (Long Format)'!B544</f>
        <v>109</v>
      </c>
      <c r="D544" s="7" t="str">
        <f>'Panel Data (Long Format)'!C544</f>
        <v>ROYALEX</v>
      </c>
      <c r="E544" s="8" t="str">
        <f>'Panel Data (Long Format)'!D544</f>
        <v>Royal Exchange Plc</v>
      </c>
      <c r="F544" s="7" t="str">
        <f>'Panel Data (Long Format)'!E544</f>
        <v>FINANCIAL SERVICES</v>
      </c>
      <c r="G544" s="7">
        <f>'Panel Data (Long Format)'!F544</f>
        <v>2023</v>
      </c>
      <c r="H544" s="9">
        <v>0</v>
      </c>
      <c r="I544" s="9">
        <v>0</v>
      </c>
      <c r="J544" s="9">
        <v>0</v>
      </c>
      <c r="K544" s="9">
        <v>0</v>
      </c>
      <c r="L544" s="9">
        <v>0</v>
      </c>
      <c r="M544" s="9">
        <v>1</v>
      </c>
      <c r="N544" s="9">
        <v>1</v>
      </c>
      <c r="O544" s="9">
        <v>1</v>
      </c>
      <c r="P544" s="9">
        <v>0</v>
      </c>
      <c r="Q544" s="9">
        <v>1</v>
      </c>
      <c r="R544" s="9">
        <v>1</v>
      </c>
      <c r="S544" s="9">
        <v>0</v>
      </c>
      <c r="T544" s="9">
        <v>0</v>
      </c>
      <c r="U544" s="9">
        <v>0</v>
      </c>
      <c r="V544" s="9">
        <v>0</v>
      </c>
      <c r="W544" s="9">
        <v>0</v>
      </c>
      <c r="X544" s="9">
        <v>0</v>
      </c>
      <c r="Y544" s="9">
        <v>0</v>
      </c>
      <c r="Z544" s="9">
        <v>0</v>
      </c>
      <c r="AA544" s="9">
        <v>0</v>
      </c>
      <c r="AB544" s="10">
        <f t="shared" si="41"/>
        <v>5</v>
      </c>
      <c r="AC544" s="10">
        <f t="shared" si="42"/>
        <v>25</v>
      </c>
      <c r="AD544" s="9">
        <v>0</v>
      </c>
      <c r="AE544" s="9">
        <v>0</v>
      </c>
      <c r="AF544" s="9">
        <v>0</v>
      </c>
      <c r="AG544" s="9">
        <v>0</v>
      </c>
      <c r="AH544" s="9">
        <v>1</v>
      </c>
      <c r="AI544" s="9">
        <v>0</v>
      </c>
      <c r="AJ544" s="9">
        <v>1</v>
      </c>
      <c r="AK544" s="9">
        <v>0</v>
      </c>
      <c r="AL544" s="9">
        <v>0</v>
      </c>
      <c r="AM544" s="9">
        <v>0</v>
      </c>
      <c r="AN544" s="9">
        <v>0</v>
      </c>
      <c r="AO544" s="9">
        <v>0</v>
      </c>
      <c r="AP544" s="9">
        <v>1</v>
      </c>
      <c r="AQ544" s="9">
        <v>0</v>
      </c>
      <c r="AR544" s="9">
        <v>0</v>
      </c>
      <c r="AS544" s="10">
        <f t="shared" si="43"/>
        <v>3</v>
      </c>
      <c r="AT544" s="10">
        <f t="shared" si="44"/>
        <v>20</v>
      </c>
      <c r="AU544" s="5" t="s">
        <v>562</v>
      </c>
    </row>
    <row r="545" spans="1:47" ht="15" customHeight="1" x14ac:dyDescent="0.3">
      <c r="A545" s="7" t="str">
        <f t="shared" si="40"/>
        <v>109_2024</v>
      </c>
      <c r="B545" s="7">
        <v>544</v>
      </c>
      <c r="C545" s="7">
        <f>'Panel Data (Long Format)'!B545</f>
        <v>109</v>
      </c>
      <c r="D545" s="7" t="str">
        <f>'Panel Data (Long Format)'!C545</f>
        <v>ROYALEX</v>
      </c>
      <c r="E545" s="8" t="str">
        <f>'Panel Data (Long Format)'!D545</f>
        <v>Royal Exchange Plc</v>
      </c>
      <c r="F545" s="7" t="str">
        <f>'Panel Data (Long Format)'!E545</f>
        <v>FINANCIAL SERVICES</v>
      </c>
      <c r="G545" s="7">
        <f>'Panel Data (Long Format)'!F545</f>
        <v>2024</v>
      </c>
      <c r="H545" s="9">
        <v>0</v>
      </c>
      <c r="I545" s="9">
        <v>0</v>
      </c>
      <c r="J545" s="9">
        <v>0</v>
      </c>
      <c r="K545" s="9">
        <v>0</v>
      </c>
      <c r="L545" s="9">
        <v>0</v>
      </c>
      <c r="M545" s="9">
        <v>1</v>
      </c>
      <c r="N545" s="9">
        <v>1</v>
      </c>
      <c r="O545" s="9">
        <v>1</v>
      </c>
      <c r="P545" s="9">
        <v>0</v>
      </c>
      <c r="Q545" s="9">
        <v>1</v>
      </c>
      <c r="R545" s="9">
        <v>1</v>
      </c>
      <c r="S545" s="9">
        <v>0</v>
      </c>
      <c r="T545" s="9">
        <v>0</v>
      </c>
      <c r="U545" s="9">
        <v>0</v>
      </c>
      <c r="V545" s="9">
        <v>0</v>
      </c>
      <c r="W545" s="9">
        <v>0</v>
      </c>
      <c r="X545" s="9">
        <v>0</v>
      </c>
      <c r="Y545" s="9">
        <v>0</v>
      </c>
      <c r="Z545" s="9">
        <v>0</v>
      </c>
      <c r="AA545" s="9">
        <v>0</v>
      </c>
      <c r="AB545" s="10">
        <f t="shared" si="41"/>
        <v>5</v>
      </c>
      <c r="AC545" s="10">
        <f t="shared" si="42"/>
        <v>25</v>
      </c>
      <c r="AD545" s="9">
        <v>0</v>
      </c>
      <c r="AE545" s="9">
        <v>0</v>
      </c>
      <c r="AF545" s="9">
        <v>0</v>
      </c>
      <c r="AG545" s="9">
        <v>0</v>
      </c>
      <c r="AH545" s="9">
        <v>1</v>
      </c>
      <c r="AI545" s="9">
        <v>0</v>
      </c>
      <c r="AJ545" s="9">
        <v>1</v>
      </c>
      <c r="AK545" s="9">
        <v>0</v>
      </c>
      <c r="AL545" s="9">
        <v>0</v>
      </c>
      <c r="AM545" s="9">
        <v>0</v>
      </c>
      <c r="AN545" s="9">
        <v>0</v>
      </c>
      <c r="AO545" s="9">
        <v>0</v>
      </c>
      <c r="AP545" s="9">
        <v>1</v>
      </c>
      <c r="AQ545" s="9">
        <v>0</v>
      </c>
      <c r="AR545" s="9">
        <v>0</v>
      </c>
      <c r="AS545" s="10">
        <f t="shared" si="43"/>
        <v>3</v>
      </c>
      <c r="AT545" s="10">
        <f t="shared" si="44"/>
        <v>20</v>
      </c>
      <c r="AU545" s="5" t="s">
        <v>563</v>
      </c>
    </row>
    <row r="546" spans="1:47" ht="15" customHeight="1" x14ac:dyDescent="0.3">
      <c r="A546" s="7" t="str">
        <f t="shared" si="40"/>
        <v>109_2025</v>
      </c>
      <c r="B546" s="7">
        <v>545</v>
      </c>
      <c r="C546" s="7">
        <f>'Panel Data (Long Format)'!B546</f>
        <v>109</v>
      </c>
      <c r="D546" s="7" t="str">
        <f>'Panel Data (Long Format)'!C546</f>
        <v>ROYALEX</v>
      </c>
      <c r="E546" s="8" t="str">
        <f>'Panel Data (Long Format)'!D546</f>
        <v>Royal Exchange Plc</v>
      </c>
      <c r="F546" s="7" t="str">
        <f>'Panel Data (Long Format)'!E546</f>
        <v>FINANCIAL SERVICES</v>
      </c>
      <c r="G546" s="7">
        <f>'Panel Data (Long Format)'!F546</f>
        <v>2025</v>
      </c>
      <c r="H546" s="9">
        <v>0</v>
      </c>
      <c r="I546" s="9">
        <v>0</v>
      </c>
      <c r="J546" s="9">
        <v>0</v>
      </c>
      <c r="K546" s="9">
        <v>0</v>
      </c>
      <c r="L546" s="9">
        <v>0</v>
      </c>
      <c r="M546" s="9">
        <v>1</v>
      </c>
      <c r="N546" s="9">
        <v>1</v>
      </c>
      <c r="O546" s="9">
        <v>1</v>
      </c>
      <c r="P546" s="9">
        <v>0</v>
      </c>
      <c r="Q546" s="9">
        <v>1</v>
      </c>
      <c r="R546" s="9">
        <v>1</v>
      </c>
      <c r="S546" s="9">
        <v>0</v>
      </c>
      <c r="T546" s="9">
        <v>0</v>
      </c>
      <c r="U546" s="9">
        <v>0</v>
      </c>
      <c r="V546" s="9">
        <v>0</v>
      </c>
      <c r="W546" s="9">
        <v>0</v>
      </c>
      <c r="X546" s="9">
        <v>0</v>
      </c>
      <c r="Y546" s="9">
        <v>0</v>
      </c>
      <c r="Z546" s="9">
        <v>0</v>
      </c>
      <c r="AA546" s="9">
        <v>0</v>
      </c>
      <c r="AB546" s="10">
        <f t="shared" si="41"/>
        <v>5</v>
      </c>
      <c r="AC546" s="10">
        <f t="shared" si="42"/>
        <v>25</v>
      </c>
      <c r="AD546" s="9">
        <v>0</v>
      </c>
      <c r="AE546" s="9">
        <v>0</v>
      </c>
      <c r="AF546" s="9">
        <v>0</v>
      </c>
      <c r="AG546" s="9">
        <v>0</v>
      </c>
      <c r="AH546" s="9">
        <v>1</v>
      </c>
      <c r="AI546" s="9">
        <v>0</v>
      </c>
      <c r="AJ546" s="9">
        <v>1</v>
      </c>
      <c r="AK546" s="9">
        <v>0</v>
      </c>
      <c r="AL546" s="9">
        <v>0</v>
      </c>
      <c r="AM546" s="9">
        <v>0</v>
      </c>
      <c r="AN546" s="9">
        <v>0</v>
      </c>
      <c r="AO546" s="9">
        <v>0</v>
      </c>
      <c r="AP546" s="9">
        <v>1</v>
      </c>
      <c r="AQ546" s="9">
        <v>0</v>
      </c>
      <c r="AR546" s="9">
        <v>0</v>
      </c>
      <c r="AS546" s="10">
        <f t="shared" si="43"/>
        <v>3</v>
      </c>
      <c r="AT546" s="10">
        <f t="shared" si="44"/>
        <v>20</v>
      </c>
      <c r="AU546" s="5" t="s">
        <v>564</v>
      </c>
    </row>
    <row r="547" spans="1:47" ht="15" customHeight="1" x14ac:dyDescent="0.3">
      <c r="A547" s="7" t="str">
        <f t="shared" si="40"/>
        <v>110_2021</v>
      </c>
      <c r="B547" s="7">
        <v>546</v>
      </c>
      <c r="C547" s="7">
        <f>'Panel Data (Long Format)'!B547</f>
        <v>110</v>
      </c>
      <c r="D547" s="7" t="str">
        <f>'Panel Data (Long Format)'!C547</f>
        <v>RTBRISCOE</v>
      </c>
      <c r="E547" s="8" t="str">
        <f>'Panel Data (Long Format)'!D547</f>
        <v>R.T. Briscoe Nigeria Plc</v>
      </c>
      <c r="F547" s="7" t="str">
        <f>'Panel Data (Long Format)'!E547</f>
        <v>SERVICES</v>
      </c>
      <c r="G547" s="7">
        <f>'Panel Data (Long Format)'!F547</f>
        <v>2021</v>
      </c>
      <c r="H547" s="9">
        <v>0</v>
      </c>
      <c r="I547" s="9">
        <v>0</v>
      </c>
      <c r="J547" s="9">
        <v>0</v>
      </c>
      <c r="K547" s="9">
        <v>0</v>
      </c>
      <c r="L547" s="9">
        <v>0</v>
      </c>
      <c r="M547" s="9">
        <v>0</v>
      </c>
      <c r="N547" s="9">
        <v>0</v>
      </c>
      <c r="O547" s="9">
        <v>0</v>
      </c>
      <c r="P547" s="9">
        <v>0</v>
      </c>
      <c r="Q547" s="9">
        <v>0</v>
      </c>
      <c r="R547" s="9">
        <v>0</v>
      </c>
      <c r="S547" s="9">
        <v>0</v>
      </c>
      <c r="T547" s="9">
        <v>0</v>
      </c>
      <c r="U547" s="9">
        <v>0</v>
      </c>
      <c r="V547" s="9">
        <v>0</v>
      </c>
      <c r="W547" s="9">
        <v>0</v>
      </c>
      <c r="X547" s="9">
        <v>0</v>
      </c>
      <c r="Y547" s="9">
        <v>0</v>
      </c>
      <c r="Z547" s="9">
        <v>0</v>
      </c>
      <c r="AA547" s="9">
        <v>0</v>
      </c>
      <c r="AB547" s="10">
        <f t="shared" si="41"/>
        <v>0</v>
      </c>
      <c r="AC547" s="10">
        <f t="shared" si="42"/>
        <v>0</v>
      </c>
      <c r="AD547" s="9">
        <v>0</v>
      </c>
      <c r="AE547" s="9">
        <v>0</v>
      </c>
      <c r="AF547" s="9">
        <v>0</v>
      </c>
      <c r="AG547" s="9">
        <v>0</v>
      </c>
      <c r="AH547" s="9">
        <v>0</v>
      </c>
      <c r="AI547" s="9">
        <v>0</v>
      </c>
      <c r="AJ547" s="9">
        <v>0</v>
      </c>
      <c r="AK547" s="9">
        <v>0</v>
      </c>
      <c r="AL547" s="9">
        <v>0</v>
      </c>
      <c r="AM547" s="9">
        <v>0</v>
      </c>
      <c r="AN547" s="9">
        <v>0</v>
      </c>
      <c r="AO547" s="9">
        <v>0</v>
      </c>
      <c r="AP547" s="9">
        <v>0</v>
      </c>
      <c r="AQ547" s="9">
        <v>0</v>
      </c>
      <c r="AR547" s="9">
        <v>0</v>
      </c>
      <c r="AS547" s="10">
        <f t="shared" si="43"/>
        <v>0</v>
      </c>
      <c r="AT547" s="10">
        <f t="shared" si="44"/>
        <v>0</v>
      </c>
      <c r="AU547" s="5" t="s">
        <v>565</v>
      </c>
    </row>
    <row r="548" spans="1:47" ht="15" customHeight="1" x14ac:dyDescent="0.3">
      <c r="A548" s="7" t="str">
        <f t="shared" si="40"/>
        <v>110_2022</v>
      </c>
      <c r="B548" s="7">
        <v>547</v>
      </c>
      <c r="C548" s="7">
        <f>'Panel Data (Long Format)'!B548</f>
        <v>110</v>
      </c>
      <c r="D548" s="7" t="str">
        <f>'Panel Data (Long Format)'!C548</f>
        <v>RTBRISCOE</v>
      </c>
      <c r="E548" s="8" t="str">
        <f>'Panel Data (Long Format)'!D548</f>
        <v>R.T. Briscoe Nigeria Plc</v>
      </c>
      <c r="F548" s="7" t="str">
        <f>'Panel Data (Long Format)'!E548</f>
        <v>SERVICES</v>
      </c>
      <c r="G548" s="7">
        <f>'Panel Data (Long Format)'!F548</f>
        <v>2022</v>
      </c>
      <c r="H548" s="9">
        <v>0</v>
      </c>
      <c r="I548" s="9">
        <v>0</v>
      </c>
      <c r="J548" s="9">
        <v>0</v>
      </c>
      <c r="K548" s="9">
        <v>0</v>
      </c>
      <c r="L548" s="9">
        <v>0</v>
      </c>
      <c r="M548" s="9">
        <v>0</v>
      </c>
      <c r="N548" s="9">
        <v>0</v>
      </c>
      <c r="O548" s="9">
        <v>0</v>
      </c>
      <c r="P548" s="9">
        <v>0</v>
      </c>
      <c r="Q548" s="9">
        <v>0</v>
      </c>
      <c r="R548" s="9">
        <v>0</v>
      </c>
      <c r="S548" s="9">
        <v>0</v>
      </c>
      <c r="T548" s="9">
        <v>0</v>
      </c>
      <c r="U548" s="9">
        <v>0</v>
      </c>
      <c r="V548" s="9">
        <v>0</v>
      </c>
      <c r="W548" s="9">
        <v>0</v>
      </c>
      <c r="X548" s="9">
        <v>0</v>
      </c>
      <c r="Y548" s="9">
        <v>0</v>
      </c>
      <c r="Z548" s="9">
        <v>0</v>
      </c>
      <c r="AA548" s="9">
        <v>0</v>
      </c>
      <c r="AB548" s="10">
        <f t="shared" si="41"/>
        <v>0</v>
      </c>
      <c r="AC548" s="10">
        <f t="shared" si="42"/>
        <v>0</v>
      </c>
      <c r="AD548" s="9">
        <v>0</v>
      </c>
      <c r="AE548" s="9">
        <v>0</v>
      </c>
      <c r="AF548" s="9">
        <v>0</v>
      </c>
      <c r="AG548" s="9">
        <v>0</v>
      </c>
      <c r="AH548" s="9">
        <v>0</v>
      </c>
      <c r="AI548" s="9">
        <v>0</v>
      </c>
      <c r="AJ548" s="9">
        <v>0</v>
      </c>
      <c r="AK548" s="9">
        <v>0</v>
      </c>
      <c r="AL548" s="9">
        <v>0</v>
      </c>
      <c r="AM548" s="9">
        <v>0</v>
      </c>
      <c r="AN548" s="9">
        <v>0</v>
      </c>
      <c r="AO548" s="9">
        <v>0</v>
      </c>
      <c r="AP548" s="9">
        <v>0</v>
      </c>
      <c r="AQ548" s="9">
        <v>0</v>
      </c>
      <c r="AR548" s="9">
        <v>0</v>
      </c>
      <c r="AS548" s="10">
        <f t="shared" si="43"/>
        <v>0</v>
      </c>
      <c r="AT548" s="10">
        <f t="shared" si="44"/>
        <v>0</v>
      </c>
      <c r="AU548" s="5" t="s">
        <v>566</v>
      </c>
    </row>
    <row r="549" spans="1:47" ht="15" customHeight="1" x14ac:dyDescent="0.3">
      <c r="A549" s="7" t="str">
        <f t="shared" si="40"/>
        <v>110_2023</v>
      </c>
      <c r="B549" s="7">
        <v>548</v>
      </c>
      <c r="C549" s="7">
        <f>'Panel Data (Long Format)'!B549</f>
        <v>110</v>
      </c>
      <c r="D549" s="7" t="str">
        <f>'Panel Data (Long Format)'!C549</f>
        <v>RTBRISCOE</v>
      </c>
      <c r="E549" s="8" t="str">
        <f>'Panel Data (Long Format)'!D549</f>
        <v>R.T. Briscoe Nigeria Plc</v>
      </c>
      <c r="F549" s="7" t="str">
        <f>'Panel Data (Long Format)'!E549</f>
        <v>SERVICES</v>
      </c>
      <c r="G549" s="7">
        <f>'Panel Data (Long Format)'!F549</f>
        <v>2023</v>
      </c>
      <c r="H549" s="9">
        <v>0</v>
      </c>
      <c r="I549" s="9">
        <v>0</v>
      </c>
      <c r="J549" s="9">
        <v>0</v>
      </c>
      <c r="K549" s="9">
        <v>0</v>
      </c>
      <c r="L549" s="9">
        <v>0</v>
      </c>
      <c r="M549" s="9">
        <v>0</v>
      </c>
      <c r="N549" s="9">
        <v>0</v>
      </c>
      <c r="O549" s="9">
        <v>0</v>
      </c>
      <c r="P549" s="9">
        <v>0</v>
      </c>
      <c r="Q549" s="9">
        <v>0</v>
      </c>
      <c r="R549" s="9">
        <v>0</v>
      </c>
      <c r="S549" s="9">
        <v>0</v>
      </c>
      <c r="T549" s="9">
        <v>0</v>
      </c>
      <c r="U549" s="9">
        <v>0</v>
      </c>
      <c r="V549" s="9">
        <v>0</v>
      </c>
      <c r="W549" s="9">
        <v>0</v>
      </c>
      <c r="X549" s="9">
        <v>0</v>
      </c>
      <c r="Y549" s="9">
        <v>0</v>
      </c>
      <c r="Z549" s="9">
        <v>0</v>
      </c>
      <c r="AA549" s="9">
        <v>0</v>
      </c>
      <c r="AB549" s="10">
        <f t="shared" si="41"/>
        <v>0</v>
      </c>
      <c r="AC549" s="10">
        <f t="shared" si="42"/>
        <v>0</v>
      </c>
      <c r="AD549" s="9">
        <v>0</v>
      </c>
      <c r="AE549" s="9">
        <v>0</v>
      </c>
      <c r="AF549" s="9">
        <v>0</v>
      </c>
      <c r="AG549" s="9">
        <v>0</v>
      </c>
      <c r="AH549" s="9">
        <v>0</v>
      </c>
      <c r="AI549" s="9">
        <v>0</v>
      </c>
      <c r="AJ549" s="9">
        <v>0</v>
      </c>
      <c r="AK549" s="9">
        <v>0</v>
      </c>
      <c r="AL549" s="9">
        <v>0</v>
      </c>
      <c r="AM549" s="9">
        <v>0</v>
      </c>
      <c r="AN549" s="9">
        <v>0</v>
      </c>
      <c r="AO549" s="9">
        <v>0</v>
      </c>
      <c r="AP549" s="9">
        <v>0</v>
      </c>
      <c r="AQ549" s="9">
        <v>0</v>
      </c>
      <c r="AR549" s="9">
        <v>0</v>
      </c>
      <c r="AS549" s="10">
        <f t="shared" si="43"/>
        <v>0</v>
      </c>
      <c r="AT549" s="10">
        <f t="shared" si="44"/>
        <v>0</v>
      </c>
      <c r="AU549" s="5" t="s">
        <v>567</v>
      </c>
    </row>
    <row r="550" spans="1:47" ht="15" customHeight="1" x14ac:dyDescent="0.3">
      <c r="A550" s="7" t="str">
        <f t="shared" si="40"/>
        <v>110_2024</v>
      </c>
      <c r="B550" s="7">
        <v>549</v>
      </c>
      <c r="C550" s="7">
        <f>'Panel Data (Long Format)'!B550</f>
        <v>110</v>
      </c>
      <c r="D550" s="7" t="str">
        <f>'Panel Data (Long Format)'!C550</f>
        <v>RTBRISCOE</v>
      </c>
      <c r="E550" s="8" t="str">
        <f>'Panel Data (Long Format)'!D550</f>
        <v>R.T. Briscoe Nigeria Plc</v>
      </c>
      <c r="F550" s="7" t="str">
        <f>'Panel Data (Long Format)'!E550</f>
        <v>SERVICES</v>
      </c>
      <c r="G550" s="7">
        <f>'Panel Data (Long Format)'!F550</f>
        <v>2024</v>
      </c>
      <c r="H550" s="9">
        <v>0</v>
      </c>
      <c r="I550" s="9">
        <v>0</v>
      </c>
      <c r="J550" s="9">
        <v>0</v>
      </c>
      <c r="K550" s="9">
        <v>0</v>
      </c>
      <c r="L550" s="9">
        <v>0</v>
      </c>
      <c r="M550" s="9">
        <v>0</v>
      </c>
      <c r="N550" s="9">
        <v>0</v>
      </c>
      <c r="O550" s="9">
        <v>0</v>
      </c>
      <c r="P550" s="9">
        <v>0</v>
      </c>
      <c r="Q550" s="9">
        <v>0</v>
      </c>
      <c r="R550" s="9">
        <v>0</v>
      </c>
      <c r="S550" s="9">
        <v>0</v>
      </c>
      <c r="T550" s="9">
        <v>0</v>
      </c>
      <c r="U550" s="9">
        <v>0</v>
      </c>
      <c r="V550" s="9">
        <v>0</v>
      </c>
      <c r="W550" s="9">
        <v>1</v>
      </c>
      <c r="X550" s="9">
        <v>0</v>
      </c>
      <c r="Y550" s="9">
        <v>0</v>
      </c>
      <c r="Z550" s="9">
        <v>0</v>
      </c>
      <c r="AA550" s="9">
        <v>0</v>
      </c>
      <c r="AB550" s="10">
        <f t="shared" si="41"/>
        <v>1</v>
      </c>
      <c r="AC550" s="10">
        <f t="shared" si="42"/>
        <v>5</v>
      </c>
      <c r="AD550" s="9">
        <v>0</v>
      </c>
      <c r="AE550" s="9">
        <v>0</v>
      </c>
      <c r="AF550" s="9">
        <v>0</v>
      </c>
      <c r="AG550" s="9">
        <v>0</v>
      </c>
      <c r="AH550" s="9">
        <v>0</v>
      </c>
      <c r="AI550" s="9">
        <v>0</v>
      </c>
      <c r="AJ550" s="9">
        <v>0</v>
      </c>
      <c r="AK550" s="9">
        <v>0</v>
      </c>
      <c r="AL550" s="9">
        <v>0</v>
      </c>
      <c r="AM550" s="9">
        <v>0</v>
      </c>
      <c r="AN550" s="9">
        <v>0</v>
      </c>
      <c r="AO550" s="9">
        <v>0</v>
      </c>
      <c r="AP550" s="9">
        <v>0</v>
      </c>
      <c r="AQ550" s="9">
        <v>0</v>
      </c>
      <c r="AR550" s="9">
        <v>0</v>
      </c>
      <c r="AS550" s="10">
        <f t="shared" si="43"/>
        <v>0</v>
      </c>
      <c r="AT550" s="10">
        <f t="shared" si="44"/>
        <v>0</v>
      </c>
      <c r="AU550" s="5" t="s">
        <v>568</v>
      </c>
    </row>
    <row r="551" spans="1:47" ht="15" customHeight="1" x14ac:dyDescent="0.3">
      <c r="A551" s="7" t="str">
        <f t="shared" si="40"/>
        <v>110_2025</v>
      </c>
      <c r="B551" s="7">
        <v>550</v>
      </c>
      <c r="C551" s="7">
        <f>'Panel Data (Long Format)'!B551</f>
        <v>110</v>
      </c>
      <c r="D551" s="7" t="str">
        <f>'Panel Data (Long Format)'!C551</f>
        <v>RTBRISCOE</v>
      </c>
      <c r="E551" s="8" t="str">
        <f>'Panel Data (Long Format)'!D551</f>
        <v>R.T. Briscoe Nigeria Plc</v>
      </c>
      <c r="F551" s="7" t="str">
        <f>'Panel Data (Long Format)'!E551</f>
        <v>SERVICES</v>
      </c>
      <c r="G551" s="7">
        <f>'Panel Data (Long Format)'!F551</f>
        <v>2025</v>
      </c>
      <c r="H551" s="9">
        <v>0</v>
      </c>
      <c r="I551" s="9">
        <v>0</v>
      </c>
      <c r="J551" s="9">
        <v>0</v>
      </c>
      <c r="K551" s="9">
        <v>0</v>
      </c>
      <c r="L551" s="9">
        <v>0</v>
      </c>
      <c r="M551" s="9">
        <v>0</v>
      </c>
      <c r="N551" s="9">
        <v>0</v>
      </c>
      <c r="O551" s="9">
        <v>0</v>
      </c>
      <c r="P551" s="9">
        <v>0</v>
      </c>
      <c r="Q551" s="9">
        <v>0</v>
      </c>
      <c r="R551" s="9">
        <v>0</v>
      </c>
      <c r="S551" s="9">
        <v>0</v>
      </c>
      <c r="T551" s="9">
        <v>0</v>
      </c>
      <c r="U551" s="9">
        <v>0</v>
      </c>
      <c r="V551" s="9">
        <v>0</v>
      </c>
      <c r="W551" s="9">
        <v>1</v>
      </c>
      <c r="X551" s="9">
        <v>0</v>
      </c>
      <c r="Y551" s="9">
        <v>0</v>
      </c>
      <c r="Z551" s="9">
        <v>0</v>
      </c>
      <c r="AA551" s="9">
        <v>0</v>
      </c>
      <c r="AB551" s="10">
        <f t="shared" si="41"/>
        <v>1</v>
      </c>
      <c r="AC551" s="10">
        <f t="shared" si="42"/>
        <v>5</v>
      </c>
      <c r="AD551" s="9">
        <v>0</v>
      </c>
      <c r="AE551" s="9">
        <v>0</v>
      </c>
      <c r="AF551" s="9">
        <v>0</v>
      </c>
      <c r="AG551" s="9">
        <v>0</v>
      </c>
      <c r="AH551" s="9">
        <v>0</v>
      </c>
      <c r="AI551" s="9">
        <v>0</v>
      </c>
      <c r="AJ551" s="9">
        <v>0</v>
      </c>
      <c r="AK551" s="9">
        <v>0</v>
      </c>
      <c r="AL551" s="9">
        <v>0</v>
      </c>
      <c r="AM551" s="9">
        <v>0</v>
      </c>
      <c r="AN551" s="9">
        <v>0</v>
      </c>
      <c r="AO551" s="9">
        <v>0</v>
      </c>
      <c r="AP551" s="9">
        <v>0</v>
      </c>
      <c r="AQ551" s="9">
        <v>0</v>
      </c>
      <c r="AR551" s="9">
        <v>0</v>
      </c>
      <c r="AS551" s="10">
        <f t="shared" si="43"/>
        <v>0</v>
      </c>
      <c r="AT551" s="10">
        <f t="shared" si="44"/>
        <v>0</v>
      </c>
      <c r="AU551" s="5" t="s">
        <v>569</v>
      </c>
    </row>
    <row r="552" spans="1:47" ht="15" customHeight="1" x14ac:dyDescent="0.3">
      <c r="A552" s="7" t="str">
        <f t="shared" si="40"/>
        <v>111_2021</v>
      </c>
      <c r="B552" s="7">
        <v>551</v>
      </c>
      <c r="C552" s="7">
        <f>'Panel Data (Long Format)'!B552</f>
        <v>111</v>
      </c>
      <c r="D552" s="7" t="str">
        <f>'Panel Data (Long Format)'!C552</f>
        <v>SCOA</v>
      </c>
      <c r="E552" s="8" t="str">
        <f>'Panel Data (Long Format)'!D552</f>
        <v>SCOA Nigeria Plc</v>
      </c>
      <c r="F552" s="7" t="str">
        <f>'Panel Data (Long Format)'!E552</f>
        <v>CONGLOMERATES</v>
      </c>
      <c r="G552" s="7">
        <f>'Panel Data (Long Format)'!F552</f>
        <v>2021</v>
      </c>
      <c r="H552" s="9">
        <v>0</v>
      </c>
      <c r="I552" s="9">
        <v>0</v>
      </c>
      <c r="J552" s="9">
        <v>0</v>
      </c>
      <c r="K552" s="9">
        <v>0</v>
      </c>
      <c r="L552" s="9">
        <v>0</v>
      </c>
      <c r="M552" s="9">
        <v>0</v>
      </c>
      <c r="N552" s="9">
        <v>0</v>
      </c>
      <c r="O552" s="9">
        <v>0</v>
      </c>
      <c r="P552" s="9">
        <v>0</v>
      </c>
      <c r="Q552" s="9">
        <v>0</v>
      </c>
      <c r="R552" s="9">
        <v>0</v>
      </c>
      <c r="S552" s="9">
        <v>0</v>
      </c>
      <c r="T552" s="9">
        <v>0</v>
      </c>
      <c r="U552" s="9">
        <v>0</v>
      </c>
      <c r="V552" s="9">
        <v>0</v>
      </c>
      <c r="W552" s="9">
        <v>0</v>
      </c>
      <c r="X552" s="9">
        <v>0</v>
      </c>
      <c r="Y552" s="9">
        <v>0</v>
      </c>
      <c r="Z552" s="9">
        <v>0</v>
      </c>
      <c r="AA552" s="9">
        <v>0</v>
      </c>
      <c r="AB552" s="10">
        <f t="shared" si="41"/>
        <v>0</v>
      </c>
      <c r="AC552" s="10">
        <f t="shared" si="42"/>
        <v>0</v>
      </c>
      <c r="AD552" s="9">
        <v>0</v>
      </c>
      <c r="AE552" s="9">
        <v>0</v>
      </c>
      <c r="AF552" s="9">
        <v>0</v>
      </c>
      <c r="AG552" s="9">
        <v>0</v>
      </c>
      <c r="AH552" s="9">
        <v>0</v>
      </c>
      <c r="AI552" s="9">
        <v>0</v>
      </c>
      <c r="AJ552" s="9">
        <v>0</v>
      </c>
      <c r="AK552" s="9">
        <v>0</v>
      </c>
      <c r="AL552" s="9">
        <v>0</v>
      </c>
      <c r="AM552" s="9">
        <v>0</v>
      </c>
      <c r="AN552" s="9">
        <v>0</v>
      </c>
      <c r="AO552" s="9">
        <v>0</v>
      </c>
      <c r="AP552" s="9">
        <v>0</v>
      </c>
      <c r="AQ552" s="9">
        <v>0</v>
      </c>
      <c r="AR552" s="9">
        <v>0</v>
      </c>
      <c r="AS552" s="10">
        <f t="shared" si="43"/>
        <v>0</v>
      </c>
      <c r="AT552" s="10">
        <f t="shared" si="44"/>
        <v>0</v>
      </c>
      <c r="AU552" s="5" t="s">
        <v>570</v>
      </c>
    </row>
    <row r="553" spans="1:47" ht="15" customHeight="1" x14ac:dyDescent="0.3">
      <c r="A553" s="7" t="str">
        <f t="shared" si="40"/>
        <v>111_2022</v>
      </c>
      <c r="B553" s="7">
        <v>552</v>
      </c>
      <c r="C553" s="7">
        <f>'Panel Data (Long Format)'!B553</f>
        <v>111</v>
      </c>
      <c r="D553" s="7" t="str">
        <f>'Panel Data (Long Format)'!C553</f>
        <v>SCOA</v>
      </c>
      <c r="E553" s="8" t="str">
        <f>'Panel Data (Long Format)'!D553</f>
        <v>SCOA Nigeria Plc</v>
      </c>
      <c r="F553" s="7" t="str">
        <f>'Panel Data (Long Format)'!E553</f>
        <v>CONGLOMERATES</v>
      </c>
      <c r="G553" s="7">
        <f>'Panel Data (Long Format)'!F553</f>
        <v>2022</v>
      </c>
      <c r="H553" s="9">
        <v>0</v>
      </c>
      <c r="I553" s="9">
        <v>0</v>
      </c>
      <c r="J553" s="9">
        <v>0</v>
      </c>
      <c r="K553" s="9">
        <v>0</v>
      </c>
      <c r="L553" s="9">
        <v>0</v>
      </c>
      <c r="M553" s="9">
        <v>0</v>
      </c>
      <c r="N553" s="9">
        <v>0</v>
      </c>
      <c r="O553" s="9">
        <v>0</v>
      </c>
      <c r="P553" s="9">
        <v>0</v>
      </c>
      <c r="Q553" s="9">
        <v>0</v>
      </c>
      <c r="R553" s="9">
        <v>0</v>
      </c>
      <c r="S553" s="9">
        <v>0</v>
      </c>
      <c r="T553" s="9">
        <v>0</v>
      </c>
      <c r="U553" s="9">
        <v>0</v>
      </c>
      <c r="V553" s="9">
        <v>0</v>
      </c>
      <c r="W553" s="9">
        <v>0</v>
      </c>
      <c r="X553" s="9">
        <v>0</v>
      </c>
      <c r="Y553" s="9">
        <v>0</v>
      </c>
      <c r="Z553" s="9">
        <v>0</v>
      </c>
      <c r="AA553" s="9">
        <v>0</v>
      </c>
      <c r="AB553" s="10">
        <f t="shared" si="41"/>
        <v>0</v>
      </c>
      <c r="AC553" s="10">
        <f t="shared" si="42"/>
        <v>0</v>
      </c>
      <c r="AD553" s="9">
        <v>0</v>
      </c>
      <c r="AE553" s="9">
        <v>0</v>
      </c>
      <c r="AF553" s="9">
        <v>0</v>
      </c>
      <c r="AG553" s="9">
        <v>0</v>
      </c>
      <c r="AH553" s="9">
        <v>0</v>
      </c>
      <c r="AI553" s="9">
        <v>0</v>
      </c>
      <c r="AJ553" s="9">
        <v>0</v>
      </c>
      <c r="AK553" s="9">
        <v>0</v>
      </c>
      <c r="AL553" s="9">
        <v>0</v>
      </c>
      <c r="AM553" s="9">
        <v>0</v>
      </c>
      <c r="AN553" s="9">
        <v>0</v>
      </c>
      <c r="AO553" s="9">
        <v>0</v>
      </c>
      <c r="AP553" s="9">
        <v>0</v>
      </c>
      <c r="AQ553" s="9">
        <v>0</v>
      </c>
      <c r="AR553" s="9">
        <v>0</v>
      </c>
      <c r="AS553" s="10">
        <f t="shared" si="43"/>
        <v>0</v>
      </c>
      <c r="AT553" s="10">
        <f t="shared" si="44"/>
        <v>0</v>
      </c>
      <c r="AU553" s="5" t="s">
        <v>570</v>
      </c>
    </row>
    <row r="554" spans="1:47" ht="15" customHeight="1" x14ac:dyDescent="0.3">
      <c r="A554" s="7" t="str">
        <f t="shared" si="40"/>
        <v>111_2023</v>
      </c>
      <c r="B554" s="7">
        <v>553</v>
      </c>
      <c r="C554" s="7">
        <f>'Panel Data (Long Format)'!B554</f>
        <v>111</v>
      </c>
      <c r="D554" s="7" t="str">
        <f>'Panel Data (Long Format)'!C554</f>
        <v>SCOA</v>
      </c>
      <c r="E554" s="8" t="str">
        <f>'Panel Data (Long Format)'!D554</f>
        <v>SCOA Nigeria Plc</v>
      </c>
      <c r="F554" s="7" t="str">
        <f>'Panel Data (Long Format)'!E554</f>
        <v>CONGLOMERATES</v>
      </c>
      <c r="G554" s="7">
        <f>'Panel Data (Long Format)'!F554</f>
        <v>2023</v>
      </c>
      <c r="H554" s="9">
        <v>0</v>
      </c>
      <c r="I554" s="9">
        <v>0</v>
      </c>
      <c r="J554" s="9">
        <v>0</v>
      </c>
      <c r="K554" s="9">
        <v>0</v>
      </c>
      <c r="L554" s="9">
        <v>0</v>
      </c>
      <c r="M554" s="9">
        <v>0</v>
      </c>
      <c r="N554" s="9">
        <v>0</v>
      </c>
      <c r="O554" s="9">
        <v>0</v>
      </c>
      <c r="P554" s="9">
        <v>0</v>
      </c>
      <c r="Q554" s="9">
        <v>0</v>
      </c>
      <c r="R554" s="9">
        <v>0</v>
      </c>
      <c r="S554" s="9">
        <v>0</v>
      </c>
      <c r="T554" s="9">
        <v>0</v>
      </c>
      <c r="U554" s="9">
        <v>0</v>
      </c>
      <c r="V554" s="9">
        <v>0</v>
      </c>
      <c r="W554" s="9">
        <v>0</v>
      </c>
      <c r="X554" s="9">
        <v>0</v>
      </c>
      <c r="Y554" s="9">
        <v>0</v>
      </c>
      <c r="Z554" s="9">
        <v>0</v>
      </c>
      <c r="AA554" s="9">
        <v>0</v>
      </c>
      <c r="AB554" s="10">
        <f t="shared" si="41"/>
        <v>0</v>
      </c>
      <c r="AC554" s="10">
        <f t="shared" si="42"/>
        <v>0</v>
      </c>
      <c r="AD554" s="9">
        <v>0</v>
      </c>
      <c r="AE554" s="9">
        <v>0</v>
      </c>
      <c r="AF554" s="9">
        <v>0</v>
      </c>
      <c r="AG554" s="9">
        <v>0</v>
      </c>
      <c r="AH554" s="9">
        <v>0</v>
      </c>
      <c r="AI554" s="9">
        <v>0</v>
      </c>
      <c r="AJ554" s="9">
        <v>0</v>
      </c>
      <c r="AK554" s="9">
        <v>0</v>
      </c>
      <c r="AL554" s="9">
        <v>0</v>
      </c>
      <c r="AM554" s="9">
        <v>0</v>
      </c>
      <c r="AN554" s="9">
        <v>0</v>
      </c>
      <c r="AO554" s="9">
        <v>0</v>
      </c>
      <c r="AP554" s="9">
        <v>0</v>
      </c>
      <c r="AQ554" s="9">
        <v>0</v>
      </c>
      <c r="AR554" s="9">
        <v>0</v>
      </c>
      <c r="AS554" s="10">
        <f t="shared" si="43"/>
        <v>0</v>
      </c>
      <c r="AT554" s="10">
        <f t="shared" si="44"/>
        <v>0</v>
      </c>
      <c r="AU554" s="5" t="s">
        <v>570</v>
      </c>
    </row>
    <row r="555" spans="1:47" ht="15" customHeight="1" x14ac:dyDescent="0.3">
      <c r="A555" s="7" t="str">
        <f t="shared" si="40"/>
        <v>111_2024</v>
      </c>
      <c r="B555" s="7">
        <v>554</v>
      </c>
      <c r="C555" s="7">
        <f>'Panel Data (Long Format)'!B555</f>
        <v>111</v>
      </c>
      <c r="D555" s="7" t="str">
        <f>'Panel Data (Long Format)'!C555</f>
        <v>SCOA</v>
      </c>
      <c r="E555" s="8" t="str">
        <f>'Panel Data (Long Format)'!D555</f>
        <v>SCOA Nigeria Plc</v>
      </c>
      <c r="F555" s="7" t="str">
        <f>'Panel Data (Long Format)'!E555</f>
        <v>CONGLOMERATES</v>
      </c>
      <c r="G555" s="7">
        <f>'Panel Data (Long Format)'!F555</f>
        <v>2024</v>
      </c>
      <c r="H555" s="9">
        <v>0</v>
      </c>
      <c r="I555" s="9">
        <v>0</v>
      </c>
      <c r="J555" s="9">
        <v>0</v>
      </c>
      <c r="K555" s="9">
        <v>0</v>
      </c>
      <c r="L555" s="9">
        <v>0</v>
      </c>
      <c r="M555" s="9">
        <v>0</v>
      </c>
      <c r="N555" s="9">
        <v>0</v>
      </c>
      <c r="O555" s="9">
        <v>0</v>
      </c>
      <c r="P555" s="9">
        <v>0</v>
      </c>
      <c r="Q555" s="9">
        <v>0</v>
      </c>
      <c r="R555" s="9">
        <v>0</v>
      </c>
      <c r="S555" s="9">
        <v>0</v>
      </c>
      <c r="T555" s="9">
        <v>0</v>
      </c>
      <c r="U555" s="9">
        <v>0</v>
      </c>
      <c r="V555" s="9">
        <v>0</v>
      </c>
      <c r="W555" s="9">
        <v>0</v>
      </c>
      <c r="X555" s="9">
        <v>0</v>
      </c>
      <c r="Y555" s="9">
        <v>0</v>
      </c>
      <c r="Z555" s="9">
        <v>0</v>
      </c>
      <c r="AA555" s="9">
        <v>0</v>
      </c>
      <c r="AB555" s="10">
        <f t="shared" si="41"/>
        <v>0</v>
      </c>
      <c r="AC555" s="10">
        <f t="shared" si="42"/>
        <v>0</v>
      </c>
      <c r="AD555" s="9">
        <v>0</v>
      </c>
      <c r="AE555" s="9">
        <v>0</v>
      </c>
      <c r="AF555" s="9">
        <v>0</v>
      </c>
      <c r="AG555" s="9">
        <v>0</v>
      </c>
      <c r="AH555" s="9">
        <v>0</v>
      </c>
      <c r="AI555" s="9">
        <v>0</v>
      </c>
      <c r="AJ555" s="9">
        <v>0</v>
      </c>
      <c r="AK555" s="9">
        <v>0</v>
      </c>
      <c r="AL555" s="9">
        <v>0</v>
      </c>
      <c r="AM555" s="9">
        <v>0</v>
      </c>
      <c r="AN555" s="9">
        <v>0</v>
      </c>
      <c r="AO555" s="9">
        <v>0</v>
      </c>
      <c r="AP555" s="9">
        <v>0</v>
      </c>
      <c r="AQ555" s="9">
        <v>0</v>
      </c>
      <c r="AR555" s="9">
        <v>0</v>
      </c>
      <c r="AS555" s="10">
        <f t="shared" si="43"/>
        <v>0</v>
      </c>
      <c r="AT555" s="10">
        <f t="shared" si="44"/>
        <v>0</v>
      </c>
      <c r="AU555" s="5" t="s">
        <v>570</v>
      </c>
    </row>
    <row r="556" spans="1:47" ht="15" customHeight="1" x14ac:dyDescent="0.3">
      <c r="A556" s="7" t="str">
        <f t="shared" si="40"/>
        <v>111_2025</v>
      </c>
      <c r="B556" s="7">
        <v>555</v>
      </c>
      <c r="C556" s="7">
        <f>'Panel Data (Long Format)'!B556</f>
        <v>111</v>
      </c>
      <c r="D556" s="7" t="str">
        <f>'Panel Data (Long Format)'!C556</f>
        <v>SCOA</v>
      </c>
      <c r="E556" s="8" t="str">
        <f>'Panel Data (Long Format)'!D556</f>
        <v>SCOA Nigeria Plc</v>
      </c>
      <c r="F556" s="7" t="str">
        <f>'Panel Data (Long Format)'!E556</f>
        <v>CONGLOMERATES</v>
      </c>
      <c r="G556" s="7">
        <f>'Panel Data (Long Format)'!F556</f>
        <v>2025</v>
      </c>
      <c r="H556" s="9">
        <v>0</v>
      </c>
      <c r="I556" s="9">
        <v>0</v>
      </c>
      <c r="J556" s="9">
        <v>0</v>
      </c>
      <c r="K556" s="9">
        <v>0</v>
      </c>
      <c r="L556" s="9">
        <v>0</v>
      </c>
      <c r="M556" s="9">
        <v>0</v>
      </c>
      <c r="N556" s="9">
        <v>0</v>
      </c>
      <c r="O556" s="9">
        <v>0</v>
      </c>
      <c r="P556" s="9">
        <v>0</v>
      </c>
      <c r="Q556" s="9">
        <v>0</v>
      </c>
      <c r="R556" s="9">
        <v>0</v>
      </c>
      <c r="S556" s="9">
        <v>0</v>
      </c>
      <c r="T556" s="9">
        <v>0</v>
      </c>
      <c r="U556" s="9">
        <v>0</v>
      </c>
      <c r="V556" s="9">
        <v>0</v>
      </c>
      <c r="W556" s="9">
        <v>0</v>
      </c>
      <c r="X556" s="9">
        <v>0</v>
      </c>
      <c r="Y556" s="9">
        <v>0</v>
      </c>
      <c r="Z556" s="9">
        <v>0</v>
      </c>
      <c r="AA556" s="9">
        <v>0</v>
      </c>
      <c r="AB556" s="10">
        <f t="shared" si="41"/>
        <v>0</v>
      </c>
      <c r="AC556" s="10">
        <f t="shared" si="42"/>
        <v>0</v>
      </c>
      <c r="AD556" s="9">
        <v>0</v>
      </c>
      <c r="AE556" s="9">
        <v>0</v>
      </c>
      <c r="AF556" s="9">
        <v>0</v>
      </c>
      <c r="AG556" s="9">
        <v>0</v>
      </c>
      <c r="AH556" s="9">
        <v>0</v>
      </c>
      <c r="AI556" s="9">
        <v>0</v>
      </c>
      <c r="AJ556" s="9">
        <v>0</v>
      </c>
      <c r="AK556" s="9">
        <v>0</v>
      </c>
      <c r="AL556" s="9">
        <v>0</v>
      </c>
      <c r="AM556" s="9">
        <v>0</v>
      </c>
      <c r="AN556" s="9">
        <v>0</v>
      </c>
      <c r="AO556" s="9">
        <v>0</v>
      </c>
      <c r="AP556" s="9">
        <v>0</v>
      </c>
      <c r="AQ556" s="9">
        <v>0</v>
      </c>
      <c r="AR556" s="9">
        <v>0</v>
      </c>
      <c r="AS556" s="10">
        <f t="shared" si="43"/>
        <v>0</v>
      </c>
      <c r="AT556" s="10">
        <f t="shared" si="44"/>
        <v>0</v>
      </c>
      <c r="AU556" s="5" t="s">
        <v>570</v>
      </c>
    </row>
    <row r="557" spans="1:47" ht="15" customHeight="1" x14ac:dyDescent="0.3">
      <c r="A557" s="7" t="str">
        <f t="shared" si="40"/>
        <v>112_2021</v>
      </c>
      <c r="B557" s="7">
        <v>556</v>
      </c>
      <c r="C557" s="7">
        <f>'Panel Data (Long Format)'!B557</f>
        <v>112</v>
      </c>
      <c r="D557" s="7" t="str">
        <f>'Panel Data (Long Format)'!C557</f>
        <v>SEPLAT</v>
      </c>
      <c r="E557" s="8" t="str">
        <f>'Panel Data (Long Format)'!D557</f>
        <v>Seplat Energy Plc</v>
      </c>
      <c r="F557" s="7" t="str">
        <f>'Panel Data (Long Format)'!E557</f>
        <v>OIL AND GAS</v>
      </c>
      <c r="G557" s="7">
        <f>'Panel Data (Long Format)'!F557</f>
        <v>2021</v>
      </c>
      <c r="H557" s="9">
        <v>1</v>
      </c>
      <c r="I557" s="9">
        <v>0</v>
      </c>
      <c r="J557" s="9">
        <v>0</v>
      </c>
      <c r="K557" s="9">
        <v>0</v>
      </c>
      <c r="L557" s="9">
        <v>0</v>
      </c>
      <c r="M557" s="9">
        <v>1</v>
      </c>
      <c r="N557" s="9">
        <v>1</v>
      </c>
      <c r="O557" s="9">
        <v>1</v>
      </c>
      <c r="P557" s="9">
        <v>1</v>
      </c>
      <c r="Q557" s="9">
        <v>1</v>
      </c>
      <c r="R557" s="9">
        <v>1</v>
      </c>
      <c r="S557" s="9">
        <v>1</v>
      </c>
      <c r="T557" s="9">
        <v>1</v>
      </c>
      <c r="U557" s="9">
        <v>0</v>
      </c>
      <c r="V557" s="9">
        <v>1</v>
      </c>
      <c r="W557" s="9">
        <v>1</v>
      </c>
      <c r="X557" s="9">
        <v>1</v>
      </c>
      <c r="Y557" s="9">
        <v>1</v>
      </c>
      <c r="Z557" s="9">
        <v>0</v>
      </c>
      <c r="AA557" s="9">
        <v>1</v>
      </c>
      <c r="AB557" s="10">
        <f t="shared" si="41"/>
        <v>14</v>
      </c>
      <c r="AC557" s="10">
        <f t="shared" si="42"/>
        <v>70</v>
      </c>
      <c r="AD557" s="9">
        <v>0</v>
      </c>
      <c r="AE557" s="9">
        <v>0</v>
      </c>
      <c r="AF557" s="9">
        <v>0</v>
      </c>
      <c r="AG557" s="9">
        <v>1</v>
      </c>
      <c r="AH557" s="9">
        <v>1</v>
      </c>
      <c r="AI557" s="9">
        <v>1</v>
      </c>
      <c r="AJ557" s="9">
        <v>1</v>
      </c>
      <c r="AK557" s="9">
        <v>1</v>
      </c>
      <c r="AL557" s="9">
        <v>0</v>
      </c>
      <c r="AM557" s="9">
        <v>1</v>
      </c>
      <c r="AN557" s="9">
        <v>1</v>
      </c>
      <c r="AO557" s="9">
        <v>1</v>
      </c>
      <c r="AP557" s="9">
        <v>1</v>
      </c>
      <c r="AQ557" s="9">
        <v>1</v>
      </c>
      <c r="AR557" s="9">
        <v>1</v>
      </c>
      <c r="AS557" s="10">
        <f t="shared" si="43"/>
        <v>11</v>
      </c>
      <c r="AT557" s="10">
        <f t="shared" si="44"/>
        <v>73.333333333333329</v>
      </c>
      <c r="AU557" s="5" t="s">
        <v>571</v>
      </c>
    </row>
    <row r="558" spans="1:47" ht="15" customHeight="1" x14ac:dyDescent="0.3">
      <c r="A558" s="7" t="str">
        <f t="shared" si="40"/>
        <v>112_2022</v>
      </c>
      <c r="B558" s="7">
        <v>557</v>
      </c>
      <c r="C558" s="7">
        <f>'Panel Data (Long Format)'!B558</f>
        <v>112</v>
      </c>
      <c r="D558" s="7" t="str">
        <f>'Panel Data (Long Format)'!C558</f>
        <v>SEPLAT</v>
      </c>
      <c r="E558" s="8" t="str">
        <f>'Panel Data (Long Format)'!D558</f>
        <v>Seplat Energy Plc</v>
      </c>
      <c r="F558" s="7" t="str">
        <f>'Panel Data (Long Format)'!E558</f>
        <v>OIL AND GAS</v>
      </c>
      <c r="G558" s="7">
        <f>'Panel Data (Long Format)'!F558</f>
        <v>2022</v>
      </c>
      <c r="H558" s="9">
        <v>1</v>
      </c>
      <c r="I558" s="9">
        <v>0</v>
      </c>
      <c r="J558" s="9">
        <v>0</v>
      </c>
      <c r="K558" s="9">
        <v>0</v>
      </c>
      <c r="L558" s="9">
        <v>0</v>
      </c>
      <c r="M558" s="9">
        <v>1</v>
      </c>
      <c r="N558" s="9">
        <v>1</v>
      </c>
      <c r="O558" s="9">
        <v>1</v>
      </c>
      <c r="P558" s="9">
        <v>1</v>
      </c>
      <c r="Q558" s="9">
        <v>1</v>
      </c>
      <c r="R558" s="9">
        <v>1</v>
      </c>
      <c r="S558" s="9">
        <v>1</v>
      </c>
      <c r="T558" s="9">
        <v>1</v>
      </c>
      <c r="U558" s="9">
        <v>0</v>
      </c>
      <c r="V558" s="9">
        <v>1</v>
      </c>
      <c r="W558" s="9">
        <v>1</v>
      </c>
      <c r="X558" s="9">
        <v>1</v>
      </c>
      <c r="Y558" s="9">
        <v>1</v>
      </c>
      <c r="Z558" s="9">
        <v>0</v>
      </c>
      <c r="AA558" s="9">
        <v>1</v>
      </c>
      <c r="AB558" s="10">
        <f t="shared" si="41"/>
        <v>14</v>
      </c>
      <c r="AC558" s="10">
        <f t="shared" si="42"/>
        <v>70</v>
      </c>
      <c r="AD558" s="9">
        <v>0</v>
      </c>
      <c r="AE558" s="9">
        <v>0</v>
      </c>
      <c r="AF558" s="9">
        <v>0</v>
      </c>
      <c r="AG558" s="9">
        <v>1</v>
      </c>
      <c r="AH558" s="9">
        <v>1</v>
      </c>
      <c r="AI558" s="9">
        <v>1</v>
      </c>
      <c r="AJ558" s="9">
        <v>1</v>
      </c>
      <c r="AK558" s="9">
        <v>1</v>
      </c>
      <c r="AL558" s="9">
        <v>0</v>
      </c>
      <c r="AM558" s="9">
        <v>1</v>
      </c>
      <c r="AN558" s="9">
        <v>1</v>
      </c>
      <c r="AO558" s="9">
        <v>1</v>
      </c>
      <c r="AP558" s="9">
        <v>1</v>
      </c>
      <c r="AQ558" s="9">
        <v>1</v>
      </c>
      <c r="AR558" s="9">
        <v>1</v>
      </c>
      <c r="AS558" s="10">
        <f t="shared" si="43"/>
        <v>11</v>
      </c>
      <c r="AT558" s="10">
        <f t="shared" si="44"/>
        <v>73.333333333333329</v>
      </c>
      <c r="AU558" s="5" t="s">
        <v>572</v>
      </c>
    </row>
    <row r="559" spans="1:47" ht="15" customHeight="1" x14ac:dyDescent="0.3">
      <c r="A559" s="7" t="str">
        <f t="shared" si="40"/>
        <v>112_2023</v>
      </c>
      <c r="B559" s="7">
        <v>558</v>
      </c>
      <c r="C559" s="7">
        <f>'Panel Data (Long Format)'!B559</f>
        <v>112</v>
      </c>
      <c r="D559" s="7" t="str">
        <f>'Panel Data (Long Format)'!C559</f>
        <v>SEPLAT</v>
      </c>
      <c r="E559" s="8" t="str">
        <f>'Panel Data (Long Format)'!D559</f>
        <v>Seplat Energy Plc</v>
      </c>
      <c r="F559" s="7" t="str">
        <f>'Panel Data (Long Format)'!E559</f>
        <v>OIL AND GAS</v>
      </c>
      <c r="G559" s="7">
        <f>'Panel Data (Long Format)'!F559</f>
        <v>2023</v>
      </c>
      <c r="H559" s="9">
        <v>1</v>
      </c>
      <c r="I559" s="9">
        <v>0</v>
      </c>
      <c r="J559" s="9">
        <v>0</v>
      </c>
      <c r="K559" s="9">
        <v>0</v>
      </c>
      <c r="L559" s="9">
        <v>0</v>
      </c>
      <c r="M559" s="9">
        <v>1</v>
      </c>
      <c r="N559" s="9">
        <v>1</v>
      </c>
      <c r="O559" s="9">
        <v>1</v>
      </c>
      <c r="P559" s="9">
        <v>1</v>
      </c>
      <c r="Q559" s="9">
        <v>1</v>
      </c>
      <c r="R559" s="9">
        <v>1</v>
      </c>
      <c r="S559" s="9">
        <v>1</v>
      </c>
      <c r="T559" s="9">
        <v>1</v>
      </c>
      <c r="U559" s="9">
        <v>0</v>
      </c>
      <c r="V559" s="9">
        <v>1</v>
      </c>
      <c r="W559" s="9">
        <v>1</v>
      </c>
      <c r="X559" s="9">
        <v>1</v>
      </c>
      <c r="Y559" s="9">
        <v>1</v>
      </c>
      <c r="Z559" s="9">
        <v>0</v>
      </c>
      <c r="AA559" s="9">
        <v>1</v>
      </c>
      <c r="AB559" s="10">
        <f t="shared" si="41"/>
        <v>14</v>
      </c>
      <c r="AC559" s="10">
        <f t="shared" si="42"/>
        <v>70</v>
      </c>
      <c r="AD559" s="9">
        <v>0</v>
      </c>
      <c r="AE559" s="9">
        <v>0</v>
      </c>
      <c r="AF559" s="9">
        <v>0</v>
      </c>
      <c r="AG559" s="9">
        <v>1</v>
      </c>
      <c r="AH559" s="9">
        <v>1</v>
      </c>
      <c r="AI559" s="9">
        <v>1</v>
      </c>
      <c r="AJ559" s="9">
        <v>1</v>
      </c>
      <c r="AK559" s="9">
        <v>1</v>
      </c>
      <c r="AL559" s="9">
        <v>0</v>
      </c>
      <c r="AM559" s="9">
        <v>1</v>
      </c>
      <c r="AN559" s="9">
        <v>1</v>
      </c>
      <c r="AO559" s="9">
        <v>1</v>
      </c>
      <c r="AP559" s="9">
        <v>1</v>
      </c>
      <c r="AQ559" s="9">
        <v>1</v>
      </c>
      <c r="AR559" s="9">
        <v>1</v>
      </c>
      <c r="AS559" s="10">
        <f t="shared" si="43"/>
        <v>11</v>
      </c>
      <c r="AT559" s="10">
        <f t="shared" si="44"/>
        <v>73.333333333333329</v>
      </c>
      <c r="AU559" s="5" t="s">
        <v>573</v>
      </c>
    </row>
    <row r="560" spans="1:47" ht="15" customHeight="1" x14ac:dyDescent="0.3">
      <c r="A560" s="7" t="str">
        <f t="shared" si="40"/>
        <v>112_2024</v>
      </c>
      <c r="B560" s="7">
        <v>559</v>
      </c>
      <c r="C560" s="7">
        <f>'Panel Data (Long Format)'!B560</f>
        <v>112</v>
      </c>
      <c r="D560" s="7" t="str">
        <f>'Panel Data (Long Format)'!C560</f>
        <v>SEPLAT</v>
      </c>
      <c r="E560" s="8" t="str">
        <f>'Panel Data (Long Format)'!D560</f>
        <v>Seplat Energy Plc</v>
      </c>
      <c r="F560" s="7" t="str">
        <f>'Panel Data (Long Format)'!E560</f>
        <v>OIL AND GAS</v>
      </c>
      <c r="G560" s="7">
        <f>'Panel Data (Long Format)'!F560</f>
        <v>2024</v>
      </c>
      <c r="H560" s="9">
        <v>1</v>
      </c>
      <c r="I560" s="9">
        <v>0</v>
      </c>
      <c r="J560" s="9">
        <v>0</v>
      </c>
      <c r="K560" s="9">
        <v>0</v>
      </c>
      <c r="L560" s="9">
        <v>0</v>
      </c>
      <c r="M560" s="9">
        <v>1</v>
      </c>
      <c r="N560" s="9">
        <v>1</v>
      </c>
      <c r="O560" s="9">
        <v>1</v>
      </c>
      <c r="P560" s="9">
        <v>1</v>
      </c>
      <c r="Q560" s="9">
        <v>1</v>
      </c>
      <c r="R560" s="9">
        <v>1</v>
      </c>
      <c r="S560" s="9">
        <v>1</v>
      </c>
      <c r="T560" s="9">
        <v>1</v>
      </c>
      <c r="U560" s="9">
        <v>0</v>
      </c>
      <c r="V560" s="9">
        <v>1</v>
      </c>
      <c r="W560" s="9">
        <v>1</v>
      </c>
      <c r="X560" s="9">
        <v>1</v>
      </c>
      <c r="Y560" s="9">
        <v>1</v>
      </c>
      <c r="Z560" s="9">
        <v>0</v>
      </c>
      <c r="AA560" s="9">
        <v>1</v>
      </c>
      <c r="AB560" s="10">
        <f t="shared" si="41"/>
        <v>14</v>
      </c>
      <c r="AC560" s="10">
        <f t="shared" si="42"/>
        <v>70</v>
      </c>
      <c r="AD560" s="9">
        <v>0</v>
      </c>
      <c r="AE560" s="9">
        <v>0</v>
      </c>
      <c r="AF560" s="9">
        <v>0</v>
      </c>
      <c r="AG560" s="9">
        <v>1</v>
      </c>
      <c r="AH560" s="9">
        <v>1</v>
      </c>
      <c r="AI560" s="9">
        <v>1</v>
      </c>
      <c r="AJ560" s="9">
        <v>1</v>
      </c>
      <c r="AK560" s="9">
        <v>1</v>
      </c>
      <c r="AL560" s="9">
        <v>0</v>
      </c>
      <c r="AM560" s="9">
        <v>1</v>
      </c>
      <c r="AN560" s="9">
        <v>1</v>
      </c>
      <c r="AO560" s="9">
        <v>1</v>
      </c>
      <c r="AP560" s="9">
        <v>1</v>
      </c>
      <c r="AQ560" s="9">
        <v>1</v>
      </c>
      <c r="AR560" s="9">
        <v>1</v>
      </c>
      <c r="AS560" s="10">
        <f t="shared" si="43"/>
        <v>11</v>
      </c>
      <c r="AT560" s="10">
        <f t="shared" si="44"/>
        <v>73.333333333333329</v>
      </c>
      <c r="AU560" s="5" t="s">
        <v>574</v>
      </c>
    </row>
    <row r="561" spans="1:47" ht="15" customHeight="1" x14ac:dyDescent="0.3">
      <c r="A561" s="7" t="str">
        <f t="shared" si="40"/>
        <v>112_2025</v>
      </c>
      <c r="B561" s="7">
        <v>560</v>
      </c>
      <c r="C561" s="7">
        <f>'Panel Data (Long Format)'!B561</f>
        <v>112</v>
      </c>
      <c r="D561" s="7" t="str">
        <f>'Panel Data (Long Format)'!C561</f>
        <v>SEPLAT</v>
      </c>
      <c r="E561" s="8" t="str">
        <f>'Panel Data (Long Format)'!D561</f>
        <v>Seplat Energy Plc</v>
      </c>
      <c r="F561" s="7" t="str">
        <f>'Panel Data (Long Format)'!E561</f>
        <v>OIL AND GAS</v>
      </c>
      <c r="G561" s="7">
        <f>'Panel Data (Long Format)'!F561</f>
        <v>2025</v>
      </c>
      <c r="H561" s="9">
        <v>1</v>
      </c>
      <c r="I561" s="9">
        <v>0</v>
      </c>
      <c r="J561" s="9">
        <v>0</v>
      </c>
      <c r="K561" s="9">
        <v>0</v>
      </c>
      <c r="L561" s="9">
        <v>0</v>
      </c>
      <c r="M561" s="9">
        <v>1</v>
      </c>
      <c r="N561" s="9">
        <v>1</v>
      </c>
      <c r="O561" s="9">
        <v>1</v>
      </c>
      <c r="P561" s="9">
        <v>1</v>
      </c>
      <c r="Q561" s="9">
        <v>1</v>
      </c>
      <c r="R561" s="9">
        <v>1</v>
      </c>
      <c r="S561" s="9">
        <v>1</v>
      </c>
      <c r="T561" s="9">
        <v>1</v>
      </c>
      <c r="U561" s="9">
        <v>0</v>
      </c>
      <c r="V561" s="9">
        <v>1</v>
      </c>
      <c r="W561" s="9">
        <v>1</v>
      </c>
      <c r="X561" s="9">
        <v>1</v>
      </c>
      <c r="Y561" s="9">
        <v>1</v>
      </c>
      <c r="Z561" s="9">
        <v>0</v>
      </c>
      <c r="AA561" s="9">
        <v>1</v>
      </c>
      <c r="AB561" s="10">
        <f t="shared" si="41"/>
        <v>14</v>
      </c>
      <c r="AC561" s="10">
        <f t="shared" si="42"/>
        <v>70</v>
      </c>
      <c r="AD561" s="9">
        <v>0</v>
      </c>
      <c r="AE561" s="9">
        <v>0</v>
      </c>
      <c r="AF561" s="9">
        <v>0</v>
      </c>
      <c r="AG561" s="9">
        <v>1</v>
      </c>
      <c r="AH561" s="9">
        <v>1</v>
      </c>
      <c r="AI561" s="9">
        <v>1</v>
      </c>
      <c r="AJ561" s="9">
        <v>1</v>
      </c>
      <c r="AK561" s="9">
        <v>1</v>
      </c>
      <c r="AL561" s="9">
        <v>0</v>
      </c>
      <c r="AM561" s="9">
        <v>1</v>
      </c>
      <c r="AN561" s="9">
        <v>1</v>
      </c>
      <c r="AO561" s="9">
        <v>1</v>
      </c>
      <c r="AP561" s="9">
        <v>1</v>
      </c>
      <c r="AQ561" s="9">
        <v>1</v>
      </c>
      <c r="AR561" s="9">
        <v>1</v>
      </c>
      <c r="AS561" s="10">
        <f t="shared" si="43"/>
        <v>11</v>
      </c>
      <c r="AT561" s="10">
        <f t="shared" si="44"/>
        <v>73.333333333333329</v>
      </c>
      <c r="AU561" s="5" t="s">
        <v>575</v>
      </c>
    </row>
    <row r="562" spans="1:47" ht="15" customHeight="1" x14ac:dyDescent="0.3">
      <c r="A562" s="7" t="str">
        <f t="shared" si="40"/>
        <v>113_2021</v>
      </c>
      <c r="B562" s="7">
        <v>561</v>
      </c>
      <c r="C562" s="7">
        <f>'Panel Data (Long Format)'!B562</f>
        <v>113</v>
      </c>
      <c r="D562" s="7" t="str">
        <f>'Panel Data (Long Format)'!C562</f>
        <v>SFSREIT</v>
      </c>
      <c r="E562" s="8" t="str">
        <f>'Panel Data (Long Format)'!D562</f>
        <v>SFS Real Estate Investment Trust</v>
      </c>
      <c r="F562" s="7" t="str">
        <f>'Panel Data (Long Format)'!E562</f>
        <v>CONSTRUCTION/REAL ESTATE</v>
      </c>
      <c r="G562" s="7">
        <f>'Panel Data (Long Format)'!F562</f>
        <v>2021</v>
      </c>
      <c r="H562" s="9">
        <v>0</v>
      </c>
      <c r="I562" s="9">
        <v>0</v>
      </c>
      <c r="J562" s="9">
        <v>0</v>
      </c>
      <c r="K562" s="9">
        <v>0</v>
      </c>
      <c r="L562" s="9">
        <v>0</v>
      </c>
      <c r="M562" s="9">
        <v>0</v>
      </c>
      <c r="N562" s="9">
        <v>0</v>
      </c>
      <c r="O562" s="9">
        <v>0</v>
      </c>
      <c r="P562" s="9">
        <v>0</v>
      </c>
      <c r="Q562" s="9">
        <v>0</v>
      </c>
      <c r="R562" s="9">
        <v>0</v>
      </c>
      <c r="S562" s="9">
        <v>0</v>
      </c>
      <c r="T562" s="9">
        <v>0</v>
      </c>
      <c r="U562" s="9">
        <v>0</v>
      </c>
      <c r="V562" s="9">
        <v>0</v>
      </c>
      <c r="W562" s="9">
        <v>0</v>
      </c>
      <c r="X562" s="9">
        <v>0</v>
      </c>
      <c r="Y562" s="9">
        <v>0</v>
      </c>
      <c r="Z562" s="9">
        <v>0</v>
      </c>
      <c r="AA562" s="9">
        <v>0</v>
      </c>
      <c r="AB562" s="10">
        <f t="shared" si="41"/>
        <v>0</v>
      </c>
      <c r="AC562" s="10">
        <f t="shared" si="42"/>
        <v>0</v>
      </c>
      <c r="AD562" s="9">
        <v>0</v>
      </c>
      <c r="AE562" s="9">
        <v>0</v>
      </c>
      <c r="AF562" s="9">
        <v>0</v>
      </c>
      <c r="AG562" s="9">
        <v>0</v>
      </c>
      <c r="AH562" s="9">
        <v>0</v>
      </c>
      <c r="AI562" s="9">
        <v>0</v>
      </c>
      <c r="AJ562" s="9">
        <v>0</v>
      </c>
      <c r="AK562" s="9">
        <v>0</v>
      </c>
      <c r="AL562" s="9">
        <v>0</v>
      </c>
      <c r="AM562" s="9">
        <v>0</v>
      </c>
      <c r="AN562" s="9">
        <v>0</v>
      </c>
      <c r="AO562" s="9">
        <v>0</v>
      </c>
      <c r="AP562" s="9">
        <v>0</v>
      </c>
      <c r="AQ562" s="9">
        <v>0</v>
      </c>
      <c r="AR562" s="9">
        <v>0</v>
      </c>
      <c r="AS562" s="10">
        <f t="shared" si="43"/>
        <v>0</v>
      </c>
      <c r="AT562" s="10">
        <f t="shared" si="44"/>
        <v>0</v>
      </c>
      <c r="AU562" s="5" t="s">
        <v>576</v>
      </c>
    </row>
    <row r="563" spans="1:47" ht="15" customHeight="1" x14ac:dyDescent="0.3">
      <c r="A563" s="7" t="str">
        <f t="shared" si="40"/>
        <v>113_2022</v>
      </c>
      <c r="B563" s="7">
        <v>562</v>
      </c>
      <c r="C563" s="7">
        <f>'Panel Data (Long Format)'!B563</f>
        <v>113</v>
      </c>
      <c r="D563" s="7" t="str">
        <f>'Panel Data (Long Format)'!C563</f>
        <v>SFSREIT</v>
      </c>
      <c r="E563" s="8" t="str">
        <f>'Panel Data (Long Format)'!D563</f>
        <v>SFS Real Estate Investment Trust</v>
      </c>
      <c r="F563" s="7" t="str">
        <f>'Panel Data (Long Format)'!E563</f>
        <v>CONSTRUCTION/REAL ESTATE</v>
      </c>
      <c r="G563" s="7">
        <f>'Panel Data (Long Format)'!F563</f>
        <v>2022</v>
      </c>
      <c r="H563" s="9">
        <v>0</v>
      </c>
      <c r="I563" s="9">
        <v>0</v>
      </c>
      <c r="J563" s="9">
        <v>0</v>
      </c>
      <c r="K563" s="9">
        <v>0</v>
      </c>
      <c r="L563" s="9">
        <v>0</v>
      </c>
      <c r="M563" s="9">
        <v>0</v>
      </c>
      <c r="N563" s="9">
        <v>0</v>
      </c>
      <c r="O563" s="9">
        <v>0</v>
      </c>
      <c r="P563" s="9">
        <v>0</v>
      </c>
      <c r="Q563" s="9">
        <v>0</v>
      </c>
      <c r="R563" s="9">
        <v>0</v>
      </c>
      <c r="S563" s="9">
        <v>0</v>
      </c>
      <c r="T563" s="9">
        <v>0</v>
      </c>
      <c r="U563" s="9">
        <v>0</v>
      </c>
      <c r="V563" s="9">
        <v>0</v>
      </c>
      <c r="W563" s="9">
        <v>0</v>
      </c>
      <c r="X563" s="9">
        <v>0</v>
      </c>
      <c r="Y563" s="9">
        <v>0</v>
      </c>
      <c r="Z563" s="9">
        <v>0</v>
      </c>
      <c r="AA563" s="9">
        <v>0</v>
      </c>
      <c r="AB563" s="10">
        <f t="shared" si="41"/>
        <v>0</v>
      </c>
      <c r="AC563" s="10">
        <f t="shared" si="42"/>
        <v>0</v>
      </c>
      <c r="AD563" s="9">
        <v>0</v>
      </c>
      <c r="AE563" s="9">
        <v>0</v>
      </c>
      <c r="AF563" s="9">
        <v>0</v>
      </c>
      <c r="AG563" s="9">
        <v>0</v>
      </c>
      <c r="AH563" s="9">
        <v>0</v>
      </c>
      <c r="AI563" s="9">
        <v>0</v>
      </c>
      <c r="AJ563" s="9">
        <v>0</v>
      </c>
      <c r="AK563" s="9">
        <v>0</v>
      </c>
      <c r="AL563" s="9">
        <v>0</v>
      </c>
      <c r="AM563" s="9">
        <v>0</v>
      </c>
      <c r="AN563" s="9">
        <v>0</v>
      </c>
      <c r="AO563" s="9">
        <v>0</v>
      </c>
      <c r="AP563" s="9">
        <v>0</v>
      </c>
      <c r="AQ563" s="9">
        <v>0</v>
      </c>
      <c r="AR563" s="9">
        <v>0</v>
      </c>
      <c r="AS563" s="10">
        <f t="shared" si="43"/>
        <v>0</v>
      </c>
      <c r="AT563" s="10">
        <f t="shared" si="44"/>
        <v>0</v>
      </c>
      <c r="AU563" s="5" t="s">
        <v>576</v>
      </c>
    </row>
    <row r="564" spans="1:47" ht="15" customHeight="1" x14ac:dyDescent="0.3">
      <c r="A564" s="7" t="str">
        <f t="shared" si="40"/>
        <v>113_2023</v>
      </c>
      <c r="B564" s="7">
        <v>563</v>
      </c>
      <c r="C564" s="7">
        <f>'Panel Data (Long Format)'!B564</f>
        <v>113</v>
      </c>
      <c r="D564" s="7" t="str">
        <f>'Panel Data (Long Format)'!C564</f>
        <v>SFSREIT</v>
      </c>
      <c r="E564" s="8" t="str">
        <f>'Panel Data (Long Format)'!D564</f>
        <v>SFS Real Estate Investment Trust</v>
      </c>
      <c r="F564" s="7" t="str">
        <f>'Panel Data (Long Format)'!E564</f>
        <v>CONSTRUCTION/REAL ESTATE</v>
      </c>
      <c r="G564" s="7">
        <f>'Panel Data (Long Format)'!F564</f>
        <v>2023</v>
      </c>
      <c r="H564" s="9">
        <v>0</v>
      </c>
      <c r="I564" s="9">
        <v>0</v>
      </c>
      <c r="J564" s="9">
        <v>0</v>
      </c>
      <c r="K564" s="9">
        <v>0</v>
      </c>
      <c r="L564" s="9">
        <v>0</v>
      </c>
      <c r="M564" s="9">
        <v>0</v>
      </c>
      <c r="N564" s="9">
        <v>0</v>
      </c>
      <c r="O564" s="9">
        <v>0</v>
      </c>
      <c r="P564" s="9">
        <v>0</v>
      </c>
      <c r="Q564" s="9">
        <v>0</v>
      </c>
      <c r="R564" s="9">
        <v>0</v>
      </c>
      <c r="S564" s="9">
        <v>0</v>
      </c>
      <c r="T564" s="9">
        <v>0</v>
      </c>
      <c r="U564" s="9">
        <v>0</v>
      </c>
      <c r="V564" s="9">
        <v>0</v>
      </c>
      <c r="W564" s="9">
        <v>0</v>
      </c>
      <c r="X564" s="9">
        <v>0</v>
      </c>
      <c r="Y564" s="9">
        <v>0</v>
      </c>
      <c r="Z564" s="9">
        <v>0</v>
      </c>
      <c r="AA564" s="9">
        <v>0</v>
      </c>
      <c r="AB564" s="10">
        <f t="shared" si="41"/>
        <v>0</v>
      </c>
      <c r="AC564" s="10">
        <f t="shared" si="42"/>
        <v>0</v>
      </c>
      <c r="AD564" s="9">
        <v>0</v>
      </c>
      <c r="AE564" s="9">
        <v>0</v>
      </c>
      <c r="AF564" s="9">
        <v>0</v>
      </c>
      <c r="AG564" s="9">
        <v>0</v>
      </c>
      <c r="AH564" s="9">
        <v>0</v>
      </c>
      <c r="AI564" s="9">
        <v>0</v>
      </c>
      <c r="AJ564" s="9">
        <v>0</v>
      </c>
      <c r="AK564" s="9">
        <v>0</v>
      </c>
      <c r="AL564" s="9">
        <v>0</v>
      </c>
      <c r="AM564" s="9">
        <v>0</v>
      </c>
      <c r="AN564" s="9">
        <v>0</v>
      </c>
      <c r="AO564" s="9">
        <v>0</v>
      </c>
      <c r="AP564" s="9">
        <v>0</v>
      </c>
      <c r="AQ564" s="9">
        <v>0</v>
      </c>
      <c r="AR564" s="9">
        <v>0</v>
      </c>
      <c r="AS564" s="10">
        <f t="shared" si="43"/>
        <v>0</v>
      </c>
      <c r="AT564" s="10">
        <f t="shared" si="44"/>
        <v>0</v>
      </c>
      <c r="AU564" s="5" t="s">
        <v>576</v>
      </c>
    </row>
    <row r="565" spans="1:47" ht="15" customHeight="1" x14ac:dyDescent="0.3">
      <c r="A565" s="7" t="str">
        <f t="shared" si="40"/>
        <v>113_2024</v>
      </c>
      <c r="B565" s="7">
        <v>564</v>
      </c>
      <c r="C565" s="7">
        <f>'Panel Data (Long Format)'!B565</f>
        <v>113</v>
      </c>
      <c r="D565" s="7" t="str">
        <f>'Panel Data (Long Format)'!C565</f>
        <v>SFSREIT</v>
      </c>
      <c r="E565" s="8" t="str">
        <f>'Panel Data (Long Format)'!D565</f>
        <v>SFS Real Estate Investment Trust</v>
      </c>
      <c r="F565" s="7" t="str">
        <f>'Panel Data (Long Format)'!E565</f>
        <v>CONSTRUCTION/REAL ESTATE</v>
      </c>
      <c r="G565" s="7">
        <f>'Panel Data (Long Format)'!F565</f>
        <v>2024</v>
      </c>
      <c r="H565" s="9">
        <v>0</v>
      </c>
      <c r="I565" s="9">
        <v>0</v>
      </c>
      <c r="J565" s="9">
        <v>0</v>
      </c>
      <c r="K565" s="9">
        <v>0</v>
      </c>
      <c r="L565" s="9">
        <v>0</v>
      </c>
      <c r="M565" s="9">
        <v>0</v>
      </c>
      <c r="N565" s="9">
        <v>0</v>
      </c>
      <c r="O565" s="9">
        <v>0</v>
      </c>
      <c r="P565" s="9">
        <v>0</v>
      </c>
      <c r="Q565" s="9">
        <v>0</v>
      </c>
      <c r="R565" s="9">
        <v>0</v>
      </c>
      <c r="S565" s="9">
        <v>0</v>
      </c>
      <c r="T565" s="9">
        <v>0</v>
      </c>
      <c r="U565" s="9">
        <v>0</v>
      </c>
      <c r="V565" s="9">
        <v>0</v>
      </c>
      <c r="W565" s="9">
        <v>0</v>
      </c>
      <c r="X565" s="9">
        <v>0</v>
      </c>
      <c r="Y565" s="9">
        <v>0</v>
      </c>
      <c r="Z565" s="9">
        <v>0</v>
      </c>
      <c r="AA565" s="9">
        <v>0</v>
      </c>
      <c r="AB565" s="10">
        <f t="shared" si="41"/>
        <v>0</v>
      </c>
      <c r="AC565" s="10">
        <f t="shared" si="42"/>
        <v>0</v>
      </c>
      <c r="AD565" s="9">
        <v>0</v>
      </c>
      <c r="AE565" s="9">
        <v>0</v>
      </c>
      <c r="AF565" s="9">
        <v>0</v>
      </c>
      <c r="AG565" s="9">
        <v>0</v>
      </c>
      <c r="AH565" s="9">
        <v>0</v>
      </c>
      <c r="AI565" s="9">
        <v>0</v>
      </c>
      <c r="AJ565" s="9">
        <v>0</v>
      </c>
      <c r="AK565" s="9">
        <v>0</v>
      </c>
      <c r="AL565" s="9">
        <v>0</v>
      </c>
      <c r="AM565" s="9">
        <v>0</v>
      </c>
      <c r="AN565" s="9">
        <v>0</v>
      </c>
      <c r="AO565" s="9">
        <v>0</v>
      </c>
      <c r="AP565" s="9">
        <v>0</v>
      </c>
      <c r="AQ565" s="9">
        <v>0</v>
      </c>
      <c r="AR565" s="9">
        <v>0</v>
      </c>
      <c r="AS565" s="10">
        <f t="shared" si="43"/>
        <v>0</v>
      </c>
      <c r="AT565" s="10">
        <f t="shared" si="44"/>
        <v>0</v>
      </c>
      <c r="AU565" s="5" t="s">
        <v>576</v>
      </c>
    </row>
    <row r="566" spans="1:47" ht="15" customHeight="1" x14ac:dyDescent="0.3">
      <c r="A566" s="7" t="str">
        <f t="shared" si="40"/>
        <v>113_2025</v>
      </c>
      <c r="B566" s="7">
        <v>565</v>
      </c>
      <c r="C566" s="7">
        <f>'Panel Data (Long Format)'!B566</f>
        <v>113</v>
      </c>
      <c r="D566" s="7" t="str">
        <f>'Panel Data (Long Format)'!C566</f>
        <v>SFSREIT</v>
      </c>
      <c r="E566" s="8" t="str">
        <f>'Panel Data (Long Format)'!D566</f>
        <v>SFS Real Estate Investment Trust</v>
      </c>
      <c r="F566" s="7" t="str">
        <f>'Panel Data (Long Format)'!E566</f>
        <v>CONSTRUCTION/REAL ESTATE</v>
      </c>
      <c r="G566" s="7">
        <f>'Panel Data (Long Format)'!F566</f>
        <v>2025</v>
      </c>
      <c r="H566" s="9">
        <v>0</v>
      </c>
      <c r="I566" s="9">
        <v>0</v>
      </c>
      <c r="J566" s="9">
        <v>0</v>
      </c>
      <c r="K566" s="9">
        <v>0</v>
      </c>
      <c r="L566" s="9">
        <v>0</v>
      </c>
      <c r="M566" s="9">
        <v>0</v>
      </c>
      <c r="N566" s="9">
        <v>0</v>
      </c>
      <c r="O566" s="9">
        <v>0</v>
      </c>
      <c r="P566" s="9">
        <v>0</v>
      </c>
      <c r="Q566" s="9">
        <v>0</v>
      </c>
      <c r="R566" s="9">
        <v>0</v>
      </c>
      <c r="S566" s="9">
        <v>0</v>
      </c>
      <c r="T566" s="9">
        <v>0</v>
      </c>
      <c r="U566" s="9">
        <v>0</v>
      </c>
      <c r="V566" s="9">
        <v>0</v>
      </c>
      <c r="W566" s="9">
        <v>0</v>
      </c>
      <c r="X566" s="9">
        <v>0</v>
      </c>
      <c r="Y566" s="9">
        <v>0</v>
      </c>
      <c r="Z566" s="9">
        <v>0</v>
      </c>
      <c r="AA566" s="9">
        <v>0</v>
      </c>
      <c r="AB566" s="10">
        <f t="shared" si="41"/>
        <v>0</v>
      </c>
      <c r="AC566" s="10">
        <f t="shared" si="42"/>
        <v>0</v>
      </c>
      <c r="AD566" s="9">
        <v>0</v>
      </c>
      <c r="AE566" s="9">
        <v>0</v>
      </c>
      <c r="AF566" s="9">
        <v>0</v>
      </c>
      <c r="AG566" s="9">
        <v>0</v>
      </c>
      <c r="AH566" s="9">
        <v>0</v>
      </c>
      <c r="AI566" s="9">
        <v>0</v>
      </c>
      <c r="AJ566" s="9">
        <v>0</v>
      </c>
      <c r="AK566" s="9">
        <v>0</v>
      </c>
      <c r="AL566" s="9">
        <v>0</v>
      </c>
      <c r="AM566" s="9">
        <v>0</v>
      </c>
      <c r="AN566" s="9">
        <v>0</v>
      </c>
      <c r="AO566" s="9">
        <v>0</v>
      </c>
      <c r="AP566" s="9">
        <v>0</v>
      </c>
      <c r="AQ566" s="9">
        <v>0</v>
      </c>
      <c r="AR566" s="9">
        <v>0</v>
      </c>
      <c r="AS566" s="10">
        <f t="shared" si="43"/>
        <v>0</v>
      </c>
      <c r="AT566" s="10">
        <f t="shared" si="44"/>
        <v>0</v>
      </c>
      <c r="AU566" s="5" t="s">
        <v>576</v>
      </c>
    </row>
    <row r="567" spans="1:47" ht="15" customHeight="1" x14ac:dyDescent="0.3">
      <c r="A567" s="7" t="str">
        <f t="shared" si="40"/>
        <v>114_2021</v>
      </c>
      <c r="B567" s="7">
        <v>566</v>
      </c>
      <c r="C567" s="7">
        <f>'Panel Data (Long Format)'!B567</f>
        <v>114</v>
      </c>
      <c r="D567" s="7" t="str">
        <f>'Panel Data (Long Format)'!C567</f>
        <v>SKYAVN</v>
      </c>
      <c r="E567" s="8" t="str">
        <f>'Panel Data (Long Format)'!D567</f>
        <v>Skyway Aviation Handling Company Plc</v>
      </c>
      <c r="F567" s="7" t="str">
        <f>'Panel Data (Long Format)'!E567</f>
        <v>SERVICES</v>
      </c>
      <c r="G567" s="7">
        <f>'Panel Data (Long Format)'!F567</f>
        <v>2021</v>
      </c>
      <c r="H567" s="9">
        <v>0</v>
      </c>
      <c r="I567" s="9">
        <v>0</v>
      </c>
      <c r="J567" s="9">
        <v>0</v>
      </c>
      <c r="K567" s="9">
        <v>0</v>
      </c>
      <c r="L567" s="9">
        <v>0</v>
      </c>
      <c r="M567" s="9">
        <v>0</v>
      </c>
      <c r="N567" s="9">
        <v>0</v>
      </c>
      <c r="O567" s="9">
        <v>0</v>
      </c>
      <c r="P567" s="9">
        <v>0</v>
      </c>
      <c r="Q567" s="9">
        <v>0</v>
      </c>
      <c r="R567" s="9">
        <v>0</v>
      </c>
      <c r="S567" s="9">
        <v>0</v>
      </c>
      <c r="T567" s="9">
        <v>0</v>
      </c>
      <c r="U567" s="9">
        <v>0</v>
      </c>
      <c r="V567" s="9">
        <v>0</v>
      </c>
      <c r="W567" s="9">
        <v>1</v>
      </c>
      <c r="X567" s="9">
        <v>0</v>
      </c>
      <c r="Y567" s="9">
        <v>0</v>
      </c>
      <c r="Z567" s="9">
        <v>0</v>
      </c>
      <c r="AA567" s="9">
        <v>0</v>
      </c>
      <c r="AB567" s="10">
        <f t="shared" si="41"/>
        <v>1</v>
      </c>
      <c r="AC567" s="10">
        <f t="shared" si="42"/>
        <v>5</v>
      </c>
      <c r="AD567" s="9">
        <v>0</v>
      </c>
      <c r="AE567" s="9">
        <v>0</v>
      </c>
      <c r="AF567" s="9">
        <v>0</v>
      </c>
      <c r="AG567" s="9">
        <v>0</v>
      </c>
      <c r="AH567" s="9">
        <v>0</v>
      </c>
      <c r="AI567" s="9">
        <v>0</v>
      </c>
      <c r="AJ567" s="9">
        <v>0</v>
      </c>
      <c r="AK567" s="9">
        <v>0</v>
      </c>
      <c r="AL567" s="9">
        <v>0</v>
      </c>
      <c r="AM567" s="9">
        <v>0</v>
      </c>
      <c r="AN567" s="9">
        <v>0</v>
      </c>
      <c r="AO567" s="9">
        <v>0</v>
      </c>
      <c r="AP567" s="9">
        <v>0</v>
      </c>
      <c r="AQ567" s="9">
        <v>0</v>
      </c>
      <c r="AR567" s="9">
        <v>0</v>
      </c>
      <c r="AS567" s="10">
        <f t="shared" si="43"/>
        <v>0</v>
      </c>
      <c r="AT567" s="10">
        <f t="shared" si="44"/>
        <v>0</v>
      </c>
      <c r="AU567" s="5" t="s">
        <v>577</v>
      </c>
    </row>
    <row r="568" spans="1:47" ht="15" customHeight="1" x14ac:dyDescent="0.3">
      <c r="A568" s="7" t="str">
        <f t="shared" si="40"/>
        <v>114_2022</v>
      </c>
      <c r="B568" s="7">
        <v>567</v>
      </c>
      <c r="C568" s="7">
        <f>'Panel Data (Long Format)'!B568</f>
        <v>114</v>
      </c>
      <c r="D568" s="7" t="str">
        <f>'Panel Data (Long Format)'!C568</f>
        <v>SKYAVN</v>
      </c>
      <c r="E568" s="8" t="str">
        <f>'Panel Data (Long Format)'!D568</f>
        <v>Skyway Aviation Handling Company Plc</v>
      </c>
      <c r="F568" s="7" t="str">
        <f>'Panel Data (Long Format)'!E568</f>
        <v>SERVICES</v>
      </c>
      <c r="G568" s="7">
        <f>'Panel Data (Long Format)'!F568</f>
        <v>2022</v>
      </c>
      <c r="H568" s="9">
        <v>0</v>
      </c>
      <c r="I568" s="9">
        <v>0</v>
      </c>
      <c r="J568" s="9">
        <v>0</v>
      </c>
      <c r="K568" s="9">
        <v>0</v>
      </c>
      <c r="L568" s="9">
        <v>0</v>
      </c>
      <c r="M568" s="9">
        <v>0</v>
      </c>
      <c r="N568" s="9">
        <v>0</v>
      </c>
      <c r="O568" s="9">
        <v>0</v>
      </c>
      <c r="P568" s="9">
        <v>0</v>
      </c>
      <c r="Q568" s="9">
        <v>0</v>
      </c>
      <c r="R568" s="9">
        <v>0</v>
      </c>
      <c r="S568" s="9">
        <v>0</v>
      </c>
      <c r="T568" s="9">
        <v>0</v>
      </c>
      <c r="U568" s="9">
        <v>0</v>
      </c>
      <c r="V568" s="9">
        <v>0</v>
      </c>
      <c r="W568" s="9">
        <v>1</v>
      </c>
      <c r="X568" s="9">
        <v>0</v>
      </c>
      <c r="Y568" s="9">
        <v>0</v>
      </c>
      <c r="Z568" s="9">
        <v>0</v>
      </c>
      <c r="AA568" s="9">
        <v>0</v>
      </c>
      <c r="AB568" s="10">
        <f t="shared" si="41"/>
        <v>1</v>
      </c>
      <c r="AC568" s="10">
        <f t="shared" si="42"/>
        <v>5</v>
      </c>
      <c r="AD568" s="9">
        <v>0</v>
      </c>
      <c r="AE568" s="9">
        <v>0</v>
      </c>
      <c r="AF568" s="9">
        <v>0</v>
      </c>
      <c r="AG568" s="9">
        <v>0</v>
      </c>
      <c r="AH568" s="9">
        <v>0</v>
      </c>
      <c r="AI568" s="9">
        <v>0</v>
      </c>
      <c r="AJ568" s="9">
        <v>0</v>
      </c>
      <c r="AK568" s="9">
        <v>0</v>
      </c>
      <c r="AL568" s="9">
        <v>0</v>
      </c>
      <c r="AM568" s="9">
        <v>0</v>
      </c>
      <c r="AN568" s="9">
        <v>0</v>
      </c>
      <c r="AO568" s="9">
        <v>0</v>
      </c>
      <c r="AP568" s="9">
        <v>0</v>
      </c>
      <c r="AQ568" s="9">
        <v>0</v>
      </c>
      <c r="AR568" s="9">
        <v>0</v>
      </c>
      <c r="AS568" s="10">
        <f t="shared" si="43"/>
        <v>0</v>
      </c>
      <c r="AT568" s="10">
        <f t="shared" si="44"/>
        <v>0</v>
      </c>
      <c r="AU568" s="5" t="s">
        <v>578</v>
      </c>
    </row>
    <row r="569" spans="1:47" ht="15" customHeight="1" x14ac:dyDescent="0.3">
      <c r="A569" s="7" t="str">
        <f t="shared" si="40"/>
        <v>114_2023</v>
      </c>
      <c r="B569" s="7">
        <v>568</v>
      </c>
      <c r="C569" s="7">
        <f>'Panel Data (Long Format)'!B569</f>
        <v>114</v>
      </c>
      <c r="D569" s="7" t="str">
        <f>'Panel Data (Long Format)'!C569</f>
        <v>SKYAVN</v>
      </c>
      <c r="E569" s="8" t="str">
        <f>'Panel Data (Long Format)'!D569</f>
        <v>Skyway Aviation Handling Company Plc</v>
      </c>
      <c r="F569" s="7" t="str">
        <f>'Panel Data (Long Format)'!E569</f>
        <v>SERVICES</v>
      </c>
      <c r="G569" s="7">
        <f>'Panel Data (Long Format)'!F569</f>
        <v>2023</v>
      </c>
      <c r="H569" s="9">
        <v>0</v>
      </c>
      <c r="I569" s="9">
        <v>0</v>
      </c>
      <c r="J569" s="9">
        <v>0</v>
      </c>
      <c r="K569" s="9">
        <v>0</v>
      </c>
      <c r="L569" s="9">
        <v>0</v>
      </c>
      <c r="M569" s="9">
        <v>0</v>
      </c>
      <c r="N569" s="9">
        <v>0</v>
      </c>
      <c r="O569" s="9">
        <v>0</v>
      </c>
      <c r="P569" s="9">
        <v>0</v>
      </c>
      <c r="Q569" s="9">
        <v>0</v>
      </c>
      <c r="R569" s="9">
        <v>0</v>
      </c>
      <c r="S569" s="9">
        <v>0</v>
      </c>
      <c r="T569" s="9">
        <v>0</v>
      </c>
      <c r="U569" s="9">
        <v>0</v>
      </c>
      <c r="V569" s="9">
        <v>0</v>
      </c>
      <c r="W569" s="9">
        <v>0</v>
      </c>
      <c r="X569" s="9">
        <v>0</v>
      </c>
      <c r="Y569" s="9">
        <v>0</v>
      </c>
      <c r="Z569" s="9">
        <v>0</v>
      </c>
      <c r="AA569" s="9">
        <v>0</v>
      </c>
      <c r="AB569" s="10">
        <f t="shared" si="41"/>
        <v>0</v>
      </c>
      <c r="AC569" s="10">
        <f t="shared" si="42"/>
        <v>0</v>
      </c>
      <c r="AD569" s="9">
        <v>0</v>
      </c>
      <c r="AE569" s="9">
        <v>0</v>
      </c>
      <c r="AF569" s="9">
        <v>0</v>
      </c>
      <c r="AG569" s="9">
        <v>0</v>
      </c>
      <c r="AH569" s="9">
        <v>0</v>
      </c>
      <c r="AI569" s="9">
        <v>0</v>
      </c>
      <c r="AJ569" s="9">
        <v>0</v>
      </c>
      <c r="AK569" s="9">
        <v>0</v>
      </c>
      <c r="AL569" s="9">
        <v>0</v>
      </c>
      <c r="AM569" s="9">
        <v>0</v>
      </c>
      <c r="AN569" s="9">
        <v>0</v>
      </c>
      <c r="AO569" s="9">
        <v>0</v>
      </c>
      <c r="AP569" s="9">
        <v>0</v>
      </c>
      <c r="AQ569" s="9">
        <v>0</v>
      </c>
      <c r="AR569" s="9">
        <v>0</v>
      </c>
      <c r="AS569" s="10">
        <f t="shared" si="43"/>
        <v>0</v>
      </c>
      <c r="AT569" s="10">
        <f t="shared" si="44"/>
        <v>0</v>
      </c>
      <c r="AU569" s="5" t="s">
        <v>579</v>
      </c>
    </row>
    <row r="570" spans="1:47" ht="15" customHeight="1" x14ac:dyDescent="0.3">
      <c r="A570" s="7" t="str">
        <f t="shared" si="40"/>
        <v>114_2024</v>
      </c>
      <c r="B570" s="7">
        <v>569</v>
      </c>
      <c r="C570" s="7">
        <f>'Panel Data (Long Format)'!B570</f>
        <v>114</v>
      </c>
      <c r="D570" s="7" t="str">
        <f>'Panel Data (Long Format)'!C570</f>
        <v>SKYAVN</v>
      </c>
      <c r="E570" s="8" t="str">
        <f>'Panel Data (Long Format)'!D570</f>
        <v>Skyway Aviation Handling Company Plc</v>
      </c>
      <c r="F570" s="7" t="str">
        <f>'Panel Data (Long Format)'!E570</f>
        <v>SERVICES</v>
      </c>
      <c r="G570" s="7">
        <f>'Panel Data (Long Format)'!F570</f>
        <v>2024</v>
      </c>
      <c r="H570" s="9">
        <v>0</v>
      </c>
      <c r="I570" s="9">
        <v>0</v>
      </c>
      <c r="J570" s="9">
        <v>0</v>
      </c>
      <c r="K570" s="9">
        <v>0</v>
      </c>
      <c r="L570" s="9">
        <v>0</v>
      </c>
      <c r="M570" s="9">
        <v>0</v>
      </c>
      <c r="N570" s="9">
        <v>0</v>
      </c>
      <c r="O570" s="9">
        <v>0</v>
      </c>
      <c r="P570" s="9">
        <v>0</v>
      </c>
      <c r="Q570" s="9">
        <v>0</v>
      </c>
      <c r="R570" s="9">
        <v>0</v>
      </c>
      <c r="S570" s="9">
        <v>0</v>
      </c>
      <c r="T570" s="9">
        <v>0</v>
      </c>
      <c r="U570" s="9">
        <v>0</v>
      </c>
      <c r="V570" s="9">
        <v>0</v>
      </c>
      <c r="W570" s="9">
        <v>0</v>
      </c>
      <c r="X570" s="9">
        <v>0</v>
      </c>
      <c r="Y570" s="9">
        <v>0</v>
      </c>
      <c r="Z570" s="9">
        <v>0</v>
      </c>
      <c r="AA570" s="9">
        <v>0</v>
      </c>
      <c r="AB570" s="10">
        <f t="shared" si="41"/>
        <v>0</v>
      </c>
      <c r="AC570" s="10">
        <f t="shared" si="42"/>
        <v>0</v>
      </c>
      <c r="AD570" s="9">
        <v>0</v>
      </c>
      <c r="AE570" s="9">
        <v>0</v>
      </c>
      <c r="AF570" s="9">
        <v>0</v>
      </c>
      <c r="AG570" s="9">
        <v>0</v>
      </c>
      <c r="AH570" s="9">
        <v>0</v>
      </c>
      <c r="AI570" s="9">
        <v>0</v>
      </c>
      <c r="AJ570" s="9">
        <v>0</v>
      </c>
      <c r="AK570" s="9">
        <v>0</v>
      </c>
      <c r="AL570" s="9">
        <v>0</v>
      </c>
      <c r="AM570" s="9">
        <v>0</v>
      </c>
      <c r="AN570" s="9">
        <v>0</v>
      </c>
      <c r="AO570" s="9">
        <v>0</v>
      </c>
      <c r="AP570" s="9">
        <v>0</v>
      </c>
      <c r="AQ570" s="9">
        <v>0</v>
      </c>
      <c r="AR570" s="9">
        <v>0</v>
      </c>
      <c r="AS570" s="10">
        <f t="shared" si="43"/>
        <v>0</v>
      </c>
      <c r="AT570" s="10">
        <f t="shared" si="44"/>
        <v>0</v>
      </c>
      <c r="AU570" s="5" t="s">
        <v>580</v>
      </c>
    </row>
    <row r="571" spans="1:47" ht="15" customHeight="1" x14ac:dyDescent="0.3">
      <c r="A571" s="7" t="str">
        <f t="shared" si="40"/>
        <v>114_2025</v>
      </c>
      <c r="B571" s="7">
        <v>570</v>
      </c>
      <c r="C571" s="7">
        <f>'Panel Data (Long Format)'!B571</f>
        <v>114</v>
      </c>
      <c r="D571" s="7" t="str">
        <f>'Panel Data (Long Format)'!C571</f>
        <v>SKYAVN</v>
      </c>
      <c r="E571" s="8" t="str">
        <f>'Panel Data (Long Format)'!D571</f>
        <v>Skyway Aviation Handling Company Plc</v>
      </c>
      <c r="F571" s="7" t="str">
        <f>'Panel Data (Long Format)'!E571</f>
        <v>SERVICES</v>
      </c>
      <c r="G571" s="7">
        <f>'Panel Data (Long Format)'!F571</f>
        <v>2025</v>
      </c>
      <c r="H571" s="9">
        <v>0</v>
      </c>
      <c r="I571" s="9">
        <v>0</v>
      </c>
      <c r="J571" s="9">
        <v>0</v>
      </c>
      <c r="K571" s="9">
        <v>0</v>
      </c>
      <c r="L571" s="9">
        <v>0</v>
      </c>
      <c r="M571" s="9">
        <v>0</v>
      </c>
      <c r="N571" s="9">
        <v>0</v>
      </c>
      <c r="O571" s="9">
        <v>0</v>
      </c>
      <c r="P571" s="9">
        <v>0</v>
      </c>
      <c r="Q571" s="9">
        <v>0</v>
      </c>
      <c r="R571" s="9">
        <v>0</v>
      </c>
      <c r="S571" s="9">
        <v>0</v>
      </c>
      <c r="T571" s="9">
        <v>0</v>
      </c>
      <c r="U571" s="9">
        <v>0</v>
      </c>
      <c r="V571" s="9">
        <v>0</v>
      </c>
      <c r="W571" s="9">
        <v>0</v>
      </c>
      <c r="X571" s="9">
        <v>0</v>
      </c>
      <c r="Y571" s="9">
        <v>0</v>
      </c>
      <c r="Z571" s="9">
        <v>0</v>
      </c>
      <c r="AA571" s="9">
        <v>0</v>
      </c>
      <c r="AB571" s="10">
        <f t="shared" si="41"/>
        <v>0</v>
      </c>
      <c r="AC571" s="10">
        <f t="shared" si="42"/>
        <v>0</v>
      </c>
      <c r="AD571" s="9">
        <v>0</v>
      </c>
      <c r="AE571" s="9">
        <v>0</v>
      </c>
      <c r="AF571" s="9">
        <v>0</v>
      </c>
      <c r="AG571" s="9">
        <v>0</v>
      </c>
      <c r="AH571" s="9">
        <v>0</v>
      </c>
      <c r="AI571" s="9">
        <v>0</v>
      </c>
      <c r="AJ571" s="9">
        <v>0</v>
      </c>
      <c r="AK571" s="9">
        <v>0</v>
      </c>
      <c r="AL571" s="9">
        <v>0</v>
      </c>
      <c r="AM571" s="9">
        <v>0</v>
      </c>
      <c r="AN571" s="9">
        <v>0</v>
      </c>
      <c r="AO571" s="9">
        <v>0</v>
      </c>
      <c r="AP571" s="9">
        <v>0</v>
      </c>
      <c r="AQ571" s="9">
        <v>0</v>
      </c>
      <c r="AR571" s="9">
        <v>0</v>
      </c>
      <c r="AS571" s="10">
        <f t="shared" si="43"/>
        <v>0</v>
      </c>
      <c r="AT571" s="10">
        <f t="shared" si="44"/>
        <v>0</v>
      </c>
      <c r="AU571" s="5" t="s">
        <v>581</v>
      </c>
    </row>
    <row r="572" spans="1:47" ht="15" customHeight="1" x14ac:dyDescent="0.3">
      <c r="A572" s="7" t="str">
        <f t="shared" si="40"/>
        <v>115_2021</v>
      </c>
      <c r="B572" s="7">
        <v>571</v>
      </c>
      <c r="C572" s="7">
        <f>'Panel Data (Long Format)'!B572</f>
        <v>115</v>
      </c>
      <c r="D572" s="7" t="str">
        <f>'Panel Data (Long Format)'!C572</f>
        <v>SOVRENINS</v>
      </c>
      <c r="E572" s="8" t="str">
        <f>'Panel Data (Long Format)'!D572</f>
        <v>Sovereign Trust Insurance Plc</v>
      </c>
      <c r="F572" s="7" t="str">
        <f>'Panel Data (Long Format)'!E572</f>
        <v>FINANCIAL SERVICES</v>
      </c>
      <c r="G572" s="7">
        <f>'Panel Data (Long Format)'!F572</f>
        <v>2021</v>
      </c>
      <c r="H572" s="9">
        <v>0</v>
      </c>
      <c r="I572" s="9">
        <v>0</v>
      </c>
      <c r="J572" s="9">
        <v>0</v>
      </c>
      <c r="K572" s="9">
        <v>0</v>
      </c>
      <c r="L572" s="9">
        <v>0</v>
      </c>
      <c r="M572" s="9">
        <v>0</v>
      </c>
      <c r="N572" s="9">
        <v>0</v>
      </c>
      <c r="O572" s="9">
        <v>0</v>
      </c>
      <c r="P572" s="9">
        <v>0</v>
      </c>
      <c r="Q572" s="9">
        <v>0</v>
      </c>
      <c r="R572" s="9">
        <v>0</v>
      </c>
      <c r="S572" s="9">
        <v>0</v>
      </c>
      <c r="T572" s="9">
        <v>0</v>
      </c>
      <c r="U572" s="9">
        <v>0</v>
      </c>
      <c r="V572" s="9">
        <v>0</v>
      </c>
      <c r="W572" s="9">
        <v>0</v>
      </c>
      <c r="X572" s="9">
        <v>0</v>
      </c>
      <c r="Y572" s="9">
        <v>0</v>
      </c>
      <c r="Z572" s="9">
        <v>0</v>
      </c>
      <c r="AA572" s="9">
        <v>0</v>
      </c>
      <c r="AB572" s="10">
        <f t="shared" si="41"/>
        <v>0</v>
      </c>
      <c r="AC572" s="10">
        <f t="shared" si="42"/>
        <v>0</v>
      </c>
      <c r="AD572" s="9">
        <v>0</v>
      </c>
      <c r="AE572" s="9">
        <v>0</v>
      </c>
      <c r="AF572" s="9">
        <v>0</v>
      </c>
      <c r="AG572" s="9">
        <v>0</v>
      </c>
      <c r="AH572" s="9">
        <v>0</v>
      </c>
      <c r="AI572" s="9">
        <v>0</v>
      </c>
      <c r="AJ572" s="9">
        <v>0</v>
      </c>
      <c r="AK572" s="9">
        <v>0</v>
      </c>
      <c r="AL572" s="9">
        <v>0</v>
      </c>
      <c r="AM572" s="9">
        <v>0</v>
      </c>
      <c r="AN572" s="9">
        <v>0</v>
      </c>
      <c r="AO572" s="9">
        <v>0</v>
      </c>
      <c r="AP572" s="9">
        <v>0</v>
      </c>
      <c r="AQ572" s="9">
        <v>0</v>
      </c>
      <c r="AR572" s="9">
        <v>0</v>
      </c>
      <c r="AS572" s="10">
        <f t="shared" si="43"/>
        <v>0</v>
      </c>
      <c r="AT572" s="10">
        <f t="shared" si="44"/>
        <v>0</v>
      </c>
      <c r="AU572" s="5" t="s">
        <v>582</v>
      </c>
    </row>
    <row r="573" spans="1:47" ht="15" customHeight="1" x14ac:dyDescent="0.3">
      <c r="A573" s="7" t="str">
        <f t="shared" si="40"/>
        <v>115_2022</v>
      </c>
      <c r="B573" s="7">
        <v>572</v>
      </c>
      <c r="C573" s="7">
        <f>'Panel Data (Long Format)'!B573</f>
        <v>115</v>
      </c>
      <c r="D573" s="7" t="str">
        <f>'Panel Data (Long Format)'!C573</f>
        <v>SOVRENINS</v>
      </c>
      <c r="E573" s="8" t="str">
        <f>'Panel Data (Long Format)'!D573</f>
        <v>Sovereign Trust Insurance Plc</v>
      </c>
      <c r="F573" s="7" t="str">
        <f>'Panel Data (Long Format)'!E573</f>
        <v>FINANCIAL SERVICES</v>
      </c>
      <c r="G573" s="7">
        <f>'Panel Data (Long Format)'!F573</f>
        <v>2022</v>
      </c>
      <c r="H573" s="9">
        <v>0</v>
      </c>
      <c r="I573" s="9">
        <v>0</v>
      </c>
      <c r="J573" s="9">
        <v>0</v>
      </c>
      <c r="K573" s="9">
        <v>0</v>
      </c>
      <c r="L573" s="9">
        <v>0</v>
      </c>
      <c r="M573" s="9">
        <v>0</v>
      </c>
      <c r="N573" s="9">
        <v>0</v>
      </c>
      <c r="O573" s="9">
        <v>0</v>
      </c>
      <c r="P573" s="9">
        <v>0</v>
      </c>
      <c r="Q573" s="9">
        <v>0</v>
      </c>
      <c r="R573" s="9">
        <v>0</v>
      </c>
      <c r="S573" s="9">
        <v>0</v>
      </c>
      <c r="T573" s="9">
        <v>0</v>
      </c>
      <c r="U573" s="9">
        <v>0</v>
      </c>
      <c r="V573" s="9">
        <v>0</v>
      </c>
      <c r="W573" s="9">
        <v>0</v>
      </c>
      <c r="X573" s="9">
        <v>0</v>
      </c>
      <c r="Y573" s="9">
        <v>0</v>
      </c>
      <c r="Z573" s="9">
        <v>0</v>
      </c>
      <c r="AA573" s="9">
        <v>0</v>
      </c>
      <c r="AB573" s="10">
        <f t="shared" si="41"/>
        <v>0</v>
      </c>
      <c r="AC573" s="10">
        <f t="shared" si="42"/>
        <v>0</v>
      </c>
      <c r="AD573" s="9">
        <v>0</v>
      </c>
      <c r="AE573" s="9">
        <v>0</v>
      </c>
      <c r="AF573" s="9">
        <v>0</v>
      </c>
      <c r="AG573" s="9">
        <v>0</v>
      </c>
      <c r="AH573" s="9">
        <v>0</v>
      </c>
      <c r="AI573" s="9">
        <v>0</v>
      </c>
      <c r="AJ573" s="9">
        <v>0</v>
      </c>
      <c r="AK573" s="9">
        <v>0</v>
      </c>
      <c r="AL573" s="9">
        <v>0</v>
      </c>
      <c r="AM573" s="9">
        <v>0</v>
      </c>
      <c r="AN573" s="9">
        <v>0</v>
      </c>
      <c r="AO573" s="9">
        <v>0</v>
      </c>
      <c r="AP573" s="9">
        <v>0</v>
      </c>
      <c r="AQ573" s="9">
        <v>0</v>
      </c>
      <c r="AR573" s="9">
        <v>0</v>
      </c>
      <c r="AS573" s="10">
        <f t="shared" si="43"/>
        <v>0</v>
      </c>
      <c r="AT573" s="10">
        <f t="shared" si="44"/>
        <v>0</v>
      </c>
      <c r="AU573" s="5" t="s">
        <v>582</v>
      </c>
    </row>
    <row r="574" spans="1:47" ht="15" customHeight="1" x14ac:dyDescent="0.3">
      <c r="A574" s="7" t="str">
        <f t="shared" si="40"/>
        <v>115_2023</v>
      </c>
      <c r="B574" s="7">
        <v>573</v>
      </c>
      <c r="C574" s="7">
        <f>'Panel Data (Long Format)'!B574</f>
        <v>115</v>
      </c>
      <c r="D574" s="7" t="str">
        <f>'Panel Data (Long Format)'!C574</f>
        <v>SOVRENINS</v>
      </c>
      <c r="E574" s="8" t="str">
        <f>'Panel Data (Long Format)'!D574</f>
        <v>Sovereign Trust Insurance Plc</v>
      </c>
      <c r="F574" s="7" t="str">
        <f>'Panel Data (Long Format)'!E574</f>
        <v>FINANCIAL SERVICES</v>
      </c>
      <c r="G574" s="7">
        <f>'Panel Data (Long Format)'!F574</f>
        <v>2023</v>
      </c>
      <c r="H574" s="9">
        <v>0</v>
      </c>
      <c r="I574" s="9">
        <v>0</v>
      </c>
      <c r="J574" s="9">
        <v>0</v>
      </c>
      <c r="K574" s="9">
        <v>0</v>
      </c>
      <c r="L574" s="9">
        <v>0</v>
      </c>
      <c r="M574" s="9">
        <v>0</v>
      </c>
      <c r="N574" s="9">
        <v>0</v>
      </c>
      <c r="O574" s="9">
        <v>0</v>
      </c>
      <c r="P574" s="9">
        <v>0</v>
      </c>
      <c r="Q574" s="9">
        <v>0</v>
      </c>
      <c r="R574" s="9">
        <v>0</v>
      </c>
      <c r="S574" s="9">
        <v>0</v>
      </c>
      <c r="T574" s="9">
        <v>0</v>
      </c>
      <c r="U574" s="9">
        <v>0</v>
      </c>
      <c r="V574" s="9">
        <v>0</v>
      </c>
      <c r="W574" s="9">
        <v>0</v>
      </c>
      <c r="X574" s="9">
        <v>0</v>
      </c>
      <c r="Y574" s="9">
        <v>0</v>
      </c>
      <c r="Z574" s="9">
        <v>0</v>
      </c>
      <c r="AA574" s="9">
        <v>0</v>
      </c>
      <c r="AB574" s="10">
        <f t="shared" si="41"/>
        <v>0</v>
      </c>
      <c r="AC574" s="10">
        <f t="shared" si="42"/>
        <v>0</v>
      </c>
      <c r="AD574" s="9">
        <v>0</v>
      </c>
      <c r="AE574" s="9">
        <v>0</v>
      </c>
      <c r="AF574" s="9">
        <v>0</v>
      </c>
      <c r="AG574" s="9">
        <v>0</v>
      </c>
      <c r="AH574" s="9">
        <v>0</v>
      </c>
      <c r="AI574" s="9">
        <v>0</v>
      </c>
      <c r="AJ574" s="9">
        <v>0</v>
      </c>
      <c r="AK574" s="9">
        <v>0</v>
      </c>
      <c r="AL574" s="9">
        <v>0</v>
      </c>
      <c r="AM574" s="9">
        <v>0</v>
      </c>
      <c r="AN574" s="9">
        <v>0</v>
      </c>
      <c r="AO574" s="9">
        <v>0</v>
      </c>
      <c r="AP574" s="9">
        <v>0</v>
      </c>
      <c r="AQ574" s="9">
        <v>0</v>
      </c>
      <c r="AR574" s="9">
        <v>0</v>
      </c>
      <c r="AS574" s="10">
        <f t="shared" si="43"/>
        <v>0</v>
      </c>
      <c r="AT574" s="10">
        <f t="shared" si="44"/>
        <v>0</v>
      </c>
      <c r="AU574" s="5" t="s">
        <v>582</v>
      </c>
    </row>
    <row r="575" spans="1:47" ht="15" customHeight="1" x14ac:dyDescent="0.3">
      <c r="A575" s="7" t="str">
        <f t="shared" si="40"/>
        <v>115_2024</v>
      </c>
      <c r="B575" s="7">
        <v>574</v>
      </c>
      <c r="C575" s="7">
        <f>'Panel Data (Long Format)'!B575</f>
        <v>115</v>
      </c>
      <c r="D575" s="7" t="str">
        <f>'Panel Data (Long Format)'!C575</f>
        <v>SOVRENINS</v>
      </c>
      <c r="E575" s="8" t="str">
        <f>'Panel Data (Long Format)'!D575</f>
        <v>Sovereign Trust Insurance Plc</v>
      </c>
      <c r="F575" s="7" t="str">
        <f>'Panel Data (Long Format)'!E575</f>
        <v>FINANCIAL SERVICES</v>
      </c>
      <c r="G575" s="7">
        <f>'Panel Data (Long Format)'!F575</f>
        <v>2024</v>
      </c>
      <c r="H575" s="9">
        <v>0</v>
      </c>
      <c r="I575" s="9">
        <v>0</v>
      </c>
      <c r="J575" s="9">
        <v>0</v>
      </c>
      <c r="K575" s="9">
        <v>0</v>
      </c>
      <c r="L575" s="9">
        <v>0</v>
      </c>
      <c r="M575" s="9">
        <v>0</v>
      </c>
      <c r="N575" s="9">
        <v>0</v>
      </c>
      <c r="O575" s="9">
        <v>0</v>
      </c>
      <c r="P575" s="9">
        <v>0</v>
      </c>
      <c r="Q575" s="9">
        <v>0</v>
      </c>
      <c r="R575" s="9">
        <v>0</v>
      </c>
      <c r="S575" s="9">
        <v>0</v>
      </c>
      <c r="T575" s="9">
        <v>0</v>
      </c>
      <c r="U575" s="9">
        <v>0</v>
      </c>
      <c r="V575" s="9">
        <v>0</v>
      </c>
      <c r="W575" s="9">
        <v>0</v>
      </c>
      <c r="X575" s="9">
        <v>0</v>
      </c>
      <c r="Y575" s="9">
        <v>0</v>
      </c>
      <c r="Z575" s="9">
        <v>0</v>
      </c>
      <c r="AA575" s="9">
        <v>0</v>
      </c>
      <c r="AB575" s="10">
        <f t="shared" si="41"/>
        <v>0</v>
      </c>
      <c r="AC575" s="10">
        <f t="shared" si="42"/>
        <v>0</v>
      </c>
      <c r="AD575" s="9">
        <v>0</v>
      </c>
      <c r="AE575" s="9">
        <v>0</v>
      </c>
      <c r="AF575" s="9">
        <v>0</v>
      </c>
      <c r="AG575" s="9">
        <v>0</v>
      </c>
      <c r="AH575" s="9">
        <v>0</v>
      </c>
      <c r="AI575" s="9">
        <v>0</v>
      </c>
      <c r="AJ575" s="9">
        <v>0</v>
      </c>
      <c r="AK575" s="9">
        <v>0</v>
      </c>
      <c r="AL575" s="9">
        <v>0</v>
      </c>
      <c r="AM575" s="9">
        <v>0</v>
      </c>
      <c r="AN575" s="9">
        <v>0</v>
      </c>
      <c r="AO575" s="9">
        <v>0</v>
      </c>
      <c r="AP575" s="9">
        <v>0</v>
      </c>
      <c r="AQ575" s="9">
        <v>0</v>
      </c>
      <c r="AR575" s="9">
        <v>0</v>
      </c>
      <c r="AS575" s="10">
        <f t="shared" si="43"/>
        <v>0</v>
      </c>
      <c r="AT575" s="10">
        <f t="shared" si="44"/>
        <v>0</v>
      </c>
      <c r="AU575" s="5" t="s">
        <v>582</v>
      </c>
    </row>
    <row r="576" spans="1:47" ht="15" customHeight="1" x14ac:dyDescent="0.3">
      <c r="A576" s="7" t="str">
        <f t="shared" si="40"/>
        <v>115_2025</v>
      </c>
      <c r="B576" s="7">
        <v>575</v>
      </c>
      <c r="C576" s="7">
        <f>'Panel Data (Long Format)'!B576</f>
        <v>115</v>
      </c>
      <c r="D576" s="7" t="str">
        <f>'Panel Data (Long Format)'!C576</f>
        <v>SOVRENINS</v>
      </c>
      <c r="E576" s="8" t="str">
        <f>'Panel Data (Long Format)'!D576</f>
        <v>Sovereign Trust Insurance Plc</v>
      </c>
      <c r="F576" s="7" t="str">
        <f>'Panel Data (Long Format)'!E576</f>
        <v>FINANCIAL SERVICES</v>
      </c>
      <c r="G576" s="7">
        <f>'Panel Data (Long Format)'!F576</f>
        <v>2025</v>
      </c>
      <c r="H576" s="9">
        <v>0</v>
      </c>
      <c r="I576" s="9">
        <v>0</v>
      </c>
      <c r="J576" s="9">
        <v>0</v>
      </c>
      <c r="K576" s="9">
        <v>0</v>
      </c>
      <c r="L576" s="9">
        <v>0</v>
      </c>
      <c r="M576" s="9">
        <v>0</v>
      </c>
      <c r="N576" s="9">
        <v>0</v>
      </c>
      <c r="O576" s="9">
        <v>0</v>
      </c>
      <c r="P576" s="9">
        <v>0</v>
      </c>
      <c r="Q576" s="9">
        <v>0</v>
      </c>
      <c r="R576" s="9">
        <v>0</v>
      </c>
      <c r="S576" s="9">
        <v>0</v>
      </c>
      <c r="T576" s="9">
        <v>0</v>
      </c>
      <c r="U576" s="9">
        <v>0</v>
      </c>
      <c r="V576" s="9">
        <v>0</v>
      </c>
      <c r="W576" s="9">
        <v>0</v>
      </c>
      <c r="X576" s="9">
        <v>0</v>
      </c>
      <c r="Y576" s="9">
        <v>0</v>
      </c>
      <c r="Z576" s="9">
        <v>0</v>
      </c>
      <c r="AA576" s="9">
        <v>0</v>
      </c>
      <c r="AB576" s="10">
        <f t="shared" si="41"/>
        <v>0</v>
      </c>
      <c r="AC576" s="10">
        <f t="shared" si="42"/>
        <v>0</v>
      </c>
      <c r="AD576" s="9">
        <v>0</v>
      </c>
      <c r="AE576" s="9">
        <v>0</v>
      </c>
      <c r="AF576" s="9">
        <v>0</v>
      </c>
      <c r="AG576" s="9">
        <v>0</v>
      </c>
      <c r="AH576" s="9">
        <v>0</v>
      </c>
      <c r="AI576" s="9">
        <v>0</v>
      </c>
      <c r="AJ576" s="9">
        <v>0</v>
      </c>
      <c r="AK576" s="9">
        <v>0</v>
      </c>
      <c r="AL576" s="9">
        <v>0</v>
      </c>
      <c r="AM576" s="9">
        <v>0</v>
      </c>
      <c r="AN576" s="9">
        <v>0</v>
      </c>
      <c r="AO576" s="9">
        <v>0</v>
      </c>
      <c r="AP576" s="9">
        <v>0</v>
      </c>
      <c r="AQ576" s="9">
        <v>0</v>
      </c>
      <c r="AR576" s="9">
        <v>0</v>
      </c>
      <c r="AS576" s="10">
        <f t="shared" si="43"/>
        <v>0</v>
      </c>
      <c r="AT576" s="10">
        <f t="shared" si="44"/>
        <v>0</v>
      </c>
      <c r="AU576" s="5" t="s">
        <v>582</v>
      </c>
    </row>
    <row r="577" spans="1:47" ht="15" customHeight="1" x14ac:dyDescent="0.3">
      <c r="A577" s="7" t="str">
        <f t="shared" si="40"/>
        <v>116_2021</v>
      </c>
      <c r="B577" s="7">
        <v>576</v>
      </c>
      <c r="C577" s="7">
        <f>'Panel Data (Long Format)'!B577</f>
        <v>116</v>
      </c>
      <c r="D577" s="7" t="str">
        <f>'Panel Data (Long Format)'!C577</f>
        <v>STACO</v>
      </c>
      <c r="E577" s="8" t="str">
        <f>'Panel Data (Long Format)'!D577</f>
        <v>Staco Insurance Plc</v>
      </c>
      <c r="F577" s="7" t="str">
        <f>'Panel Data (Long Format)'!E577</f>
        <v>FINANCIAL SERVICES</v>
      </c>
      <c r="G577" s="7">
        <f>'Panel Data (Long Format)'!F577</f>
        <v>2021</v>
      </c>
      <c r="H577" s="9"/>
      <c r="I577" s="9"/>
      <c r="J577" s="9"/>
      <c r="K577" s="9"/>
      <c r="L577" s="9"/>
      <c r="M577" s="9"/>
      <c r="N577" s="9"/>
      <c r="O577" s="9"/>
      <c r="P577" s="9"/>
      <c r="Q577" s="9"/>
      <c r="R577" s="9"/>
      <c r="S577" s="9"/>
      <c r="T577" s="9"/>
      <c r="U577" s="9"/>
      <c r="V577" s="9"/>
      <c r="W577" s="9"/>
      <c r="X577" s="9"/>
      <c r="Y577" s="9"/>
      <c r="Z577" s="9"/>
      <c r="AA577" s="9"/>
      <c r="AB577" s="10" t="str">
        <f t="shared" si="41"/>
        <v/>
      </c>
      <c r="AC577" s="10" t="str">
        <f t="shared" si="42"/>
        <v/>
      </c>
      <c r="AD577" s="9"/>
      <c r="AE577" s="9"/>
      <c r="AF577" s="9"/>
      <c r="AG577" s="9"/>
      <c r="AH577" s="9"/>
      <c r="AI577" s="9"/>
      <c r="AJ577" s="9"/>
      <c r="AK577" s="9"/>
      <c r="AL577" s="9"/>
      <c r="AM577" s="9"/>
      <c r="AN577" s="9"/>
      <c r="AO577" s="9"/>
      <c r="AP577" s="9"/>
      <c r="AQ577" s="9"/>
      <c r="AR577" s="9"/>
      <c r="AS577" s="10" t="str">
        <f t="shared" si="43"/>
        <v/>
      </c>
      <c r="AT577" s="10" t="str">
        <f t="shared" si="44"/>
        <v/>
      </c>
      <c r="AU577" s="5" t="s">
        <v>583</v>
      </c>
    </row>
    <row r="578" spans="1:47" ht="15" customHeight="1" x14ac:dyDescent="0.3">
      <c r="A578" s="7" t="str">
        <f t="shared" ref="A578:A641" si="45">C578&amp;"_"&amp;G578</f>
        <v>116_2022</v>
      </c>
      <c r="B578" s="7">
        <v>577</v>
      </c>
      <c r="C578" s="7">
        <f>'Panel Data (Long Format)'!B578</f>
        <v>116</v>
      </c>
      <c r="D578" s="7" t="str">
        <f>'Panel Data (Long Format)'!C578</f>
        <v>STACO</v>
      </c>
      <c r="E578" s="8" t="str">
        <f>'Panel Data (Long Format)'!D578</f>
        <v>Staco Insurance Plc</v>
      </c>
      <c r="F578" s="7" t="str">
        <f>'Panel Data (Long Format)'!E578</f>
        <v>FINANCIAL SERVICES</v>
      </c>
      <c r="G578" s="7">
        <f>'Panel Data (Long Format)'!F578</f>
        <v>2022</v>
      </c>
      <c r="H578" s="9"/>
      <c r="I578" s="9"/>
      <c r="J578" s="9"/>
      <c r="K578" s="9"/>
      <c r="L578" s="9"/>
      <c r="M578" s="9"/>
      <c r="N578" s="9"/>
      <c r="O578" s="9"/>
      <c r="P578" s="9"/>
      <c r="Q578" s="9"/>
      <c r="R578" s="9"/>
      <c r="S578" s="9"/>
      <c r="T578" s="9"/>
      <c r="U578" s="9"/>
      <c r="V578" s="9"/>
      <c r="W578" s="9"/>
      <c r="X578" s="9"/>
      <c r="Y578" s="9"/>
      <c r="Z578" s="9"/>
      <c r="AA578" s="9"/>
      <c r="AB578" s="10" t="str">
        <f t="shared" ref="AB578:AB641" si="46">IF(COUNTBLANK(H578:AA578)&gt;0,"",SUM(H578:AA578))</f>
        <v/>
      </c>
      <c r="AC578" s="10" t="str">
        <f t="shared" ref="AC578:AC641" si="47">IF(AB578="","",AB578/20*100)</f>
        <v/>
      </c>
      <c r="AD578" s="9"/>
      <c r="AE578" s="9"/>
      <c r="AF578" s="9"/>
      <c r="AG578" s="9"/>
      <c r="AH578" s="9"/>
      <c r="AI578" s="9"/>
      <c r="AJ578" s="9"/>
      <c r="AK578" s="9"/>
      <c r="AL578" s="9"/>
      <c r="AM578" s="9"/>
      <c r="AN578" s="9"/>
      <c r="AO578" s="9"/>
      <c r="AP578" s="9"/>
      <c r="AQ578" s="9"/>
      <c r="AR578" s="9"/>
      <c r="AS578" s="10" t="str">
        <f t="shared" ref="AS578:AS641" si="48">IF(COUNTBLANK(AD578:AR578)&gt;0,"",SUM(AD578:AR578))</f>
        <v/>
      </c>
      <c r="AT578" s="10" t="str">
        <f t="shared" ref="AT578:AT641" si="49">IF(AS578="","",AS578/15*100)</f>
        <v/>
      </c>
      <c r="AU578" s="5" t="s">
        <v>583</v>
      </c>
    </row>
    <row r="579" spans="1:47" ht="15" customHeight="1" x14ac:dyDescent="0.3">
      <c r="A579" s="7" t="str">
        <f t="shared" si="45"/>
        <v>116_2023</v>
      </c>
      <c r="B579" s="7">
        <v>578</v>
      </c>
      <c r="C579" s="7">
        <f>'Panel Data (Long Format)'!B579</f>
        <v>116</v>
      </c>
      <c r="D579" s="7" t="str">
        <f>'Panel Data (Long Format)'!C579</f>
        <v>STACO</v>
      </c>
      <c r="E579" s="8" t="str">
        <f>'Panel Data (Long Format)'!D579</f>
        <v>Staco Insurance Plc</v>
      </c>
      <c r="F579" s="7" t="str">
        <f>'Panel Data (Long Format)'!E579</f>
        <v>FINANCIAL SERVICES</v>
      </c>
      <c r="G579" s="7">
        <f>'Panel Data (Long Format)'!F579</f>
        <v>2023</v>
      </c>
      <c r="H579" s="9"/>
      <c r="I579" s="9"/>
      <c r="J579" s="9"/>
      <c r="K579" s="9"/>
      <c r="L579" s="9"/>
      <c r="M579" s="9"/>
      <c r="N579" s="9"/>
      <c r="O579" s="9"/>
      <c r="P579" s="9"/>
      <c r="Q579" s="9"/>
      <c r="R579" s="9"/>
      <c r="S579" s="9"/>
      <c r="T579" s="9"/>
      <c r="U579" s="9"/>
      <c r="V579" s="9"/>
      <c r="W579" s="9"/>
      <c r="X579" s="9"/>
      <c r="Y579" s="9"/>
      <c r="Z579" s="9"/>
      <c r="AA579" s="9"/>
      <c r="AB579" s="10" t="str">
        <f t="shared" si="46"/>
        <v/>
      </c>
      <c r="AC579" s="10" t="str">
        <f t="shared" si="47"/>
        <v/>
      </c>
      <c r="AD579" s="9"/>
      <c r="AE579" s="9"/>
      <c r="AF579" s="9"/>
      <c r="AG579" s="9"/>
      <c r="AH579" s="9"/>
      <c r="AI579" s="9"/>
      <c r="AJ579" s="9"/>
      <c r="AK579" s="9"/>
      <c r="AL579" s="9"/>
      <c r="AM579" s="9"/>
      <c r="AN579" s="9"/>
      <c r="AO579" s="9"/>
      <c r="AP579" s="9"/>
      <c r="AQ579" s="9"/>
      <c r="AR579" s="9"/>
      <c r="AS579" s="10" t="str">
        <f t="shared" si="48"/>
        <v/>
      </c>
      <c r="AT579" s="10" t="str">
        <f t="shared" si="49"/>
        <v/>
      </c>
      <c r="AU579" s="5" t="s">
        <v>583</v>
      </c>
    </row>
    <row r="580" spans="1:47" ht="15" customHeight="1" x14ac:dyDescent="0.3">
      <c r="A580" s="7" t="str">
        <f t="shared" si="45"/>
        <v>116_2024</v>
      </c>
      <c r="B580" s="7">
        <v>579</v>
      </c>
      <c r="C580" s="7">
        <f>'Panel Data (Long Format)'!B580</f>
        <v>116</v>
      </c>
      <c r="D580" s="7" t="str">
        <f>'Panel Data (Long Format)'!C580</f>
        <v>STACO</v>
      </c>
      <c r="E580" s="8" t="str">
        <f>'Panel Data (Long Format)'!D580</f>
        <v>Staco Insurance Plc</v>
      </c>
      <c r="F580" s="7" t="str">
        <f>'Panel Data (Long Format)'!E580</f>
        <v>FINANCIAL SERVICES</v>
      </c>
      <c r="G580" s="7">
        <f>'Panel Data (Long Format)'!F580</f>
        <v>2024</v>
      </c>
      <c r="H580" s="9">
        <v>0</v>
      </c>
      <c r="I580" s="9">
        <v>0</v>
      </c>
      <c r="J580" s="9">
        <v>0</v>
      </c>
      <c r="K580" s="9">
        <v>0</v>
      </c>
      <c r="L580" s="9">
        <v>0</v>
      </c>
      <c r="M580" s="9">
        <v>0</v>
      </c>
      <c r="N580" s="9">
        <v>0</v>
      </c>
      <c r="O580" s="9">
        <v>0</v>
      </c>
      <c r="P580" s="9">
        <v>0</v>
      </c>
      <c r="Q580" s="9">
        <v>0</v>
      </c>
      <c r="R580" s="9">
        <v>0</v>
      </c>
      <c r="S580" s="9">
        <v>0</v>
      </c>
      <c r="T580" s="9">
        <v>0</v>
      </c>
      <c r="U580" s="9">
        <v>0</v>
      </c>
      <c r="V580" s="9">
        <v>0</v>
      </c>
      <c r="W580" s="9">
        <v>0</v>
      </c>
      <c r="X580" s="9">
        <v>0</v>
      </c>
      <c r="Y580" s="9">
        <v>0</v>
      </c>
      <c r="Z580" s="9">
        <v>0</v>
      </c>
      <c r="AA580" s="9">
        <v>0</v>
      </c>
      <c r="AB580" s="10">
        <f t="shared" si="46"/>
        <v>0</v>
      </c>
      <c r="AC580" s="10">
        <f t="shared" si="47"/>
        <v>0</v>
      </c>
      <c r="AD580" s="9">
        <v>0</v>
      </c>
      <c r="AE580" s="9">
        <v>0</v>
      </c>
      <c r="AF580" s="9">
        <v>0</v>
      </c>
      <c r="AG580" s="9">
        <v>0</v>
      </c>
      <c r="AH580" s="9">
        <v>0</v>
      </c>
      <c r="AI580" s="9">
        <v>0</v>
      </c>
      <c r="AJ580" s="9">
        <v>0</v>
      </c>
      <c r="AK580" s="9">
        <v>0</v>
      </c>
      <c r="AL580" s="9">
        <v>0</v>
      </c>
      <c r="AM580" s="9">
        <v>0</v>
      </c>
      <c r="AN580" s="9">
        <v>0</v>
      </c>
      <c r="AO580" s="9">
        <v>0</v>
      </c>
      <c r="AP580" s="9">
        <v>0</v>
      </c>
      <c r="AQ580" s="9">
        <v>0</v>
      </c>
      <c r="AR580" s="9">
        <v>0</v>
      </c>
      <c r="AS580" s="10">
        <f t="shared" si="48"/>
        <v>0</v>
      </c>
      <c r="AT580" s="10">
        <f t="shared" si="49"/>
        <v>0</v>
      </c>
      <c r="AU580" s="5" t="s">
        <v>584</v>
      </c>
    </row>
    <row r="581" spans="1:47" ht="15" customHeight="1" x14ac:dyDescent="0.3">
      <c r="A581" s="7" t="str">
        <f t="shared" si="45"/>
        <v>116_2025</v>
      </c>
      <c r="B581" s="7">
        <v>580</v>
      </c>
      <c r="C581" s="7">
        <f>'Panel Data (Long Format)'!B581</f>
        <v>116</v>
      </c>
      <c r="D581" s="7" t="str">
        <f>'Panel Data (Long Format)'!C581</f>
        <v>STACO</v>
      </c>
      <c r="E581" s="8" t="str">
        <f>'Panel Data (Long Format)'!D581</f>
        <v>Staco Insurance Plc</v>
      </c>
      <c r="F581" s="7" t="str">
        <f>'Panel Data (Long Format)'!E581</f>
        <v>FINANCIAL SERVICES</v>
      </c>
      <c r="G581" s="7">
        <f>'Panel Data (Long Format)'!F581</f>
        <v>2025</v>
      </c>
      <c r="H581" s="9"/>
      <c r="I581" s="9"/>
      <c r="J581" s="9"/>
      <c r="K581" s="9"/>
      <c r="L581" s="9"/>
      <c r="M581" s="9"/>
      <c r="N581" s="9"/>
      <c r="O581" s="9"/>
      <c r="P581" s="9"/>
      <c r="Q581" s="9"/>
      <c r="R581" s="9"/>
      <c r="S581" s="9"/>
      <c r="T581" s="9"/>
      <c r="U581" s="9"/>
      <c r="V581" s="9"/>
      <c r="W581" s="9"/>
      <c r="X581" s="9"/>
      <c r="Y581" s="9"/>
      <c r="Z581" s="9"/>
      <c r="AA581" s="9"/>
      <c r="AB581" s="10" t="str">
        <f t="shared" si="46"/>
        <v/>
      </c>
      <c r="AC581" s="10" t="str">
        <f t="shared" si="47"/>
        <v/>
      </c>
      <c r="AD581" s="9"/>
      <c r="AE581" s="9"/>
      <c r="AF581" s="9"/>
      <c r="AG581" s="9"/>
      <c r="AH581" s="9"/>
      <c r="AI581" s="9"/>
      <c r="AJ581" s="9"/>
      <c r="AK581" s="9"/>
      <c r="AL581" s="9"/>
      <c r="AM581" s="9"/>
      <c r="AN581" s="9"/>
      <c r="AO581" s="9"/>
      <c r="AP581" s="9"/>
      <c r="AQ581" s="9"/>
      <c r="AR581" s="9"/>
      <c r="AS581" s="10" t="str">
        <f t="shared" si="48"/>
        <v/>
      </c>
      <c r="AT581" s="10" t="str">
        <f t="shared" si="49"/>
        <v/>
      </c>
      <c r="AU581" s="5" t="s">
        <v>583</v>
      </c>
    </row>
    <row r="582" spans="1:47" ht="15" customHeight="1" x14ac:dyDescent="0.3">
      <c r="A582" s="7" t="str">
        <f t="shared" si="45"/>
        <v>117_2021</v>
      </c>
      <c r="B582" s="7">
        <v>581</v>
      </c>
      <c r="C582" s="7">
        <f>'Panel Data (Long Format)'!B582</f>
        <v>117</v>
      </c>
      <c r="D582" s="7" t="str">
        <f>'Panel Data (Long Format)'!C582</f>
        <v>STANBIC</v>
      </c>
      <c r="E582" s="8" t="str">
        <f>'Panel Data (Long Format)'!D582</f>
        <v>Stanbic IBTC Holdings Plc</v>
      </c>
      <c r="F582" s="7" t="str">
        <f>'Panel Data (Long Format)'!E582</f>
        <v>FINANCIAL SERVICES</v>
      </c>
      <c r="G582" s="7">
        <f>'Panel Data (Long Format)'!F582</f>
        <v>2021</v>
      </c>
      <c r="H582" s="9">
        <v>0</v>
      </c>
      <c r="I582" s="9">
        <v>0</v>
      </c>
      <c r="J582" s="9">
        <v>0</v>
      </c>
      <c r="K582" s="9">
        <v>0</v>
      </c>
      <c r="L582" s="9">
        <v>0</v>
      </c>
      <c r="M582" s="9">
        <v>0</v>
      </c>
      <c r="N582" s="9">
        <v>0</v>
      </c>
      <c r="O582" s="9">
        <v>0</v>
      </c>
      <c r="P582" s="9">
        <v>0</v>
      </c>
      <c r="Q582" s="9">
        <v>0</v>
      </c>
      <c r="R582" s="9">
        <v>0</v>
      </c>
      <c r="S582" s="9">
        <v>0</v>
      </c>
      <c r="T582" s="9">
        <v>0</v>
      </c>
      <c r="U582" s="9">
        <v>0</v>
      </c>
      <c r="V582" s="9">
        <v>0</v>
      </c>
      <c r="W582" s="9">
        <v>0</v>
      </c>
      <c r="X582" s="9">
        <v>0</v>
      </c>
      <c r="Y582" s="9">
        <v>0</v>
      </c>
      <c r="Z582" s="9">
        <v>0</v>
      </c>
      <c r="AA582" s="9">
        <v>0</v>
      </c>
      <c r="AB582" s="10">
        <f t="shared" si="46"/>
        <v>0</v>
      </c>
      <c r="AC582" s="10">
        <f t="shared" si="47"/>
        <v>0</v>
      </c>
      <c r="AD582" s="9">
        <v>0</v>
      </c>
      <c r="AE582" s="9">
        <v>0</v>
      </c>
      <c r="AF582" s="9">
        <v>0</v>
      </c>
      <c r="AG582" s="9">
        <v>0</v>
      </c>
      <c r="AH582" s="9">
        <v>0</v>
      </c>
      <c r="AI582" s="9">
        <v>0</v>
      </c>
      <c r="AJ582" s="9">
        <v>0</v>
      </c>
      <c r="AK582" s="9">
        <v>0</v>
      </c>
      <c r="AL582" s="9">
        <v>0</v>
      </c>
      <c r="AM582" s="9">
        <v>0</v>
      </c>
      <c r="AN582" s="9">
        <v>0</v>
      </c>
      <c r="AO582" s="9">
        <v>0</v>
      </c>
      <c r="AP582" s="9">
        <v>0</v>
      </c>
      <c r="AQ582" s="9">
        <v>0</v>
      </c>
      <c r="AR582" s="9">
        <v>0</v>
      </c>
      <c r="AS582" s="10">
        <f t="shared" si="48"/>
        <v>0</v>
      </c>
      <c r="AT582" s="10">
        <f t="shared" si="49"/>
        <v>0</v>
      </c>
      <c r="AU582" s="5" t="s">
        <v>585</v>
      </c>
    </row>
    <row r="583" spans="1:47" ht="15" customHeight="1" x14ac:dyDescent="0.3">
      <c r="A583" s="7" t="str">
        <f t="shared" si="45"/>
        <v>117_2022</v>
      </c>
      <c r="B583" s="7">
        <v>582</v>
      </c>
      <c r="C583" s="7">
        <f>'Panel Data (Long Format)'!B583</f>
        <v>117</v>
      </c>
      <c r="D583" s="7" t="str">
        <f>'Panel Data (Long Format)'!C583</f>
        <v>STANBIC</v>
      </c>
      <c r="E583" s="8" t="str">
        <f>'Panel Data (Long Format)'!D583</f>
        <v>Stanbic IBTC Holdings Plc</v>
      </c>
      <c r="F583" s="7" t="str">
        <f>'Panel Data (Long Format)'!E583</f>
        <v>FINANCIAL SERVICES</v>
      </c>
      <c r="G583" s="7">
        <f>'Panel Data (Long Format)'!F583</f>
        <v>2022</v>
      </c>
      <c r="H583" s="9">
        <v>0</v>
      </c>
      <c r="I583" s="9">
        <v>0</v>
      </c>
      <c r="J583" s="9">
        <v>0</v>
      </c>
      <c r="K583" s="9">
        <v>0</v>
      </c>
      <c r="L583" s="9">
        <v>0</v>
      </c>
      <c r="M583" s="9">
        <v>0</v>
      </c>
      <c r="N583" s="9">
        <v>0</v>
      </c>
      <c r="O583" s="9">
        <v>0</v>
      </c>
      <c r="P583" s="9">
        <v>0</v>
      </c>
      <c r="Q583" s="9">
        <v>0</v>
      </c>
      <c r="R583" s="9">
        <v>0</v>
      </c>
      <c r="S583" s="9">
        <v>0</v>
      </c>
      <c r="T583" s="9">
        <v>0</v>
      </c>
      <c r="U583" s="9">
        <v>0</v>
      </c>
      <c r="V583" s="9">
        <v>0</v>
      </c>
      <c r="W583" s="9">
        <v>0</v>
      </c>
      <c r="X583" s="9">
        <v>0</v>
      </c>
      <c r="Y583" s="9">
        <v>0</v>
      </c>
      <c r="Z583" s="9">
        <v>0</v>
      </c>
      <c r="AA583" s="9">
        <v>0</v>
      </c>
      <c r="AB583" s="10">
        <f t="shared" si="46"/>
        <v>0</v>
      </c>
      <c r="AC583" s="10">
        <f t="shared" si="47"/>
        <v>0</v>
      </c>
      <c r="AD583" s="9">
        <v>0</v>
      </c>
      <c r="AE583" s="9">
        <v>0</v>
      </c>
      <c r="AF583" s="9">
        <v>0</v>
      </c>
      <c r="AG583" s="9">
        <v>0</v>
      </c>
      <c r="AH583" s="9">
        <v>0</v>
      </c>
      <c r="AI583" s="9">
        <v>0</v>
      </c>
      <c r="AJ583" s="9">
        <v>0</v>
      </c>
      <c r="AK583" s="9">
        <v>0</v>
      </c>
      <c r="AL583" s="9">
        <v>0</v>
      </c>
      <c r="AM583" s="9">
        <v>0</v>
      </c>
      <c r="AN583" s="9">
        <v>0</v>
      </c>
      <c r="AO583" s="9">
        <v>0</v>
      </c>
      <c r="AP583" s="9">
        <v>0</v>
      </c>
      <c r="AQ583" s="9">
        <v>0</v>
      </c>
      <c r="AR583" s="9">
        <v>0</v>
      </c>
      <c r="AS583" s="10">
        <f t="shared" si="48"/>
        <v>0</v>
      </c>
      <c r="AT583" s="10">
        <f t="shared" si="49"/>
        <v>0</v>
      </c>
      <c r="AU583" s="5" t="s">
        <v>586</v>
      </c>
    </row>
    <row r="584" spans="1:47" ht="15" customHeight="1" x14ac:dyDescent="0.3">
      <c r="A584" s="7" t="str">
        <f t="shared" si="45"/>
        <v>117_2023</v>
      </c>
      <c r="B584" s="7">
        <v>583</v>
      </c>
      <c r="C584" s="7">
        <f>'Panel Data (Long Format)'!B584</f>
        <v>117</v>
      </c>
      <c r="D584" s="7" t="str">
        <f>'Panel Data (Long Format)'!C584</f>
        <v>STANBIC</v>
      </c>
      <c r="E584" s="8" t="str">
        <f>'Panel Data (Long Format)'!D584</f>
        <v>Stanbic IBTC Holdings Plc</v>
      </c>
      <c r="F584" s="7" t="str">
        <f>'Panel Data (Long Format)'!E584</f>
        <v>FINANCIAL SERVICES</v>
      </c>
      <c r="G584" s="7">
        <f>'Panel Data (Long Format)'!F584</f>
        <v>2023</v>
      </c>
      <c r="H584" s="9">
        <v>0</v>
      </c>
      <c r="I584" s="9">
        <v>0</v>
      </c>
      <c r="J584" s="9">
        <v>0</v>
      </c>
      <c r="K584" s="9">
        <v>0</v>
      </c>
      <c r="L584" s="9">
        <v>0</v>
      </c>
      <c r="M584" s="9">
        <v>1</v>
      </c>
      <c r="N584" s="9">
        <v>0</v>
      </c>
      <c r="O584" s="9">
        <v>0</v>
      </c>
      <c r="P584" s="9">
        <v>0</v>
      </c>
      <c r="Q584" s="9">
        <v>0</v>
      </c>
      <c r="R584" s="9">
        <v>0</v>
      </c>
      <c r="S584" s="9">
        <v>0</v>
      </c>
      <c r="T584" s="9">
        <v>0</v>
      </c>
      <c r="U584" s="9">
        <v>0</v>
      </c>
      <c r="V584" s="9">
        <v>0</v>
      </c>
      <c r="W584" s="9">
        <v>1</v>
      </c>
      <c r="X584" s="9">
        <v>0</v>
      </c>
      <c r="Y584" s="9">
        <v>0</v>
      </c>
      <c r="Z584" s="9">
        <v>0</v>
      </c>
      <c r="AA584" s="9">
        <v>0</v>
      </c>
      <c r="AB584" s="10">
        <f t="shared" si="46"/>
        <v>2</v>
      </c>
      <c r="AC584" s="10">
        <f t="shared" si="47"/>
        <v>10</v>
      </c>
      <c r="AD584" s="9">
        <v>0</v>
      </c>
      <c r="AE584" s="9">
        <v>0</v>
      </c>
      <c r="AF584" s="9">
        <v>0</v>
      </c>
      <c r="AG584" s="9">
        <v>0</v>
      </c>
      <c r="AH584" s="9">
        <v>0</v>
      </c>
      <c r="AI584" s="9">
        <v>0</v>
      </c>
      <c r="AJ584" s="9">
        <v>0</v>
      </c>
      <c r="AK584" s="9">
        <v>0</v>
      </c>
      <c r="AL584" s="9">
        <v>0</v>
      </c>
      <c r="AM584" s="9">
        <v>0</v>
      </c>
      <c r="AN584" s="9">
        <v>0</v>
      </c>
      <c r="AO584" s="9">
        <v>0</v>
      </c>
      <c r="AP584" s="9">
        <v>0</v>
      </c>
      <c r="AQ584" s="9">
        <v>0</v>
      </c>
      <c r="AR584" s="9">
        <v>0</v>
      </c>
      <c r="AS584" s="10">
        <f t="shared" si="48"/>
        <v>0</v>
      </c>
      <c r="AT584" s="10">
        <f t="shared" si="49"/>
        <v>0</v>
      </c>
      <c r="AU584" s="5" t="s">
        <v>587</v>
      </c>
    </row>
    <row r="585" spans="1:47" ht="15" customHeight="1" x14ac:dyDescent="0.3">
      <c r="A585" s="7" t="str">
        <f t="shared" si="45"/>
        <v>117_2024</v>
      </c>
      <c r="B585" s="7">
        <v>584</v>
      </c>
      <c r="C585" s="7">
        <f>'Panel Data (Long Format)'!B585</f>
        <v>117</v>
      </c>
      <c r="D585" s="7" t="str">
        <f>'Panel Data (Long Format)'!C585</f>
        <v>STANBIC</v>
      </c>
      <c r="E585" s="8" t="str">
        <f>'Panel Data (Long Format)'!D585</f>
        <v>Stanbic IBTC Holdings Plc</v>
      </c>
      <c r="F585" s="7" t="str">
        <f>'Panel Data (Long Format)'!E585</f>
        <v>FINANCIAL SERVICES</v>
      </c>
      <c r="G585" s="7">
        <f>'Panel Data (Long Format)'!F585</f>
        <v>2024</v>
      </c>
      <c r="H585" s="9">
        <v>0</v>
      </c>
      <c r="I585" s="9">
        <v>0</v>
      </c>
      <c r="J585" s="9">
        <v>0</v>
      </c>
      <c r="K585" s="9">
        <v>0</v>
      </c>
      <c r="L585" s="9">
        <v>0</v>
      </c>
      <c r="M585" s="9">
        <v>1</v>
      </c>
      <c r="N585" s="9">
        <v>0</v>
      </c>
      <c r="O585" s="9">
        <v>0</v>
      </c>
      <c r="P585" s="9">
        <v>0</v>
      </c>
      <c r="Q585" s="9">
        <v>0</v>
      </c>
      <c r="R585" s="9">
        <v>0</v>
      </c>
      <c r="S585" s="9">
        <v>0</v>
      </c>
      <c r="T585" s="9">
        <v>0</v>
      </c>
      <c r="U585" s="9">
        <v>0</v>
      </c>
      <c r="V585" s="9">
        <v>0</v>
      </c>
      <c r="W585" s="9">
        <v>1</v>
      </c>
      <c r="X585" s="9">
        <v>0</v>
      </c>
      <c r="Y585" s="9">
        <v>0</v>
      </c>
      <c r="Z585" s="9">
        <v>0</v>
      </c>
      <c r="AA585" s="9">
        <v>0</v>
      </c>
      <c r="AB585" s="10">
        <f t="shared" si="46"/>
        <v>2</v>
      </c>
      <c r="AC585" s="10">
        <f t="shared" si="47"/>
        <v>10</v>
      </c>
      <c r="AD585" s="9">
        <v>0</v>
      </c>
      <c r="AE585" s="9">
        <v>0</v>
      </c>
      <c r="AF585" s="9">
        <v>0</v>
      </c>
      <c r="AG585" s="9">
        <v>0</v>
      </c>
      <c r="AH585" s="9">
        <v>0</v>
      </c>
      <c r="AI585" s="9">
        <v>0</v>
      </c>
      <c r="AJ585" s="9">
        <v>0</v>
      </c>
      <c r="AK585" s="9">
        <v>0</v>
      </c>
      <c r="AL585" s="9">
        <v>0</v>
      </c>
      <c r="AM585" s="9">
        <v>0</v>
      </c>
      <c r="AN585" s="9">
        <v>0</v>
      </c>
      <c r="AO585" s="9">
        <v>0</v>
      </c>
      <c r="AP585" s="9">
        <v>0</v>
      </c>
      <c r="AQ585" s="9">
        <v>0</v>
      </c>
      <c r="AR585" s="9">
        <v>0</v>
      </c>
      <c r="AS585" s="10">
        <f t="shared" si="48"/>
        <v>0</v>
      </c>
      <c r="AT585" s="10">
        <f t="shared" si="49"/>
        <v>0</v>
      </c>
      <c r="AU585" s="5" t="s">
        <v>587</v>
      </c>
    </row>
    <row r="586" spans="1:47" ht="15" customHeight="1" x14ac:dyDescent="0.3">
      <c r="A586" s="7" t="str">
        <f t="shared" si="45"/>
        <v>117_2025</v>
      </c>
      <c r="B586" s="7">
        <v>585</v>
      </c>
      <c r="C586" s="7">
        <f>'Panel Data (Long Format)'!B586</f>
        <v>117</v>
      </c>
      <c r="D586" s="7" t="str">
        <f>'Panel Data (Long Format)'!C586</f>
        <v>STANBIC</v>
      </c>
      <c r="E586" s="8" t="str">
        <f>'Panel Data (Long Format)'!D586</f>
        <v>Stanbic IBTC Holdings Plc</v>
      </c>
      <c r="F586" s="7" t="str">
        <f>'Panel Data (Long Format)'!E586</f>
        <v>FINANCIAL SERVICES</v>
      </c>
      <c r="G586" s="7">
        <f>'Panel Data (Long Format)'!F586</f>
        <v>2025</v>
      </c>
      <c r="H586" s="9">
        <v>0</v>
      </c>
      <c r="I586" s="9">
        <v>0</v>
      </c>
      <c r="J586" s="9">
        <v>0</v>
      </c>
      <c r="K586" s="9">
        <v>0</v>
      </c>
      <c r="L586" s="9">
        <v>0</v>
      </c>
      <c r="M586" s="9">
        <v>0</v>
      </c>
      <c r="N586" s="9">
        <v>0</v>
      </c>
      <c r="O586" s="9">
        <v>0</v>
      </c>
      <c r="P586" s="9">
        <v>0</v>
      </c>
      <c r="Q586" s="9">
        <v>0</v>
      </c>
      <c r="R586" s="9">
        <v>0</v>
      </c>
      <c r="S586" s="9">
        <v>0</v>
      </c>
      <c r="T586" s="9">
        <v>0</v>
      </c>
      <c r="U586" s="9">
        <v>0</v>
      </c>
      <c r="V586" s="9">
        <v>0</v>
      </c>
      <c r="W586" s="9">
        <v>0</v>
      </c>
      <c r="X586" s="9">
        <v>0</v>
      </c>
      <c r="Y586" s="9">
        <v>0</v>
      </c>
      <c r="Z586" s="9">
        <v>0</v>
      </c>
      <c r="AA586" s="9">
        <v>0</v>
      </c>
      <c r="AB586" s="10">
        <f t="shared" si="46"/>
        <v>0</v>
      </c>
      <c r="AC586" s="10">
        <f t="shared" si="47"/>
        <v>0</v>
      </c>
      <c r="AD586" s="9">
        <v>0</v>
      </c>
      <c r="AE586" s="9">
        <v>0</v>
      </c>
      <c r="AF586" s="9">
        <v>0</v>
      </c>
      <c r="AG586" s="9">
        <v>0</v>
      </c>
      <c r="AH586" s="9">
        <v>0</v>
      </c>
      <c r="AI586" s="9">
        <v>0</v>
      </c>
      <c r="AJ586" s="9">
        <v>0</v>
      </c>
      <c r="AK586" s="9">
        <v>0</v>
      </c>
      <c r="AL586" s="9">
        <v>0</v>
      </c>
      <c r="AM586" s="9">
        <v>0</v>
      </c>
      <c r="AN586" s="9">
        <v>0</v>
      </c>
      <c r="AO586" s="9">
        <v>0</v>
      </c>
      <c r="AP586" s="9">
        <v>0</v>
      </c>
      <c r="AQ586" s="9">
        <v>0</v>
      </c>
      <c r="AR586" s="9">
        <v>0</v>
      </c>
      <c r="AS586" s="10">
        <f t="shared" si="48"/>
        <v>0</v>
      </c>
      <c r="AT586" s="10">
        <f t="shared" si="49"/>
        <v>0</v>
      </c>
      <c r="AU586" s="5" t="s">
        <v>588</v>
      </c>
    </row>
    <row r="587" spans="1:47" ht="15" customHeight="1" x14ac:dyDescent="0.3">
      <c r="A587" s="7" t="str">
        <f t="shared" si="45"/>
        <v>118_2021</v>
      </c>
      <c r="B587" s="7">
        <v>586</v>
      </c>
      <c r="C587" s="7">
        <f>'Panel Data (Long Format)'!B587</f>
        <v>118</v>
      </c>
      <c r="D587" s="7" t="str">
        <f>'Panel Data (Long Format)'!C587</f>
        <v>STERLINGNG</v>
      </c>
      <c r="E587" s="8" t="str">
        <f>'Panel Data (Long Format)'!D587</f>
        <v>Sterling Financial Holdings Company Plc</v>
      </c>
      <c r="F587" s="7" t="str">
        <f>'Panel Data (Long Format)'!E587</f>
        <v>FINANCIAL SERVICES</v>
      </c>
      <c r="G587" s="7">
        <f>'Panel Data (Long Format)'!F587</f>
        <v>2021</v>
      </c>
      <c r="H587" s="9">
        <v>0</v>
      </c>
      <c r="I587" s="9">
        <v>0</v>
      </c>
      <c r="J587" s="9">
        <v>0</v>
      </c>
      <c r="K587" s="9">
        <v>0</v>
      </c>
      <c r="L587" s="9">
        <v>0</v>
      </c>
      <c r="M587" s="9">
        <v>0</v>
      </c>
      <c r="N587" s="9">
        <v>0</v>
      </c>
      <c r="O587" s="9">
        <v>0</v>
      </c>
      <c r="P587" s="9">
        <v>0</v>
      </c>
      <c r="Q587" s="9">
        <v>0</v>
      </c>
      <c r="R587" s="9">
        <v>0</v>
      </c>
      <c r="S587" s="9">
        <v>0</v>
      </c>
      <c r="T587" s="9">
        <v>0</v>
      </c>
      <c r="U587" s="9">
        <v>0</v>
      </c>
      <c r="V587" s="9">
        <v>0</v>
      </c>
      <c r="W587" s="9">
        <v>0</v>
      </c>
      <c r="X587" s="9">
        <v>0</v>
      </c>
      <c r="Y587" s="9">
        <v>0</v>
      </c>
      <c r="Z587" s="9">
        <v>0</v>
      </c>
      <c r="AA587" s="9">
        <v>0</v>
      </c>
      <c r="AB587" s="10">
        <f t="shared" si="46"/>
        <v>0</v>
      </c>
      <c r="AC587" s="10">
        <f t="shared" si="47"/>
        <v>0</v>
      </c>
      <c r="AD587" s="9">
        <v>0</v>
      </c>
      <c r="AE587" s="9">
        <v>0</v>
      </c>
      <c r="AF587" s="9">
        <v>0</v>
      </c>
      <c r="AG587" s="9">
        <v>0</v>
      </c>
      <c r="AH587" s="9">
        <v>0</v>
      </c>
      <c r="AI587" s="9">
        <v>0</v>
      </c>
      <c r="AJ587" s="9">
        <v>0</v>
      </c>
      <c r="AK587" s="9">
        <v>0</v>
      </c>
      <c r="AL587" s="9">
        <v>0</v>
      </c>
      <c r="AM587" s="9">
        <v>0</v>
      </c>
      <c r="AN587" s="9">
        <v>0</v>
      </c>
      <c r="AO587" s="9">
        <v>0</v>
      </c>
      <c r="AP587" s="9">
        <v>0</v>
      </c>
      <c r="AQ587" s="9">
        <v>0</v>
      </c>
      <c r="AR587" s="9">
        <v>0</v>
      </c>
      <c r="AS587" s="10">
        <f t="shared" si="48"/>
        <v>0</v>
      </c>
      <c r="AT587" s="10">
        <f t="shared" si="49"/>
        <v>0</v>
      </c>
      <c r="AU587" s="5" t="s">
        <v>589</v>
      </c>
    </row>
    <row r="588" spans="1:47" ht="15" customHeight="1" x14ac:dyDescent="0.3">
      <c r="A588" s="7" t="str">
        <f t="shared" si="45"/>
        <v>118_2022</v>
      </c>
      <c r="B588" s="7">
        <v>587</v>
      </c>
      <c r="C588" s="7">
        <f>'Panel Data (Long Format)'!B588</f>
        <v>118</v>
      </c>
      <c r="D588" s="7" t="str">
        <f>'Panel Data (Long Format)'!C588</f>
        <v>STERLINGNG</v>
      </c>
      <c r="E588" s="8" t="str">
        <f>'Panel Data (Long Format)'!D588</f>
        <v>Sterling Financial Holdings Company Plc</v>
      </c>
      <c r="F588" s="7" t="str">
        <f>'Panel Data (Long Format)'!E588</f>
        <v>FINANCIAL SERVICES</v>
      </c>
      <c r="G588" s="7">
        <f>'Panel Data (Long Format)'!F588</f>
        <v>2022</v>
      </c>
      <c r="H588" s="9">
        <v>0</v>
      </c>
      <c r="I588" s="9">
        <v>0</v>
      </c>
      <c r="J588" s="9">
        <v>0</v>
      </c>
      <c r="K588" s="9">
        <v>0</v>
      </c>
      <c r="L588" s="9">
        <v>0</v>
      </c>
      <c r="M588" s="9">
        <v>0</v>
      </c>
      <c r="N588" s="9">
        <v>0</v>
      </c>
      <c r="O588" s="9">
        <v>0</v>
      </c>
      <c r="P588" s="9">
        <v>0</v>
      </c>
      <c r="Q588" s="9">
        <v>0</v>
      </c>
      <c r="R588" s="9">
        <v>0</v>
      </c>
      <c r="S588" s="9">
        <v>0</v>
      </c>
      <c r="T588" s="9">
        <v>0</v>
      </c>
      <c r="U588" s="9">
        <v>0</v>
      </c>
      <c r="V588" s="9">
        <v>0</v>
      </c>
      <c r="W588" s="9">
        <v>0</v>
      </c>
      <c r="X588" s="9">
        <v>0</v>
      </c>
      <c r="Y588" s="9">
        <v>0</v>
      </c>
      <c r="Z588" s="9">
        <v>0</v>
      </c>
      <c r="AA588" s="9">
        <v>0</v>
      </c>
      <c r="AB588" s="10">
        <f t="shared" si="46"/>
        <v>0</v>
      </c>
      <c r="AC588" s="10">
        <f t="shared" si="47"/>
        <v>0</v>
      </c>
      <c r="AD588" s="9">
        <v>0</v>
      </c>
      <c r="AE588" s="9">
        <v>0</v>
      </c>
      <c r="AF588" s="9">
        <v>0</v>
      </c>
      <c r="AG588" s="9">
        <v>0</v>
      </c>
      <c r="AH588" s="9">
        <v>0</v>
      </c>
      <c r="AI588" s="9">
        <v>0</v>
      </c>
      <c r="AJ588" s="9">
        <v>0</v>
      </c>
      <c r="AK588" s="9">
        <v>0</v>
      </c>
      <c r="AL588" s="9">
        <v>0</v>
      </c>
      <c r="AM588" s="9">
        <v>0</v>
      </c>
      <c r="AN588" s="9">
        <v>0</v>
      </c>
      <c r="AO588" s="9">
        <v>0</v>
      </c>
      <c r="AP588" s="9">
        <v>0</v>
      </c>
      <c r="AQ588" s="9">
        <v>0</v>
      </c>
      <c r="AR588" s="9">
        <v>0</v>
      </c>
      <c r="AS588" s="10">
        <f t="shared" si="48"/>
        <v>0</v>
      </c>
      <c r="AT588" s="10">
        <f t="shared" si="49"/>
        <v>0</v>
      </c>
      <c r="AU588" s="5" t="s">
        <v>590</v>
      </c>
    </row>
    <row r="589" spans="1:47" ht="15" customHeight="1" x14ac:dyDescent="0.3">
      <c r="A589" s="7" t="str">
        <f t="shared" si="45"/>
        <v>118_2023</v>
      </c>
      <c r="B589" s="7">
        <v>588</v>
      </c>
      <c r="C589" s="7">
        <f>'Panel Data (Long Format)'!B589</f>
        <v>118</v>
      </c>
      <c r="D589" s="7" t="str">
        <f>'Panel Data (Long Format)'!C589</f>
        <v>STERLINGNG</v>
      </c>
      <c r="E589" s="8" t="str">
        <f>'Panel Data (Long Format)'!D589</f>
        <v>Sterling Financial Holdings Company Plc</v>
      </c>
      <c r="F589" s="7" t="str">
        <f>'Panel Data (Long Format)'!E589</f>
        <v>FINANCIAL SERVICES</v>
      </c>
      <c r="G589" s="7">
        <f>'Panel Data (Long Format)'!F589</f>
        <v>2023</v>
      </c>
      <c r="H589" s="9">
        <v>0</v>
      </c>
      <c r="I589" s="9">
        <v>0</v>
      </c>
      <c r="J589" s="9">
        <v>0</v>
      </c>
      <c r="K589" s="9">
        <v>0</v>
      </c>
      <c r="L589" s="9">
        <v>0</v>
      </c>
      <c r="M589" s="9">
        <v>0</v>
      </c>
      <c r="N589" s="9">
        <v>0</v>
      </c>
      <c r="O589" s="9">
        <v>0</v>
      </c>
      <c r="P589" s="9">
        <v>0</v>
      </c>
      <c r="Q589" s="9">
        <v>0</v>
      </c>
      <c r="R589" s="9">
        <v>0</v>
      </c>
      <c r="S589" s="9">
        <v>0</v>
      </c>
      <c r="T589" s="9">
        <v>0</v>
      </c>
      <c r="U589" s="9">
        <v>0</v>
      </c>
      <c r="V589" s="9">
        <v>0</v>
      </c>
      <c r="W589" s="9">
        <v>0</v>
      </c>
      <c r="X589" s="9">
        <v>0</v>
      </c>
      <c r="Y589" s="9">
        <v>0</v>
      </c>
      <c r="Z589" s="9">
        <v>0</v>
      </c>
      <c r="AA589" s="9">
        <v>0</v>
      </c>
      <c r="AB589" s="10">
        <f t="shared" si="46"/>
        <v>0</v>
      </c>
      <c r="AC589" s="10">
        <f t="shared" si="47"/>
        <v>0</v>
      </c>
      <c r="AD589" s="9">
        <v>0</v>
      </c>
      <c r="AE589" s="9">
        <v>0</v>
      </c>
      <c r="AF589" s="9">
        <v>0</v>
      </c>
      <c r="AG589" s="9">
        <v>0</v>
      </c>
      <c r="AH589" s="9">
        <v>0</v>
      </c>
      <c r="AI589" s="9">
        <v>0</v>
      </c>
      <c r="AJ589" s="9">
        <v>0</v>
      </c>
      <c r="AK589" s="9">
        <v>0</v>
      </c>
      <c r="AL589" s="9">
        <v>0</v>
      </c>
      <c r="AM589" s="9">
        <v>0</v>
      </c>
      <c r="AN589" s="9">
        <v>0</v>
      </c>
      <c r="AO589" s="9">
        <v>0</v>
      </c>
      <c r="AP589" s="9">
        <v>0</v>
      </c>
      <c r="AQ589" s="9">
        <v>0</v>
      </c>
      <c r="AR589" s="9">
        <v>0</v>
      </c>
      <c r="AS589" s="10">
        <f t="shared" si="48"/>
        <v>0</v>
      </c>
      <c r="AT589" s="10">
        <f t="shared" si="49"/>
        <v>0</v>
      </c>
      <c r="AU589" s="5" t="s">
        <v>591</v>
      </c>
    </row>
    <row r="590" spans="1:47" ht="15" customHeight="1" x14ac:dyDescent="0.3">
      <c r="A590" s="7" t="str">
        <f t="shared" si="45"/>
        <v>118_2024</v>
      </c>
      <c r="B590" s="7">
        <v>589</v>
      </c>
      <c r="C590" s="7">
        <f>'Panel Data (Long Format)'!B590</f>
        <v>118</v>
      </c>
      <c r="D590" s="7" t="str">
        <f>'Panel Data (Long Format)'!C590</f>
        <v>STERLINGNG</v>
      </c>
      <c r="E590" s="8" t="str">
        <f>'Panel Data (Long Format)'!D590</f>
        <v>Sterling Financial Holdings Company Plc</v>
      </c>
      <c r="F590" s="7" t="str">
        <f>'Panel Data (Long Format)'!E590</f>
        <v>FINANCIAL SERVICES</v>
      </c>
      <c r="G590" s="7">
        <f>'Panel Data (Long Format)'!F590</f>
        <v>2024</v>
      </c>
      <c r="H590" s="9">
        <v>0</v>
      </c>
      <c r="I590" s="9">
        <v>0</v>
      </c>
      <c r="J590" s="9">
        <v>0</v>
      </c>
      <c r="K590" s="9">
        <v>0</v>
      </c>
      <c r="L590" s="9">
        <v>0</v>
      </c>
      <c r="M590" s="9">
        <v>1</v>
      </c>
      <c r="N590" s="9">
        <v>1</v>
      </c>
      <c r="O590" s="9">
        <v>1</v>
      </c>
      <c r="P590" s="9">
        <v>1</v>
      </c>
      <c r="Q590" s="9">
        <v>0</v>
      </c>
      <c r="R590" s="9">
        <v>1</v>
      </c>
      <c r="S590" s="9">
        <v>0</v>
      </c>
      <c r="T590" s="9">
        <v>1</v>
      </c>
      <c r="U590" s="9">
        <v>1</v>
      </c>
      <c r="V590" s="9">
        <v>1</v>
      </c>
      <c r="W590" s="9">
        <v>1</v>
      </c>
      <c r="X590" s="9">
        <v>1</v>
      </c>
      <c r="Y590" s="9">
        <v>1</v>
      </c>
      <c r="Z590" s="9">
        <v>0</v>
      </c>
      <c r="AA590" s="9">
        <v>1</v>
      </c>
      <c r="AB590" s="10">
        <f t="shared" si="46"/>
        <v>12</v>
      </c>
      <c r="AC590" s="10">
        <f t="shared" si="47"/>
        <v>60</v>
      </c>
      <c r="AD590" s="9">
        <v>0</v>
      </c>
      <c r="AE590" s="9">
        <v>0</v>
      </c>
      <c r="AF590" s="9">
        <v>0</v>
      </c>
      <c r="AG590" s="9">
        <v>0</v>
      </c>
      <c r="AH590" s="9">
        <v>1</v>
      </c>
      <c r="AI590" s="9">
        <v>0</v>
      </c>
      <c r="AJ590" s="9">
        <v>1</v>
      </c>
      <c r="AK590" s="9">
        <v>1</v>
      </c>
      <c r="AL590" s="9">
        <v>1</v>
      </c>
      <c r="AM590" s="9">
        <v>1</v>
      </c>
      <c r="AN590" s="9">
        <v>1</v>
      </c>
      <c r="AO590" s="9">
        <v>1</v>
      </c>
      <c r="AP590" s="9">
        <v>0</v>
      </c>
      <c r="AQ590" s="9">
        <v>1</v>
      </c>
      <c r="AR590" s="9">
        <v>0</v>
      </c>
      <c r="AS590" s="10">
        <f t="shared" si="48"/>
        <v>8</v>
      </c>
      <c r="AT590" s="10">
        <f t="shared" si="49"/>
        <v>53.333333333333336</v>
      </c>
      <c r="AU590" s="5" t="s">
        <v>592</v>
      </c>
    </row>
    <row r="591" spans="1:47" ht="15" customHeight="1" x14ac:dyDescent="0.3">
      <c r="A591" s="7" t="str">
        <f t="shared" si="45"/>
        <v>118_2025</v>
      </c>
      <c r="B591" s="7">
        <v>590</v>
      </c>
      <c r="C591" s="7">
        <f>'Panel Data (Long Format)'!B591</f>
        <v>118</v>
      </c>
      <c r="D591" s="7" t="str">
        <f>'Panel Data (Long Format)'!C591</f>
        <v>STERLINGNG</v>
      </c>
      <c r="E591" s="8" t="str">
        <f>'Panel Data (Long Format)'!D591</f>
        <v>Sterling Financial Holdings Company Plc</v>
      </c>
      <c r="F591" s="7" t="str">
        <f>'Panel Data (Long Format)'!E591</f>
        <v>FINANCIAL SERVICES</v>
      </c>
      <c r="G591" s="7">
        <f>'Panel Data (Long Format)'!F591</f>
        <v>2025</v>
      </c>
      <c r="H591" s="9">
        <v>0</v>
      </c>
      <c r="I591" s="9">
        <v>0</v>
      </c>
      <c r="J591" s="9">
        <v>0</v>
      </c>
      <c r="K591" s="9">
        <v>0</v>
      </c>
      <c r="L591" s="9">
        <v>0</v>
      </c>
      <c r="M591" s="9">
        <v>1</v>
      </c>
      <c r="N591" s="9">
        <v>1</v>
      </c>
      <c r="O591" s="9">
        <v>1</v>
      </c>
      <c r="P591" s="9">
        <v>1</v>
      </c>
      <c r="Q591" s="9">
        <v>0</v>
      </c>
      <c r="R591" s="9">
        <v>1</v>
      </c>
      <c r="S591" s="9">
        <v>0</v>
      </c>
      <c r="T591" s="9">
        <v>1</v>
      </c>
      <c r="U591" s="9">
        <v>1</v>
      </c>
      <c r="V591" s="9">
        <v>1</v>
      </c>
      <c r="W591" s="9">
        <v>1</v>
      </c>
      <c r="X591" s="9">
        <v>1</v>
      </c>
      <c r="Y591" s="9">
        <v>1</v>
      </c>
      <c r="Z591" s="9">
        <v>0</v>
      </c>
      <c r="AA591" s="9">
        <v>1</v>
      </c>
      <c r="AB591" s="10">
        <f t="shared" si="46"/>
        <v>12</v>
      </c>
      <c r="AC591" s="10">
        <f t="shared" si="47"/>
        <v>60</v>
      </c>
      <c r="AD591" s="9">
        <v>0</v>
      </c>
      <c r="AE591" s="9">
        <v>0</v>
      </c>
      <c r="AF591" s="9">
        <v>0</v>
      </c>
      <c r="AG591" s="9">
        <v>0</v>
      </c>
      <c r="AH591" s="9">
        <v>1</v>
      </c>
      <c r="AI591" s="9">
        <v>0</v>
      </c>
      <c r="AJ591" s="9">
        <v>1</v>
      </c>
      <c r="AK591" s="9">
        <v>1</v>
      </c>
      <c r="AL591" s="9">
        <v>1</v>
      </c>
      <c r="AM591" s="9">
        <v>1</v>
      </c>
      <c r="AN591" s="9">
        <v>1</v>
      </c>
      <c r="AO591" s="9">
        <v>1</v>
      </c>
      <c r="AP591" s="9">
        <v>0</v>
      </c>
      <c r="AQ591" s="9">
        <v>1</v>
      </c>
      <c r="AR591" s="9">
        <v>0</v>
      </c>
      <c r="AS591" s="10">
        <f t="shared" si="48"/>
        <v>8</v>
      </c>
      <c r="AT591" s="10">
        <f t="shared" si="49"/>
        <v>53.333333333333336</v>
      </c>
      <c r="AU591" s="5" t="s">
        <v>593</v>
      </c>
    </row>
    <row r="592" spans="1:47" ht="15" customHeight="1" x14ac:dyDescent="0.3">
      <c r="A592" s="7" t="str">
        <f t="shared" si="45"/>
        <v>119_2021</v>
      </c>
      <c r="B592" s="7">
        <v>591</v>
      </c>
      <c r="C592" s="7">
        <f>'Panel Data (Long Format)'!B592</f>
        <v>119</v>
      </c>
      <c r="D592" s="7" t="str">
        <f>'Panel Data (Long Format)'!C592</f>
        <v>SUNUASSUR</v>
      </c>
      <c r="E592" s="8" t="str">
        <f>'Panel Data (Long Format)'!D592</f>
        <v>Sunu Assurances Nigeria Plc</v>
      </c>
      <c r="F592" s="7" t="str">
        <f>'Panel Data (Long Format)'!E592</f>
        <v>FINANCIAL SERVICES</v>
      </c>
      <c r="G592" s="7">
        <f>'Panel Data (Long Format)'!F592</f>
        <v>2021</v>
      </c>
      <c r="H592" s="9">
        <v>0</v>
      </c>
      <c r="I592" s="9">
        <v>0</v>
      </c>
      <c r="J592" s="9">
        <v>0</v>
      </c>
      <c r="K592" s="9">
        <v>0</v>
      </c>
      <c r="L592" s="9">
        <v>0</v>
      </c>
      <c r="M592" s="9">
        <v>0</v>
      </c>
      <c r="N592" s="9">
        <v>0</v>
      </c>
      <c r="O592" s="9">
        <v>0</v>
      </c>
      <c r="P592" s="9">
        <v>0</v>
      </c>
      <c r="Q592" s="9">
        <v>0</v>
      </c>
      <c r="R592" s="9">
        <v>0</v>
      </c>
      <c r="S592" s="9">
        <v>0</v>
      </c>
      <c r="T592" s="9">
        <v>0</v>
      </c>
      <c r="U592" s="9">
        <v>0</v>
      </c>
      <c r="V592" s="9">
        <v>0</v>
      </c>
      <c r="W592" s="9">
        <v>0</v>
      </c>
      <c r="X592" s="9">
        <v>0</v>
      </c>
      <c r="Y592" s="9">
        <v>0</v>
      </c>
      <c r="Z592" s="9">
        <v>0</v>
      </c>
      <c r="AA592" s="9">
        <v>0</v>
      </c>
      <c r="AB592" s="10">
        <f t="shared" si="46"/>
        <v>0</v>
      </c>
      <c r="AC592" s="10">
        <f t="shared" si="47"/>
        <v>0</v>
      </c>
      <c r="AD592" s="9">
        <v>0</v>
      </c>
      <c r="AE592" s="9">
        <v>0</v>
      </c>
      <c r="AF592" s="9">
        <v>0</v>
      </c>
      <c r="AG592" s="9">
        <v>0</v>
      </c>
      <c r="AH592" s="9">
        <v>0</v>
      </c>
      <c r="AI592" s="9">
        <v>0</v>
      </c>
      <c r="AJ592" s="9">
        <v>0</v>
      </c>
      <c r="AK592" s="9">
        <v>0</v>
      </c>
      <c r="AL592" s="9">
        <v>0</v>
      </c>
      <c r="AM592" s="9">
        <v>0</v>
      </c>
      <c r="AN592" s="9">
        <v>0</v>
      </c>
      <c r="AO592" s="9">
        <v>0</v>
      </c>
      <c r="AP592" s="9">
        <v>0</v>
      </c>
      <c r="AQ592" s="9">
        <v>0</v>
      </c>
      <c r="AR592" s="9">
        <v>0</v>
      </c>
      <c r="AS592" s="10">
        <f t="shared" si="48"/>
        <v>0</v>
      </c>
      <c r="AT592" s="10">
        <f t="shared" si="49"/>
        <v>0</v>
      </c>
      <c r="AU592" s="5" t="s">
        <v>594</v>
      </c>
    </row>
    <row r="593" spans="1:47" ht="15" customHeight="1" x14ac:dyDescent="0.3">
      <c r="A593" s="7" t="str">
        <f t="shared" si="45"/>
        <v>119_2022</v>
      </c>
      <c r="B593" s="7">
        <v>592</v>
      </c>
      <c r="C593" s="7">
        <f>'Panel Data (Long Format)'!B593</f>
        <v>119</v>
      </c>
      <c r="D593" s="7" t="str">
        <f>'Panel Data (Long Format)'!C593</f>
        <v>SUNUASSUR</v>
      </c>
      <c r="E593" s="8" t="str">
        <f>'Panel Data (Long Format)'!D593</f>
        <v>Sunu Assurances Nigeria Plc</v>
      </c>
      <c r="F593" s="7" t="str">
        <f>'Panel Data (Long Format)'!E593</f>
        <v>FINANCIAL SERVICES</v>
      </c>
      <c r="G593" s="7">
        <f>'Panel Data (Long Format)'!F593</f>
        <v>2022</v>
      </c>
      <c r="H593" s="9">
        <v>0</v>
      </c>
      <c r="I593" s="9">
        <v>0</v>
      </c>
      <c r="J593" s="9">
        <v>0</v>
      </c>
      <c r="K593" s="9">
        <v>0</v>
      </c>
      <c r="L593" s="9">
        <v>0</v>
      </c>
      <c r="M593" s="9">
        <v>0</v>
      </c>
      <c r="N593" s="9">
        <v>0</v>
      </c>
      <c r="O593" s="9">
        <v>0</v>
      </c>
      <c r="P593" s="9">
        <v>0</v>
      </c>
      <c r="Q593" s="9">
        <v>0</v>
      </c>
      <c r="R593" s="9">
        <v>0</v>
      </c>
      <c r="S593" s="9">
        <v>0</v>
      </c>
      <c r="T593" s="9">
        <v>0</v>
      </c>
      <c r="U593" s="9">
        <v>0</v>
      </c>
      <c r="V593" s="9">
        <v>0</v>
      </c>
      <c r="W593" s="9">
        <v>0</v>
      </c>
      <c r="X593" s="9">
        <v>0</v>
      </c>
      <c r="Y593" s="9">
        <v>0</v>
      </c>
      <c r="Z593" s="9">
        <v>0</v>
      </c>
      <c r="AA593" s="9">
        <v>0</v>
      </c>
      <c r="AB593" s="10">
        <f t="shared" si="46"/>
        <v>0</v>
      </c>
      <c r="AC593" s="10">
        <f t="shared" si="47"/>
        <v>0</v>
      </c>
      <c r="AD593" s="9">
        <v>0</v>
      </c>
      <c r="AE593" s="9">
        <v>0</v>
      </c>
      <c r="AF593" s="9">
        <v>0</v>
      </c>
      <c r="AG593" s="9">
        <v>0</v>
      </c>
      <c r="AH593" s="9">
        <v>0</v>
      </c>
      <c r="AI593" s="9">
        <v>0</v>
      </c>
      <c r="AJ593" s="9">
        <v>0</v>
      </c>
      <c r="AK593" s="9">
        <v>0</v>
      </c>
      <c r="AL593" s="9">
        <v>0</v>
      </c>
      <c r="AM593" s="9">
        <v>0</v>
      </c>
      <c r="AN593" s="9">
        <v>0</v>
      </c>
      <c r="AO593" s="9">
        <v>0</v>
      </c>
      <c r="AP593" s="9">
        <v>0</v>
      </c>
      <c r="AQ593" s="9">
        <v>0</v>
      </c>
      <c r="AR593" s="9">
        <v>0</v>
      </c>
      <c r="AS593" s="10">
        <f t="shared" si="48"/>
        <v>0</v>
      </c>
      <c r="AT593" s="10">
        <f t="shared" si="49"/>
        <v>0</v>
      </c>
      <c r="AU593" s="5" t="s">
        <v>594</v>
      </c>
    </row>
    <row r="594" spans="1:47" ht="15" customHeight="1" x14ac:dyDescent="0.3">
      <c r="A594" s="7" t="str">
        <f t="shared" si="45"/>
        <v>119_2023</v>
      </c>
      <c r="B594" s="7">
        <v>593</v>
      </c>
      <c r="C594" s="7">
        <f>'Panel Data (Long Format)'!B594</f>
        <v>119</v>
      </c>
      <c r="D594" s="7" t="str">
        <f>'Panel Data (Long Format)'!C594</f>
        <v>SUNUASSUR</v>
      </c>
      <c r="E594" s="8" t="str">
        <f>'Panel Data (Long Format)'!D594</f>
        <v>Sunu Assurances Nigeria Plc</v>
      </c>
      <c r="F594" s="7" t="str">
        <f>'Panel Data (Long Format)'!E594</f>
        <v>FINANCIAL SERVICES</v>
      </c>
      <c r="G594" s="7">
        <f>'Panel Data (Long Format)'!F594</f>
        <v>2023</v>
      </c>
      <c r="H594" s="9">
        <v>0</v>
      </c>
      <c r="I594" s="9">
        <v>0</v>
      </c>
      <c r="J594" s="9">
        <v>0</v>
      </c>
      <c r="K594" s="9">
        <v>0</v>
      </c>
      <c r="L594" s="9">
        <v>0</v>
      </c>
      <c r="M594" s="9">
        <v>0</v>
      </c>
      <c r="N594" s="9">
        <v>0</v>
      </c>
      <c r="O594" s="9">
        <v>0</v>
      </c>
      <c r="P594" s="9">
        <v>0</v>
      </c>
      <c r="Q594" s="9">
        <v>0</v>
      </c>
      <c r="R594" s="9">
        <v>0</v>
      </c>
      <c r="S594" s="9">
        <v>0</v>
      </c>
      <c r="T594" s="9">
        <v>0</v>
      </c>
      <c r="U594" s="9">
        <v>0</v>
      </c>
      <c r="V594" s="9">
        <v>0</v>
      </c>
      <c r="W594" s="9">
        <v>0</v>
      </c>
      <c r="X594" s="9">
        <v>0</v>
      </c>
      <c r="Y594" s="9">
        <v>0</v>
      </c>
      <c r="Z594" s="9">
        <v>0</v>
      </c>
      <c r="AA594" s="9">
        <v>0</v>
      </c>
      <c r="AB594" s="10">
        <f t="shared" si="46"/>
        <v>0</v>
      </c>
      <c r="AC594" s="10">
        <f t="shared" si="47"/>
        <v>0</v>
      </c>
      <c r="AD594" s="9">
        <v>0</v>
      </c>
      <c r="AE594" s="9">
        <v>0</v>
      </c>
      <c r="AF594" s="9">
        <v>0</v>
      </c>
      <c r="AG594" s="9">
        <v>0</v>
      </c>
      <c r="AH594" s="9">
        <v>0</v>
      </c>
      <c r="AI594" s="9">
        <v>0</v>
      </c>
      <c r="AJ594" s="9">
        <v>0</v>
      </c>
      <c r="AK594" s="9">
        <v>0</v>
      </c>
      <c r="AL594" s="9">
        <v>0</v>
      </c>
      <c r="AM594" s="9">
        <v>0</v>
      </c>
      <c r="AN594" s="9">
        <v>0</v>
      </c>
      <c r="AO594" s="9">
        <v>0</v>
      </c>
      <c r="AP594" s="9">
        <v>0</v>
      </c>
      <c r="AQ594" s="9">
        <v>0</v>
      </c>
      <c r="AR594" s="9">
        <v>0</v>
      </c>
      <c r="AS594" s="10">
        <f t="shared" si="48"/>
        <v>0</v>
      </c>
      <c r="AT594" s="10">
        <f t="shared" si="49"/>
        <v>0</v>
      </c>
      <c r="AU594" s="5" t="s">
        <v>594</v>
      </c>
    </row>
    <row r="595" spans="1:47" ht="15" customHeight="1" x14ac:dyDescent="0.3">
      <c r="A595" s="7" t="str">
        <f t="shared" si="45"/>
        <v>119_2024</v>
      </c>
      <c r="B595" s="7">
        <v>594</v>
      </c>
      <c r="C595" s="7">
        <f>'Panel Data (Long Format)'!B595</f>
        <v>119</v>
      </c>
      <c r="D595" s="7" t="str">
        <f>'Panel Data (Long Format)'!C595</f>
        <v>SUNUASSUR</v>
      </c>
      <c r="E595" s="8" t="str">
        <f>'Panel Data (Long Format)'!D595</f>
        <v>Sunu Assurances Nigeria Plc</v>
      </c>
      <c r="F595" s="7" t="str">
        <f>'Panel Data (Long Format)'!E595</f>
        <v>FINANCIAL SERVICES</v>
      </c>
      <c r="G595" s="7">
        <f>'Panel Data (Long Format)'!F595</f>
        <v>2024</v>
      </c>
      <c r="H595" s="9">
        <v>0</v>
      </c>
      <c r="I595" s="9">
        <v>0</v>
      </c>
      <c r="J595" s="9">
        <v>0</v>
      </c>
      <c r="K595" s="9">
        <v>0</v>
      </c>
      <c r="L595" s="9">
        <v>0</v>
      </c>
      <c r="M595" s="9">
        <v>0</v>
      </c>
      <c r="N595" s="9">
        <v>0</v>
      </c>
      <c r="O595" s="9">
        <v>0</v>
      </c>
      <c r="P595" s="9">
        <v>0</v>
      </c>
      <c r="Q595" s="9">
        <v>0</v>
      </c>
      <c r="R595" s="9">
        <v>0</v>
      </c>
      <c r="S595" s="9">
        <v>0</v>
      </c>
      <c r="T595" s="9">
        <v>0</v>
      </c>
      <c r="U595" s="9">
        <v>0</v>
      </c>
      <c r="V595" s="9">
        <v>0</v>
      </c>
      <c r="W595" s="9">
        <v>0</v>
      </c>
      <c r="X595" s="9">
        <v>0</v>
      </c>
      <c r="Y595" s="9">
        <v>0</v>
      </c>
      <c r="Z595" s="9">
        <v>0</v>
      </c>
      <c r="AA595" s="9">
        <v>0</v>
      </c>
      <c r="AB595" s="10">
        <f t="shared" si="46"/>
        <v>0</v>
      </c>
      <c r="AC595" s="10">
        <f t="shared" si="47"/>
        <v>0</v>
      </c>
      <c r="AD595" s="9">
        <v>0</v>
      </c>
      <c r="AE595" s="9">
        <v>0</v>
      </c>
      <c r="AF595" s="9">
        <v>0</v>
      </c>
      <c r="AG595" s="9">
        <v>0</v>
      </c>
      <c r="AH595" s="9">
        <v>0</v>
      </c>
      <c r="AI595" s="9">
        <v>0</v>
      </c>
      <c r="AJ595" s="9">
        <v>0</v>
      </c>
      <c r="AK595" s="9">
        <v>0</v>
      </c>
      <c r="AL595" s="9">
        <v>0</v>
      </c>
      <c r="AM595" s="9">
        <v>0</v>
      </c>
      <c r="AN595" s="9">
        <v>0</v>
      </c>
      <c r="AO595" s="9">
        <v>0</v>
      </c>
      <c r="AP595" s="9">
        <v>0</v>
      </c>
      <c r="AQ595" s="9">
        <v>0</v>
      </c>
      <c r="AR595" s="9">
        <v>0</v>
      </c>
      <c r="AS595" s="10">
        <f t="shared" si="48"/>
        <v>0</v>
      </c>
      <c r="AT595" s="10">
        <f t="shared" si="49"/>
        <v>0</v>
      </c>
      <c r="AU595" s="5" t="s">
        <v>594</v>
      </c>
    </row>
    <row r="596" spans="1:47" ht="15" customHeight="1" x14ac:dyDescent="0.3">
      <c r="A596" s="7" t="str">
        <f t="shared" si="45"/>
        <v>119_2025</v>
      </c>
      <c r="B596" s="7">
        <v>595</v>
      </c>
      <c r="C596" s="7">
        <f>'Panel Data (Long Format)'!B596</f>
        <v>119</v>
      </c>
      <c r="D596" s="7" t="str">
        <f>'Panel Data (Long Format)'!C596</f>
        <v>SUNUASSUR</v>
      </c>
      <c r="E596" s="8" t="str">
        <f>'Panel Data (Long Format)'!D596</f>
        <v>Sunu Assurances Nigeria Plc</v>
      </c>
      <c r="F596" s="7" t="str">
        <f>'Panel Data (Long Format)'!E596</f>
        <v>FINANCIAL SERVICES</v>
      </c>
      <c r="G596" s="7">
        <f>'Panel Data (Long Format)'!F596</f>
        <v>2025</v>
      </c>
      <c r="H596" s="9">
        <v>0</v>
      </c>
      <c r="I596" s="9">
        <v>0</v>
      </c>
      <c r="J596" s="9">
        <v>0</v>
      </c>
      <c r="K596" s="9">
        <v>0</v>
      </c>
      <c r="L596" s="9">
        <v>0</v>
      </c>
      <c r="M596" s="9">
        <v>0</v>
      </c>
      <c r="N596" s="9">
        <v>0</v>
      </c>
      <c r="O596" s="9">
        <v>0</v>
      </c>
      <c r="P596" s="9">
        <v>0</v>
      </c>
      <c r="Q596" s="9">
        <v>0</v>
      </c>
      <c r="R596" s="9">
        <v>0</v>
      </c>
      <c r="S596" s="9">
        <v>0</v>
      </c>
      <c r="T596" s="9">
        <v>0</v>
      </c>
      <c r="U596" s="9">
        <v>0</v>
      </c>
      <c r="V596" s="9">
        <v>0</v>
      </c>
      <c r="W596" s="9">
        <v>0</v>
      </c>
      <c r="X596" s="9">
        <v>0</v>
      </c>
      <c r="Y596" s="9">
        <v>0</v>
      </c>
      <c r="Z596" s="9">
        <v>0</v>
      </c>
      <c r="AA596" s="9">
        <v>0</v>
      </c>
      <c r="AB596" s="10">
        <f t="shared" si="46"/>
        <v>0</v>
      </c>
      <c r="AC596" s="10">
        <f t="shared" si="47"/>
        <v>0</v>
      </c>
      <c r="AD596" s="9">
        <v>0</v>
      </c>
      <c r="AE596" s="9">
        <v>0</v>
      </c>
      <c r="AF596" s="9">
        <v>0</v>
      </c>
      <c r="AG596" s="9">
        <v>0</v>
      </c>
      <c r="AH596" s="9">
        <v>0</v>
      </c>
      <c r="AI596" s="9">
        <v>0</v>
      </c>
      <c r="AJ596" s="9">
        <v>0</v>
      </c>
      <c r="AK596" s="9">
        <v>0</v>
      </c>
      <c r="AL596" s="9">
        <v>0</v>
      </c>
      <c r="AM596" s="9">
        <v>0</v>
      </c>
      <c r="AN596" s="9">
        <v>0</v>
      </c>
      <c r="AO596" s="9">
        <v>0</v>
      </c>
      <c r="AP596" s="9">
        <v>0</v>
      </c>
      <c r="AQ596" s="9">
        <v>0</v>
      </c>
      <c r="AR596" s="9">
        <v>0</v>
      </c>
      <c r="AS596" s="10">
        <f t="shared" si="48"/>
        <v>0</v>
      </c>
      <c r="AT596" s="10">
        <f t="shared" si="49"/>
        <v>0</v>
      </c>
      <c r="AU596" s="5" t="s">
        <v>594</v>
      </c>
    </row>
    <row r="597" spans="1:47" ht="15" customHeight="1" x14ac:dyDescent="0.3">
      <c r="A597" s="7" t="str">
        <f t="shared" si="45"/>
        <v>120_2021</v>
      </c>
      <c r="B597" s="7">
        <v>596</v>
      </c>
      <c r="C597" s="7">
        <f>'Panel Data (Long Format)'!B597</f>
        <v>120</v>
      </c>
      <c r="D597" s="7" t="str">
        <f>'Panel Data (Long Format)'!C597</f>
        <v>TANTALIZER</v>
      </c>
      <c r="E597" s="8" t="str">
        <f>'Panel Data (Long Format)'!D597</f>
        <v>Tantalizers Plc</v>
      </c>
      <c r="F597" s="7" t="str">
        <f>'Panel Data (Long Format)'!E597</f>
        <v>SERVICES</v>
      </c>
      <c r="G597" s="7">
        <f>'Panel Data (Long Format)'!F597</f>
        <v>2021</v>
      </c>
      <c r="H597" s="9">
        <v>0</v>
      </c>
      <c r="I597" s="9">
        <v>0</v>
      </c>
      <c r="J597" s="9">
        <v>0</v>
      </c>
      <c r="K597" s="9">
        <v>0</v>
      </c>
      <c r="L597" s="9">
        <v>0</v>
      </c>
      <c r="M597" s="9">
        <v>0</v>
      </c>
      <c r="N597" s="9">
        <v>0</v>
      </c>
      <c r="O597" s="9">
        <v>0</v>
      </c>
      <c r="P597" s="9">
        <v>0</v>
      </c>
      <c r="Q597" s="9">
        <v>0</v>
      </c>
      <c r="R597" s="9">
        <v>0</v>
      </c>
      <c r="S597" s="9">
        <v>0</v>
      </c>
      <c r="T597" s="9">
        <v>0</v>
      </c>
      <c r="U597" s="9">
        <v>0</v>
      </c>
      <c r="V597" s="9">
        <v>0</v>
      </c>
      <c r="W597" s="9">
        <v>0</v>
      </c>
      <c r="X597" s="9">
        <v>0</v>
      </c>
      <c r="Y597" s="9">
        <v>0</v>
      </c>
      <c r="Z597" s="9">
        <v>0</v>
      </c>
      <c r="AA597" s="9">
        <v>0</v>
      </c>
      <c r="AB597" s="10">
        <f t="shared" si="46"/>
        <v>0</v>
      </c>
      <c r="AC597" s="10">
        <f t="shared" si="47"/>
        <v>0</v>
      </c>
      <c r="AD597" s="9">
        <v>0</v>
      </c>
      <c r="AE597" s="9">
        <v>0</v>
      </c>
      <c r="AF597" s="9">
        <v>0</v>
      </c>
      <c r="AG597" s="9">
        <v>0</v>
      </c>
      <c r="AH597" s="9">
        <v>0</v>
      </c>
      <c r="AI597" s="9">
        <v>0</v>
      </c>
      <c r="AJ597" s="9">
        <v>0</v>
      </c>
      <c r="AK597" s="9">
        <v>0</v>
      </c>
      <c r="AL597" s="9">
        <v>0</v>
      </c>
      <c r="AM597" s="9">
        <v>0</v>
      </c>
      <c r="AN597" s="9">
        <v>0</v>
      </c>
      <c r="AO597" s="9">
        <v>0</v>
      </c>
      <c r="AP597" s="9">
        <v>0</v>
      </c>
      <c r="AQ597" s="9">
        <v>0</v>
      </c>
      <c r="AR597" s="9">
        <v>0</v>
      </c>
      <c r="AS597" s="10">
        <f t="shared" si="48"/>
        <v>0</v>
      </c>
      <c r="AT597" s="10">
        <f t="shared" si="49"/>
        <v>0</v>
      </c>
      <c r="AU597" s="5" t="s">
        <v>595</v>
      </c>
    </row>
    <row r="598" spans="1:47" ht="15" customHeight="1" x14ac:dyDescent="0.3">
      <c r="A598" s="7" t="str">
        <f t="shared" si="45"/>
        <v>120_2022</v>
      </c>
      <c r="B598" s="7">
        <v>597</v>
      </c>
      <c r="C598" s="7">
        <f>'Panel Data (Long Format)'!B598</f>
        <v>120</v>
      </c>
      <c r="D598" s="7" t="str">
        <f>'Panel Data (Long Format)'!C598</f>
        <v>TANTALIZER</v>
      </c>
      <c r="E598" s="8" t="str">
        <f>'Panel Data (Long Format)'!D598</f>
        <v>Tantalizers Plc</v>
      </c>
      <c r="F598" s="7" t="str">
        <f>'Panel Data (Long Format)'!E598</f>
        <v>SERVICES</v>
      </c>
      <c r="G598" s="7">
        <f>'Panel Data (Long Format)'!F598</f>
        <v>2022</v>
      </c>
      <c r="H598" s="9">
        <v>0</v>
      </c>
      <c r="I598" s="9">
        <v>0</v>
      </c>
      <c r="J598" s="9">
        <v>0</v>
      </c>
      <c r="K598" s="9">
        <v>0</v>
      </c>
      <c r="L598" s="9">
        <v>0</v>
      </c>
      <c r="M598" s="9">
        <v>0</v>
      </c>
      <c r="N598" s="9">
        <v>0</v>
      </c>
      <c r="O598" s="9">
        <v>0</v>
      </c>
      <c r="P598" s="9">
        <v>0</v>
      </c>
      <c r="Q598" s="9">
        <v>0</v>
      </c>
      <c r="R598" s="9">
        <v>0</v>
      </c>
      <c r="S598" s="9">
        <v>0</v>
      </c>
      <c r="T598" s="9">
        <v>0</v>
      </c>
      <c r="U598" s="9">
        <v>0</v>
      </c>
      <c r="V598" s="9">
        <v>0</v>
      </c>
      <c r="W598" s="9">
        <v>0</v>
      </c>
      <c r="X598" s="9">
        <v>0</v>
      </c>
      <c r="Y598" s="9">
        <v>0</v>
      </c>
      <c r="Z598" s="9">
        <v>0</v>
      </c>
      <c r="AA598" s="9">
        <v>0</v>
      </c>
      <c r="AB598" s="10">
        <f t="shared" si="46"/>
        <v>0</v>
      </c>
      <c r="AC598" s="10">
        <f t="shared" si="47"/>
        <v>0</v>
      </c>
      <c r="AD598" s="9">
        <v>0</v>
      </c>
      <c r="AE598" s="9">
        <v>0</v>
      </c>
      <c r="AF598" s="9">
        <v>0</v>
      </c>
      <c r="AG598" s="9">
        <v>0</v>
      </c>
      <c r="AH598" s="9">
        <v>0</v>
      </c>
      <c r="AI598" s="9">
        <v>0</v>
      </c>
      <c r="AJ598" s="9">
        <v>0</v>
      </c>
      <c r="AK598" s="9">
        <v>0</v>
      </c>
      <c r="AL598" s="9">
        <v>0</v>
      </c>
      <c r="AM598" s="9">
        <v>0</v>
      </c>
      <c r="AN598" s="9">
        <v>0</v>
      </c>
      <c r="AO598" s="9">
        <v>0</v>
      </c>
      <c r="AP598" s="9">
        <v>0</v>
      </c>
      <c r="AQ598" s="9">
        <v>0</v>
      </c>
      <c r="AR598" s="9">
        <v>0</v>
      </c>
      <c r="AS598" s="10">
        <f t="shared" si="48"/>
        <v>0</v>
      </c>
      <c r="AT598" s="10">
        <f t="shared" si="49"/>
        <v>0</v>
      </c>
      <c r="AU598" s="5" t="s">
        <v>595</v>
      </c>
    </row>
    <row r="599" spans="1:47" ht="15" customHeight="1" x14ac:dyDescent="0.3">
      <c r="A599" s="7" t="str">
        <f t="shared" si="45"/>
        <v>120_2023</v>
      </c>
      <c r="B599" s="7">
        <v>598</v>
      </c>
      <c r="C599" s="7">
        <f>'Panel Data (Long Format)'!B599</f>
        <v>120</v>
      </c>
      <c r="D599" s="7" t="str">
        <f>'Panel Data (Long Format)'!C599</f>
        <v>TANTALIZER</v>
      </c>
      <c r="E599" s="8" t="str">
        <f>'Panel Data (Long Format)'!D599</f>
        <v>Tantalizers Plc</v>
      </c>
      <c r="F599" s="7" t="str">
        <f>'Panel Data (Long Format)'!E599</f>
        <v>SERVICES</v>
      </c>
      <c r="G599" s="7">
        <f>'Panel Data (Long Format)'!F599</f>
        <v>2023</v>
      </c>
      <c r="H599" s="9">
        <v>0</v>
      </c>
      <c r="I599" s="9">
        <v>0</v>
      </c>
      <c r="J599" s="9">
        <v>0</v>
      </c>
      <c r="K599" s="9">
        <v>0</v>
      </c>
      <c r="L599" s="9">
        <v>0</v>
      </c>
      <c r="M599" s="9">
        <v>0</v>
      </c>
      <c r="N599" s="9">
        <v>0</v>
      </c>
      <c r="O599" s="9">
        <v>0</v>
      </c>
      <c r="P599" s="9">
        <v>0</v>
      </c>
      <c r="Q599" s="9">
        <v>0</v>
      </c>
      <c r="R599" s="9">
        <v>0</v>
      </c>
      <c r="S599" s="9">
        <v>0</v>
      </c>
      <c r="T599" s="9">
        <v>0</v>
      </c>
      <c r="U599" s="9">
        <v>0</v>
      </c>
      <c r="V599" s="9">
        <v>0</v>
      </c>
      <c r="W599" s="9">
        <v>0</v>
      </c>
      <c r="X599" s="9">
        <v>0</v>
      </c>
      <c r="Y599" s="9">
        <v>0</v>
      </c>
      <c r="Z599" s="9">
        <v>0</v>
      </c>
      <c r="AA599" s="9">
        <v>0</v>
      </c>
      <c r="AB599" s="10">
        <f t="shared" si="46"/>
        <v>0</v>
      </c>
      <c r="AC599" s="10">
        <f t="shared" si="47"/>
        <v>0</v>
      </c>
      <c r="AD599" s="9">
        <v>0</v>
      </c>
      <c r="AE599" s="9">
        <v>0</v>
      </c>
      <c r="AF599" s="9">
        <v>0</v>
      </c>
      <c r="AG599" s="9">
        <v>0</v>
      </c>
      <c r="AH599" s="9">
        <v>0</v>
      </c>
      <c r="AI599" s="9">
        <v>0</v>
      </c>
      <c r="AJ599" s="9">
        <v>0</v>
      </c>
      <c r="AK599" s="9">
        <v>0</v>
      </c>
      <c r="AL599" s="9">
        <v>0</v>
      </c>
      <c r="AM599" s="9">
        <v>0</v>
      </c>
      <c r="AN599" s="9">
        <v>0</v>
      </c>
      <c r="AO599" s="9">
        <v>0</v>
      </c>
      <c r="AP599" s="9">
        <v>0</v>
      </c>
      <c r="AQ599" s="9">
        <v>0</v>
      </c>
      <c r="AR599" s="9">
        <v>0</v>
      </c>
      <c r="AS599" s="10">
        <f t="shared" si="48"/>
        <v>0</v>
      </c>
      <c r="AT599" s="10">
        <f t="shared" si="49"/>
        <v>0</v>
      </c>
      <c r="AU599" s="5" t="s">
        <v>595</v>
      </c>
    </row>
    <row r="600" spans="1:47" ht="15" customHeight="1" x14ac:dyDescent="0.3">
      <c r="A600" s="7" t="str">
        <f t="shared" si="45"/>
        <v>120_2024</v>
      </c>
      <c r="B600" s="7">
        <v>599</v>
      </c>
      <c r="C600" s="7">
        <f>'Panel Data (Long Format)'!B600</f>
        <v>120</v>
      </c>
      <c r="D600" s="7" t="str">
        <f>'Panel Data (Long Format)'!C600</f>
        <v>TANTALIZER</v>
      </c>
      <c r="E600" s="8" t="str">
        <f>'Panel Data (Long Format)'!D600</f>
        <v>Tantalizers Plc</v>
      </c>
      <c r="F600" s="7" t="str">
        <f>'Panel Data (Long Format)'!E600</f>
        <v>SERVICES</v>
      </c>
      <c r="G600" s="7">
        <f>'Panel Data (Long Format)'!F600</f>
        <v>2024</v>
      </c>
      <c r="H600" s="9">
        <v>0</v>
      </c>
      <c r="I600" s="9">
        <v>0</v>
      </c>
      <c r="J600" s="9">
        <v>0</v>
      </c>
      <c r="K600" s="9">
        <v>0</v>
      </c>
      <c r="L600" s="9">
        <v>0</v>
      </c>
      <c r="M600" s="9">
        <v>0</v>
      </c>
      <c r="N600" s="9">
        <v>0</v>
      </c>
      <c r="O600" s="9">
        <v>0</v>
      </c>
      <c r="P600" s="9">
        <v>0</v>
      </c>
      <c r="Q600" s="9">
        <v>0</v>
      </c>
      <c r="R600" s="9">
        <v>0</v>
      </c>
      <c r="S600" s="9">
        <v>0</v>
      </c>
      <c r="T600" s="9">
        <v>0</v>
      </c>
      <c r="U600" s="9">
        <v>0</v>
      </c>
      <c r="V600" s="9">
        <v>0</v>
      </c>
      <c r="W600" s="9">
        <v>0</v>
      </c>
      <c r="X600" s="9">
        <v>0</v>
      </c>
      <c r="Y600" s="9">
        <v>0</v>
      </c>
      <c r="Z600" s="9">
        <v>0</v>
      </c>
      <c r="AA600" s="9">
        <v>0</v>
      </c>
      <c r="AB600" s="10">
        <f t="shared" si="46"/>
        <v>0</v>
      </c>
      <c r="AC600" s="10">
        <f t="shared" si="47"/>
        <v>0</v>
      </c>
      <c r="AD600" s="9">
        <v>0</v>
      </c>
      <c r="AE600" s="9">
        <v>0</v>
      </c>
      <c r="AF600" s="9">
        <v>0</v>
      </c>
      <c r="AG600" s="9">
        <v>0</v>
      </c>
      <c r="AH600" s="9">
        <v>0</v>
      </c>
      <c r="AI600" s="9">
        <v>0</v>
      </c>
      <c r="AJ600" s="9">
        <v>0</v>
      </c>
      <c r="AK600" s="9">
        <v>0</v>
      </c>
      <c r="AL600" s="9">
        <v>0</v>
      </c>
      <c r="AM600" s="9">
        <v>0</v>
      </c>
      <c r="AN600" s="9">
        <v>0</v>
      </c>
      <c r="AO600" s="9">
        <v>0</v>
      </c>
      <c r="AP600" s="9">
        <v>0</v>
      </c>
      <c r="AQ600" s="9">
        <v>0</v>
      </c>
      <c r="AR600" s="9">
        <v>0</v>
      </c>
      <c r="AS600" s="10">
        <f t="shared" si="48"/>
        <v>0</v>
      </c>
      <c r="AT600" s="10">
        <f t="shared" si="49"/>
        <v>0</v>
      </c>
      <c r="AU600" s="5" t="s">
        <v>595</v>
      </c>
    </row>
    <row r="601" spans="1:47" ht="15" customHeight="1" x14ac:dyDescent="0.3">
      <c r="A601" s="7" t="str">
        <f t="shared" si="45"/>
        <v>120_2025</v>
      </c>
      <c r="B601" s="7">
        <v>600</v>
      </c>
      <c r="C601" s="7">
        <f>'Panel Data (Long Format)'!B601</f>
        <v>120</v>
      </c>
      <c r="D601" s="7" t="str">
        <f>'Panel Data (Long Format)'!C601</f>
        <v>TANTALIZER</v>
      </c>
      <c r="E601" s="8" t="str">
        <f>'Panel Data (Long Format)'!D601</f>
        <v>Tantalizers Plc</v>
      </c>
      <c r="F601" s="7" t="str">
        <f>'Panel Data (Long Format)'!E601</f>
        <v>SERVICES</v>
      </c>
      <c r="G601" s="7">
        <f>'Panel Data (Long Format)'!F601</f>
        <v>2025</v>
      </c>
      <c r="H601" s="9">
        <v>0</v>
      </c>
      <c r="I601" s="9">
        <v>0</v>
      </c>
      <c r="J601" s="9">
        <v>0</v>
      </c>
      <c r="K601" s="9">
        <v>0</v>
      </c>
      <c r="L601" s="9">
        <v>0</v>
      </c>
      <c r="M601" s="9">
        <v>0</v>
      </c>
      <c r="N601" s="9">
        <v>0</v>
      </c>
      <c r="O601" s="9">
        <v>0</v>
      </c>
      <c r="P601" s="9">
        <v>0</v>
      </c>
      <c r="Q601" s="9">
        <v>0</v>
      </c>
      <c r="R601" s="9">
        <v>0</v>
      </c>
      <c r="S601" s="9">
        <v>0</v>
      </c>
      <c r="T601" s="9">
        <v>0</v>
      </c>
      <c r="U601" s="9">
        <v>0</v>
      </c>
      <c r="V601" s="9">
        <v>0</v>
      </c>
      <c r="W601" s="9">
        <v>0</v>
      </c>
      <c r="X601" s="9">
        <v>0</v>
      </c>
      <c r="Y601" s="9">
        <v>0</v>
      </c>
      <c r="Z601" s="9">
        <v>0</v>
      </c>
      <c r="AA601" s="9">
        <v>0</v>
      </c>
      <c r="AB601" s="10">
        <f t="shared" si="46"/>
        <v>0</v>
      </c>
      <c r="AC601" s="10">
        <f t="shared" si="47"/>
        <v>0</v>
      </c>
      <c r="AD601" s="9">
        <v>0</v>
      </c>
      <c r="AE601" s="9">
        <v>0</v>
      </c>
      <c r="AF601" s="9">
        <v>0</v>
      </c>
      <c r="AG601" s="9">
        <v>0</v>
      </c>
      <c r="AH601" s="9">
        <v>0</v>
      </c>
      <c r="AI601" s="9">
        <v>0</v>
      </c>
      <c r="AJ601" s="9">
        <v>0</v>
      </c>
      <c r="AK601" s="9">
        <v>0</v>
      </c>
      <c r="AL601" s="9">
        <v>0</v>
      </c>
      <c r="AM601" s="9">
        <v>0</v>
      </c>
      <c r="AN601" s="9">
        <v>0</v>
      </c>
      <c r="AO601" s="9">
        <v>0</v>
      </c>
      <c r="AP601" s="9">
        <v>0</v>
      </c>
      <c r="AQ601" s="9">
        <v>0</v>
      </c>
      <c r="AR601" s="9">
        <v>0</v>
      </c>
      <c r="AS601" s="10">
        <f t="shared" si="48"/>
        <v>0</v>
      </c>
      <c r="AT601" s="10">
        <f t="shared" si="49"/>
        <v>0</v>
      </c>
      <c r="AU601" s="5" t="s">
        <v>595</v>
      </c>
    </row>
    <row r="602" spans="1:47" ht="15" customHeight="1" x14ac:dyDescent="0.3">
      <c r="A602" s="7" t="str">
        <f t="shared" si="45"/>
        <v>121_2021</v>
      </c>
      <c r="B602" s="7">
        <v>601</v>
      </c>
      <c r="C602" s="7">
        <f>'Panel Data (Long Format)'!B602</f>
        <v>121</v>
      </c>
      <c r="D602" s="7" t="str">
        <f>'Panel Data (Long Format)'!C602</f>
        <v>THOMASWY</v>
      </c>
      <c r="E602" s="8" t="str">
        <f>'Panel Data (Long Format)'!D602</f>
        <v>Thomas Wyatt Nigeria Plc</v>
      </c>
      <c r="F602" s="7" t="str">
        <f>'Panel Data (Long Format)'!E602</f>
        <v>NATURAL RESOURCES</v>
      </c>
      <c r="G602" s="7">
        <f>'Panel Data (Long Format)'!F602</f>
        <v>2021</v>
      </c>
      <c r="H602" s="9">
        <v>0</v>
      </c>
      <c r="I602" s="9">
        <v>0</v>
      </c>
      <c r="J602" s="9">
        <v>0</v>
      </c>
      <c r="K602" s="9">
        <v>0</v>
      </c>
      <c r="L602" s="9">
        <v>0</v>
      </c>
      <c r="M602" s="9">
        <v>0</v>
      </c>
      <c r="N602" s="9">
        <v>0</v>
      </c>
      <c r="O602" s="9">
        <v>0</v>
      </c>
      <c r="P602" s="9">
        <v>0</v>
      </c>
      <c r="Q602" s="9">
        <v>0</v>
      </c>
      <c r="R602" s="9">
        <v>0</v>
      </c>
      <c r="S602" s="9">
        <v>0</v>
      </c>
      <c r="T602" s="9">
        <v>0</v>
      </c>
      <c r="U602" s="9">
        <v>0</v>
      </c>
      <c r="V602" s="9">
        <v>0</v>
      </c>
      <c r="W602" s="9">
        <v>0</v>
      </c>
      <c r="X602" s="9">
        <v>0</v>
      </c>
      <c r="Y602" s="9">
        <v>0</v>
      </c>
      <c r="Z602" s="9">
        <v>0</v>
      </c>
      <c r="AA602" s="9">
        <v>0</v>
      </c>
      <c r="AB602" s="10">
        <f t="shared" si="46"/>
        <v>0</v>
      </c>
      <c r="AC602" s="10">
        <f t="shared" si="47"/>
        <v>0</v>
      </c>
      <c r="AD602" s="9">
        <v>0</v>
      </c>
      <c r="AE602" s="9">
        <v>0</v>
      </c>
      <c r="AF602" s="9">
        <v>0</v>
      </c>
      <c r="AG602" s="9">
        <v>0</v>
      </c>
      <c r="AH602" s="9">
        <v>0</v>
      </c>
      <c r="AI602" s="9">
        <v>0</v>
      </c>
      <c r="AJ602" s="9">
        <v>0</v>
      </c>
      <c r="AK602" s="9">
        <v>0</v>
      </c>
      <c r="AL602" s="9">
        <v>0</v>
      </c>
      <c r="AM602" s="9">
        <v>0</v>
      </c>
      <c r="AN602" s="9">
        <v>0</v>
      </c>
      <c r="AO602" s="9">
        <v>0</v>
      </c>
      <c r="AP602" s="9">
        <v>0</v>
      </c>
      <c r="AQ602" s="9">
        <v>0</v>
      </c>
      <c r="AR602" s="9">
        <v>0</v>
      </c>
      <c r="AS602" s="10">
        <f t="shared" si="48"/>
        <v>0</v>
      </c>
      <c r="AT602" s="10">
        <f t="shared" si="49"/>
        <v>0</v>
      </c>
      <c r="AU602" s="5" t="s">
        <v>596</v>
      </c>
    </row>
    <row r="603" spans="1:47" ht="15" customHeight="1" x14ac:dyDescent="0.3">
      <c r="A603" s="7" t="str">
        <f t="shared" si="45"/>
        <v>121_2022</v>
      </c>
      <c r="B603" s="7">
        <v>602</v>
      </c>
      <c r="C603" s="7">
        <f>'Panel Data (Long Format)'!B603</f>
        <v>121</v>
      </c>
      <c r="D603" s="7" t="str">
        <f>'Panel Data (Long Format)'!C603</f>
        <v>THOMASWY</v>
      </c>
      <c r="E603" s="8" t="str">
        <f>'Panel Data (Long Format)'!D603</f>
        <v>Thomas Wyatt Nigeria Plc</v>
      </c>
      <c r="F603" s="7" t="str">
        <f>'Panel Data (Long Format)'!E603</f>
        <v>NATURAL RESOURCES</v>
      </c>
      <c r="G603" s="7">
        <f>'Panel Data (Long Format)'!F603</f>
        <v>2022</v>
      </c>
      <c r="H603" s="9">
        <v>0</v>
      </c>
      <c r="I603" s="9">
        <v>0</v>
      </c>
      <c r="J603" s="9">
        <v>0</v>
      </c>
      <c r="K603" s="9">
        <v>0</v>
      </c>
      <c r="L603" s="9">
        <v>0</v>
      </c>
      <c r="M603" s="9">
        <v>0</v>
      </c>
      <c r="N603" s="9">
        <v>0</v>
      </c>
      <c r="O603" s="9">
        <v>0</v>
      </c>
      <c r="P603" s="9">
        <v>0</v>
      </c>
      <c r="Q603" s="9">
        <v>0</v>
      </c>
      <c r="R603" s="9">
        <v>0</v>
      </c>
      <c r="S603" s="9">
        <v>0</v>
      </c>
      <c r="T603" s="9">
        <v>0</v>
      </c>
      <c r="U603" s="9">
        <v>0</v>
      </c>
      <c r="V603" s="9">
        <v>0</v>
      </c>
      <c r="W603" s="9">
        <v>0</v>
      </c>
      <c r="X603" s="9">
        <v>0</v>
      </c>
      <c r="Y603" s="9">
        <v>0</v>
      </c>
      <c r="Z603" s="9">
        <v>0</v>
      </c>
      <c r="AA603" s="9">
        <v>0</v>
      </c>
      <c r="AB603" s="10">
        <f t="shared" si="46"/>
        <v>0</v>
      </c>
      <c r="AC603" s="10">
        <f t="shared" si="47"/>
        <v>0</v>
      </c>
      <c r="AD603" s="9">
        <v>0</v>
      </c>
      <c r="AE603" s="9">
        <v>0</v>
      </c>
      <c r="AF603" s="9">
        <v>0</v>
      </c>
      <c r="AG603" s="9">
        <v>0</v>
      </c>
      <c r="AH603" s="9">
        <v>0</v>
      </c>
      <c r="AI603" s="9">
        <v>0</v>
      </c>
      <c r="AJ603" s="9">
        <v>0</v>
      </c>
      <c r="AK603" s="9">
        <v>0</v>
      </c>
      <c r="AL603" s="9">
        <v>0</v>
      </c>
      <c r="AM603" s="9">
        <v>0</v>
      </c>
      <c r="AN603" s="9">
        <v>0</v>
      </c>
      <c r="AO603" s="9">
        <v>0</v>
      </c>
      <c r="AP603" s="9">
        <v>0</v>
      </c>
      <c r="AQ603" s="9">
        <v>0</v>
      </c>
      <c r="AR603" s="9">
        <v>0</v>
      </c>
      <c r="AS603" s="10">
        <f t="shared" si="48"/>
        <v>0</v>
      </c>
      <c r="AT603" s="10">
        <f t="shared" si="49"/>
        <v>0</v>
      </c>
      <c r="AU603" s="5" t="s">
        <v>596</v>
      </c>
    </row>
    <row r="604" spans="1:47" ht="15" customHeight="1" x14ac:dyDescent="0.3">
      <c r="A604" s="7" t="str">
        <f t="shared" si="45"/>
        <v>121_2023</v>
      </c>
      <c r="B604" s="7">
        <v>603</v>
      </c>
      <c r="C604" s="7">
        <f>'Panel Data (Long Format)'!B604</f>
        <v>121</v>
      </c>
      <c r="D604" s="7" t="str">
        <f>'Panel Data (Long Format)'!C604</f>
        <v>THOMASWY</v>
      </c>
      <c r="E604" s="8" t="str">
        <f>'Panel Data (Long Format)'!D604</f>
        <v>Thomas Wyatt Nigeria Plc</v>
      </c>
      <c r="F604" s="7" t="str">
        <f>'Panel Data (Long Format)'!E604</f>
        <v>NATURAL RESOURCES</v>
      </c>
      <c r="G604" s="7">
        <f>'Panel Data (Long Format)'!F604</f>
        <v>2023</v>
      </c>
      <c r="H604" s="9">
        <v>0</v>
      </c>
      <c r="I604" s="9">
        <v>0</v>
      </c>
      <c r="J604" s="9">
        <v>0</v>
      </c>
      <c r="K604" s="9">
        <v>0</v>
      </c>
      <c r="L604" s="9">
        <v>0</v>
      </c>
      <c r="M604" s="9">
        <v>0</v>
      </c>
      <c r="N604" s="9">
        <v>0</v>
      </c>
      <c r="O604" s="9">
        <v>0</v>
      </c>
      <c r="P604" s="9">
        <v>0</v>
      </c>
      <c r="Q604" s="9">
        <v>0</v>
      </c>
      <c r="R604" s="9">
        <v>0</v>
      </c>
      <c r="S604" s="9">
        <v>0</v>
      </c>
      <c r="T604" s="9">
        <v>0</v>
      </c>
      <c r="U604" s="9">
        <v>0</v>
      </c>
      <c r="V604" s="9">
        <v>0</v>
      </c>
      <c r="W604" s="9">
        <v>0</v>
      </c>
      <c r="X604" s="9">
        <v>0</v>
      </c>
      <c r="Y604" s="9">
        <v>0</v>
      </c>
      <c r="Z604" s="9">
        <v>0</v>
      </c>
      <c r="AA604" s="9">
        <v>0</v>
      </c>
      <c r="AB604" s="10">
        <f t="shared" si="46"/>
        <v>0</v>
      </c>
      <c r="AC604" s="10">
        <f t="shared" si="47"/>
        <v>0</v>
      </c>
      <c r="AD604" s="9">
        <v>0</v>
      </c>
      <c r="AE604" s="9">
        <v>0</v>
      </c>
      <c r="AF604" s="9">
        <v>0</v>
      </c>
      <c r="AG604" s="9">
        <v>0</v>
      </c>
      <c r="AH604" s="9">
        <v>0</v>
      </c>
      <c r="AI604" s="9">
        <v>0</v>
      </c>
      <c r="AJ604" s="9">
        <v>0</v>
      </c>
      <c r="AK604" s="9">
        <v>0</v>
      </c>
      <c r="AL604" s="9">
        <v>0</v>
      </c>
      <c r="AM604" s="9">
        <v>0</v>
      </c>
      <c r="AN604" s="9">
        <v>0</v>
      </c>
      <c r="AO604" s="9">
        <v>0</v>
      </c>
      <c r="AP604" s="9">
        <v>0</v>
      </c>
      <c r="AQ604" s="9">
        <v>0</v>
      </c>
      <c r="AR604" s="9">
        <v>0</v>
      </c>
      <c r="AS604" s="10">
        <f t="shared" si="48"/>
        <v>0</v>
      </c>
      <c r="AT604" s="10">
        <f t="shared" si="49"/>
        <v>0</v>
      </c>
      <c r="AU604" s="5" t="s">
        <v>596</v>
      </c>
    </row>
    <row r="605" spans="1:47" ht="15" customHeight="1" x14ac:dyDescent="0.3">
      <c r="A605" s="7" t="str">
        <f t="shared" si="45"/>
        <v>121_2024</v>
      </c>
      <c r="B605" s="7">
        <v>604</v>
      </c>
      <c r="C605" s="7">
        <f>'Panel Data (Long Format)'!B605</f>
        <v>121</v>
      </c>
      <c r="D605" s="7" t="str">
        <f>'Panel Data (Long Format)'!C605</f>
        <v>THOMASWY</v>
      </c>
      <c r="E605" s="8" t="str">
        <f>'Panel Data (Long Format)'!D605</f>
        <v>Thomas Wyatt Nigeria Plc</v>
      </c>
      <c r="F605" s="7" t="str">
        <f>'Panel Data (Long Format)'!E605</f>
        <v>NATURAL RESOURCES</v>
      </c>
      <c r="G605" s="7">
        <f>'Panel Data (Long Format)'!F605</f>
        <v>2024</v>
      </c>
      <c r="H605" s="9">
        <v>0</v>
      </c>
      <c r="I605" s="9">
        <v>0</v>
      </c>
      <c r="J605" s="9">
        <v>0</v>
      </c>
      <c r="K605" s="9">
        <v>0</v>
      </c>
      <c r="L605" s="9">
        <v>0</v>
      </c>
      <c r="M605" s="9">
        <v>0</v>
      </c>
      <c r="N605" s="9">
        <v>0</v>
      </c>
      <c r="O605" s="9">
        <v>0</v>
      </c>
      <c r="P605" s="9">
        <v>0</v>
      </c>
      <c r="Q605" s="9">
        <v>0</v>
      </c>
      <c r="R605" s="9">
        <v>0</v>
      </c>
      <c r="S605" s="9">
        <v>0</v>
      </c>
      <c r="T605" s="9">
        <v>0</v>
      </c>
      <c r="U605" s="9">
        <v>0</v>
      </c>
      <c r="V605" s="9">
        <v>0</v>
      </c>
      <c r="W605" s="9">
        <v>0</v>
      </c>
      <c r="X605" s="9">
        <v>0</v>
      </c>
      <c r="Y605" s="9">
        <v>0</v>
      </c>
      <c r="Z605" s="9">
        <v>0</v>
      </c>
      <c r="AA605" s="9">
        <v>0</v>
      </c>
      <c r="AB605" s="10">
        <f t="shared" si="46"/>
        <v>0</v>
      </c>
      <c r="AC605" s="10">
        <f t="shared" si="47"/>
        <v>0</v>
      </c>
      <c r="AD605" s="9">
        <v>0</v>
      </c>
      <c r="AE605" s="9">
        <v>0</v>
      </c>
      <c r="AF605" s="9">
        <v>0</v>
      </c>
      <c r="AG605" s="9">
        <v>0</v>
      </c>
      <c r="AH605" s="9">
        <v>0</v>
      </c>
      <c r="AI605" s="9">
        <v>0</v>
      </c>
      <c r="AJ605" s="9">
        <v>0</v>
      </c>
      <c r="AK605" s="9">
        <v>0</v>
      </c>
      <c r="AL605" s="9">
        <v>0</v>
      </c>
      <c r="AM605" s="9">
        <v>0</v>
      </c>
      <c r="AN605" s="9">
        <v>0</v>
      </c>
      <c r="AO605" s="9">
        <v>0</v>
      </c>
      <c r="AP605" s="9">
        <v>0</v>
      </c>
      <c r="AQ605" s="9">
        <v>0</v>
      </c>
      <c r="AR605" s="9">
        <v>0</v>
      </c>
      <c r="AS605" s="10">
        <f t="shared" si="48"/>
        <v>0</v>
      </c>
      <c r="AT605" s="10">
        <f t="shared" si="49"/>
        <v>0</v>
      </c>
      <c r="AU605" s="5" t="s">
        <v>596</v>
      </c>
    </row>
    <row r="606" spans="1:47" ht="15" customHeight="1" x14ac:dyDescent="0.3">
      <c r="A606" s="7" t="str">
        <f t="shared" si="45"/>
        <v>121_2025</v>
      </c>
      <c r="B606" s="7">
        <v>605</v>
      </c>
      <c r="C606" s="7">
        <f>'Panel Data (Long Format)'!B606</f>
        <v>121</v>
      </c>
      <c r="D606" s="7" t="str">
        <f>'Panel Data (Long Format)'!C606</f>
        <v>THOMASWY</v>
      </c>
      <c r="E606" s="8" t="str">
        <f>'Panel Data (Long Format)'!D606</f>
        <v>Thomas Wyatt Nigeria Plc</v>
      </c>
      <c r="F606" s="7" t="str">
        <f>'Panel Data (Long Format)'!E606</f>
        <v>NATURAL RESOURCES</v>
      </c>
      <c r="G606" s="7">
        <f>'Panel Data (Long Format)'!F606</f>
        <v>2025</v>
      </c>
      <c r="H606" s="9">
        <v>0</v>
      </c>
      <c r="I606" s="9">
        <v>0</v>
      </c>
      <c r="J606" s="9">
        <v>0</v>
      </c>
      <c r="K606" s="9">
        <v>0</v>
      </c>
      <c r="L606" s="9">
        <v>0</v>
      </c>
      <c r="M606" s="9">
        <v>0</v>
      </c>
      <c r="N606" s="9">
        <v>0</v>
      </c>
      <c r="O606" s="9">
        <v>0</v>
      </c>
      <c r="P606" s="9">
        <v>0</v>
      </c>
      <c r="Q606" s="9">
        <v>0</v>
      </c>
      <c r="R606" s="9">
        <v>0</v>
      </c>
      <c r="S606" s="9">
        <v>0</v>
      </c>
      <c r="T606" s="9">
        <v>0</v>
      </c>
      <c r="U606" s="9">
        <v>0</v>
      </c>
      <c r="V606" s="9">
        <v>0</v>
      </c>
      <c r="W606" s="9">
        <v>0</v>
      </c>
      <c r="X606" s="9">
        <v>0</v>
      </c>
      <c r="Y606" s="9">
        <v>0</v>
      </c>
      <c r="Z606" s="9">
        <v>0</v>
      </c>
      <c r="AA606" s="9">
        <v>0</v>
      </c>
      <c r="AB606" s="10">
        <f t="shared" si="46"/>
        <v>0</v>
      </c>
      <c r="AC606" s="10">
        <f t="shared" si="47"/>
        <v>0</v>
      </c>
      <c r="AD606" s="9">
        <v>0</v>
      </c>
      <c r="AE606" s="9">
        <v>0</v>
      </c>
      <c r="AF606" s="9">
        <v>0</v>
      </c>
      <c r="AG606" s="9">
        <v>0</v>
      </c>
      <c r="AH606" s="9">
        <v>0</v>
      </c>
      <c r="AI606" s="9">
        <v>0</v>
      </c>
      <c r="AJ606" s="9">
        <v>0</v>
      </c>
      <c r="AK606" s="9">
        <v>0</v>
      </c>
      <c r="AL606" s="9">
        <v>0</v>
      </c>
      <c r="AM606" s="9">
        <v>0</v>
      </c>
      <c r="AN606" s="9">
        <v>0</v>
      </c>
      <c r="AO606" s="9">
        <v>0</v>
      </c>
      <c r="AP606" s="9">
        <v>0</v>
      </c>
      <c r="AQ606" s="9">
        <v>0</v>
      </c>
      <c r="AR606" s="9">
        <v>0</v>
      </c>
      <c r="AS606" s="10">
        <f t="shared" si="48"/>
        <v>0</v>
      </c>
      <c r="AT606" s="10">
        <f t="shared" si="49"/>
        <v>0</v>
      </c>
      <c r="AU606" s="5" t="s">
        <v>596</v>
      </c>
    </row>
    <row r="607" spans="1:47" ht="15" customHeight="1" x14ac:dyDescent="0.3">
      <c r="A607" s="7" t="str">
        <f t="shared" si="45"/>
        <v>122_2021</v>
      </c>
      <c r="B607" s="7">
        <v>606</v>
      </c>
      <c r="C607" s="7">
        <f>'Panel Data (Long Format)'!B607</f>
        <v>122</v>
      </c>
      <c r="D607" s="7" t="str">
        <f>'Panel Data (Long Format)'!C607</f>
        <v>TIP</v>
      </c>
      <c r="E607" s="8" t="str">
        <f>'Panel Data (Long Format)'!D607</f>
        <v>The Initiates Plc</v>
      </c>
      <c r="F607" s="7" t="str">
        <f>'Panel Data (Long Format)'!E607</f>
        <v>SERVICES</v>
      </c>
      <c r="G607" s="7">
        <f>'Panel Data (Long Format)'!F607</f>
        <v>2021</v>
      </c>
      <c r="H607" s="9">
        <v>0</v>
      </c>
      <c r="I607" s="9">
        <v>0</v>
      </c>
      <c r="J607" s="9">
        <v>0</v>
      </c>
      <c r="K607" s="9">
        <v>0</v>
      </c>
      <c r="L607" s="9">
        <v>0</v>
      </c>
      <c r="M607" s="9">
        <v>0</v>
      </c>
      <c r="N607" s="9">
        <v>0</v>
      </c>
      <c r="O607" s="9">
        <v>0</v>
      </c>
      <c r="P607" s="9">
        <v>0</v>
      </c>
      <c r="Q607" s="9">
        <v>0</v>
      </c>
      <c r="R607" s="9">
        <v>0</v>
      </c>
      <c r="S607" s="9">
        <v>0</v>
      </c>
      <c r="T607" s="9">
        <v>0</v>
      </c>
      <c r="U607" s="9">
        <v>0</v>
      </c>
      <c r="V607" s="9">
        <v>0</v>
      </c>
      <c r="W607" s="9">
        <v>0</v>
      </c>
      <c r="X607" s="9">
        <v>0</v>
      </c>
      <c r="Y607" s="9">
        <v>0</v>
      </c>
      <c r="Z607" s="9">
        <v>0</v>
      </c>
      <c r="AA607" s="9">
        <v>0</v>
      </c>
      <c r="AB607" s="10">
        <f t="shared" si="46"/>
        <v>0</v>
      </c>
      <c r="AC607" s="10">
        <f t="shared" si="47"/>
        <v>0</v>
      </c>
      <c r="AD607" s="9">
        <v>0</v>
      </c>
      <c r="AE607" s="9">
        <v>0</v>
      </c>
      <c r="AF607" s="9">
        <v>0</v>
      </c>
      <c r="AG607" s="9">
        <v>0</v>
      </c>
      <c r="AH607" s="9">
        <v>0</v>
      </c>
      <c r="AI607" s="9">
        <v>0</v>
      </c>
      <c r="AJ607" s="9">
        <v>0</v>
      </c>
      <c r="AK607" s="9">
        <v>0</v>
      </c>
      <c r="AL607" s="9">
        <v>0</v>
      </c>
      <c r="AM607" s="9">
        <v>0</v>
      </c>
      <c r="AN607" s="9">
        <v>0</v>
      </c>
      <c r="AO607" s="9">
        <v>0</v>
      </c>
      <c r="AP607" s="9">
        <v>0</v>
      </c>
      <c r="AQ607" s="9">
        <v>0</v>
      </c>
      <c r="AR607" s="9">
        <v>0</v>
      </c>
      <c r="AS607" s="10">
        <f t="shared" si="48"/>
        <v>0</v>
      </c>
      <c r="AT607" s="10">
        <f t="shared" si="49"/>
        <v>0</v>
      </c>
      <c r="AU607" s="5" t="s">
        <v>597</v>
      </c>
    </row>
    <row r="608" spans="1:47" ht="15" customHeight="1" x14ac:dyDescent="0.3">
      <c r="A608" s="7" t="str">
        <f t="shared" si="45"/>
        <v>122_2022</v>
      </c>
      <c r="B608" s="7">
        <v>607</v>
      </c>
      <c r="C608" s="7">
        <f>'Panel Data (Long Format)'!B608</f>
        <v>122</v>
      </c>
      <c r="D608" s="7" t="str">
        <f>'Panel Data (Long Format)'!C608</f>
        <v>TIP</v>
      </c>
      <c r="E608" s="8" t="str">
        <f>'Panel Data (Long Format)'!D608</f>
        <v>The Initiates Plc</v>
      </c>
      <c r="F608" s="7" t="str">
        <f>'Panel Data (Long Format)'!E608</f>
        <v>SERVICES</v>
      </c>
      <c r="G608" s="7">
        <f>'Panel Data (Long Format)'!F608</f>
        <v>2022</v>
      </c>
      <c r="H608" s="9">
        <v>0</v>
      </c>
      <c r="I608" s="9">
        <v>0</v>
      </c>
      <c r="J608" s="9">
        <v>0</v>
      </c>
      <c r="K608" s="9">
        <v>0</v>
      </c>
      <c r="L608" s="9">
        <v>0</v>
      </c>
      <c r="M608" s="9">
        <v>0</v>
      </c>
      <c r="N608" s="9">
        <v>0</v>
      </c>
      <c r="O608" s="9">
        <v>0</v>
      </c>
      <c r="P608" s="9">
        <v>0</v>
      </c>
      <c r="Q608" s="9">
        <v>0</v>
      </c>
      <c r="R608" s="9">
        <v>0</v>
      </c>
      <c r="S608" s="9">
        <v>0</v>
      </c>
      <c r="T608" s="9">
        <v>0</v>
      </c>
      <c r="U608" s="9">
        <v>0</v>
      </c>
      <c r="V608" s="9">
        <v>0</v>
      </c>
      <c r="W608" s="9">
        <v>0</v>
      </c>
      <c r="X608" s="9">
        <v>0</v>
      </c>
      <c r="Y608" s="9">
        <v>0</v>
      </c>
      <c r="Z608" s="9">
        <v>0</v>
      </c>
      <c r="AA608" s="9">
        <v>0</v>
      </c>
      <c r="AB608" s="10">
        <f t="shared" si="46"/>
        <v>0</v>
      </c>
      <c r="AC608" s="10">
        <f t="shared" si="47"/>
        <v>0</v>
      </c>
      <c r="AD608" s="9">
        <v>0</v>
      </c>
      <c r="AE608" s="9">
        <v>0</v>
      </c>
      <c r="AF608" s="9">
        <v>0</v>
      </c>
      <c r="AG608" s="9">
        <v>0</v>
      </c>
      <c r="AH608" s="9">
        <v>0</v>
      </c>
      <c r="AI608" s="9">
        <v>0</v>
      </c>
      <c r="AJ608" s="9">
        <v>0</v>
      </c>
      <c r="AK608" s="9">
        <v>0</v>
      </c>
      <c r="AL608" s="9">
        <v>0</v>
      </c>
      <c r="AM608" s="9">
        <v>0</v>
      </c>
      <c r="AN608" s="9">
        <v>0</v>
      </c>
      <c r="AO608" s="9">
        <v>0</v>
      </c>
      <c r="AP608" s="9">
        <v>0</v>
      </c>
      <c r="AQ608" s="9">
        <v>0</v>
      </c>
      <c r="AR608" s="9">
        <v>0</v>
      </c>
      <c r="AS608" s="10">
        <f t="shared" si="48"/>
        <v>0</v>
      </c>
      <c r="AT608" s="10">
        <f t="shared" si="49"/>
        <v>0</v>
      </c>
      <c r="AU608" s="5" t="s">
        <v>598</v>
      </c>
    </row>
    <row r="609" spans="1:47" ht="15" customHeight="1" x14ac:dyDescent="0.3">
      <c r="A609" s="7" t="str">
        <f t="shared" si="45"/>
        <v>122_2023</v>
      </c>
      <c r="B609" s="7">
        <v>608</v>
      </c>
      <c r="C609" s="7">
        <f>'Panel Data (Long Format)'!B609</f>
        <v>122</v>
      </c>
      <c r="D609" s="7" t="str">
        <f>'Panel Data (Long Format)'!C609</f>
        <v>TIP</v>
      </c>
      <c r="E609" s="8" t="str">
        <f>'Panel Data (Long Format)'!D609</f>
        <v>The Initiates Plc</v>
      </c>
      <c r="F609" s="7" t="str">
        <f>'Panel Data (Long Format)'!E609</f>
        <v>SERVICES</v>
      </c>
      <c r="G609" s="7">
        <f>'Panel Data (Long Format)'!F609</f>
        <v>2023</v>
      </c>
      <c r="H609" s="9">
        <v>0</v>
      </c>
      <c r="I609" s="9">
        <v>0</v>
      </c>
      <c r="J609" s="9">
        <v>0</v>
      </c>
      <c r="K609" s="9">
        <v>0</v>
      </c>
      <c r="L609" s="9">
        <v>0</v>
      </c>
      <c r="M609" s="9">
        <v>0</v>
      </c>
      <c r="N609" s="9">
        <v>0</v>
      </c>
      <c r="O609" s="9">
        <v>0</v>
      </c>
      <c r="P609" s="9">
        <v>0</v>
      </c>
      <c r="Q609" s="9">
        <v>0</v>
      </c>
      <c r="R609" s="9">
        <v>0</v>
      </c>
      <c r="S609" s="9">
        <v>0</v>
      </c>
      <c r="T609" s="9">
        <v>0</v>
      </c>
      <c r="U609" s="9">
        <v>0</v>
      </c>
      <c r="V609" s="9">
        <v>0</v>
      </c>
      <c r="W609" s="9">
        <v>1</v>
      </c>
      <c r="X609" s="9">
        <v>0</v>
      </c>
      <c r="Y609" s="9">
        <v>0</v>
      </c>
      <c r="Z609" s="9">
        <v>0</v>
      </c>
      <c r="AA609" s="9">
        <v>0</v>
      </c>
      <c r="AB609" s="10">
        <f t="shared" si="46"/>
        <v>1</v>
      </c>
      <c r="AC609" s="10">
        <f t="shared" si="47"/>
        <v>5</v>
      </c>
      <c r="AD609" s="9">
        <v>0</v>
      </c>
      <c r="AE609" s="9">
        <v>0</v>
      </c>
      <c r="AF609" s="9">
        <v>0</v>
      </c>
      <c r="AG609" s="9">
        <v>0</v>
      </c>
      <c r="AH609" s="9">
        <v>0</v>
      </c>
      <c r="AI609" s="9">
        <v>0</v>
      </c>
      <c r="AJ609" s="9">
        <v>0</v>
      </c>
      <c r="AK609" s="9">
        <v>0</v>
      </c>
      <c r="AL609" s="9">
        <v>0</v>
      </c>
      <c r="AM609" s="9">
        <v>0</v>
      </c>
      <c r="AN609" s="9">
        <v>0</v>
      </c>
      <c r="AO609" s="9">
        <v>0</v>
      </c>
      <c r="AP609" s="9">
        <v>0</v>
      </c>
      <c r="AQ609" s="9">
        <v>0</v>
      </c>
      <c r="AR609" s="9">
        <v>0</v>
      </c>
      <c r="AS609" s="10">
        <f t="shared" si="48"/>
        <v>0</v>
      </c>
      <c r="AT609" s="10">
        <f t="shared" si="49"/>
        <v>0</v>
      </c>
      <c r="AU609" s="5" t="s">
        <v>599</v>
      </c>
    </row>
    <row r="610" spans="1:47" ht="15" customHeight="1" x14ac:dyDescent="0.3">
      <c r="A610" s="7" t="str">
        <f t="shared" si="45"/>
        <v>122_2024</v>
      </c>
      <c r="B610" s="7">
        <v>609</v>
      </c>
      <c r="C610" s="7">
        <f>'Panel Data (Long Format)'!B610</f>
        <v>122</v>
      </c>
      <c r="D610" s="7" t="str">
        <f>'Panel Data (Long Format)'!C610</f>
        <v>TIP</v>
      </c>
      <c r="E610" s="8" t="str">
        <f>'Panel Data (Long Format)'!D610</f>
        <v>The Initiates Plc</v>
      </c>
      <c r="F610" s="7" t="str">
        <f>'Panel Data (Long Format)'!E610</f>
        <v>SERVICES</v>
      </c>
      <c r="G610" s="7">
        <f>'Panel Data (Long Format)'!F610</f>
        <v>2024</v>
      </c>
      <c r="H610" s="9">
        <v>0</v>
      </c>
      <c r="I610" s="9">
        <v>0</v>
      </c>
      <c r="J610" s="9">
        <v>0</v>
      </c>
      <c r="K610" s="9">
        <v>0</v>
      </c>
      <c r="L610" s="9">
        <v>0</v>
      </c>
      <c r="M610" s="9">
        <v>0</v>
      </c>
      <c r="N610" s="9">
        <v>0</v>
      </c>
      <c r="O610" s="9">
        <v>0</v>
      </c>
      <c r="P610" s="9">
        <v>0</v>
      </c>
      <c r="Q610" s="9">
        <v>0</v>
      </c>
      <c r="R610" s="9">
        <v>0</v>
      </c>
      <c r="S610" s="9">
        <v>0</v>
      </c>
      <c r="T610" s="9">
        <v>0</v>
      </c>
      <c r="U610" s="9">
        <v>0</v>
      </c>
      <c r="V610" s="9">
        <v>0</v>
      </c>
      <c r="W610" s="9">
        <v>1</v>
      </c>
      <c r="X610" s="9">
        <v>0</v>
      </c>
      <c r="Y610" s="9">
        <v>0</v>
      </c>
      <c r="Z610" s="9">
        <v>0</v>
      </c>
      <c r="AA610" s="9">
        <v>0</v>
      </c>
      <c r="AB610" s="10">
        <f t="shared" si="46"/>
        <v>1</v>
      </c>
      <c r="AC610" s="10">
        <f t="shared" si="47"/>
        <v>5</v>
      </c>
      <c r="AD610" s="9">
        <v>0</v>
      </c>
      <c r="AE610" s="9">
        <v>0</v>
      </c>
      <c r="AF610" s="9">
        <v>0</v>
      </c>
      <c r="AG610" s="9">
        <v>0</v>
      </c>
      <c r="AH610" s="9">
        <v>0</v>
      </c>
      <c r="AI610" s="9">
        <v>0</v>
      </c>
      <c r="AJ610" s="9">
        <v>0</v>
      </c>
      <c r="AK610" s="9">
        <v>0</v>
      </c>
      <c r="AL610" s="9">
        <v>0</v>
      </c>
      <c r="AM610" s="9">
        <v>0</v>
      </c>
      <c r="AN610" s="9">
        <v>0</v>
      </c>
      <c r="AO610" s="9">
        <v>0</v>
      </c>
      <c r="AP610" s="9">
        <v>0</v>
      </c>
      <c r="AQ610" s="9">
        <v>0</v>
      </c>
      <c r="AR610" s="9">
        <v>0</v>
      </c>
      <c r="AS610" s="10">
        <f t="shared" si="48"/>
        <v>0</v>
      </c>
      <c r="AT610" s="10">
        <f t="shared" si="49"/>
        <v>0</v>
      </c>
      <c r="AU610" s="5" t="s">
        <v>600</v>
      </c>
    </row>
    <row r="611" spans="1:47" ht="15" customHeight="1" x14ac:dyDescent="0.3">
      <c r="A611" s="7" t="str">
        <f t="shared" si="45"/>
        <v>122_2025</v>
      </c>
      <c r="B611" s="7">
        <v>610</v>
      </c>
      <c r="C611" s="7">
        <f>'Panel Data (Long Format)'!B611</f>
        <v>122</v>
      </c>
      <c r="D611" s="7" t="str">
        <f>'Panel Data (Long Format)'!C611</f>
        <v>TIP</v>
      </c>
      <c r="E611" s="8" t="str">
        <f>'Panel Data (Long Format)'!D611</f>
        <v>The Initiates Plc</v>
      </c>
      <c r="F611" s="7" t="str">
        <f>'Panel Data (Long Format)'!E611</f>
        <v>SERVICES</v>
      </c>
      <c r="G611" s="7">
        <f>'Panel Data (Long Format)'!F611</f>
        <v>2025</v>
      </c>
      <c r="H611" s="9">
        <v>0</v>
      </c>
      <c r="I611" s="9">
        <v>0</v>
      </c>
      <c r="J611" s="9">
        <v>0</v>
      </c>
      <c r="K611" s="9">
        <v>0</v>
      </c>
      <c r="L611" s="9">
        <v>0</v>
      </c>
      <c r="M611" s="9">
        <v>0</v>
      </c>
      <c r="N611" s="9">
        <v>0</v>
      </c>
      <c r="O611" s="9">
        <v>0</v>
      </c>
      <c r="P611" s="9">
        <v>0</v>
      </c>
      <c r="Q611" s="9">
        <v>0</v>
      </c>
      <c r="R611" s="9">
        <v>0</v>
      </c>
      <c r="S611" s="9">
        <v>0</v>
      </c>
      <c r="T611" s="9">
        <v>0</v>
      </c>
      <c r="U611" s="9">
        <v>0</v>
      </c>
      <c r="V611" s="9">
        <v>0</v>
      </c>
      <c r="W611" s="9">
        <v>0</v>
      </c>
      <c r="X611" s="9">
        <v>0</v>
      </c>
      <c r="Y611" s="9">
        <v>0</v>
      </c>
      <c r="Z611" s="9">
        <v>0</v>
      </c>
      <c r="AA611" s="9">
        <v>0</v>
      </c>
      <c r="AB611" s="10">
        <f t="shared" si="46"/>
        <v>0</v>
      </c>
      <c r="AC611" s="10">
        <f t="shared" si="47"/>
        <v>0</v>
      </c>
      <c r="AD611" s="9">
        <v>0</v>
      </c>
      <c r="AE611" s="9">
        <v>0</v>
      </c>
      <c r="AF611" s="9">
        <v>0</v>
      </c>
      <c r="AG611" s="9">
        <v>0</v>
      </c>
      <c r="AH611" s="9">
        <v>0</v>
      </c>
      <c r="AI611" s="9">
        <v>0</v>
      </c>
      <c r="AJ611" s="9">
        <v>0</v>
      </c>
      <c r="AK611" s="9">
        <v>0</v>
      </c>
      <c r="AL611" s="9">
        <v>0</v>
      </c>
      <c r="AM611" s="9">
        <v>0</v>
      </c>
      <c r="AN611" s="9">
        <v>0</v>
      </c>
      <c r="AO611" s="9">
        <v>0</v>
      </c>
      <c r="AP611" s="9">
        <v>0</v>
      </c>
      <c r="AQ611" s="9">
        <v>0</v>
      </c>
      <c r="AR611" s="9">
        <v>0</v>
      </c>
      <c r="AS611" s="10">
        <f t="shared" si="48"/>
        <v>0</v>
      </c>
      <c r="AT611" s="10">
        <f t="shared" si="49"/>
        <v>0</v>
      </c>
      <c r="AU611" s="5" t="s">
        <v>601</v>
      </c>
    </row>
    <row r="612" spans="1:47" ht="15" customHeight="1" x14ac:dyDescent="0.3">
      <c r="A612" s="7" t="str">
        <f t="shared" si="45"/>
        <v>123_2021</v>
      </c>
      <c r="B612" s="7">
        <v>611</v>
      </c>
      <c r="C612" s="7">
        <f>'Panel Data (Long Format)'!B612</f>
        <v>123</v>
      </c>
      <c r="D612" s="7" t="str">
        <f>'Panel Data (Long Format)'!C612</f>
        <v>TOTAL</v>
      </c>
      <c r="E612" s="8" t="str">
        <f>'Panel Data (Long Format)'!D612</f>
        <v>TotalEnergies Marketing Nigeria Plc</v>
      </c>
      <c r="F612" s="7" t="str">
        <f>'Panel Data (Long Format)'!E612</f>
        <v>OIL AND GAS</v>
      </c>
      <c r="G612" s="7">
        <f>'Panel Data (Long Format)'!F612</f>
        <v>2021</v>
      </c>
      <c r="H612" s="9">
        <v>0</v>
      </c>
      <c r="I612" s="9">
        <v>0</v>
      </c>
      <c r="J612" s="9">
        <v>0</v>
      </c>
      <c r="K612" s="9">
        <v>0</v>
      </c>
      <c r="L612" s="9">
        <v>0</v>
      </c>
      <c r="M612" s="9">
        <v>0</v>
      </c>
      <c r="N612" s="9">
        <v>0</v>
      </c>
      <c r="O612" s="9">
        <v>0</v>
      </c>
      <c r="P612" s="9">
        <v>0</v>
      </c>
      <c r="Q612" s="9">
        <v>0</v>
      </c>
      <c r="R612" s="9">
        <v>0</v>
      </c>
      <c r="S612" s="9">
        <v>0</v>
      </c>
      <c r="T612" s="9">
        <v>0</v>
      </c>
      <c r="U612" s="9">
        <v>0</v>
      </c>
      <c r="V612" s="9">
        <v>0</v>
      </c>
      <c r="W612" s="9">
        <v>0</v>
      </c>
      <c r="X612" s="9">
        <v>0</v>
      </c>
      <c r="Y612" s="9">
        <v>0</v>
      </c>
      <c r="Z612" s="9">
        <v>0</v>
      </c>
      <c r="AA612" s="9">
        <v>0</v>
      </c>
      <c r="AB612" s="10">
        <f t="shared" si="46"/>
        <v>0</v>
      </c>
      <c r="AC612" s="10">
        <f t="shared" si="47"/>
        <v>0</v>
      </c>
      <c r="AD612" s="9">
        <v>0</v>
      </c>
      <c r="AE612" s="9">
        <v>0</v>
      </c>
      <c r="AF612" s="9">
        <v>0</v>
      </c>
      <c r="AG612" s="9">
        <v>0</v>
      </c>
      <c r="AH612" s="9">
        <v>0</v>
      </c>
      <c r="AI612" s="9">
        <v>0</v>
      </c>
      <c r="AJ612" s="9">
        <v>0</v>
      </c>
      <c r="AK612" s="9">
        <v>0</v>
      </c>
      <c r="AL612" s="9">
        <v>0</v>
      </c>
      <c r="AM612" s="9">
        <v>0</v>
      </c>
      <c r="AN612" s="9">
        <v>0</v>
      </c>
      <c r="AO612" s="9">
        <v>0</v>
      </c>
      <c r="AP612" s="9">
        <v>0</v>
      </c>
      <c r="AQ612" s="9">
        <v>0</v>
      </c>
      <c r="AR612" s="9">
        <v>0</v>
      </c>
      <c r="AS612" s="10">
        <f t="shared" si="48"/>
        <v>0</v>
      </c>
      <c r="AT612" s="10">
        <f t="shared" si="49"/>
        <v>0</v>
      </c>
      <c r="AU612" s="5" t="s">
        <v>602</v>
      </c>
    </row>
    <row r="613" spans="1:47" ht="15" customHeight="1" x14ac:dyDescent="0.3">
      <c r="A613" s="7" t="str">
        <f t="shared" si="45"/>
        <v>123_2022</v>
      </c>
      <c r="B613" s="7">
        <v>612</v>
      </c>
      <c r="C613" s="7">
        <f>'Panel Data (Long Format)'!B613</f>
        <v>123</v>
      </c>
      <c r="D613" s="7" t="str">
        <f>'Panel Data (Long Format)'!C613</f>
        <v>TOTAL</v>
      </c>
      <c r="E613" s="8" t="str">
        <f>'Panel Data (Long Format)'!D613</f>
        <v>TotalEnergies Marketing Nigeria Plc</v>
      </c>
      <c r="F613" s="7" t="str">
        <f>'Panel Data (Long Format)'!E613</f>
        <v>OIL AND GAS</v>
      </c>
      <c r="G613" s="7">
        <f>'Panel Data (Long Format)'!F613</f>
        <v>2022</v>
      </c>
      <c r="H613" s="9">
        <v>0</v>
      </c>
      <c r="I613" s="9">
        <v>0</v>
      </c>
      <c r="J613" s="9">
        <v>0</v>
      </c>
      <c r="K613" s="9">
        <v>0</v>
      </c>
      <c r="L613" s="9">
        <v>0</v>
      </c>
      <c r="M613" s="9">
        <v>0</v>
      </c>
      <c r="N613" s="9">
        <v>0</v>
      </c>
      <c r="O613" s="9">
        <v>0</v>
      </c>
      <c r="P613" s="9">
        <v>0</v>
      </c>
      <c r="Q613" s="9">
        <v>0</v>
      </c>
      <c r="R613" s="9">
        <v>0</v>
      </c>
      <c r="S613" s="9">
        <v>0</v>
      </c>
      <c r="T613" s="9">
        <v>0</v>
      </c>
      <c r="U613" s="9">
        <v>0</v>
      </c>
      <c r="V613" s="9">
        <v>0</v>
      </c>
      <c r="W613" s="9">
        <v>0</v>
      </c>
      <c r="X613" s="9">
        <v>0</v>
      </c>
      <c r="Y613" s="9">
        <v>0</v>
      </c>
      <c r="Z613" s="9">
        <v>0</v>
      </c>
      <c r="AA613" s="9">
        <v>0</v>
      </c>
      <c r="AB613" s="10">
        <f t="shared" si="46"/>
        <v>0</v>
      </c>
      <c r="AC613" s="10">
        <f t="shared" si="47"/>
        <v>0</v>
      </c>
      <c r="AD613" s="9">
        <v>0</v>
      </c>
      <c r="AE613" s="9">
        <v>0</v>
      </c>
      <c r="AF613" s="9">
        <v>0</v>
      </c>
      <c r="AG613" s="9">
        <v>0</v>
      </c>
      <c r="AH613" s="9">
        <v>0</v>
      </c>
      <c r="AI613" s="9">
        <v>0</v>
      </c>
      <c r="AJ613" s="9">
        <v>0</v>
      </c>
      <c r="AK613" s="9">
        <v>0</v>
      </c>
      <c r="AL613" s="9">
        <v>0</v>
      </c>
      <c r="AM613" s="9">
        <v>0</v>
      </c>
      <c r="AN613" s="9">
        <v>0</v>
      </c>
      <c r="AO613" s="9">
        <v>0</v>
      </c>
      <c r="AP613" s="9">
        <v>0</v>
      </c>
      <c r="AQ613" s="9">
        <v>0</v>
      </c>
      <c r="AR613" s="9">
        <v>0</v>
      </c>
      <c r="AS613" s="10">
        <f t="shared" si="48"/>
        <v>0</v>
      </c>
      <c r="AT613" s="10">
        <f t="shared" si="49"/>
        <v>0</v>
      </c>
      <c r="AU613" s="5" t="s">
        <v>603</v>
      </c>
    </row>
    <row r="614" spans="1:47" ht="15" customHeight="1" x14ac:dyDescent="0.3">
      <c r="A614" s="7" t="str">
        <f t="shared" si="45"/>
        <v>123_2023</v>
      </c>
      <c r="B614" s="7">
        <v>613</v>
      </c>
      <c r="C614" s="7">
        <f>'Panel Data (Long Format)'!B614</f>
        <v>123</v>
      </c>
      <c r="D614" s="7" t="str">
        <f>'Panel Data (Long Format)'!C614</f>
        <v>TOTAL</v>
      </c>
      <c r="E614" s="8" t="str">
        <f>'Panel Data (Long Format)'!D614</f>
        <v>TotalEnergies Marketing Nigeria Plc</v>
      </c>
      <c r="F614" s="7" t="str">
        <f>'Panel Data (Long Format)'!E614</f>
        <v>OIL AND GAS</v>
      </c>
      <c r="G614" s="7">
        <f>'Panel Data (Long Format)'!F614</f>
        <v>2023</v>
      </c>
      <c r="H614" s="9">
        <v>0</v>
      </c>
      <c r="I614" s="9">
        <v>0</v>
      </c>
      <c r="J614" s="9">
        <v>0</v>
      </c>
      <c r="K614" s="9">
        <v>0</v>
      </c>
      <c r="L614" s="9">
        <v>0</v>
      </c>
      <c r="M614" s="9">
        <v>0</v>
      </c>
      <c r="N614" s="9">
        <v>0</v>
      </c>
      <c r="O614" s="9">
        <v>0</v>
      </c>
      <c r="P614" s="9">
        <v>0</v>
      </c>
      <c r="Q614" s="9">
        <v>0</v>
      </c>
      <c r="R614" s="9">
        <v>0</v>
      </c>
      <c r="S614" s="9">
        <v>0</v>
      </c>
      <c r="T614" s="9">
        <v>0</v>
      </c>
      <c r="U614" s="9">
        <v>0</v>
      </c>
      <c r="V614" s="9">
        <v>0</v>
      </c>
      <c r="W614" s="9">
        <v>0</v>
      </c>
      <c r="X614" s="9">
        <v>0</v>
      </c>
      <c r="Y614" s="9">
        <v>0</v>
      </c>
      <c r="Z614" s="9">
        <v>0</v>
      </c>
      <c r="AA614" s="9">
        <v>0</v>
      </c>
      <c r="AB614" s="10">
        <f t="shared" si="46"/>
        <v>0</v>
      </c>
      <c r="AC614" s="10">
        <f t="shared" si="47"/>
        <v>0</v>
      </c>
      <c r="AD614" s="9">
        <v>0</v>
      </c>
      <c r="AE614" s="9">
        <v>0</v>
      </c>
      <c r="AF614" s="9">
        <v>0</v>
      </c>
      <c r="AG614" s="9">
        <v>0</v>
      </c>
      <c r="AH614" s="9">
        <v>0</v>
      </c>
      <c r="AI614" s="9">
        <v>0</v>
      </c>
      <c r="AJ614" s="9">
        <v>0</v>
      </c>
      <c r="AK614" s="9">
        <v>0</v>
      </c>
      <c r="AL614" s="9">
        <v>0</v>
      </c>
      <c r="AM614" s="9">
        <v>0</v>
      </c>
      <c r="AN614" s="9">
        <v>0</v>
      </c>
      <c r="AO614" s="9">
        <v>0</v>
      </c>
      <c r="AP614" s="9">
        <v>0</v>
      </c>
      <c r="AQ614" s="9">
        <v>0</v>
      </c>
      <c r="AR614" s="9">
        <v>0</v>
      </c>
      <c r="AS614" s="10">
        <f t="shared" si="48"/>
        <v>0</v>
      </c>
      <c r="AT614" s="10">
        <f t="shared" si="49"/>
        <v>0</v>
      </c>
      <c r="AU614" s="5" t="s">
        <v>604</v>
      </c>
    </row>
    <row r="615" spans="1:47" ht="15" customHeight="1" x14ac:dyDescent="0.3">
      <c r="A615" s="7" t="str">
        <f t="shared" si="45"/>
        <v>123_2024</v>
      </c>
      <c r="B615" s="7">
        <v>614</v>
      </c>
      <c r="C615" s="7">
        <f>'Panel Data (Long Format)'!B615</f>
        <v>123</v>
      </c>
      <c r="D615" s="7" t="str">
        <f>'Panel Data (Long Format)'!C615</f>
        <v>TOTAL</v>
      </c>
      <c r="E615" s="8" t="str">
        <f>'Panel Data (Long Format)'!D615</f>
        <v>TotalEnergies Marketing Nigeria Plc</v>
      </c>
      <c r="F615" s="7" t="str">
        <f>'Panel Data (Long Format)'!E615</f>
        <v>OIL AND GAS</v>
      </c>
      <c r="G615" s="7">
        <f>'Panel Data (Long Format)'!F615</f>
        <v>2024</v>
      </c>
      <c r="H615" s="9">
        <v>0</v>
      </c>
      <c r="I615" s="9">
        <v>0</v>
      </c>
      <c r="J615" s="9">
        <v>0</v>
      </c>
      <c r="K615" s="9">
        <v>0</v>
      </c>
      <c r="L615" s="9">
        <v>0</v>
      </c>
      <c r="M615" s="9">
        <v>1</v>
      </c>
      <c r="N615" s="9">
        <v>0</v>
      </c>
      <c r="O615" s="9">
        <v>1</v>
      </c>
      <c r="P615" s="9">
        <v>0</v>
      </c>
      <c r="Q615" s="9">
        <v>0</v>
      </c>
      <c r="R615" s="9">
        <v>0</v>
      </c>
      <c r="S615" s="9">
        <v>0</v>
      </c>
      <c r="T615" s="9">
        <v>0</v>
      </c>
      <c r="U615" s="9">
        <v>0</v>
      </c>
      <c r="V615" s="9">
        <v>0</v>
      </c>
      <c r="W615" s="9">
        <v>1</v>
      </c>
      <c r="X615" s="9">
        <v>0</v>
      </c>
      <c r="Y615" s="9">
        <v>1</v>
      </c>
      <c r="Z615" s="9">
        <v>0</v>
      </c>
      <c r="AA615" s="9">
        <v>0</v>
      </c>
      <c r="AB615" s="10">
        <f t="shared" si="46"/>
        <v>4</v>
      </c>
      <c r="AC615" s="10">
        <f t="shared" si="47"/>
        <v>20</v>
      </c>
      <c r="AD615" s="9">
        <v>0</v>
      </c>
      <c r="AE615" s="9">
        <v>0</v>
      </c>
      <c r="AF615" s="9">
        <v>0</v>
      </c>
      <c r="AG615" s="9">
        <v>0</v>
      </c>
      <c r="AH615" s="9">
        <v>1</v>
      </c>
      <c r="AI615" s="9">
        <v>0</v>
      </c>
      <c r="AJ615" s="9">
        <v>1</v>
      </c>
      <c r="AK615" s="9">
        <v>0</v>
      </c>
      <c r="AL615" s="9">
        <v>0</v>
      </c>
      <c r="AM615" s="9">
        <v>0</v>
      </c>
      <c r="AN615" s="9">
        <v>0</v>
      </c>
      <c r="AO615" s="9">
        <v>0</v>
      </c>
      <c r="AP615" s="9">
        <v>0</v>
      </c>
      <c r="AQ615" s="9">
        <v>0</v>
      </c>
      <c r="AR615" s="9">
        <v>0</v>
      </c>
      <c r="AS615" s="10">
        <f t="shared" si="48"/>
        <v>2</v>
      </c>
      <c r="AT615" s="10">
        <f t="shared" si="49"/>
        <v>13.333333333333334</v>
      </c>
      <c r="AU615" s="5" t="s">
        <v>605</v>
      </c>
    </row>
    <row r="616" spans="1:47" ht="15" customHeight="1" x14ac:dyDescent="0.3">
      <c r="A616" s="7" t="str">
        <f t="shared" si="45"/>
        <v>123_2025</v>
      </c>
      <c r="B616" s="7">
        <v>615</v>
      </c>
      <c r="C616" s="7">
        <f>'Panel Data (Long Format)'!B616</f>
        <v>123</v>
      </c>
      <c r="D616" s="7" t="str">
        <f>'Panel Data (Long Format)'!C616</f>
        <v>TOTAL</v>
      </c>
      <c r="E616" s="8" t="str">
        <f>'Panel Data (Long Format)'!D616</f>
        <v>TotalEnergies Marketing Nigeria Plc</v>
      </c>
      <c r="F616" s="7" t="str">
        <f>'Panel Data (Long Format)'!E616</f>
        <v>OIL AND GAS</v>
      </c>
      <c r="G616" s="7">
        <f>'Panel Data (Long Format)'!F616</f>
        <v>2025</v>
      </c>
      <c r="H616" s="9">
        <v>0</v>
      </c>
      <c r="I616" s="9">
        <v>0</v>
      </c>
      <c r="J616" s="9">
        <v>0</v>
      </c>
      <c r="K616" s="9">
        <v>0</v>
      </c>
      <c r="L616" s="9">
        <v>0</v>
      </c>
      <c r="M616" s="9">
        <v>0</v>
      </c>
      <c r="N616" s="9">
        <v>0</v>
      </c>
      <c r="O616" s="9">
        <v>0</v>
      </c>
      <c r="P616" s="9">
        <v>0</v>
      </c>
      <c r="Q616" s="9">
        <v>0</v>
      </c>
      <c r="R616" s="9">
        <v>0</v>
      </c>
      <c r="S616" s="9">
        <v>0</v>
      </c>
      <c r="T616" s="9">
        <v>0</v>
      </c>
      <c r="U616" s="9">
        <v>0</v>
      </c>
      <c r="V616" s="9">
        <v>0</v>
      </c>
      <c r="W616" s="9">
        <v>0</v>
      </c>
      <c r="X616" s="9">
        <v>0</v>
      </c>
      <c r="Y616" s="9">
        <v>0</v>
      </c>
      <c r="Z616" s="9">
        <v>0</v>
      </c>
      <c r="AA616" s="9">
        <v>0</v>
      </c>
      <c r="AB616" s="10">
        <f t="shared" si="46"/>
        <v>0</v>
      </c>
      <c r="AC616" s="10">
        <f t="shared" si="47"/>
        <v>0</v>
      </c>
      <c r="AD616" s="9">
        <v>0</v>
      </c>
      <c r="AE616" s="9">
        <v>0</v>
      </c>
      <c r="AF616" s="9">
        <v>0</v>
      </c>
      <c r="AG616" s="9">
        <v>0</v>
      </c>
      <c r="AH616" s="9">
        <v>0</v>
      </c>
      <c r="AI616" s="9">
        <v>0</v>
      </c>
      <c r="AJ616" s="9">
        <v>0</v>
      </c>
      <c r="AK616" s="9">
        <v>0</v>
      </c>
      <c r="AL616" s="9">
        <v>0</v>
      </c>
      <c r="AM616" s="9">
        <v>0</v>
      </c>
      <c r="AN616" s="9">
        <v>0</v>
      </c>
      <c r="AO616" s="9">
        <v>0</v>
      </c>
      <c r="AP616" s="9">
        <v>0</v>
      </c>
      <c r="AQ616" s="9">
        <v>0</v>
      </c>
      <c r="AR616" s="9">
        <v>0</v>
      </c>
      <c r="AS616" s="10">
        <f t="shared" si="48"/>
        <v>0</v>
      </c>
      <c r="AT616" s="10">
        <f t="shared" si="49"/>
        <v>0</v>
      </c>
      <c r="AU616" s="5" t="s">
        <v>606</v>
      </c>
    </row>
    <row r="617" spans="1:47" ht="15" customHeight="1" x14ac:dyDescent="0.3">
      <c r="A617" s="7" t="str">
        <f t="shared" si="45"/>
        <v>124_2021</v>
      </c>
      <c r="B617" s="7">
        <v>616</v>
      </c>
      <c r="C617" s="7">
        <f>'Panel Data (Long Format)'!B617</f>
        <v>124</v>
      </c>
      <c r="D617" s="7" t="str">
        <f>'Panel Data (Long Format)'!C617</f>
        <v>TRANSCOHOT</v>
      </c>
      <c r="E617" s="8" t="str">
        <f>'Panel Data (Long Format)'!D617</f>
        <v>Transcorp Hotels Plc</v>
      </c>
      <c r="F617" s="7" t="str">
        <f>'Panel Data (Long Format)'!E617</f>
        <v>SERVICES</v>
      </c>
      <c r="G617" s="7">
        <f>'Panel Data (Long Format)'!F617</f>
        <v>2021</v>
      </c>
      <c r="H617" s="9">
        <v>0</v>
      </c>
      <c r="I617" s="9">
        <v>0</v>
      </c>
      <c r="J617" s="9">
        <v>0</v>
      </c>
      <c r="K617" s="9">
        <v>0</v>
      </c>
      <c r="L617" s="9">
        <v>0</v>
      </c>
      <c r="M617" s="9">
        <v>0</v>
      </c>
      <c r="N617" s="9">
        <v>0</v>
      </c>
      <c r="O617" s="9">
        <v>0</v>
      </c>
      <c r="P617" s="9">
        <v>0</v>
      </c>
      <c r="Q617" s="9">
        <v>0</v>
      </c>
      <c r="R617" s="9">
        <v>0</v>
      </c>
      <c r="S617" s="9">
        <v>0</v>
      </c>
      <c r="T617" s="9">
        <v>0</v>
      </c>
      <c r="U617" s="9">
        <v>0</v>
      </c>
      <c r="V617" s="9">
        <v>0</v>
      </c>
      <c r="W617" s="9">
        <v>0</v>
      </c>
      <c r="X617" s="9">
        <v>0</v>
      </c>
      <c r="Y617" s="9">
        <v>0</v>
      </c>
      <c r="Z617" s="9">
        <v>0</v>
      </c>
      <c r="AA617" s="9">
        <v>0</v>
      </c>
      <c r="AB617" s="10">
        <f t="shared" si="46"/>
        <v>0</v>
      </c>
      <c r="AC617" s="10">
        <f t="shared" si="47"/>
        <v>0</v>
      </c>
      <c r="AD617" s="9">
        <v>0</v>
      </c>
      <c r="AE617" s="9">
        <v>0</v>
      </c>
      <c r="AF617" s="9">
        <v>0</v>
      </c>
      <c r="AG617" s="9">
        <v>0</v>
      </c>
      <c r="AH617" s="9">
        <v>0</v>
      </c>
      <c r="AI617" s="9">
        <v>0</v>
      </c>
      <c r="AJ617" s="9">
        <v>0</v>
      </c>
      <c r="AK617" s="9">
        <v>0</v>
      </c>
      <c r="AL617" s="9">
        <v>0</v>
      </c>
      <c r="AM617" s="9">
        <v>0</v>
      </c>
      <c r="AN617" s="9">
        <v>0</v>
      </c>
      <c r="AO617" s="9">
        <v>0</v>
      </c>
      <c r="AP617" s="9">
        <v>0</v>
      </c>
      <c r="AQ617" s="9">
        <v>0</v>
      </c>
      <c r="AR617" s="9">
        <v>0</v>
      </c>
      <c r="AS617" s="10">
        <f t="shared" si="48"/>
        <v>0</v>
      </c>
      <c r="AT617" s="10">
        <f t="shared" si="49"/>
        <v>0</v>
      </c>
      <c r="AU617" s="5" t="s">
        <v>607</v>
      </c>
    </row>
    <row r="618" spans="1:47" ht="15" customHeight="1" x14ac:dyDescent="0.3">
      <c r="A618" s="7" t="str">
        <f t="shared" si="45"/>
        <v>124_2022</v>
      </c>
      <c r="B618" s="7">
        <v>617</v>
      </c>
      <c r="C618" s="7">
        <f>'Panel Data (Long Format)'!B618</f>
        <v>124</v>
      </c>
      <c r="D618" s="7" t="str">
        <f>'Panel Data (Long Format)'!C618</f>
        <v>TRANSCOHOT</v>
      </c>
      <c r="E618" s="8" t="str">
        <f>'Panel Data (Long Format)'!D618</f>
        <v>Transcorp Hotels Plc</v>
      </c>
      <c r="F618" s="7" t="str">
        <f>'Panel Data (Long Format)'!E618</f>
        <v>SERVICES</v>
      </c>
      <c r="G618" s="7">
        <f>'Panel Data (Long Format)'!F618</f>
        <v>2022</v>
      </c>
      <c r="H618" s="9">
        <v>0</v>
      </c>
      <c r="I618" s="9">
        <v>0</v>
      </c>
      <c r="J618" s="9">
        <v>0</v>
      </c>
      <c r="K618" s="9">
        <v>0</v>
      </c>
      <c r="L618" s="9">
        <v>0</v>
      </c>
      <c r="M618" s="9">
        <v>0</v>
      </c>
      <c r="N618" s="9">
        <v>0</v>
      </c>
      <c r="O618" s="9">
        <v>0</v>
      </c>
      <c r="P618" s="9">
        <v>0</v>
      </c>
      <c r="Q618" s="9">
        <v>0</v>
      </c>
      <c r="R618" s="9">
        <v>0</v>
      </c>
      <c r="S618" s="9">
        <v>0</v>
      </c>
      <c r="T618" s="9">
        <v>0</v>
      </c>
      <c r="U618" s="9">
        <v>0</v>
      </c>
      <c r="V618" s="9">
        <v>0</v>
      </c>
      <c r="W618" s="9">
        <v>0</v>
      </c>
      <c r="X618" s="9">
        <v>0</v>
      </c>
      <c r="Y618" s="9">
        <v>0</v>
      </c>
      <c r="Z618" s="9">
        <v>0</v>
      </c>
      <c r="AA618" s="9">
        <v>0</v>
      </c>
      <c r="AB618" s="10">
        <f t="shared" si="46"/>
        <v>0</v>
      </c>
      <c r="AC618" s="10">
        <f t="shared" si="47"/>
        <v>0</v>
      </c>
      <c r="AD618" s="9">
        <v>0</v>
      </c>
      <c r="AE618" s="9">
        <v>0</v>
      </c>
      <c r="AF618" s="9">
        <v>0</v>
      </c>
      <c r="AG618" s="9">
        <v>0</v>
      </c>
      <c r="AH618" s="9">
        <v>0</v>
      </c>
      <c r="AI618" s="9">
        <v>0</v>
      </c>
      <c r="AJ618" s="9">
        <v>0</v>
      </c>
      <c r="AK618" s="9">
        <v>0</v>
      </c>
      <c r="AL618" s="9">
        <v>0</v>
      </c>
      <c r="AM618" s="9">
        <v>0</v>
      </c>
      <c r="AN618" s="9">
        <v>0</v>
      </c>
      <c r="AO618" s="9">
        <v>0</v>
      </c>
      <c r="AP618" s="9">
        <v>0</v>
      </c>
      <c r="AQ618" s="9">
        <v>0</v>
      </c>
      <c r="AR618" s="9">
        <v>0</v>
      </c>
      <c r="AS618" s="10">
        <f t="shared" si="48"/>
        <v>0</v>
      </c>
      <c r="AT618" s="10">
        <f t="shared" si="49"/>
        <v>0</v>
      </c>
      <c r="AU618" s="5" t="s">
        <v>608</v>
      </c>
    </row>
    <row r="619" spans="1:47" ht="15" customHeight="1" x14ac:dyDescent="0.3">
      <c r="A619" s="7" t="str">
        <f t="shared" si="45"/>
        <v>124_2023</v>
      </c>
      <c r="B619" s="7">
        <v>618</v>
      </c>
      <c r="C619" s="7">
        <f>'Panel Data (Long Format)'!B619</f>
        <v>124</v>
      </c>
      <c r="D619" s="7" t="str">
        <f>'Panel Data (Long Format)'!C619</f>
        <v>TRANSCOHOT</v>
      </c>
      <c r="E619" s="8" t="str">
        <f>'Panel Data (Long Format)'!D619</f>
        <v>Transcorp Hotels Plc</v>
      </c>
      <c r="F619" s="7" t="str">
        <f>'Panel Data (Long Format)'!E619</f>
        <v>SERVICES</v>
      </c>
      <c r="G619" s="7">
        <f>'Panel Data (Long Format)'!F619</f>
        <v>2023</v>
      </c>
      <c r="H619" s="9">
        <v>0</v>
      </c>
      <c r="I619" s="9">
        <v>0</v>
      </c>
      <c r="J619" s="9">
        <v>0</v>
      </c>
      <c r="K619" s="9">
        <v>0</v>
      </c>
      <c r="L619" s="9">
        <v>0</v>
      </c>
      <c r="M619" s="9">
        <v>0</v>
      </c>
      <c r="N619" s="9">
        <v>0</v>
      </c>
      <c r="O619" s="9">
        <v>0</v>
      </c>
      <c r="P619" s="9">
        <v>0</v>
      </c>
      <c r="Q619" s="9">
        <v>0</v>
      </c>
      <c r="R619" s="9">
        <v>0</v>
      </c>
      <c r="S619" s="9">
        <v>0</v>
      </c>
      <c r="T619" s="9">
        <v>0</v>
      </c>
      <c r="U619" s="9">
        <v>0</v>
      </c>
      <c r="V619" s="9">
        <v>0</v>
      </c>
      <c r="W619" s="9">
        <v>0</v>
      </c>
      <c r="X619" s="9">
        <v>0</v>
      </c>
      <c r="Y619" s="9">
        <v>0</v>
      </c>
      <c r="Z619" s="9">
        <v>0</v>
      </c>
      <c r="AA619" s="9">
        <v>0</v>
      </c>
      <c r="AB619" s="10">
        <f t="shared" si="46"/>
        <v>0</v>
      </c>
      <c r="AC619" s="10">
        <f t="shared" si="47"/>
        <v>0</v>
      </c>
      <c r="AD619" s="9">
        <v>0</v>
      </c>
      <c r="AE619" s="9">
        <v>0</v>
      </c>
      <c r="AF619" s="9">
        <v>0</v>
      </c>
      <c r="AG619" s="9">
        <v>0</v>
      </c>
      <c r="AH619" s="9">
        <v>0</v>
      </c>
      <c r="AI619" s="9">
        <v>0</v>
      </c>
      <c r="AJ619" s="9">
        <v>0</v>
      </c>
      <c r="AK619" s="9">
        <v>0</v>
      </c>
      <c r="AL619" s="9">
        <v>0</v>
      </c>
      <c r="AM619" s="9">
        <v>0</v>
      </c>
      <c r="AN619" s="9">
        <v>0</v>
      </c>
      <c r="AO619" s="9">
        <v>0</v>
      </c>
      <c r="AP619" s="9">
        <v>0</v>
      </c>
      <c r="AQ619" s="9">
        <v>0</v>
      </c>
      <c r="AR619" s="9">
        <v>0</v>
      </c>
      <c r="AS619" s="10">
        <f t="shared" si="48"/>
        <v>0</v>
      </c>
      <c r="AT619" s="10">
        <f t="shared" si="49"/>
        <v>0</v>
      </c>
      <c r="AU619" s="5" t="s">
        <v>609</v>
      </c>
    </row>
    <row r="620" spans="1:47" ht="15" customHeight="1" x14ac:dyDescent="0.3">
      <c r="A620" s="7" t="str">
        <f t="shared" si="45"/>
        <v>124_2024</v>
      </c>
      <c r="B620" s="7">
        <v>619</v>
      </c>
      <c r="C620" s="7">
        <f>'Panel Data (Long Format)'!B620</f>
        <v>124</v>
      </c>
      <c r="D620" s="7" t="str">
        <f>'Panel Data (Long Format)'!C620</f>
        <v>TRANSCOHOT</v>
      </c>
      <c r="E620" s="8" t="str">
        <f>'Panel Data (Long Format)'!D620</f>
        <v>Transcorp Hotels Plc</v>
      </c>
      <c r="F620" s="7" t="str">
        <f>'Panel Data (Long Format)'!E620</f>
        <v>SERVICES</v>
      </c>
      <c r="G620" s="7">
        <f>'Panel Data (Long Format)'!F620</f>
        <v>2024</v>
      </c>
      <c r="H620" s="9">
        <v>0</v>
      </c>
      <c r="I620" s="9">
        <v>0</v>
      </c>
      <c r="J620" s="9">
        <v>0</v>
      </c>
      <c r="K620" s="9">
        <v>0</v>
      </c>
      <c r="L620" s="9">
        <v>0</v>
      </c>
      <c r="M620" s="9">
        <v>1</v>
      </c>
      <c r="N620" s="9">
        <v>0</v>
      </c>
      <c r="O620" s="9">
        <v>0</v>
      </c>
      <c r="P620" s="9">
        <v>0</v>
      </c>
      <c r="Q620" s="9">
        <v>0</v>
      </c>
      <c r="R620" s="9">
        <v>0</v>
      </c>
      <c r="S620" s="9">
        <v>0</v>
      </c>
      <c r="T620" s="9">
        <v>0</v>
      </c>
      <c r="U620" s="9">
        <v>0</v>
      </c>
      <c r="V620" s="9">
        <v>0</v>
      </c>
      <c r="W620" s="9">
        <v>1</v>
      </c>
      <c r="X620" s="9">
        <v>0</v>
      </c>
      <c r="Y620" s="9">
        <v>0</v>
      </c>
      <c r="Z620" s="9">
        <v>0</v>
      </c>
      <c r="AA620" s="9">
        <v>0</v>
      </c>
      <c r="AB620" s="10">
        <f t="shared" si="46"/>
        <v>2</v>
      </c>
      <c r="AC620" s="10">
        <f t="shared" si="47"/>
        <v>10</v>
      </c>
      <c r="AD620" s="9">
        <v>0</v>
      </c>
      <c r="AE620" s="9">
        <v>0</v>
      </c>
      <c r="AF620" s="9">
        <v>0</v>
      </c>
      <c r="AG620" s="9">
        <v>0</v>
      </c>
      <c r="AH620" s="9">
        <v>1</v>
      </c>
      <c r="AI620" s="9">
        <v>0</v>
      </c>
      <c r="AJ620" s="9">
        <v>1</v>
      </c>
      <c r="AK620" s="9">
        <v>0</v>
      </c>
      <c r="AL620" s="9">
        <v>0</v>
      </c>
      <c r="AM620" s="9">
        <v>0</v>
      </c>
      <c r="AN620" s="9">
        <v>0</v>
      </c>
      <c r="AO620" s="9">
        <v>0</v>
      </c>
      <c r="AP620" s="9">
        <v>0</v>
      </c>
      <c r="AQ620" s="9">
        <v>0</v>
      </c>
      <c r="AR620" s="9">
        <v>0</v>
      </c>
      <c r="AS620" s="10">
        <f t="shared" si="48"/>
        <v>2</v>
      </c>
      <c r="AT620" s="10">
        <f t="shared" si="49"/>
        <v>13.333333333333334</v>
      </c>
      <c r="AU620" s="5" t="s">
        <v>610</v>
      </c>
    </row>
    <row r="621" spans="1:47" ht="15" customHeight="1" x14ac:dyDescent="0.3">
      <c r="A621" s="7" t="str">
        <f t="shared" si="45"/>
        <v>124_2025</v>
      </c>
      <c r="B621" s="7">
        <v>620</v>
      </c>
      <c r="C621" s="7">
        <f>'Panel Data (Long Format)'!B621</f>
        <v>124</v>
      </c>
      <c r="D621" s="7" t="str">
        <f>'Panel Data (Long Format)'!C621</f>
        <v>TRANSCOHOT</v>
      </c>
      <c r="E621" s="8" t="str">
        <f>'Panel Data (Long Format)'!D621</f>
        <v>Transcorp Hotels Plc</v>
      </c>
      <c r="F621" s="7" t="str">
        <f>'Panel Data (Long Format)'!E621</f>
        <v>SERVICES</v>
      </c>
      <c r="G621" s="7">
        <f>'Panel Data (Long Format)'!F621</f>
        <v>2025</v>
      </c>
      <c r="H621" s="9">
        <v>0</v>
      </c>
      <c r="I621" s="9">
        <v>0</v>
      </c>
      <c r="J621" s="9">
        <v>0</v>
      </c>
      <c r="K621" s="9">
        <v>0</v>
      </c>
      <c r="L621" s="9">
        <v>0</v>
      </c>
      <c r="M621" s="9">
        <v>0</v>
      </c>
      <c r="N621" s="9">
        <v>0</v>
      </c>
      <c r="O621" s="9">
        <v>0</v>
      </c>
      <c r="P621" s="9">
        <v>0</v>
      </c>
      <c r="Q621" s="9">
        <v>0</v>
      </c>
      <c r="R621" s="9">
        <v>0</v>
      </c>
      <c r="S621" s="9">
        <v>0</v>
      </c>
      <c r="T621" s="9">
        <v>0</v>
      </c>
      <c r="U621" s="9">
        <v>0</v>
      </c>
      <c r="V621" s="9">
        <v>0</v>
      </c>
      <c r="W621" s="9">
        <v>0</v>
      </c>
      <c r="X621" s="9">
        <v>0</v>
      </c>
      <c r="Y621" s="9">
        <v>0</v>
      </c>
      <c r="Z621" s="9">
        <v>0</v>
      </c>
      <c r="AA621" s="9">
        <v>0</v>
      </c>
      <c r="AB621" s="10">
        <f t="shared" si="46"/>
        <v>0</v>
      </c>
      <c r="AC621" s="10">
        <f t="shared" si="47"/>
        <v>0</v>
      </c>
      <c r="AD621" s="9">
        <v>0</v>
      </c>
      <c r="AE621" s="9">
        <v>0</v>
      </c>
      <c r="AF621" s="9">
        <v>0</v>
      </c>
      <c r="AG621" s="9">
        <v>0</v>
      </c>
      <c r="AH621" s="9">
        <v>0</v>
      </c>
      <c r="AI621" s="9">
        <v>0</v>
      </c>
      <c r="AJ621" s="9">
        <v>0</v>
      </c>
      <c r="AK621" s="9">
        <v>0</v>
      </c>
      <c r="AL621" s="9">
        <v>0</v>
      </c>
      <c r="AM621" s="9">
        <v>0</v>
      </c>
      <c r="AN621" s="9">
        <v>0</v>
      </c>
      <c r="AO621" s="9">
        <v>0</v>
      </c>
      <c r="AP621" s="9">
        <v>0</v>
      </c>
      <c r="AQ621" s="9">
        <v>0</v>
      </c>
      <c r="AR621" s="9">
        <v>0</v>
      </c>
      <c r="AS621" s="10">
        <f t="shared" si="48"/>
        <v>0</v>
      </c>
      <c r="AT621" s="10">
        <f t="shared" si="49"/>
        <v>0</v>
      </c>
      <c r="AU621" s="5" t="s">
        <v>611</v>
      </c>
    </row>
    <row r="622" spans="1:47" ht="15" customHeight="1" x14ac:dyDescent="0.3">
      <c r="A622" s="7" t="str">
        <f t="shared" si="45"/>
        <v>125_2021</v>
      </c>
      <c r="B622" s="7">
        <v>621</v>
      </c>
      <c r="C622" s="7">
        <f>'Panel Data (Long Format)'!B622</f>
        <v>125</v>
      </c>
      <c r="D622" s="7" t="str">
        <f>'Panel Data (Long Format)'!C622</f>
        <v>TRANSCORP</v>
      </c>
      <c r="E622" s="8" t="str">
        <f>'Panel Data (Long Format)'!D622</f>
        <v>Transnational Corporation of Nigeria Plc</v>
      </c>
      <c r="F622" s="7" t="str">
        <f>'Panel Data (Long Format)'!E622</f>
        <v>CONGLOMERATES</v>
      </c>
      <c r="G622" s="7">
        <f>'Panel Data (Long Format)'!F622</f>
        <v>2021</v>
      </c>
      <c r="H622" s="9">
        <v>0</v>
      </c>
      <c r="I622" s="9">
        <v>0</v>
      </c>
      <c r="J622" s="9">
        <v>0</v>
      </c>
      <c r="K622" s="9">
        <v>0</v>
      </c>
      <c r="L622" s="9">
        <v>0</v>
      </c>
      <c r="M622" s="9">
        <v>0</v>
      </c>
      <c r="N622" s="9">
        <v>0</v>
      </c>
      <c r="O622" s="9">
        <v>0</v>
      </c>
      <c r="P622" s="9">
        <v>0</v>
      </c>
      <c r="Q622" s="9">
        <v>0</v>
      </c>
      <c r="R622" s="9">
        <v>0</v>
      </c>
      <c r="S622" s="9">
        <v>0</v>
      </c>
      <c r="T622" s="9">
        <v>0</v>
      </c>
      <c r="U622" s="9">
        <v>0</v>
      </c>
      <c r="V622" s="9">
        <v>0</v>
      </c>
      <c r="W622" s="9">
        <v>0</v>
      </c>
      <c r="X622" s="9">
        <v>0</v>
      </c>
      <c r="Y622" s="9">
        <v>0</v>
      </c>
      <c r="Z622" s="9">
        <v>0</v>
      </c>
      <c r="AA622" s="9">
        <v>0</v>
      </c>
      <c r="AB622" s="10">
        <f t="shared" si="46"/>
        <v>0</v>
      </c>
      <c r="AC622" s="10">
        <f t="shared" si="47"/>
        <v>0</v>
      </c>
      <c r="AD622" s="9">
        <v>0</v>
      </c>
      <c r="AE622" s="9">
        <v>0</v>
      </c>
      <c r="AF622" s="9">
        <v>0</v>
      </c>
      <c r="AG622" s="9">
        <v>0</v>
      </c>
      <c r="AH622" s="9">
        <v>0</v>
      </c>
      <c r="AI622" s="9">
        <v>0</v>
      </c>
      <c r="AJ622" s="9">
        <v>0</v>
      </c>
      <c r="AK622" s="9">
        <v>0</v>
      </c>
      <c r="AL622" s="9">
        <v>0</v>
      </c>
      <c r="AM622" s="9">
        <v>0</v>
      </c>
      <c r="AN622" s="9">
        <v>0</v>
      </c>
      <c r="AO622" s="9">
        <v>0</v>
      </c>
      <c r="AP622" s="9">
        <v>0</v>
      </c>
      <c r="AQ622" s="9">
        <v>0</v>
      </c>
      <c r="AR622" s="9">
        <v>0</v>
      </c>
      <c r="AS622" s="10">
        <f t="shared" si="48"/>
        <v>0</v>
      </c>
      <c r="AT622" s="10">
        <f t="shared" si="49"/>
        <v>0</v>
      </c>
      <c r="AU622" s="5" t="s">
        <v>612</v>
      </c>
    </row>
    <row r="623" spans="1:47" ht="15" customHeight="1" x14ac:dyDescent="0.3">
      <c r="A623" s="7" t="str">
        <f t="shared" si="45"/>
        <v>125_2022</v>
      </c>
      <c r="B623" s="7">
        <v>622</v>
      </c>
      <c r="C623" s="7">
        <f>'Panel Data (Long Format)'!B623</f>
        <v>125</v>
      </c>
      <c r="D623" s="7" t="str">
        <f>'Panel Data (Long Format)'!C623</f>
        <v>TRANSCORP</v>
      </c>
      <c r="E623" s="8" t="str">
        <f>'Panel Data (Long Format)'!D623</f>
        <v>Transnational Corporation of Nigeria Plc</v>
      </c>
      <c r="F623" s="7" t="str">
        <f>'Panel Data (Long Format)'!E623</f>
        <v>CONGLOMERATES</v>
      </c>
      <c r="G623" s="7">
        <f>'Panel Data (Long Format)'!F623</f>
        <v>2022</v>
      </c>
      <c r="H623" s="9">
        <v>0</v>
      </c>
      <c r="I623" s="9">
        <v>0</v>
      </c>
      <c r="J623" s="9">
        <v>0</v>
      </c>
      <c r="K623" s="9">
        <v>0</v>
      </c>
      <c r="L623" s="9">
        <v>0</v>
      </c>
      <c r="M623" s="9">
        <v>0</v>
      </c>
      <c r="N623" s="9">
        <v>0</v>
      </c>
      <c r="O623" s="9">
        <v>0</v>
      </c>
      <c r="P623" s="9">
        <v>0</v>
      </c>
      <c r="Q623" s="9">
        <v>0</v>
      </c>
      <c r="R623" s="9">
        <v>0</v>
      </c>
      <c r="S623" s="9">
        <v>0</v>
      </c>
      <c r="T623" s="9">
        <v>0</v>
      </c>
      <c r="U623" s="9">
        <v>0</v>
      </c>
      <c r="V623" s="9">
        <v>0</v>
      </c>
      <c r="W623" s="9">
        <v>0</v>
      </c>
      <c r="X623" s="9">
        <v>0</v>
      </c>
      <c r="Y623" s="9">
        <v>0</v>
      </c>
      <c r="Z623" s="9">
        <v>0</v>
      </c>
      <c r="AA623" s="9">
        <v>0</v>
      </c>
      <c r="AB623" s="10">
        <f t="shared" si="46"/>
        <v>0</v>
      </c>
      <c r="AC623" s="10">
        <f t="shared" si="47"/>
        <v>0</v>
      </c>
      <c r="AD623" s="9">
        <v>0</v>
      </c>
      <c r="AE623" s="9">
        <v>0</v>
      </c>
      <c r="AF623" s="9">
        <v>0</v>
      </c>
      <c r="AG623" s="9">
        <v>0</v>
      </c>
      <c r="AH623" s="9">
        <v>0</v>
      </c>
      <c r="AI623" s="9">
        <v>0</v>
      </c>
      <c r="AJ623" s="9">
        <v>0</v>
      </c>
      <c r="AK623" s="9">
        <v>0</v>
      </c>
      <c r="AL623" s="9">
        <v>0</v>
      </c>
      <c r="AM623" s="9">
        <v>0</v>
      </c>
      <c r="AN623" s="9">
        <v>0</v>
      </c>
      <c r="AO623" s="9">
        <v>0</v>
      </c>
      <c r="AP623" s="9">
        <v>0</v>
      </c>
      <c r="AQ623" s="9">
        <v>0</v>
      </c>
      <c r="AR623" s="9">
        <v>0</v>
      </c>
      <c r="AS623" s="10">
        <f t="shared" si="48"/>
        <v>0</v>
      </c>
      <c r="AT623" s="10">
        <f t="shared" si="49"/>
        <v>0</v>
      </c>
      <c r="AU623" s="5" t="s">
        <v>613</v>
      </c>
    </row>
    <row r="624" spans="1:47" ht="15" customHeight="1" x14ac:dyDescent="0.3">
      <c r="A624" s="7" t="str">
        <f t="shared" si="45"/>
        <v>125_2023</v>
      </c>
      <c r="B624" s="7">
        <v>623</v>
      </c>
      <c r="C624" s="7">
        <f>'Panel Data (Long Format)'!B624</f>
        <v>125</v>
      </c>
      <c r="D624" s="7" t="str">
        <f>'Panel Data (Long Format)'!C624</f>
        <v>TRANSCORP</v>
      </c>
      <c r="E624" s="8" t="str">
        <f>'Panel Data (Long Format)'!D624</f>
        <v>Transnational Corporation of Nigeria Plc</v>
      </c>
      <c r="F624" s="7" t="str">
        <f>'Panel Data (Long Format)'!E624</f>
        <v>CONGLOMERATES</v>
      </c>
      <c r="G624" s="7">
        <f>'Panel Data (Long Format)'!F624</f>
        <v>2023</v>
      </c>
      <c r="H624" s="9">
        <v>0</v>
      </c>
      <c r="I624" s="9">
        <v>0</v>
      </c>
      <c r="J624" s="9">
        <v>0</v>
      </c>
      <c r="K624" s="9">
        <v>0</v>
      </c>
      <c r="L624" s="9">
        <v>0</v>
      </c>
      <c r="M624" s="9">
        <v>1</v>
      </c>
      <c r="N624" s="9">
        <v>0</v>
      </c>
      <c r="O624" s="9">
        <v>0</v>
      </c>
      <c r="P624" s="9">
        <v>0</v>
      </c>
      <c r="Q624" s="9">
        <v>0</v>
      </c>
      <c r="R624" s="9">
        <v>0</v>
      </c>
      <c r="S624" s="9">
        <v>0</v>
      </c>
      <c r="T624" s="9">
        <v>0</v>
      </c>
      <c r="U624" s="9">
        <v>0</v>
      </c>
      <c r="V624" s="9">
        <v>0</v>
      </c>
      <c r="W624" s="9">
        <v>1</v>
      </c>
      <c r="X624" s="9">
        <v>0</v>
      </c>
      <c r="Y624" s="9">
        <v>0</v>
      </c>
      <c r="Z624" s="9">
        <v>0</v>
      </c>
      <c r="AA624" s="9">
        <v>0</v>
      </c>
      <c r="AB624" s="10">
        <f t="shared" si="46"/>
        <v>2</v>
      </c>
      <c r="AC624" s="10">
        <f t="shared" si="47"/>
        <v>10</v>
      </c>
      <c r="AD624" s="9">
        <v>0</v>
      </c>
      <c r="AE624" s="9">
        <v>0</v>
      </c>
      <c r="AF624" s="9">
        <v>0</v>
      </c>
      <c r="AG624" s="9">
        <v>0</v>
      </c>
      <c r="AH624" s="9">
        <v>0</v>
      </c>
      <c r="AI624" s="9">
        <v>0</v>
      </c>
      <c r="AJ624" s="9">
        <v>0</v>
      </c>
      <c r="AK624" s="9">
        <v>0</v>
      </c>
      <c r="AL624" s="9">
        <v>0</v>
      </c>
      <c r="AM624" s="9">
        <v>0</v>
      </c>
      <c r="AN624" s="9">
        <v>0</v>
      </c>
      <c r="AO624" s="9">
        <v>0</v>
      </c>
      <c r="AP624" s="9">
        <v>0</v>
      </c>
      <c r="AQ624" s="9">
        <v>0</v>
      </c>
      <c r="AR624" s="9">
        <v>0</v>
      </c>
      <c r="AS624" s="10">
        <f t="shared" si="48"/>
        <v>0</v>
      </c>
      <c r="AT624" s="10">
        <f t="shared" si="49"/>
        <v>0</v>
      </c>
      <c r="AU624" s="5" t="s">
        <v>614</v>
      </c>
    </row>
    <row r="625" spans="1:47" ht="15" customHeight="1" x14ac:dyDescent="0.3">
      <c r="A625" s="7" t="str">
        <f t="shared" si="45"/>
        <v>125_2024</v>
      </c>
      <c r="B625" s="7">
        <v>624</v>
      </c>
      <c r="C625" s="7">
        <f>'Panel Data (Long Format)'!B625</f>
        <v>125</v>
      </c>
      <c r="D625" s="7" t="str">
        <f>'Panel Data (Long Format)'!C625</f>
        <v>TRANSCORP</v>
      </c>
      <c r="E625" s="8" t="str">
        <f>'Panel Data (Long Format)'!D625</f>
        <v>Transnational Corporation of Nigeria Plc</v>
      </c>
      <c r="F625" s="7" t="str">
        <f>'Panel Data (Long Format)'!E625</f>
        <v>CONGLOMERATES</v>
      </c>
      <c r="G625" s="7">
        <f>'Panel Data (Long Format)'!F625</f>
        <v>2024</v>
      </c>
      <c r="H625" s="9">
        <v>0</v>
      </c>
      <c r="I625" s="9">
        <v>0</v>
      </c>
      <c r="J625" s="9">
        <v>0</v>
      </c>
      <c r="K625" s="9">
        <v>0</v>
      </c>
      <c r="L625" s="9">
        <v>0</v>
      </c>
      <c r="M625" s="9">
        <v>1</v>
      </c>
      <c r="N625" s="9">
        <v>0</v>
      </c>
      <c r="O625" s="9">
        <v>0</v>
      </c>
      <c r="P625" s="9">
        <v>0</v>
      </c>
      <c r="Q625" s="9">
        <v>0</v>
      </c>
      <c r="R625" s="9">
        <v>0</v>
      </c>
      <c r="S625" s="9">
        <v>0</v>
      </c>
      <c r="T625" s="9">
        <v>0</v>
      </c>
      <c r="U625" s="9">
        <v>0</v>
      </c>
      <c r="V625" s="9">
        <v>0</v>
      </c>
      <c r="W625" s="9">
        <v>1</v>
      </c>
      <c r="X625" s="9">
        <v>0</v>
      </c>
      <c r="Y625" s="9">
        <v>0</v>
      </c>
      <c r="Z625" s="9">
        <v>0</v>
      </c>
      <c r="AA625" s="9">
        <v>0</v>
      </c>
      <c r="AB625" s="10">
        <f t="shared" si="46"/>
        <v>2</v>
      </c>
      <c r="AC625" s="10">
        <f t="shared" si="47"/>
        <v>10</v>
      </c>
      <c r="AD625" s="9">
        <v>0</v>
      </c>
      <c r="AE625" s="9">
        <v>0</v>
      </c>
      <c r="AF625" s="9">
        <v>0</v>
      </c>
      <c r="AG625" s="9">
        <v>0</v>
      </c>
      <c r="AH625" s="9">
        <v>0</v>
      </c>
      <c r="AI625" s="9">
        <v>0</v>
      </c>
      <c r="AJ625" s="9">
        <v>0</v>
      </c>
      <c r="AK625" s="9">
        <v>0</v>
      </c>
      <c r="AL625" s="9">
        <v>0</v>
      </c>
      <c r="AM625" s="9">
        <v>0</v>
      </c>
      <c r="AN625" s="9">
        <v>0</v>
      </c>
      <c r="AO625" s="9">
        <v>0</v>
      </c>
      <c r="AP625" s="9">
        <v>0</v>
      </c>
      <c r="AQ625" s="9">
        <v>0</v>
      </c>
      <c r="AR625" s="9">
        <v>0</v>
      </c>
      <c r="AS625" s="10">
        <f t="shared" si="48"/>
        <v>0</v>
      </c>
      <c r="AT625" s="10">
        <f t="shared" si="49"/>
        <v>0</v>
      </c>
      <c r="AU625" s="5" t="s">
        <v>614</v>
      </c>
    </row>
    <row r="626" spans="1:47" ht="15" customHeight="1" x14ac:dyDescent="0.3">
      <c r="A626" s="7" t="str">
        <f t="shared" si="45"/>
        <v>125_2025</v>
      </c>
      <c r="B626" s="7">
        <v>625</v>
      </c>
      <c r="C626" s="7">
        <f>'Panel Data (Long Format)'!B626</f>
        <v>125</v>
      </c>
      <c r="D626" s="7" t="str">
        <f>'Panel Data (Long Format)'!C626</f>
        <v>TRANSCORP</v>
      </c>
      <c r="E626" s="8" t="str">
        <f>'Panel Data (Long Format)'!D626</f>
        <v>Transnational Corporation of Nigeria Plc</v>
      </c>
      <c r="F626" s="7" t="str">
        <f>'Panel Data (Long Format)'!E626</f>
        <v>CONGLOMERATES</v>
      </c>
      <c r="G626" s="7">
        <f>'Panel Data (Long Format)'!F626</f>
        <v>2025</v>
      </c>
      <c r="H626" s="9">
        <v>0</v>
      </c>
      <c r="I626" s="9">
        <v>0</v>
      </c>
      <c r="J626" s="9">
        <v>0</v>
      </c>
      <c r="K626" s="9">
        <v>0</v>
      </c>
      <c r="L626" s="9">
        <v>0</v>
      </c>
      <c r="M626" s="9">
        <v>0</v>
      </c>
      <c r="N626" s="9">
        <v>0</v>
      </c>
      <c r="O626" s="9">
        <v>0</v>
      </c>
      <c r="P626" s="9">
        <v>0</v>
      </c>
      <c r="Q626" s="9">
        <v>0</v>
      </c>
      <c r="R626" s="9">
        <v>0</v>
      </c>
      <c r="S626" s="9">
        <v>0</v>
      </c>
      <c r="T626" s="9">
        <v>0</v>
      </c>
      <c r="U626" s="9">
        <v>0</v>
      </c>
      <c r="V626" s="9">
        <v>0</v>
      </c>
      <c r="W626" s="9">
        <v>0</v>
      </c>
      <c r="X626" s="9">
        <v>0</v>
      </c>
      <c r="Y626" s="9">
        <v>0</v>
      </c>
      <c r="Z626" s="9">
        <v>0</v>
      </c>
      <c r="AA626" s="9">
        <v>0</v>
      </c>
      <c r="AB626" s="10">
        <f t="shared" si="46"/>
        <v>0</v>
      </c>
      <c r="AC626" s="10">
        <f t="shared" si="47"/>
        <v>0</v>
      </c>
      <c r="AD626" s="9">
        <v>0</v>
      </c>
      <c r="AE626" s="9">
        <v>0</v>
      </c>
      <c r="AF626" s="9">
        <v>0</v>
      </c>
      <c r="AG626" s="9">
        <v>0</v>
      </c>
      <c r="AH626" s="9">
        <v>0</v>
      </c>
      <c r="AI626" s="9">
        <v>0</v>
      </c>
      <c r="AJ626" s="9">
        <v>0</v>
      </c>
      <c r="AK626" s="9">
        <v>0</v>
      </c>
      <c r="AL626" s="9">
        <v>0</v>
      </c>
      <c r="AM626" s="9">
        <v>0</v>
      </c>
      <c r="AN626" s="9">
        <v>0</v>
      </c>
      <c r="AO626" s="9">
        <v>0</v>
      </c>
      <c r="AP626" s="9">
        <v>0</v>
      </c>
      <c r="AQ626" s="9">
        <v>0</v>
      </c>
      <c r="AR626" s="9">
        <v>0</v>
      </c>
      <c r="AS626" s="10">
        <f t="shared" si="48"/>
        <v>0</v>
      </c>
      <c r="AT626" s="10">
        <f t="shared" si="49"/>
        <v>0</v>
      </c>
      <c r="AU626" s="5" t="s">
        <v>615</v>
      </c>
    </row>
    <row r="627" spans="1:47" ht="15" customHeight="1" x14ac:dyDescent="0.3">
      <c r="A627" s="7" t="str">
        <f t="shared" si="45"/>
        <v>126_2021</v>
      </c>
      <c r="B627" s="7">
        <v>626</v>
      </c>
      <c r="C627" s="7">
        <f>'Panel Data (Long Format)'!B627</f>
        <v>126</v>
      </c>
      <c r="D627" s="7" t="str">
        <f>'Panel Data (Long Format)'!C627</f>
        <v>TRANSEXPR</v>
      </c>
      <c r="E627" s="8" t="str">
        <f>'Panel Data (Long Format)'!D627</f>
        <v>Trans-Nationwide Express Plc</v>
      </c>
      <c r="F627" s="7" t="str">
        <f>'Panel Data (Long Format)'!E627</f>
        <v>SERVICES</v>
      </c>
      <c r="G627" s="7">
        <f>'Panel Data (Long Format)'!F627</f>
        <v>2021</v>
      </c>
      <c r="H627" s="9">
        <v>0</v>
      </c>
      <c r="I627" s="9">
        <v>0</v>
      </c>
      <c r="J627" s="9">
        <v>0</v>
      </c>
      <c r="K627" s="9">
        <v>0</v>
      </c>
      <c r="L627" s="9">
        <v>0</v>
      </c>
      <c r="M627" s="9">
        <v>0</v>
      </c>
      <c r="N627" s="9">
        <v>0</v>
      </c>
      <c r="O627" s="9">
        <v>0</v>
      </c>
      <c r="P627" s="9">
        <v>0</v>
      </c>
      <c r="Q627" s="9">
        <v>0</v>
      </c>
      <c r="R627" s="9">
        <v>0</v>
      </c>
      <c r="S627" s="9">
        <v>0</v>
      </c>
      <c r="T627" s="9">
        <v>0</v>
      </c>
      <c r="U627" s="9">
        <v>0</v>
      </c>
      <c r="V627" s="9">
        <v>0</v>
      </c>
      <c r="W627" s="9">
        <v>0</v>
      </c>
      <c r="X627" s="9">
        <v>0</v>
      </c>
      <c r="Y627" s="9">
        <v>0</v>
      </c>
      <c r="Z627" s="9">
        <v>0</v>
      </c>
      <c r="AA627" s="9">
        <v>0</v>
      </c>
      <c r="AB627" s="10">
        <f t="shared" si="46"/>
        <v>0</v>
      </c>
      <c r="AC627" s="10">
        <f t="shared" si="47"/>
        <v>0</v>
      </c>
      <c r="AD627" s="9">
        <v>0</v>
      </c>
      <c r="AE627" s="9">
        <v>0</v>
      </c>
      <c r="AF627" s="9">
        <v>0</v>
      </c>
      <c r="AG627" s="9">
        <v>0</v>
      </c>
      <c r="AH627" s="9">
        <v>0</v>
      </c>
      <c r="AI627" s="9">
        <v>0</v>
      </c>
      <c r="AJ627" s="9">
        <v>0</v>
      </c>
      <c r="AK627" s="9">
        <v>0</v>
      </c>
      <c r="AL627" s="9">
        <v>0</v>
      </c>
      <c r="AM627" s="9">
        <v>0</v>
      </c>
      <c r="AN627" s="9">
        <v>0</v>
      </c>
      <c r="AO627" s="9">
        <v>0</v>
      </c>
      <c r="AP627" s="9">
        <v>0</v>
      </c>
      <c r="AQ627" s="9">
        <v>0</v>
      </c>
      <c r="AR627" s="9">
        <v>0</v>
      </c>
      <c r="AS627" s="10">
        <f t="shared" si="48"/>
        <v>0</v>
      </c>
      <c r="AT627" s="10">
        <f t="shared" si="49"/>
        <v>0</v>
      </c>
      <c r="AU627" s="5" t="s">
        <v>616</v>
      </c>
    </row>
    <row r="628" spans="1:47" ht="15" customHeight="1" x14ac:dyDescent="0.3">
      <c r="A628" s="7" t="str">
        <f t="shared" si="45"/>
        <v>126_2022</v>
      </c>
      <c r="B628" s="7">
        <v>627</v>
      </c>
      <c r="C628" s="7">
        <f>'Panel Data (Long Format)'!B628</f>
        <v>126</v>
      </c>
      <c r="D628" s="7" t="str">
        <f>'Panel Data (Long Format)'!C628</f>
        <v>TRANSEXPR</v>
      </c>
      <c r="E628" s="8" t="str">
        <f>'Panel Data (Long Format)'!D628</f>
        <v>Trans-Nationwide Express Plc</v>
      </c>
      <c r="F628" s="7" t="str">
        <f>'Panel Data (Long Format)'!E628</f>
        <v>SERVICES</v>
      </c>
      <c r="G628" s="7">
        <f>'Panel Data (Long Format)'!F628</f>
        <v>2022</v>
      </c>
      <c r="H628" s="9">
        <v>0</v>
      </c>
      <c r="I628" s="9">
        <v>0</v>
      </c>
      <c r="J628" s="9">
        <v>0</v>
      </c>
      <c r="K628" s="9">
        <v>0</v>
      </c>
      <c r="L628" s="9">
        <v>0</v>
      </c>
      <c r="M628" s="9">
        <v>0</v>
      </c>
      <c r="N628" s="9">
        <v>0</v>
      </c>
      <c r="O628" s="9">
        <v>0</v>
      </c>
      <c r="P628" s="9">
        <v>0</v>
      </c>
      <c r="Q628" s="9">
        <v>0</v>
      </c>
      <c r="R628" s="9">
        <v>0</v>
      </c>
      <c r="S628" s="9">
        <v>0</v>
      </c>
      <c r="T628" s="9">
        <v>0</v>
      </c>
      <c r="U628" s="9">
        <v>0</v>
      </c>
      <c r="V628" s="9">
        <v>0</v>
      </c>
      <c r="W628" s="9">
        <v>0</v>
      </c>
      <c r="X628" s="9">
        <v>0</v>
      </c>
      <c r="Y628" s="9">
        <v>0</v>
      </c>
      <c r="Z628" s="9">
        <v>0</v>
      </c>
      <c r="AA628" s="9">
        <v>0</v>
      </c>
      <c r="AB628" s="10">
        <f t="shared" si="46"/>
        <v>0</v>
      </c>
      <c r="AC628" s="10">
        <f t="shared" si="47"/>
        <v>0</v>
      </c>
      <c r="AD628" s="9">
        <v>0</v>
      </c>
      <c r="AE628" s="9">
        <v>0</v>
      </c>
      <c r="AF628" s="9">
        <v>0</v>
      </c>
      <c r="AG628" s="9">
        <v>0</v>
      </c>
      <c r="AH628" s="9">
        <v>0</v>
      </c>
      <c r="AI628" s="9">
        <v>0</v>
      </c>
      <c r="AJ628" s="9">
        <v>0</v>
      </c>
      <c r="AK628" s="9">
        <v>0</v>
      </c>
      <c r="AL628" s="9">
        <v>0</v>
      </c>
      <c r="AM628" s="9">
        <v>0</v>
      </c>
      <c r="AN628" s="9">
        <v>0</v>
      </c>
      <c r="AO628" s="9">
        <v>0</v>
      </c>
      <c r="AP628" s="9">
        <v>0</v>
      </c>
      <c r="AQ628" s="9">
        <v>0</v>
      </c>
      <c r="AR628" s="9">
        <v>0</v>
      </c>
      <c r="AS628" s="10">
        <f t="shared" si="48"/>
        <v>0</v>
      </c>
      <c r="AT628" s="10">
        <f t="shared" si="49"/>
        <v>0</v>
      </c>
      <c r="AU628" s="5" t="s">
        <v>617</v>
      </c>
    </row>
    <row r="629" spans="1:47" ht="15" customHeight="1" x14ac:dyDescent="0.3">
      <c r="A629" s="7" t="str">
        <f t="shared" si="45"/>
        <v>126_2023</v>
      </c>
      <c r="B629" s="7">
        <v>628</v>
      </c>
      <c r="C629" s="7">
        <f>'Panel Data (Long Format)'!B629</f>
        <v>126</v>
      </c>
      <c r="D629" s="7" t="str">
        <f>'Panel Data (Long Format)'!C629</f>
        <v>TRANSEXPR</v>
      </c>
      <c r="E629" s="8" t="str">
        <f>'Panel Data (Long Format)'!D629</f>
        <v>Trans-Nationwide Express Plc</v>
      </c>
      <c r="F629" s="7" t="str">
        <f>'Panel Data (Long Format)'!E629</f>
        <v>SERVICES</v>
      </c>
      <c r="G629" s="7">
        <f>'Panel Data (Long Format)'!F629</f>
        <v>2023</v>
      </c>
      <c r="H629" s="9">
        <v>0</v>
      </c>
      <c r="I629" s="9">
        <v>0</v>
      </c>
      <c r="J629" s="9">
        <v>0</v>
      </c>
      <c r="K629" s="9">
        <v>0</v>
      </c>
      <c r="L629" s="9">
        <v>0</v>
      </c>
      <c r="M629" s="9">
        <v>0</v>
      </c>
      <c r="N629" s="9">
        <v>0</v>
      </c>
      <c r="O629" s="9">
        <v>0</v>
      </c>
      <c r="P629" s="9">
        <v>0</v>
      </c>
      <c r="Q629" s="9">
        <v>0</v>
      </c>
      <c r="R629" s="9">
        <v>0</v>
      </c>
      <c r="S629" s="9">
        <v>0</v>
      </c>
      <c r="T629" s="9">
        <v>0</v>
      </c>
      <c r="U629" s="9">
        <v>0</v>
      </c>
      <c r="V629" s="9">
        <v>0</v>
      </c>
      <c r="W629" s="9">
        <v>1</v>
      </c>
      <c r="X629" s="9">
        <v>0</v>
      </c>
      <c r="Y629" s="9">
        <v>0</v>
      </c>
      <c r="Z629" s="9">
        <v>0</v>
      </c>
      <c r="AA629" s="9">
        <v>0</v>
      </c>
      <c r="AB629" s="10">
        <f t="shared" si="46"/>
        <v>1</v>
      </c>
      <c r="AC629" s="10">
        <f t="shared" si="47"/>
        <v>5</v>
      </c>
      <c r="AD629" s="9">
        <v>0</v>
      </c>
      <c r="AE629" s="9">
        <v>0</v>
      </c>
      <c r="AF629" s="9">
        <v>0</v>
      </c>
      <c r="AG629" s="9">
        <v>0</v>
      </c>
      <c r="AH629" s="9">
        <v>0</v>
      </c>
      <c r="AI629" s="9">
        <v>0</v>
      </c>
      <c r="AJ629" s="9">
        <v>0</v>
      </c>
      <c r="AK629" s="9">
        <v>0</v>
      </c>
      <c r="AL629" s="9">
        <v>0</v>
      </c>
      <c r="AM629" s="9">
        <v>0</v>
      </c>
      <c r="AN629" s="9">
        <v>0</v>
      </c>
      <c r="AO629" s="9">
        <v>0</v>
      </c>
      <c r="AP629" s="9">
        <v>0</v>
      </c>
      <c r="AQ629" s="9">
        <v>0</v>
      </c>
      <c r="AR629" s="9">
        <v>0</v>
      </c>
      <c r="AS629" s="10">
        <f t="shared" si="48"/>
        <v>0</v>
      </c>
      <c r="AT629" s="10">
        <f t="shared" si="49"/>
        <v>0</v>
      </c>
      <c r="AU629" s="5" t="s">
        <v>618</v>
      </c>
    </row>
    <row r="630" spans="1:47" ht="15" customHeight="1" x14ac:dyDescent="0.3">
      <c r="A630" s="7" t="str">
        <f t="shared" si="45"/>
        <v>126_2024</v>
      </c>
      <c r="B630" s="7">
        <v>629</v>
      </c>
      <c r="C630" s="7">
        <f>'Panel Data (Long Format)'!B630</f>
        <v>126</v>
      </c>
      <c r="D630" s="7" t="str">
        <f>'Panel Data (Long Format)'!C630</f>
        <v>TRANSEXPR</v>
      </c>
      <c r="E630" s="8" t="str">
        <f>'Panel Data (Long Format)'!D630</f>
        <v>Trans-Nationwide Express Plc</v>
      </c>
      <c r="F630" s="7" t="str">
        <f>'Panel Data (Long Format)'!E630</f>
        <v>SERVICES</v>
      </c>
      <c r="G630" s="7">
        <f>'Panel Data (Long Format)'!F630</f>
        <v>2024</v>
      </c>
      <c r="H630" s="9">
        <v>0</v>
      </c>
      <c r="I630" s="9">
        <v>0</v>
      </c>
      <c r="J630" s="9">
        <v>0</v>
      </c>
      <c r="K630" s="9">
        <v>0</v>
      </c>
      <c r="L630" s="9">
        <v>0</v>
      </c>
      <c r="M630" s="9">
        <v>0</v>
      </c>
      <c r="N630" s="9">
        <v>0</v>
      </c>
      <c r="O630" s="9">
        <v>0</v>
      </c>
      <c r="P630" s="9">
        <v>0</v>
      </c>
      <c r="Q630" s="9">
        <v>0</v>
      </c>
      <c r="R630" s="9">
        <v>0</v>
      </c>
      <c r="S630" s="9">
        <v>0</v>
      </c>
      <c r="T630" s="9">
        <v>0</v>
      </c>
      <c r="U630" s="9">
        <v>0</v>
      </c>
      <c r="V630" s="9">
        <v>0</v>
      </c>
      <c r="W630" s="9">
        <v>0</v>
      </c>
      <c r="X630" s="9">
        <v>0</v>
      </c>
      <c r="Y630" s="9">
        <v>0</v>
      </c>
      <c r="Z630" s="9">
        <v>0</v>
      </c>
      <c r="AA630" s="9">
        <v>0</v>
      </c>
      <c r="AB630" s="10">
        <f t="shared" si="46"/>
        <v>0</v>
      </c>
      <c r="AC630" s="10">
        <f t="shared" si="47"/>
        <v>0</v>
      </c>
      <c r="AD630" s="9">
        <v>0</v>
      </c>
      <c r="AE630" s="9">
        <v>0</v>
      </c>
      <c r="AF630" s="9">
        <v>0</v>
      </c>
      <c r="AG630" s="9">
        <v>0</v>
      </c>
      <c r="AH630" s="9">
        <v>0</v>
      </c>
      <c r="AI630" s="9">
        <v>0</v>
      </c>
      <c r="AJ630" s="9">
        <v>0</v>
      </c>
      <c r="AK630" s="9">
        <v>0</v>
      </c>
      <c r="AL630" s="9">
        <v>0</v>
      </c>
      <c r="AM630" s="9">
        <v>0</v>
      </c>
      <c r="AN630" s="9">
        <v>0</v>
      </c>
      <c r="AO630" s="9">
        <v>0</v>
      </c>
      <c r="AP630" s="9">
        <v>0</v>
      </c>
      <c r="AQ630" s="9">
        <v>0</v>
      </c>
      <c r="AR630" s="9">
        <v>0</v>
      </c>
      <c r="AS630" s="10">
        <f t="shared" si="48"/>
        <v>0</v>
      </c>
      <c r="AT630" s="10">
        <f t="shared" si="49"/>
        <v>0</v>
      </c>
      <c r="AU630" s="5" t="s">
        <v>619</v>
      </c>
    </row>
    <row r="631" spans="1:47" ht="15" customHeight="1" x14ac:dyDescent="0.3">
      <c r="A631" s="7" t="str">
        <f t="shared" si="45"/>
        <v>126_2025</v>
      </c>
      <c r="B631" s="7">
        <v>630</v>
      </c>
      <c r="C631" s="7">
        <f>'Panel Data (Long Format)'!B631</f>
        <v>126</v>
      </c>
      <c r="D631" s="7" t="str">
        <f>'Panel Data (Long Format)'!C631</f>
        <v>TRANSEXPR</v>
      </c>
      <c r="E631" s="8" t="str">
        <f>'Panel Data (Long Format)'!D631</f>
        <v>Trans-Nationwide Express Plc</v>
      </c>
      <c r="F631" s="7" t="str">
        <f>'Panel Data (Long Format)'!E631</f>
        <v>SERVICES</v>
      </c>
      <c r="G631" s="7">
        <f>'Panel Data (Long Format)'!F631</f>
        <v>2025</v>
      </c>
      <c r="H631" s="9">
        <v>0</v>
      </c>
      <c r="I631" s="9">
        <v>0</v>
      </c>
      <c r="J631" s="9">
        <v>0</v>
      </c>
      <c r="K631" s="9">
        <v>0</v>
      </c>
      <c r="L631" s="9">
        <v>0</v>
      </c>
      <c r="M631" s="9">
        <v>0</v>
      </c>
      <c r="N631" s="9">
        <v>0</v>
      </c>
      <c r="O631" s="9">
        <v>0</v>
      </c>
      <c r="P631" s="9">
        <v>0</v>
      </c>
      <c r="Q631" s="9">
        <v>0</v>
      </c>
      <c r="R631" s="9">
        <v>0</v>
      </c>
      <c r="S631" s="9">
        <v>0</v>
      </c>
      <c r="T631" s="9">
        <v>0</v>
      </c>
      <c r="U631" s="9">
        <v>0</v>
      </c>
      <c r="V631" s="9">
        <v>0</v>
      </c>
      <c r="W631" s="9">
        <v>0</v>
      </c>
      <c r="X631" s="9">
        <v>0</v>
      </c>
      <c r="Y631" s="9">
        <v>0</v>
      </c>
      <c r="Z631" s="9">
        <v>0</v>
      </c>
      <c r="AA631" s="9">
        <v>0</v>
      </c>
      <c r="AB631" s="10">
        <f t="shared" si="46"/>
        <v>0</v>
      </c>
      <c r="AC631" s="10">
        <f t="shared" si="47"/>
        <v>0</v>
      </c>
      <c r="AD631" s="9">
        <v>0</v>
      </c>
      <c r="AE631" s="9">
        <v>0</v>
      </c>
      <c r="AF631" s="9">
        <v>0</v>
      </c>
      <c r="AG631" s="9">
        <v>0</v>
      </c>
      <c r="AH631" s="9">
        <v>0</v>
      </c>
      <c r="AI631" s="9">
        <v>0</v>
      </c>
      <c r="AJ631" s="9">
        <v>0</v>
      </c>
      <c r="AK631" s="9">
        <v>0</v>
      </c>
      <c r="AL631" s="9">
        <v>0</v>
      </c>
      <c r="AM631" s="9">
        <v>0</v>
      </c>
      <c r="AN631" s="9">
        <v>0</v>
      </c>
      <c r="AO631" s="9">
        <v>0</v>
      </c>
      <c r="AP631" s="9">
        <v>0</v>
      </c>
      <c r="AQ631" s="9">
        <v>0</v>
      </c>
      <c r="AR631" s="9">
        <v>0</v>
      </c>
      <c r="AS631" s="10">
        <f t="shared" si="48"/>
        <v>0</v>
      </c>
      <c r="AT631" s="10">
        <f t="shared" si="49"/>
        <v>0</v>
      </c>
      <c r="AU631" s="5" t="s">
        <v>620</v>
      </c>
    </row>
    <row r="632" spans="1:47" ht="15" customHeight="1" x14ac:dyDescent="0.3">
      <c r="A632" s="7" t="str">
        <f t="shared" si="45"/>
        <v>127_2021</v>
      </c>
      <c r="B632" s="7">
        <v>631</v>
      </c>
      <c r="C632" s="7">
        <f>'Panel Data (Long Format)'!B632</f>
        <v>127</v>
      </c>
      <c r="D632" s="7" t="str">
        <f>'Panel Data (Long Format)'!C632</f>
        <v>TRANSPOWER</v>
      </c>
      <c r="E632" s="8" t="str">
        <f>'Panel Data (Long Format)'!D632</f>
        <v>Transcorp Power Plc</v>
      </c>
      <c r="F632" s="7" t="str">
        <f>'Panel Data (Long Format)'!E632</f>
        <v>UTILITIES</v>
      </c>
      <c r="G632" s="7">
        <f>'Panel Data (Long Format)'!F632</f>
        <v>2021</v>
      </c>
      <c r="H632" s="9"/>
      <c r="I632" s="9"/>
      <c r="J632" s="9"/>
      <c r="K632" s="9"/>
      <c r="L632" s="9"/>
      <c r="M632" s="9"/>
      <c r="N632" s="9"/>
      <c r="O632" s="9"/>
      <c r="P632" s="9"/>
      <c r="Q632" s="9"/>
      <c r="R632" s="9"/>
      <c r="S632" s="9"/>
      <c r="T632" s="9"/>
      <c r="U632" s="9"/>
      <c r="V632" s="9"/>
      <c r="W632" s="9"/>
      <c r="X632" s="9"/>
      <c r="Y632" s="9"/>
      <c r="Z632" s="9"/>
      <c r="AA632" s="9"/>
      <c r="AB632" s="10" t="str">
        <f t="shared" si="46"/>
        <v/>
      </c>
      <c r="AC632" s="10" t="str">
        <f t="shared" si="47"/>
        <v/>
      </c>
      <c r="AD632" s="9"/>
      <c r="AE632" s="9"/>
      <c r="AF632" s="9"/>
      <c r="AG632" s="9"/>
      <c r="AH632" s="9"/>
      <c r="AI632" s="9"/>
      <c r="AJ632" s="9"/>
      <c r="AK632" s="9"/>
      <c r="AL632" s="9"/>
      <c r="AM632" s="9"/>
      <c r="AN632" s="9"/>
      <c r="AO632" s="9"/>
      <c r="AP632" s="9"/>
      <c r="AQ632" s="9"/>
      <c r="AR632" s="9"/>
      <c r="AS632" s="10" t="str">
        <f t="shared" si="48"/>
        <v/>
      </c>
      <c r="AT632" s="10" t="str">
        <f t="shared" si="49"/>
        <v/>
      </c>
      <c r="AU632" s="5" t="s">
        <v>621</v>
      </c>
    </row>
    <row r="633" spans="1:47" ht="15" customHeight="1" x14ac:dyDescent="0.3">
      <c r="A633" s="7" t="str">
        <f t="shared" si="45"/>
        <v>127_2022</v>
      </c>
      <c r="B633" s="7">
        <v>632</v>
      </c>
      <c r="C633" s="7">
        <f>'Panel Data (Long Format)'!B633</f>
        <v>127</v>
      </c>
      <c r="D633" s="7" t="str">
        <f>'Panel Data (Long Format)'!C633</f>
        <v>TRANSPOWER</v>
      </c>
      <c r="E633" s="8" t="str">
        <f>'Panel Data (Long Format)'!D633</f>
        <v>Transcorp Power Plc</v>
      </c>
      <c r="F633" s="7" t="str">
        <f>'Panel Data (Long Format)'!E633</f>
        <v>UTILITIES</v>
      </c>
      <c r="G633" s="7">
        <f>'Panel Data (Long Format)'!F633</f>
        <v>2022</v>
      </c>
      <c r="H633" s="9">
        <v>1</v>
      </c>
      <c r="I633" s="9">
        <v>0</v>
      </c>
      <c r="J633" s="9">
        <v>0</v>
      </c>
      <c r="K633" s="9">
        <v>0</v>
      </c>
      <c r="L633" s="9">
        <v>0</v>
      </c>
      <c r="M633" s="9">
        <v>0</v>
      </c>
      <c r="N633" s="9">
        <v>0</v>
      </c>
      <c r="O633" s="9">
        <v>0</v>
      </c>
      <c r="P633" s="9">
        <v>0</v>
      </c>
      <c r="Q633" s="9">
        <v>0</v>
      </c>
      <c r="R633" s="9">
        <v>0</v>
      </c>
      <c r="S633" s="9">
        <v>0</v>
      </c>
      <c r="T633" s="9">
        <v>0</v>
      </c>
      <c r="U633" s="9">
        <v>0</v>
      </c>
      <c r="V633" s="9">
        <v>0</v>
      </c>
      <c r="W633" s="9">
        <v>0</v>
      </c>
      <c r="X633" s="9">
        <v>0</v>
      </c>
      <c r="Y633" s="9">
        <v>0</v>
      </c>
      <c r="Z633" s="9">
        <v>0</v>
      </c>
      <c r="AA633" s="9">
        <v>0</v>
      </c>
      <c r="AB633" s="10">
        <f t="shared" si="46"/>
        <v>1</v>
      </c>
      <c r="AC633" s="10">
        <f t="shared" si="47"/>
        <v>5</v>
      </c>
      <c r="AD633" s="9">
        <v>0</v>
      </c>
      <c r="AE633" s="9">
        <v>0</v>
      </c>
      <c r="AF633" s="9">
        <v>0</v>
      </c>
      <c r="AG633" s="9">
        <v>0</v>
      </c>
      <c r="AH633" s="9">
        <v>0</v>
      </c>
      <c r="AI633" s="9">
        <v>0</v>
      </c>
      <c r="AJ633" s="9">
        <v>0</v>
      </c>
      <c r="AK633" s="9">
        <v>0</v>
      </c>
      <c r="AL633" s="9">
        <v>0</v>
      </c>
      <c r="AM633" s="9">
        <v>0</v>
      </c>
      <c r="AN633" s="9">
        <v>0</v>
      </c>
      <c r="AO633" s="9">
        <v>0</v>
      </c>
      <c r="AP633" s="9">
        <v>0</v>
      </c>
      <c r="AQ633" s="9">
        <v>0</v>
      </c>
      <c r="AR633" s="9">
        <v>0</v>
      </c>
      <c r="AS633" s="10">
        <f t="shared" si="48"/>
        <v>0</v>
      </c>
      <c r="AT633" s="10">
        <f t="shared" si="49"/>
        <v>0</v>
      </c>
      <c r="AU633" s="5" t="s">
        <v>622</v>
      </c>
    </row>
    <row r="634" spans="1:47" ht="15" customHeight="1" x14ac:dyDescent="0.3">
      <c r="A634" s="7" t="str">
        <f t="shared" si="45"/>
        <v>127_2023</v>
      </c>
      <c r="B634" s="7">
        <v>633</v>
      </c>
      <c r="C634" s="7">
        <f>'Panel Data (Long Format)'!B634</f>
        <v>127</v>
      </c>
      <c r="D634" s="7" t="str">
        <f>'Panel Data (Long Format)'!C634</f>
        <v>TRANSPOWER</v>
      </c>
      <c r="E634" s="8" t="str">
        <f>'Panel Data (Long Format)'!D634</f>
        <v>Transcorp Power Plc</v>
      </c>
      <c r="F634" s="7" t="str">
        <f>'Panel Data (Long Format)'!E634</f>
        <v>UTILITIES</v>
      </c>
      <c r="G634" s="7">
        <f>'Panel Data (Long Format)'!F634</f>
        <v>2023</v>
      </c>
      <c r="H634" s="9">
        <v>1</v>
      </c>
      <c r="I634" s="9">
        <v>0</v>
      </c>
      <c r="J634" s="9">
        <v>0</v>
      </c>
      <c r="K634" s="9">
        <v>0</v>
      </c>
      <c r="L634" s="9">
        <v>0</v>
      </c>
      <c r="M634" s="9">
        <v>0</v>
      </c>
      <c r="N634" s="9">
        <v>0</v>
      </c>
      <c r="O634" s="9">
        <v>0</v>
      </c>
      <c r="P634" s="9">
        <v>0</v>
      </c>
      <c r="Q634" s="9">
        <v>0</v>
      </c>
      <c r="R634" s="9">
        <v>0</v>
      </c>
      <c r="S634" s="9">
        <v>0</v>
      </c>
      <c r="T634" s="9">
        <v>0</v>
      </c>
      <c r="U634" s="9">
        <v>0</v>
      </c>
      <c r="V634" s="9">
        <v>0</v>
      </c>
      <c r="W634" s="9">
        <v>0</v>
      </c>
      <c r="X634" s="9">
        <v>0</v>
      </c>
      <c r="Y634" s="9">
        <v>0</v>
      </c>
      <c r="Z634" s="9">
        <v>0</v>
      </c>
      <c r="AA634" s="9">
        <v>0</v>
      </c>
      <c r="AB634" s="10">
        <f t="shared" si="46"/>
        <v>1</v>
      </c>
      <c r="AC634" s="10">
        <f t="shared" si="47"/>
        <v>5</v>
      </c>
      <c r="AD634" s="9">
        <v>0</v>
      </c>
      <c r="AE634" s="9">
        <v>0</v>
      </c>
      <c r="AF634" s="9">
        <v>0</v>
      </c>
      <c r="AG634" s="9">
        <v>0</v>
      </c>
      <c r="AH634" s="9">
        <v>0</v>
      </c>
      <c r="AI634" s="9">
        <v>0</v>
      </c>
      <c r="AJ634" s="9">
        <v>0</v>
      </c>
      <c r="AK634" s="9">
        <v>0</v>
      </c>
      <c r="AL634" s="9">
        <v>0</v>
      </c>
      <c r="AM634" s="9">
        <v>0</v>
      </c>
      <c r="AN634" s="9">
        <v>0</v>
      </c>
      <c r="AO634" s="9">
        <v>0</v>
      </c>
      <c r="AP634" s="9">
        <v>0</v>
      </c>
      <c r="AQ634" s="9">
        <v>0</v>
      </c>
      <c r="AR634" s="9">
        <v>0</v>
      </c>
      <c r="AS634" s="10">
        <f t="shared" si="48"/>
        <v>0</v>
      </c>
      <c r="AT634" s="10">
        <f t="shared" si="49"/>
        <v>0</v>
      </c>
      <c r="AU634" s="5" t="s">
        <v>622</v>
      </c>
    </row>
    <row r="635" spans="1:47" ht="15" customHeight="1" x14ac:dyDescent="0.3">
      <c r="A635" s="7" t="str">
        <f t="shared" si="45"/>
        <v>127_2024</v>
      </c>
      <c r="B635" s="7">
        <v>634</v>
      </c>
      <c r="C635" s="7">
        <f>'Panel Data (Long Format)'!B635</f>
        <v>127</v>
      </c>
      <c r="D635" s="7" t="str">
        <f>'Panel Data (Long Format)'!C635</f>
        <v>TRANSPOWER</v>
      </c>
      <c r="E635" s="8" t="str">
        <f>'Panel Data (Long Format)'!D635</f>
        <v>Transcorp Power Plc</v>
      </c>
      <c r="F635" s="7" t="str">
        <f>'Panel Data (Long Format)'!E635</f>
        <v>UTILITIES</v>
      </c>
      <c r="G635" s="7">
        <f>'Panel Data (Long Format)'!F635</f>
        <v>2024</v>
      </c>
      <c r="H635" s="9">
        <v>1</v>
      </c>
      <c r="I635" s="9">
        <v>0</v>
      </c>
      <c r="J635" s="9">
        <v>0</v>
      </c>
      <c r="K635" s="9">
        <v>0</v>
      </c>
      <c r="L635" s="9">
        <v>0</v>
      </c>
      <c r="M635" s="9">
        <v>0</v>
      </c>
      <c r="N635" s="9">
        <v>0</v>
      </c>
      <c r="O635" s="9">
        <v>0</v>
      </c>
      <c r="P635" s="9">
        <v>0</v>
      </c>
      <c r="Q635" s="9">
        <v>0</v>
      </c>
      <c r="R635" s="9">
        <v>0</v>
      </c>
      <c r="S635" s="9">
        <v>0</v>
      </c>
      <c r="T635" s="9">
        <v>0</v>
      </c>
      <c r="U635" s="9">
        <v>0</v>
      </c>
      <c r="V635" s="9">
        <v>0</v>
      </c>
      <c r="W635" s="9">
        <v>0</v>
      </c>
      <c r="X635" s="9">
        <v>0</v>
      </c>
      <c r="Y635" s="9">
        <v>0</v>
      </c>
      <c r="Z635" s="9">
        <v>0</v>
      </c>
      <c r="AA635" s="9">
        <v>0</v>
      </c>
      <c r="AB635" s="10">
        <f t="shared" si="46"/>
        <v>1</v>
      </c>
      <c r="AC635" s="10">
        <f t="shared" si="47"/>
        <v>5</v>
      </c>
      <c r="AD635" s="9">
        <v>0</v>
      </c>
      <c r="AE635" s="9">
        <v>0</v>
      </c>
      <c r="AF635" s="9">
        <v>0</v>
      </c>
      <c r="AG635" s="9">
        <v>0</v>
      </c>
      <c r="AH635" s="9">
        <v>0</v>
      </c>
      <c r="AI635" s="9">
        <v>0</v>
      </c>
      <c r="AJ635" s="9">
        <v>0</v>
      </c>
      <c r="AK635" s="9">
        <v>0</v>
      </c>
      <c r="AL635" s="9">
        <v>0</v>
      </c>
      <c r="AM635" s="9">
        <v>0</v>
      </c>
      <c r="AN635" s="9">
        <v>0</v>
      </c>
      <c r="AO635" s="9">
        <v>0</v>
      </c>
      <c r="AP635" s="9">
        <v>0</v>
      </c>
      <c r="AQ635" s="9">
        <v>0</v>
      </c>
      <c r="AR635" s="9">
        <v>0</v>
      </c>
      <c r="AS635" s="10">
        <f t="shared" si="48"/>
        <v>0</v>
      </c>
      <c r="AT635" s="10">
        <f t="shared" si="49"/>
        <v>0</v>
      </c>
      <c r="AU635" s="5" t="s">
        <v>622</v>
      </c>
    </row>
    <row r="636" spans="1:47" ht="15" customHeight="1" x14ac:dyDescent="0.3">
      <c r="A636" s="7" t="str">
        <f t="shared" si="45"/>
        <v>127_2025</v>
      </c>
      <c r="B636" s="7">
        <v>635</v>
      </c>
      <c r="C636" s="7">
        <f>'Panel Data (Long Format)'!B636</f>
        <v>127</v>
      </c>
      <c r="D636" s="7" t="str">
        <f>'Panel Data (Long Format)'!C636</f>
        <v>TRANSPOWER</v>
      </c>
      <c r="E636" s="8" t="str">
        <f>'Panel Data (Long Format)'!D636</f>
        <v>Transcorp Power Plc</v>
      </c>
      <c r="F636" s="7" t="str">
        <f>'Panel Data (Long Format)'!E636</f>
        <v>UTILITIES</v>
      </c>
      <c r="G636" s="7">
        <f>'Panel Data (Long Format)'!F636</f>
        <v>2025</v>
      </c>
      <c r="H636" s="9">
        <v>1</v>
      </c>
      <c r="I636" s="9">
        <v>0</v>
      </c>
      <c r="J636" s="9">
        <v>0</v>
      </c>
      <c r="K636" s="9">
        <v>0</v>
      </c>
      <c r="L636" s="9">
        <v>0</v>
      </c>
      <c r="M636" s="9">
        <v>0</v>
      </c>
      <c r="N636" s="9">
        <v>0</v>
      </c>
      <c r="O636" s="9">
        <v>0</v>
      </c>
      <c r="P636" s="9">
        <v>0</v>
      </c>
      <c r="Q636" s="9">
        <v>0</v>
      </c>
      <c r="R636" s="9">
        <v>0</v>
      </c>
      <c r="S636" s="9">
        <v>0</v>
      </c>
      <c r="T636" s="9">
        <v>0</v>
      </c>
      <c r="U636" s="9">
        <v>0</v>
      </c>
      <c r="V636" s="9">
        <v>0</v>
      </c>
      <c r="W636" s="9">
        <v>0</v>
      </c>
      <c r="X636" s="9">
        <v>0</v>
      </c>
      <c r="Y636" s="9">
        <v>0</v>
      </c>
      <c r="Z636" s="9">
        <v>0</v>
      </c>
      <c r="AA636" s="9">
        <v>0</v>
      </c>
      <c r="AB636" s="10">
        <f t="shared" si="46"/>
        <v>1</v>
      </c>
      <c r="AC636" s="10">
        <f t="shared" si="47"/>
        <v>5</v>
      </c>
      <c r="AD636" s="9">
        <v>0</v>
      </c>
      <c r="AE636" s="9">
        <v>0</v>
      </c>
      <c r="AF636" s="9">
        <v>0</v>
      </c>
      <c r="AG636" s="9">
        <v>0</v>
      </c>
      <c r="AH636" s="9">
        <v>0</v>
      </c>
      <c r="AI636" s="9">
        <v>0</v>
      </c>
      <c r="AJ636" s="9">
        <v>0</v>
      </c>
      <c r="AK636" s="9">
        <v>0</v>
      </c>
      <c r="AL636" s="9">
        <v>0</v>
      </c>
      <c r="AM636" s="9">
        <v>0</v>
      </c>
      <c r="AN636" s="9">
        <v>0</v>
      </c>
      <c r="AO636" s="9">
        <v>0</v>
      </c>
      <c r="AP636" s="9">
        <v>0</v>
      </c>
      <c r="AQ636" s="9">
        <v>0</v>
      </c>
      <c r="AR636" s="9">
        <v>0</v>
      </c>
      <c r="AS636" s="10">
        <f t="shared" si="48"/>
        <v>0</v>
      </c>
      <c r="AT636" s="10">
        <f t="shared" si="49"/>
        <v>0</v>
      </c>
      <c r="AU636" s="5" t="s">
        <v>622</v>
      </c>
    </row>
    <row r="637" spans="1:47" ht="15" customHeight="1" x14ac:dyDescent="0.3">
      <c r="A637" s="7" t="str">
        <f t="shared" si="45"/>
        <v>128_2021</v>
      </c>
      <c r="B637" s="7">
        <v>636</v>
      </c>
      <c r="C637" s="7">
        <f>'Panel Data (Long Format)'!B637</f>
        <v>128</v>
      </c>
      <c r="D637" s="7" t="str">
        <f>'Panel Data (Long Format)'!C637</f>
        <v>TRIPPLEG</v>
      </c>
      <c r="E637" s="8" t="str">
        <f>'Panel Data (Long Format)'!D637</f>
        <v>Trippleg / Triple Gee &amp; Co Plc</v>
      </c>
      <c r="F637" s="7" t="str">
        <f>'Panel Data (Long Format)'!E637</f>
        <v>INDUSTRIAL GOODS</v>
      </c>
      <c r="G637" s="7">
        <f>'Panel Data (Long Format)'!F637</f>
        <v>2021</v>
      </c>
      <c r="H637" s="9"/>
      <c r="I637" s="9"/>
      <c r="J637" s="9"/>
      <c r="K637" s="9"/>
      <c r="L637" s="9"/>
      <c r="M637" s="9"/>
      <c r="N637" s="9"/>
      <c r="O637" s="9"/>
      <c r="P637" s="9"/>
      <c r="Q637" s="9"/>
      <c r="R637" s="9"/>
      <c r="S637" s="9"/>
      <c r="T637" s="9"/>
      <c r="U637" s="9"/>
      <c r="V637" s="9"/>
      <c r="W637" s="9"/>
      <c r="X637" s="9"/>
      <c r="Y637" s="9"/>
      <c r="Z637" s="9"/>
      <c r="AA637" s="9"/>
      <c r="AB637" s="10" t="str">
        <f t="shared" si="46"/>
        <v/>
      </c>
      <c r="AC637" s="10" t="str">
        <f t="shared" si="47"/>
        <v/>
      </c>
      <c r="AD637" s="9"/>
      <c r="AE637" s="9"/>
      <c r="AF637" s="9"/>
      <c r="AG637" s="9"/>
      <c r="AH637" s="9"/>
      <c r="AI637" s="9"/>
      <c r="AJ637" s="9"/>
      <c r="AK637" s="9"/>
      <c r="AL637" s="9"/>
      <c r="AM637" s="9"/>
      <c r="AN637" s="9"/>
      <c r="AO637" s="9"/>
      <c r="AP637" s="9"/>
      <c r="AQ637" s="9"/>
      <c r="AR637" s="9"/>
      <c r="AS637" s="10" t="str">
        <f t="shared" si="48"/>
        <v/>
      </c>
      <c r="AT637" s="10" t="str">
        <f t="shared" si="49"/>
        <v/>
      </c>
      <c r="AU637" s="5" t="s">
        <v>621</v>
      </c>
    </row>
    <row r="638" spans="1:47" ht="15" customHeight="1" x14ac:dyDescent="0.3">
      <c r="A638" s="7" t="str">
        <f t="shared" si="45"/>
        <v>128_2022</v>
      </c>
      <c r="B638" s="7">
        <v>637</v>
      </c>
      <c r="C638" s="7">
        <f>'Panel Data (Long Format)'!B638</f>
        <v>128</v>
      </c>
      <c r="D638" s="7" t="str">
        <f>'Panel Data (Long Format)'!C638</f>
        <v>TRIPPLEG</v>
      </c>
      <c r="E638" s="8" t="str">
        <f>'Panel Data (Long Format)'!D638</f>
        <v>Trippleg / Triple Gee &amp; Co Plc</v>
      </c>
      <c r="F638" s="7" t="str">
        <f>'Panel Data (Long Format)'!E638</f>
        <v>INDUSTRIAL GOODS</v>
      </c>
      <c r="G638" s="7">
        <f>'Panel Data (Long Format)'!F638</f>
        <v>2022</v>
      </c>
      <c r="H638" s="9">
        <v>0</v>
      </c>
      <c r="I638" s="9">
        <v>0</v>
      </c>
      <c r="J638" s="9">
        <v>0</v>
      </c>
      <c r="K638" s="9">
        <v>0</v>
      </c>
      <c r="L638" s="9">
        <v>0</v>
      </c>
      <c r="M638" s="9">
        <v>0</v>
      </c>
      <c r="N638" s="9">
        <v>0</v>
      </c>
      <c r="O638" s="9">
        <v>0</v>
      </c>
      <c r="P638" s="9">
        <v>0</v>
      </c>
      <c r="Q638" s="9">
        <v>0</v>
      </c>
      <c r="R638" s="9">
        <v>0</v>
      </c>
      <c r="S638" s="9">
        <v>0</v>
      </c>
      <c r="T638" s="9">
        <v>0</v>
      </c>
      <c r="U638" s="9">
        <v>0</v>
      </c>
      <c r="V638" s="9">
        <v>0</v>
      </c>
      <c r="W638" s="9">
        <v>0</v>
      </c>
      <c r="X638" s="9">
        <v>0</v>
      </c>
      <c r="Y638" s="9">
        <v>0</v>
      </c>
      <c r="Z638" s="9">
        <v>0</v>
      </c>
      <c r="AA638" s="9">
        <v>0</v>
      </c>
      <c r="AB638" s="10">
        <f t="shared" si="46"/>
        <v>0</v>
      </c>
      <c r="AC638" s="10">
        <f t="shared" si="47"/>
        <v>0</v>
      </c>
      <c r="AD638" s="9">
        <v>0</v>
      </c>
      <c r="AE638" s="9">
        <v>0</v>
      </c>
      <c r="AF638" s="9">
        <v>0</v>
      </c>
      <c r="AG638" s="9">
        <v>0</v>
      </c>
      <c r="AH638" s="9">
        <v>0</v>
      </c>
      <c r="AI638" s="9">
        <v>0</v>
      </c>
      <c r="AJ638" s="9">
        <v>0</v>
      </c>
      <c r="AK638" s="9">
        <v>0</v>
      </c>
      <c r="AL638" s="9">
        <v>0</v>
      </c>
      <c r="AM638" s="9">
        <v>0</v>
      </c>
      <c r="AN638" s="9">
        <v>0</v>
      </c>
      <c r="AO638" s="9">
        <v>0</v>
      </c>
      <c r="AP638" s="9">
        <v>0</v>
      </c>
      <c r="AQ638" s="9">
        <v>0</v>
      </c>
      <c r="AR638" s="9">
        <v>0</v>
      </c>
      <c r="AS638" s="10">
        <f t="shared" si="48"/>
        <v>0</v>
      </c>
      <c r="AT638" s="10">
        <f t="shared" si="49"/>
        <v>0</v>
      </c>
      <c r="AU638" s="5" t="s">
        <v>623</v>
      </c>
    </row>
    <row r="639" spans="1:47" ht="15" customHeight="1" x14ac:dyDescent="0.3">
      <c r="A639" s="7" t="str">
        <f t="shared" si="45"/>
        <v>128_2023</v>
      </c>
      <c r="B639" s="7">
        <v>638</v>
      </c>
      <c r="C639" s="7">
        <f>'Panel Data (Long Format)'!B639</f>
        <v>128</v>
      </c>
      <c r="D639" s="7" t="str">
        <f>'Panel Data (Long Format)'!C639</f>
        <v>TRIPPLEG</v>
      </c>
      <c r="E639" s="8" t="str">
        <f>'Panel Data (Long Format)'!D639</f>
        <v>Trippleg / Triple Gee &amp; Co Plc</v>
      </c>
      <c r="F639" s="7" t="str">
        <f>'Panel Data (Long Format)'!E639</f>
        <v>INDUSTRIAL GOODS</v>
      </c>
      <c r="G639" s="7">
        <f>'Panel Data (Long Format)'!F639</f>
        <v>2023</v>
      </c>
      <c r="H639" s="9">
        <v>0</v>
      </c>
      <c r="I639" s="9">
        <v>0</v>
      </c>
      <c r="J639" s="9">
        <v>0</v>
      </c>
      <c r="K639" s="9">
        <v>0</v>
      </c>
      <c r="L639" s="9">
        <v>0</v>
      </c>
      <c r="M639" s="9">
        <v>0</v>
      </c>
      <c r="N639" s="9">
        <v>0</v>
      </c>
      <c r="O639" s="9">
        <v>0</v>
      </c>
      <c r="P639" s="9">
        <v>0</v>
      </c>
      <c r="Q639" s="9">
        <v>0</v>
      </c>
      <c r="R639" s="9">
        <v>0</v>
      </c>
      <c r="S639" s="9">
        <v>0</v>
      </c>
      <c r="T639" s="9">
        <v>0</v>
      </c>
      <c r="U639" s="9">
        <v>0</v>
      </c>
      <c r="V639" s="9">
        <v>0</v>
      </c>
      <c r="W639" s="9">
        <v>0</v>
      </c>
      <c r="X639" s="9">
        <v>0</v>
      </c>
      <c r="Y639" s="9">
        <v>0</v>
      </c>
      <c r="Z639" s="9">
        <v>0</v>
      </c>
      <c r="AA639" s="9">
        <v>0</v>
      </c>
      <c r="AB639" s="10">
        <f t="shared" si="46"/>
        <v>0</v>
      </c>
      <c r="AC639" s="10">
        <f t="shared" si="47"/>
        <v>0</v>
      </c>
      <c r="AD639" s="9">
        <v>0</v>
      </c>
      <c r="AE639" s="9">
        <v>0</v>
      </c>
      <c r="AF639" s="9">
        <v>0</v>
      </c>
      <c r="AG639" s="9">
        <v>0</v>
      </c>
      <c r="AH639" s="9">
        <v>0</v>
      </c>
      <c r="AI639" s="9">
        <v>0</v>
      </c>
      <c r="AJ639" s="9">
        <v>0</v>
      </c>
      <c r="AK639" s="9">
        <v>0</v>
      </c>
      <c r="AL639" s="9">
        <v>0</v>
      </c>
      <c r="AM639" s="9">
        <v>0</v>
      </c>
      <c r="AN639" s="9">
        <v>0</v>
      </c>
      <c r="AO639" s="9">
        <v>0</v>
      </c>
      <c r="AP639" s="9">
        <v>0</v>
      </c>
      <c r="AQ639" s="9">
        <v>0</v>
      </c>
      <c r="AR639" s="9">
        <v>0</v>
      </c>
      <c r="AS639" s="10">
        <f t="shared" si="48"/>
        <v>0</v>
      </c>
      <c r="AT639" s="10">
        <f t="shared" si="49"/>
        <v>0</v>
      </c>
      <c r="AU639" s="5" t="s">
        <v>623</v>
      </c>
    </row>
    <row r="640" spans="1:47" ht="15" customHeight="1" x14ac:dyDescent="0.3">
      <c r="A640" s="7" t="str">
        <f t="shared" si="45"/>
        <v>128_2024</v>
      </c>
      <c r="B640" s="7">
        <v>639</v>
      </c>
      <c r="C640" s="7">
        <f>'Panel Data (Long Format)'!B640</f>
        <v>128</v>
      </c>
      <c r="D640" s="7" t="str">
        <f>'Panel Data (Long Format)'!C640</f>
        <v>TRIPPLEG</v>
      </c>
      <c r="E640" s="8" t="str">
        <f>'Panel Data (Long Format)'!D640</f>
        <v>Trippleg / Triple Gee &amp; Co Plc</v>
      </c>
      <c r="F640" s="7" t="str">
        <f>'Panel Data (Long Format)'!E640</f>
        <v>INDUSTRIAL GOODS</v>
      </c>
      <c r="G640" s="7">
        <f>'Panel Data (Long Format)'!F640</f>
        <v>2024</v>
      </c>
      <c r="H640" s="9">
        <v>0</v>
      </c>
      <c r="I640" s="9">
        <v>0</v>
      </c>
      <c r="J640" s="9">
        <v>0</v>
      </c>
      <c r="K640" s="9">
        <v>0</v>
      </c>
      <c r="L640" s="9">
        <v>0</v>
      </c>
      <c r="M640" s="9">
        <v>0</v>
      </c>
      <c r="N640" s="9">
        <v>0</v>
      </c>
      <c r="O640" s="9">
        <v>0</v>
      </c>
      <c r="P640" s="9">
        <v>0</v>
      </c>
      <c r="Q640" s="9">
        <v>0</v>
      </c>
      <c r="R640" s="9">
        <v>0</v>
      </c>
      <c r="S640" s="9">
        <v>0</v>
      </c>
      <c r="T640" s="9">
        <v>0</v>
      </c>
      <c r="U640" s="9">
        <v>0</v>
      </c>
      <c r="V640" s="9">
        <v>0</v>
      </c>
      <c r="W640" s="9">
        <v>0</v>
      </c>
      <c r="X640" s="9">
        <v>0</v>
      </c>
      <c r="Y640" s="9">
        <v>0</v>
      </c>
      <c r="Z640" s="9">
        <v>0</v>
      </c>
      <c r="AA640" s="9">
        <v>0</v>
      </c>
      <c r="AB640" s="10">
        <f t="shared" si="46"/>
        <v>0</v>
      </c>
      <c r="AC640" s="10">
        <f t="shared" si="47"/>
        <v>0</v>
      </c>
      <c r="AD640" s="9">
        <v>0</v>
      </c>
      <c r="AE640" s="9">
        <v>0</v>
      </c>
      <c r="AF640" s="9">
        <v>0</v>
      </c>
      <c r="AG640" s="9">
        <v>0</v>
      </c>
      <c r="AH640" s="9">
        <v>0</v>
      </c>
      <c r="AI640" s="9">
        <v>0</v>
      </c>
      <c r="AJ640" s="9">
        <v>0</v>
      </c>
      <c r="AK640" s="9">
        <v>0</v>
      </c>
      <c r="AL640" s="9">
        <v>0</v>
      </c>
      <c r="AM640" s="9">
        <v>0</v>
      </c>
      <c r="AN640" s="9">
        <v>0</v>
      </c>
      <c r="AO640" s="9">
        <v>0</v>
      </c>
      <c r="AP640" s="9">
        <v>0</v>
      </c>
      <c r="AQ640" s="9">
        <v>0</v>
      </c>
      <c r="AR640" s="9">
        <v>0</v>
      </c>
      <c r="AS640" s="10">
        <f t="shared" si="48"/>
        <v>0</v>
      </c>
      <c r="AT640" s="10">
        <f t="shared" si="49"/>
        <v>0</v>
      </c>
      <c r="AU640" s="5" t="s">
        <v>623</v>
      </c>
    </row>
    <row r="641" spans="1:47" ht="15" customHeight="1" x14ac:dyDescent="0.3">
      <c r="A641" s="7" t="str">
        <f t="shared" si="45"/>
        <v>128_2025</v>
      </c>
      <c r="B641" s="7">
        <v>640</v>
      </c>
      <c r="C641" s="7">
        <f>'Panel Data (Long Format)'!B641</f>
        <v>128</v>
      </c>
      <c r="D641" s="7" t="str">
        <f>'Panel Data (Long Format)'!C641</f>
        <v>TRIPPLEG</v>
      </c>
      <c r="E641" s="8" t="str">
        <f>'Panel Data (Long Format)'!D641</f>
        <v>Trippleg / Triple Gee &amp; Co Plc</v>
      </c>
      <c r="F641" s="7" t="str">
        <f>'Panel Data (Long Format)'!E641</f>
        <v>INDUSTRIAL GOODS</v>
      </c>
      <c r="G641" s="7">
        <f>'Panel Data (Long Format)'!F641</f>
        <v>2025</v>
      </c>
      <c r="H641" s="9">
        <v>0</v>
      </c>
      <c r="I641" s="9">
        <v>0</v>
      </c>
      <c r="J641" s="9">
        <v>0</v>
      </c>
      <c r="K641" s="9">
        <v>0</v>
      </c>
      <c r="L641" s="9">
        <v>0</v>
      </c>
      <c r="M641" s="9">
        <v>0</v>
      </c>
      <c r="N641" s="9">
        <v>0</v>
      </c>
      <c r="O641" s="9">
        <v>0</v>
      </c>
      <c r="P641" s="9">
        <v>0</v>
      </c>
      <c r="Q641" s="9">
        <v>0</v>
      </c>
      <c r="R641" s="9">
        <v>0</v>
      </c>
      <c r="S641" s="9">
        <v>0</v>
      </c>
      <c r="T641" s="9">
        <v>0</v>
      </c>
      <c r="U641" s="9">
        <v>0</v>
      </c>
      <c r="V641" s="9">
        <v>0</v>
      </c>
      <c r="W641" s="9">
        <v>0</v>
      </c>
      <c r="X641" s="9">
        <v>0</v>
      </c>
      <c r="Y641" s="9">
        <v>0</v>
      </c>
      <c r="Z641" s="9">
        <v>0</v>
      </c>
      <c r="AA641" s="9">
        <v>0</v>
      </c>
      <c r="AB641" s="10">
        <f t="shared" si="46"/>
        <v>0</v>
      </c>
      <c r="AC641" s="10">
        <f t="shared" si="47"/>
        <v>0</v>
      </c>
      <c r="AD641" s="9">
        <v>0</v>
      </c>
      <c r="AE641" s="9">
        <v>0</v>
      </c>
      <c r="AF641" s="9">
        <v>0</v>
      </c>
      <c r="AG641" s="9">
        <v>0</v>
      </c>
      <c r="AH641" s="9">
        <v>0</v>
      </c>
      <c r="AI641" s="9">
        <v>0</v>
      </c>
      <c r="AJ641" s="9">
        <v>0</v>
      </c>
      <c r="AK641" s="9">
        <v>0</v>
      </c>
      <c r="AL641" s="9">
        <v>0</v>
      </c>
      <c r="AM641" s="9">
        <v>0</v>
      </c>
      <c r="AN641" s="9">
        <v>0</v>
      </c>
      <c r="AO641" s="9">
        <v>0</v>
      </c>
      <c r="AP641" s="9">
        <v>0</v>
      </c>
      <c r="AQ641" s="9">
        <v>0</v>
      </c>
      <c r="AR641" s="9">
        <v>0</v>
      </c>
      <c r="AS641" s="10">
        <f t="shared" si="48"/>
        <v>0</v>
      </c>
      <c r="AT641" s="10">
        <f t="shared" si="49"/>
        <v>0</v>
      </c>
      <c r="AU641" s="5" t="s">
        <v>623</v>
      </c>
    </row>
    <row r="642" spans="1:47" ht="15" customHeight="1" x14ac:dyDescent="0.3">
      <c r="A642" s="7" t="str">
        <f t="shared" ref="A642:A705" si="50">C642&amp;"_"&amp;G642</f>
        <v>129_2021</v>
      </c>
      <c r="B642" s="7">
        <v>641</v>
      </c>
      <c r="C642" s="7">
        <f>'Panel Data (Long Format)'!B642</f>
        <v>129</v>
      </c>
      <c r="D642" s="7" t="str">
        <f>'Panel Data (Long Format)'!C642</f>
        <v>UACN</v>
      </c>
      <c r="E642" s="8" t="str">
        <f>'Panel Data (Long Format)'!D642</f>
        <v>UAC of Nigeria Plc</v>
      </c>
      <c r="F642" s="7" t="str">
        <f>'Panel Data (Long Format)'!E642</f>
        <v>CONGLOMERATES</v>
      </c>
      <c r="G642" s="7">
        <f>'Panel Data (Long Format)'!F642</f>
        <v>2021</v>
      </c>
      <c r="H642" s="9">
        <v>0</v>
      </c>
      <c r="I642" s="9">
        <v>0</v>
      </c>
      <c r="J642" s="9">
        <v>0</v>
      </c>
      <c r="K642" s="9">
        <v>0</v>
      </c>
      <c r="L642" s="9">
        <v>0</v>
      </c>
      <c r="M642" s="9">
        <v>0</v>
      </c>
      <c r="N642" s="9">
        <v>0</v>
      </c>
      <c r="O642" s="9">
        <v>0</v>
      </c>
      <c r="P642" s="9">
        <v>0</v>
      </c>
      <c r="Q642" s="9">
        <v>0</v>
      </c>
      <c r="R642" s="9">
        <v>0</v>
      </c>
      <c r="S642" s="9">
        <v>0</v>
      </c>
      <c r="T642" s="9">
        <v>0</v>
      </c>
      <c r="U642" s="9">
        <v>0</v>
      </c>
      <c r="V642" s="9">
        <v>0</v>
      </c>
      <c r="W642" s="9">
        <v>1</v>
      </c>
      <c r="X642" s="9">
        <v>0</v>
      </c>
      <c r="Y642" s="9">
        <v>0</v>
      </c>
      <c r="Z642" s="9">
        <v>0</v>
      </c>
      <c r="AA642" s="9">
        <v>0</v>
      </c>
      <c r="AB642" s="10">
        <f t="shared" ref="AB642:AB705" si="51">IF(COUNTBLANK(H642:AA642)&gt;0,"",SUM(H642:AA642))</f>
        <v>1</v>
      </c>
      <c r="AC642" s="10">
        <f t="shared" ref="AC642:AC705" si="52">IF(AB642="","",AB642/20*100)</f>
        <v>5</v>
      </c>
      <c r="AD642" s="9">
        <v>0</v>
      </c>
      <c r="AE642" s="9">
        <v>0</v>
      </c>
      <c r="AF642" s="9">
        <v>0</v>
      </c>
      <c r="AG642" s="9">
        <v>0</v>
      </c>
      <c r="AH642" s="9">
        <v>0</v>
      </c>
      <c r="AI642" s="9">
        <v>0</v>
      </c>
      <c r="AJ642" s="9">
        <v>0</v>
      </c>
      <c r="AK642" s="9">
        <v>0</v>
      </c>
      <c r="AL642" s="9">
        <v>0</v>
      </c>
      <c r="AM642" s="9">
        <v>0</v>
      </c>
      <c r="AN642" s="9">
        <v>0</v>
      </c>
      <c r="AO642" s="9">
        <v>0</v>
      </c>
      <c r="AP642" s="9">
        <v>0</v>
      </c>
      <c r="AQ642" s="9">
        <v>0</v>
      </c>
      <c r="AR642" s="9">
        <v>0</v>
      </c>
      <c r="AS642" s="10">
        <f t="shared" ref="AS642:AS705" si="53">IF(COUNTBLANK(AD642:AR642)&gt;0,"",SUM(AD642:AR642))</f>
        <v>0</v>
      </c>
      <c r="AT642" s="10">
        <f t="shared" ref="AT642:AT705" si="54">IF(AS642="","",AS642/15*100)</f>
        <v>0</v>
      </c>
      <c r="AU642" s="5" t="s">
        <v>624</v>
      </c>
    </row>
    <row r="643" spans="1:47" ht="15" customHeight="1" x14ac:dyDescent="0.3">
      <c r="A643" s="7" t="str">
        <f t="shared" si="50"/>
        <v>129_2022</v>
      </c>
      <c r="B643" s="7">
        <v>642</v>
      </c>
      <c r="C643" s="7">
        <f>'Panel Data (Long Format)'!B643</f>
        <v>129</v>
      </c>
      <c r="D643" s="7" t="str">
        <f>'Panel Data (Long Format)'!C643</f>
        <v>UACN</v>
      </c>
      <c r="E643" s="8" t="str">
        <f>'Panel Data (Long Format)'!D643</f>
        <v>UAC of Nigeria Plc</v>
      </c>
      <c r="F643" s="7" t="str">
        <f>'Panel Data (Long Format)'!E643</f>
        <v>CONGLOMERATES</v>
      </c>
      <c r="G643" s="7">
        <f>'Panel Data (Long Format)'!F643</f>
        <v>2022</v>
      </c>
      <c r="H643" s="9">
        <v>0</v>
      </c>
      <c r="I643" s="9">
        <v>0</v>
      </c>
      <c r="J643" s="9">
        <v>0</v>
      </c>
      <c r="K643" s="9">
        <v>0</v>
      </c>
      <c r="L643" s="9">
        <v>0</v>
      </c>
      <c r="M643" s="9">
        <v>0</v>
      </c>
      <c r="N643" s="9">
        <v>0</v>
      </c>
      <c r="O643" s="9">
        <v>0</v>
      </c>
      <c r="P643" s="9">
        <v>0</v>
      </c>
      <c r="Q643" s="9">
        <v>0</v>
      </c>
      <c r="R643" s="9">
        <v>0</v>
      </c>
      <c r="S643" s="9">
        <v>0</v>
      </c>
      <c r="T643" s="9">
        <v>0</v>
      </c>
      <c r="U643" s="9">
        <v>0</v>
      </c>
      <c r="V643" s="9">
        <v>0</v>
      </c>
      <c r="W643" s="9">
        <v>1</v>
      </c>
      <c r="X643" s="9">
        <v>0</v>
      </c>
      <c r="Y643" s="9">
        <v>0</v>
      </c>
      <c r="Z643" s="9">
        <v>0</v>
      </c>
      <c r="AA643" s="9">
        <v>0</v>
      </c>
      <c r="AB643" s="10">
        <f t="shared" si="51"/>
        <v>1</v>
      </c>
      <c r="AC643" s="10">
        <f t="shared" si="52"/>
        <v>5</v>
      </c>
      <c r="AD643" s="9">
        <v>0</v>
      </c>
      <c r="AE643" s="9">
        <v>0</v>
      </c>
      <c r="AF643" s="9">
        <v>0</v>
      </c>
      <c r="AG643" s="9">
        <v>0</v>
      </c>
      <c r="AH643" s="9">
        <v>0</v>
      </c>
      <c r="AI643" s="9">
        <v>0</v>
      </c>
      <c r="AJ643" s="9">
        <v>0</v>
      </c>
      <c r="AK643" s="9">
        <v>0</v>
      </c>
      <c r="AL643" s="9">
        <v>0</v>
      </c>
      <c r="AM643" s="9">
        <v>0</v>
      </c>
      <c r="AN643" s="9">
        <v>0</v>
      </c>
      <c r="AO643" s="9">
        <v>0</v>
      </c>
      <c r="AP643" s="9">
        <v>0</v>
      </c>
      <c r="AQ643" s="9">
        <v>0</v>
      </c>
      <c r="AR643" s="9">
        <v>0</v>
      </c>
      <c r="AS643" s="10">
        <f t="shared" si="53"/>
        <v>0</v>
      </c>
      <c r="AT643" s="10">
        <f t="shared" si="54"/>
        <v>0</v>
      </c>
      <c r="AU643" s="5" t="s">
        <v>624</v>
      </c>
    </row>
    <row r="644" spans="1:47" ht="15" customHeight="1" x14ac:dyDescent="0.3">
      <c r="A644" s="7" t="str">
        <f t="shared" si="50"/>
        <v>129_2023</v>
      </c>
      <c r="B644" s="7">
        <v>643</v>
      </c>
      <c r="C644" s="7">
        <f>'Panel Data (Long Format)'!B644</f>
        <v>129</v>
      </c>
      <c r="D644" s="7" t="str">
        <f>'Panel Data (Long Format)'!C644</f>
        <v>UACN</v>
      </c>
      <c r="E644" s="8" t="str">
        <f>'Panel Data (Long Format)'!D644</f>
        <v>UAC of Nigeria Plc</v>
      </c>
      <c r="F644" s="7" t="str">
        <f>'Panel Data (Long Format)'!E644</f>
        <v>CONGLOMERATES</v>
      </c>
      <c r="G644" s="7">
        <f>'Panel Data (Long Format)'!F644</f>
        <v>2023</v>
      </c>
      <c r="H644" s="9">
        <v>0</v>
      </c>
      <c r="I644" s="9">
        <v>0</v>
      </c>
      <c r="J644" s="9">
        <v>0</v>
      </c>
      <c r="K644" s="9">
        <v>0</v>
      </c>
      <c r="L644" s="9">
        <v>0</v>
      </c>
      <c r="M644" s="9">
        <v>0</v>
      </c>
      <c r="N644" s="9">
        <v>0</v>
      </c>
      <c r="O644" s="9">
        <v>0</v>
      </c>
      <c r="P644" s="9">
        <v>0</v>
      </c>
      <c r="Q644" s="9">
        <v>0</v>
      </c>
      <c r="R644" s="9">
        <v>0</v>
      </c>
      <c r="S644" s="9">
        <v>0</v>
      </c>
      <c r="T644" s="9">
        <v>0</v>
      </c>
      <c r="U644" s="9">
        <v>0</v>
      </c>
      <c r="V644" s="9">
        <v>0</v>
      </c>
      <c r="W644" s="9">
        <v>0</v>
      </c>
      <c r="X644" s="9">
        <v>0</v>
      </c>
      <c r="Y644" s="9">
        <v>0</v>
      </c>
      <c r="Z644" s="9">
        <v>0</v>
      </c>
      <c r="AA644" s="9">
        <v>0</v>
      </c>
      <c r="AB644" s="10">
        <f t="shared" si="51"/>
        <v>0</v>
      </c>
      <c r="AC644" s="10">
        <f t="shared" si="52"/>
        <v>0</v>
      </c>
      <c r="AD644" s="9">
        <v>0</v>
      </c>
      <c r="AE644" s="9">
        <v>0</v>
      </c>
      <c r="AF644" s="9">
        <v>0</v>
      </c>
      <c r="AG644" s="9">
        <v>0</v>
      </c>
      <c r="AH644" s="9">
        <v>0</v>
      </c>
      <c r="AI644" s="9">
        <v>0</v>
      </c>
      <c r="AJ644" s="9">
        <v>0</v>
      </c>
      <c r="AK644" s="9">
        <v>0</v>
      </c>
      <c r="AL644" s="9">
        <v>0</v>
      </c>
      <c r="AM644" s="9">
        <v>0</v>
      </c>
      <c r="AN644" s="9">
        <v>0</v>
      </c>
      <c r="AO644" s="9">
        <v>0</v>
      </c>
      <c r="AP644" s="9">
        <v>0</v>
      </c>
      <c r="AQ644" s="9">
        <v>0</v>
      </c>
      <c r="AR644" s="9">
        <v>0</v>
      </c>
      <c r="AS644" s="10">
        <f t="shared" si="53"/>
        <v>0</v>
      </c>
      <c r="AT644" s="10">
        <f t="shared" si="54"/>
        <v>0</v>
      </c>
      <c r="AU644" s="5" t="s">
        <v>625</v>
      </c>
    </row>
    <row r="645" spans="1:47" ht="15" customHeight="1" x14ac:dyDescent="0.3">
      <c r="A645" s="7" t="str">
        <f t="shared" si="50"/>
        <v>129_2024</v>
      </c>
      <c r="B645" s="7">
        <v>644</v>
      </c>
      <c r="C645" s="7">
        <f>'Panel Data (Long Format)'!B645</f>
        <v>129</v>
      </c>
      <c r="D645" s="7" t="str">
        <f>'Panel Data (Long Format)'!C645</f>
        <v>UACN</v>
      </c>
      <c r="E645" s="8" t="str">
        <f>'Panel Data (Long Format)'!D645</f>
        <v>UAC of Nigeria Plc</v>
      </c>
      <c r="F645" s="7" t="str">
        <f>'Panel Data (Long Format)'!E645</f>
        <v>CONGLOMERATES</v>
      </c>
      <c r="G645" s="7">
        <f>'Panel Data (Long Format)'!F645</f>
        <v>2024</v>
      </c>
      <c r="H645" s="9">
        <v>0</v>
      </c>
      <c r="I645" s="9">
        <v>0</v>
      </c>
      <c r="J645" s="9">
        <v>0</v>
      </c>
      <c r="K645" s="9">
        <v>0</v>
      </c>
      <c r="L645" s="9">
        <v>0</v>
      </c>
      <c r="M645" s="9">
        <v>0</v>
      </c>
      <c r="N645" s="9">
        <v>0</v>
      </c>
      <c r="O645" s="9">
        <v>0</v>
      </c>
      <c r="P645" s="9">
        <v>0</v>
      </c>
      <c r="Q645" s="9">
        <v>0</v>
      </c>
      <c r="R645" s="9">
        <v>0</v>
      </c>
      <c r="S645" s="9">
        <v>0</v>
      </c>
      <c r="T645" s="9">
        <v>0</v>
      </c>
      <c r="U645" s="9">
        <v>0</v>
      </c>
      <c r="V645" s="9">
        <v>0</v>
      </c>
      <c r="W645" s="9">
        <v>0</v>
      </c>
      <c r="X645" s="9">
        <v>0</v>
      </c>
      <c r="Y645" s="9">
        <v>0</v>
      </c>
      <c r="Z645" s="9">
        <v>0</v>
      </c>
      <c r="AA645" s="9">
        <v>0</v>
      </c>
      <c r="AB645" s="10">
        <f t="shared" si="51"/>
        <v>0</v>
      </c>
      <c r="AC645" s="10">
        <f t="shared" si="52"/>
        <v>0</v>
      </c>
      <c r="AD645" s="9">
        <v>0</v>
      </c>
      <c r="AE645" s="9">
        <v>0</v>
      </c>
      <c r="AF645" s="9">
        <v>0</v>
      </c>
      <c r="AG645" s="9">
        <v>0</v>
      </c>
      <c r="AH645" s="9">
        <v>0</v>
      </c>
      <c r="AI645" s="9">
        <v>0</v>
      </c>
      <c r="AJ645" s="9">
        <v>0</v>
      </c>
      <c r="AK645" s="9">
        <v>0</v>
      </c>
      <c r="AL645" s="9">
        <v>0</v>
      </c>
      <c r="AM645" s="9">
        <v>0</v>
      </c>
      <c r="AN645" s="9">
        <v>0</v>
      </c>
      <c r="AO645" s="9">
        <v>0</v>
      </c>
      <c r="AP645" s="9">
        <v>0</v>
      </c>
      <c r="AQ645" s="9">
        <v>0</v>
      </c>
      <c r="AR645" s="9">
        <v>0</v>
      </c>
      <c r="AS645" s="10">
        <f t="shared" si="53"/>
        <v>0</v>
      </c>
      <c r="AT645" s="10">
        <f t="shared" si="54"/>
        <v>0</v>
      </c>
      <c r="AU645" s="5" t="s">
        <v>626</v>
      </c>
    </row>
    <row r="646" spans="1:47" ht="15" customHeight="1" x14ac:dyDescent="0.3">
      <c r="A646" s="7" t="str">
        <f t="shared" si="50"/>
        <v>129_2025</v>
      </c>
      <c r="B646" s="7">
        <v>645</v>
      </c>
      <c r="C646" s="7">
        <f>'Panel Data (Long Format)'!B646</f>
        <v>129</v>
      </c>
      <c r="D646" s="7" t="str">
        <f>'Panel Data (Long Format)'!C646</f>
        <v>UACN</v>
      </c>
      <c r="E646" s="8" t="str">
        <f>'Panel Data (Long Format)'!D646</f>
        <v>UAC of Nigeria Plc</v>
      </c>
      <c r="F646" s="7" t="str">
        <f>'Panel Data (Long Format)'!E646</f>
        <v>CONGLOMERATES</v>
      </c>
      <c r="G646" s="7">
        <f>'Panel Data (Long Format)'!F646</f>
        <v>2025</v>
      </c>
      <c r="H646" s="9">
        <v>0</v>
      </c>
      <c r="I646" s="9">
        <v>0</v>
      </c>
      <c r="J646" s="9">
        <v>0</v>
      </c>
      <c r="K646" s="9">
        <v>0</v>
      </c>
      <c r="L646" s="9">
        <v>0</v>
      </c>
      <c r="M646" s="9">
        <v>0</v>
      </c>
      <c r="N646" s="9">
        <v>0</v>
      </c>
      <c r="O646" s="9">
        <v>0</v>
      </c>
      <c r="P646" s="9">
        <v>0</v>
      </c>
      <c r="Q646" s="9">
        <v>0</v>
      </c>
      <c r="R646" s="9">
        <v>0</v>
      </c>
      <c r="S646" s="9">
        <v>0</v>
      </c>
      <c r="T646" s="9">
        <v>0</v>
      </c>
      <c r="U646" s="9">
        <v>0</v>
      </c>
      <c r="V646" s="9">
        <v>0</v>
      </c>
      <c r="W646" s="9">
        <v>0</v>
      </c>
      <c r="X646" s="9">
        <v>0</v>
      </c>
      <c r="Y646" s="9">
        <v>0</v>
      </c>
      <c r="Z646" s="9">
        <v>0</v>
      </c>
      <c r="AA646" s="9">
        <v>0</v>
      </c>
      <c r="AB646" s="10">
        <f t="shared" si="51"/>
        <v>0</v>
      </c>
      <c r="AC646" s="10">
        <f t="shared" si="52"/>
        <v>0</v>
      </c>
      <c r="AD646" s="9">
        <v>0</v>
      </c>
      <c r="AE646" s="9">
        <v>0</v>
      </c>
      <c r="AF646" s="9">
        <v>0</v>
      </c>
      <c r="AG646" s="9">
        <v>0</v>
      </c>
      <c r="AH646" s="9">
        <v>0</v>
      </c>
      <c r="AI646" s="9">
        <v>0</v>
      </c>
      <c r="AJ646" s="9">
        <v>0</v>
      </c>
      <c r="AK646" s="9">
        <v>0</v>
      </c>
      <c r="AL646" s="9">
        <v>0</v>
      </c>
      <c r="AM646" s="9">
        <v>0</v>
      </c>
      <c r="AN646" s="9">
        <v>0</v>
      </c>
      <c r="AO646" s="9">
        <v>0</v>
      </c>
      <c r="AP646" s="9">
        <v>0</v>
      </c>
      <c r="AQ646" s="9">
        <v>0</v>
      </c>
      <c r="AR646" s="9">
        <v>0</v>
      </c>
      <c r="AS646" s="10">
        <f t="shared" si="53"/>
        <v>0</v>
      </c>
      <c r="AT646" s="10">
        <f t="shared" si="54"/>
        <v>0</v>
      </c>
      <c r="AU646" s="5" t="s">
        <v>627</v>
      </c>
    </row>
    <row r="647" spans="1:47" ht="15" customHeight="1" x14ac:dyDescent="0.3">
      <c r="A647" s="7" t="str">
        <f t="shared" si="50"/>
        <v>130_2021</v>
      </c>
      <c r="B647" s="7">
        <v>646</v>
      </c>
      <c r="C647" s="7">
        <f>'Panel Data (Long Format)'!B647</f>
        <v>130</v>
      </c>
      <c r="D647" s="7" t="str">
        <f>'Panel Data (Long Format)'!C647</f>
        <v>UBA</v>
      </c>
      <c r="E647" s="8" t="str">
        <f>'Panel Data (Long Format)'!D647</f>
        <v>United Bank for Africa Plc</v>
      </c>
      <c r="F647" s="7" t="str">
        <f>'Panel Data (Long Format)'!E647</f>
        <v>FINANCIAL SERVICES</v>
      </c>
      <c r="G647" s="7">
        <f>'Panel Data (Long Format)'!F647</f>
        <v>2021</v>
      </c>
      <c r="H647" s="9">
        <v>0</v>
      </c>
      <c r="I647" s="9">
        <v>1</v>
      </c>
      <c r="J647" s="9">
        <v>0</v>
      </c>
      <c r="K647" s="9">
        <v>0</v>
      </c>
      <c r="L647" s="9">
        <v>0</v>
      </c>
      <c r="M647" s="9">
        <v>0</v>
      </c>
      <c r="N647" s="9">
        <v>0</v>
      </c>
      <c r="O647" s="9">
        <v>1</v>
      </c>
      <c r="P647" s="9">
        <v>0</v>
      </c>
      <c r="Q647" s="9">
        <v>0</v>
      </c>
      <c r="R647" s="9">
        <v>1</v>
      </c>
      <c r="S647" s="9">
        <v>1</v>
      </c>
      <c r="T647" s="9">
        <v>1</v>
      </c>
      <c r="U647" s="9">
        <v>0</v>
      </c>
      <c r="V647" s="9">
        <v>0</v>
      </c>
      <c r="W647" s="9">
        <v>1</v>
      </c>
      <c r="X647" s="9">
        <v>1</v>
      </c>
      <c r="Y647" s="9">
        <v>1</v>
      </c>
      <c r="Z647" s="9">
        <v>0</v>
      </c>
      <c r="AA647" s="9">
        <v>1</v>
      </c>
      <c r="AB647" s="10">
        <f t="shared" si="51"/>
        <v>9</v>
      </c>
      <c r="AC647" s="10">
        <f t="shared" si="52"/>
        <v>45</v>
      </c>
      <c r="AD647" s="9">
        <v>0</v>
      </c>
      <c r="AE647" s="9">
        <v>0</v>
      </c>
      <c r="AF647" s="9">
        <v>0</v>
      </c>
      <c r="AG647" s="9">
        <v>1</v>
      </c>
      <c r="AH647" s="9">
        <v>1</v>
      </c>
      <c r="AI647" s="9">
        <v>1</v>
      </c>
      <c r="AJ647" s="9">
        <v>1</v>
      </c>
      <c r="AK647" s="9">
        <v>1</v>
      </c>
      <c r="AL647" s="9">
        <v>1</v>
      </c>
      <c r="AM647" s="9">
        <v>1</v>
      </c>
      <c r="AN647" s="9">
        <v>1</v>
      </c>
      <c r="AO647" s="9">
        <v>1</v>
      </c>
      <c r="AP647" s="9">
        <v>1</v>
      </c>
      <c r="AQ647" s="9">
        <v>1</v>
      </c>
      <c r="AR647" s="9">
        <v>1</v>
      </c>
      <c r="AS647" s="10">
        <f t="shared" si="53"/>
        <v>12</v>
      </c>
      <c r="AT647" s="10">
        <f t="shared" si="54"/>
        <v>80</v>
      </c>
      <c r="AU647" s="5" t="s">
        <v>628</v>
      </c>
    </row>
    <row r="648" spans="1:47" ht="15" customHeight="1" x14ac:dyDescent="0.3">
      <c r="A648" s="7" t="str">
        <f t="shared" si="50"/>
        <v>130_2022</v>
      </c>
      <c r="B648" s="7">
        <v>647</v>
      </c>
      <c r="C648" s="7">
        <f>'Panel Data (Long Format)'!B648</f>
        <v>130</v>
      </c>
      <c r="D648" s="7" t="str">
        <f>'Panel Data (Long Format)'!C648</f>
        <v>UBA</v>
      </c>
      <c r="E648" s="8" t="str">
        <f>'Panel Data (Long Format)'!D648</f>
        <v>United Bank for Africa Plc</v>
      </c>
      <c r="F648" s="7" t="str">
        <f>'Panel Data (Long Format)'!E648</f>
        <v>FINANCIAL SERVICES</v>
      </c>
      <c r="G648" s="7">
        <f>'Panel Data (Long Format)'!F648</f>
        <v>2022</v>
      </c>
      <c r="H648" s="9">
        <v>1</v>
      </c>
      <c r="I648" s="9">
        <v>1</v>
      </c>
      <c r="J648" s="9">
        <v>1</v>
      </c>
      <c r="K648" s="9">
        <v>1</v>
      </c>
      <c r="L648" s="9">
        <v>0</v>
      </c>
      <c r="M648" s="9">
        <v>1</v>
      </c>
      <c r="N648" s="9">
        <v>1</v>
      </c>
      <c r="O648" s="9">
        <v>1</v>
      </c>
      <c r="P648" s="9">
        <v>1</v>
      </c>
      <c r="Q648" s="9">
        <v>1</v>
      </c>
      <c r="R648" s="9">
        <v>1</v>
      </c>
      <c r="S648" s="9">
        <v>1</v>
      </c>
      <c r="T648" s="9">
        <v>1</v>
      </c>
      <c r="U648" s="9">
        <v>1</v>
      </c>
      <c r="V648" s="9">
        <v>1</v>
      </c>
      <c r="W648" s="9">
        <v>1</v>
      </c>
      <c r="X648" s="9">
        <v>1</v>
      </c>
      <c r="Y648" s="9">
        <v>1</v>
      </c>
      <c r="Z648" s="9">
        <v>0</v>
      </c>
      <c r="AA648" s="9">
        <v>1</v>
      </c>
      <c r="AB648" s="10">
        <f t="shared" si="51"/>
        <v>18</v>
      </c>
      <c r="AC648" s="10">
        <f t="shared" si="52"/>
        <v>90</v>
      </c>
      <c r="AD648" s="9">
        <v>0</v>
      </c>
      <c r="AE648" s="9">
        <v>1</v>
      </c>
      <c r="AF648" s="9">
        <v>0</v>
      </c>
      <c r="AG648" s="9">
        <v>1</v>
      </c>
      <c r="AH648" s="9">
        <v>1</v>
      </c>
      <c r="AI648" s="9">
        <v>1</v>
      </c>
      <c r="AJ648" s="9">
        <v>1</v>
      </c>
      <c r="AK648" s="9">
        <v>1</v>
      </c>
      <c r="AL648" s="9">
        <v>1</v>
      </c>
      <c r="AM648" s="9">
        <v>1</v>
      </c>
      <c r="AN648" s="9">
        <v>1</v>
      </c>
      <c r="AO648" s="9">
        <v>1</v>
      </c>
      <c r="AP648" s="9">
        <v>1</v>
      </c>
      <c r="AQ648" s="9">
        <v>1</v>
      </c>
      <c r="AR648" s="9">
        <v>1</v>
      </c>
      <c r="AS648" s="10">
        <f t="shared" si="53"/>
        <v>13</v>
      </c>
      <c r="AT648" s="10">
        <f t="shared" si="54"/>
        <v>86.666666666666671</v>
      </c>
      <c r="AU648" s="5" t="s">
        <v>629</v>
      </c>
    </row>
    <row r="649" spans="1:47" ht="15" customHeight="1" x14ac:dyDescent="0.3">
      <c r="A649" s="7" t="str">
        <f t="shared" si="50"/>
        <v>130_2023</v>
      </c>
      <c r="B649" s="7">
        <v>648</v>
      </c>
      <c r="C649" s="7">
        <f>'Panel Data (Long Format)'!B649</f>
        <v>130</v>
      </c>
      <c r="D649" s="7" t="str">
        <f>'Panel Data (Long Format)'!C649</f>
        <v>UBA</v>
      </c>
      <c r="E649" s="8" t="str">
        <f>'Panel Data (Long Format)'!D649</f>
        <v>United Bank for Africa Plc</v>
      </c>
      <c r="F649" s="7" t="str">
        <f>'Panel Data (Long Format)'!E649</f>
        <v>FINANCIAL SERVICES</v>
      </c>
      <c r="G649" s="7">
        <f>'Panel Data (Long Format)'!F649</f>
        <v>2023</v>
      </c>
      <c r="H649" s="9">
        <v>1</v>
      </c>
      <c r="I649" s="9">
        <v>1</v>
      </c>
      <c r="J649" s="9">
        <v>1</v>
      </c>
      <c r="K649" s="9">
        <v>1</v>
      </c>
      <c r="L649" s="9">
        <v>0</v>
      </c>
      <c r="M649" s="9">
        <v>1</v>
      </c>
      <c r="N649" s="9">
        <v>1</v>
      </c>
      <c r="O649" s="9">
        <v>1</v>
      </c>
      <c r="P649" s="9">
        <v>1</v>
      </c>
      <c r="Q649" s="9">
        <v>1</v>
      </c>
      <c r="R649" s="9">
        <v>1</v>
      </c>
      <c r="S649" s="9">
        <v>1</v>
      </c>
      <c r="T649" s="9">
        <v>1</v>
      </c>
      <c r="U649" s="9">
        <v>1</v>
      </c>
      <c r="V649" s="9">
        <v>1</v>
      </c>
      <c r="W649" s="9">
        <v>1</v>
      </c>
      <c r="X649" s="9">
        <v>1</v>
      </c>
      <c r="Y649" s="9">
        <v>1</v>
      </c>
      <c r="Z649" s="9">
        <v>0</v>
      </c>
      <c r="AA649" s="9">
        <v>1</v>
      </c>
      <c r="AB649" s="10">
        <f t="shared" si="51"/>
        <v>18</v>
      </c>
      <c r="AC649" s="10">
        <f t="shared" si="52"/>
        <v>90</v>
      </c>
      <c r="AD649" s="9">
        <v>0</v>
      </c>
      <c r="AE649" s="9">
        <v>1</v>
      </c>
      <c r="AF649" s="9">
        <v>1</v>
      </c>
      <c r="AG649" s="9">
        <v>1</v>
      </c>
      <c r="AH649" s="9">
        <v>1</v>
      </c>
      <c r="AI649" s="9">
        <v>1</v>
      </c>
      <c r="AJ649" s="9">
        <v>1</v>
      </c>
      <c r="AK649" s="9">
        <v>1</v>
      </c>
      <c r="AL649" s="9">
        <v>1</v>
      </c>
      <c r="AM649" s="9">
        <v>1</v>
      </c>
      <c r="AN649" s="9">
        <v>1</v>
      </c>
      <c r="AO649" s="9">
        <v>1</v>
      </c>
      <c r="AP649" s="9">
        <v>1</v>
      </c>
      <c r="AQ649" s="9">
        <v>1</v>
      </c>
      <c r="AR649" s="9">
        <v>1</v>
      </c>
      <c r="AS649" s="10">
        <f t="shared" si="53"/>
        <v>14</v>
      </c>
      <c r="AT649" s="10">
        <f t="shared" si="54"/>
        <v>93.333333333333329</v>
      </c>
      <c r="AU649" s="5" t="s">
        <v>630</v>
      </c>
    </row>
    <row r="650" spans="1:47" ht="15" customHeight="1" x14ac:dyDescent="0.3">
      <c r="A650" s="7" t="str">
        <f t="shared" si="50"/>
        <v>130_2024</v>
      </c>
      <c r="B650" s="7">
        <v>649</v>
      </c>
      <c r="C650" s="7">
        <f>'Panel Data (Long Format)'!B650</f>
        <v>130</v>
      </c>
      <c r="D650" s="7" t="str">
        <f>'Panel Data (Long Format)'!C650</f>
        <v>UBA</v>
      </c>
      <c r="E650" s="8" t="str">
        <f>'Panel Data (Long Format)'!D650</f>
        <v>United Bank for Africa Plc</v>
      </c>
      <c r="F650" s="7" t="str">
        <f>'Panel Data (Long Format)'!E650</f>
        <v>FINANCIAL SERVICES</v>
      </c>
      <c r="G650" s="7">
        <f>'Panel Data (Long Format)'!F650</f>
        <v>2024</v>
      </c>
      <c r="H650" s="9">
        <v>1</v>
      </c>
      <c r="I650" s="9">
        <v>1</v>
      </c>
      <c r="J650" s="9">
        <v>1</v>
      </c>
      <c r="K650" s="9">
        <v>1</v>
      </c>
      <c r="L650" s="9">
        <v>0</v>
      </c>
      <c r="M650" s="9">
        <v>1</v>
      </c>
      <c r="N650" s="9">
        <v>1</v>
      </c>
      <c r="O650" s="9">
        <v>1</v>
      </c>
      <c r="P650" s="9">
        <v>1</v>
      </c>
      <c r="Q650" s="9">
        <v>1</v>
      </c>
      <c r="R650" s="9">
        <v>1</v>
      </c>
      <c r="S650" s="9">
        <v>1</v>
      </c>
      <c r="T650" s="9">
        <v>1</v>
      </c>
      <c r="U650" s="9">
        <v>1</v>
      </c>
      <c r="V650" s="9">
        <v>1</v>
      </c>
      <c r="W650" s="9">
        <v>1</v>
      </c>
      <c r="X650" s="9">
        <v>1</v>
      </c>
      <c r="Y650" s="9">
        <v>1</v>
      </c>
      <c r="Z650" s="9">
        <v>0</v>
      </c>
      <c r="AA650" s="9">
        <v>1</v>
      </c>
      <c r="AB650" s="10">
        <f t="shared" si="51"/>
        <v>18</v>
      </c>
      <c r="AC650" s="10">
        <f t="shared" si="52"/>
        <v>90</v>
      </c>
      <c r="AD650" s="9">
        <v>0</v>
      </c>
      <c r="AE650" s="9">
        <v>1</v>
      </c>
      <c r="AF650" s="9">
        <v>1</v>
      </c>
      <c r="AG650" s="9">
        <v>1</v>
      </c>
      <c r="AH650" s="9">
        <v>1</v>
      </c>
      <c r="AI650" s="9">
        <v>1</v>
      </c>
      <c r="AJ650" s="9">
        <v>1</v>
      </c>
      <c r="AK650" s="9">
        <v>1</v>
      </c>
      <c r="AL650" s="9">
        <v>1</v>
      </c>
      <c r="AM650" s="9">
        <v>1</v>
      </c>
      <c r="AN650" s="9">
        <v>1</v>
      </c>
      <c r="AO650" s="9">
        <v>1</v>
      </c>
      <c r="AP650" s="9">
        <v>1</v>
      </c>
      <c r="AQ650" s="9">
        <v>1</v>
      </c>
      <c r="AR650" s="9">
        <v>1</v>
      </c>
      <c r="AS650" s="10">
        <f t="shared" si="53"/>
        <v>14</v>
      </c>
      <c r="AT650" s="10">
        <f t="shared" si="54"/>
        <v>93.333333333333329</v>
      </c>
      <c r="AU650" s="5" t="s">
        <v>631</v>
      </c>
    </row>
    <row r="651" spans="1:47" ht="15" customHeight="1" x14ac:dyDescent="0.3">
      <c r="A651" s="7" t="str">
        <f t="shared" si="50"/>
        <v>130_2025</v>
      </c>
      <c r="B651" s="7">
        <v>650</v>
      </c>
      <c r="C651" s="7">
        <f>'Panel Data (Long Format)'!B651</f>
        <v>130</v>
      </c>
      <c r="D651" s="7" t="str">
        <f>'Panel Data (Long Format)'!C651</f>
        <v>UBA</v>
      </c>
      <c r="E651" s="8" t="str">
        <f>'Panel Data (Long Format)'!D651</f>
        <v>United Bank for Africa Plc</v>
      </c>
      <c r="F651" s="7" t="str">
        <f>'Panel Data (Long Format)'!E651</f>
        <v>FINANCIAL SERVICES</v>
      </c>
      <c r="G651" s="7">
        <f>'Panel Data (Long Format)'!F651</f>
        <v>2025</v>
      </c>
      <c r="H651" s="9">
        <v>0</v>
      </c>
      <c r="I651" s="9">
        <v>0</v>
      </c>
      <c r="J651" s="9">
        <v>0</v>
      </c>
      <c r="K651" s="9">
        <v>0</v>
      </c>
      <c r="L651" s="9">
        <v>0</v>
      </c>
      <c r="M651" s="9">
        <v>0</v>
      </c>
      <c r="N651" s="9">
        <v>0</v>
      </c>
      <c r="O651" s="9">
        <v>0</v>
      </c>
      <c r="P651" s="9">
        <v>0</v>
      </c>
      <c r="Q651" s="9">
        <v>0</v>
      </c>
      <c r="R651" s="9">
        <v>1</v>
      </c>
      <c r="S651" s="9">
        <v>1</v>
      </c>
      <c r="T651" s="9">
        <v>1</v>
      </c>
      <c r="U651" s="9">
        <v>1</v>
      </c>
      <c r="V651" s="9">
        <v>1</v>
      </c>
      <c r="W651" s="9">
        <v>1</v>
      </c>
      <c r="X651" s="9">
        <v>1</v>
      </c>
      <c r="Y651" s="9">
        <v>1</v>
      </c>
      <c r="Z651" s="9">
        <v>0</v>
      </c>
      <c r="AA651" s="9">
        <v>1</v>
      </c>
      <c r="AB651" s="10">
        <f t="shared" si="51"/>
        <v>9</v>
      </c>
      <c r="AC651" s="10">
        <f t="shared" si="52"/>
        <v>45</v>
      </c>
      <c r="AD651" s="9">
        <v>0</v>
      </c>
      <c r="AE651" s="9">
        <v>0</v>
      </c>
      <c r="AF651" s="9">
        <v>0</v>
      </c>
      <c r="AG651" s="9">
        <v>1</v>
      </c>
      <c r="AH651" s="9">
        <v>1</v>
      </c>
      <c r="AI651" s="9">
        <v>1</v>
      </c>
      <c r="AJ651" s="9">
        <v>1</v>
      </c>
      <c r="AK651" s="9">
        <v>1</v>
      </c>
      <c r="AL651" s="9">
        <v>1</v>
      </c>
      <c r="AM651" s="9">
        <v>1</v>
      </c>
      <c r="AN651" s="9">
        <v>1</v>
      </c>
      <c r="AO651" s="9">
        <v>1</v>
      </c>
      <c r="AP651" s="9">
        <v>1</v>
      </c>
      <c r="AQ651" s="9">
        <v>1</v>
      </c>
      <c r="AR651" s="9">
        <v>1</v>
      </c>
      <c r="AS651" s="10">
        <f t="shared" si="53"/>
        <v>12</v>
      </c>
      <c r="AT651" s="10">
        <f t="shared" si="54"/>
        <v>80</v>
      </c>
      <c r="AU651" s="5" t="s">
        <v>632</v>
      </c>
    </row>
    <row r="652" spans="1:47" ht="15" customHeight="1" x14ac:dyDescent="0.3">
      <c r="A652" s="7" t="str">
        <f t="shared" si="50"/>
        <v>131_2021</v>
      </c>
      <c r="B652" s="7">
        <v>651</v>
      </c>
      <c r="C652" s="7">
        <f>'Panel Data (Long Format)'!B652</f>
        <v>131</v>
      </c>
      <c r="D652" s="7" t="str">
        <f>'Panel Data (Long Format)'!C652</f>
        <v>UCAP</v>
      </c>
      <c r="E652" s="8" t="str">
        <f>'Panel Data (Long Format)'!D652</f>
        <v>United Capital Plc</v>
      </c>
      <c r="F652" s="7" t="str">
        <f>'Panel Data (Long Format)'!E652</f>
        <v>FINANCIAL SERVICES</v>
      </c>
      <c r="G652" s="7">
        <f>'Panel Data (Long Format)'!F652</f>
        <v>2021</v>
      </c>
      <c r="H652" s="9">
        <v>0</v>
      </c>
      <c r="I652" s="9">
        <v>0</v>
      </c>
      <c r="J652" s="9">
        <v>0</v>
      </c>
      <c r="K652" s="9">
        <v>0</v>
      </c>
      <c r="L652" s="9">
        <v>0</v>
      </c>
      <c r="M652" s="9">
        <v>0</v>
      </c>
      <c r="N652" s="9">
        <v>0</v>
      </c>
      <c r="O652" s="9">
        <v>0</v>
      </c>
      <c r="P652" s="9">
        <v>0</v>
      </c>
      <c r="Q652" s="9">
        <v>0</v>
      </c>
      <c r="R652" s="9">
        <v>0</v>
      </c>
      <c r="S652" s="9">
        <v>0</v>
      </c>
      <c r="T652" s="9">
        <v>0</v>
      </c>
      <c r="U652" s="9">
        <v>0</v>
      </c>
      <c r="V652" s="9">
        <v>0</v>
      </c>
      <c r="W652" s="9">
        <v>0</v>
      </c>
      <c r="X652" s="9">
        <v>0</v>
      </c>
      <c r="Y652" s="9">
        <v>0</v>
      </c>
      <c r="Z652" s="9">
        <v>0</v>
      </c>
      <c r="AA652" s="9">
        <v>0</v>
      </c>
      <c r="AB652" s="10">
        <f t="shared" si="51"/>
        <v>0</v>
      </c>
      <c r="AC652" s="10">
        <f t="shared" si="52"/>
        <v>0</v>
      </c>
      <c r="AD652" s="9">
        <v>0</v>
      </c>
      <c r="AE652" s="9">
        <v>0</v>
      </c>
      <c r="AF652" s="9">
        <v>0</v>
      </c>
      <c r="AG652" s="9">
        <v>0</v>
      </c>
      <c r="AH652" s="9">
        <v>0</v>
      </c>
      <c r="AI652" s="9">
        <v>0</v>
      </c>
      <c r="AJ652" s="9">
        <v>0</v>
      </c>
      <c r="AK652" s="9">
        <v>0</v>
      </c>
      <c r="AL652" s="9">
        <v>0</v>
      </c>
      <c r="AM652" s="9">
        <v>0</v>
      </c>
      <c r="AN652" s="9">
        <v>0</v>
      </c>
      <c r="AO652" s="9">
        <v>0</v>
      </c>
      <c r="AP652" s="9">
        <v>0</v>
      </c>
      <c r="AQ652" s="9">
        <v>0</v>
      </c>
      <c r="AR652" s="9">
        <v>0</v>
      </c>
      <c r="AS652" s="10">
        <f t="shared" si="53"/>
        <v>0</v>
      </c>
      <c r="AT652" s="10">
        <f t="shared" si="54"/>
        <v>0</v>
      </c>
      <c r="AU652" s="5" t="s">
        <v>633</v>
      </c>
    </row>
    <row r="653" spans="1:47" ht="15" customHeight="1" x14ac:dyDescent="0.3">
      <c r="A653" s="7" t="str">
        <f t="shared" si="50"/>
        <v>131_2022</v>
      </c>
      <c r="B653" s="7">
        <v>652</v>
      </c>
      <c r="C653" s="7">
        <f>'Panel Data (Long Format)'!B653</f>
        <v>131</v>
      </c>
      <c r="D653" s="7" t="str">
        <f>'Panel Data (Long Format)'!C653</f>
        <v>UCAP</v>
      </c>
      <c r="E653" s="8" t="str">
        <f>'Panel Data (Long Format)'!D653</f>
        <v>United Capital Plc</v>
      </c>
      <c r="F653" s="7" t="str">
        <f>'Panel Data (Long Format)'!E653</f>
        <v>FINANCIAL SERVICES</v>
      </c>
      <c r="G653" s="7">
        <f>'Panel Data (Long Format)'!F653</f>
        <v>2022</v>
      </c>
      <c r="H653" s="9">
        <v>0</v>
      </c>
      <c r="I653" s="9">
        <v>0</v>
      </c>
      <c r="J653" s="9">
        <v>0</v>
      </c>
      <c r="K653" s="9">
        <v>0</v>
      </c>
      <c r="L653" s="9">
        <v>0</v>
      </c>
      <c r="M653" s="9">
        <v>0</v>
      </c>
      <c r="N653" s="9">
        <v>0</v>
      </c>
      <c r="O653" s="9">
        <v>0</v>
      </c>
      <c r="P653" s="9">
        <v>0</v>
      </c>
      <c r="Q653" s="9">
        <v>0</v>
      </c>
      <c r="R653" s="9">
        <v>0</v>
      </c>
      <c r="S653" s="9">
        <v>0</v>
      </c>
      <c r="T653" s="9">
        <v>0</v>
      </c>
      <c r="U653" s="9">
        <v>0</v>
      </c>
      <c r="V653" s="9">
        <v>0</v>
      </c>
      <c r="W653" s="9">
        <v>0</v>
      </c>
      <c r="X653" s="9">
        <v>0</v>
      </c>
      <c r="Y653" s="9">
        <v>0</v>
      </c>
      <c r="Z653" s="9">
        <v>0</v>
      </c>
      <c r="AA653" s="9">
        <v>0</v>
      </c>
      <c r="AB653" s="10">
        <f t="shared" si="51"/>
        <v>0</v>
      </c>
      <c r="AC653" s="10">
        <f t="shared" si="52"/>
        <v>0</v>
      </c>
      <c r="AD653" s="9">
        <v>0</v>
      </c>
      <c r="AE653" s="9">
        <v>0</v>
      </c>
      <c r="AF653" s="9">
        <v>0</v>
      </c>
      <c r="AG653" s="9">
        <v>0</v>
      </c>
      <c r="AH653" s="9">
        <v>0</v>
      </c>
      <c r="AI653" s="9">
        <v>0</v>
      </c>
      <c r="AJ653" s="9">
        <v>0</v>
      </c>
      <c r="AK653" s="9">
        <v>0</v>
      </c>
      <c r="AL653" s="9">
        <v>0</v>
      </c>
      <c r="AM653" s="9">
        <v>0</v>
      </c>
      <c r="AN653" s="9">
        <v>0</v>
      </c>
      <c r="AO653" s="9">
        <v>0</v>
      </c>
      <c r="AP653" s="9">
        <v>0</v>
      </c>
      <c r="AQ653" s="9">
        <v>0</v>
      </c>
      <c r="AR653" s="9">
        <v>0</v>
      </c>
      <c r="AS653" s="10">
        <f t="shared" si="53"/>
        <v>0</v>
      </c>
      <c r="AT653" s="10">
        <f t="shared" si="54"/>
        <v>0</v>
      </c>
      <c r="AU653" s="5" t="s">
        <v>633</v>
      </c>
    </row>
    <row r="654" spans="1:47" ht="15" customHeight="1" x14ac:dyDescent="0.3">
      <c r="A654" s="7" t="str">
        <f t="shared" si="50"/>
        <v>131_2023</v>
      </c>
      <c r="B654" s="7">
        <v>653</v>
      </c>
      <c r="C654" s="7">
        <f>'Panel Data (Long Format)'!B654</f>
        <v>131</v>
      </c>
      <c r="D654" s="7" t="str">
        <f>'Panel Data (Long Format)'!C654</f>
        <v>UCAP</v>
      </c>
      <c r="E654" s="8" t="str">
        <f>'Panel Data (Long Format)'!D654</f>
        <v>United Capital Plc</v>
      </c>
      <c r="F654" s="7" t="str">
        <f>'Panel Data (Long Format)'!E654</f>
        <v>FINANCIAL SERVICES</v>
      </c>
      <c r="G654" s="7">
        <f>'Panel Data (Long Format)'!F654</f>
        <v>2023</v>
      </c>
      <c r="H654" s="9">
        <v>0</v>
      </c>
      <c r="I654" s="9">
        <v>0</v>
      </c>
      <c r="J654" s="9">
        <v>0</v>
      </c>
      <c r="K654" s="9">
        <v>0</v>
      </c>
      <c r="L654" s="9">
        <v>0</v>
      </c>
      <c r="M654" s="9">
        <v>0</v>
      </c>
      <c r="N654" s="9">
        <v>0</v>
      </c>
      <c r="O654" s="9">
        <v>0</v>
      </c>
      <c r="P654" s="9">
        <v>0</v>
      </c>
      <c r="Q654" s="9">
        <v>0</v>
      </c>
      <c r="R654" s="9">
        <v>0</v>
      </c>
      <c r="S654" s="9">
        <v>0</v>
      </c>
      <c r="T654" s="9">
        <v>0</v>
      </c>
      <c r="U654" s="9">
        <v>0</v>
      </c>
      <c r="V654" s="9">
        <v>0</v>
      </c>
      <c r="W654" s="9">
        <v>0</v>
      </c>
      <c r="X654" s="9">
        <v>0</v>
      </c>
      <c r="Y654" s="9">
        <v>0</v>
      </c>
      <c r="Z654" s="9">
        <v>0</v>
      </c>
      <c r="AA654" s="9">
        <v>0</v>
      </c>
      <c r="AB654" s="10">
        <f t="shared" si="51"/>
        <v>0</v>
      </c>
      <c r="AC654" s="10">
        <f t="shared" si="52"/>
        <v>0</v>
      </c>
      <c r="AD654" s="9">
        <v>0</v>
      </c>
      <c r="AE654" s="9">
        <v>0</v>
      </c>
      <c r="AF654" s="9">
        <v>0</v>
      </c>
      <c r="AG654" s="9">
        <v>0</v>
      </c>
      <c r="AH654" s="9">
        <v>0</v>
      </c>
      <c r="AI654" s="9">
        <v>0</v>
      </c>
      <c r="AJ654" s="9">
        <v>0</v>
      </c>
      <c r="AK654" s="9">
        <v>0</v>
      </c>
      <c r="AL654" s="9">
        <v>0</v>
      </c>
      <c r="AM654" s="9">
        <v>0</v>
      </c>
      <c r="AN654" s="9">
        <v>0</v>
      </c>
      <c r="AO654" s="9">
        <v>0</v>
      </c>
      <c r="AP654" s="9">
        <v>0</v>
      </c>
      <c r="AQ654" s="9">
        <v>0</v>
      </c>
      <c r="AR654" s="9">
        <v>0</v>
      </c>
      <c r="AS654" s="10">
        <f t="shared" si="53"/>
        <v>0</v>
      </c>
      <c r="AT654" s="10">
        <f t="shared" si="54"/>
        <v>0</v>
      </c>
      <c r="AU654" s="5" t="s">
        <v>633</v>
      </c>
    </row>
    <row r="655" spans="1:47" ht="15" customHeight="1" x14ac:dyDescent="0.3">
      <c r="A655" s="7" t="str">
        <f t="shared" si="50"/>
        <v>131_2024</v>
      </c>
      <c r="B655" s="7">
        <v>654</v>
      </c>
      <c r="C655" s="7">
        <f>'Panel Data (Long Format)'!B655</f>
        <v>131</v>
      </c>
      <c r="D655" s="7" t="str">
        <f>'Panel Data (Long Format)'!C655</f>
        <v>UCAP</v>
      </c>
      <c r="E655" s="8" t="str">
        <f>'Panel Data (Long Format)'!D655</f>
        <v>United Capital Plc</v>
      </c>
      <c r="F655" s="7" t="str">
        <f>'Panel Data (Long Format)'!E655</f>
        <v>FINANCIAL SERVICES</v>
      </c>
      <c r="G655" s="7">
        <f>'Panel Data (Long Format)'!F655</f>
        <v>2024</v>
      </c>
      <c r="H655" s="9">
        <v>0</v>
      </c>
      <c r="I655" s="9">
        <v>0</v>
      </c>
      <c r="J655" s="9">
        <v>0</v>
      </c>
      <c r="K655" s="9">
        <v>0</v>
      </c>
      <c r="L655" s="9">
        <v>0</v>
      </c>
      <c r="M655" s="9">
        <v>0</v>
      </c>
      <c r="N655" s="9">
        <v>0</v>
      </c>
      <c r="O655" s="9">
        <v>0</v>
      </c>
      <c r="P655" s="9">
        <v>0</v>
      </c>
      <c r="Q655" s="9">
        <v>0</v>
      </c>
      <c r="R655" s="9">
        <v>0</v>
      </c>
      <c r="S655" s="9">
        <v>0</v>
      </c>
      <c r="T655" s="9">
        <v>0</v>
      </c>
      <c r="U655" s="9">
        <v>0</v>
      </c>
      <c r="V655" s="9">
        <v>0</v>
      </c>
      <c r="W655" s="9">
        <v>0</v>
      </c>
      <c r="X655" s="9">
        <v>0</v>
      </c>
      <c r="Y655" s="9">
        <v>0</v>
      </c>
      <c r="Z655" s="9">
        <v>0</v>
      </c>
      <c r="AA655" s="9">
        <v>0</v>
      </c>
      <c r="AB655" s="10">
        <f t="shared" si="51"/>
        <v>0</v>
      </c>
      <c r="AC655" s="10">
        <f t="shared" si="52"/>
        <v>0</v>
      </c>
      <c r="AD655" s="9">
        <v>0</v>
      </c>
      <c r="AE655" s="9">
        <v>0</v>
      </c>
      <c r="AF655" s="9">
        <v>0</v>
      </c>
      <c r="AG655" s="9">
        <v>0</v>
      </c>
      <c r="AH655" s="9">
        <v>0</v>
      </c>
      <c r="AI655" s="9">
        <v>0</v>
      </c>
      <c r="AJ655" s="9">
        <v>0</v>
      </c>
      <c r="AK655" s="9">
        <v>0</v>
      </c>
      <c r="AL655" s="9">
        <v>0</v>
      </c>
      <c r="AM655" s="9">
        <v>0</v>
      </c>
      <c r="AN655" s="9">
        <v>0</v>
      </c>
      <c r="AO655" s="9">
        <v>0</v>
      </c>
      <c r="AP655" s="9">
        <v>0</v>
      </c>
      <c r="AQ655" s="9">
        <v>0</v>
      </c>
      <c r="AR655" s="9">
        <v>0</v>
      </c>
      <c r="AS655" s="10">
        <f t="shared" si="53"/>
        <v>0</v>
      </c>
      <c r="AT655" s="10">
        <f t="shared" si="54"/>
        <v>0</v>
      </c>
      <c r="AU655" s="5" t="s">
        <v>633</v>
      </c>
    </row>
    <row r="656" spans="1:47" ht="15" customHeight="1" x14ac:dyDescent="0.3">
      <c r="A656" s="7" t="str">
        <f t="shared" si="50"/>
        <v>131_2025</v>
      </c>
      <c r="B656" s="7">
        <v>655</v>
      </c>
      <c r="C656" s="7">
        <f>'Panel Data (Long Format)'!B656</f>
        <v>131</v>
      </c>
      <c r="D656" s="7" t="str">
        <f>'Panel Data (Long Format)'!C656</f>
        <v>UCAP</v>
      </c>
      <c r="E656" s="8" t="str">
        <f>'Panel Data (Long Format)'!D656</f>
        <v>United Capital Plc</v>
      </c>
      <c r="F656" s="7" t="str">
        <f>'Panel Data (Long Format)'!E656</f>
        <v>FINANCIAL SERVICES</v>
      </c>
      <c r="G656" s="7">
        <f>'Panel Data (Long Format)'!F656</f>
        <v>2025</v>
      </c>
      <c r="H656" s="9">
        <v>0</v>
      </c>
      <c r="I656" s="9">
        <v>0</v>
      </c>
      <c r="J656" s="9">
        <v>0</v>
      </c>
      <c r="K656" s="9">
        <v>0</v>
      </c>
      <c r="L656" s="9">
        <v>0</v>
      </c>
      <c r="M656" s="9">
        <v>0</v>
      </c>
      <c r="N656" s="9">
        <v>0</v>
      </c>
      <c r="O656" s="9">
        <v>0</v>
      </c>
      <c r="P656" s="9">
        <v>0</v>
      </c>
      <c r="Q656" s="9">
        <v>0</v>
      </c>
      <c r="R656" s="9">
        <v>0</v>
      </c>
      <c r="S656" s="9">
        <v>0</v>
      </c>
      <c r="T656" s="9">
        <v>0</v>
      </c>
      <c r="U656" s="9">
        <v>0</v>
      </c>
      <c r="V656" s="9">
        <v>0</v>
      </c>
      <c r="W656" s="9">
        <v>0</v>
      </c>
      <c r="X656" s="9">
        <v>0</v>
      </c>
      <c r="Y656" s="9">
        <v>0</v>
      </c>
      <c r="Z656" s="9">
        <v>0</v>
      </c>
      <c r="AA656" s="9">
        <v>0</v>
      </c>
      <c r="AB656" s="10">
        <f t="shared" si="51"/>
        <v>0</v>
      </c>
      <c r="AC656" s="10">
        <f t="shared" si="52"/>
        <v>0</v>
      </c>
      <c r="AD656" s="9">
        <v>0</v>
      </c>
      <c r="AE656" s="9">
        <v>0</v>
      </c>
      <c r="AF656" s="9">
        <v>0</v>
      </c>
      <c r="AG656" s="9">
        <v>0</v>
      </c>
      <c r="AH656" s="9">
        <v>0</v>
      </c>
      <c r="AI656" s="9">
        <v>0</v>
      </c>
      <c r="AJ656" s="9">
        <v>0</v>
      </c>
      <c r="AK656" s="9">
        <v>0</v>
      </c>
      <c r="AL656" s="9">
        <v>0</v>
      </c>
      <c r="AM656" s="9">
        <v>0</v>
      </c>
      <c r="AN656" s="9">
        <v>0</v>
      </c>
      <c r="AO656" s="9">
        <v>0</v>
      </c>
      <c r="AP656" s="9">
        <v>0</v>
      </c>
      <c r="AQ656" s="9">
        <v>0</v>
      </c>
      <c r="AR656" s="9">
        <v>0</v>
      </c>
      <c r="AS656" s="10">
        <f t="shared" si="53"/>
        <v>0</v>
      </c>
      <c r="AT656" s="10">
        <f t="shared" si="54"/>
        <v>0</v>
      </c>
      <c r="AU656" s="5" t="s">
        <v>633</v>
      </c>
    </row>
    <row r="657" spans="1:47" ht="15" customHeight="1" x14ac:dyDescent="0.3">
      <c r="A657" s="7" t="str">
        <f t="shared" si="50"/>
        <v>132_2021</v>
      </c>
      <c r="B657" s="7">
        <v>656</v>
      </c>
      <c r="C657" s="7">
        <f>'Panel Data (Long Format)'!B657</f>
        <v>132</v>
      </c>
      <c r="D657" s="7" t="str">
        <f>'Panel Data (Long Format)'!C657</f>
        <v>UHOMREIT</v>
      </c>
      <c r="E657" s="8" t="str">
        <f>'Panel Data (Long Format)'!D657</f>
        <v>Union Homes REIT</v>
      </c>
      <c r="F657" s="7" t="str">
        <f>'Panel Data (Long Format)'!E657</f>
        <v>CONSTRUCTION/REAL ESTATE</v>
      </c>
      <c r="G657" s="7">
        <f>'Panel Data (Long Format)'!F657</f>
        <v>2021</v>
      </c>
      <c r="H657" s="9">
        <v>0</v>
      </c>
      <c r="I657" s="9">
        <v>0</v>
      </c>
      <c r="J657" s="9">
        <v>0</v>
      </c>
      <c r="K657" s="9">
        <v>0</v>
      </c>
      <c r="L657" s="9">
        <v>0</v>
      </c>
      <c r="M657" s="9">
        <v>0</v>
      </c>
      <c r="N657" s="9">
        <v>0</v>
      </c>
      <c r="O657" s="9">
        <v>0</v>
      </c>
      <c r="P657" s="9">
        <v>0</v>
      </c>
      <c r="Q657" s="9">
        <v>0</v>
      </c>
      <c r="R657" s="9">
        <v>0</v>
      </c>
      <c r="S657" s="9">
        <v>0</v>
      </c>
      <c r="T657" s="9">
        <v>0</v>
      </c>
      <c r="U657" s="9">
        <v>0</v>
      </c>
      <c r="V657" s="9">
        <v>0</v>
      </c>
      <c r="W657" s="9">
        <v>0</v>
      </c>
      <c r="X657" s="9">
        <v>0</v>
      </c>
      <c r="Y657" s="9">
        <v>0</v>
      </c>
      <c r="Z657" s="9">
        <v>0</v>
      </c>
      <c r="AA657" s="9">
        <v>0</v>
      </c>
      <c r="AB657" s="10">
        <f t="shared" si="51"/>
        <v>0</v>
      </c>
      <c r="AC657" s="10">
        <f t="shared" si="52"/>
        <v>0</v>
      </c>
      <c r="AD657" s="9">
        <v>0</v>
      </c>
      <c r="AE657" s="9">
        <v>0</v>
      </c>
      <c r="AF657" s="9">
        <v>0</v>
      </c>
      <c r="AG657" s="9">
        <v>0</v>
      </c>
      <c r="AH657" s="9">
        <v>0</v>
      </c>
      <c r="AI657" s="9">
        <v>0</v>
      </c>
      <c r="AJ657" s="9">
        <v>0</v>
      </c>
      <c r="AK657" s="9">
        <v>0</v>
      </c>
      <c r="AL657" s="9">
        <v>0</v>
      </c>
      <c r="AM657" s="9">
        <v>0</v>
      </c>
      <c r="AN657" s="9">
        <v>0</v>
      </c>
      <c r="AO657" s="9">
        <v>0</v>
      </c>
      <c r="AP657" s="9">
        <v>0</v>
      </c>
      <c r="AQ657" s="9">
        <v>0</v>
      </c>
      <c r="AR657" s="9">
        <v>0</v>
      </c>
      <c r="AS657" s="10">
        <f t="shared" si="53"/>
        <v>0</v>
      </c>
      <c r="AT657" s="10">
        <f t="shared" si="54"/>
        <v>0</v>
      </c>
      <c r="AU657" s="5" t="s">
        <v>634</v>
      </c>
    </row>
    <row r="658" spans="1:47" ht="15" customHeight="1" x14ac:dyDescent="0.3">
      <c r="A658" s="7" t="str">
        <f t="shared" si="50"/>
        <v>132_2022</v>
      </c>
      <c r="B658" s="7">
        <v>657</v>
      </c>
      <c r="C658" s="7">
        <f>'Panel Data (Long Format)'!B658</f>
        <v>132</v>
      </c>
      <c r="D658" s="7" t="str">
        <f>'Panel Data (Long Format)'!C658</f>
        <v>UHOMREIT</v>
      </c>
      <c r="E658" s="8" t="str">
        <f>'Panel Data (Long Format)'!D658</f>
        <v>Union Homes REIT</v>
      </c>
      <c r="F658" s="7" t="str">
        <f>'Panel Data (Long Format)'!E658</f>
        <v>CONSTRUCTION/REAL ESTATE</v>
      </c>
      <c r="G658" s="7">
        <f>'Panel Data (Long Format)'!F658</f>
        <v>2022</v>
      </c>
      <c r="H658" s="9">
        <v>0</v>
      </c>
      <c r="I658" s="9">
        <v>0</v>
      </c>
      <c r="J658" s="9">
        <v>0</v>
      </c>
      <c r="K658" s="9">
        <v>0</v>
      </c>
      <c r="L658" s="9">
        <v>0</v>
      </c>
      <c r="M658" s="9">
        <v>0</v>
      </c>
      <c r="N658" s="9">
        <v>0</v>
      </c>
      <c r="O658" s="9">
        <v>0</v>
      </c>
      <c r="P658" s="9">
        <v>0</v>
      </c>
      <c r="Q658" s="9">
        <v>0</v>
      </c>
      <c r="R658" s="9">
        <v>0</v>
      </c>
      <c r="S658" s="9">
        <v>0</v>
      </c>
      <c r="T658" s="9">
        <v>0</v>
      </c>
      <c r="U658" s="9">
        <v>0</v>
      </c>
      <c r="V658" s="9">
        <v>0</v>
      </c>
      <c r="W658" s="9">
        <v>0</v>
      </c>
      <c r="X658" s="9">
        <v>0</v>
      </c>
      <c r="Y658" s="9">
        <v>0</v>
      </c>
      <c r="Z658" s="9">
        <v>0</v>
      </c>
      <c r="AA658" s="9">
        <v>0</v>
      </c>
      <c r="AB658" s="10">
        <f t="shared" si="51"/>
        <v>0</v>
      </c>
      <c r="AC658" s="10">
        <f t="shared" si="52"/>
        <v>0</v>
      </c>
      <c r="AD658" s="9">
        <v>0</v>
      </c>
      <c r="AE658" s="9">
        <v>0</v>
      </c>
      <c r="AF658" s="9">
        <v>0</v>
      </c>
      <c r="AG658" s="9">
        <v>0</v>
      </c>
      <c r="AH658" s="9">
        <v>0</v>
      </c>
      <c r="AI658" s="9">
        <v>0</v>
      </c>
      <c r="AJ658" s="9">
        <v>0</v>
      </c>
      <c r="AK658" s="9">
        <v>0</v>
      </c>
      <c r="AL658" s="9">
        <v>0</v>
      </c>
      <c r="AM658" s="9">
        <v>0</v>
      </c>
      <c r="AN658" s="9">
        <v>0</v>
      </c>
      <c r="AO658" s="9">
        <v>0</v>
      </c>
      <c r="AP658" s="9">
        <v>0</v>
      </c>
      <c r="AQ658" s="9">
        <v>0</v>
      </c>
      <c r="AR658" s="9">
        <v>0</v>
      </c>
      <c r="AS658" s="10">
        <f t="shared" si="53"/>
        <v>0</v>
      </c>
      <c r="AT658" s="10">
        <f t="shared" si="54"/>
        <v>0</v>
      </c>
      <c r="AU658" s="5" t="s">
        <v>634</v>
      </c>
    </row>
    <row r="659" spans="1:47" ht="15" customHeight="1" x14ac:dyDescent="0.3">
      <c r="A659" s="7" t="str">
        <f t="shared" si="50"/>
        <v>132_2023</v>
      </c>
      <c r="B659" s="7">
        <v>658</v>
      </c>
      <c r="C659" s="7">
        <f>'Panel Data (Long Format)'!B659</f>
        <v>132</v>
      </c>
      <c r="D659" s="7" t="str">
        <f>'Panel Data (Long Format)'!C659</f>
        <v>UHOMREIT</v>
      </c>
      <c r="E659" s="8" t="str">
        <f>'Panel Data (Long Format)'!D659</f>
        <v>Union Homes REIT</v>
      </c>
      <c r="F659" s="7" t="str">
        <f>'Panel Data (Long Format)'!E659</f>
        <v>CONSTRUCTION/REAL ESTATE</v>
      </c>
      <c r="G659" s="7">
        <f>'Panel Data (Long Format)'!F659</f>
        <v>2023</v>
      </c>
      <c r="H659" s="9">
        <v>0</v>
      </c>
      <c r="I659" s="9">
        <v>0</v>
      </c>
      <c r="J659" s="9">
        <v>0</v>
      </c>
      <c r="K659" s="9">
        <v>0</v>
      </c>
      <c r="L659" s="9">
        <v>0</v>
      </c>
      <c r="M659" s="9">
        <v>0</v>
      </c>
      <c r="N659" s="9">
        <v>0</v>
      </c>
      <c r="O659" s="9">
        <v>0</v>
      </c>
      <c r="P659" s="9">
        <v>0</v>
      </c>
      <c r="Q659" s="9">
        <v>0</v>
      </c>
      <c r="R659" s="9">
        <v>0</v>
      </c>
      <c r="S659" s="9">
        <v>0</v>
      </c>
      <c r="T659" s="9">
        <v>0</v>
      </c>
      <c r="U659" s="9">
        <v>0</v>
      </c>
      <c r="V659" s="9">
        <v>0</v>
      </c>
      <c r="W659" s="9">
        <v>0</v>
      </c>
      <c r="X659" s="9">
        <v>0</v>
      </c>
      <c r="Y659" s="9">
        <v>0</v>
      </c>
      <c r="Z659" s="9">
        <v>0</v>
      </c>
      <c r="AA659" s="9">
        <v>0</v>
      </c>
      <c r="AB659" s="10">
        <f t="shared" si="51"/>
        <v>0</v>
      </c>
      <c r="AC659" s="10">
        <f t="shared" si="52"/>
        <v>0</v>
      </c>
      <c r="AD659" s="9">
        <v>0</v>
      </c>
      <c r="AE659" s="9">
        <v>0</v>
      </c>
      <c r="AF659" s="9">
        <v>0</v>
      </c>
      <c r="AG659" s="9">
        <v>0</v>
      </c>
      <c r="AH659" s="9">
        <v>0</v>
      </c>
      <c r="AI659" s="9">
        <v>0</v>
      </c>
      <c r="AJ659" s="9">
        <v>0</v>
      </c>
      <c r="AK659" s="9">
        <v>0</v>
      </c>
      <c r="AL659" s="9">
        <v>0</v>
      </c>
      <c r="AM659" s="9">
        <v>0</v>
      </c>
      <c r="AN659" s="9">
        <v>0</v>
      </c>
      <c r="AO659" s="9">
        <v>0</v>
      </c>
      <c r="AP659" s="9">
        <v>0</v>
      </c>
      <c r="AQ659" s="9">
        <v>0</v>
      </c>
      <c r="AR659" s="9">
        <v>0</v>
      </c>
      <c r="AS659" s="10">
        <f t="shared" si="53"/>
        <v>0</v>
      </c>
      <c r="AT659" s="10">
        <f t="shared" si="54"/>
        <v>0</v>
      </c>
      <c r="AU659" s="5" t="s">
        <v>634</v>
      </c>
    </row>
    <row r="660" spans="1:47" ht="15" customHeight="1" x14ac:dyDescent="0.3">
      <c r="A660" s="7" t="str">
        <f t="shared" si="50"/>
        <v>132_2024</v>
      </c>
      <c r="B660" s="7">
        <v>659</v>
      </c>
      <c r="C660" s="7">
        <f>'Panel Data (Long Format)'!B660</f>
        <v>132</v>
      </c>
      <c r="D660" s="7" t="str">
        <f>'Panel Data (Long Format)'!C660</f>
        <v>UHOMREIT</v>
      </c>
      <c r="E660" s="8" t="str">
        <f>'Panel Data (Long Format)'!D660</f>
        <v>Union Homes REIT</v>
      </c>
      <c r="F660" s="7" t="str">
        <f>'Panel Data (Long Format)'!E660</f>
        <v>CONSTRUCTION/REAL ESTATE</v>
      </c>
      <c r="G660" s="7">
        <f>'Panel Data (Long Format)'!F660</f>
        <v>2024</v>
      </c>
      <c r="H660" s="9">
        <v>0</v>
      </c>
      <c r="I660" s="9">
        <v>0</v>
      </c>
      <c r="J660" s="9">
        <v>0</v>
      </c>
      <c r="K660" s="9">
        <v>0</v>
      </c>
      <c r="L660" s="9">
        <v>0</v>
      </c>
      <c r="M660" s="9">
        <v>0</v>
      </c>
      <c r="N660" s="9">
        <v>0</v>
      </c>
      <c r="O660" s="9">
        <v>0</v>
      </c>
      <c r="P660" s="9">
        <v>0</v>
      </c>
      <c r="Q660" s="9">
        <v>0</v>
      </c>
      <c r="R660" s="9">
        <v>0</v>
      </c>
      <c r="S660" s="9">
        <v>0</v>
      </c>
      <c r="T660" s="9">
        <v>0</v>
      </c>
      <c r="U660" s="9">
        <v>0</v>
      </c>
      <c r="V660" s="9">
        <v>0</v>
      </c>
      <c r="W660" s="9">
        <v>0</v>
      </c>
      <c r="X660" s="9">
        <v>0</v>
      </c>
      <c r="Y660" s="9">
        <v>0</v>
      </c>
      <c r="Z660" s="9">
        <v>0</v>
      </c>
      <c r="AA660" s="9">
        <v>0</v>
      </c>
      <c r="AB660" s="10">
        <f t="shared" si="51"/>
        <v>0</v>
      </c>
      <c r="AC660" s="10">
        <f t="shared" si="52"/>
        <v>0</v>
      </c>
      <c r="AD660" s="9">
        <v>0</v>
      </c>
      <c r="AE660" s="9">
        <v>0</v>
      </c>
      <c r="AF660" s="9">
        <v>0</v>
      </c>
      <c r="AG660" s="9">
        <v>0</v>
      </c>
      <c r="AH660" s="9">
        <v>0</v>
      </c>
      <c r="AI660" s="9">
        <v>0</v>
      </c>
      <c r="AJ660" s="9">
        <v>0</v>
      </c>
      <c r="AK660" s="9">
        <v>0</v>
      </c>
      <c r="AL660" s="9">
        <v>0</v>
      </c>
      <c r="AM660" s="9">
        <v>0</v>
      </c>
      <c r="AN660" s="9">
        <v>0</v>
      </c>
      <c r="AO660" s="9">
        <v>0</v>
      </c>
      <c r="AP660" s="9">
        <v>0</v>
      </c>
      <c r="AQ660" s="9">
        <v>0</v>
      </c>
      <c r="AR660" s="9">
        <v>0</v>
      </c>
      <c r="AS660" s="10">
        <f t="shared" si="53"/>
        <v>0</v>
      </c>
      <c r="AT660" s="10">
        <f t="shared" si="54"/>
        <v>0</v>
      </c>
      <c r="AU660" s="5" t="s">
        <v>634</v>
      </c>
    </row>
    <row r="661" spans="1:47" ht="15" customHeight="1" x14ac:dyDescent="0.3">
      <c r="A661" s="7" t="str">
        <f t="shared" si="50"/>
        <v>132_2025</v>
      </c>
      <c r="B661" s="7">
        <v>660</v>
      </c>
      <c r="C661" s="7">
        <f>'Panel Data (Long Format)'!B661</f>
        <v>132</v>
      </c>
      <c r="D661" s="7" t="str">
        <f>'Panel Data (Long Format)'!C661</f>
        <v>UHOMREIT</v>
      </c>
      <c r="E661" s="8" t="str">
        <f>'Panel Data (Long Format)'!D661</f>
        <v>Union Homes REIT</v>
      </c>
      <c r="F661" s="7" t="str">
        <f>'Panel Data (Long Format)'!E661</f>
        <v>CONSTRUCTION/REAL ESTATE</v>
      </c>
      <c r="G661" s="7">
        <f>'Panel Data (Long Format)'!F661</f>
        <v>2025</v>
      </c>
      <c r="H661" s="9">
        <v>0</v>
      </c>
      <c r="I661" s="9">
        <v>0</v>
      </c>
      <c r="J661" s="9">
        <v>0</v>
      </c>
      <c r="K661" s="9">
        <v>0</v>
      </c>
      <c r="L661" s="9">
        <v>0</v>
      </c>
      <c r="M661" s="9">
        <v>0</v>
      </c>
      <c r="N661" s="9">
        <v>0</v>
      </c>
      <c r="O661" s="9">
        <v>0</v>
      </c>
      <c r="P661" s="9">
        <v>0</v>
      </c>
      <c r="Q661" s="9">
        <v>0</v>
      </c>
      <c r="R661" s="9">
        <v>0</v>
      </c>
      <c r="S661" s="9">
        <v>0</v>
      </c>
      <c r="T661" s="9">
        <v>0</v>
      </c>
      <c r="U661" s="9">
        <v>0</v>
      </c>
      <c r="V661" s="9">
        <v>0</v>
      </c>
      <c r="W661" s="9">
        <v>0</v>
      </c>
      <c r="X661" s="9">
        <v>0</v>
      </c>
      <c r="Y661" s="9">
        <v>0</v>
      </c>
      <c r="Z661" s="9">
        <v>0</v>
      </c>
      <c r="AA661" s="9">
        <v>0</v>
      </c>
      <c r="AB661" s="10">
        <f t="shared" si="51"/>
        <v>0</v>
      </c>
      <c r="AC661" s="10">
        <f t="shared" si="52"/>
        <v>0</v>
      </c>
      <c r="AD661" s="9">
        <v>0</v>
      </c>
      <c r="AE661" s="9">
        <v>0</v>
      </c>
      <c r="AF661" s="9">
        <v>0</v>
      </c>
      <c r="AG661" s="9">
        <v>0</v>
      </c>
      <c r="AH661" s="9">
        <v>0</v>
      </c>
      <c r="AI661" s="9">
        <v>0</v>
      </c>
      <c r="AJ661" s="9">
        <v>0</v>
      </c>
      <c r="AK661" s="9">
        <v>0</v>
      </c>
      <c r="AL661" s="9">
        <v>0</v>
      </c>
      <c r="AM661" s="9">
        <v>0</v>
      </c>
      <c r="AN661" s="9">
        <v>0</v>
      </c>
      <c r="AO661" s="9">
        <v>0</v>
      </c>
      <c r="AP661" s="9">
        <v>0</v>
      </c>
      <c r="AQ661" s="9">
        <v>0</v>
      </c>
      <c r="AR661" s="9">
        <v>0</v>
      </c>
      <c r="AS661" s="10">
        <f t="shared" si="53"/>
        <v>0</v>
      </c>
      <c r="AT661" s="10">
        <f t="shared" si="54"/>
        <v>0</v>
      </c>
      <c r="AU661" s="5" t="s">
        <v>634</v>
      </c>
    </row>
    <row r="662" spans="1:47" ht="15" customHeight="1" x14ac:dyDescent="0.3">
      <c r="A662" s="7" t="str">
        <f t="shared" si="50"/>
        <v>133_2021</v>
      </c>
      <c r="B662" s="7">
        <v>661</v>
      </c>
      <c r="C662" s="7">
        <f>'Panel Data (Long Format)'!B662</f>
        <v>133</v>
      </c>
      <c r="D662" s="7" t="str">
        <f>'Panel Data (Long Format)'!C662</f>
        <v>UNILEVER</v>
      </c>
      <c r="E662" s="8" t="str">
        <f>'Panel Data (Long Format)'!D662</f>
        <v>Unilever Nigeria Plc</v>
      </c>
      <c r="F662" s="7" t="str">
        <f>'Panel Data (Long Format)'!E662</f>
        <v>CONSUMER GOODS</v>
      </c>
      <c r="G662" s="7">
        <f>'Panel Data (Long Format)'!F662</f>
        <v>2021</v>
      </c>
      <c r="H662" s="9">
        <v>1</v>
      </c>
      <c r="I662" s="9">
        <v>1</v>
      </c>
      <c r="J662" s="9">
        <v>0</v>
      </c>
      <c r="K662" s="9">
        <v>0</v>
      </c>
      <c r="L662" s="9">
        <v>0</v>
      </c>
      <c r="M662" s="9">
        <v>1</v>
      </c>
      <c r="N662" s="9">
        <v>1</v>
      </c>
      <c r="O662" s="9">
        <v>1</v>
      </c>
      <c r="P662" s="9">
        <v>0</v>
      </c>
      <c r="Q662" s="9">
        <v>0</v>
      </c>
      <c r="R662" s="9">
        <v>1</v>
      </c>
      <c r="S662" s="9">
        <v>1</v>
      </c>
      <c r="T662" s="9">
        <v>1</v>
      </c>
      <c r="U662" s="9">
        <v>0</v>
      </c>
      <c r="V662" s="9">
        <v>1</v>
      </c>
      <c r="W662" s="9">
        <v>1</v>
      </c>
      <c r="X662" s="9">
        <v>1</v>
      </c>
      <c r="Y662" s="9">
        <v>1</v>
      </c>
      <c r="Z662" s="9">
        <v>0</v>
      </c>
      <c r="AA662" s="9">
        <v>1</v>
      </c>
      <c r="AB662" s="10">
        <f t="shared" si="51"/>
        <v>13</v>
      </c>
      <c r="AC662" s="10">
        <f t="shared" si="52"/>
        <v>65</v>
      </c>
      <c r="AD662" s="9">
        <v>0</v>
      </c>
      <c r="AE662" s="9">
        <v>0</v>
      </c>
      <c r="AF662" s="9">
        <v>0</v>
      </c>
      <c r="AG662" s="9">
        <v>1</v>
      </c>
      <c r="AH662" s="9">
        <v>1</v>
      </c>
      <c r="AI662" s="9">
        <v>0</v>
      </c>
      <c r="AJ662" s="9">
        <v>1</v>
      </c>
      <c r="AK662" s="9">
        <v>1</v>
      </c>
      <c r="AL662" s="9">
        <v>0</v>
      </c>
      <c r="AM662" s="9">
        <v>1</v>
      </c>
      <c r="AN662" s="9">
        <v>0</v>
      </c>
      <c r="AO662" s="9">
        <v>0</v>
      </c>
      <c r="AP662" s="9">
        <v>1</v>
      </c>
      <c r="AQ662" s="9">
        <v>1</v>
      </c>
      <c r="AR662" s="9">
        <v>0</v>
      </c>
      <c r="AS662" s="10">
        <f t="shared" si="53"/>
        <v>7</v>
      </c>
      <c r="AT662" s="10">
        <f t="shared" si="54"/>
        <v>46.666666666666664</v>
      </c>
      <c r="AU662" s="5" t="s">
        <v>635</v>
      </c>
    </row>
    <row r="663" spans="1:47" ht="15" customHeight="1" x14ac:dyDescent="0.3">
      <c r="A663" s="7" t="str">
        <f t="shared" si="50"/>
        <v>133_2022</v>
      </c>
      <c r="B663" s="7">
        <v>662</v>
      </c>
      <c r="C663" s="7">
        <f>'Panel Data (Long Format)'!B663</f>
        <v>133</v>
      </c>
      <c r="D663" s="7" t="str">
        <f>'Panel Data (Long Format)'!C663</f>
        <v>UNILEVER</v>
      </c>
      <c r="E663" s="8" t="str">
        <f>'Panel Data (Long Format)'!D663</f>
        <v>Unilever Nigeria Plc</v>
      </c>
      <c r="F663" s="7" t="str">
        <f>'Panel Data (Long Format)'!E663</f>
        <v>CONSUMER GOODS</v>
      </c>
      <c r="G663" s="7">
        <f>'Panel Data (Long Format)'!F663</f>
        <v>2022</v>
      </c>
      <c r="H663" s="9">
        <v>1</v>
      </c>
      <c r="I663" s="9">
        <v>1</v>
      </c>
      <c r="J663" s="9">
        <v>0</v>
      </c>
      <c r="K663" s="9">
        <v>0</v>
      </c>
      <c r="L663" s="9">
        <v>0</v>
      </c>
      <c r="M663" s="9">
        <v>1</v>
      </c>
      <c r="N663" s="9">
        <v>1</v>
      </c>
      <c r="O663" s="9">
        <v>1</v>
      </c>
      <c r="P663" s="9">
        <v>0</v>
      </c>
      <c r="Q663" s="9">
        <v>0</v>
      </c>
      <c r="R663" s="9">
        <v>1</v>
      </c>
      <c r="S663" s="9">
        <v>1</v>
      </c>
      <c r="T663" s="9">
        <v>1</v>
      </c>
      <c r="U663" s="9">
        <v>0</v>
      </c>
      <c r="V663" s="9">
        <v>1</v>
      </c>
      <c r="W663" s="9">
        <v>1</v>
      </c>
      <c r="X663" s="9">
        <v>1</v>
      </c>
      <c r="Y663" s="9">
        <v>1</v>
      </c>
      <c r="Z663" s="9">
        <v>0</v>
      </c>
      <c r="AA663" s="9">
        <v>1</v>
      </c>
      <c r="AB663" s="10">
        <f t="shared" si="51"/>
        <v>13</v>
      </c>
      <c r="AC663" s="10">
        <f t="shared" si="52"/>
        <v>65</v>
      </c>
      <c r="AD663" s="9">
        <v>0</v>
      </c>
      <c r="AE663" s="9">
        <v>0</v>
      </c>
      <c r="AF663" s="9">
        <v>0</v>
      </c>
      <c r="AG663" s="9">
        <v>1</v>
      </c>
      <c r="AH663" s="9">
        <v>1</v>
      </c>
      <c r="AI663" s="9">
        <v>0</v>
      </c>
      <c r="AJ663" s="9">
        <v>1</v>
      </c>
      <c r="AK663" s="9">
        <v>1</v>
      </c>
      <c r="AL663" s="9">
        <v>0</v>
      </c>
      <c r="AM663" s="9">
        <v>1</v>
      </c>
      <c r="AN663" s="9">
        <v>0</v>
      </c>
      <c r="AO663" s="9">
        <v>0</v>
      </c>
      <c r="AP663" s="9">
        <v>1</v>
      </c>
      <c r="AQ663" s="9">
        <v>1</v>
      </c>
      <c r="AR663" s="9">
        <v>0</v>
      </c>
      <c r="AS663" s="10">
        <f t="shared" si="53"/>
        <v>7</v>
      </c>
      <c r="AT663" s="10">
        <f t="shared" si="54"/>
        <v>46.666666666666664</v>
      </c>
      <c r="AU663" s="5" t="s">
        <v>636</v>
      </c>
    </row>
    <row r="664" spans="1:47" ht="15" customHeight="1" x14ac:dyDescent="0.3">
      <c r="A664" s="7" t="str">
        <f t="shared" si="50"/>
        <v>133_2023</v>
      </c>
      <c r="B664" s="7">
        <v>663</v>
      </c>
      <c r="C664" s="7">
        <f>'Panel Data (Long Format)'!B664</f>
        <v>133</v>
      </c>
      <c r="D664" s="7" t="str">
        <f>'Panel Data (Long Format)'!C664</f>
        <v>UNILEVER</v>
      </c>
      <c r="E664" s="8" t="str">
        <f>'Panel Data (Long Format)'!D664</f>
        <v>Unilever Nigeria Plc</v>
      </c>
      <c r="F664" s="7" t="str">
        <f>'Panel Data (Long Format)'!E664</f>
        <v>CONSUMER GOODS</v>
      </c>
      <c r="G664" s="7">
        <f>'Panel Data (Long Format)'!F664</f>
        <v>2023</v>
      </c>
      <c r="H664" s="9">
        <v>1</v>
      </c>
      <c r="I664" s="9">
        <v>1</v>
      </c>
      <c r="J664" s="9">
        <v>0</v>
      </c>
      <c r="K664" s="9">
        <v>0</v>
      </c>
      <c r="L664" s="9">
        <v>0</v>
      </c>
      <c r="M664" s="9">
        <v>1</v>
      </c>
      <c r="N664" s="9">
        <v>1</v>
      </c>
      <c r="O664" s="9">
        <v>1</v>
      </c>
      <c r="P664" s="9">
        <v>0</v>
      </c>
      <c r="Q664" s="9">
        <v>0</v>
      </c>
      <c r="R664" s="9">
        <v>1</v>
      </c>
      <c r="S664" s="9">
        <v>1</v>
      </c>
      <c r="T664" s="9">
        <v>1</v>
      </c>
      <c r="U664" s="9">
        <v>0</v>
      </c>
      <c r="V664" s="9">
        <v>1</v>
      </c>
      <c r="W664" s="9">
        <v>1</v>
      </c>
      <c r="X664" s="9">
        <v>1</v>
      </c>
      <c r="Y664" s="9">
        <v>1</v>
      </c>
      <c r="Z664" s="9">
        <v>0</v>
      </c>
      <c r="AA664" s="9">
        <v>1</v>
      </c>
      <c r="AB664" s="10">
        <f t="shared" si="51"/>
        <v>13</v>
      </c>
      <c r="AC664" s="10">
        <f t="shared" si="52"/>
        <v>65</v>
      </c>
      <c r="AD664" s="9">
        <v>0</v>
      </c>
      <c r="AE664" s="9">
        <v>0</v>
      </c>
      <c r="AF664" s="9">
        <v>0</v>
      </c>
      <c r="AG664" s="9">
        <v>1</v>
      </c>
      <c r="AH664" s="9">
        <v>1</v>
      </c>
      <c r="AI664" s="9">
        <v>0</v>
      </c>
      <c r="AJ664" s="9">
        <v>1</v>
      </c>
      <c r="AK664" s="9">
        <v>1</v>
      </c>
      <c r="AL664" s="9">
        <v>0</v>
      </c>
      <c r="AM664" s="9">
        <v>1</v>
      </c>
      <c r="AN664" s="9">
        <v>0</v>
      </c>
      <c r="AO664" s="9">
        <v>0</v>
      </c>
      <c r="AP664" s="9">
        <v>1</v>
      </c>
      <c r="AQ664" s="9">
        <v>1</v>
      </c>
      <c r="AR664" s="9">
        <v>0</v>
      </c>
      <c r="AS664" s="10">
        <f t="shared" si="53"/>
        <v>7</v>
      </c>
      <c r="AT664" s="10">
        <f t="shared" si="54"/>
        <v>46.666666666666664</v>
      </c>
      <c r="AU664" s="5" t="s">
        <v>637</v>
      </c>
    </row>
    <row r="665" spans="1:47" ht="15" customHeight="1" x14ac:dyDescent="0.3">
      <c r="A665" s="7" t="str">
        <f t="shared" si="50"/>
        <v>133_2024</v>
      </c>
      <c r="B665" s="7">
        <v>664</v>
      </c>
      <c r="C665" s="7">
        <f>'Panel Data (Long Format)'!B665</f>
        <v>133</v>
      </c>
      <c r="D665" s="7" t="str">
        <f>'Panel Data (Long Format)'!C665</f>
        <v>UNILEVER</v>
      </c>
      <c r="E665" s="8" t="str">
        <f>'Panel Data (Long Format)'!D665</f>
        <v>Unilever Nigeria Plc</v>
      </c>
      <c r="F665" s="7" t="str">
        <f>'Panel Data (Long Format)'!E665</f>
        <v>CONSUMER GOODS</v>
      </c>
      <c r="G665" s="7">
        <f>'Panel Data (Long Format)'!F665</f>
        <v>2024</v>
      </c>
      <c r="H665" s="9">
        <v>1</v>
      </c>
      <c r="I665" s="9">
        <v>1</v>
      </c>
      <c r="J665" s="9">
        <v>0</v>
      </c>
      <c r="K665" s="9">
        <v>0</v>
      </c>
      <c r="L665" s="9">
        <v>0</v>
      </c>
      <c r="M665" s="9">
        <v>1</v>
      </c>
      <c r="N665" s="9">
        <v>1</v>
      </c>
      <c r="O665" s="9">
        <v>1</v>
      </c>
      <c r="P665" s="9">
        <v>0</v>
      </c>
      <c r="Q665" s="9">
        <v>0</v>
      </c>
      <c r="R665" s="9">
        <v>1</v>
      </c>
      <c r="S665" s="9">
        <v>1</v>
      </c>
      <c r="T665" s="9">
        <v>1</v>
      </c>
      <c r="U665" s="9">
        <v>0</v>
      </c>
      <c r="V665" s="9">
        <v>1</v>
      </c>
      <c r="W665" s="9">
        <v>1</v>
      </c>
      <c r="X665" s="9">
        <v>1</v>
      </c>
      <c r="Y665" s="9">
        <v>1</v>
      </c>
      <c r="Z665" s="9">
        <v>0</v>
      </c>
      <c r="AA665" s="9">
        <v>1</v>
      </c>
      <c r="AB665" s="10">
        <f t="shared" si="51"/>
        <v>13</v>
      </c>
      <c r="AC665" s="10">
        <f t="shared" si="52"/>
        <v>65</v>
      </c>
      <c r="AD665" s="9">
        <v>0</v>
      </c>
      <c r="AE665" s="9">
        <v>0</v>
      </c>
      <c r="AF665" s="9">
        <v>0</v>
      </c>
      <c r="AG665" s="9">
        <v>1</v>
      </c>
      <c r="AH665" s="9">
        <v>1</v>
      </c>
      <c r="AI665" s="9">
        <v>0</v>
      </c>
      <c r="AJ665" s="9">
        <v>1</v>
      </c>
      <c r="AK665" s="9">
        <v>1</v>
      </c>
      <c r="AL665" s="9">
        <v>0</v>
      </c>
      <c r="AM665" s="9">
        <v>1</v>
      </c>
      <c r="AN665" s="9">
        <v>0</v>
      </c>
      <c r="AO665" s="9">
        <v>0</v>
      </c>
      <c r="AP665" s="9">
        <v>1</v>
      </c>
      <c r="AQ665" s="9">
        <v>1</v>
      </c>
      <c r="AR665" s="9">
        <v>0</v>
      </c>
      <c r="AS665" s="10">
        <f t="shared" si="53"/>
        <v>7</v>
      </c>
      <c r="AT665" s="10">
        <f t="shared" si="54"/>
        <v>46.666666666666664</v>
      </c>
      <c r="AU665" s="5" t="s">
        <v>638</v>
      </c>
    </row>
    <row r="666" spans="1:47" ht="15" customHeight="1" x14ac:dyDescent="0.3">
      <c r="A666" s="7" t="str">
        <f t="shared" si="50"/>
        <v>133_2025</v>
      </c>
      <c r="B666" s="7">
        <v>665</v>
      </c>
      <c r="C666" s="7">
        <f>'Panel Data (Long Format)'!B666</f>
        <v>133</v>
      </c>
      <c r="D666" s="7" t="str">
        <f>'Panel Data (Long Format)'!C666</f>
        <v>UNILEVER</v>
      </c>
      <c r="E666" s="8" t="str">
        <f>'Panel Data (Long Format)'!D666</f>
        <v>Unilever Nigeria Plc</v>
      </c>
      <c r="F666" s="7" t="str">
        <f>'Panel Data (Long Format)'!E666</f>
        <v>CONSUMER GOODS</v>
      </c>
      <c r="G666" s="7">
        <f>'Panel Data (Long Format)'!F666</f>
        <v>2025</v>
      </c>
      <c r="H666" s="9">
        <v>1</v>
      </c>
      <c r="I666" s="9">
        <v>1</v>
      </c>
      <c r="J666" s="9">
        <v>0</v>
      </c>
      <c r="K666" s="9">
        <v>0</v>
      </c>
      <c r="L666" s="9">
        <v>0</v>
      </c>
      <c r="M666" s="9">
        <v>1</v>
      </c>
      <c r="N666" s="9">
        <v>1</v>
      </c>
      <c r="O666" s="9">
        <v>1</v>
      </c>
      <c r="P666" s="9">
        <v>0</v>
      </c>
      <c r="Q666" s="9">
        <v>0</v>
      </c>
      <c r="R666" s="9">
        <v>1</v>
      </c>
      <c r="S666" s="9">
        <v>1</v>
      </c>
      <c r="T666" s="9">
        <v>1</v>
      </c>
      <c r="U666" s="9">
        <v>0</v>
      </c>
      <c r="V666" s="9">
        <v>1</v>
      </c>
      <c r="W666" s="9">
        <v>1</v>
      </c>
      <c r="X666" s="9">
        <v>1</v>
      </c>
      <c r="Y666" s="9">
        <v>1</v>
      </c>
      <c r="Z666" s="9">
        <v>0</v>
      </c>
      <c r="AA666" s="9">
        <v>1</v>
      </c>
      <c r="AB666" s="10">
        <f t="shared" si="51"/>
        <v>13</v>
      </c>
      <c r="AC666" s="10">
        <f t="shared" si="52"/>
        <v>65</v>
      </c>
      <c r="AD666" s="9">
        <v>0</v>
      </c>
      <c r="AE666" s="9">
        <v>0</v>
      </c>
      <c r="AF666" s="9">
        <v>0</v>
      </c>
      <c r="AG666" s="9">
        <v>1</v>
      </c>
      <c r="AH666" s="9">
        <v>1</v>
      </c>
      <c r="AI666" s="9">
        <v>0</v>
      </c>
      <c r="AJ666" s="9">
        <v>1</v>
      </c>
      <c r="AK666" s="9">
        <v>1</v>
      </c>
      <c r="AL666" s="9">
        <v>0</v>
      </c>
      <c r="AM666" s="9">
        <v>1</v>
      </c>
      <c r="AN666" s="9">
        <v>0</v>
      </c>
      <c r="AO666" s="9">
        <v>0</v>
      </c>
      <c r="AP666" s="9">
        <v>1</v>
      </c>
      <c r="AQ666" s="9">
        <v>1</v>
      </c>
      <c r="AR666" s="9">
        <v>0</v>
      </c>
      <c r="AS666" s="10">
        <f t="shared" si="53"/>
        <v>7</v>
      </c>
      <c r="AT666" s="10">
        <f t="shared" si="54"/>
        <v>46.666666666666664</v>
      </c>
      <c r="AU666" s="5" t="s">
        <v>639</v>
      </c>
    </row>
    <row r="667" spans="1:47" ht="15" customHeight="1" x14ac:dyDescent="0.3">
      <c r="A667" s="7" t="str">
        <f t="shared" si="50"/>
        <v>134_2021</v>
      </c>
      <c r="B667" s="7">
        <v>666</v>
      </c>
      <c r="C667" s="7">
        <f>'Panel Data (Long Format)'!B667</f>
        <v>134</v>
      </c>
      <c r="D667" s="7" t="str">
        <f>'Panel Data (Long Format)'!C667</f>
        <v>UNIONDICON</v>
      </c>
      <c r="E667" s="8" t="str">
        <f>'Panel Data (Long Format)'!D667</f>
        <v>Union Dicon Salt Plc</v>
      </c>
      <c r="F667" s="7" t="str">
        <f>'Panel Data (Long Format)'!E667</f>
        <v>CONSUMER GOODS</v>
      </c>
      <c r="G667" s="7">
        <f>'Panel Data (Long Format)'!F667</f>
        <v>2021</v>
      </c>
      <c r="H667" s="9">
        <v>0</v>
      </c>
      <c r="I667" s="9">
        <v>0</v>
      </c>
      <c r="J667" s="9">
        <v>0</v>
      </c>
      <c r="K667" s="9">
        <v>0</v>
      </c>
      <c r="L667" s="9">
        <v>0</v>
      </c>
      <c r="M667" s="9">
        <v>0</v>
      </c>
      <c r="N667" s="9">
        <v>0</v>
      </c>
      <c r="O667" s="9">
        <v>0</v>
      </c>
      <c r="P667" s="9">
        <v>0</v>
      </c>
      <c r="Q667" s="9">
        <v>0</v>
      </c>
      <c r="R667" s="9">
        <v>0</v>
      </c>
      <c r="S667" s="9">
        <v>0</v>
      </c>
      <c r="T667" s="9">
        <v>0</v>
      </c>
      <c r="U667" s="9">
        <v>0</v>
      </c>
      <c r="V667" s="9">
        <v>0</v>
      </c>
      <c r="W667" s="9">
        <v>0</v>
      </c>
      <c r="X667" s="9">
        <v>0</v>
      </c>
      <c r="Y667" s="9">
        <v>0</v>
      </c>
      <c r="Z667" s="9">
        <v>0</v>
      </c>
      <c r="AA667" s="9">
        <v>0</v>
      </c>
      <c r="AB667" s="10">
        <f t="shared" si="51"/>
        <v>0</v>
      </c>
      <c r="AC667" s="10">
        <f t="shared" si="52"/>
        <v>0</v>
      </c>
      <c r="AD667" s="9">
        <v>0</v>
      </c>
      <c r="AE667" s="9">
        <v>0</v>
      </c>
      <c r="AF667" s="9">
        <v>0</v>
      </c>
      <c r="AG667" s="9">
        <v>0</v>
      </c>
      <c r="AH667" s="9">
        <v>0</v>
      </c>
      <c r="AI667" s="9">
        <v>0</v>
      </c>
      <c r="AJ667" s="9">
        <v>0</v>
      </c>
      <c r="AK667" s="9">
        <v>0</v>
      </c>
      <c r="AL667" s="9">
        <v>0</v>
      </c>
      <c r="AM667" s="9">
        <v>0</v>
      </c>
      <c r="AN667" s="9">
        <v>0</v>
      </c>
      <c r="AO667" s="9">
        <v>0</v>
      </c>
      <c r="AP667" s="9">
        <v>0</v>
      </c>
      <c r="AQ667" s="9">
        <v>0</v>
      </c>
      <c r="AR667" s="9">
        <v>0</v>
      </c>
      <c r="AS667" s="10">
        <f t="shared" si="53"/>
        <v>0</v>
      </c>
      <c r="AT667" s="10">
        <f t="shared" si="54"/>
        <v>0</v>
      </c>
      <c r="AU667" s="5" t="s">
        <v>640</v>
      </c>
    </row>
    <row r="668" spans="1:47" ht="15" customHeight="1" x14ac:dyDescent="0.3">
      <c r="A668" s="7" t="str">
        <f t="shared" si="50"/>
        <v>134_2022</v>
      </c>
      <c r="B668" s="7">
        <v>667</v>
      </c>
      <c r="C668" s="7">
        <f>'Panel Data (Long Format)'!B668</f>
        <v>134</v>
      </c>
      <c r="D668" s="7" t="str">
        <f>'Panel Data (Long Format)'!C668</f>
        <v>UNIONDICON</v>
      </c>
      <c r="E668" s="8" t="str">
        <f>'Panel Data (Long Format)'!D668</f>
        <v>Union Dicon Salt Plc</v>
      </c>
      <c r="F668" s="7" t="str">
        <f>'Panel Data (Long Format)'!E668</f>
        <v>CONSUMER GOODS</v>
      </c>
      <c r="G668" s="7">
        <f>'Panel Data (Long Format)'!F668</f>
        <v>2022</v>
      </c>
      <c r="H668" s="9">
        <v>0</v>
      </c>
      <c r="I668" s="9">
        <v>0</v>
      </c>
      <c r="J668" s="9">
        <v>0</v>
      </c>
      <c r="K668" s="9">
        <v>0</v>
      </c>
      <c r="L668" s="9">
        <v>0</v>
      </c>
      <c r="M668" s="9">
        <v>0</v>
      </c>
      <c r="N668" s="9">
        <v>0</v>
      </c>
      <c r="O668" s="9">
        <v>0</v>
      </c>
      <c r="P668" s="9">
        <v>0</v>
      </c>
      <c r="Q668" s="9">
        <v>0</v>
      </c>
      <c r="R668" s="9">
        <v>0</v>
      </c>
      <c r="S668" s="9">
        <v>0</v>
      </c>
      <c r="T668" s="9">
        <v>0</v>
      </c>
      <c r="U668" s="9">
        <v>0</v>
      </c>
      <c r="V668" s="9">
        <v>0</v>
      </c>
      <c r="W668" s="9">
        <v>0</v>
      </c>
      <c r="X668" s="9">
        <v>0</v>
      </c>
      <c r="Y668" s="9">
        <v>0</v>
      </c>
      <c r="Z668" s="9">
        <v>0</v>
      </c>
      <c r="AA668" s="9">
        <v>0</v>
      </c>
      <c r="AB668" s="10">
        <f t="shared" si="51"/>
        <v>0</v>
      </c>
      <c r="AC668" s="10">
        <f t="shared" si="52"/>
        <v>0</v>
      </c>
      <c r="AD668" s="9">
        <v>0</v>
      </c>
      <c r="AE668" s="9">
        <v>0</v>
      </c>
      <c r="AF668" s="9">
        <v>0</v>
      </c>
      <c r="AG668" s="9">
        <v>0</v>
      </c>
      <c r="AH668" s="9">
        <v>0</v>
      </c>
      <c r="AI668" s="9">
        <v>0</v>
      </c>
      <c r="AJ668" s="9">
        <v>0</v>
      </c>
      <c r="AK668" s="9">
        <v>0</v>
      </c>
      <c r="AL668" s="9">
        <v>0</v>
      </c>
      <c r="AM668" s="9">
        <v>0</v>
      </c>
      <c r="AN668" s="9">
        <v>0</v>
      </c>
      <c r="AO668" s="9">
        <v>0</v>
      </c>
      <c r="AP668" s="9">
        <v>0</v>
      </c>
      <c r="AQ668" s="9">
        <v>0</v>
      </c>
      <c r="AR668" s="9">
        <v>0</v>
      </c>
      <c r="AS668" s="10">
        <f t="shared" si="53"/>
        <v>0</v>
      </c>
      <c r="AT668" s="10">
        <f t="shared" si="54"/>
        <v>0</v>
      </c>
      <c r="AU668" s="5" t="s">
        <v>641</v>
      </c>
    </row>
    <row r="669" spans="1:47" ht="15" customHeight="1" x14ac:dyDescent="0.3">
      <c r="A669" s="7" t="str">
        <f t="shared" si="50"/>
        <v>134_2023</v>
      </c>
      <c r="B669" s="7">
        <v>668</v>
      </c>
      <c r="C669" s="7">
        <f>'Panel Data (Long Format)'!B669</f>
        <v>134</v>
      </c>
      <c r="D669" s="7" t="str">
        <f>'Panel Data (Long Format)'!C669</f>
        <v>UNIONDICON</v>
      </c>
      <c r="E669" s="8" t="str">
        <f>'Panel Data (Long Format)'!D669</f>
        <v>Union Dicon Salt Plc</v>
      </c>
      <c r="F669" s="7" t="str">
        <f>'Panel Data (Long Format)'!E669</f>
        <v>CONSUMER GOODS</v>
      </c>
      <c r="G669" s="7">
        <f>'Panel Data (Long Format)'!F669</f>
        <v>2023</v>
      </c>
      <c r="H669" s="9">
        <v>0</v>
      </c>
      <c r="I669" s="9">
        <v>0</v>
      </c>
      <c r="J669" s="9">
        <v>0</v>
      </c>
      <c r="K669" s="9">
        <v>0</v>
      </c>
      <c r="L669" s="9">
        <v>0</v>
      </c>
      <c r="M669" s="9">
        <v>0</v>
      </c>
      <c r="N669" s="9">
        <v>0</v>
      </c>
      <c r="O669" s="9">
        <v>0</v>
      </c>
      <c r="P669" s="9">
        <v>0</v>
      </c>
      <c r="Q669" s="9">
        <v>0</v>
      </c>
      <c r="R669" s="9">
        <v>0</v>
      </c>
      <c r="S669" s="9">
        <v>0</v>
      </c>
      <c r="T669" s="9">
        <v>0</v>
      </c>
      <c r="U669" s="9">
        <v>0</v>
      </c>
      <c r="V669" s="9">
        <v>0</v>
      </c>
      <c r="W669" s="9">
        <v>1</v>
      </c>
      <c r="X669" s="9">
        <v>0</v>
      </c>
      <c r="Y669" s="9">
        <v>0</v>
      </c>
      <c r="Z669" s="9">
        <v>0</v>
      </c>
      <c r="AA669" s="9">
        <v>0</v>
      </c>
      <c r="AB669" s="10">
        <f t="shared" si="51"/>
        <v>1</v>
      </c>
      <c r="AC669" s="10">
        <f t="shared" si="52"/>
        <v>5</v>
      </c>
      <c r="AD669" s="9">
        <v>0</v>
      </c>
      <c r="AE669" s="9">
        <v>0</v>
      </c>
      <c r="AF669" s="9">
        <v>0</v>
      </c>
      <c r="AG669" s="9">
        <v>0</v>
      </c>
      <c r="AH669" s="9">
        <v>0</v>
      </c>
      <c r="AI669" s="9">
        <v>0</v>
      </c>
      <c r="AJ669" s="9">
        <v>0</v>
      </c>
      <c r="AK669" s="9">
        <v>0</v>
      </c>
      <c r="AL669" s="9">
        <v>0</v>
      </c>
      <c r="AM669" s="9">
        <v>0</v>
      </c>
      <c r="AN669" s="9">
        <v>0</v>
      </c>
      <c r="AO669" s="9">
        <v>0</v>
      </c>
      <c r="AP669" s="9">
        <v>0</v>
      </c>
      <c r="AQ669" s="9">
        <v>0</v>
      </c>
      <c r="AR669" s="9">
        <v>0</v>
      </c>
      <c r="AS669" s="10">
        <f t="shared" si="53"/>
        <v>0</v>
      </c>
      <c r="AT669" s="10">
        <f t="shared" si="54"/>
        <v>0</v>
      </c>
      <c r="AU669" s="5" t="s">
        <v>642</v>
      </c>
    </row>
    <row r="670" spans="1:47" ht="15" customHeight="1" x14ac:dyDescent="0.3">
      <c r="A670" s="7" t="str">
        <f t="shared" si="50"/>
        <v>134_2024</v>
      </c>
      <c r="B670" s="7">
        <v>669</v>
      </c>
      <c r="C670" s="7">
        <f>'Panel Data (Long Format)'!B670</f>
        <v>134</v>
      </c>
      <c r="D670" s="7" t="str">
        <f>'Panel Data (Long Format)'!C670</f>
        <v>UNIONDICON</v>
      </c>
      <c r="E670" s="8" t="str">
        <f>'Panel Data (Long Format)'!D670</f>
        <v>Union Dicon Salt Plc</v>
      </c>
      <c r="F670" s="7" t="str">
        <f>'Panel Data (Long Format)'!E670</f>
        <v>CONSUMER GOODS</v>
      </c>
      <c r="G670" s="7">
        <f>'Panel Data (Long Format)'!F670</f>
        <v>2024</v>
      </c>
      <c r="H670" s="9">
        <v>0</v>
      </c>
      <c r="I670" s="9">
        <v>0</v>
      </c>
      <c r="J670" s="9">
        <v>0</v>
      </c>
      <c r="K670" s="9">
        <v>0</v>
      </c>
      <c r="L670" s="9">
        <v>0</v>
      </c>
      <c r="M670" s="9">
        <v>0</v>
      </c>
      <c r="N670" s="9">
        <v>0</v>
      </c>
      <c r="O670" s="9">
        <v>0</v>
      </c>
      <c r="P670" s="9">
        <v>0</v>
      </c>
      <c r="Q670" s="9">
        <v>0</v>
      </c>
      <c r="R670" s="9">
        <v>0</v>
      </c>
      <c r="S670" s="9">
        <v>0</v>
      </c>
      <c r="T670" s="9">
        <v>0</v>
      </c>
      <c r="U670" s="9">
        <v>0</v>
      </c>
      <c r="V670" s="9">
        <v>0</v>
      </c>
      <c r="W670" s="9">
        <v>0</v>
      </c>
      <c r="X670" s="9">
        <v>0</v>
      </c>
      <c r="Y670" s="9">
        <v>0</v>
      </c>
      <c r="Z670" s="9">
        <v>0</v>
      </c>
      <c r="AA670" s="9">
        <v>0</v>
      </c>
      <c r="AB670" s="10">
        <f t="shared" si="51"/>
        <v>0</v>
      </c>
      <c r="AC670" s="10">
        <f t="shared" si="52"/>
        <v>0</v>
      </c>
      <c r="AD670" s="9">
        <v>0</v>
      </c>
      <c r="AE670" s="9">
        <v>0</v>
      </c>
      <c r="AF670" s="9">
        <v>0</v>
      </c>
      <c r="AG670" s="9">
        <v>0</v>
      </c>
      <c r="AH670" s="9">
        <v>0</v>
      </c>
      <c r="AI670" s="9">
        <v>0</v>
      </c>
      <c r="AJ670" s="9">
        <v>0</v>
      </c>
      <c r="AK670" s="9">
        <v>0</v>
      </c>
      <c r="AL670" s="9">
        <v>0</v>
      </c>
      <c r="AM670" s="9">
        <v>0</v>
      </c>
      <c r="AN670" s="9">
        <v>0</v>
      </c>
      <c r="AO670" s="9">
        <v>0</v>
      </c>
      <c r="AP670" s="9">
        <v>0</v>
      </c>
      <c r="AQ670" s="9">
        <v>0</v>
      </c>
      <c r="AR670" s="9">
        <v>0</v>
      </c>
      <c r="AS670" s="10">
        <f t="shared" si="53"/>
        <v>0</v>
      </c>
      <c r="AT670" s="10">
        <f t="shared" si="54"/>
        <v>0</v>
      </c>
      <c r="AU670" s="5" t="s">
        <v>643</v>
      </c>
    </row>
    <row r="671" spans="1:47" ht="15" customHeight="1" x14ac:dyDescent="0.3">
      <c r="A671" s="7" t="str">
        <f t="shared" si="50"/>
        <v>134_2025</v>
      </c>
      <c r="B671" s="7">
        <v>670</v>
      </c>
      <c r="C671" s="7">
        <f>'Panel Data (Long Format)'!B671</f>
        <v>134</v>
      </c>
      <c r="D671" s="7" t="str">
        <f>'Panel Data (Long Format)'!C671</f>
        <v>UNIONDICON</v>
      </c>
      <c r="E671" s="8" t="str">
        <f>'Panel Data (Long Format)'!D671</f>
        <v>Union Dicon Salt Plc</v>
      </c>
      <c r="F671" s="7" t="str">
        <f>'Panel Data (Long Format)'!E671</f>
        <v>CONSUMER GOODS</v>
      </c>
      <c r="G671" s="7">
        <f>'Panel Data (Long Format)'!F671</f>
        <v>2025</v>
      </c>
      <c r="H671" s="9">
        <v>0</v>
      </c>
      <c r="I671" s="9">
        <v>0</v>
      </c>
      <c r="J671" s="9">
        <v>0</v>
      </c>
      <c r="K671" s="9">
        <v>0</v>
      </c>
      <c r="L671" s="9">
        <v>0</v>
      </c>
      <c r="M671" s="9">
        <v>0</v>
      </c>
      <c r="N671" s="9">
        <v>0</v>
      </c>
      <c r="O671" s="9">
        <v>0</v>
      </c>
      <c r="P671" s="9">
        <v>0</v>
      </c>
      <c r="Q671" s="9">
        <v>0</v>
      </c>
      <c r="R671" s="9">
        <v>0</v>
      </c>
      <c r="S671" s="9">
        <v>0</v>
      </c>
      <c r="T671" s="9">
        <v>0</v>
      </c>
      <c r="U671" s="9">
        <v>0</v>
      </c>
      <c r="V671" s="9">
        <v>0</v>
      </c>
      <c r="W671" s="9">
        <v>0</v>
      </c>
      <c r="X671" s="9">
        <v>0</v>
      </c>
      <c r="Y671" s="9">
        <v>0</v>
      </c>
      <c r="Z671" s="9">
        <v>0</v>
      </c>
      <c r="AA671" s="9">
        <v>0</v>
      </c>
      <c r="AB671" s="10">
        <f t="shared" si="51"/>
        <v>0</v>
      </c>
      <c r="AC671" s="10">
        <f t="shared" si="52"/>
        <v>0</v>
      </c>
      <c r="AD671" s="9">
        <v>0</v>
      </c>
      <c r="AE671" s="9">
        <v>0</v>
      </c>
      <c r="AF671" s="9">
        <v>0</v>
      </c>
      <c r="AG671" s="9">
        <v>0</v>
      </c>
      <c r="AH671" s="9">
        <v>0</v>
      </c>
      <c r="AI671" s="9">
        <v>0</v>
      </c>
      <c r="AJ671" s="9">
        <v>0</v>
      </c>
      <c r="AK671" s="9">
        <v>0</v>
      </c>
      <c r="AL671" s="9">
        <v>0</v>
      </c>
      <c r="AM671" s="9">
        <v>0</v>
      </c>
      <c r="AN671" s="9">
        <v>0</v>
      </c>
      <c r="AO671" s="9">
        <v>0</v>
      </c>
      <c r="AP671" s="9">
        <v>0</v>
      </c>
      <c r="AQ671" s="9">
        <v>0</v>
      </c>
      <c r="AR671" s="9">
        <v>0</v>
      </c>
      <c r="AS671" s="10">
        <f t="shared" si="53"/>
        <v>0</v>
      </c>
      <c r="AT671" s="10">
        <f t="shared" si="54"/>
        <v>0</v>
      </c>
      <c r="AU671" s="5" t="s">
        <v>644</v>
      </c>
    </row>
    <row r="672" spans="1:47" ht="15" customHeight="1" x14ac:dyDescent="0.3">
      <c r="A672" s="7" t="str">
        <f t="shared" si="50"/>
        <v>135_2021</v>
      </c>
      <c r="B672" s="7">
        <v>671</v>
      </c>
      <c r="C672" s="7">
        <f>'Panel Data (Long Format)'!B672</f>
        <v>135</v>
      </c>
      <c r="D672" s="7" t="str">
        <f>'Panel Data (Long Format)'!C672</f>
        <v>UNITYBNK</v>
      </c>
      <c r="E672" s="8" t="str">
        <f>'Panel Data (Long Format)'!D672</f>
        <v>Unity Bank Plc</v>
      </c>
      <c r="F672" s="7" t="str">
        <f>'Panel Data (Long Format)'!E672</f>
        <v>FINANCIAL SERVICES</v>
      </c>
      <c r="G672" s="7">
        <f>'Panel Data (Long Format)'!F672</f>
        <v>2021</v>
      </c>
      <c r="H672" s="9">
        <v>0</v>
      </c>
      <c r="I672" s="9">
        <v>0</v>
      </c>
      <c r="J672" s="9">
        <v>0</v>
      </c>
      <c r="K672" s="9">
        <v>0</v>
      </c>
      <c r="L672" s="9">
        <v>0</v>
      </c>
      <c r="M672" s="9">
        <v>0</v>
      </c>
      <c r="N672" s="9">
        <v>0</v>
      </c>
      <c r="O672" s="9">
        <v>0</v>
      </c>
      <c r="P672" s="9">
        <v>0</v>
      </c>
      <c r="Q672" s="9">
        <v>0</v>
      </c>
      <c r="R672" s="9">
        <v>0</v>
      </c>
      <c r="S672" s="9">
        <v>0</v>
      </c>
      <c r="T672" s="9">
        <v>0</v>
      </c>
      <c r="U672" s="9">
        <v>0</v>
      </c>
      <c r="V672" s="9">
        <v>0</v>
      </c>
      <c r="W672" s="9">
        <v>0</v>
      </c>
      <c r="X672" s="9">
        <v>0</v>
      </c>
      <c r="Y672" s="9">
        <v>0</v>
      </c>
      <c r="Z672" s="9">
        <v>0</v>
      </c>
      <c r="AA672" s="9">
        <v>0</v>
      </c>
      <c r="AB672" s="10">
        <f t="shared" si="51"/>
        <v>0</v>
      </c>
      <c r="AC672" s="10">
        <f t="shared" si="52"/>
        <v>0</v>
      </c>
      <c r="AD672" s="9">
        <v>0</v>
      </c>
      <c r="AE672" s="9">
        <v>0</v>
      </c>
      <c r="AF672" s="9">
        <v>0</v>
      </c>
      <c r="AG672" s="9">
        <v>0</v>
      </c>
      <c r="AH672" s="9">
        <v>0</v>
      </c>
      <c r="AI672" s="9">
        <v>0</v>
      </c>
      <c r="AJ672" s="9">
        <v>0</v>
      </c>
      <c r="AK672" s="9">
        <v>0</v>
      </c>
      <c r="AL672" s="9">
        <v>0</v>
      </c>
      <c r="AM672" s="9">
        <v>0</v>
      </c>
      <c r="AN672" s="9">
        <v>0</v>
      </c>
      <c r="AO672" s="9">
        <v>0</v>
      </c>
      <c r="AP672" s="9">
        <v>0</v>
      </c>
      <c r="AQ672" s="9">
        <v>0</v>
      </c>
      <c r="AR672" s="9">
        <v>0</v>
      </c>
      <c r="AS672" s="10">
        <f t="shared" si="53"/>
        <v>0</v>
      </c>
      <c r="AT672" s="10">
        <f t="shared" si="54"/>
        <v>0</v>
      </c>
      <c r="AU672" s="5" t="s">
        <v>645</v>
      </c>
    </row>
    <row r="673" spans="1:47" ht="15" customHeight="1" x14ac:dyDescent="0.3">
      <c r="A673" s="7" t="str">
        <f t="shared" si="50"/>
        <v>135_2022</v>
      </c>
      <c r="B673" s="7">
        <v>672</v>
      </c>
      <c r="C673" s="7">
        <f>'Panel Data (Long Format)'!B673</f>
        <v>135</v>
      </c>
      <c r="D673" s="7" t="str">
        <f>'Panel Data (Long Format)'!C673</f>
        <v>UNITYBNK</v>
      </c>
      <c r="E673" s="8" t="str">
        <f>'Panel Data (Long Format)'!D673</f>
        <v>Unity Bank Plc</v>
      </c>
      <c r="F673" s="7" t="str">
        <f>'Panel Data (Long Format)'!E673</f>
        <v>FINANCIAL SERVICES</v>
      </c>
      <c r="G673" s="7">
        <f>'Panel Data (Long Format)'!F673</f>
        <v>2022</v>
      </c>
      <c r="H673" s="9">
        <v>0</v>
      </c>
      <c r="I673" s="9">
        <v>0</v>
      </c>
      <c r="J673" s="9">
        <v>0</v>
      </c>
      <c r="K673" s="9">
        <v>0</v>
      </c>
      <c r="L673" s="9">
        <v>0</v>
      </c>
      <c r="M673" s="9">
        <v>0</v>
      </c>
      <c r="N673" s="9">
        <v>0</v>
      </c>
      <c r="O673" s="9">
        <v>0</v>
      </c>
      <c r="P673" s="9">
        <v>0</v>
      </c>
      <c r="Q673" s="9">
        <v>0</v>
      </c>
      <c r="R673" s="9">
        <v>0</v>
      </c>
      <c r="S673" s="9">
        <v>0</v>
      </c>
      <c r="T673" s="9">
        <v>0</v>
      </c>
      <c r="U673" s="9">
        <v>0</v>
      </c>
      <c r="V673" s="9">
        <v>0</v>
      </c>
      <c r="W673" s="9">
        <v>1</v>
      </c>
      <c r="X673" s="9">
        <v>0</v>
      </c>
      <c r="Y673" s="9">
        <v>0</v>
      </c>
      <c r="Z673" s="9">
        <v>0</v>
      </c>
      <c r="AA673" s="9">
        <v>0</v>
      </c>
      <c r="AB673" s="10">
        <f t="shared" si="51"/>
        <v>1</v>
      </c>
      <c r="AC673" s="10">
        <f t="shared" si="52"/>
        <v>5</v>
      </c>
      <c r="AD673" s="9">
        <v>0</v>
      </c>
      <c r="AE673" s="9">
        <v>0</v>
      </c>
      <c r="AF673" s="9">
        <v>0</v>
      </c>
      <c r="AG673" s="9">
        <v>0</v>
      </c>
      <c r="AH673" s="9">
        <v>0</v>
      </c>
      <c r="AI673" s="9">
        <v>0</v>
      </c>
      <c r="AJ673" s="9">
        <v>0</v>
      </c>
      <c r="AK673" s="9">
        <v>0</v>
      </c>
      <c r="AL673" s="9">
        <v>0</v>
      </c>
      <c r="AM673" s="9">
        <v>0</v>
      </c>
      <c r="AN673" s="9">
        <v>0</v>
      </c>
      <c r="AO673" s="9">
        <v>0</v>
      </c>
      <c r="AP673" s="9">
        <v>0</v>
      </c>
      <c r="AQ673" s="9">
        <v>0</v>
      </c>
      <c r="AR673" s="9">
        <v>0</v>
      </c>
      <c r="AS673" s="10">
        <f t="shared" si="53"/>
        <v>0</v>
      </c>
      <c r="AT673" s="10">
        <f t="shared" si="54"/>
        <v>0</v>
      </c>
      <c r="AU673" s="5" t="s">
        <v>646</v>
      </c>
    </row>
    <row r="674" spans="1:47" ht="15" customHeight="1" x14ac:dyDescent="0.3">
      <c r="A674" s="7" t="str">
        <f t="shared" si="50"/>
        <v>135_2023</v>
      </c>
      <c r="B674" s="7">
        <v>673</v>
      </c>
      <c r="C674" s="7">
        <f>'Panel Data (Long Format)'!B674</f>
        <v>135</v>
      </c>
      <c r="D674" s="7" t="str">
        <f>'Panel Data (Long Format)'!C674</f>
        <v>UNITYBNK</v>
      </c>
      <c r="E674" s="8" t="str">
        <f>'Panel Data (Long Format)'!D674</f>
        <v>Unity Bank Plc</v>
      </c>
      <c r="F674" s="7" t="str">
        <f>'Panel Data (Long Format)'!E674</f>
        <v>FINANCIAL SERVICES</v>
      </c>
      <c r="G674" s="7">
        <f>'Panel Data (Long Format)'!F674</f>
        <v>2023</v>
      </c>
      <c r="H674" s="9">
        <v>0</v>
      </c>
      <c r="I674" s="9">
        <v>0</v>
      </c>
      <c r="J674" s="9">
        <v>0</v>
      </c>
      <c r="K674" s="9">
        <v>0</v>
      </c>
      <c r="L674" s="9">
        <v>0</v>
      </c>
      <c r="M674" s="9">
        <v>0</v>
      </c>
      <c r="N674" s="9">
        <v>0</v>
      </c>
      <c r="O674" s="9">
        <v>0</v>
      </c>
      <c r="P674" s="9">
        <v>0</v>
      </c>
      <c r="Q674" s="9">
        <v>0</v>
      </c>
      <c r="R674" s="9">
        <v>0</v>
      </c>
      <c r="S674" s="9">
        <v>0</v>
      </c>
      <c r="T674" s="9">
        <v>0</v>
      </c>
      <c r="U674" s="9">
        <v>0</v>
      </c>
      <c r="V674" s="9">
        <v>0</v>
      </c>
      <c r="W674" s="9">
        <v>1</v>
      </c>
      <c r="X674" s="9">
        <v>0</v>
      </c>
      <c r="Y674" s="9">
        <v>0</v>
      </c>
      <c r="Z674" s="9">
        <v>0</v>
      </c>
      <c r="AA674" s="9">
        <v>0</v>
      </c>
      <c r="AB674" s="10">
        <f t="shared" si="51"/>
        <v>1</v>
      </c>
      <c r="AC674" s="10">
        <f t="shared" si="52"/>
        <v>5</v>
      </c>
      <c r="AD674" s="9">
        <v>0</v>
      </c>
      <c r="AE674" s="9">
        <v>0</v>
      </c>
      <c r="AF674" s="9">
        <v>0</v>
      </c>
      <c r="AG674" s="9">
        <v>0</v>
      </c>
      <c r="AH674" s="9">
        <v>0</v>
      </c>
      <c r="AI674" s="9">
        <v>0</v>
      </c>
      <c r="AJ674" s="9">
        <v>0</v>
      </c>
      <c r="AK674" s="9">
        <v>0</v>
      </c>
      <c r="AL674" s="9">
        <v>0</v>
      </c>
      <c r="AM674" s="9">
        <v>0</v>
      </c>
      <c r="AN674" s="9">
        <v>0</v>
      </c>
      <c r="AO674" s="9">
        <v>0</v>
      </c>
      <c r="AP674" s="9">
        <v>0</v>
      </c>
      <c r="AQ674" s="9">
        <v>0</v>
      </c>
      <c r="AR674" s="9">
        <v>0</v>
      </c>
      <c r="AS674" s="10">
        <f t="shared" si="53"/>
        <v>0</v>
      </c>
      <c r="AT674" s="10">
        <f t="shared" si="54"/>
        <v>0</v>
      </c>
      <c r="AU674" s="5" t="s">
        <v>646</v>
      </c>
    </row>
    <row r="675" spans="1:47" ht="15" customHeight="1" x14ac:dyDescent="0.3">
      <c r="A675" s="7" t="str">
        <f t="shared" si="50"/>
        <v>135_2024</v>
      </c>
      <c r="B675" s="7">
        <v>674</v>
      </c>
      <c r="C675" s="7">
        <f>'Panel Data (Long Format)'!B675</f>
        <v>135</v>
      </c>
      <c r="D675" s="7" t="str">
        <f>'Panel Data (Long Format)'!C675</f>
        <v>UNITYBNK</v>
      </c>
      <c r="E675" s="8" t="str">
        <f>'Panel Data (Long Format)'!D675</f>
        <v>Unity Bank Plc</v>
      </c>
      <c r="F675" s="7" t="str">
        <f>'Panel Data (Long Format)'!E675</f>
        <v>FINANCIAL SERVICES</v>
      </c>
      <c r="G675" s="7">
        <f>'Panel Data (Long Format)'!F675</f>
        <v>2024</v>
      </c>
      <c r="H675" s="9">
        <v>0</v>
      </c>
      <c r="I675" s="9">
        <v>0</v>
      </c>
      <c r="J675" s="9">
        <v>0</v>
      </c>
      <c r="K675" s="9">
        <v>0</v>
      </c>
      <c r="L675" s="9">
        <v>0</v>
      </c>
      <c r="M675" s="9">
        <v>0</v>
      </c>
      <c r="N675" s="9">
        <v>0</v>
      </c>
      <c r="O675" s="9">
        <v>0</v>
      </c>
      <c r="P675" s="9">
        <v>0</v>
      </c>
      <c r="Q675" s="9">
        <v>0</v>
      </c>
      <c r="R675" s="9">
        <v>0</v>
      </c>
      <c r="S675" s="9">
        <v>0</v>
      </c>
      <c r="T675" s="9">
        <v>0</v>
      </c>
      <c r="U675" s="9">
        <v>0</v>
      </c>
      <c r="V675" s="9">
        <v>0</v>
      </c>
      <c r="W675" s="9">
        <v>0</v>
      </c>
      <c r="X675" s="9">
        <v>0</v>
      </c>
      <c r="Y675" s="9">
        <v>0</v>
      </c>
      <c r="Z675" s="9">
        <v>0</v>
      </c>
      <c r="AA675" s="9">
        <v>0</v>
      </c>
      <c r="AB675" s="10">
        <f t="shared" si="51"/>
        <v>0</v>
      </c>
      <c r="AC675" s="10">
        <f t="shared" si="52"/>
        <v>0</v>
      </c>
      <c r="AD675" s="9">
        <v>0</v>
      </c>
      <c r="AE675" s="9">
        <v>0</v>
      </c>
      <c r="AF675" s="9">
        <v>0</v>
      </c>
      <c r="AG675" s="9">
        <v>0</v>
      </c>
      <c r="AH675" s="9">
        <v>0</v>
      </c>
      <c r="AI675" s="9">
        <v>0</v>
      </c>
      <c r="AJ675" s="9">
        <v>0</v>
      </c>
      <c r="AK675" s="9">
        <v>0</v>
      </c>
      <c r="AL675" s="9">
        <v>0</v>
      </c>
      <c r="AM675" s="9">
        <v>0</v>
      </c>
      <c r="AN675" s="9">
        <v>0</v>
      </c>
      <c r="AO675" s="9">
        <v>0</v>
      </c>
      <c r="AP675" s="9">
        <v>0</v>
      </c>
      <c r="AQ675" s="9">
        <v>0</v>
      </c>
      <c r="AR675" s="9">
        <v>0</v>
      </c>
      <c r="AS675" s="10">
        <f t="shared" si="53"/>
        <v>0</v>
      </c>
      <c r="AT675" s="10">
        <f t="shared" si="54"/>
        <v>0</v>
      </c>
      <c r="AU675" s="5" t="s">
        <v>647</v>
      </c>
    </row>
    <row r="676" spans="1:47" ht="15" customHeight="1" x14ac:dyDescent="0.3">
      <c r="A676" s="7" t="str">
        <f t="shared" si="50"/>
        <v>135_2025</v>
      </c>
      <c r="B676" s="7">
        <v>675</v>
      </c>
      <c r="C676" s="7">
        <f>'Panel Data (Long Format)'!B676</f>
        <v>135</v>
      </c>
      <c r="D676" s="7" t="str">
        <f>'Panel Data (Long Format)'!C676</f>
        <v>UNITYBNK</v>
      </c>
      <c r="E676" s="8" t="str">
        <f>'Panel Data (Long Format)'!D676</f>
        <v>Unity Bank Plc</v>
      </c>
      <c r="F676" s="7" t="str">
        <f>'Panel Data (Long Format)'!E676</f>
        <v>FINANCIAL SERVICES</v>
      </c>
      <c r="G676" s="7">
        <f>'Panel Data (Long Format)'!F676</f>
        <v>2025</v>
      </c>
      <c r="H676" s="9"/>
      <c r="I676" s="9"/>
      <c r="J676" s="9"/>
      <c r="K676" s="9"/>
      <c r="L676" s="9"/>
      <c r="M676" s="9"/>
      <c r="N676" s="9"/>
      <c r="O676" s="9"/>
      <c r="P676" s="9"/>
      <c r="Q676" s="9"/>
      <c r="R676" s="9"/>
      <c r="S676" s="9"/>
      <c r="T676" s="9"/>
      <c r="U676" s="9"/>
      <c r="V676" s="9"/>
      <c r="W676" s="9"/>
      <c r="X676" s="9"/>
      <c r="Y676" s="9"/>
      <c r="Z676" s="9"/>
      <c r="AA676" s="9"/>
      <c r="AB676" s="10" t="str">
        <f t="shared" si="51"/>
        <v/>
      </c>
      <c r="AC676" s="10" t="str">
        <f t="shared" si="52"/>
        <v/>
      </c>
      <c r="AD676" s="9"/>
      <c r="AE676" s="9"/>
      <c r="AF676" s="9"/>
      <c r="AG676" s="9"/>
      <c r="AH676" s="9"/>
      <c r="AI676" s="9"/>
      <c r="AJ676" s="9"/>
      <c r="AK676" s="9"/>
      <c r="AL676" s="9"/>
      <c r="AM676" s="9"/>
      <c r="AN676" s="9"/>
      <c r="AO676" s="9"/>
      <c r="AP676" s="9"/>
      <c r="AQ676" s="9"/>
      <c r="AR676" s="9"/>
      <c r="AS676" s="10" t="str">
        <f t="shared" si="53"/>
        <v/>
      </c>
      <c r="AT676" s="10" t="str">
        <f t="shared" si="54"/>
        <v/>
      </c>
      <c r="AU676" s="5" t="s">
        <v>648</v>
      </c>
    </row>
    <row r="677" spans="1:47" ht="15" customHeight="1" x14ac:dyDescent="0.3">
      <c r="A677" s="7" t="str">
        <f t="shared" si="50"/>
        <v>136_2021</v>
      </c>
      <c r="B677" s="7">
        <v>676</v>
      </c>
      <c r="C677" s="7">
        <f>'Panel Data (Long Format)'!B677</f>
        <v>136</v>
      </c>
      <c r="D677" s="7" t="str">
        <f>'Panel Data (Long Format)'!C677</f>
        <v>UNIVINSURE</v>
      </c>
      <c r="E677" s="8" t="str">
        <f>'Panel Data (Long Format)'!D677</f>
        <v>Universal Insurance Plc</v>
      </c>
      <c r="F677" s="7" t="str">
        <f>'Panel Data (Long Format)'!E677</f>
        <v>FINANCIAL SERVICES</v>
      </c>
      <c r="G677" s="7">
        <f>'Panel Data (Long Format)'!F677</f>
        <v>2021</v>
      </c>
      <c r="H677" s="9">
        <v>0</v>
      </c>
      <c r="I677" s="9">
        <v>0</v>
      </c>
      <c r="J677" s="9">
        <v>0</v>
      </c>
      <c r="K677" s="9">
        <v>0</v>
      </c>
      <c r="L677" s="9">
        <v>0</v>
      </c>
      <c r="M677" s="9">
        <v>0</v>
      </c>
      <c r="N677" s="9">
        <v>0</v>
      </c>
      <c r="O677" s="9">
        <v>0</v>
      </c>
      <c r="P677" s="9">
        <v>0</v>
      </c>
      <c r="Q677" s="9">
        <v>0</v>
      </c>
      <c r="R677" s="9">
        <v>0</v>
      </c>
      <c r="S677" s="9">
        <v>0</v>
      </c>
      <c r="T677" s="9">
        <v>0</v>
      </c>
      <c r="U677" s="9">
        <v>0</v>
      </c>
      <c r="V677" s="9">
        <v>0</v>
      </c>
      <c r="W677" s="9">
        <v>0</v>
      </c>
      <c r="X677" s="9">
        <v>0</v>
      </c>
      <c r="Y677" s="9">
        <v>0</v>
      </c>
      <c r="Z677" s="9">
        <v>0</v>
      </c>
      <c r="AA677" s="9">
        <v>0</v>
      </c>
      <c r="AB677" s="10">
        <f t="shared" si="51"/>
        <v>0</v>
      </c>
      <c r="AC677" s="10">
        <f t="shared" si="52"/>
        <v>0</v>
      </c>
      <c r="AD677" s="9">
        <v>0</v>
      </c>
      <c r="AE677" s="9">
        <v>0</v>
      </c>
      <c r="AF677" s="9">
        <v>0</v>
      </c>
      <c r="AG677" s="9">
        <v>0</v>
      </c>
      <c r="AH677" s="9">
        <v>0</v>
      </c>
      <c r="AI677" s="9">
        <v>0</v>
      </c>
      <c r="AJ677" s="9">
        <v>0</v>
      </c>
      <c r="AK677" s="9">
        <v>0</v>
      </c>
      <c r="AL677" s="9">
        <v>0</v>
      </c>
      <c r="AM677" s="9">
        <v>0</v>
      </c>
      <c r="AN677" s="9">
        <v>0</v>
      </c>
      <c r="AO677" s="9">
        <v>0</v>
      </c>
      <c r="AP677" s="9">
        <v>0</v>
      </c>
      <c r="AQ677" s="9">
        <v>0</v>
      </c>
      <c r="AR677" s="9">
        <v>0</v>
      </c>
      <c r="AS677" s="10">
        <f t="shared" si="53"/>
        <v>0</v>
      </c>
      <c r="AT677" s="10">
        <f t="shared" si="54"/>
        <v>0</v>
      </c>
      <c r="AU677" s="5" t="s">
        <v>649</v>
      </c>
    </row>
    <row r="678" spans="1:47" ht="15" customHeight="1" x14ac:dyDescent="0.3">
      <c r="A678" s="7" t="str">
        <f t="shared" si="50"/>
        <v>136_2022</v>
      </c>
      <c r="B678" s="7">
        <v>677</v>
      </c>
      <c r="C678" s="7">
        <f>'Panel Data (Long Format)'!B678</f>
        <v>136</v>
      </c>
      <c r="D678" s="7" t="str">
        <f>'Panel Data (Long Format)'!C678</f>
        <v>UNIVINSURE</v>
      </c>
      <c r="E678" s="8" t="str">
        <f>'Panel Data (Long Format)'!D678</f>
        <v>Universal Insurance Plc</v>
      </c>
      <c r="F678" s="7" t="str">
        <f>'Panel Data (Long Format)'!E678</f>
        <v>FINANCIAL SERVICES</v>
      </c>
      <c r="G678" s="7">
        <f>'Panel Data (Long Format)'!F678</f>
        <v>2022</v>
      </c>
      <c r="H678" s="9">
        <v>0</v>
      </c>
      <c r="I678" s="9">
        <v>0</v>
      </c>
      <c r="J678" s="9">
        <v>0</v>
      </c>
      <c r="K678" s="9">
        <v>0</v>
      </c>
      <c r="L678" s="9">
        <v>0</v>
      </c>
      <c r="M678" s="9">
        <v>0</v>
      </c>
      <c r="N678" s="9">
        <v>0</v>
      </c>
      <c r="O678" s="9">
        <v>0</v>
      </c>
      <c r="P678" s="9">
        <v>0</v>
      </c>
      <c r="Q678" s="9">
        <v>0</v>
      </c>
      <c r="R678" s="9">
        <v>0</v>
      </c>
      <c r="S678" s="9">
        <v>0</v>
      </c>
      <c r="T678" s="9">
        <v>0</v>
      </c>
      <c r="U678" s="9">
        <v>0</v>
      </c>
      <c r="V678" s="9">
        <v>0</v>
      </c>
      <c r="W678" s="9">
        <v>0</v>
      </c>
      <c r="X678" s="9">
        <v>0</v>
      </c>
      <c r="Y678" s="9">
        <v>0</v>
      </c>
      <c r="Z678" s="9">
        <v>0</v>
      </c>
      <c r="AA678" s="9">
        <v>0</v>
      </c>
      <c r="AB678" s="10">
        <f t="shared" si="51"/>
        <v>0</v>
      </c>
      <c r="AC678" s="10">
        <f t="shared" si="52"/>
        <v>0</v>
      </c>
      <c r="AD678" s="9">
        <v>0</v>
      </c>
      <c r="AE678" s="9">
        <v>0</v>
      </c>
      <c r="AF678" s="9">
        <v>0</v>
      </c>
      <c r="AG678" s="9">
        <v>0</v>
      </c>
      <c r="AH678" s="9">
        <v>0</v>
      </c>
      <c r="AI678" s="9">
        <v>0</v>
      </c>
      <c r="AJ678" s="9">
        <v>0</v>
      </c>
      <c r="AK678" s="9">
        <v>0</v>
      </c>
      <c r="AL678" s="9">
        <v>0</v>
      </c>
      <c r="AM678" s="9">
        <v>0</v>
      </c>
      <c r="AN678" s="9">
        <v>0</v>
      </c>
      <c r="AO678" s="9">
        <v>0</v>
      </c>
      <c r="AP678" s="9">
        <v>0</v>
      </c>
      <c r="AQ678" s="9">
        <v>0</v>
      </c>
      <c r="AR678" s="9">
        <v>0</v>
      </c>
      <c r="AS678" s="10">
        <f t="shared" si="53"/>
        <v>0</v>
      </c>
      <c r="AT678" s="10">
        <f t="shared" si="54"/>
        <v>0</v>
      </c>
      <c r="AU678" s="5" t="s">
        <v>650</v>
      </c>
    </row>
    <row r="679" spans="1:47" ht="15" customHeight="1" x14ac:dyDescent="0.3">
      <c r="A679" s="7" t="str">
        <f t="shared" si="50"/>
        <v>136_2023</v>
      </c>
      <c r="B679" s="7">
        <v>678</v>
      </c>
      <c r="C679" s="7">
        <f>'Panel Data (Long Format)'!B679</f>
        <v>136</v>
      </c>
      <c r="D679" s="7" t="str">
        <f>'Panel Data (Long Format)'!C679</f>
        <v>UNIVINSURE</v>
      </c>
      <c r="E679" s="8" t="str">
        <f>'Panel Data (Long Format)'!D679</f>
        <v>Universal Insurance Plc</v>
      </c>
      <c r="F679" s="7" t="str">
        <f>'Panel Data (Long Format)'!E679</f>
        <v>FINANCIAL SERVICES</v>
      </c>
      <c r="G679" s="7">
        <f>'Panel Data (Long Format)'!F679</f>
        <v>2023</v>
      </c>
      <c r="H679" s="9">
        <v>0</v>
      </c>
      <c r="I679" s="9">
        <v>0</v>
      </c>
      <c r="J679" s="9">
        <v>0</v>
      </c>
      <c r="K679" s="9">
        <v>0</v>
      </c>
      <c r="L679" s="9">
        <v>0</v>
      </c>
      <c r="M679" s="9">
        <v>0</v>
      </c>
      <c r="N679" s="9">
        <v>0</v>
      </c>
      <c r="O679" s="9">
        <v>0</v>
      </c>
      <c r="P679" s="9">
        <v>0</v>
      </c>
      <c r="Q679" s="9">
        <v>0</v>
      </c>
      <c r="R679" s="9">
        <v>0</v>
      </c>
      <c r="S679" s="9">
        <v>0</v>
      </c>
      <c r="T679" s="9">
        <v>0</v>
      </c>
      <c r="U679" s="9">
        <v>0</v>
      </c>
      <c r="V679" s="9">
        <v>0</v>
      </c>
      <c r="W679" s="9">
        <v>0</v>
      </c>
      <c r="X679" s="9">
        <v>0</v>
      </c>
      <c r="Y679" s="9">
        <v>0</v>
      </c>
      <c r="Z679" s="9">
        <v>0</v>
      </c>
      <c r="AA679" s="9">
        <v>0</v>
      </c>
      <c r="AB679" s="10">
        <f t="shared" si="51"/>
        <v>0</v>
      </c>
      <c r="AC679" s="10">
        <f t="shared" si="52"/>
        <v>0</v>
      </c>
      <c r="AD679" s="9">
        <v>0</v>
      </c>
      <c r="AE679" s="9">
        <v>0</v>
      </c>
      <c r="AF679" s="9">
        <v>0</v>
      </c>
      <c r="AG679" s="9">
        <v>0</v>
      </c>
      <c r="AH679" s="9">
        <v>0</v>
      </c>
      <c r="AI679" s="9">
        <v>0</v>
      </c>
      <c r="AJ679" s="9">
        <v>0</v>
      </c>
      <c r="AK679" s="9">
        <v>0</v>
      </c>
      <c r="AL679" s="9">
        <v>0</v>
      </c>
      <c r="AM679" s="9">
        <v>0</v>
      </c>
      <c r="AN679" s="9">
        <v>0</v>
      </c>
      <c r="AO679" s="9">
        <v>0</v>
      </c>
      <c r="AP679" s="9">
        <v>0</v>
      </c>
      <c r="AQ679" s="9">
        <v>0</v>
      </c>
      <c r="AR679" s="9">
        <v>0</v>
      </c>
      <c r="AS679" s="10">
        <f t="shared" si="53"/>
        <v>0</v>
      </c>
      <c r="AT679" s="10">
        <f t="shared" si="54"/>
        <v>0</v>
      </c>
      <c r="AU679" s="5" t="s">
        <v>651</v>
      </c>
    </row>
    <row r="680" spans="1:47" ht="15" customHeight="1" x14ac:dyDescent="0.3">
      <c r="A680" s="7" t="str">
        <f t="shared" si="50"/>
        <v>136_2024</v>
      </c>
      <c r="B680" s="7">
        <v>679</v>
      </c>
      <c r="C680" s="7">
        <f>'Panel Data (Long Format)'!B680</f>
        <v>136</v>
      </c>
      <c r="D680" s="7" t="str">
        <f>'Panel Data (Long Format)'!C680</f>
        <v>UNIVINSURE</v>
      </c>
      <c r="E680" s="8" t="str">
        <f>'Panel Data (Long Format)'!D680</f>
        <v>Universal Insurance Plc</v>
      </c>
      <c r="F680" s="7" t="str">
        <f>'Panel Data (Long Format)'!E680</f>
        <v>FINANCIAL SERVICES</v>
      </c>
      <c r="G680" s="7">
        <f>'Panel Data (Long Format)'!F680</f>
        <v>2024</v>
      </c>
      <c r="H680" s="9">
        <v>0</v>
      </c>
      <c r="I680" s="9">
        <v>0</v>
      </c>
      <c r="J680" s="9">
        <v>0</v>
      </c>
      <c r="K680" s="9">
        <v>0</v>
      </c>
      <c r="L680" s="9">
        <v>0</v>
      </c>
      <c r="M680" s="9">
        <v>0</v>
      </c>
      <c r="N680" s="9">
        <v>0</v>
      </c>
      <c r="O680" s="9">
        <v>0</v>
      </c>
      <c r="P680" s="9">
        <v>0</v>
      </c>
      <c r="Q680" s="9">
        <v>0</v>
      </c>
      <c r="R680" s="9">
        <v>0</v>
      </c>
      <c r="S680" s="9">
        <v>0</v>
      </c>
      <c r="T680" s="9">
        <v>0</v>
      </c>
      <c r="U680" s="9">
        <v>0</v>
      </c>
      <c r="V680" s="9">
        <v>0</v>
      </c>
      <c r="W680" s="9">
        <v>0</v>
      </c>
      <c r="X680" s="9">
        <v>0</v>
      </c>
      <c r="Y680" s="9">
        <v>0</v>
      </c>
      <c r="Z680" s="9">
        <v>0</v>
      </c>
      <c r="AA680" s="9">
        <v>0</v>
      </c>
      <c r="AB680" s="10">
        <f t="shared" si="51"/>
        <v>0</v>
      </c>
      <c r="AC680" s="10">
        <f t="shared" si="52"/>
        <v>0</v>
      </c>
      <c r="AD680" s="9">
        <v>0</v>
      </c>
      <c r="AE680" s="9">
        <v>0</v>
      </c>
      <c r="AF680" s="9">
        <v>0</v>
      </c>
      <c r="AG680" s="9">
        <v>0</v>
      </c>
      <c r="AH680" s="9">
        <v>0</v>
      </c>
      <c r="AI680" s="9">
        <v>0</v>
      </c>
      <c r="AJ680" s="9">
        <v>0</v>
      </c>
      <c r="AK680" s="9">
        <v>0</v>
      </c>
      <c r="AL680" s="9">
        <v>0</v>
      </c>
      <c r="AM680" s="9">
        <v>0</v>
      </c>
      <c r="AN680" s="9">
        <v>0</v>
      </c>
      <c r="AO680" s="9">
        <v>0</v>
      </c>
      <c r="AP680" s="9">
        <v>0</v>
      </c>
      <c r="AQ680" s="9">
        <v>0</v>
      </c>
      <c r="AR680" s="9">
        <v>0</v>
      </c>
      <c r="AS680" s="10">
        <f t="shared" si="53"/>
        <v>0</v>
      </c>
      <c r="AT680" s="10">
        <f t="shared" si="54"/>
        <v>0</v>
      </c>
      <c r="AU680" s="5" t="s">
        <v>652</v>
      </c>
    </row>
    <row r="681" spans="1:47" ht="15" customHeight="1" x14ac:dyDescent="0.3">
      <c r="A681" s="7" t="str">
        <f t="shared" si="50"/>
        <v>136_2025</v>
      </c>
      <c r="B681" s="7">
        <v>680</v>
      </c>
      <c r="C681" s="7">
        <f>'Panel Data (Long Format)'!B681</f>
        <v>136</v>
      </c>
      <c r="D681" s="7" t="str">
        <f>'Panel Data (Long Format)'!C681</f>
        <v>UNIVINSURE</v>
      </c>
      <c r="E681" s="8" t="str">
        <f>'Panel Data (Long Format)'!D681</f>
        <v>Universal Insurance Plc</v>
      </c>
      <c r="F681" s="7" t="str">
        <f>'Panel Data (Long Format)'!E681</f>
        <v>FINANCIAL SERVICES</v>
      </c>
      <c r="G681" s="7">
        <f>'Panel Data (Long Format)'!F681</f>
        <v>2025</v>
      </c>
      <c r="H681" s="9">
        <v>0</v>
      </c>
      <c r="I681" s="9">
        <v>0</v>
      </c>
      <c r="J681" s="9">
        <v>0</v>
      </c>
      <c r="K681" s="9">
        <v>0</v>
      </c>
      <c r="L681" s="9">
        <v>0</v>
      </c>
      <c r="M681" s="9">
        <v>0</v>
      </c>
      <c r="N681" s="9">
        <v>0</v>
      </c>
      <c r="O681" s="9">
        <v>0</v>
      </c>
      <c r="P681" s="9">
        <v>0</v>
      </c>
      <c r="Q681" s="9">
        <v>0</v>
      </c>
      <c r="R681" s="9">
        <v>0</v>
      </c>
      <c r="S681" s="9">
        <v>0</v>
      </c>
      <c r="T681" s="9">
        <v>0</v>
      </c>
      <c r="U681" s="9">
        <v>0</v>
      </c>
      <c r="V681" s="9">
        <v>0</v>
      </c>
      <c r="W681" s="9">
        <v>1</v>
      </c>
      <c r="X681" s="9">
        <v>0</v>
      </c>
      <c r="Y681" s="9">
        <v>0</v>
      </c>
      <c r="Z681" s="9">
        <v>0</v>
      </c>
      <c r="AA681" s="9">
        <v>0</v>
      </c>
      <c r="AB681" s="10">
        <f t="shared" si="51"/>
        <v>1</v>
      </c>
      <c r="AC681" s="10">
        <f t="shared" si="52"/>
        <v>5</v>
      </c>
      <c r="AD681" s="9">
        <v>0</v>
      </c>
      <c r="AE681" s="9">
        <v>0</v>
      </c>
      <c r="AF681" s="9">
        <v>0</v>
      </c>
      <c r="AG681" s="9">
        <v>0</v>
      </c>
      <c r="AH681" s="9">
        <v>0</v>
      </c>
      <c r="AI681" s="9">
        <v>0</v>
      </c>
      <c r="AJ681" s="9">
        <v>0</v>
      </c>
      <c r="AK681" s="9">
        <v>0</v>
      </c>
      <c r="AL681" s="9">
        <v>0</v>
      </c>
      <c r="AM681" s="9">
        <v>0</v>
      </c>
      <c r="AN681" s="9">
        <v>0</v>
      </c>
      <c r="AO681" s="9">
        <v>0</v>
      </c>
      <c r="AP681" s="9">
        <v>0</v>
      </c>
      <c r="AQ681" s="9">
        <v>0</v>
      </c>
      <c r="AR681" s="9">
        <v>0</v>
      </c>
      <c r="AS681" s="10">
        <f t="shared" si="53"/>
        <v>0</v>
      </c>
      <c r="AT681" s="10">
        <f t="shared" si="54"/>
        <v>0</v>
      </c>
      <c r="AU681" s="5" t="s">
        <v>653</v>
      </c>
    </row>
    <row r="682" spans="1:47" ht="15" customHeight="1" x14ac:dyDescent="0.3">
      <c r="A682" s="7" t="str">
        <f t="shared" si="50"/>
        <v>137_2021</v>
      </c>
      <c r="B682" s="7">
        <v>681</v>
      </c>
      <c r="C682" s="7">
        <f>'Panel Data (Long Format)'!B682</f>
        <v>137</v>
      </c>
      <c r="D682" s="7" t="str">
        <f>'Panel Data (Long Format)'!C682</f>
        <v>UPDC</v>
      </c>
      <c r="E682" s="8" t="str">
        <f>'Panel Data (Long Format)'!D682</f>
        <v>UPDC Plc</v>
      </c>
      <c r="F682" s="7" t="str">
        <f>'Panel Data (Long Format)'!E682</f>
        <v>CONSTRUCTION/REAL ESTATE</v>
      </c>
      <c r="G682" s="7">
        <f>'Panel Data (Long Format)'!F682</f>
        <v>2021</v>
      </c>
      <c r="H682" s="9">
        <v>0</v>
      </c>
      <c r="I682" s="9">
        <v>0</v>
      </c>
      <c r="J682" s="9">
        <v>0</v>
      </c>
      <c r="K682" s="9">
        <v>0</v>
      </c>
      <c r="L682" s="9">
        <v>0</v>
      </c>
      <c r="M682" s="9">
        <v>0</v>
      </c>
      <c r="N682" s="9">
        <v>0</v>
      </c>
      <c r="O682" s="9">
        <v>0</v>
      </c>
      <c r="P682" s="9">
        <v>0</v>
      </c>
      <c r="Q682" s="9">
        <v>0</v>
      </c>
      <c r="R682" s="9">
        <v>0</v>
      </c>
      <c r="S682" s="9">
        <v>0</v>
      </c>
      <c r="T682" s="9">
        <v>0</v>
      </c>
      <c r="U682" s="9">
        <v>0</v>
      </c>
      <c r="V682" s="9">
        <v>0</v>
      </c>
      <c r="W682" s="9">
        <v>0</v>
      </c>
      <c r="X682" s="9">
        <v>0</v>
      </c>
      <c r="Y682" s="9">
        <v>0</v>
      </c>
      <c r="Z682" s="9">
        <v>0</v>
      </c>
      <c r="AA682" s="9">
        <v>0</v>
      </c>
      <c r="AB682" s="10">
        <f t="shared" si="51"/>
        <v>0</v>
      </c>
      <c r="AC682" s="10">
        <f t="shared" si="52"/>
        <v>0</v>
      </c>
      <c r="AD682" s="9">
        <v>0</v>
      </c>
      <c r="AE682" s="9">
        <v>0</v>
      </c>
      <c r="AF682" s="9">
        <v>0</v>
      </c>
      <c r="AG682" s="9">
        <v>0</v>
      </c>
      <c r="AH682" s="9">
        <v>0</v>
      </c>
      <c r="AI682" s="9">
        <v>0</v>
      </c>
      <c r="AJ682" s="9">
        <v>0</v>
      </c>
      <c r="AK682" s="9">
        <v>0</v>
      </c>
      <c r="AL682" s="9">
        <v>0</v>
      </c>
      <c r="AM682" s="9">
        <v>0</v>
      </c>
      <c r="AN682" s="9">
        <v>0</v>
      </c>
      <c r="AO682" s="9">
        <v>0</v>
      </c>
      <c r="AP682" s="9">
        <v>0</v>
      </c>
      <c r="AQ682" s="9">
        <v>0</v>
      </c>
      <c r="AR682" s="9">
        <v>0</v>
      </c>
      <c r="AS682" s="10">
        <f t="shared" si="53"/>
        <v>0</v>
      </c>
      <c r="AT682" s="10">
        <f t="shared" si="54"/>
        <v>0</v>
      </c>
      <c r="AU682" s="5" t="s">
        <v>654</v>
      </c>
    </row>
    <row r="683" spans="1:47" ht="15" customHeight="1" x14ac:dyDescent="0.3">
      <c r="A683" s="7" t="str">
        <f t="shared" si="50"/>
        <v>137_2022</v>
      </c>
      <c r="B683" s="7">
        <v>682</v>
      </c>
      <c r="C683" s="7">
        <f>'Panel Data (Long Format)'!B683</f>
        <v>137</v>
      </c>
      <c r="D683" s="7" t="str">
        <f>'Panel Data (Long Format)'!C683</f>
        <v>UPDC</v>
      </c>
      <c r="E683" s="8" t="str">
        <f>'Panel Data (Long Format)'!D683</f>
        <v>UPDC Plc</v>
      </c>
      <c r="F683" s="7" t="str">
        <f>'Panel Data (Long Format)'!E683</f>
        <v>CONSTRUCTION/REAL ESTATE</v>
      </c>
      <c r="G683" s="7">
        <f>'Panel Data (Long Format)'!F683</f>
        <v>2022</v>
      </c>
      <c r="H683" s="9">
        <v>0</v>
      </c>
      <c r="I683" s="9">
        <v>0</v>
      </c>
      <c r="J683" s="9">
        <v>0</v>
      </c>
      <c r="K683" s="9">
        <v>0</v>
      </c>
      <c r="L683" s="9">
        <v>0</v>
      </c>
      <c r="M683" s="9">
        <v>0</v>
      </c>
      <c r="N683" s="9">
        <v>0</v>
      </c>
      <c r="O683" s="9">
        <v>0</v>
      </c>
      <c r="P683" s="9">
        <v>0</v>
      </c>
      <c r="Q683" s="9">
        <v>0</v>
      </c>
      <c r="R683" s="9">
        <v>0</v>
      </c>
      <c r="S683" s="9">
        <v>0</v>
      </c>
      <c r="T683" s="9">
        <v>0</v>
      </c>
      <c r="U683" s="9">
        <v>0</v>
      </c>
      <c r="V683" s="9">
        <v>0</v>
      </c>
      <c r="W683" s="9">
        <v>0</v>
      </c>
      <c r="X683" s="9">
        <v>0</v>
      </c>
      <c r="Y683" s="9">
        <v>0</v>
      </c>
      <c r="Z683" s="9">
        <v>0</v>
      </c>
      <c r="AA683" s="9">
        <v>0</v>
      </c>
      <c r="AB683" s="10">
        <f t="shared" si="51"/>
        <v>0</v>
      </c>
      <c r="AC683" s="10">
        <f t="shared" si="52"/>
        <v>0</v>
      </c>
      <c r="AD683" s="9">
        <v>0</v>
      </c>
      <c r="AE683" s="9">
        <v>0</v>
      </c>
      <c r="AF683" s="9">
        <v>0</v>
      </c>
      <c r="AG683" s="9">
        <v>0</v>
      </c>
      <c r="AH683" s="9">
        <v>0</v>
      </c>
      <c r="AI683" s="9">
        <v>0</v>
      </c>
      <c r="AJ683" s="9">
        <v>0</v>
      </c>
      <c r="AK683" s="9">
        <v>0</v>
      </c>
      <c r="AL683" s="9">
        <v>0</v>
      </c>
      <c r="AM683" s="9">
        <v>0</v>
      </c>
      <c r="AN683" s="9">
        <v>0</v>
      </c>
      <c r="AO683" s="9">
        <v>0</v>
      </c>
      <c r="AP683" s="9">
        <v>0</v>
      </c>
      <c r="AQ683" s="9">
        <v>0</v>
      </c>
      <c r="AR683" s="9">
        <v>0</v>
      </c>
      <c r="AS683" s="10">
        <f t="shared" si="53"/>
        <v>0</v>
      </c>
      <c r="AT683" s="10">
        <f t="shared" si="54"/>
        <v>0</v>
      </c>
      <c r="AU683" s="5" t="s">
        <v>655</v>
      </c>
    </row>
    <row r="684" spans="1:47" ht="15" customHeight="1" x14ac:dyDescent="0.3">
      <c r="A684" s="7" t="str">
        <f t="shared" si="50"/>
        <v>137_2023</v>
      </c>
      <c r="B684" s="7">
        <v>683</v>
      </c>
      <c r="C684" s="7">
        <f>'Panel Data (Long Format)'!B684</f>
        <v>137</v>
      </c>
      <c r="D684" s="7" t="str">
        <f>'Panel Data (Long Format)'!C684</f>
        <v>UPDC</v>
      </c>
      <c r="E684" s="8" t="str">
        <f>'Panel Data (Long Format)'!D684</f>
        <v>UPDC Plc</v>
      </c>
      <c r="F684" s="7" t="str">
        <f>'Panel Data (Long Format)'!E684</f>
        <v>CONSTRUCTION/REAL ESTATE</v>
      </c>
      <c r="G684" s="7">
        <f>'Panel Data (Long Format)'!F684</f>
        <v>2023</v>
      </c>
      <c r="H684" s="9">
        <v>0</v>
      </c>
      <c r="I684" s="9">
        <v>0</v>
      </c>
      <c r="J684" s="9">
        <v>0</v>
      </c>
      <c r="K684" s="9">
        <v>0</v>
      </c>
      <c r="L684" s="9">
        <v>0</v>
      </c>
      <c r="M684" s="9">
        <v>0</v>
      </c>
      <c r="N684" s="9">
        <v>0</v>
      </c>
      <c r="O684" s="9">
        <v>0</v>
      </c>
      <c r="P684" s="9">
        <v>0</v>
      </c>
      <c r="Q684" s="9">
        <v>0</v>
      </c>
      <c r="R684" s="9">
        <v>0</v>
      </c>
      <c r="S684" s="9">
        <v>0</v>
      </c>
      <c r="T684" s="9">
        <v>0</v>
      </c>
      <c r="U684" s="9">
        <v>0</v>
      </c>
      <c r="V684" s="9">
        <v>0</v>
      </c>
      <c r="W684" s="9">
        <v>0</v>
      </c>
      <c r="X684" s="9">
        <v>0</v>
      </c>
      <c r="Y684" s="9">
        <v>0</v>
      </c>
      <c r="Z684" s="9">
        <v>0</v>
      </c>
      <c r="AA684" s="9">
        <v>0</v>
      </c>
      <c r="AB684" s="10">
        <f t="shared" si="51"/>
        <v>0</v>
      </c>
      <c r="AC684" s="10">
        <f t="shared" si="52"/>
        <v>0</v>
      </c>
      <c r="AD684" s="9">
        <v>0</v>
      </c>
      <c r="AE684" s="9">
        <v>0</v>
      </c>
      <c r="AF684" s="9">
        <v>0</v>
      </c>
      <c r="AG684" s="9">
        <v>0</v>
      </c>
      <c r="AH684" s="9">
        <v>0</v>
      </c>
      <c r="AI684" s="9">
        <v>0</v>
      </c>
      <c r="AJ684" s="9">
        <v>0</v>
      </c>
      <c r="AK684" s="9">
        <v>0</v>
      </c>
      <c r="AL684" s="9">
        <v>0</v>
      </c>
      <c r="AM684" s="9">
        <v>0</v>
      </c>
      <c r="AN684" s="9">
        <v>0</v>
      </c>
      <c r="AO684" s="9">
        <v>0</v>
      </c>
      <c r="AP684" s="9">
        <v>0</v>
      </c>
      <c r="AQ684" s="9">
        <v>0</v>
      </c>
      <c r="AR684" s="9">
        <v>0</v>
      </c>
      <c r="AS684" s="10">
        <f t="shared" si="53"/>
        <v>0</v>
      </c>
      <c r="AT684" s="10">
        <f t="shared" si="54"/>
        <v>0</v>
      </c>
      <c r="AU684" s="5" t="s">
        <v>656</v>
      </c>
    </row>
    <row r="685" spans="1:47" ht="15" customHeight="1" x14ac:dyDescent="0.3">
      <c r="A685" s="7" t="str">
        <f t="shared" si="50"/>
        <v>137_2024</v>
      </c>
      <c r="B685" s="7">
        <v>684</v>
      </c>
      <c r="C685" s="7">
        <f>'Panel Data (Long Format)'!B685</f>
        <v>137</v>
      </c>
      <c r="D685" s="7" t="str">
        <f>'Panel Data (Long Format)'!C685</f>
        <v>UPDC</v>
      </c>
      <c r="E685" s="8" t="str">
        <f>'Panel Data (Long Format)'!D685</f>
        <v>UPDC Plc</v>
      </c>
      <c r="F685" s="7" t="str">
        <f>'Panel Data (Long Format)'!E685</f>
        <v>CONSTRUCTION/REAL ESTATE</v>
      </c>
      <c r="G685" s="7">
        <f>'Panel Data (Long Format)'!F685</f>
        <v>2024</v>
      </c>
      <c r="H685" s="9">
        <v>0</v>
      </c>
      <c r="I685" s="9">
        <v>0</v>
      </c>
      <c r="J685" s="9">
        <v>0</v>
      </c>
      <c r="K685" s="9">
        <v>0</v>
      </c>
      <c r="L685" s="9">
        <v>0</v>
      </c>
      <c r="M685" s="9">
        <v>0</v>
      </c>
      <c r="N685" s="9">
        <v>0</v>
      </c>
      <c r="O685" s="9">
        <v>0</v>
      </c>
      <c r="P685" s="9">
        <v>0</v>
      </c>
      <c r="Q685" s="9">
        <v>0</v>
      </c>
      <c r="R685" s="9">
        <v>0</v>
      </c>
      <c r="S685" s="9">
        <v>0</v>
      </c>
      <c r="T685" s="9">
        <v>0</v>
      </c>
      <c r="U685" s="9">
        <v>0</v>
      </c>
      <c r="V685" s="9">
        <v>0</v>
      </c>
      <c r="W685" s="9">
        <v>0</v>
      </c>
      <c r="X685" s="9">
        <v>0</v>
      </c>
      <c r="Y685" s="9">
        <v>0</v>
      </c>
      <c r="Z685" s="9">
        <v>0</v>
      </c>
      <c r="AA685" s="9">
        <v>0</v>
      </c>
      <c r="AB685" s="10">
        <f t="shared" si="51"/>
        <v>0</v>
      </c>
      <c r="AC685" s="10">
        <f t="shared" si="52"/>
        <v>0</v>
      </c>
      <c r="AD685" s="9">
        <v>0</v>
      </c>
      <c r="AE685" s="9">
        <v>0</v>
      </c>
      <c r="AF685" s="9">
        <v>0</v>
      </c>
      <c r="AG685" s="9">
        <v>0</v>
      </c>
      <c r="AH685" s="9">
        <v>0</v>
      </c>
      <c r="AI685" s="9">
        <v>0</v>
      </c>
      <c r="AJ685" s="9">
        <v>0</v>
      </c>
      <c r="AK685" s="9">
        <v>0</v>
      </c>
      <c r="AL685" s="9">
        <v>0</v>
      </c>
      <c r="AM685" s="9">
        <v>0</v>
      </c>
      <c r="AN685" s="9">
        <v>0</v>
      </c>
      <c r="AO685" s="9">
        <v>0</v>
      </c>
      <c r="AP685" s="9">
        <v>0</v>
      </c>
      <c r="AQ685" s="9">
        <v>0</v>
      </c>
      <c r="AR685" s="9">
        <v>0</v>
      </c>
      <c r="AS685" s="10">
        <f t="shared" si="53"/>
        <v>0</v>
      </c>
      <c r="AT685" s="10">
        <f t="shared" si="54"/>
        <v>0</v>
      </c>
      <c r="AU685" s="5" t="s">
        <v>657</v>
      </c>
    </row>
    <row r="686" spans="1:47" ht="15" customHeight="1" x14ac:dyDescent="0.3">
      <c r="A686" s="7" t="str">
        <f t="shared" si="50"/>
        <v>137_2025</v>
      </c>
      <c r="B686" s="7">
        <v>685</v>
      </c>
      <c r="C686" s="7">
        <f>'Panel Data (Long Format)'!B686</f>
        <v>137</v>
      </c>
      <c r="D686" s="7" t="str">
        <f>'Panel Data (Long Format)'!C686</f>
        <v>UPDC</v>
      </c>
      <c r="E686" s="8" t="str">
        <f>'Panel Data (Long Format)'!D686</f>
        <v>UPDC Plc</v>
      </c>
      <c r="F686" s="7" t="str">
        <f>'Panel Data (Long Format)'!E686</f>
        <v>CONSTRUCTION/REAL ESTATE</v>
      </c>
      <c r="G686" s="7">
        <f>'Panel Data (Long Format)'!F686</f>
        <v>2025</v>
      </c>
      <c r="H686" s="9">
        <v>0</v>
      </c>
      <c r="I686" s="9">
        <v>0</v>
      </c>
      <c r="J686" s="9">
        <v>0</v>
      </c>
      <c r="K686" s="9">
        <v>0</v>
      </c>
      <c r="L686" s="9">
        <v>0</v>
      </c>
      <c r="M686" s="9">
        <v>0</v>
      </c>
      <c r="N686" s="9">
        <v>0</v>
      </c>
      <c r="O686" s="9">
        <v>0</v>
      </c>
      <c r="P686" s="9">
        <v>0</v>
      </c>
      <c r="Q686" s="9">
        <v>0</v>
      </c>
      <c r="R686" s="9">
        <v>0</v>
      </c>
      <c r="S686" s="9">
        <v>0</v>
      </c>
      <c r="T686" s="9">
        <v>0</v>
      </c>
      <c r="U686" s="9">
        <v>0</v>
      </c>
      <c r="V686" s="9">
        <v>0</v>
      </c>
      <c r="W686" s="9">
        <v>0</v>
      </c>
      <c r="X686" s="9">
        <v>0</v>
      </c>
      <c r="Y686" s="9">
        <v>0</v>
      </c>
      <c r="Z686" s="9">
        <v>0</v>
      </c>
      <c r="AA686" s="9">
        <v>0</v>
      </c>
      <c r="AB686" s="10">
        <f t="shared" si="51"/>
        <v>0</v>
      </c>
      <c r="AC686" s="10">
        <f t="shared" si="52"/>
        <v>0</v>
      </c>
      <c r="AD686" s="9">
        <v>0</v>
      </c>
      <c r="AE686" s="9">
        <v>0</v>
      </c>
      <c r="AF686" s="9">
        <v>0</v>
      </c>
      <c r="AG686" s="9">
        <v>0</v>
      </c>
      <c r="AH686" s="9">
        <v>0</v>
      </c>
      <c r="AI686" s="9">
        <v>0</v>
      </c>
      <c r="AJ686" s="9">
        <v>0</v>
      </c>
      <c r="AK686" s="9">
        <v>0</v>
      </c>
      <c r="AL686" s="9">
        <v>0</v>
      </c>
      <c r="AM686" s="9">
        <v>0</v>
      </c>
      <c r="AN686" s="9">
        <v>0</v>
      </c>
      <c r="AO686" s="9">
        <v>0</v>
      </c>
      <c r="AP686" s="9">
        <v>0</v>
      </c>
      <c r="AQ686" s="9">
        <v>0</v>
      </c>
      <c r="AR686" s="9">
        <v>0</v>
      </c>
      <c r="AS686" s="10">
        <f t="shared" si="53"/>
        <v>0</v>
      </c>
      <c r="AT686" s="10">
        <f t="shared" si="54"/>
        <v>0</v>
      </c>
      <c r="AU686" s="5" t="s">
        <v>658</v>
      </c>
    </row>
    <row r="687" spans="1:47" ht="15" customHeight="1" x14ac:dyDescent="0.3">
      <c r="A687" s="7" t="str">
        <f t="shared" si="50"/>
        <v>138_2021</v>
      </c>
      <c r="B687" s="7">
        <v>686</v>
      </c>
      <c r="C687" s="7">
        <f>'Panel Data (Long Format)'!B687</f>
        <v>138</v>
      </c>
      <c r="D687" s="7" t="str">
        <f>'Panel Data (Long Format)'!C687</f>
        <v>UPDCREIT</v>
      </c>
      <c r="E687" s="8" t="str">
        <f>'Panel Data (Long Format)'!D687</f>
        <v>UPDC Real Estate Investment Trust</v>
      </c>
      <c r="F687" s="7" t="str">
        <f>'Panel Data (Long Format)'!E687</f>
        <v>CONSTRUCTION/REAL ESTATE</v>
      </c>
      <c r="G687" s="7">
        <f>'Panel Data (Long Format)'!F687</f>
        <v>2021</v>
      </c>
      <c r="H687" s="9">
        <v>0</v>
      </c>
      <c r="I687" s="9">
        <v>0</v>
      </c>
      <c r="J687" s="9">
        <v>0</v>
      </c>
      <c r="K687" s="9">
        <v>0</v>
      </c>
      <c r="L687" s="9">
        <v>0</v>
      </c>
      <c r="M687" s="9">
        <v>0</v>
      </c>
      <c r="N687" s="9">
        <v>0</v>
      </c>
      <c r="O687" s="9">
        <v>0</v>
      </c>
      <c r="P687" s="9">
        <v>0</v>
      </c>
      <c r="Q687" s="9">
        <v>0</v>
      </c>
      <c r="R687" s="9">
        <v>0</v>
      </c>
      <c r="S687" s="9">
        <v>0</v>
      </c>
      <c r="T687" s="9">
        <v>0</v>
      </c>
      <c r="U687" s="9">
        <v>0</v>
      </c>
      <c r="V687" s="9">
        <v>0</v>
      </c>
      <c r="W687" s="9">
        <v>0</v>
      </c>
      <c r="X687" s="9">
        <v>0</v>
      </c>
      <c r="Y687" s="9">
        <v>0</v>
      </c>
      <c r="Z687" s="9">
        <v>0</v>
      </c>
      <c r="AA687" s="9">
        <v>0</v>
      </c>
      <c r="AB687" s="10">
        <f t="shared" si="51"/>
        <v>0</v>
      </c>
      <c r="AC687" s="10">
        <f t="shared" si="52"/>
        <v>0</v>
      </c>
      <c r="AD687" s="9">
        <v>0</v>
      </c>
      <c r="AE687" s="9">
        <v>0</v>
      </c>
      <c r="AF687" s="9">
        <v>0</v>
      </c>
      <c r="AG687" s="9">
        <v>0</v>
      </c>
      <c r="AH687" s="9">
        <v>0</v>
      </c>
      <c r="AI687" s="9">
        <v>0</v>
      </c>
      <c r="AJ687" s="9">
        <v>0</v>
      </c>
      <c r="AK687" s="9">
        <v>0</v>
      </c>
      <c r="AL687" s="9">
        <v>0</v>
      </c>
      <c r="AM687" s="9">
        <v>0</v>
      </c>
      <c r="AN687" s="9">
        <v>0</v>
      </c>
      <c r="AO687" s="9">
        <v>0</v>
      </c>
      <c r="AP687" s="9">
        <v>0</v>
      </c>
      <c r="AQ687" s="9">
        <v>0</v>
      </c>
      <c r="AR687" s="9">
        <v>0</v>
      </c>
      <c r="AS687" s="10">
        <f t="shared" si="53"/>
        <v>0</v>
      </c>
      <c r="AT687" s="10">
        <f t="shared" si="54"/>
        <v>0</v>
      </c>
      <c r="AU687" s="5" t="s">
        <v>659</v>
      </c>
    </row>
    <row r="688" spans="1:47" ht="15" customHeight="1" x14ac:dyDescent="0.3">
      <c r="A688" s="7" t="str">
        <f t="shared" si="50"/>
        <v>138_2022</v>
      </c>
      <c r="B688" s="7">
        <v>687</v>
      </c>
      <c r="C688" s="7">
        <f>'Panel Data (Long Format)'!B688</f>
        <v>138</v>
      </c>
      <c r="D688" s="7" t="str">
        <f>'Panel Data (Long Format)'!C688</f>
        <v>UPDCREIT</v>
      </c>
      <c r="E688" s="8" t="str">
        <f>'Panel Data (Long Format)'!D688</f>
        <v>UPDC Real Estate Investment Trust</v>
      </c>
      <c r="F688" s="7" t="str">
        <f>'Panel Data (Long Format)'!E688</f>
        <v>CONSTRUCTION/REAL ESTATE</v>
      </c>
      <c r="G688" s="7">
        <f>'Panel Data (Long Format)'!F688</f>
        <v>2022</v>
      </c>
      <c r="H688" s="9">
        <v>0</v>
      </c>
      <c r="I688" s="9">
        <v>0</v>
      </c>
      <c r="J688" s="9">
        <v>0</v>
      </c>
      <c r="K688" s="9">
        <v>0</v>
      </c>
      <c r="L688" s="9">
        <v>0</v>
      </c>
      <c r="M688" s="9">
        <v>0</v>
      </c>
      <c r="N688" s="9">
        <v>0</v>
      </c>
      <c r="O688" s="9">
        <v>0</v>
      </c>
      <c r="P688" s="9">
        <v>0</v>
      </c>
      <c r="Q688" s="9">
        <v>0</v>
      </c>
      <c r="R688" s="9">
        <v>0</v>
      </c>
      <c r="S688" s="9">
        <v>0</v>
      </c>
      <c r="T688" s="9">
        <v>0</v>
      </c>
      <c r="U688" s="9">
        <v>0</v>
      </c>
      <c r="V688" s="9">
        <v>0</v>
      </c>
      <c r="W688" s="9">
        <v>0</v>
      </c>
      <c r="X688" s="9">
        <v>0</v>
      </c>
      <c r="Y688" s="9">
        <v>0</v>
      </c>
      <c r="Z688" s="9">
        <v>0</v>
      </c>
      <c r="AA688" s="9">
        <v>0</v>
      </c>
      <c r="AB688" s="10">
        <f t="shared" si="51"/>
        <v>0</v>
      </c>
      <c r="AC688" s="10">
        <f t="shared" si="52"/>
        <v>0</v>
      </c>
      <c r="AD688" s="9">
        <v>0</v>
      </c>
      <c r="AE688" s="9">
        <v>0</v>
      </c>
      <c r="AF688" s="9">
        <v>0</v>
      </c>
      <c r="AG688" s="9">
        <v>0</v>
      </c>
      <c r="AH688" s="9">
        <v>0</v>
      </c>
      <c r="AI688" s="9">
        <v>0</v>
      </c>
      <c r="AJ688" s="9">
        <v>0</v>
      </c>
      <c r="AK688" s="9">
        <v>0</v>
      </c>
      <c r="AL688" s="9">
        <v>0</v>
      </c>
      <c r="AM688" s="9">
        <v>0</v>
      </c>
      <c r="AN688" s="9">
        <v>0</v>
      </c>
      <c r="AO688" s="9">
        <v>0</v>
      </c>
      <c r="AP688" s="9">
        <v>0</v>
      </c>
      <c r="AQ688" s="9">
        <v>0</v>
      </c>
      <c r="AR688" s="9">
        <v>0</v>
      </c>
      <c r="AS688" s="10">
        <f t="shared" si="53"/>
        <v>0</v>
      </c>
      <c r="AT688" s="10">
        <f t="shared" si="54"/>
        <v>0</v>
      </c>
      <c r="AU688" s="5" t="s">
        <v>659</v>
      </c>
    </row>
    <row r="689" spans="1:47" ht="15" customHeight="1" x14ac:dyDescent="0.3">
      <c r="A689" s="7" t="str">
        <f t="shared" si="50"/>
        <v>138_2023</v>
      </c>
      <c r="B689" s="7">
        <v>688</v>
      </c>
      <c r="C689" s="7">
        <f>'Panel Data (Long Format)'!B689</f>
        <v>138</v>
      </c>
      <c r="D689" s="7" t="str">
        <f>'Panel Data (Long Format)'!C689</f>
        <v>UPDCREIT</v>
      </c>
      <c r="E689" s="8" t="str">
        <f>'Panel Data (Long Format)'!D689</f>
        <v>UPDC Real Estate Investment Trust</v>
      </c>
      <c r="F689" s="7" t="str">
        <f>'Panel Data (Long Format)'!E689</f>
        <v>CONSTRUCTION/REAL ESTATE</v>
      </c>
      <c r="G689" s="7">
        <f>'Panel Data (Long Format)'!F689</f>
        <v>2023</v>
      </c>
      <c r="H689" s="9">
        <v>0</v>
      </c>
      <c r="I689" s="9">
        <v>0</v>
      </c>
      <c r="J689" s="9">
        <v>0</v>
      </c>
      <c r="K689" s="9">
        <v>0</v>
      </c>
      <c r="L689" s="9">
        <v>0</v>
      </c>
      <c r="M689" s="9">
        <v>0</v>
      </c>
      <c r="N689" s="9">
        <v>0</v>
      </c>
      <c r="O689" s="9">
        <v>0</v>
      </c>
      <c r="P689" s="9">
        <v>0</v>
      </c>
      <c r="Q689" s="9">
        <v>0</v>
      </c>
      <c r="R689" s="9">
        <v>0</v>
      </c>
      <c r="S689" s="9">
        <v>0</v>
      </c>
      <c r="T689" s="9">
        <v>0</v>
      </c>
      <c r="U689" s="9">
        <v>0</v>
      </c>
      <c r="V689" s="9">
        <v>0</v>
      </c>
      <c r="W689" s="9">
        <v>0</v>
      </c>
      <c r="X689" s="9">
        <v>0</v>
      </c>
      <c r="Y689" s="9">
        <v>0</v>
      </c>
      <c r="Z689" s="9">
        <v>0</v>
      </c>
      <c r="AA689" s="9">
        <v>0</v>
      </c>
      <c r="AB689" s="10">
        <f t="shared" si="51"/>
        <v>0</v>
      </c>
      <c r="AC689" s="10">
        <f t="shared" si="52"/>
        <v>0</v>
      </c>
      <c r="AD689" s="9">
        <v>0</v>
      </c>
      <c r="AE689" s="9">
        <v>0</v>
      </c>
      <c r="AF689" s="9">
        <v>0</v>
      </c>
      <c r="AG689" s="9">
        <v>0</v>
      </c>
      <c r="AH689" s="9">
        <v>0</v>
      </c>
      <c r="AI689" s="9">
        <v>0</v>
      </c>
      <c r="AJ689" s="9">
        <v>0</v>
      </c>
      <c r="AK689" s="9">
        <v>0</v>
      </c>
      <c r="AL689" s="9">
        <v>0</v>
      </c>
      <c r="AM689" s="9">
        <v>0</v>
      </c>
      <c r="AN689" s="9">
        <v>0</v>
      </c>
      <c r="AO689" s="9">
        <v>0</v>
      </c>
      <c r="AP689" s="9">
        <v>0</v>
      </c>
      <c r="AQ689" s="9">
        <v>0</v>
      </c>
      <c r="AR689" s="9">
        <v>0</v>
      </c>
      <c r="AS689" s="10">
        <f t="shared" si="53"/>
        <v>0</v>
      </c>
      <c r="AT689" s="10">
        <f t="shared" si="54"/>
        <v>0</v>
      </c>
      <c r="AU689" s="5" t="s">
        <v>659</v>
      </c>
    </row>
    <row r="690" spans="1:47" ht="15" customHeight="1" x14ac:dyDescent="0.3">
      <c r="A690" s="7" t="str">
        <f t="shared" si="50"/>
        <v>138_2024</v>
      </c>
      <c r="B690" s="7">
        <v>689</v>
      </c>
      <c r="C690" s="7">
        <f>'Panel Data (Long Format)'!B690</f>
        <v>138</v>
      </c>
      <c r="D690" s="7" t="str">
        <f>'Panel Data (Long Format)'!C690</f>
        <v>UPDCREIT</v>
      </c>
      <c r="E690" s="8" t="str">
        <f>'Panel Data (Long Format)'!D690</f>
        <v>UPDC Real Estate Investment Trust</v>
      </c>
      <c r="F690" s="7" t="str">
        <f>'Panel Data (Long Format)'!E690</f>
        <v>CONSTRUCTION/REAL ESTATE</v>
      </c>
      <c r="G690" s="7">
        <f>'Panel Data (Long Format)'!F690</f>
        <v>2024</v>
      </c>
      <c r="H690" s="9">
        <v>0</v>
      </c>
      <c r="I690" s="9">
        <v>0</v>
      </c>
      <c r="J690" s="9">
        <v>0</v>
      </c>
      <c r="K690" s="9">
        <v>0</v>
      </c>
      <c r="L690" s="9">
        <v>0</v>
      </c>
      <c r="M690" s="9">
        <v>0</v>
      </c>
      <c r="N690" s="9">
        <v>0</v>
      </c>
      <c r="O690" s="9">
        <v>0</v>
      </c>
      <c r="P690" s="9">
        <v>0</v>
      </c>
      <c r="Q690" s="9">
        <v>0</v>
      </c>
      <c r="R690" s="9">
        <v>0</v>
      </c>
      <c r="S690" s="9">
        <v>0</v>
      </c>
      <c r="T690" s="9">
        <v>0</v>
      </c>
      <c r="U690" s="9">
        <v>0</v>
      </c>
      <c r="V690" s="9">
        <v>0</v>
      </c>
      <c r="W690" s="9">
        <v>0</v>
      </c>
      <c r="X690" s="9">
        <v>0</v>
      </c>
      <c r="Y690" s="9">
        <v>0</v>
      </c>
      <c r="Z690" s="9">
        <v>0</v>
      </c>
      <c r="AA690" s="9">
        <v>0</v>
      </c>
      <c r="AB690" s="10">
        <f t="shared" si="51"/>
        <v>0</v>
      </c>
      <c r="AC690" s="10">
        <f t="shared" si="52"/>
        <v>0</v>
      </c>
      <c r="AD690" s="9">
        <v>0</v>
      </c>
      <c r="AE690" s="9">
        <v>0</v>
      </c>
      <c r="AF690" s="9">
        <v>0</v>
      </c>
      <c r="AG690" s="9">
        <v>0</v>
      </c>
      <c r="AH690" s="9">
        <v>0</v>
      </c>
      <c r="AI690" s="9">
        <v>0</v>
      </c>
      <c r="AJ690" s="9">
        <v>0</v>
      </c>
      <c r="AK690" s="9">
        <v>0</v>
      </c>
      <c r="AL690" s="9">
        <v>0</v>
      </c>
      <c r="AM690" s="9">
        <v>0</v>
      </c>
      <c r="AN690" s="9">
        <v>0</v>
      </c>
      <c r="AO690" s="9">
        <v>0</v>
      </c>
      <c r="AP690" s="9">
        <v>0</v>
      </c>
      <c r="AQ690" s="9">
        <v>0</v>
      </c>
      <c r="AR690" s="9">
        <v>0</v>
      </c>
      <c r="AS690" s="10">
        <f t="shared" si="53"/>
        <v>0</v>
      </c>
      <c r="AT690" s="10">
        <f t="shared" si="54"/>
        <v>0</v>
      </c>
      <c r="AU690" s="5" t="s">
        <v>659</v>
      </c>
    </row>
    <row r="691" spans="1:47" ht="15" customHeight="1" x14ac:dyDescent="0.3">
      <c r="A691" s="7" t="str">
        <f t="shared" si="50"/>
        <v>138_2025</v>
      </c>
      <c r="B691" s="7">
        <v>690</v>
      </c>
      <c r="C691" s="7">
        <f>'Panel Data (Long Format)'!B691</f>
        <v>138</v>
      </c>
      <c r="D691" s="7" t="str">
        <f>'Panel Data (Long Format)'!C691</f>
        <v>UPDCREIT</v>
      </c>
      <c r="E691" s="8" t="str">
        <f>'Panel Data (Long Format)'!D691</f>
        <v>UPDC Real Estate Investment Trust</v>
      </c>
      <c r="F691" s="7" t="str">
        <f>'Panel Data (Long Format)'!E691</f>
        <v>CONSTRUCTION/REAL ESTATE</v>
      </c>
      <c r="G691" s="7">
        <f>'Panel Data (Long Format)'!F691</f>
        <v>2025</v>
      </c>
      <c r="H691" s="9">
        <v>0</v>
      </c>
      <c r="I691" s="9">
        <v>0</v>
      </c>
      <c r="J691" s="9">
        <v>0</v>
      </c>
      <c r="K691" s="9">
        <v>0</v>
      </c>
      <c r="L691" s="9">
        <v>0</v>
      </c>
      <c r="M691" s="9">
        <v>0</v>
      </c>
      <c r="N691" s="9">
        <v>0</v>
      </c>
      <c r="O691" s="9">
        <v>0</v>
      </c>
      <c r="P691" s="9">
        <v>0</v>
      </c>
      <c r="Q691" s="9">
        <v>0</v>
      </c>
      <c r="R691" s="9">
        <v>0</v>
      </c>
      <c r="S691" s="9">
        <v>0</v>
      </c>
      <c r="T691" s="9">
        <v>0</v>
      </c>
      <c r="U691" s="9">
        <v>0</v>
      </c>
      <c r="V691" s="9">
        <v>0</v>
      </c>
      <c r="W691" s="9">
        <v>0</v>
      </c>
      <c r="X691" s="9">
        <v>0</v>
      </c>
      <c r="Y691" s="9">
        <v>0</v>
      </c>
      <c r="Z691" s="9">
        <v>0</v>
      </c>
      <c r="AA691" s="9">
        <v>0</v>
      </c>
      <c r="AB691" s="10">
        <f t="shared" si="51"/>
        <v>0</v>
      </c>
      <c r="AC691" s="10">
        <f t="shared" si="52"/>
        <v>0</v>
      </c>
      <c r="AD691" s="9">
        <v>0</v>
      </c>
      <c r="AE691" s="9">
        <v>0</v>
      </c>
      <c r="AF691" s="9">
        <v>0</v>
      </c>
      <c r="AG691" s="9">
        <v>0</v>
      </c>
      <c r="AH691" s="9">
        <v>0</v>
      </c>
      <c r="AI691" s="9">
        <v>0</v>
      </c>
      <c r="AJ691" s="9">
        <v>0</v>
      </c>
      <c r="AK691" s="9">
        <v>0</v>
      </c>
      <c r="AL691" s="9">
        <v>0</v>
      </c>
      <c r="AM691" s="9">
        <v>0</v>
      </c>
      <c r="AN691" s="9">
        <v>0</v>
      </c>
      <c r="AO691" s="9">
        <v>0</v>
      </c>
      <c r="AP691" s="9">
        <v>0</v>
      </c>
      <c r="AQ691" s="9">
        <v>0</v>
      </c>
      <c r="AR691" s="9">
        <v>0</v>
      </c>
      <c r="AS691" s="10">
        <f t="shared" si="53"/>
        <v>0</v>
      </c>
      <c r="AT691" s="10">
        <f t="shared" si="54"/>
        <v>0</v>
      </c>
      <c r="AU691" s="5" t="s">
        <v>659</v>
      </c>
    </row>
    <row r="692" spans="1:47" ht="15" customHeight="1" x14ac:dyDescent="0.3">
      <c r="A692" s="7" t="str">
        <f t="shared" si="50"/>
        <v>139_2021</v>
      </c>
      <c r="B692" s="7">
        <v>691</v>
      </c>
      <c r="C692" s="7">
        <f>'Panel Data (Long Format)'!B692</f>
        <v>139</v>
      </c>
      <c r="D692" s="7" t="str">
        <f>'Panel Data (Long Format)'!C692</f>
        <v>UPL</v>
      </c>
      <c r="E692" s="8" t="str">
        <f>'Panel Data (Long Format)'!D692</f>
        <v>University Press Plc</v>
      </c>
      <c r="F692" s="7" t="str">
        <f>'Panel Data (Long Format)'!E692</f>
        <v>SERVICES</v>
      </c>
      <c r="G692" s="7">
        <f>'Panel Data (Long Format)'!F692</f>
        <v>2021</v>
      </c>
      <c r="H692" s="9">
        <v>0</v>
      </c>
      <c r="I692" s="9">
        <v>0</v>
      </c>
      <c r="J692" s="9">
        <v>0</v>
      </c>
      <c r="K692" s="9">
        <v>0</v>
      </c>
      <c r="L692" s="9">
        <v>0</v>
      </c>
      <c r="M692" s="9">
        <v>0</v>
      </c>
      <c r="N692" s="9">
        <v>0</v>
      </c>
      <c r="O692" s="9">
        <v>0</v>
      </c>
      <c r="P692" s="9">
        <v>0</v>
      </c>
      <c r="Q692" s="9">
        <v>0</v>
      </c>
      <c r="R692" s="9">
        <v>0</v>
      </c>
      <c r="S692" s="9">
        <v>0</v>
      </c>
      <c r="T692" s="9">
        <v>0</v>
      </c>
      <c r="U692" s="9">
        <v>0</v>
      </c>
      <c r="V692" s="9">
        <v>0</v>
      </c>
      <c r="W692" s="9">
        <v>0</v>
      </c>
      <c r="X692" s="9">
        <v>0</v>
      </c>
      <c r="Y692" s="9">
        <v>0</v>
      </c>
      <c r="Z692" s="9">
        <v>0</v>
      </c>
      <c r="AA692" s="9">
        <v>0</v>
      </c>
      <c r="AB692" s="10">
        <f t="shared" si="51"/>
        <v>0</v>
      </c>
      <c r="AC692" s="10">
        <f t="shared" si="52"/>
        <v>0</v>
      </c>
      <c r="AD692" s="9">
        <v>0</v>
      </c>
      <c r="AE692" s="9">
        <v>0</v>
      </c>
      <c r="AF692" s="9">
        <v>0</v>
      </c>
      <c r="AG692" s="9">
        <v>0</v>
      </c>
      <c r="AH692" s="9">
        <v>0</v>
      </c>
      <c r="AI692" s="9">
        <v>0</v>
      </c>
      <c r="AJ692" s="9">
        <v>0</v>
      </c>
      <c r="AK692" s="9">
        <v>0</v>
      </c>
      <c r="AL692" s="9">
        <v>0</v>
      </c>
      <c r="AM692" s="9">
        <v>0</v>
      </c>
      <c r="AN692" s="9">
        <v>0</v>
      </c>
      <c r="AO692" s="9">
        <v>0</v>
      </c>
      <c r="AP692" s="9">
        <v>0</v>
      </c>
      <c r="AQ692" s="9">
        <v>0</v>
      </c>
      <c r="AR692" s="9">
        <v>0</v>
      </c>
      <c r="AS692" s="10">
        <f t="shared" si="53"/>
        <v>0</v>
      </c>
      <c r="AT692" s="10">
        <f t="shared" si="54"/>
        <v>0</v>
      </c>
      <c r="AU692" s="5" t="s">
        <v>660</v>
      </c>
    </row>
    <row r="693" spans="1:47" ht="15" customHeight="1" x14ac:dyDescent="0.3">
      <c r="A693" s="7" t="str">
        <f t="shared" si="50"/>
        <v>139_2022</v>
      </c>
      <c r="B693" s="7">
        <v>692</v>
      </c>
      <c r="C693" s="7">
        <f>'Panel Data (Long Format)'!B693</f>
        <v>139</v>
      </c>
      <c r="D693" s="7" t="str">
        <f>'Panel Data (Long Format)'!C693</f>
        <v>UPL</v>
      </c>
      <c r="E693" s="8" t="str">
        <f>'Panel Data (Long Format)'!D693</f>
        <v>University Press Plc</v>
      </c>
      <c r="F693" s="7" t="str">
        <f>'Panel Data (Long Format)'!E693</f>
        <v>SERVICES</v>
      </c>
      <c r="G693" s="7">
        <f>'Panel Data (Long Format)'!F693</f>
        <v>2022</v>
      </c>
      <c r="H693" s="9">
        <v>0</v>
      </c>
      <c r="I693" s="9">
        <v>0</v>
      </c>
      <c r="J693" s="9">
        <v>0</v>
      </c>
      <c r="K693" s="9">
        <v>0</v>
      </c>
      <c r="L693" s="9">
        <v>0</v>
      </c>
      <c r="M693" s="9">
        <v>0</v>
      </c>
      <c r="N693" s="9">
        <v>0</v>
      </c>
      <c r="O693" s="9">
        <v>0</v>
      </c>
      <c r="P693" s="9">
        <v>0</v>
      </c>
      <c r="Q693" s="9">
        <v>0</v>
      </c>
      <c r="R693" s="9">
        <v>0</v>
      </c>
      <c r="S693" s="9">
        <v>0</v>
      </c>
      <c r="T693" s="9">
        <v>0</v>
      </c>
      <c r="U693" s="9">
        <v>0</v>
      </c>
      <c r="V693" s="9">
        <v>0</v>
      </c>
      <c r="W693" s="9">
        <v>0</v>
      </c>
      <c r="X693" s="9">
        <v>0</v>
      </c>
      <c r="Y693" s="9">
        <v>0</v>
      </c>
      <c r="Z693" s="9">
        <v>0</v>
      </c>
      <c r="AA693" s="9">
        <v>0</v>
      </c>
      <c r="AB693" s="10">
        <f t="shared" si="51"/>
        <v>0</v>
      </c>
      <c r="AC693" s="10">
        <f t="shared" si="52"/>
        <v>0</v>
      </c>
      <c r="AD693" s="9">
        <v>0</v>
      </c>
      <c r="AE693" s="9">
        <v>0</v>
      </c>
      <c r="AF693" s="9">
        <v>0</v>
      </c>
      <c r="AG693" s="9">
        <v>0</v>
      </c>
      <c r="AH693" s="9">
        <v>0</v>
      </c>
      <c r="AI693" s="9">
        <v>0</v>
      </c>
      <c r="AJ693" s="9">
        <v>0</v>
      </c>
      <c r="AK693" s="9">
        <v>0</v>
      </c>
      <c r="AL693" s="9">
        <v>0</v>
      </c>
      <c r="AM693" s="9">
        <v>0</v>
      </c>
      <c r="AN693" s="9">
        <v>0</v>
      </c>
      <c r="AO693" s="9">
        <v>0</v>
      </c>
      <c r="AP693" s="9">
        <v>0</v>
      </c>
      <c r="AQ693" s="9">
        <v>0</v>
      </c>
      <c r="AR693" s="9">
        <v>0</v>
      </c>
      <c r="AS693" s="10">
        <f t="shared" si="53"/>
        <v>0</v>
      </c>
      <c r="AT693" s="10">
        <f t="shared" si="54"/>
        <v>0</v>
      </c>
      <c r="AU693" s="5" t="s">
        <v>661</v>
      </c>
    </row>
    <row r="694" spans="1:47" ht="15" customHeight="1" x14ac:dyDescent="0.3">
      <c r="A694" s="7" t="str">
        <f t="shared" si="50"/>
        <v>139_2023</v>
      </c>
      <c r="B694" s="7">
        <v>693</v>
      </c>
      <c r="C694" s="7">
        <f>'Panel Data (Long Format)'!B694</f>
        <v>139</v>
      </c>
      <c r="D694" s="7" t="str">
        <f>'Panel Data (Long Format)'!C694</f>
        <v>UPL</v>
      </c>
      <c r="E694" s="8" t="str">
        <f>'Panel Data (Long Format)'!D694</f>
        <v>University Press Plc</v>
      </c>
      <c r="F694" s="7" t="str">
        <f>'Panel Data (Long Format)'!E694</f>
        <v>SERVICES</v>
      </c>
      <c r="G694" s="7">
        <f>'Panel Data (Long Format)'!F694</f>
        <v>2023</v>
      </c>
      <c r="H694" s="9">
        <v>0</v>
      </c>
      <c r="I694" s="9">
        <v>0</v>
      </c>
      <c r="J694" s="9">
        <v>0</v>
      </c>
      <c r="K694" s="9">
        <v>0</v>
      </c>
      <c r="L694" s="9">
        <v>0</v>
      </c>
      <c r="M694" s="9">
        <v>0</v>
      </c>
      <c r="N694" s="9">
        <v>0</v>
      </c>
      <c r="O694" s="9">
        <v>0</v>
      </c>
      <c r="P694" s="9">
        <v>0</v>
      </c>
      <c r="Q694" s="9">
        <v>0</v>
      </c>
      <c r="R694" s="9">
        <v>0</v>
      </c>
      <c r="S694" s="9">
        <v>0</v>
      </c>
      <c r="T694" s="9">
        <v>0</v>
      </c>
      <c r="U694" s="9">
        <v>0</v>
      </c>
      <c r="V694" s="9">
        <v>0</v>
      </c>
      <c r="W694" s="9">
        <v>0</v>
      </c>
      <c r="X694" s="9">
        <v>0</v>
      </c>
      <c r="Y694" s="9">
        <v>0</v>
      </c>
      <c r="Z694" s="9">
        <v>0</v>
      </c>
      <c r="AA694" s="9">
        <v>0</v>
      </c>
      <c r="AB694" s="10">
        <f t="shared" si="51"/>
        <v>0</v>
      </c>
      <c r="AC694" s="10">
        <f t="shared" si="52"/>
        <v>0</v>
      </c>
      <c r="AD694" s="9">
        <v>0</v>
      </c>
      <c r="AE694" s="9">
        <v>0</v>
      </c>
      <c r="AF694" s="9">
        <v>0</v>
      </c>
      <c r="AG694" s="9">
        <v>0</v>
      </c>
      <c r="AH694" s="9">
        <v>0</v>
      </c>
      <c r="AI694" s="9">
        <v>0</v>
      </c>
      <c r="AJ694" s="9">
        <v>0</v>
      </c>
      <c r="AK694" s="9">
        <v>0</v>
      </c>
      <c r="AL694" s="9">
        <v>0</v>
      </c>
      <c r="AM694" s="9">
        <v>0</v>
      </c>
      <c r="AN694" s="9">
        <v>0</v>
      </c>
      <c r="AO694" s="9">
        <v>0</v>
      </c>
      <c r="AP694" s="9">
        <v>0</v>
      </c>
      <c r="AQ694" s="9">
        <v>0</v>
      </c>
      <c r="AR694" s="9">
        <v>0</v>
      </c>
      <c r="AS694" s="10">
        <f t="shared" si="53"/>
        <v>0</v>
      </c>
      <c r="AT694" s="10">
        <f t="shared" si="54"/>
        <v>0</v>
      </c>
      <c r="AU694" s="5" t="s">
        <v>662</v>
      </c>
    </row>
    <row r="695" spans="1:47" ht="15" customHeight="1" x14ac:dyDescent="0.3">
      <c r="A695" s="7" t="str">
        <f t="shared" si="50"/>
        <v>139_2024</v>
      </c>
      <c r="B695" s="7">
        <v>694</v>
      </c>
      <c r="C695" s="7">
        <f>'Panel Data (Long Format)'!B695</f>
        <v>139</v>
      </c>
      <c r="D695" s="7" t="str">
        <f>'Panel Data (Long Format)'!C695</f>
        <v>UPL</v>
      </c>
      <c r="E695" s="8" t="str">
        <f>'Panel Data (Long Format)'!D695</f>
        <v>University Press Plc</v>
      </c>
      <c r="F695" s="7" t="str">
        <f>'Panel Data (Long Format)'!E695</f>
        <v>SERVICES</v>
      </c>
      <c r="G695" s="7">
        <f>'Panel Data (Long Format)'!F695</f>
        <v>2024</v>
      </c>
      <c r="H695" s="9">
        <v>0</v>
      </c>
      <c r="I695" s="9">
        <v>0</v>
      </c>
      <c r="J695" s="9">
        <v>0</v>
      </c>
      <c r="K695" s="9">
        <v>0</v>
      </c>
      <c r="L695" s="9">
        <v>0</v>
      </c>
      <c r="M695" s="9">
        <v>0</v>
      </c>
      <c r="N695" s="9">
        <v>0</v>
      </c>
      <c r="O695" s="9">
        <v>0</v>
      </c>
      <c r="P695" s="9">
        <v>0</v>
      </c>
      <c r="Q695" s="9">
        <v>0</v>
      </c>
      <c r="R695" s="9">
        <v>0</v>
      </c>
      <c r="S695" s="9">
        <v>0</v>
      </c>
      <c r="T695" s="9">
        <v>0</v>
      </c>
      <c r="U695" s="9">
        <v>0</v>
      </c>
      <c r="V695" s="9">
        <v>0</v>
      </c>
      <c r="W695" s="9">
        <v>1</v>
      </c>
      <c r="X695" s="9">
        <v>0</v>
      </c>
      <c r="Y695" s="9">
        <v>0</v>
      </c>
      <c r="Z695" s="9">
        <v>0</v>
      </c>
      <c r="AA695" s="9">
        <v>0</v>
      </c>
      <c r="AB695" s="10">
        <f t="shared" si="51"/>
        <v>1</v>
      </c>
      <c r="AC695" s="10">
        <f t="shared" si="52"/>
        <v>5</v>
      </c>
      <c r="AD695" s="9">
        <v>0</v>
      </c>
      <c r="AE695" s="9">
        <v>0</v>
      </c>
      <c r="AF695" s="9">
        <v>0</v>
      </c>
      <c r="AG695" s="9">
        <v>0</v>
      </c>
      <c r="AH695" s="9">
        <v>0</v>
      </c>
      <c r="AI695" s="9">
        <v>0</v>
      </c>
      <c r="AJ695" s="9">
        <v>0</v>
      </c>
      <c r="AK695" s="9">
        <v>0</v>
      </c>
      <c r="AL695" s="9">
        <v>0</v>
      </c>
      <c r="AM695" s="9">
        <v>0</v>
      </c>
      <c r="AN695" s="9">
        <v>0</v>
      </c>
      <c r="AO695" s="9">
        <v>0</v>
      </c>
      <c r="AP695" s="9">
        <v>0</v>
      </c>
      <c r="AQ695" s="9">
        <v>0</v>
      </c>
      <c r="AR695" s="9">
        <v>0</v>
      </c>
      <c r="AS695" s="10">
        <f t="shared" si="53"/>
        <v>0</v>
      </c>
      <c r="AT695" s="10">
        <f t="shared" si="54"/>
        <v>0</v>
      </c>
      <c r="AU695" s="5" t="s">
        <v>663</v>
      </c>
    </row>
    <row r="696" spans="1:47" ht="15" customHeight="1" x14ac:dyDescent="0.3">
      <c r="A696" s="7" t="str">
        <f t="shared" si="50"/>
        <v>139_2025</v>
      </c>
      <c r="B696" s="7">
        <v>695</v>
      </c>
      <c r="C696" s="7">
        <f>'Panel Data (Long Format)'!B696</f>
        <v>139</v>
      </c>
      <c r="D696" s="7" t="str">
        <f>'Panel Data (Long Format)'!C696</f>
        <v>UPL</v>
      </c>
      <c r="E696" s="8" t="str">
        <f>'Panel Data (Long Format)'!D696</f>
        <v>University Press Plc</v>
      </c>
      <c r="F696" s="7" t="str">
        <f>'Panel Data (Long Format)'!E696</f>
        <v>SERVICES</v>
      </c>
      <c r="G696" s="7">
        <f>'Panel Data (Long Format)'!F696</f>
        <v>2025</v>
      </c>
      <c r="H696" s="9">
        <v>0</v>
      </c>
      <c r="I696" s="9">
        <v>0</v>
      </c>
      <c r="J696" s="9">
        <v>0</v>
      </c>
      <c r="K696" s="9">
        <v>0</v>
      </c>
      <c r="L696" s="9">
        <v>0</v>
      </c>
      <c r="M696" s="9">
        <v>0</v>
      </c>
      <c r="N696" s="9">
        <v>0</v>
      </c>
      <c r="O696" s="9">
        <v>0</v>
      </c>
      <c r="P696" s="9">
        <v>0</v>
      </c>
      <c r="Q696" s="9">
        <v>0</v>
      </c>
      <c r="R696" s="9">
        <v>0</v>
      </c>
      <c r="S696" s="9">
        <v>0</v>
      </c>
      <c r="T696" s="9">
        <v>0</v>
      </c>
      <c r="U696" s="9">
        <v>0</v>
      </c>
      <c r="V696" s="9">
        <v>0</v>
      </c>
      <c r="W696" s="9">
        <v>1</v>
      </c>
      <c r="X696" s="9">
        <v>0</v>
      </c>
      <c r="Y696" s="9">
        <v>0</v>
      </c>
      <c r="Z696" s="9">
        <v>0</v>
      </c>
      <c r="AA696" s="9">
        <v>0</v>
      </c>
      <c r="AB696" s="10">
        <f t="shared" si="51"/>
        <v>1</v>
      </c>
      <c r="AC696" s="10">
        <f t="shared" si="52"/>
        <v>5</v>
      </c>
      <c r="AD696" s="9">
        <v>0</v>
      </c>
      <c r="AE696" s="9">
        <v>0</v>
      </c>
      <c r="AF696" s="9">
        <v>0</v>
      </c>
      <c r="AG696" s="9">
        <v>0</v>
      </c>
      <c r="AH696" s="9">
        <v>0</v>
      </c>
      <c r="AI696" s="9">
        <v>0</v>
      </c>
      <c r="AJ696" s="9">
        <v>0</v>
      </c>
      <c r="AK696" s="9">
        <v>0</v>
      </c>
      <c r="AL696" s="9">
        <v>0</v>
      </c>
      <c r="AM696" s="9">
        <v>0</v>
      </c>
      <c r="AN696" s="9">
        <v>0</v>
      </c>
      <c r="AO696" s="9">
        <v>0</v>
      </c>
      <c r="AP696" s="9">
        <v>0</v>
      </c>
      <c r="AQ696" s="9">
        <v>0</v>
      </c>
      <c r="AR696" s="9">
        <v>0</v>
      </c>
      <c r="AS696" s="10">
        <f t="shared" si="53"/>
        <v>0</v>
      </c>
      <c r="AT696" s="10">
        <f t="shared" si="54"/>
        <v>0</v>
      </c>
      <c r="AU696" s="5" t="s">
        <v>664</v>
      </c>
    </row>
    <row r="697" spans="1:47" ht="15" customHeight="1" x14ac:dyDescent="0.3">
      <c r="A697" s="7" t="str">
        <f t="shared" si="50"/>
        <v>140_2021</v>
      </c>
      <c r="B697" s="7">
        <v>696</v>
      </c>
      <c r="C697" s="7">
        <f>'Panel Data (Long Format)'!B697</f>
        <v>140</v>
      </c>
      <c r="D697" s="7" t="str">
        <f>'Panel Data (Long Format)'!C697</f>
        <v>VERITASKAP</v>
      </c>
      <c r="E697" s="8" t="str">
        <f>'Panel Data (Long Format)'!D697</f>
        <v>Veritas Kapital Assurance Plc</v>
      </c>
      <c r="F697" s="7" t="str">
        <f>'Panel Data (Long Format)'!E697</f>
        <v>FINANCIAL SERVICES</v>
      </c>
      <c r="G697" s="7">
        <f>'Panel Data (Long Format)'!F697</f>
        <v>2021</v>
      </c>
      <c r="H697" s="9">
        <v>0</v>
      </c>
      <c r="I697" s="9">
        <v>0</v>
      </c>
      <c r="J697" s="9">
        <v>0</v>
      </c>
      <c r="K697" s="9">
        <v>0</v>
      </c>
      <c r="L697" s="9">
        <v>0</v>
      </c>
      <c r="M697" s="9">
        <v>0</v>
      </c>
      <c r="N697" s="9">
        <v>0</v>
      </c>
      <c r="O697" s="9">
        <v>0</v>
      </c>
      <c r="P697" s="9">
        <v>0</v>
      </c>
      <c r="Q697" s="9">
        <v>0</v>
      </c>
      <c r="R697" s="9">
        <v>0</v>
      </c>
      <c r="S697" s="9">
        <v>0</v>
      </c>
      <c r="T697" s="9">
        <v>0</v>
      </c>
      <c r="U697" s="9">
        <v>0</v>
      </c>
      <c r="V697" s="9">
        <v>0</v>
      </c>
      <c r="W697" s="9">
        <v>0</v>
      </c>
      <c r="X697" s="9">
        <v>0</v>
      </c>
      <c r="Y697" s="9">
        <v>0</v>
      </c>
      <c r="Z697" s="9">
        <v>0</v>
      </c>
      <c r="AA697" s="9">
        <v>0</v>
      </c>
      <c r="AB697" s="10">
        <f t="shared" si="51"/>
        <v>0</v>
      </c>
      <c r="AC697" s="10">
        <f t="shared" si="52"/>
        <v>0</v>
      </c>
      <c r="AD697" s="9">
        <v>0</v>
      </c>
      <c r="AE697" s="9">
        <v>0</v>
      </c>
      <c r="AF697" s="9">
        <v>0</v>
      </c>
      <c r="AG697" s="9">
        <v>0</v>
      </c>
      <c r="AH697" s="9">
        <v>0</v>
      </c>
      <c r="AI697" s="9">
        <v>0</v>
      </c>
      <c r="AJ697" s="9">
        <v>0</v>
      </c>
      <c r="AK697" s="9">
        <v>0</v>
      </c>
      <c r="AL697" s="9">
        <v>0</v>
      </c>
      <c r="AM697" s="9">
        <v>0</v>
      </c>
      <c r="AN697" s="9">
        <v>0</v>
      </c>
      <c r="AO697" s="9">
        <v>0</v>
      </c>
      <c r="AP697" s="9">
        <v>0</v>
      </c>
      <c r="AQ697" s="9">
        <v>0</v>
      </c>
      <c r="AR697" s="9">
        <v>0</v>
      </c>
      <c r="AS697" s="10">
        <f t="shared" si="53"/>
        <v>0</v>
      </c>
      <c r="AT697" s="10">
        <f t="shared" si="54"/>
        <v>0</v>
      </c>
      <c r="AU697" s="5" t="s">
        <v>665</v>
      </c>
    </row>
    <row r="698" spans="1:47" ht="15" customHeight="1" x14ac:dyDescent="0.3">
      <c r="A698" s="7" t="str">
        <f t="shared" si="50"/>
        <v>140_2022</v>
      </c>
      <c r="B698" s="7">
        <v>697</v>
      </c>
      <c r="C698" s="7">
        <f>'Panel Data (Long Format)'!B698</f>
        <v>140</v>
      </c>
      <c r="D698" s="7" t="str">
        <f>'Panel Data (Long Format)'!C698</f>
        <v>VERITASKAP</v>
      </c>
      <c r="E698" s="8" t="str">
        <f>'Panel Data (Long Format)'!D698</f>
        <v>Veritas Kapital Assurance Plc</v>
      </c>
      <c r="F698" s="7" t="str">
        <f>'Panel Data (Long Format)'!E698</f>
        <v>FINANCIAL SERVICES</v>
      </c>
      <c r="G698" s="7">
        <f>'Panel Data (Long Format)'!F698</f>
        <v>2022</v>
      </c>
      <c r="H698" s="9">
        <v>0</v>
      </c>
      <c r="I698" s="9">
        <v>0</v>
      </c>
      <c r="J698" s="9">
        <v>0</v>
      </c>
      <c r="K698" s="9">
        <v>0</v>
      </c>
      <c r="L698" s="9">
        <v>0</v>
      </c>
      <c r="M698" s="9">
        <v>0</v>
      </c>
      <c r="N698" s="9">
        <v>0</v>
      </c>
      <c r="O698" s="9">
        <v>0</v>
      </c>
      <c r="P698" s="9">
        <v>0</v>
      </c>
      <c r="Q698" s="9">
        <v>0</v>
      </c>
      <c r="R698" s="9">
        <v>0</v>
      </c>
      <c r="S698" s="9">
        <v>0</v>
      </c>
      <c r="T698" s="9">
        <v>0</v>
      </c>
      <c r="U698" s="9">
        <v>0</v>
      </c>
      <c r="V698" s="9">
        <v>0</v>
      </c>
      <c r="W698" s="9">
        <v>0</v>
      </c>
      <c r="X698" s="9">
        <v>0</v>
      </c>
      <c r="Y698" s="9">
        <v>0</v>
      </c>
      <c r="Z698" s="9">
        <v>0</v>
      </c>
      <c r="AA698" s="9">
        <v>0</v>
      </c>
      <c r="AB698" s="10">
        <f t="shared" si="51"/>
        <v>0</v>
      </c>
      <c r="AC698" s="10">
        <f t="shared" si="52"/>
        <v>0</v>
      </c>
      <c r="AD698" s="9">
        <v>0</v>
      </c>
      <c r="AE698" s="9">
        <v>0</v>
      </c>
      <c r="AF698" s="9">
        <v>0</v>
      </c>
      <c r="AG698" s="9">
        <v>0</v>
      </c>
      <c r="AH698" s="9">
        <v>0</v>
      </c>
      <c r="AI698" s="9">
        <v>0</v>
      </c>
      <c r="AJ698" s="9">
        <v>0</v>
      </c>
      <c r="AK698" s="9">
        <v>0</v>
      </c>
      <c r="AL698" s="9">
        <v>0</v>
      </c>
      <c r="AM698" s="9">
        <v>0</v>
      </c>
      <c r="AN698" s="9">
        <v>0</v>
      </c>
      <c r="AO698" s="9">
        <v>0</v>
      </c>
      <c r="AP698" s="9">
        <v>0</v>
      </c>
      <c r="AQ698" s="9">
        <v>0</v>
      </c>
      <c r="AR698" s="9">
        <v>0</v>
      </c>
      <c r="AS698" s="10">
        <f t="shared" si="53"/>
        <v>0</v>
      </c>
      <c r="AT698" s="10">
        <f t="shared" si="54"/>
        <v>0</v>
      </c>
      <c r="AU698" s="5" t="s">
        <v>666</v>
      </c>
    </row>
    <row r="699" spans="1:47" ht="15" customHeight="1" x14ac:dyDescent="0.3">
      <c r="A699" s="7" t="str">
        <f t="shared" si="50"/>
        <v>140_2023</v>
      </c>
      <c r="B699" s="7">
        <v>698</v>
      </c>
      <c r="C699" s="7">
        <f>'Panel Data (Long Format)'!B699</f>
        <v>140</v>
      </c>
      <c r="D699" s="7" t="str">
        <f>'Panel Data (Long Format)'!C699</f>
        <v>VERITASKAP</v>
      </c>
      <c r="E699" s="8" t="str">
        <f>'Panel Data (Long Format)'!D699</f>
        <v>Veritas Kapital Assurance Plc</v>
      </c>
      <c r="F699" s="7" t="str">
        <f>'Panel Data (Long Format)'!E699</f>
        <v>FINANCIAL SERVICES</v>
      </c>
      <c r="G699" s="7">
        <f>'Panel Data (Long Format)'!F699</f>
        <v>2023</v>
      </c>
      <c r="H699" s="9">
        <v>0</v>
      </c>
      <c r="I699" s="9">
        <v>0</v>
      </c>
      <c r="J699" s="9">
        <v>0</v>
      </c>
      <c r="K699" s="9">
        <v>0</v>
      </c>
      <c r="L699" s="9">
        <v>0</v>
      </c>
      <c r="M699" s="9">
        <v>0</v>
      </c>
      <c r="N699" s="9">
        <v>0</v>
      </c>
      <c r="O699" s="9">
        <v>0</v>
      </c>
      <c r="P699" s="9">
        <v>0</v>
      </c>
      <c r="Q699" s="9">
        <v>0</v>
      </c>
      <c r="R699" s="9">
        <v>0</v>
      </c>
      <c r="S699" s="9">
        <v>0</v>
      </c>
      <c r="T699" s="9">
        <v>0</v>
      </c>
      <c r="U699" s="9">
        <v>0</v>
      </c>
      <c r="V699" s="9">
        <v>0</v>
      </c>
      <c r="W699" s="9">
        <v>0</v>
      </c>
      <c r="X699" s="9">
        <v>0</v>
      </c>
      <c r="Y699" s="9">
        <v>0</v>
      </c>
      <c r="Z699" s="9">
        <v>0</v>
      </c>
      <c r="AA699" s="9">
        <v>0</v>
      </c>
      <c r="AB699" s="10">
        <f t="shared" si="51"/>
        <v>0</v>
      </c>
      <c r="AC699" s="10">
        <f t="shared" si="52"/>
        <v>0</v>
      </c>
      <c r="AD699" s="9">
        <v>0</v>
      </c>
      <c r="AE699" s="9">
        <v>0</v>
      </c>
      <c r="AF699" s="9">
        <v>0</v>
      </c>
      <c r="AG699" s="9">
        <v>0</v>
      </c>
      <c r="AH699" s="9">
        <v>0</v>
      </c>
      <c r="AI699" s="9">
        <v>0</v>
      </c>
      <c r="AJ699" s="9">
        <v>0</v>
      </c>
      <c r="AK699" s="9">
        <v>0</v>
      </c>
      <c r="AL699" s="9">
        <v>0</v>
      </c>
      <c r="AM699" s="9">
        <v>0</v>
      </c>
      <c r="AN699" s="9">
        <v>0</v>
      </c>
      <c r="AO699" s="9">
        <v>0</v>
      </c>
      <c r="AP699" s="9">
        <v>0</v>
      </c>
      <c r="AQ699" s="9">
        <v>0</v>
      </c>
      <c r="AR699" s="9">
        <v>0</v>
      </c>
      <c r="AS699" s="10">
        <f t="shared" si="53"/>
        <v>0</v>
      </c>
      <c r="AT699" s="10">
        <f t="shared" si="54"/>
        <v>0</v>
      </c>
      <c r="AU699" s="5" t="s">
        <v>667</v>
      </c>
    </row>
    <row r="700" spans="1:47" ht="15" customHeight="1" x14ac:dyDescent="0.3">
      <c r="A700" s="7" t="str">
        <f t="shared" si="50"/>
        <v>140_2024</v>
      </c>
      <c r="B700" s="7">
        <v>699</v>
      </c>
      <c r="C700" s="7">
        <f>'Panel Data (Long Format)'!B700</f>
        <v>140</v>
      </c>
      <c r="D700" s="7" t="str">
        <f>'Panel Data (Long Format)'!C700</f>
        <v>VERITASKAP</v>
      </c>
      <c r="E700" s="8" t="str">
        <f>'Panel Data (Long Format)'!D700</f>
        <v>Veritas Kapital Assurance Plc</v>
      </c>
      <c r="F700" s="7" t="str">
        <f>'Panel Data (Long Format)'!E700</f>
        <v>FINANCIAL SERVICES</v>
      </c>
      <c r="G700" s="7">
        <f>'Panel Data (Long Format)'!F700</f>
        <v>2024</v>
      </c>
      <c r="H700" s="9">
        <v>0</v>
      </c>
      <c r="I700" s="9">
        <v>0</v>
      </c>
      <c r="J700" s="9">
        <v>0</v>
      </c>
      <c r="K700" s="9">
        <v>0</v>
      </c>
      <c r="L700" s="9">
        <v>0</v>
      </c>
      <c r="M700" s="9">
        <v>0</v>
      </c>
      <c r="N700" s="9">
        <v>0</v>
      </c>
      <c r="O700" s="9">
        <v>0</v>
      </c>
      <c r="P700" s="9">
        <v>0</v>
      </c>
      <c r="Q700" s="9">
        <v>0</v>
      </c>
      <c r="R700" s="9">
        <v>0</v>
      </c>
      <c r="S700" s="9">
        <v>0</v>
      </c>
      <c r="T700" s="9">
        <v>0</v>
      </c>
      <c r="U700" s="9">
        <v>0</v>
      </c>
      <c r="V700" s="9">
        <v>0</v>
      </c>
      <c r="W700" s="9">
        <v>0</v>
      </c>
      <c r="X700" s="9">
        <v>0</v>
      </c>
      <c r="Y700" s="9">
        <v>0</v>
      </c>
      <c r="Z700" s="9">
        <v>0</v>
      </c>
      <c r="AA700" s="9">
        <v>0</v>
      </c>
      <c r="AB700" s="10">
        <f t="shared" si="51"/>
        <v>0</v>
      </c>
      <c r="AC700" s="10">
        <f t="shared" si="52"/>
        <v>0</v>
      </c>
      <c r="AD700" s="9">
        <v>0</v>
      </c>
      <c r="AE700" s="9">
        <v>0</v>
      </c>
      <c r="AF700" s="9">
        <v>0</v>
      </c>
      <c r="AG700" s="9">
        <v>0</v>
      </c>
      <c r="AH700" s="9">
        <v>0</v>
      </c>
      <c r="AI700" s="9">
        <v>0</v>
      </c>
      <c r="AJ700" s="9">
        <v>0</v>
      </c>
      <c r="AK700" s="9">
        <v>0</v>
      </c>
      <c r="AL700" s="9">
        <v>0</v>
      </c>
      <c r="AM700" s="9">
        <v>0</v>
      </c>
      <c r="AN700" s="9">
        <v>0</v>
      </c>
      <c r="AO700" s="9">
        <v>0</v>
      </c>
      <c r="AP700" s="9">
        <v>0</v>
      </c>
      <c r="AQ700" s="9">
        <v>0</v>
      </c>
      <c r="AR700" s="9">
        <v>0</v>
      </c>
      <c r="AS700" s="10">
        <f t="shared" si="53"/>
        <v>0</v>
      </c>
      <c r="AT700" s="10">
        <f t="shared" si="54"/>
        <v>0</v>
      </c>
      <c r="AU700" s="5" t="s">
        <v>668</v>
      </c>
    </row>
    <row r="701" spans="1:47" ht="15" customHeight="1" x14ac:dyDescent="0.3">
      <c r="A701" s="7" t="str">
        <f t="shared" si="50"/>
        <v>140_2025</v>
      </c>
      <c r="B701" s="7">
        <v>700</v>
      </c>
      <c r="C701" s="7">
        <f>'Panel Data (Long Format)'!B701</f>
        <v>140</v>
      </c>
      <c r="D701" s="7" t="str">
        <f>'Panel Data (Long Format)'!C701</f>
        <v>VERITASKAP</v>
      </c>
      <c r="E701" s="8" t="str">
        <f>'Panel Data (Long Format)'!D701</f>
        <v>Veritas Kapital Assurance Plc</v>
      </c>
      <c r="F701" s="7" t="str">
        <f>'Panel Data (Long Format)'!E701</f>
        <v>FINANCIAL SERVICES</v>
      </c>
      <c r="G701" s="7">
        <f>'Panel Data (Long Format)'!F701</f>
        <v>2025</v>
      </c>
      <c r="H701" s="9">
        <v>0</v>
      </c>
      <c r="I701" s="9">
        <v>1</v>
      </c>
      <c r="J701" s="9">
        <v>0</v>
      </c>
      <c r="K701" s="9">
        <v>0</v>
      </c>
      <c r="L701" s="9">
        <v>0</v>
      </c>
      <c r="M701" s="9">
        <v>0</v>
      </c>
      <c r="N701" s="9">
        <v>0</v>
      </c>
      <c r="O701" s="9">
        <v>0</v>
      </c>
      <c r="P701" s="9">
        <v>0</v>
      </c>
      <c r="Q701" s="9">
        <v>0</v>
      </c>
      <c r="R701" s="9">
        <v>0</v>
      </c>
      <c r="S701" s="9">
        <v>0</v>
      </c>
      <c r="T701" s="9">
        <v>0</v>
      </c>
      <c r="U701" s="9">
        <v>0</v>
      </c>
      <c r="V701" s="9">
        <v>0</v>
      </c>
      <c r="W701" s="9">
        <v>0</v>
      </c>
      <c r="X701" s="9">
        <v>0</v>
      </c>
      <c r="Y701" s="9">
        <v>0</v>
      </c>
      <c r="Z701" s="9">
        <v>0</v>
      </c>
      <c r="AA701" s="9">
        <v>0</v>
      </c>
      <c r="AB701" s="10">
        <f t="shared" si="51"/>
        <v>1</v>
      </c>
      <c r="AC701" s="10">
        <f t="shared" si="52"/>
        <v>5</v>
      </c>
      <c r="AD701" s="9">
        <v>0</v>
      </c>
      <c r="AE701" s="9">
        <v>0</v>
      </c>
      <c r="AF701" s="9">
        <v>0</v>
      </c>
      <c r="AG701" s="9">
        <v>0</v>
      </c>
      <c r="AH701" s="9">
        <v>0</v>
      </c>
      <c r="AI701" s="9">
        <v>0</v>
      </c>
      <c r="AJ701" s="9">
        <v>0</v>
      </c>
      <c r="AK701" s="9">
        <v>0</v>
      </c>
      <c r="AL701" s="9">
        <v>0</v>
      </c>
      <c r="AM701" s="9">
        <v>0</v>
      </c>
      <c r="AN701" s="9">
        <v>0</v>
      </c>
      <c r="AO701" s="9">
        <v>0</v>
      </c>
      <c r="AP701" s="9">
        <v>0</v>
      </c>
      <c r="AQ701" s="9">
        <v>0</v>
      </c>
      <c r="AR701" s="9">
        <v>0</v>
      </c>
      <c r="AS701" s="10">
        <f t="shared" si="53"/>
        <v>0</v>
      </c>
      <c r="AT701" s="10">
        <f t="shared" si="54"/>
        <v>0</v>
      </c>
      <c r="AU701" s="5" t="s">
        <v>669</v>
      </c>
    </row>
    <row r="702" spans="1:47" ht="15" customHeight="1" x14ac:dyDescent="0.3">
      <c r="A702" s="7" t="str">
        <f t="shared" si="50"/>
        <v>141_2021</v>
      </c>
      <c r="B702" s="7">
        <v>701</v>
      </c>
      <c r="C702" s="7">
        <f>'Panel Data (Long Format)'!B702</f>
        <v>141</v>
      </c>
      <c r="D702" s="7" t="str">
        <f>'Panel Data (Long Format)'!C702</f>
        <v>VFDGROUP</v>
      </c>
      <c r="E702" s="8" t="str">
        <f>'Panel Data (Long Format)'!D702</f>
        <v>VFD Group Plc</v>
      </c>
      <c r="F702" s="7" t="str">
        <f>'Panel Data (Long Format)'!E702</f>
        <v>INVESTMENT</v>
      </c>
      <c r="G702" s="7">
        <f>'Panel Data (Long Format)'!F702</f>
        <v>2021</v>
      </c>
      <c r="H702" s="9">
        <v>0</v>
      </c>
      <c r="I702" s="9">
        <v>0</v>
      </c>
      <c r="J702" s="9">
        <v>0</v>
      </c>
      <c r="K702" s="9">
        <v>0</v>
      </c>
      <c r="L702" s="9">
        <v>0</v>
      </c>
      <c r="M702" s="9">
        <v>0</v>
      </c>
      <c r="N702" s="9">
        <v>0</v>
      </c>
      <c r="O702" s="9">
        <v>0</v>
      </c>
      <c r="P702" s="9">
        <v>0</v>
      </c>
      <c r="Q702" s="9">
        <v>0</v>
      </c>
      <c r="R702" s="9">
        <v>0</v>
      </c>
      <c r="S702" s="9">
        <v>0</v>
      </c>
      <c r="T702" s="9">
        <v>0</v>
      </c>
      <c r="U702" s="9">
        <v>0</v>
      </c>
      <c r="V702" s="9">
        <v>0</v>
      </c>
      <c r="W702" s="9">
        <v>0</v>
      </c>
      <c r="X702" s="9">
        <v>0</v>
      </c>
      <c r="Y702" s="9">
        <v>0</v>
      </c>
      <c r="Z702" s="9">
        <v>0</v>
      </c>
      <c r="AA702" s="9">
        <v>0</v>
      </c>
      <c r="AB702" s="10">
        <f t="shared" si="51"/>
        <v>0</v>
      </c>
      <c r="AC702" s="10">
        <f t="shared" si="52"/>
        <v>0</v>
      </c>
      <c r="AD702" s="9">
        <v>0</v>
      </c>
      <c r="AE702" s="9">
        <v>0</v>
      </c>
      <c r="AF702" s="9">
        <v>0</v>
      </c>
      <c r="AG702" s="9">
        <v>0</v>
      </c>
      <c r="AH702" s="9">
        <v>0</v>
      </c>
      <c r="AI702" s="9">
        <v>0</v>
      </c>
      <c r="AJ702" s="9">
        <v>0</v>
      </c>
      <c r="AK702" s="9">
        <v>0</v>
      </c>
      <c r="AL702" s="9">
        <v>0</v>
      </c>
      <c r="AM702" s="9">
        <v>0</v>
      </c>
      <c r="AN702" s="9">
        <v>0</v>
      </c>
      <c r="AO702" s="9">
        <v>0</v>
      </c>
      <c r="AP702" s="9">
        <v>0</v>
      </c>
      <c r="AQ702" s="9">
        <v>0</v>
      </c>
      <c r="AR702" s="9">
        <v>0</v>
      </c>
      <c r="AS702" s="10">
        <f t="shared" si="53"/>
        <v>0</v>
      </c>
      <c r="AT702" s="10">
        <f t="shared" si="54"/>
        <v>0</v>
      </c>
      <c r="AU702" s="5" t="s">
        <v>670</v>
      </c>
    </row>
    <row r="703" spans="1:47" ht="15" customHeight="1" x14ac:dyDescent="0.3">
      <c r="A703" s="7" t="str">
        <f t="shared" si="50"/>
        <v>141_2022</v>
      </c>
      <c r="B703" s="7">
        <v>702</v>
      </c>
      <c r="C703" s="7">
        <f>'Panel Data (Long Format)'!B703</f>
        <v>141</v>
      </c>
      <c r="D703" s="7" t="str">
        <f>'Panel Data (Long Format)'!C703</f>
        <v>VFDGROUP</v>
      </c>
      <c r="E703" s="8" t="str">
        <f>'Panel Data (Long Format)'!D703</f>
        <v>VFD Group Plc</v>
      </c>
      <c r="F703" s="7" t="str">
        <f>'Panel Data (Long Format)'!E703</f>
        <v>INVESTMENT</v>
      </c>
      <c r="G703" s="7">
        <f>'Panel Data (Long Format)'!F703</f>
        <v>2022</v>
      </c>
      <c r="H703" s="9">
        <v>0</v>
      </c>
      <c r="I703" s="9">
        <v>0</v>
      </c>
      <c r="J703" s="9">
        <v>0</v>
      </c>
      <c r="K703" s="9">
        <v>0</v>
      </c>
      <c r="L703" s="9">
        <v>0</v>
      </c>
      <c r="M703" s="9">
        <v>0</v>
      </c>
      <c r="N703" s="9">
        <v>0</v>
      </c>
      <c r="O703" s="9">
        <v>0</v>
      </c>
      <c r="P703" s="9">
        <v>0</v>
      </c>
      <c r="Q703" s="9">
        <v>0</v>
      </c>
      <c r="R703" s="9">
        <v>0</v>
      </c>
      <c r="S703" s="9">
        <v>0</v>
      </c>
      <c r="T703" s="9">
        <v>0</v>
      </c>
      <c r="U703" s="9">
        <v>0</v>
      </c>
      <c r="V703" s="9">
        <v>0</v>
      </c>
      <c r="W703" s="9">
        <v>0</v>
      </c>
      <c r="X703" s="9">
        <v>0</v>
      </c>
      <c r="Y703" s="9">
        <v>0</v>
      </c>
      <c r="Z703" s="9">
        <v>0</v>
      </c>
      <c r="AA703" s="9">
        <v>0</v>
      </c>
      <c r="AB703" s="10">
        <f t="shared" si="51"/>
        <v>0</v>
      </c>
      <c r="AC703" s="10">
        <f t="shared" si="52"/>
        <v>0</v>
      </c>
      <c r="AD703" s="9">
        <v>0</v>
      </c>
      <c r="AE703" s="9">
        <v>0</v>
      </c>
      <c r="AF703" s="9">
        <v>0</v>
      </c>
      <c r="AG703" s="9">
        <v>0</v>
      </c>
      <c r="AH703" s="9">
        <v>0</v>
      </c>
      <c r="AI703" s="9">
        <v>0</v>
      </c>
      <c r="AJ703" s="9">
        <v>0</v>
      </c>
      <c r="AK703" s="9">
        <v>0</v>
      </c>
      <c r="AL703" s="9">
        <v>0</v>
      </c>
      <c r="AM703" s="9">
        <v>0</v>
      </c>
      <c r="AN703" s="9">
        <v>0</v>
      </c>
      <c r="AO703" s="9">
        <v>0</v>
      </c>
      <c r="AP703" s="9">
        <v>0</v>
      </c>
      <c r="AQ703" s="9">
        <v>0</v>
      </c>
      <c r="AR703" s="9">
        <v>0</v>
      </c>
      <c r="AS703" s="10">
        <f t="shared" si="53"/>
        <v>0</v>
      </c>
      <c r="AT703" s="10">
        <f t="shared" si="54"/>
        <v>0</v>
      </c>
      <c r="AU703" s="5" t="s">
        <v>671</v>
      </c>
    </row>
    <row r="704" spans="1:47" ht="15" customHeight="1" x14ac:dyDescent="0.3">
      <c r="A704" s="7" t="str">
        <f t="shared" si="50"/>
        <v>141_2023</v>
      </c>
      <c r="B704" s="7">
        <v>703</v>
      </c>
      <c r="C704" s="7">
        <f>'Panel Data (Long Format)'!B704</f>
        <v>141</v>
      </c>
      <c r="D704" s="7" t="str">
        <f>'Panel Data (Long Format)'!C704</f>
        <v>VFDGROUP</v>
      </c>
      <c r="E704" s="8" t="str">
        <f>'Panel Data (Long Format)'!D704</f>
        <v>VFD Group Plc</v>
      </c>
      <c r="F704" s="7" t="str">
        <f>'Panel Data (Long Format)'!E704</f>
        <v>INVESTMENT</v>
      </c>
      <c r="G704" s="7">
        <f>'Panel Data (Long Format)'!F704</f>
        <v>2023</v>
      </c>
      <c r="H704" s="9">
        <v>0</v>
      </c>
      <c r="I704" s="9">
        <v>0</v>
      </c>
      <c r="J704" s="9">
        <v>0</v>
      </c>
      <c r="K704" s="9">
        <v>0</v>
      </c>
      <c r="L704" s="9">
        <v>0</v>
      </c>
      <c r="M704" s="9">
        <v>0</v>
      </c>
      <c r="N704" s="9">
        <v>0</v>
      </c>
      <c r="O704" s="9">
        <v>0</v>
      </c>
      <c r="P704" s="9">
        <v>0</v>
      </c>
      <c r="Q704" s="9">
        <v>0</v>
      </c>
      <c r="R704" s="9">
        <v>0</v>
      </c>
      <c r="S704" s="9">
        <v>0</v>
      </c>
      <c r="T704" s="9">
        <v>0</v>
      </c>
      <c r="U704" s="9">
        <v>0</v>
      </c>
      <c r="V704" s="9">
        <v>0</v>
      </c>
      <c r="W704" s="9">
        <v>0</v>
      </c>
      <c r="X704" s="9">
        <v>0</v>
      </c>
      <c r="Y704" s="9">
        <v>0</v>
      </c>
      <c r="Z704" s="9">
        <v>0</v>
      </c>
      <c r="AA704" s="9">
        <v>0</v>
      </c>
      <c r="AB704" s="10">
        <f t="shared" si="51"/>
        <v>0</v>
      </c>
      <c r="AC704" s="10">
        <f t="shared" si="52"/>
        <v>0</v>
      </c>
      <c r="AD704" s="9">
        <v>0</v>
      </c>
      <c r="AE704" s="9">
        <v>0</v>
      </c>
      <c r="AF704" s="9">
        <v>0</v>
      </c>
      <c r="AG704" s="9">
        <v>0</v>
      </c>
      <c r="AH704" s="9">
        <v>0</v>
      </c>
      <c r="AI704" s="9">
        <v>0</v>
      </c>
      <c r="AJ704" s="9">
        <v>0</v>
      </c>
      <c r="AK704" s="9">
        <v>0</v>
      </c>
      <c r="AL704" s="9">
        <v>0</v>
      </c>
      <c r="AM704" s="9">
        <v>0</v>
      </c>
      <c r="AN704" s="9">
        <v>0</v>
      </c>
      <c r="AO704" s="9">
        <v>0</v>
      </c>
      <c r="AP704" s="9">
        <v>0</v>
      </c>
      <c r="AQ704" s="9">
        <v>0</v>
      </c>
      <c r="AR704" s="9">
        <v>0</v>
      </c>
      <c r="AS704" s="10">
        <f t="shared" si="53"/>
        <v>0</v>
      </c>
      <c r="AT704" s="10">
        <f t="shared" si="54"/>
        <v>0</v>
      </c>
      <c r="AU704" s="5" t="s">
        <v>672</v>
      </c>
    </row>
    <row r="705" spans="1:47" ht="15" customHeight="1" x14ac:dyDescent="0.3">
      <c r="A705" s="7" t="str">
        <f t="shared" si="50"/>
        <v>141_2024</v>
      </c>
      <c r="B705" s="7">
        <v>704</v>
      </c>
      <c r="C705" s="7">
        <f>'Panel Data (Long Format)'!B705</f>
        <v>141</v>
      </c>
      <c r="D705" s="7" t="str">
        <f>'Panel Data (Long Format)'!C705</f>
        <v>VFDGROUP</v>
      </c>
      <c r="E705" s="8" t="str">
        <f>'Panel Data (Long Format)'!D705</f>
        <v>VFD Group Plc</v>
      </c>
      <c r="F705" s="7" t="str">
        <f>'Panel Data (Long Format)'!E705</f>
        <v>INVESTMENT</v>
      </c>
      <c r="G705" s="7">
        <f>'Panel Data (Long Format)'!F705</f>
        <v>2024</v>
      </c>
      <c r="H705" s="9">
        <v>0</v>
      </c>
      <c r="I705" s="9">
        <v>0</v>
      </c>
      <c r="J705" s="9">
        <v>0</v>
      </c>
      <c r="K705" s="9">
        <v>0</v>
      </c>
      <c r="L705" s="9">
        <v>0</v>
      </c>
      <c r="M705" s="9">
        <v>0</v>
      </c>
      <c r="N705" s="9">
        <v>0</v>
      </c>
      <c r="O705" s="9">
        <v>0</v>
      </c>
      <c r="P705" s="9">
        <v>0</v>
      </c>
      <c r="Q705" s="9">
        <v>0</v>
      </c>
      <c r="R705" s="9">
        <v>0</v>
      </c>
      <c r="S705" s="9">
        <v>0</v>
      </c>
      <c r="T705" s="9">
        <v>0</v>
      </c>
      <c r="U705" s="9">
        <v>0</v>
      </c>
      <c r="V705" s="9">
        <v>0</v>
      </c>
      <c r="W705" s="9">
        <v>1</v>
      </c>
      <c r="X705" s="9">
        <v>0</v>
      </c>
      <c r="Y705" s="9">
        <v>0</v>
      </c>
      <c r="Z705" s="9">
        <v>0</v>
      </c>
      <c r="AA705" s="9">
        <v>0</v>
      </c>
      <c r="AB705" s="10">
        <f t="shared" si="51"/>
        <v>1</v>
      </c>
      <c r="AC705" s="10">
        <f t="shared" si="52"/>
        <v>5</v>
      </c>
      <c r="AD705" s="9">
        <v>0</v>
      </c>
      <c r="AE705" s="9">
        <v>0</v>
      </c>
      <c r="AF705" s="9">
        <v>0</v>
      </c>
      <c r="AG705" s="9">
        <v>0</v>
      </c>
      <c r="AH705" s="9">
        <v>0</v>
      </c>
      <c r="AI705" s="9">
        <v>0</v>
      </c>
      <c r="AJ705" s="9">
        <v>0</v>
      </c>
      <c r="AK705" s="9">
        <v>0</v>
      </c>
      <c r="AL705" s="9">
        <v>0</v>
      </c>
      <c r="AM705" s="9">
        <v>0</v>
      </c>
      <c r="AN705" s="9">
        <v>0</v>
      </c>
      <c r="AO705" s="9">
        <v>0</v>
      </c>
      <c r="AP705" s="9">
        <v>0</v>
      </c>
      <c r="AQ705" s="9">
        <v>0</v>
      </c>
      <c r="AR705" s="9">
        <v>0</v>
      </c>
      <c r="AS705" s="10">
        <f t="shared" si="53"/>
        <v>0</v>
      </c>
      <c r="AT705" s="10">
        <f t="shared" si="54"/>
        <v>0</v>
      </c>
      <c r="AU705" s="5" t="s">
        <v>673</v>
      </c>
    </row>
    <row r="706" spans="1:47" ht="15" customHeight="1" x14ac:dyDescent="0.3">
      <c r="A706" s="7" t="str">
        <f t="shared" ref="A706:A731" si="55">C706&amp;"_"&amp;G706</f>
        <v>141_2025</v>
      </c>
      <c r="B706" s="7">
        <v>705</v>
      </c>
      <c r="C706" s="7">
        <f>'Panel Data (Long Format)'!B706</f>
        <v>141</v>
      </c>
      <c r="D706" s="7" t="str">
        <f>'Panel Data (Long Format)'!C706</f>
        <v>VFDGROUP</v>
      </c>
      <c r="E706" s="8" t="str">
        <f>'Panel Data (Long Format)'!D706</f>
        <v>VFD Group Plc</v>
      </c>
      <c r="F706" s="7" t="str">
        <f>'Panel Data (Long Format)'!E706</f>
        <v>INVESTMENT</v>
      </c>
      <c r="G706" s="7">
        <f>'Panel Data (Long Format)'!F706</f>
        <v>2025</v>
      </c>
      <c r="H706" s="9">
        <v>0</v>
      </c>
      <c r="I706" s="9">
        <v>0</v>
      </c>
      <c r="J706" s="9">
        <v>0</v>
      </c>
      <c r="K706" s="9">
        <v>0</v>
      </c>
      <c r="L706" s="9">
        <v>0</v>
      </c>
      <c r="M706" s="9">
        <v>0</v>
      </c>
      <c r="N706" s="9">
        <v>0</v>
      </c>
      <c r="O706" s="9">
        <v>0</v>
      </c>
      <c r="P706" s="9">
        <v>0</v>
      </c>
      <c r="Q706" s="9">
        <v>0</v>
      </c>
      <c r="R706" s="9">
        <v>0</v>
      </c>
      <c r="S706" s="9">
        <v>0</v>
      </c>
      <c r="T706" s="9">
        <v>0</v>
      </c>
      <c r="U706" s="9">
        <v>0</v>
      </c>
      <c r="V706" s="9">
        <v>0</v>
      </c>
      <c r="W706" s="9">
        <v>1</v>
      </c>
      <c r="X706" s="9">
        <v>0</v>
      </c>
      <c r="Y706" s="9">
        <v>0</v>
      </c>
      <c r="Z706" s="9">
        <v>0</v>
      </c>
      <c r="AA706" s="9">
        <v>0</v>
      </c>
      <c r="AB706" s="10">
        <f t="shared" ref="AB706:AB731" si="56">IF(COUNTBLANK(H706:AA706)&gt;0,"",SUM(H706:AA706))</f>
        <v>1</v>
      </c>
      <c r="AC706" s="10">
        <f t="shared" ref="AC706:AC731" si="57">IF(AB706="","",AB706/20*100)</f>
        <v>5</v>
      </c>
      <c r="AD706" s="9">
        <v>0</v>
      </c>
      <c r="AE706" s="9">
        <v>0</v>
      </c>
      <c r="AF706" s="9">
        <v>0</v>
      </c>
      <c r="AG706" s="9">
        <v>0</v>
      </c>
      <c r="AH706" s="9">
        <v>0</v>
      </c>
      <c r="AI706" s="9">
        <v>0</v>
      </c>
      <c r="AJ706" s="9">
        <v>0</v>
      </c>
      <c r="AK706" s="9">
        <v>0</v>
      </c>
      <c r="AL706" s="9">
        <v>0</v>
      </c>
      <c r="AM706" s="9">
        <v>0</v>
      </c>
      <c r="AN706" s="9">
        <v>0</v>
      </c>
      <c r="AO706" s="9">
        <v>0</v>
      </c>
      <c r="AP706" s="9">
        <v>0</v>
      </c>
      <c r="AQ706" s="9">
        <v>0</v>
      </c>
      <c r="AR706" s="9">
        <v>0</v>
      </c>
      <c r="AS706" s="10">
        <f t="shared" ref="AS706:AS731" si="58">IF(COUNTBLANK(AD706:AR706)&gt;0,"",SUM(AD706:AR706))</f>
        <v>0</v>
      </c>
      <c r="AT706" s="10">
        <f t="shared" ref="AT706:AT731" si="59">IF(AS706="","",AS706/15*100)</f>
        <v>0</v>
      </c>
      <c r="AU706" s="5" t="s">
        <v>674</v>
      </c>
    </row>
    <row r="707" spans="1:47" ht="15" customHeight="1" x14ac:dyDescent="0.3">
      <c r="A707" s="7" t="str">
        <f t="shared" si="55"/>
        <v>142_2021</v>
      </c>
      <c r="B707" s="7">
        <v>706</v>
      </c>
      <c r="C707" s="7">
        <f>'Panel Data (Long Format)'!B707</f>
        <v>142</v>
      </c>
      <c r="D707" s="7" t="str">
        <f>'Panel Data (Long Format)'!C707</f>
        <v>VITAFOAM</v>
      </c>
      <c r="E707" s="8" t="str">
        <f>'Panel Data (Long Format)'!D707</f>
        <v>Vitafoam Nigeria Plc</v>
      </c>
      <c r="F707" s="7" t="str">
        <f>'Panel Data (Long Format)'!E707</f>
        <v>CONSUMER GOODS</v>
      </c>
      <c r="G707" s="7">
        <f>'Panel Data (Long Format)'!F707</f>
        <v>2021</v>
      </c>
      <c r="H707" s="9">
        <v>0</v>
      </c>
      <c r="I707" s="9">
        <v>0</v>
      </c>
      <c r="J707" s="9">
        <v>0</v>
      </c>
      <c r="K707" s="9">
        <v>0</v>
      </c>
      <c r="L707" s="9">
        <v>0</v>
      </c>
      <c r="M707" s="9">
        <v>0</v>
      </c>
      <c r="N707" s="9">
        <v>0</v>
      </c>
      <c r="O707" s="9">
        <v>0</v>
      </c>
      <c r="P707" s="9">
        <v>0</v>
      </c>
      <c r="Q707" s="9">
        <v>0</v>
      </c>
      <c r="R707" s="9">
        <v>0</v>
      </c>
      <c r="S707" s="9">
        <v>0</v>
      </c>
      <c r="T707" s="9">
        <v>0</v>
      </c>
      <c r="U707" s="9">
        <v>0</v>
      </c>
      <c r="V707" s="9">
        <v>0</v>
      </c>
      <c r="W707" s="9">
        <v>0</v>
      </c>
      <c r="X707" s="9">
        <v>0</v>
      </c>
      <c r="Y707" s="9">
        <v>0</v>
      </c>
      <c r="Z707" s="9">
        <v>0</v>
      </c>
      <c r="AA707" s="9">
        <v>0</v>
      </c>
      <c r="AB707" s="10">
        <f t="shared" si="56"/>
        <v>0</v>
      </c>
      <c r="AC707" s="10">
        <f t="shared" si="57"/>
        <v>0</v>
      </c>
      <c r="AD707" s="9">
        <v>0</v>
      </c>
      <c r="AE707" s="9">
        <v>0</v>
      </c>
      <c r="AF707" s="9">
        <v>0</v>
      </c>
      <c r="AG707" s="9">
        <v>0</v>
      </c>
      <c r="AH707" s="9">
        <v>0</v>
      </c>
      <c r="AI707" s="9">
        <v>0</v>
      </c>
      <c r="AJ707" s="9">
        <v>0</v>
      </c>
      <c r="AK707" s="9">
        <v>0</v>
      </c>
      <c r="AL707" s="9">
        <v>0</v>
      </c>
      <c r="AM707" s="9">
        <v>0</v>
      </c>
      <c r="AN707" s="9">
        <v>0</v>
      </c>
      <c r="AO707" s="9">
        <v>0</v>
      </c>
      <c r="AP707" s="9">
        <v>0</v>
      </c>
      <c r="AQ707" s="9">
        <v>0</v>
      </c>
      <c r="AR707" s="9">
        <v>0</v>
      </c>
      <c r="AS707" s="10">
        <f t="shared" si="58"/>
        <v>0</v>
      </c>
      <c r="AT707" s="10">
        <f t="shared" si="59"/>
        <v>0</v>
      </c>
      <c r="AU707" s="5" t="s">
        <v>675</v>
      </c>
    </row>
    <row r="708" spans="1:47" ht="15" customHeight="1" x14ac:dyDescent="0.3">
      <c r="A708" s="7" t="str">
        <f t="shared" si="55"/>
        <v>142_2022</v>
      </c>
      <c r="B708" s="7">
        <v>707</v>
      </c>
      <c r="C708" s="7">
        <f>'Panel Data (Long Format)'!B708</f>
        <v>142</v>
      </c>
      <c r="D708" s="7" t="str">
        <f>'Panel Data (Long Format)'!C708</f>
        <v>VITAFOAM</v>
      </c>
      <c r="E708" s="8" t="str">
        <f>'Panel Data (Long Format)'!D708</f>
        <v>Vitafoam Nigeria Plc</v>
      </c>
      <c r="F708" s="7" t="str">
        <f>'Panel Data (Long Format)'!E708</f>
        <v>CONSUMER GOODS</v>
      </c>
      <c r="G708" s="7">
        <f>'Panel Data (Long Format)'!F708</f>
        <v>2022</v>
      </c>
      <c r="H708" s="9">
        <v>0</v>
      </c>
      <c r="I708" s="9">
        <v>0</v>
      </c>
      <c r="J708" s="9">
        <v>0</v>
      </c>
      <c r="K708" s="9">
        <v>0</v>
      </c>
      <c r="L708" s="9">
        <v>0</v>
      </c>
      <c r="M708" s="9">
        <v>0</v>
      </c>
      <c r="N708" s="9">
        <v>0</v>
      </c>
      <c r="O708" s="9">
        <v>0</v>
      </c>
      <c r="P708" s="9">
        <v>0</v>
      </c>
      <c r="Q708" s="9">
        <v>0</v>
      </c>
      <c r="R708" s="9">
        <v>0</v>
      </c>
      <c r="S708" s="9">
        <v>0</v>
      </c>
      <c r="T708" s="9">
        <v>0</v>
      </c>
      <c r="U708" s="9">
        <v>0</v>
      </c>
      <c r="V708" s="9">
        <v>0</v>
      </c>
      <c r="W708" s="9">
        <v>0</v>
      </c>
      <c r="X708" s="9">
        <v>0</v>
      </c>
      <c r="Y708" s="9">
        <v>0</v>
      </c>
      <c r="Z708" s="9">
        <v>0</v>
      </c>
      <c r="AA708" s="9">
        <v>0</v>
      </c>
      <c r="AB708" s="10">
        <f t="shared" si="56"/>
        <v>0</v>
      </c>
      <c r="AC708" s="10">
        <f t="shared" si="57"/>
        <v>0</v>
      </c>
      <c r="AD708" s="9">
        <v>0</v>
      </c>
      <c r="AE708" s="9">
        <v>0</v>
      </c>
      <c r="AF708" s="9">
        <v>0</v>
      </c>
      <c r="AG708" s="9">
        <v>0</v>
      </c>
      <c r="AH708" s="9">
        <v>0</v>
      </c>
      <c r="AI708" s="9">
        <v>0</v>
      </c>
      <c r="AJ708" s="9">
        <v>0</v>
      </c>
      <c r="AK708" s="9">
        <v>0</v>
      </c>
      <c r="AL708" s="9">
        <v>0</v>
      </c>
      <c r="AM708" s="9">
        <v>0</v>
      </c>
      <c r="AN708" s="9">
        <v>0</v>
      </c>
      <c r="AO708" s="9">
        <v>0</v>
      </c>
      <c r="AP708" s="9">
        <v>0</v>
      </c>
      <c r="AQ708" s="9">
        <v>0</v>
      </c>
      <c r="AR708" s="9">
        <v>0</v>
      </c>
      <c r="AS708" s="10">
        <f t="shared" si="58"/>
        <v>0</v>
      </c>
      <c r="AT708" s="10">
        <f t="shared" si="59"/>
        <v>0</v>
      </c>
      <c r="AU708" s="5" t="s">
        <v>676</v>
      </c>
    </row>
    <row r="709" spans="1:47" ht="15" customHeight="1" x14ac:dyDescent="0.3">
      <c r="A709" s="7" t="str">
        <f t="shared" si="55"/>
        <v>142_2023</v>
      </c>
      <c r="B709" s="7">
        <v>708</v>
      </c>
      <c r="C709" s="7">
        <f>'Panel Data (Long Format)'!B709</f>
        <v>142</v>
      </c>
      <c r="D709" s="7" t="str">
        <f>'Panel Data (Long Format)'!C709</f>
        <v>VITAFOAM</v>
      </c>
      <c r="E709" s="8" t="str">
        <f>'Panel Data (Long Format)'!D709</f>
        <v>Vitafoam Nigeria Plc</v>
      </c>
      <c r="F709" s="7" t="str">
        <f>'Panel Data (Long Format)'!E709</f>
        <v>CONSUMER GOODS</v>
      </c>
      <c r="G709" s="7">
        <f>'Panel Data (Long Format)'!F709</f>
        <v>2023</v>
      </c>
      <c r="H709" s="9">
        <v>0</v>
      </c>
      <c r="I709" s="9">
        <v>0</v>
      </c>
      <c r="J709" s="9">
        <v>0</v>
      </c>
      <c r="K709" s="9">
        <v>0</v>
      </c>
      <c r="L709" s="9">
        <v>0</v>
      </c>
      <c r="M709" s="9">
        <v>0</v>
      </c>
      <c r="N709" s="9">
        <v>0</v>
      </c>
      <c r="O709" s="9">
        <v>0</v>
      </c>
      <c r="P709" s="9">
        <v>0</v>
      </c>
      <c r="Q709" s="9">
        <v>0</v>
      </c>
      <c r="R709" s="9">
        <v>0</v>
      </c>
      <c r="S709" s="9">
        <v>0</v>
      </c>
      <c r="T709" s="9">
        <v>0</v>
      </c>
      <c r="U709" s="9">
        <v>0</v>
      </c>
      <c r="V709" s="9">
        <v>0</v>
      </c>
      <c r="W709" s="9">
        <v>0</v>
      </c>
      <c r="X709" s="9">
        <v>0</v>
      </c>
      <c r="Y709" s="9">
        <v>0</v>
      </c>
      <c r="Z709" s="9">
        <v>0</v>
      </c>
      <c r="AA709" s="9">
        <v>0</v>
      </c>
      <c r="AB709" s="10">
        <f t="shared" si="56"/>
        <v>0</v>
      </c>
      <c r="AC709" s="10">
        <f t="shared" si="57"/>
        <v>0</v>
      </c>
      <c r="AD709" s="9">
        <v>0</v>
      </c>
      <c r="AE709" s="9">
        <v>0</v>
      </c>
      <c r="AF709" s="9">
        <v>0</v>
      </c>
      <c r="AG709" s="9">
        <v>0</v>
      </c>
      <c r="AH709" s="9">
        <v>0</v>
      </c>
      <c r="AI709" s="9">
        <v>0</v>
      </c>
      <c r="AJ709" s="9">
        <v>0</v>
      </c>
      <c r="AK709" s="9">
        <v>0</v>
      </c>
      <c r="AL709" s="9">
        <v>0</v>
      </c>
      <c r="AM709" s="9">
        <v>0</v>
      </c>
      <c r="AN709" s="9">
        <v>0</v>
      </c>
      <c r="AO709" s="9">
        <v>0</v>
      </c>
      <c r="AP709" s="9">
        <v>0</v>
      </c>
      <c r="AQ709" s="9">
        <v>0</v>
      </c>
      <c r="AR709" s="9">
        <v>0</v>
      </c>
      <c r="AS709" s="10">
        <f t="shared" si="58"/>
        <v>0</v>
      </c>
      <c r="AT709" s="10">
        <f t="shared" si="59"/>
        <v>0</v>
      </c>
      <c r="AU709" s="5" t="s">
        <v>677</v>
      </c>
    </row>
    <row r="710" spans="1:47" ht="15" customHeight="1" x14ac:dyDescent="0.3">
      <c r="A710" s="7" t="str">
        <f t="shared" si="55"/>
        <v>142_2024</v>
      </c>
      <c r="B710" s="7">
        <v>709</v>
      </c>
      <c r="C710" s="7">
        <f>'Panel Data (Long Format)'!B710</f>
        <v>142</v>
      </c>
      <c r="D710" s="7" t="str">
        <f>'Panel Data (Long Format)'!C710</f>
        <v>VITAFOAM</v>
      </c>
      <c r="E710" s="8" t="str">
        <f>'Panel Data (Long Format)'!D710</f>
        <v>Vitafoam Nigeria Plc</v>
      </c>
      <c r="F710" s="7" t="str">
        <f>'Panel Data (Long Format)'!E710</f>
        <v>CONSUMER GOODS</v>
      </c>
      <c r="G710" s="7">
        <f>'Panel Data (Long Format)'!F710</f>
        <v>2024</v>
      </c>
      <c r="H710" s="9">
        <v>0</v>
      </c>
      <c r="I710" s="9">
        <v>1</v>
      </c>
      <c r="J710" s="9">
        <v>0</v>
      </c>
      <c r="K710" s="9">
        <v>0</v>
      </c>
      <c r="L710" s="9">
        <v>0</v>
      </c>
      <c r="M710" s="9">
        <v>0</v>
      </c>
      <c r="N710" s="9">
        <v>0</v>
      </c>
      <c r="O710" s="9">
        <v>0</v>
      </c>
      <c r="P710" s="9">
        <v>0</v>
      </c>
      <c r="Q710" s="9">
        <v>0</v>
      </c>
      <c r="R710" s="9">
        <v>1</v>
      </c>
      <c r="S710" s="9">
        <v>1</v>
      </c>
      <c r="T710" s="9">
        <v>1</v>
      </c>
      <c r="U710" s="9">
        <v>0</v>
      </c>
      <c r="V710" s="9">
        <v>0</v>
      </c>
      <c r="W710" s="9">
        <v>1</v>
      </c>
      <c r="X710" s="9">
        <v>0</v>
      </c>
      <c r="Y710" s="9">
        <v>1</v>
      </c>
      <c r="Z710" s="9">
        <v>0</v>
      </c>
      <c r="AA710" s="9">
        <v>0</v>
      </c>
      <c r="AB710" s="10">
        <f t="shared" si="56"/>
        <v>6</v>
      </c>
      <c r="AC710" s="10">
        <f t="shared" si="57"/>
        <v>30</v>
      </c>
      <c r="AD710" s="9">
        <v>0</v>
      </c>
      <c r="AE710" s="9">
        <v>0</v>
      </c>
      <c r="AF710" s="9">
        <v>0</v>
      </c>
      <c r="AG710" s="9">
        <v>0</v>
      </c>
      <c r="AH710" s="9">
        <v>0</v>
      </c>
      <c r="AI710" s="9">
        <v>0</v>
      </c>
      <c r="AJ710" s="9">
        <v>0</v>
      </c>
      <c r="AK710" s="9">
        <v>0</v>
      </c>
      <c r="AL710" s="9">
        <v>0</v>
      </c>
      <c r="AM710" s="9">
        <v>0</v>
      </c>
      <c r="AN710" s="9">
        <v>0</v>
      </c>
      <c r="AO710" s="9">
        <v>0</v>
      </c>
      <c r="AP710" s="9">
        <v>0</v>
      </c>
      <c r="AQ710" s="9">
        <v>0</v>
      </c>
      <c r="AR710" s="9">
        <v>0</v>
      </c>
      <c r="AS710" s="10">
        <f t="shared" si="58"/>
        <v>0</v>
      </c>
      <c r="AT710" s="10">
        <f t="shared" si="59"/>
        <v>0</v>
      </c>
      <c r="AU710" s="5" t="s">
        <v>678</v>
      </c>
    </row>
    <row r="711" spans="1:47" ht="15" customHeight="1" x14ac:dyDescent="0.3">
      <c r="A711" s="7" t="str">
        <f t="shared" si="55"/>
        <v>142_2025</v>
      </c>
      <c r="B711" s="7">
        <v>710</v>
      </c>
      <c r="C711" s="7">
        <f>'Panel Data (Long Format)'!B711</f>
        <v>142</v>
      </c>
      <c r="D711" s="7" t="str">
        <f>'Panel Data (Long Format)'!C711</f>
        <v>VITAFOAM</v>
      </c>
      <c r="E711" s="8" t="str">
        <f>'Panel Data (Long Format)'!D711</f>
        <v>Vitafoam Nigeria Plc</v>
      </c>
      <c r="F711" s="7" t="str">
        <f>'Panel Data (Long Format)'!E711</f>
        <v>CONSUMER GOODS</v>
      </c>
      <c r="G711" s="7">
        <f>'Panel Data (Long Format)'!F711</f>
        <v>2025</v>
      </c>
      <c r="H711" s="9">
        <v>0</v>
      </c>
      <c r="I711" s="9">
        <v>0</v>
      </c>
      <c r="J711" s="9">
        <v>0</v>
      </c>
      <c r="K711" s="9">
        <v>0</v>
      </c>
      <c r="L711" s="9">
        <v>0</v>
      </c>
      <c r="M711" s="9">
        <v>0</v>
      </c>
      <c r="N711" s="9">
        <v>0</v>
      </c>
      <c r="O711" s="9">
        <v>0</v>
      </c>
      <c r="P711" s="9">
        <v>0</v>
      </c>
      <c r="Q711" s="9">
        <v>0</v>
      </c>
      <c r="R711" s="9">
        <v>0</v>
      </c>
      <c r="S711" s="9">
        <v>0</v>
      </c>
      <c r="T711" s="9">
        <v>0</v>
      </c>
      <c r="U711" s="9">
        <v>0</v>
      </c>
      <c r="V711" s="9">
        <v>0</v>
      </c>
      <c r="W711" s="9">
        <v>0</v>
      </c>
      <c r="X711" s="9">
        <v>0</v>
      </c>
      <c r="Y711" s="9">
        <v>0</v>
      </c>
      <c r="Z711" s="9">
        <v>0</v>
      </c>
      <c r="AA711" s="9">
        <v>0</v>
      </c>
      <c r="AB711" s="10">
        <f t="shared" si="56"/>
        <v>0</v>
      </c>
      <c r="AC711" s="10">
        <f t="shared" si="57"/>
        <v>0</v>
      </c>
      <c r="AD711" s="9">
        <v>0</v>
      </c>
      <c r="AE711" s="9">
        <v>0</v>
      </c>
      <c r="AF711" s="9">
        <v>0</v>
      </c>
      <c r="AG711" s="9">
        <v>0</v>
      </c>
      <c r="AH711" s="9">
        <v>0</v>
      </c>
      <c r="AI711" s="9">
        <v>0</v>
      </c>
      <c r="AJ711" s="9">
        <v>0</v>
      </c>
      <c r="AK711" s="9">
        <v>0</v>
      </c>
      <c r="AL711" s="9">
        <v>0</v>
      </c>
      <c r="AM711" s="9">
        <v>0</v>
      </c>
      <c r="AN711" s="9">
        <v>0</v>
      </c>
      <c r="AO711" s="9">
        <v>0</v>
      </c>
      <c r="AP711" s="9">
        <v>0</v>
      </c>
      <c r="AQ711" s="9">
        <v>0</v>
      </c>
      <c r="AR711" s="9">
        <v>0</v>
      </c>
      <c r="AS711" s="10">
        <f t="shared" si="58"/>
        <v>0</v>
      </c>
      <c r="AT711" s="10">
        <f t="shared" si="59"/>
        <v>0</v>
      </c>
      <c r="AU711" s="5" t="s">
        <v>679</v>
      </c>
    </row>
    <row r="712" spans="1:47" ht="15" customHeight="1" x14ac:dyDescent="0.3">
      <c r="A712" s="7" t="str">
        <f t="shared" si="55"/>
        <v>143_2021</v>
      </c>
      <c r="B712" s="7">
        <v>711</v>
      </c>
      <c r="C712" s="7">
        <f>'Panel Data (Long Format)'!B712</f>
        <v>143</v>
      </c>
      <c r="D712" s="7" t="str">
        <f>'Panel Data (Long Format)'!C712</f>
        <v>WAPIC</v>
      </c>
      <c r="E712" s="8" t="str">
        <f>'Panel Data (Long Format)'!D712</f>
        <v>Coronation Insurance Plc (formerly Wapic Insurance Plc)</v>
      </c>
      <c r="F712" s="7" t="str">
        <f>'Panel Data (Long Format)'!E712</f>
        <v>FINANCIAL SERVICES</v>
      </c>
      <c r="G712" s="7">
        <f>'Panel Data (Long Format)'!F712</f>
        <v>2021</v>
      </c>
      <c r="H712" s="9">
        <v>0</v>
      </c>
      <c r="I712" s="9">
        <v>0</v>
      </c>
      <c r="J712" s="9">
        <v>0</v>
      </c>
      <c r="K712" s="9">
        <v>0</v>
      </c>
      <c r="L712" s="9">
        <v>0</v>
      </c>
      <c r="M712" s="9">
        <v>0</v>
      </c>
      <c r="N712" s="9">
        <v>0</v>
      </c>
      <c r="O712" s="9">
        <v>0</v>
      </c>
      <c r="P712" s="9">
        <v>0</v>
      </c>
      <c r="Q712" s="9">
        <v>0</v>
      </c>
      <c r="R712" s="9">
        <v>0</v>
      </c>
      <c r="S712" s="9">
        <v>0</v>
      </c>
      <c r="T712" s="9">
        <v>0</v>
      </c>
      <c r="U712" s="9">
        <v>0</v>
      </c>
      <c r="V712" s="9">
        <v>0</v>
      </c>
      <c r="W712" s="9">
        <v>0</v>
      </c>
      <c r="X712" s="9">
        <v>0</v>
      </c>
      <c r="Y712" s="9">
        <v>0</v>
      </c>
      <c r="Z712" s="9">
        <v>0</v>
      </c>
      <c r="AA712" s="9">
        <v>0</v>
      </c>
      <c r="AB712" s="10">
        <f t="shared" si="56"/>
        <v>0</v>
      </c>
      <c r="AC712" s="10">
        <f t="shared" si="57"/>
        <v>0</v>
      </c>
      <c r="AD712" s="9">
        <v>0</v>
      </c>
      <c r="AE712" s="9">
        <v>0</v>
      </c>
      <c r="AF712" s="9">
        <v>0</v>
      </c>
      <c r="AG712" s="9">
        <v>0</v>
      </c>
      <c r="AH712" s="9">
        <v>0</v>
      </c>
      <c r="AI712" s="9">
        <v>0</v>
      </c>
      <c r="AJ712" s="9">
        <v>0</v>
      </c>
      <c r="AK712" s="9">
        <v>0</v>
      </c>
      <c r="AL712" s="9">
        <v>0</v>
      </c>
      <c r="AM712" s="9">
        <v>0</v>
      </c>
      <c r="AN712" s="9">
        <v>0</v>
      </c>
      <c r="AO712" s="9">
        <v>0</v>
      </c>
      <c r="AP712" s="9">
        <v>0</v>
      </c>
      <c r="AQ712" s="9">
        <v>0</v>
      </c>
      <c r="AR712" s="9">
        <v>0</v>
      </c>
      <c r="AS712" s="10">
        <f t="shared" si="58"/>
        <v>0</v>
      </c>
      <c r="AT712" s="10">
        <f t="shared" si="59"/>
        <v>0</v>
      </c>
      <c r="AU712" s="5" t="s">
        <v>680</v>
      </c>
    </row>
    <row r="713" spans="1:47" ht="15" customHeight="1" x14ac:dyDescent="0.3">
      <c r="A713" s="7" t="str">
        <f t="shared" si="55"/>
        <v>143_2022</v>
      </c>
      <c r="B713" s="7">
        <v>712</v>
      </c>
      <c r="C713" s="7">
        <f>'Panel Data (Long Format)'!B713</f>
        <v>143</v>
      </c>
      <c r="D713" s="7" t="str">
        <f>'Panel Data (Long Format)'!C713</f>
        <v>WAPIC</v>
      </c>
      <c r="E713" s="8" t="str">
        <f>'Panel Data (Long Format)'!D713</f>
        <v>Coronation Insurance Plc (formerly Wapic Insurance Plc)</v>
      </c>
      <c r="F713" s="7" t="str">
        <f>'Panel Data (Long Format)'!E713</f>
        <v>FINANCIAL SERVICES</v>
      </c>
      <c r="G713" s="7">
        <f>'Panel Data (Long Format)'!F713</f>
        <v>2022</v>
      </c>
      <c r="H713" s="9">
        <v>0</v>
      </c>
      <c r="I713" s="9">
        <v>0</v>
      </c>
      <c r="J713" s="9">
        <v>0</v>
      </c>
      <c r="K713" s="9">
        <v>0</v>
      </c>
      <c r="L713" s="9">
        <v>0</v>
      </c>
      <c r="M713" s="9">
        <v>0</v>
      </c>
      <c r="N713" s="9">
        <v>0</v>
      </c>
      <c r="O713" s="9">
        <v>0</v>
      </c>
      <c r="P713" s="9">
        <v>0</v>
      </c>
      <c r="Q713" s="9">
        <v>0</v>
      </c>
      <c r="R713" s="9">
        <v>0</v>
      </c>
      <c r="S713" s="9">
        <v>0</v>
      </c>
      <c r="T713" s="9">
        <v>0</v>
      </c>
      <c r="U713" s="9">
        <v>0</v>
      </c>
      <c r="V713" s="9">
        <v>0</v>
      </c>
      <c r="W713" s="9">
        <v>0</v>
      </c>
      <c r="X713" s="9">
        <v>0</v>
      </c>
      <c r="Y713" s="9">
        <v>0</v>
      </c>
      <c r="Z713" s="9">
        <v>0</v>
      </c>
      <c r="AA713" s="9">
        <v>0</v>
      </c>
      <c r="AB713" s="10">
        <f t="shared" si="56"/>
        <v>0</v>
      </c>
      <c r="AC713" s="10">
        <f t="shared" si="57"/>
        <v>0</v>
      </c>
      <c r="AD713" s="9">
        <v>0</v>
      </c>
      <c r="AE713" s="9">
        <v>0</v>
      </c>
      <c r="AF713" s="9">
        <v>0</v>
      </c>
      <c r="AG713" s="9">
        <v>0</v>
      </c>
      <c r="AH713" s="9">
        <v>0</v>
      </c>
      <c r="AI713" s="9">
        <v>0</v>
      </c>
      <c r="AJ713" s="9">
        <v>0</v>
      </c>
      <c r="AK713" s="9">
        <v>0</v>
      </c>
      <c r="AL713" s="9">
        <v>0</v>
      </c>
      <c r="AM713" s="9">
        <v>0</v>
      </c>
      <c r="AN713" s="9">
        <v>0</v>
      </c>
      <c r="AO713" s="9">
        <v>0</v>
      </c>
      <c r="AP713" s="9">
        <v>0</v>
      </c>
      <c r="AQ713" s="9">
        <v>0</v>
      </c>
      <c r="AR713" s="9">
        <v>0</v>
      </c>
      <c r="AS713" s="10">
        <f t="shared" si="58"/>
        <v>0</v>
      </c>
      <c r="AT713" s="10">
        <f t="shared" si="59"/>
        <v>0</v>
      </c>
      <c r="AU713" s="5" t="s">
        <v>681</v>
      </c>
    </row>
    <row r="714" spans="1:47" ht="15" customHeight="1" x14ac:dyDescent="0.3">
      <c r="A714" s="7" t="str">
        <f t="shared" si="55"/>
        <v>143_2023</v>
      </c>
      <c r="B714" s="7">
        <v>713</v>
      </c>
      <c r="C714" s="7">
        <f>'Panel Data (Long Format)'!B714</f>
        <v>143</v>
      </c>
      <c r="D714" s="7" t="str">
        <f>'Panel Data (Long Format)'!C714</f>
        <v>WAPIC</v>
      </c>
      <c r="E714" s="8" t="str">
        <f>'Panel Data (Long Format)'!D714</f>
        <v>Coronation Insurance Plc (formerly Wapic Insurance Plc)</v>
      </c>
      <c r="F714" s="7" t="str">
        <f>'Panel Data (Long Format)'!E714</f>
        <v>FINANCIAL SERVICES</v>
      </c>
      <c r="G714" s="7">
        <f>'Panel Data (Long Format)'!F714</f>
        <v>2023</v>
      </c>
      <c r="H714" s="9">
        <v>0</v>
      </c>
      <c r="I714" s="9">
        <v>0</v>
      </c>
      <c r="J714" s="9">
        <v>0</v>
      </c>
      <c r="K714" s="9">
        <v>0</v>
      </c>
      <c r="L714" s="9">
        <v>0</v>
      </c>
      <c r="M714" s="9">
        <v>0</v>
      </c>
      <c r="N714" s="9">
        <v>0</v>
      </c>
      <c r="O714" s="9">
        <v>0</v>
      </c>
      <c r="P714" s="9">
        <v>0</v>
      </c>
      <c r="Q714" s="9">
        <v>0</v>
      </c>
      <c r="R714" s="9">
        <v>0</v>
      </c>
      <c r="S714" s="9">
        <v>0</v>
      </c>
      <c r="T714" s="9">
        <v>0</v>
      </c>
      <c r="U714" s="9">
        <v>0</v>
      </c>
      <c r="V714" s="9">
        <v>0</v>
      </c>
      <c r="W714" s="9">
        <v>1</v>
      </c>
      <c r="X714" s="9">
        <v>0</v>
      </c>
      <c r="Y714" s="9">
        <v>0</v>
      </c>
      <c r="Z714" s="9">
        <v>0</v>
      </c>
      <c r="AA714" s="9">
        <v>0</v>
      </c>
      <c r="AB714" s="10">
        <f t="shared" si="56"/>
        <v>1</v>
      </c>
      <c r="AC714" s="10">
        <f t="shared" si="57"/>
        <v>5</v>
      </c>
      <c r="AD714" s="9">
        <v>0</v>
      </c>
      <c r="AE714" s="9">
        <v>0</v>
      </c>
      <c r="AF714" s="9">
        <v>0</v>
      </c>
      <c r="AG714" s="9">
        <v>0</v>
      </c>
      <c r="AH714" s="9">
        <v>0</v>
      </c>
      <c r="AI714" s="9">
        <v>0</v>
      </c>
      <c r="AJ714" s="9">
        <v>0</v>
      </c>
      <c r="AK714" s="9">
        <v>0</v>
      </c>
      <c r="AL714" s="9">
        <v>0</v>
      </c>
      <c r="AM714" s="9">
        <v>0</v>
      </c>
      <c r="AN714" s="9">
        <v>0</v>
      </c>
      <c r="AO714" s="9">
        <v>0</v>
      </c>
      <c r="AP714" s="9">
        <v>0</v>
      </c>
      <c r="AQ714" s="9">
        <v>0</v>
      </c>
      <c r="AR714" s="9">
        <v>0</v>
      </c>
      <c r="AS714" s="10">
        <f t="shared" si="58"/>
        <v>0</v>
      </c>
      <c r="AT714" s="10">
        <f t="shared" si="59"/>
        <v>0</v>
      </c>
      <c r="AU714" s="5" t="s">
        <v>682</v>
      </c>
    </row>
    <row r="715" spans="1:47" ht="15" customHeight="1" x14ac:dyDescent="0.3">
      <c r="A715" s="7" t="str">
        <f t="shared" si="55"/>
        <v>143_2024</v>
      </c>
      <c r="B715" s="7">
        <v>714</v>
      </c>
      <c r="C715" s="7">
        <f>'Panel Data (Long Format)'!B715</f>
        <v>143</v>
      </c>
      <c r="D715" s="7" t="str">
        <f>'Panel Data (Long Format)'!C715</f>
        <v>WAPIC</v>
      </c>
      <c r="E715" s="8" t="str">
        <f>'Panel Data (Long Format)'!D715</f>
        <v>Coronation Insurance Plc (formerly Wapic Insurance Plc)</v>
      </c>
      <c r="F715" s="7" t="str">
        <f>'Panel Data (Long Format)'!E715</f>
        <v>FINANCIAL SERVICES</v>
      </c>
      <c r="G715" s="7">
        <f>'Panel Data (Long Format)'!F715</f>
        <v>2024</v>
      </c>
      <c r="H715" s="9">
        <v>0</v>
      </c>
      <c r="I715" s="9">
        <v>0</v>
      </c>
      <c r="J715" s="9">
        <v>0</v>
      </c>
      <c r="K715" s="9">
        <v>0</v>
      </c>
      <c r="L715" s="9">
        <v>0</v>
      </c>
      <c r="M715" s="9">
        <v>0</v>
      </c>
      <c r="N715" s="9">
        <v>0</v>
      </c>
      <c r="O715" s="9">
        <v>0</v>
      </c>
      <c r="P715" s="9">
        <v>0</v>
      </c>
      <c r="Q715" s="9">
        <v>0</v>
      </c>
      <c r="R715" s="9">
        <v>0</v>
      </c>
      <c r="S715" s="9">
        <v>0</v>
      </c>
      <c r="T715" s="9">
        <v>0</v>
      </c>
      <c r="U715" s="9">
        <v>0</v>
      </c>
      <c r="V715" s="9">
        <v>0</v>
      </c>
      <c r="W715" s="9">
        <v>1</v>
      </c>
      <c r="X715" s="9">
        <v>0</v>
      </c>
      <c r="Y715" s="9">
        <v>0</v>
      </c>
      <c r="Z715" s="9">
        <v>0</v>
      </c>
      <c r="AA715" s="9">
        <v>0</v>
      </c>
      <c r="AB715" s="10">
        <f t="shared" si="56"/>
        <v>1</v>
      </c>
      <c r="AC715" s="10">
        <f t="shared" si="57"/>
        <v>5</v>
      </c>
      <c r="AD715" s="9">
        <v>0</v>
      </c>
      <c r="AE715" s="9">
        <v>0</v>
      </c>
      <c r="AF715" s="9">
        <v>0</v>
      </c>
      <c r="AG715" s="9">
        <v>0</v>
      </c>
      <c r="AH715" s="9">
        <v>0</v>
      </c>
      <c r="AI715" s="9">
        <v>0</v>
      </c>
      <c r="AJ715" s="9">
        <v>0</v>
      </c>
      <c r="AK715" s="9">
        <v>0</v>
      </c>
      <c r="AL715" s="9">
        <v>0</v>
      </c>
      <c r="AM715" s="9">
        <v>0</v>
      </c>
      <c r="AN715" s="9">
        <v>0</v>
      </c>
      <c r="AO715" s="9">
        <v>0</v>
      </c>
      <c r="AP715" s="9">
        <v>0</v>
      </c>
      <c r="AQ715" s="9">
        <v>0</v>
      </c>
      <c r="AR715" s="9">
        <v>0</v>
      </c>
      <c r="AS715" s="10">
        <f t="shared" si="58"/>
        <v>0</v>
      </c>
      <c r="AT715" s="10">
        <f t="shared" si="59"/>
        <v>0</v>
      </c>
      <c r="AU715" s="5" t="s">
        <v>683</v>
      </c>
    </row>
    <row r="716" spans="1:47" ht="15" customHeight="1" x14ac:dyDescent="0.3">
      <c r="A716" s="7" t="str">
        <f t="shared" si="55"/>
        <v>143_2025</v>
      </c>
      <c r="B716" s="7">
        <v>715</v>
      </c>
      <c r="C716" s="7">
        <f>'Panel Data (Long Format)'!B716</f>
        <v>143</v>
      </c>
      <c r="D716" s="7" t="str">
        <f>'Panel Data (Long Format)'!C716</f>
        <v>WAPIC</v>
      </c>
      <c r="E716" s="8" t="str">
        <f>'Panel Data (Long Format)'!D716</f>
        <v>Coronation Insurance Plc (formerly Wapic Insurance Plc)</v>
      </c>
      <c r="F716" s="7" t="str">
        <f>'Panel Data (Long Format)'!E716</f>
        <v>FINANCIAL SERVICES</v>
      </c>
      <c r="G716" s="7">
        <f>'Panel Data (Long Format)'!F716</f>
        <v>2025</v>
      </c>
      <c r="H716" s="9">
        <v>0</v>
      </c>
      <c r="I716" s="9">
        <v>0</v>
      </c>
      <c r="J716" s="9">
        <v>0</v>
      </c>
      <c r="K716" s="9">
        <v>0</v>
      </c>
      <c r="L716" s="9">
        <v>0</v>
      </c>
      <c r="M716" s="9">
        <v>0</v>
      </c>
      <c r="N716" s="9">
        <v>0</v>
      </c>
      <c r="O716" s="9">
        <v>0</v>
      </c>
      <c r="P716" s="9">
        <v>0</v>
      </c>
      <c r="Q716" s="9">
        <v>0</v>
      </c>
      <c r="R716" s="9">
        <v>0</v>
      </c>
      <c r="S716" s="9">
        <v>0</v>
      </c>
      <c r="T716" s="9">
        <v>0</v>
      </c>
      <c r="U716" s="9">
        <v>0</v>
      </c>
      <c r="V716" s="9">
        <v>0</v>
      </c>
      <c r="W716" s="9">
        <v>0</v>
      </c>
      <c r="X716" s="9">
        <v>0</v>
      </c>
      <c r="Y716" s="9">
        <v>0</v>
      </c>
      <c r="Z716" s="9">
        <v>0</v>
      </c>
      <c r="AA716" s="9">
        <v>0</v>
      </c>
      <c r="AB716" s="10">
        <f t="shared" si="56"/>
        <v>0</v>
      </c>
      <c r="AC716" s="10">
        <f t="shared" si="57"/>
        <v>0</v>
      </c>
      <c r="AD716" s="9">
        <v>0</v>
      </c>
      <c r="AE716" s="9">
        <v>0</v>
      </c>
      <c r="AF716" s="9">
        <v>0</v>
      </c>
      <c r="AG716" s="9">
        <v>0</v>
      </c>
      <c r="AH716" s="9">
        <v>0</v>
      </c>
      <c r="AI716" s="9">
        <v>0</v>
      </c>
      <c r="AJ716" s="9">
        <v>0</v>
      </c>
      <c r="AK716" s="9">
        <v>0</v>
      </c>
      <c r="AL716" s="9">
        <v>0</v>
      </c>
      <c r="AM716" s="9">
        <v>0</v>
      </c>
      <c r="AN716" s="9">
        <v>0</v>
      </c>
      <c r="AO716" s="9">
        <v>0</v>
      </c>
      <c r="AP716" s="9">
        <v>0</v>
      </c>
      <c r="AQ716" s="9">
        <v>0</v>
      </c>
      <c r="AR716" s="9">
        <v>0</v>
      </c>
      <c r="AS716" s="10">
        <f t="shared" si="58"/>
        <v>0</v>
      </c>
      <c r="AT716" s="10">
        <f t="shared" si="59"/>
        <v>0</v>
      </c>
      <c r="AU716" s="5" t="s">
        <v>684</v>
      </c>
    </row>
    <row r="717" spans="1:47" ht="15" customHeight="1" x14ac:dyDescent="0.3">
      <c r="A717" s="7" t="str">
        <f t="shared" si="55"/>
        <v>144_2021</v>
      </c>
      <c r="B717" s="7">
        <v>716</v>
      </c>
      <c r="C717" s="7">
        <f>'Panel Data (Long Format)'!B717</f>
        <v>144</v>
      </c>
      <c r="D717" s="7" t="str">
        <f>'Panel Data (Long Format)'!C717</f>
        <v>WEMABANK</v>
      </c>
      <c r="E717" s="8" t="str">
        <f>'Panel Data (Long Format)'!D717</f>
        <v>Wema Bank Plc</v>
      </c>
      <c r="F717" s="7" t="str">
        <f>'Panel Data (Long Format)'!E717</f>
        <v>FINANCIAL SERVICES</v>
      </c>
      <c r="G717" s="7">
        <f>'Panel Data (Long Format)'!F717</f>
        <v>2021</v>
      </c>
      <c r="H717" s="9">
        <v>0</v>
      </c>
      <c r="I717" s="9">
        <v>0</v>
      </c>
      <c r="J717" s="9">
        <v>0</v>
      </c>
      <c r="K717" s="9">
        <v>0</v>
      </c>
      <c r="L717" s="9">
        <v>0</v>
      </c>
      <c r="M717" s="9">
        <v>0</v>
      </c>
      <c r="N717" s="9">
        <v>0</v>
      </c>
      <c r="O717" s="9">
        <v>0</v>
      </c>
      <c r="P717" s="9">
        <v>0</v>
      </c>
      <c r="Q717" s="9">
        <v>0</v>
      </c>
      <c r="R717" s="9">
        <v>0</v>
      </c>
      <c r="S717" s="9">
        <v>0</v>
      </c>
      <c r="T717" s="9">
        <v>0</v>
      </c>
      <c r="U717" s="9">
        <v>0</v>
      </c>
      <c r="V717" s="9">
        <v>0</v>
      </c>
      <c r="W717" s="9">
        <v>0</v>
      </c>
      <c r="X717" s="9">
        <v>0</v>
      </c>
      <c r="Y717" s="9">
        <v>0</v>
      </c>
      <c r="Z717" s="9">
        <v>0</v>
      </c>
      <c r="AA717" s="9">
        <v>0</v>
      </c>
      <c r="AB717" s="10">
        <f t="shared" si="56"/>
        <v>0</v>
      </c>
      <c r="AC717" s="10">
        <f t="shared" si="57"/>
        <v>0</v>
      </c>
      <c r="AD717" s="9">
        <v>0</v>
      </c>
      <c r="AE717" s="9">
        <v>0</v>
      </c>
      <c r="AF717" s="9">
        <v>0</v>
      </c>
      <c r="AG717" s="9">
        <v>0</v>
      </c>
      <c r="AH717" s="9">
        <v>0</v>
      </c>
      <c r="AI717" s="9">
        <v>0</v>
      </c>
      <c r="AJ717" s="9">
        <v>0</v>
      </c>
      <c r="AK717" s="9">
        <v>0</v>
      </c>
      <c r="AL717" s="9">
        <v>0</v>
      </c>
      <c r="AM717" s="9">
        <v>0</v>
      </c>
      <c r="AN717" s="9">
        <v>0</v>
      </c>
      <c r="AO717" s="9">
        <v>0</v>
      </c>
      <c r="AP717" s="9">
        <v>0</v>
      </c>
      <c r="AQ717" s="9">
        <v>0</v>
      </c>
      <c r="AR717" s="9">
        <v>0</v>
      </c>
      <c r="AS717" s="10">
        <f t="shared" si="58"/>
        <v>0</v>
      </c>
      <c r="AT717" s="10">
        <f t="shared" si="59"/>
        <v>0</v>
      </c>
      <c r="AU717" s="5" t="s">
        <v>685</v>
      </c>
    </row>
    <row r="718" spans="1:47" ht="15" customHeight="1" x14ac:dyDescent="0.3">
      <c r="A718" s="7" t="str">
        <f t="shared" si="55"/>
        <v>144_2022</v>
      </c>
      <c r="B718" s="7">
        <v>717</v>
      </c>
      <c r="C718" s="7">
        <f>'Panel Data (Long Format)'!B718</f>
        <v>144</v>
      </c>
      <c r="D718" s="7" t="str">
        <f>'Panel Data (Long Format)'!C718</f>
        <v>WEMABANK</v>
      </c>
      <c r="E718" s="8" t="str">
        <f>'Panel Data (Long Format)'!D718</f>
        <v>Wema Bank Plc</v>
      </c>
      <c r="F718" s="7" t="str">
        <f>'Panel Data (Long Format)'!E718</f>
        <v>FINANCIAL SERVICES</v>
      </c>
      <c r="G718" s="7">
        <f>'Panel Data (Long Format)'!F718</f>
        <v>2022</v>
      </c>
      <c r="H718" s="9">
        <v>0</v>
      </c>
      <c r="I718" s="9">
        <v>0</v>
      </c>
      <c r="J718" s="9">
        <v>0</v>
      </c>
      <c r="K718" s="9">
        <v>0</v>
      </c>
      <c r="L718" s="9">
        <v>0</v>
      </c>
      <c r="M718" s="9">
        <v>0</v>
      </c>
      <c r="N718" s="9">
        <v>0</v>
      </c>
      <c r="O718" s="9">
        <v>0</v>
      </c>
      <c r="P718" s="9">
        <v>0</v>
      </c>
      <c r="Q718" s="9">
        <v>0</v>
      </c>
      <c r="R718" s="9">
        <v>0</v>
      </c>
      <c r="S718" s="9">
        <v>0</v>
      </c>
      <c r="T718" s="9">
        <v>0</v>
      </c>
      <c r="U718" s="9">
        <v>0</v>
      </c>
      <c r="V718" s="9">
        <v>0</v>
      </c>
      <c r="W718" s="9">
        <v>0</v>
      </c>
      <c r="X718" s="9">
        <v>0</v>
      </c>
      <c r="Y718" s="9">
        <v>0</v>
      </c>
      <c r="Z718" s="9">
        <v>0</v>
      </c>
      <c r="AA718" s="9">
        <v>0</v>
      </c>
      <c r="AB718" s="10">
        <f t="shared" si="56"/>
        <v>0</v>
      </c>
      <c r="AC718" s="10">
        <f t="shared" si="57"/>
        <v>0</v>
      </c>
      <c r="AD718" s="9">
        <v>0</v>
      </c>
      <c r="AE718" s="9">
        <v>0</v>
      </c>
      <c r="AF718" s="9">
        <v>0</v>
      </c>
      <c r="AG718" s="9">
        <v>0</v>
      </c>
      <c r="AH718" s="9">
        <v>0</v>
      </c>
      <c r="AI718" s="9">
        <v>0</v>
      </c>
      <c r="AJ718" s="9">
        <v>0</v>
      </c>
      <c r="AK718" s="9">
        <v>0</v>
      </c>
      <c r="AL718" s="9">
        <v>0</v>
      </c>
      <c r="AM718" s="9">
        <v>0</v>
      </c>
      <c r="AN718" s="9">
        <v>0</v>
      </c>
      <c r="AO718" s="9">
        <v>0</v>
      </c>
      <c r="AP718" s="9">
        <v>0</v>
      </c>
      <c r="AQ718" s="9">
        <v>0</v>
      </c>
      <c r="AR718" s="9">
        <v>0</v>
      </c>
      <c r="AS718" s="10">
        <f t="shared" si="58"/>
        <v>0</v>
      </c>
      <c r="AT718" s="10">
        <f t="shared" si="59"/>
        <v>0</v>
      </c>
      <c r="AU718" s="5" t="s">
        <v>686</v>
      </c>
    </row>
    <row r="719" spans="1:47" ht="15" customHeight="1" x14ac:dyDescent="0.3">
      <c r="A719" s="7" t="str">
        <f t="shared" si="55"/>
        <v>144_2023</v>
      </c>
      <c r="B719" s="7">
        <v>718</v>
      </c>
      <c r="C719" s="7">
        <f>'Panel Data (Long Format)'!B719</f>
        <v>144</v>
      </c>
      <c r="D719" s="7" t="str">
        <f>'Panel Data (Long Format)'!C719</f>
        <v>WEMABANK</v>
      </c>
      <c r="E719" s="8" t="str">
        <f>'Panel Data (Long Format)'!D719</f>
        <v>Wema Bank Plc</v>
      </c>
      <c r="F719" s="7" t="str">
        <f>'Panel Data (Long Format)'!E719</f>
        <v>FINANCIAL SERVICES</v>
      </c>
      <c r="G719" s="7">
        <f>'Panel Data (Long Format)'!F719</f>
        <v>2023</v>
      </c>
      <c r="H719" s="9">
        <v>0</v>
      </c>
      <c r="I719" s="9">
        <v>0</v>
      </c>
      <c r="J719" s="9">
        <v>0</v>
      </c>
      <c r="K719" s="9">
        <v>0</v>
      </c>
      <c r="L719" s="9">
        <v>0</v>
      </c>
      <c r="M719" s="9">
        <v>0</v>
      </c>
      <c r="N719" s="9">
        <v>0</v>
      </c>
      <c r="O719" s="9">
        <v>0</v>
      </c>
      <c r="P719" s="9">
        <v>0</v>
      </c>
      <c r="Q719" s="9">
        <v>0</v>
      </c>
      <c r="R719" s="9">
        <v>0</v>
      </c>
      <c r="S719" s="9">
        <v>0</v>
      </c>
      <c r="T719" s="9">
        <v>0</v>
      </c>
      <c r="U719" s="9">
        <v>0</v>
      </c>
      <c r="V719" s="9">
        <v>0</v>
      </c>
      <c r="W719" s="9">
        <v>0</v>
      </c>
      <c r="X719" s="9">
        <v>0</v>
      </c>
      <c r="Y719" s="9">
        <v>0</v>
      </c>
      <c r="Z719" s="9">
        <v>0</v>
      </c>
      <c r="AA719" s="9">
        <v>0</v>
      </c>
      <c r="AB719" s="10">
        <f t="shared" si="56"/>
        <v>0</v>
      </c>
      <c r="AC719" s="10">
        <f t="shared" si="57"/>
        <v>0</v>
      </c>
      <c r="AD719" s="9">
        <v>0</v>
      </c>
      <c r="AE719" s="9">
        <v>0</v>
      </c>
      <c r="AF719" s="9">
        <v>0</v>
      </c>
      <c r="AG719" s="9">
        <v>0</v>
      </c>
      <c r="AH719" s="9">
        <v>0</v>
      </c>
      <c r="AI719" s="9">
        <v>0</v>
      </c>
      <c r="AJ719" s="9">
        <v>0</v>
      </c>
      <c r="AK719" s="9">
        <v>0</v>
      </c>
      <c r="AL719" s="9">
        <v>0</v>
      </c>
      <c r="AM719" s="9">
        <v>0</v>
      </c>
      <c r="AN719" s="9">
        <v>0</v>
      </c>
      <c r="AO719" s="9">
        <v>0</v>
      </c>
      <c r="AP719" s="9">
        <v>0</v>
      </c>
      <c r="AQ719" s="9">
        <v>0</v>
      </c>
      <c r="AR719" s="9">
        <v>0</v>
      </c>
      <c r="AS719" s="10">
        <f t="shared" si="58"/>
        <v>0</v>
      </c>
      <c r="AT719" s="10">
        <f t="shared" si="59"/>
        <v>0</v>
      </c>
      <c r="AU719" s="5" t="s">
        <v>687</v>
      </c>
    </row>
    <row r="720" spans="1:47" ht="15" customHeight="1" x14ac:dyDescent="0.3">
      <c r="A720" s="7" t="str">
        <f t="shared" si="55"/>
        <v>144_2024</v>
      </c>
      <c r="B720" s="7">
        <v>719</v>
      </c>
      <c r="C720" s="7">
        <f>'Panel Data (Long Format)'!B720</f>
        <v>144</v>
      </c>
      <c r="D720" s="7" t="str">
        <f>'Panel Data (Long Format)'!C720</f>
        <v>WEMABANK</v>
      </c>
      <c r="E720" s="8" t="str">
        <f>'Panel Data (Long Format)'!D720</f>
        <v>Wema Bank Plc</v>
      </c>
      <c r="F720" s="7" t="str">
        <f>'Panel Data (Long Format)'!E720</f>
        <v>FINANCIAL SERVICES</v>
      </c>
      <c r="G720" s="7">
        <f>'Panel Data (Long Format)'!F720</f>
        <v>2024</v>
      </c>
      <c r="H720" s="9">
        <v>0</v>
      </c>
      <c r="I720" s="9">
        <v>0</v>
      </c>
      <c r="J720" s="9">
        <v>0</v>
      </c>
      <c r="K720" s="9">
        <v>0</v>
      </c>
      <c r="L720" s="9">
        <v>0</v>
      </c>
      <c r="M720" s="9">
        <v>0</v>
      </c>
      <c r="N720" s="9">
        <v>0</v>
      </c>
      <c r="O720" s="9">
        <v>0</v>
      </c>
      <c r="P720" s="9">
        <v>0</v>
      </c>
      <c r="Q720" s="9">
        <v>0</v>
      </c>
      <c r="R720" s="9">
        <v>0</v>
      </c>
      <c r="S720" s="9">
        <v>0</v>
      </c>
      <c r="T720" s="9">
        <v>0</v>
      </c>
      <c r="U720" s="9">
        <v>0</v>
      </c>
      <c r="V720" s="9">
        <v>0</v>
      </c>
      <c r="W720" s="9">
        <v>0</v>
      </c>
      <c r="X720" s="9">
        <v>0</v>
      </c>
      <c r="Y720" s="9">
        <v>0</v>
      </c>
      <c r="Z720" s="9">
        <v>0</v>
      </c>
      <c r="AA720" s="9">
        <v>0</v>
      </c>
      <c r="AB720" s="10">
        <f t="shared" si="56"/>
        <v>0</v>
      </c>
      <c r="AC720" s="10">
        <f t="shared" si="57"/>
        <v>0</v>
      </c>
      <c r="AD720" s="9">
        <v>0</v>
      </c>
      <c r="AE720" s="9">
        <v>0</v>
      </c>
      <c r="AF720" s="9">
        <v>0</v>
      </c>
      <c r="AG720" s="9">
        <v>0</v>
      </c>
      <c r="AH720" s="9">
        <v>0</v>
      </c>
      <c r="AI720" s="9">
        <v>0</v>
      </c>
      <c r="AJ720" s="9">
        <v>0</v>
      </c>
      <c r="AK720" s="9">
        <v>0</v>
      </c>
      <c r="AL720" s="9">
        <v>0</v>
      </c>
      <c r="AM720" s="9">
        <v>0</v>
      </c>
      <c r="AN720" s="9">
        <v>0</v>
      </c>
      <c r="AO720" s="9">
        <v>0</v>
      </c>
      <c r="AP720" s="9">
        <v>0</v>
      </c>
      <c r="AQ720" s="9">
        <v>0</v>
      </c>
      <c r="AR720" s="9">
        <v>0</v>
      </c>
      <c r="AS720" s="10">
        <f t="shared" si="58"/>
        <v>0</v>
      </c>
      <c r="AT720" s="10">
        <f t="shared" si="59"/>
        <v>0</v>
      </c>
      <c r="AU720" s="5" t="s">
        <v>688</v>
      </c>
    </row>
    <row r="721" spans="1:47" ht="15" customHeight="1" x14ac:dyDescent="0.3">
      <c r="A721" s="7" t="str">
        <f t="shared" si="55"/>
        <v>144_2025</v>
      </c>
      <c r="B721" s="7">
        <v>720</v>
      </c>
      <c r="C721" s="7">
        <f>'Panel Data (Long Format)'!B721</f>
        <v>144</v>
      </c>
      <c r="D721" s="7" t="str">
        <f>'Panel Data (Long Format)'!C721</f>
        <v>WEMABANK</v>
      </c>
      <c r="E721" s="8" t="str">
        <f>'Panel Data (Long Format)'!D721</f>
        <v>Wema Bank Plc</v>
      </c>
      <c r="F721" s="7" t="str">
        <f>'Panel Data (Long Format)'!E721</f>
        <v>FINANCIAL SERVICES</v>
      </c>
      <c r="G721" s="7">
        <f>'Panel Data (Long Format)'!F721</f>
        <v>2025</v>
      </c>
      <c r="H721" s="9">
        <v>1</v>
      </c>
      <c r="I721" s="9">
        <v>1</v>
      </c>
      <c r="J721" s="9">
        <v>1</v>
      </c>
      <c r="K721" s="9">
        <v>1</v>
      </c>
      <c r="L721" s="9">
        <v>1</v>
      </c>
      <c r="M721" s="9">
        <v>1</v>
      </c>
      <c r="N721" s="9">
        <v>0</v>
      </c>
      <c r="O721" s="9">
        <v>0</v>
      </c>
      <c r="P721" s="9">
        <v>0</v>
      </c>
      <c r="Q721" s="9">
        <v>0</v>
      </c>
      <c r="R721" s="9">
        <v>1</v>
      </c>
      <c r="S721" s="9">
        <v>1</v>
      </c>
      <c r="T721" s="9">
        <v>0</v>
      </c>
      <c r="U721" s="9">
        <v>1</v>
      </c>
      <c r="V721" s="9">
        <v>0</v>
      </c>
      <c r="W721" s="9">
        <v>1</v>
      </c>
      <c r="X721" s="9">
        <v>1</v>
      </c>
      <c r="Y721" s="9">
        <v>1</v>
      </c>
      <c r="Z721" s="9">
        <v>0</v>
      </c>
      <c r="AA721" s="9">
        <v>0</v>
      </c>
      <c r="AB721" s="10">
        <f t="shared" si="56"/>
        <v>12</v>
      </c>
      <c r="AC721" s="10">
        <f t="shared" si="57"/>
        <v>60</v>
      </c>
      <c r="AD721" s="9">
        <v>0</v>
      </c>
      <c r="AE721" s="9">
        <v>0</v>
      </c>
      <c r="AF721" s="9">
        <v>0</v>
      </c>
      <c r="AG721" s="9">
        <v>0</v>
      </c>
      <c r="AH721" s="9">
        <v>0</v>
      </c>
      <c r="AI721" s="9">
        <v>0</v>
      </c>
      <c r="AJ721" s="9">
        <v>1</v>
      </c>
      <c r="AK721" s="9">
        <v>1</v>
      </c>
      <c r="AL721" s="9">
        <v>0</v>
      </c>
      <c r="AM721" s="9">
        <v>0</v>
      </c>
      <c r="AN721" s="9">
        <v>0</v>
      </c>
      <c r="AO721" s="9">
        <v>0</v>
      </c>
      <c r="AP721" s="9">
        <v>0</v>
      </c>
      <c r="AQ721" s="9">
        <v>0</v>
      </c>
      <c r="AR721" s="9">
        <v>0</v>
      </c>
      <c r="AS721" s="10">
        <f t="shared" si="58"/>
        <v>2</v>
      </c>
      <c r="AT721" s="10">
        <f t="shared" si="59"/>
        <v>13.333333333333334</v>
      </c>
      <c r="AU721" s="5" t="s">
        <v>689</v>
      </c>
    </row>
    <row r="722" spans="1:47" ht="15" customHeight="1" x14ac:dyDescent="0.3">
      <c r="A722" s="7" t="str">
        <f t="shared" si="55"/>
        <v>145_2021</v>
      </c>
      <c r="B722" s="7">
        <v>721</v>
      </c>
      <c r="C722" s="7">
        <f>'Panel Data (Long Format)'!B722</f>
        <v>145</v>
      </c>
      <c r="D722" s="7" t="str">
        <f>'Panel Data (Long Format)'!C722</f>
        <v>ZENITHBANK</v>
      </c>
      <c r="E722" s="8" t="str">
        <f>'Panel Data (Long Format)'!D722</f>
        <v>Zenith Bank Plc</v>
      </c>
      <c r="F722" s="7" t="str">
        <f>'Panel Data (Long Format)'!E722</f>
        <v>FINANCIAL SERVICES</v>
      </c>
      <c r="G722" s="7">
        <f>'Panel Data (Long Format)'!F722</f>
        <v>2021</v>
      </c>
      <c r="H722" s="9">
        <v>0</v>
      </c>
      <c r="I722" s="9">
        <v>0</v>
      </c>
      <c r="J722" s="9">
        <v>0</v>
      </c>
      <c r="K722" s="9">
        <v>0</v>
      </c>
      <c r="L722" s="9">
        <v>0</v>
      </c>
      <c r="M722" s="9">
        <v>0</v>
      </c>
      <c r="N722" s="9">
        <v>0</v>
      </c>
      <c r="O722" s="9">
        <v>0</v>
      </c>
      <c r="P722" s="9">
        <v>0</v>
      </c>
      <c r="Q722" s="9">
        <v>0</v>
      </c>
      <c r="R722" s="9">
        <v>0</v>
      </c>
      <c r="S722" s="9">
        <v>0</v>
      </c>
      <c r="T722" s="9">
        <v>0</v>
      </c>
      <c r="U722" s="9">
        <v>0</v>
      </c>
      <c r="V722" s="9">
        <v>0</v>
      </c>
      <c r="W722" s="9">
        <v>0</v>
      </c>
      <c r="X722" s="9">
        <v>0</v>
      </c>
      <c r="Y722" s="9">
        <v>0</v>
      </c>
      <c r="Z722" s="9">
        <v>0</v>
      </c>
      <c r="AA722" s="9">
        <v>0</v>
      </c>
      <c r="AB722" s="10">
        <f t="shared" si="56"/>
        <v>0</v>
      </c>
      <c r="AC722" s="10">
        <f t="shared" si="57"/>
        <v>0</v>
      </c>
      <c r="AD722" s="9">
        <v>0</v>
      </c>
      <c r="AE722" s="9">
        <v>0</v>
      </c>
      <c r="AF722" s="9">
        <v>0</v>
      </c>
      <c r="AG722" s="9">
        <v>0</v>
      </c>
      <c r="AH722" s="9">
        <v>0</v>
      </c>
      <c r="AI722" s="9">
        <v>0</v>
      </c>
      <c r="AJ722" s="9">
        <v>0</v>
      </c>
      <c r="AK722" s="9">
        <v>0</v>
      </c>
      <c r="AL722" s="9">
        <v>0</v>
      </c>
      <c r="AM722" s="9">
        <v>0</v>
      </c>
      <c r="AN722" s="9">
        <v>0</v>
      </c>
      <c r="AO722" s="9">
        <v>0</v>
      </c>
      <c r="AP722" s="9">
        <v>0</v>
      </c>
      <c r="AQ722" s="9">
        <v>0</v>
      </c>
      <c r="AR722" s="9">
        <v>0</v>
      </c>
      <c r="AS722" s="10">
        <f t="shared" si="58"/>
        <v>0</v>
      </c>
      <c r="AT722" s="10">
        <f t="shared" si="59"/>
        <v>0</v>
      </c>
      <c r="AU722" s="5" t="s">
        <v>690</v>
      </c>
    </row>
    <row r="723" spans="1:47" ht="15" customHeight="1" x14ac:dyDescent="0.3">
      <c r="A723" s="7" t="str">
        <f t="shared" si="55"/>
        <v>145_2022</v>
      </c>
      <c r="B723" s="7">
        <v>722</v>
      </c>
      <c r="C723" s="7">
        <f>'Panel Data (Long Format)'!B723</f>
        <v>145</v>
      </c>
      <c r="D723" s="7" t="str">
        <f>'Panel Data (Long Format)'!C723</f>
        <v>ZENITHBANK</v>
      </c>
      <c r="E723" s="8" t="str">
        <f>'Panel Data (Long Format)'!D723</f>
        <v>Zenith Bank Plc</v>
      </c>
      <c r="F723" s="7" t="str">
        <f>'Panel Data (Long Format)'!E723</f>
        <v>FINANCIAL SERVICES</v>
      </c>
      <c r="G723" s="7">
        <f>'Panel Data (Long Format)'!F723</f>
        <v>2022</v>
      </c>
      <c r="H723" s="9">
        <v>0</v>
      </c>
      <c r="I723" s="9">
        <v>0</v>
      </c>
      <c r="J723" s="9">
        <v>0</v>
      </c>
      <c r="K723" s="9">
        <v>0</v>
      </c>
      <c r="L723" s="9">
        <v>0</v>
      </c>
      <c r="M723" s="9">
        <v>0</v>
      </c>
      <c r="N723" s="9">
        <v>0</v>
      </c>
      <c r="O723" s="9">
        <v>0</v>
      </c>
      <c r="P723" s="9">
        <v>0</v>
      </c>
      <c r="Q723" s="9">
        <v>0</v>
      </c>
      <c r="R723" s="9">
        <v>0</v>
      </c>
      <c r="S723" s="9">
        <v>0</v>
      </c>
      <c r="T723" s="9">
        <v>0</v>
      </c>
      <c r="U723" s="9">
        <v>0</v>
      </c>
      <c r="V723" s="9">
        <v>0</v>
      </c>
      <c r="W723" s="9">
        <v>0</v>
      </c>
      <c r="X723" s="9">
        <v>0</v>
      </c>
      <c r="Y723" s="9">
        <v>0</v>
      </c>
      <c r="Z723" s="9">
        <v>0</v>
      </c>
      <c r="AA723" s="9">
        <v>0</v>
      </c>
      <c r="AB723" s="10">
        <f t="shared" si="56"/>
        <v>0</v>
      </c>
      <c r="AC723" s="10">
        <f t="shared" si="57"/>
        <v>0</v>
      </c>
      <c r="AD723" s="9">
        <v>0</v>
      </c>
      <c r="AE723" s="9">
        <v>0</v>
      </c>
      <c r="AF723" s="9">
        <v>0</v>
      </c>
      <c r="AG723" s="9">
        <v>0</v>
      </c>
      <c r="AH723" s="9">
        <v>0</v>
      </c>
      <c r="AI723" s="9">
        <v>0</v>
      </c>
      <c r="AJ723" s="9">
        <v>0</v>
      </c>
      <c r="AK723" s="9">
        <v>0</v>
      </c>
      <c r="AL723" s="9">
        <v>0</v>
      </c>
      <c r="AM723" s="9">
        <v>0</v>
      </c>
      <c r="AN723" s="9">
        <v>0</v>
      </c>
      <c r="AO723" s="9">
        <v>0</v>
      </c>
      <c r="AP723" s="9">
        <v>0</v>
      </c>
      <c r="AQ723" s="9">
        <v>0</v>
      </c>
      <c r="AR723" s="9">
        <v>0</v>
      </c>
      <c r="AS723" s="10">
        <f t="shared" si="58"/>
        <v>0</v>
      </c>
      <c r="AT723" s="10">
        <f t="shared" si="59"/>
        <v>0</v>
      </c>
      <c r="AU723" s="5" t="s">
        <v>691</v>
      </c>
    </row>
    <row r="724" spans="1:47" ht="15" customHeight="1" x14ac:dyDescent="0.3">
      <c r="A724" s="7" t="str">
        <f t="shared" si="55"/>
        <v>145_2023</v>
      </c>
      <c r="B724" s="7">
        <v>723</v>
      </c>
      <c r="C724" s="7">
        <f>'Panel Data (Long Format)'!B724</f>
        <v>145</v>
      </c>
      <c r="D724" s="7" t="str">
        <f>'Panel Data (Long Format)'!C724</f>
        <v>ZENITHBANK</v>
      </c>
      <c r="E724" s="8" t="str">
        <f>'Panel Data (Long Format)'!D724</f>
        <v>Zenith Bank Plc</v>
      </c>
      <c r="F724" s="7" t="str">
        <f>'Panel Data (Long Format)'!E724</f>
        <v>FINANCIAL SERVICES</v>
      </c>
      <c r="G724" s="7">
        <f>'Panel Data (Long Format)'!F724</f>
        <v>2023</v>
      </c>
      <c r="H724" s="9">
        <v>0</v>
      </c>
      <c r="I724" s="9">
        <v>0</v>
      </c>
      <c r="J724" s="9">
        <v>0</v>
      </c>
      <c r="K724" s="9">
        <v>0</v>
      </c>
      <c r="L724" s="9">
        <v>0</v>
      </c>
      <c r="M724" s="9">
        <v>0</v>
      </c>
      <c r="N724" s="9">
        <v>0</v>
      </c>
      <c r="O724" s="9">
        <v>0</v>
      </c>
      <c r="P724" s="9">
        <v>0</v>
      </c>
      <c r="Q724" s="9">
        <v>0</v>
      </c>
      <c r="R724" s="9">
        <v>0</v>
      </c>
      <c r="S724" s="9">
        <v>0</v>
      </c>
      <c r="T724" s="9">
        <v>0</v>
      </c>
      <c r="U724" s="9">
        <v>0</v>
      </c>
      <c r="V724" s="9">
        <v>0</v>
      </c>
      <c r="W724" s="9">
        <v>0</v>
      </c>
      <c r="X724" s="9">
        <v>0</v>
      </c>
      <c r="Y724" s="9">
        <v>0</v>
      </c>
      <c r="Z724" s="9">
        <v>0</v>
      </c>
      <c r="AA724" s="9">
        <v>0</v>
      </c>
      <c r="AB724" s="10">
        <f t="shared" si="56"/>
        <v>0</v>
      </c>
      <c r="AC724" s="10">
        <f t="shared" si="57"/>
        <v>0</v>
      </c>
      <c r="AD724" s="9">
        <v>0</v>
      </c>
      <c r="AE724" s="9">
        <v>0</v>
      </c>
      <c r="AF724" s="9">
        <v>0</v>
      </c>
      <c r="AG724" s="9">
        <v>0</v>
      </c>
      <c r="AH724" s="9">
        <v>0</v>
      </c>
      <c r="AI724" s="9">
        <v>0</v>
      </c>
      <c r="AJ724" s="9">
        <v>0</v>
      </c>
      <c r="AK724" s="9">
        <v>0</v>
      </c>
      <c r="AL724" s="9">
        <v>0</v>
      </c>
      <c r="AM724" s="9">
        <v>0</v>
      </c>
      <c r="AN724" s="9">
        <v>0</v>
      </c>
      <c r="AO724" s="9">
        <v>0</v>
      </c>
      <c r="AP724" s="9">
        <v>0</v>
      </c>
      <c r="AQ724" s="9">
        <v>0</v>
      </c>
      <c r="AR724" s="9">
        <v>0</v>
      </c>
      <c r="AS724" s="10">
        <f t="shared" si="58"/>
        <v>0</v>
      </c>
      <c r="AT724" s="10">
        <f t="shared" si="59"/>
        <v>0</v>
      </c>
      <c r="AU724" s="5" t="s">
        <v>692</v>
      </c>
    </row>
    <row r="725" spans="1:47" ht="15" customHeight="1" x14ac:dyDescent="0.3">
      <c r="A725" s="7" t="str">
        <f t="shared" si="55"/>
        <v>145_2024</v>
      </c>
      <c r="B725" s="7">
        <v>724</v>
      </c>
      <c r="C725" s="7">
        <f>'Panel Data (Long Format)'!B725</f>
        <v>145</v>
      </c>
      <c r="D725" s="7" t="str">
        <f>'Panel Data (Long Format)'!C725</f>
        <v>ZENITHBANK</v>
      </c>
      <c r="E725" s="8" t="str">
        <f>'Panel Data (Long Format)'!D725</f>
        <v>Zenith Bank Plc</v>
      </c>
      <c r="F725" s="7" t="str">
        <f>'Panel Data (Long Format)'!E725</f>
        <v>FINANCIAL SERVICES</v>
      </c>
      <c r="G725" s="7">
        <f>'Panel Data (Long Format)'!F725</f>
        <v>2024</v>
      </c>
      <c r="H725" s="9">
        <v>0</v>
      </c>
      <c r="I725" s="9">
        <v>0</v>
      </c>
      <c r="J725" s="9">
        <v>0</v>
      </c>
      <c r="K725" s="9">
        <v>0</v>
      </c>
      <c r="L725" s="9">
        <v>0</v>
      </c>
      <c r="M725" s="9">
        <v>0</v>
      </c>
      <c r="N725" s="9">
        <v>0</v>
      </c>
      <c r="O725" s="9">
        <v>0</v>
      </c>
      <c r="P725" s="9">
        <v>0</v>
      </c>
      <c r="Q725" s="9">
        <v>0</v>
      </c>
      <c r="R725" s="9">
        <v>0</v>
      </c>
      <c r="S725" s="9">
        <v>0</v>
      </c>
      <c r="T725" s="9">
        <v>0</v>
      </c>
      <c r="U725" s="9">
        <v>0</v>
      </c>
      <c r="V725" s="9">
        <v>0</v>
      </c>
      <c r="W725" s="9">
        <v>1</v>
      </c>
      <c r="X725" s="9">
        <v>0</v>
      </c>
      <c r="Y725" s="9">
        <v>0</v>
      </c>
      <c r="Z725" s="9">
        <v>0</v>
      </c>
      <c r="AA725" s="9">
        <v>0</v>
      </c>
      <c r="AB725" s="10">
        <f t="shared" si="56"/>
        <v>1</v>
      </c>
      <c r="AC725" s="10">
        <f t="shared" si="57"/>
        <v>5</v>
      </c>
      <c r="AD725" s="9">
        <v>0</v>
      </c>
      <c r="AE725" s="9">
        <v>0</v>
      </c>
      <c r="AF725" s="9">
        <v>0</v>
      </c>
      <c r="AG725" s="9">
        <v>0</v>
      </c>
      <c r="AH725" s="9">
        <v>0</v>
      </c>
      <c r="AI725" s="9">
        <v>0</v>
      </c>
      <c r="AJ725" s="9">
        <v>0</v>
      </c>
      <c r="AK725" s="9">
        <v>0</v>
      </c>
      <c r="AL725" s="9">
        <v>0</v>
      </c>
      <c r="AM725" s="9">
        <v>0</v>
      </c>
      <c r="AN725" s="9">
        <v>0</v>
      </c>
      <c r="AO725" s="9">
        <v>0</v>
      </c>
      <c r="AP725" s="9">
        <v>0</v>
      </c>
      <c r="AQ725" s="9">
        <v>0</v>
      </c>
      <c r="AR725" s="9">
        <v>0</v>
      </c>
      <c r="AS725" s="10">
        <f t="shared" si="58"/>
        <v>0</v>
      </c>
      <c r="AT725" s="10">
        <f t="shared" si="59"/>
        <v>0</v>
      </c>
      <c r="AU725" s="5" t="s">
        <v>693</v>
      </c>
    </row>
    <row r="726" spans="1:47" ht="15" customHeight="1" x14ac:dyDescent="0.3">
      <c r="A726" s="7" t="str">
        <f t="shared" si="55"/>
        <v>145_2025</v>
      </c>
      <c r="B726" s="7">
        <v>725</v>
      </c>
      <c r="C726" s="7">
        <f>'Panel Data (Long Format)'!B726</f>
        <v>145</v>
      </c>
      <c r="D726" s="7" t="str">
        <f>'Panel Data (Long Format)'!C726</f>
        <v>ZENITHBANK</v>
      </c>
      <c r="E726" s="8" t="str">
        <f>'Panel Data (Long Format)'!D726</f>
        <v>Zenith Bank Plc</v>
      </c>
      <c r="F726" s="7" t="str">
        <f>'Panel Data (Long Format)'!E726</f>
        <v>FINANCIAL SERVICES</v>
      </c>
      <c r="G726" s="7">
        <f>'Panel Data (Long Format)'!F726</f>
        <v>2025</v>
      </c>
      <c r="H726" s="9">
        <v>1</v>
      </c>
      <c r="I726" s="9">
        <v>1</v>
      </c>
      <c r="J726" s="9">
        <v>1</v>
      </c>
      <c r="K726" s="9">
        <v>1</v>
      </c>
      <c r="L726" s="9">
        <v>1</v>
      </c>
      <c r="M726" s="9">
        <v>1</v>
      </c>
      <c r="N726" s="9">
        <v>1</v>
      </c>
      <c r="O726" s="9">
        <v>1</v>
      </c>
      <c r="P726" s="9">
        <v>1</v>
      </c>
      <c r="Q726" s="9">
        <v>1</v>
      </c>
      <c r="R726" s="9">
        <v>1</v>
      </c>
      <c r="S726" s="9">
        <v>1</v>
      </c>
      <c r="T726" s="9">
        <v>1</v>
      </c>
      <c r="U726" s="9">
        <v>1</v>
      </c>
      <c r="V726" s="9">
        <v>1</v>
      </c>
      <c r="W726" s="9">
        <v>1</v>
      </c>
      <c r="X726" s="9">
        <v>0</v>
      </c>
      <c r="Y726" s="9">
        <v>0</v>
      </c>
      <c r="Z726" s="9">
        <v>0</v>
      </c>
      <c r="AA726" s="9">
        <v>1</v>
      </c>
      <c r="AB726" s="10">
        <f t="shared" si="56"/>
        <v>17</v>
      </c>
      <c r="AC726" s="10">
        <f t="shared" si="57"/>
        <v>85</v>
      </c>
      <c r="AD726" s="9">
        <v>1</v>
      </c>
      <c r="AE726" s="9">
        <v>1</v>
      </c>
      <c r="AF726" s="9">
        <v>1</v>
      </c>
      <c r="AG726" s="9">
        <v>1</v>
      </c>
      <c r="AH726" s="9">
        <v>1</v>
      </c>
      <c r="AI726" s="9">
        <v>1</v>
      </c>
      <c r="AJ726" s="9">
        <v>1</v>
      </c>
      <c r="AK726" s="9">
        <v>1</v>
      </c>
      <c r="AL726" s="9">
        <v>1</v>
      </c>
      <c r="AM726" s="9">
        <v>0</v>
      </c>
      <c r="AN726" s="9">
        <v>0</v>
      </c>
      <c r="AO726" s="9">
        <v>1</v>
      </c>
      <c r="AP726" s="9">
        <v>0</v>
      </c>
      <c r="AQ726" s="9">
        <v>0</v>
      </c>
      <c r="AR726" s="9">
        <v>0</v>
      </c>
      <c r="AS726" s="10">
        <f t="shared" si="58"/>
        <v>10</v>
      </c>
      <c r="AT726" s="10">
        <f t="shared" si="59"/>
        <v>66.666666666666657</v>
      </c>
      <c r="AU726" s="5" t="s">
        <v>694</v>
      </c>
    </row>
    <row r="727" spans="1:47" ht="15" customHeight="1" x14ac:dyDescent="0.3">
      <c r="A727" s="7" t="str">
        <f t="shared" si="55"/>
        <v>146_2021</v>
      </c>
      <c r="B727" s="7">
        <v>726</v>
      </c>
      <c r="C727" s="7">
        <f>'Panel Data (Long Format)'!B727</f>
        <v>146</v>
      </c>
      <c r="D727" s="7" t="str">
        <f>'Panel Data (Long Format)'!C727</f>
        <v>ZICHIS</v>
      </c>
      <c r="E727" s="8" t="str">
        <f>'Panel Data (Long Format)'!D727</f>
        <v>Zichis Agro Industries Plc</v>
      </c>
      <c r="F727" s="7" t="str">
        <f>'Panel Data (Long Format)'!E727</f>
        <v>AGRICULTURE</v>
      </c>
      <c r="G727" s="7">
        <f>'Panel Data (Long Format)'!F727</f>
        <v>2021</v>
      </c>
      <c r="H727" s="9"/>
      <c r="I727" s="9"/>
      <c r="J727" s="9"/>
      <c r="K727" s="9"/>
      <c r="L727" s="9"/>
      <c r="M727" s="9"/>
      <c r="N727" s="9"/>
      <c r="O727" s="9"/>
      <c r="P727" s="9"/>
      <c r="Q727" s="9"/>
      <c r="R727" s="9"/>
      <c r="S727" s="9"/>
      <c r="T727" s="9"/>
      <c r="U727" s="9"/>
      <c r="V727" s="9"/>
      <c r="W727" s="9"/>
      <c r="X727" s="9"/>
      <c r="Y727" s="9"/>
      <c r="Z727" s="9"/>
      <c r="AA727" s="9"/>
      <c r="AB727" s="10" t="str">
        <f t="shared" si="56"/>
        <v/>
      </c>
      <c r="AC727" s="10" t="str">
        <f t="shared" si="57"/>
        <v/>
      </c>
      <c r="AD727" s="9"/>
      <c r="AE727" s="9"/>
      <c r="AF727" s="9"/>
      <c r="AG727" s="9"/>
      <c r="AH727" s="9"/>
      <c r="AI727" s="9"/>
      <c r="AJ727" s="9"/>
      <c r="AK727" s="9"/>
      <c r="AL727" s="9"/>
      <c r="AM727" s="9"/>
      <c r="AN727" s="9"/>
      <c r="AO727" s="9"/>
      <c r="AP727" s="9"/>
      <c r="AQ727" s="9"/>
      <c r="AR727" s="9"/>
      <c r="AS727" s="10" t="str">
        <f t="shared" si="58"/>
        <v/>
      </c>
      <c r="AT727" s="10" t="str">
        <f t="shared" si="59"/>
        <v/>
      </c>
      <c r="AU727" s="5" t="s">
        <v>695</v>
      </c>
    </row>
    <row r="728" spans="1:47" ht="15" customHeight="1" x14ac:dyDescent="0.3">
      <c r="A728" s="7" t="str">
        <f t="shared" si="55"/>
        <v>146_2022</v>
      </c>
      <c r="B728" s="7">
        <v>727</v>
      </c>
      <c r="C728" s="7">
        <f>'Panel Data (Long Format)'!B728</f>
        <v>146</v>
      </c>
      <c r="D728" s="7" t="str">
        <f>'Panel Data (Long Format)'!C728</f>
        <v>ZICHIS</v>
      </c>
      <c r="E728" s="8" t="str">
        <f>'Panel Data (Long Format)'!D728</f>
        <v>Zichis Agro Industries Plc</v>
      </c>
      <c r="F728" s="7" t="str">
        <f>'Panel Data (Long Format)'!E728</f>
        <v>AGRICULTURE</v>
      </c>
      <c r="G728" s="7">
        <f>'Panel Data (Long Format)'!F728</f>
        <v>2022</v>
      </c>
      <c r="H728" s="9"/>
      <c r="I728" s="9"/>
      <c r="J728" s="9"/>
      <c r="K728" s="9"/>
      <c r="L728" s="9"/>
      <c r="M728" s="9"/>
      <c r="N728" s="9"/>
      <c r="O728" s="9"/>
      <c r="P728" s="9"/>
      <c r="Q728" s="9"/>
      <c r="R728" s="9"/>
      <c r="S728" s="9"/>
      <c r="T728" s="9"/>
      <c r="U728" s="9"/>
      <c r="V728" s="9"/>
      <c r="W728" s="9"/>
      <c r="X728" s="9"/>
      <c r="Y728" s="9"/>
      <c r="Z728" s="9"/>
      <c r="AA728" s="9"/>
      <c r="AB728" s="10" t="str">
        <f t="shared" si="56"/>
        <v/>
      </c>
      <c r="AC728" s="10" t="str">
        <f t="shared" si="57"/>
        <v/>
      </c>
      <c r="AD728" s="9"/>
      <c r="AE728" s="9"/>
      <c r="AF728" s="9"/>
      <c r="AG728" s="9"/>
      <c r="AH728" s="9"/>
      <c r="AI728" s="9"/>
      <c r="AJ728" s="9"/>
      <c r="AK728" s="9"/>
      <c r="AL728" s="9"/>
      <c r="AM728" s="9"/>
      <c r="AN728" s="9"/>
      <c r="AO728" s="9"/>
      <c r="AP728" s="9"/>
      <c r="AQ728" s="9"/>
      <c r="AR728" s="9"/>
      <c r="AS728" s="10" t="str">
        <f t="shared" si="58"/>
        <v/>
      </c>
      <c r="AT728" s="10" t="str">
        <f t="shared" si="59"/>
        <v/>
      </c>
      <c r="AU728" s="5" t="s">
        <v>696</v>
      </c>
    </row>
    <row r="729" spans="1:47" ht="15" customHeight="1" x14ac:dyDescent="0.3">
      <c r="A729" s="7" t="str">
        <f t="shared" si="55"/>
        <v>146_2023</v>
      </c>
      <c r="B729" s="7">
        <v>728</v>
      </c>
      <c r="C729" s="7">
        <f>'Panel Data (Long Format)'!B729</f>
        <v>146</v>
      </c>
      <c r="D729" s="7" t="str">
        <f>'Panel Data (Long Format)'!C729</f>
        <v>ZICHIS</v>
      </c>
      <c r="E729" s="8" t="str">
        <f>'Panel Data (Long Format)'!D729</f>
        <v>Zichis Agro Industries Plc</v>
      </c>
      <c r="F729" s="7" t="str">
        <f>'Panel Data (Long Format)'!E729</f>
        <v>AGRICULTURE</v>
      </c>
      <c r="G729" s="7">
        <f>'Panel Data (Long Format)'!F729</f>
        <v>2023</v>
      </c>
      <c r="H729" s="9"/>
      <c r="I729" s="9"/>
      <c r="J729" s="9"/>
      <c r="K729" s="9"/>
      <c r="L729" s="9"/>
      <c r="M729" s="9"/>
      <c r="N729" s="9"/>
      <c r="O729" s="9"/>
      <c r="P729" s="9"/>
      <c r="Q729" s="9"/>
      <c r="R729" s="9"/>
      <c r="S729" s="9"/>
      <c r="T729" s="9"/>
      <c r="U729" s="9"/>
      <c r="V729" s="9"/>
      <c r="W729" s="9"/>
      <c r="X729" s="9"/>
      <c r="Y729" s="9"/>
      <c r="Z729" s="9"/>
      <c r="AA729" s="9"/>
      <c r="AB729" s="10" t="str">
        <f t="shared" si="56"/>
        <v/>
      </c>
      <c r="AC729" s="10" t="str">
        <f t="shared" si="57"/>
        <v/>
      </c>
      <c r="AD729" s="9"/>
      <c r="AE729" s="9"/>
      <c r="AF729" s="9"/>
      <c r="AG729" s="9"/>
      <c r="AH729" s="9"/>
      <c r="AI729" s="9"/>
      <c r="AJ729" s="9"/>
      <c r="AK729" s="9"/>
      <c r="AL729" s="9"/>
      <c r="AM729" s="9"/>
      <c r="AN729" s="9"/>
      <c r="AO729" s="9"/>
      <c r="AP729" s="9"/>
      <c r="AQ729" s="9"/>
      <c r="AR729" s="9"/>
      <c r="AS729" s="10" t="str">
        <f t="shared" si="58"/>
        <v/>
      </c>
      <c r="AT729" s="10" t="str">
        <f t="shared" si="59"/>
        <v/>
      </c>
      <c r="AU729" s="5" t="s">
        <v>697</v>
      </c>
    </row>
    <row r="730" spans="1:47" ht="15" customHeight="1" x14ac:dyDescent="0.3">
      <c r="A730" s="7" t="str">
        <f t="shared" si="55"/>
        <v>146_2024</v>
      </c>
      <c r="B730" s="7">
        <v>729</v>
      </c>
      <c r="C730" s="7">
        <f>'Panel Data (Long Format)'!B730</f>
        <v>146</v>
      </c>
      <c r="D730" s="7" t="str">
        <f>'Panel Data (Long Format)'!C730</f>
        <v>ZICHIS</v>
      </c>
      <c r="E730" s="8" t="str">
        <f>'Panel Data (Long Format)'!D730</f>
        <v>Zichis Agro Industries Plc</v>
      </c>
      <c r="F730" s="7" t="str">
        <f>'Panel Data (Long Format)'!E730</f>
        <v>AGRICULTURE</v>
      </c>
      <c r="G730" s="7">
        <f>'Panel Data (Long Format)'!F730</f>
        <v>2024</v>
      </c>
      <c r="H730" s="9">
        <v>0</v>
      </c>
      <c r="I730" s="9">
        <v>0</v>
      </c>
      <c r="J730" s="9">
        <v>0</v>
      </c>
      <c r="K730" s="9">
        <v>0</v>
      </c>
      <c r="L730" s="9">
        <v>0</v>
      </c>
      <c r="M730" s="9">
        <v>0</v>
      </c>
      <c r="N730" s="9">
        <v>0</v>
      </c>
      <c r="O730" s="9">
        <v>0</v>
      </c>
      <c r="P730" s="9">
        <v>0</v>
      </c>
      <c r="Q730" s="9">
        <v>0</v>
      </c>
      <c r="R730" s="9">
        <v>0</v>
      </c>
      <c r="S730" s="9">
        <v>0</v>
      </c>
      <c r="T730" s="9">
        <v>0</v>
      </c>
      <c r="U730" s="9">
        <v>0</v>
      </c>
      <c r="V730" s="9">
        <v>0</v>
      </c>
      <c r="W730" s="9">
        <v>0</v>
      </c>
      <c r="X730" s="9">
        <v>0</v>
      </c>
      <c r="Y730" s="9">
        <v>0</v>
      </c>
      <c r="Z730" s="9">
        <v>0</v>
      </c>
      <c r="AA730" s="9">
        <v>0</v>
      </c>
      <c r="AB730" s="10">
        <f t="shared" si="56"/>
        <v>0</v>
      </c>
      <c r="AC730" s="10">
        <f t="shared" si="57"/>
        <v>0</v>
      </c>
      <c r="AD730" s="9">
        <v>0</v>
      </c>
      <c r="AE730" s="9">
        <v>0</v>
      </c>
      <c r="AF730" s="9">
        <v>0</v>
      </c>
      <c r="AG730" s="9">
        <v>0</v>
      </c>
      <c r="AH730" s="9">
        <v>0</v>
      </c>
      <c r="AI730" s="9">
        <v>0</v>
      </c>
      <c r="AJ730" s="9">
        <v>0</v>
      </c>
      <c r="AK730" s="9">
        <v>0</v>
      </c>
      <c r="AL730" s="9">
        <v>0</v>
      </c>
      <c r="AM730" s="9">
        <v>0</v>
      </c>
      <c r="AN730" s="9">
        <v>0</v>
      </c>
      <c r="AO730" s="9">
        <v>0</v>
      </c>
      <c r="AP730" s="9">
        <v>0</v>
      </c>
      <c r="AQ730" s="9">
        <v>0</v>
      </c>
      <c r="AR730" s="9">
        <v>0</v>
      </c>
      <c r="AS730" s="10">
        <f t="shared" si="58"/>
        <v>0</v>
      </c>
      <c r="AT730" s="10">
        <f t="shared" si="59"/>
        <v>0</v>
      </c>
      <c r="AU730" s="5" t="s">
        <v>698</v>
      </c>
    </row>
    <row r="731" spans="1:47" ht="15" customHeight="1" x14ac:dyDescent="0.3">
      <c r="A731" s="7" t="str">
        <f t="shared" si="55"/>
        <v>146_2025</v>
      </c>
      <c r="B731" s="7">
        <v>730</v>
      </c>
      <c r="C731" s="7">
        <f>'Panel Data (Long Format)'!B731</f>
        <v>146</v>
      </c>
      <c r="D731" s="7" t="str">
        <f>'Panel Data (Long Format)'!C731</f>
        <v>ZICHIS</v>
      </c>
      <c r="E731" s="8" t="str">
        <f>'Panel Data (Long Format)'!D731</f>
        <v>Zichis Agro Industries Plc</v>
      </c>
      <c r="F731" s="7" t="str">
        <f>'Panel Data (Long Format)'!E731</f>
        <v>AGRICULTURE</v>
      </c>
      <c r="G731" s="7">
        <f>'Panel Data (Long Format)'!F731</f>
        <v>2025</v>
      </c>
      <c r="H731" s="9">
        <v>0</v>
      </c>
      <c r="I731" s="9">
        <v>0</v>
      </c>
      <c r="J731" s="9">
        <v>0</v>
      </c>
      <c r="K731" s="9">
        <v>0</v>
      </c>
      <c r="L731" s="9">
        <v>0</v>
      </c>
      <c r="M731" s="9">
        <v>0</v>
      </c>
      <c r="N731" s="9">
        <v>1</v>
      </c>
      <c r="O731" s="9">
        <v>0</v>
      </c>
      <c r="P731" s="9">
        <v>0</v>
      </c>
      <c r="Q731" s="9">
        <v>0</v>
      </c>
      <c r="R731" s="9">
        <v>0</v>
      </c>
      <c r="S731" s="9">
        <v>0</v>
      </c>
      <c r="T731" s="9">
        <v>0</v>
      </c>
      <c r="U731" s="9">
        <v>0</v>
      </c>
      <c r="V731" s="9">
        <v>0</v>
      </c>
      <c r="W731" s="9">
        <v>0</v>
      </c>
      <c r="X731" s="9">
        <v>0</v>
      </c>
      <c r="Y731" s="9">
        <v>0</v>
      </c>
      <c r="Z731" s="9">
        <v>0</v>
      </c>
      <c r="AA731" s="9">
        <v>0</v>
      </c>
      <c r="AB731" s="10">
        <f t="shared" si="56"/>
        <v>1</v>
      </c>
      <c r="AC731" s="10">
        <f t="shared" si="57"/>
        <v>5</v>
      </c>
      <c r="AD731" s="9">
        <v>0</v>
      </c>
      <c r="AE731" s="9">
        <v>0</v>
      </c>
      <c r="AF731" s="9">
        <v>0</v>
      </c>
      <c r="AG731" s="9">
        <v>0</v>
      </c>
      <c r="AH731" s="9">
        <v>0</v>
      </c>
      <c r="AI731" s="9">
        <v>0</v>
      </c>
      <c r="AJ731" s="9">
        <v>0</v>
      </c>
      <c r="AK731" s="9">
        <v>0</v>
      </c>
      <c r="AL731" s="9">
        <v>0</v>
      </c>
      <c r="AM731" s="9">
        <v>0</v>
      </c>
      <c r="AN731" s="9">
        <v>0</v>
      </c>
      <c r="AO731" s="9">
        <v>0</v>
      </c>
      <c r="AP731" s="9">
        <v>0</v>
      </c>
      <c r="AQ731" s="9">
        <v>0</v>
      </c>
      <c r="AR731" s="9">
        <v>0</v>
      </c>
      <c r="AS731" s="10">
        <f t="shared" si="58"/>
        <v>0</v>
      </c>
      <c r="AT731" s="10">
        <f t="shared" si="59"/>
        <v>0</v>
      </c>
      <c r="AU731" s="5" t="s">
        <v>699</v>
      </c>
    </row>
  </sheetData>
  <autoFilter ref="A1:AU731" xr:uid="{00000000-0001-0000-0200-000000000000}"/>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7"/>
  <sheetViews>
    <sheetView topLeftCell="D1" zoomScaleNormal="100" workbookViewId="0">
      <pane ySplit="1" topLeftCell="A18" activePane="bottomLeft" state="frozen"/>
      <selection pane="bottomLeft" activeCell="K28" sqref="K28"/>
    </sheetView>
  </sheetViews>
  <sheetFormatPr defaultColWidth="8.6640625" defaultRowHeight="14.4" x14ac:dyDescent="0.3"/>
  <cols>
    <col min="1" max="1" width="8" customWidth="1"/>
    <col min="2" max="2" width="14" customWidth="1"/>
    <col min="3" max="3" width="38" customWidth="1"/>
    <col min="4" max="4" width="20" customWidth="1"/>
    <col min="5" max="5" width="16" customWidth="1"/>
    <col min="6" max="6" width="44" customWidth="1"/>
    <col min="7" max="7" width="26" customWidth="1"/>
    <col min="8" max="9" width="12" customWidth="1"/>
    <col min="10" max="10" width="55" customWidth="1"/>
    <col min="11" max="11" width="30" customWidth="1"/>
  </cols>
  <sheetData>
    <row r="1" spans="1:11" ht="30" customHeight="1" x14ac:dyDescent="0.3">
      <c r="A1" s="4" t="s">
        <v>131</v>
      </c>
      <c r="B1" s="4" t="s">
        <v>132</v>
      </c>
      <c r="C1" s="4" t="s">
        <v>133</v>
      </c>
      <c r="D1" s="4" t="s">
        <v>134</v>
      </c>
      <c r="E1" s="4" t="s">
        <v>700</v>
      </c>
      <c r="F1" s="4" t="s">
        <v>701</v>
      </c>
      <c r="G1" s="4" t="s">
        <v>702</v>
      </c>
      <c r="H1" s="4" t="s">
        <v>703</v>
      </c>
      <c r="I1" s="4" t="s">
        <v>704</v>
      </c>
      <c r="J1" s="4" t="s">
        <v>705</v>
      </c>
      <c r="K1" s="4" t="s">
        <v>706</v>
      </c>
    </row>
    <row r="2" spans="1:11" ht="15" customHeight="1" x14ac:dyDescent="0.3">
      <c r="A2" s="11">
        <v>1</v>
      </c>
      <c r="B2" s="11" t="s">
        <v>707</v>
      </c>
      <c r="C2" s="11" t="s">
        <v>708</v>
      </c>
      <c r="D2" s="11" t="s">
        <v>709</v>
      </c>
      <c r="E2" s="12">
        <v>1991</v>
      </c>
      <c r="F2" s="12" t="s">
        <v>710</v>
      </c>
      <c r="G2" s="12" t="s">
        <v>711</v>
      </c>
      <c r="H2" s="12">
        <v>1</v>
      </c>
      <c r="I2" s="13"/>
      <c r="J2" s="14"/>
      <c r="K2" s="11" t="s">
        <v>712</v>
      </c>
    </row>
    <row r="3" spans="1:11" ht="15" customHeight="1" x14ac:dyDescent="0.3">
      <c r="A3" s="11">
        <v>2</v>
      </c>
      <c r="B3" s="11" t="s">
        <v>713</v>
      </c>
      <c r="C3" s="11" t="s">
        <v>714</v>
      </c>
      <c r="D3" s="11" t="s">
        <v>715</v>
      </c>
      <c r="E3" s="12">
        <v>1993</v>
      </c>
      <c r="F3" s="12" t="s">
        <v>716</v>
      </c>
      <c r="G3" s="12" t="s">
        <v>717</v>
      </c>
      <c r="H3" s="12">
        <v>0</v>
      </c>
      <c r="I3" s="13"/>
      <c r="J3" s="14"/>
      <c r="K3" s="11" t="s">
        <v>718</v>
      </c>
    </row>
    <row r="4" spans="1:11" ht="15" customHeight="1" x14ac:dyDescent="0.3">
      <c r="A4" s="11">
        <v>3</v>
      </c>
      <c r="B4" s="11" t="s">
        <v>719</v>
      </c>
      <c r="C4" s="11" t="s">
        <v>720</v>
      </c>
      <c r="D4" s="11" t="s">
        <v>715</v>
      </c>
      <c r="E4" s="12">
        <v>1964</v>
      </c>
      <c r="F4" s="12" t="s">
        <v>721</v>
      </c>
      <c r="G4" s="12" t="s">
        <v>722</v>
      </c>
      <c r="H4" s="12">
        <v>1</v>
      </c>
      <c r="I4" s="13"/>
      <c r="J4" s="14"/>
      <c r="K4" s="11" t="s">
        <v>723</v>
      </c>
    </row>
    <row r="5" spans="1:11" ht="23.25" customHeight="1" x14ac:dyDescent="0.3">
      <c r="A5" s="11">
        <v>4</v>
      </c>
      <c r="B5" s="11" t="s">
        <v>724</v>
      </c>
      <c r="C5" s="11" t="s">
        <v>725</v>
      </c>
      <c r="D5" s="11" t="s">
        <v>709</v>
      </c>
      <c r="E5" s="12">
        <v>2021</v>
      </c>
      <c r="F5" s="12" t="s">
        <v>726</v>
      </c>
      <c r="G5" s="12" t="s">
        <v>727</v>
      </c>
      <c r="H5" s="12">
        <v>1</v>
      </c>
      <c r="I5" s="13"/>
      <c r="J5" s="14"/>
      <c r="K5" s="11" t="s">
        <v>728</v>
      </c>
    </row>
    <row r="6" spans="1:11" ht="15" customHeight="1" x14ac:dyDescent="0.3">
      <c r="A6" s="11">
        <v>5</v>
      </c>
      <c r="B6" s="11" t="s">
        <v>729</v>
      </c>
      <c r="C6" s="11" t="s">
        <v>730</v>
      </c>
      <c r="D6" s="11" t="s">
        <v>709</v>
      </c>
      <c r="E6" s="12">
        <v>1960</v>
      </c>
      <c r="F6" s="12" t="s">
        <v>731</v>
      </c>
      <c r="G6" s="12" t="s">
        <v>732</v>
      </c>
      <c r="H6" s="12">
        <v>1</v>
      </c>
      <c r="I6" s="15" t="s">
        <v>733</v>
      </c>
      <c r="J6" s="14" t="s">
        <v>734</v>
      </c>
      <c r="K6" s="11" t="s">
        <v>735</v>
      </c>
    </row>
    <row r="7" spans="1:11" ht="15" customHeight="1" x14ac:dyDescent="0.3">
      <c r="A7" s="11">
        <v>6</v>
      </c>
      <c r="B7" s="11" t="s">
        <v>736</v>
      </c>
      <c r="C7" s="11" t="s">
        <v>737</v>
      </c>
      <c r="D7" s="11" t="s">
        <v>709</v>
      </c>
      <c r="E7" s="12">
        <v>2006</v>
      </c>
      <c r="F7" s="12" t="s">
        <v>738</v>
      </c>
      <c r="G7" s="12" t="s">
        <v>722</v>
      </c>
      <c r="H7" s="12">
        <v>1</v>
      </c>
      <c r="I7" s="13"/>
      <c r="J7" s="14"/>
      <c r="K7" s="11" t="s">
        <v>739</v>
      </c>
    </row>
    <row r="8" spans="1:11" ht="15" customHeight="1" x14ac:dyDescent="0.3">
      <c r="A8" s="11">
        <v>7</v>
      </c>
      <c r="B8" s="11" t="s">
        <v>740</v>
      </c>
      <c r="C8" s="11" t="s">
        <v>741</v>
      </c>
      <c r="D8" s="11" t="s">
        <v>715</v>
      </c>
      <c r="E8" s="12">
        <v>1959</v>
      </c>
      <c r="F8" s="12" t="s">
        <v>742</v>
      </c>
      <c r="G8" s="12" t="s">
        <v>743</v>
      </c>
      <c r="H8" s="12">
        <v>0</v>
      </c>
      <c r="I8" s="15" t="s">
        <v>733</v>
      </c>
      <c r="J8" s="14" t="s">
        <v>744</v>
      </c>
      <c r="K8" s="11" t="s">
        <v>745</v>
      </c>
    </row>
    <row r="9" spans="1:11" ht="15" customHeight="1" x14ac:dyDescent="0.3">
      <c r="A9" s="11">
        <v>8</v>
      </c>
      <c r="B9" s="11" t="s">
        <v>746</v>
      </c>
      <c r="C9" s="11" t="s">
        <v>747</v>
      </c>
      <c r="D9" s="11" t="s">
        <v>709</v>
      </c>
      <c r="E9" s="12">
        <v>1970</v>
      </c>
      <c r="F9" s="12" t="s">
        <v>748</v>
      </c>
      <c r="G9" s="12" t="s">
        <v>722</v>
      </c>
      <c r="H9" s="12">
        <v>1</v>
      </c>
      <c r="I9" s="13"/>
      <c r="J9" s="14"/>
      <c r="K9" s="11" t="s">
        <v>749</v>
      </c>
    </row>
    <row r="10" spans="1:11" ht="15" customHeight="1" x14ac:dyDescent="0.3">
      <c r="A10" s="11">
        <v>9</v>
      </c>
      <c r="B10" s="11" t="s">
        <v>750</v>
      </c>
      <c r="C10" s="11" t="s">
        <v>751</v>
      </c>
      <c r="D10" s="11" t="s">
        <v>752</v>
      </c>
      <c r="E10" s="12">
        <v>2010</v>
      </c>
      <c r="F10" s="12" t="s">
        <v>753</v>
      </c>
      <c r="G10" s="12" t="s">
        <v>754</v>
      </c>
      <c r="H10" s="12">
        <v>1</v>
      </c>
      <c r="I10" s="13"/>
      <c r="J10" s="14"/>
      <c r="K10" s="11" t="s">
        <v>755</v>
      </c>
    </row>
    <row r="11" spans="1:11" ht="21.75" customHeight="1" x14ac:dyDescent="0.3">
      <c r="A11" s="16">
        <v>10</v>
      </c>
      <c r="B11" s="16" t="s">
        <v>756</v>
      </c>
      <c r="C11" s="16" t="s">
        <v>757</v>
      </c>
      <c r="D11" s="16" t="s">
        <v>758</v>
      </c>
      <c r="E11" s="16">
        <v>1982</v>
      </c>
      <c r="F11" s="16" t="s">
        <v>759</v>
      </c>
      <c r="G11" s="16" t="s">
        <v>760</v>
      </c>
      <c r="H11" s="16">
        <v>0</v>
      </c>
      <c r="I11" s="16" t="s">
        <v>761</v>
      </c>
      <c r="J11" s="16" t="s">
        <v>762</v>
      </c>
      <c r="K11" s="16" t="s">
        <v>763</v>
      </c>
    </row>
    <row r="12" spans="1:11" ht="23.25" customHeight="1" x14ac:dyDescent="0.3">
      <c r="A12" s="11">
        <v>11</v>
      </c>
      <c r="B12" s="11" t="s">
        <v>764</v>
      </c>
      <c r="C12" s="11" t="s">
        <v>765</v>
      </c>
      <c r="D12" s="11" t="s">
        <v>766</v>
      </c>
      <c r="E12" s="12">
        <v>1992</v>
      </c>
      <c r="F12" s="12" t="s">
        <v>767</v>
      </c>
      <c r="G12" s="12" t="s">
        <v>768</v>
      </c>
      <c r="H12" s="12">
        <v>1</v>
      </c>
      <c r="I12" s="13"/>
      <c r="J12" s="14"/>
      <c r="K12" s="11" t="s">
        <v>769</v>
      </c>
    </row>
    <row r="13" spans="1:11" ht="21.75" customHeight="1" x14ac:dyDescent="0.3">
      <c r="A13" s="11">
        <v>12</v>
      </c>
      <c r="B13" s="11" t="s">
        <v>770</v>
      </c>
      <c r="C13" s="11" t="s">
        <v>771</v>
      </c>
      <c r="D13" s="11" t="s">
        <v>772</v>
      </c>
      <c r="E13" s="12">
        <v>1982</v>
      </c>
      <c r="F13" s="12" t="s">
        <v>773</v>
      </c>
      <c r="G13" s="12" t="s">
        <v>774</v>
      </c>
      <c r="H13" s="12">
        <v>0</v>
      </c>
      <c r="I13" s="17" t="s">
        <v>775</v>
      </c>
      <c r="J13" s="14" t="s">
        <v>776</v>
      </c>
      <c r="K13" s="11" t="s">
        <v>777</v>
      </c>
    </row>
    <row r="14" spans="1:11" ht="42.75" customHeight="1" x14ac:dyDescent="0.3">
      <c r="A14" s="16">
        <v>13</v>
      </c>
      <c r="B14" s="16" t="s">
        <v>778</v>
      </c>
      <c r="C14" s="16" t="s">
        <v>779</v>
      </c>
      <c r="D14" s="16" t="s">
        <v>780</v>
      </c>
      <c r="E14" s="16"/>
      <c r="F14" s="16" t="s">
        <v>781</v>
      </c>
      <c r="G14" s="16" t="s">
        <v>782</v>
      </c>
      <c r="H14" s="16"/>
      <c r="I14" s="16" t="s">
        <v>783</v>
      </c>
      <c r="J14" s="16" t="s">
        <v>784</v>
      </c>
      <c r="K14" s="16" t="s">
        <v>785</v>
      </c>
    </row>
    <row r="15" spans="1:11" ht="15" customHeight="1" x14ac:dyDescent="0.3">
      <c r="A15" s="11">
        <v>14</v>
      </c>
      <c r="B15" s="11" t="s">
        <v>786</v>
      </c>
      <c r="C15" s="11" t="s">
        <v>787</v>
      </c>
      <c r="D15" s="11" t="s">
        <v>752</v>
      </c>
      <c r="E15" s="12">
        <v>2015</v>
      </c>
      <c r="F15" s="12" t="s">
        <v>788</v>
      </c>
      <c r="G15" s="12" t="s">
        <v>789</v>
      </c>
      <c r="H15" s="12">
        <v>0</v>
      </c>
      <c r="I15" s="13"/>
      <c r="J15" s="14"/>
      <c r="K15" s="11" t="s">
        <v>790</v>
      </c>
    </row>
    <row r="16" spans="1:11" ht="45.75" customHeight="1" x14ac:dyDescent="0.3">
      <c r="A16" s="11">
        <v>15</v>
      </c>
      <c r="B16" s="11" t="s">
        <v>791</v>
      </c>
      <c r="C16" s="11" t="s">
        <v>792</v>
      </c>
      <c r="D16" s="11" t="s">
        <v>772</v>
      </c>
      <c r="E16" s="12">
        <v>1959</v>
      </c>
      <c r="F16" s="12" t="s">
        <v>793</v>
      </c>
      <c r="G16" s="12" t="s">
        <v>794</v>
      </c>
      <c r="H16" s="12">
        <v>0</v>
      </c>
      <c r="I16" s="13"/>
      <c r="J16" s="14"/>
      <c r="K16" s="11" t="s">
        <v>795</v>
      </c>
    </row>
    <row r="17" spans="1:11" ht="15" customHeight="1" x14ac:dyDescent="0.3">
      <c r="A17" s="11">
        <v>16</v>
      </c>
      <c r="B17" s="11" t="s">
        <v>796</v>
      </c>
      <c r="C17" s="11" t="s">
        <v>797</v>
      </c>
      <c r="D17" s="11" t="s">
        <v>772</v>
      </c>
      <c r="E17" s="12">
        <v>1974</v>
      </c>
      <c r="F17" s="12" t="s">
        <v>798</v>
      </c>
      <c r="G17" s="12" t="s">
        <v>722</v>
      </c>
      <c r="H17" s="12">
        <v>1</v>
      </c>
      <c r="I17" s="13"/>
      <c r="J17" s="14"/>
      <c r="K17" s="11" t="s">
        <v>799</v>
      </c>
    </row>
    <row r="18" spans="1:11" ht="15" customHeight="1" x14ac:dyDescent="0.3">
      <c r="A18" s="11">
        <v>17</v>
      </c>
      <c r="B18" s="11" t="s">
        <v>800</v>
      </c>
      <c r="C18" s="11" t="s">
        <v>801</v>
      </c>
      <c r="D18" s="11" t="s">
        <v>772</v>
      </c>
      <c r="E18" s="12">
        <v>2014</v>
      </c>
      <c r="F18" s="12" t="s">
        <v>802</v>
      </c>
      <c r="G18" s="12" t="s">
        <v>711</v>
      </c>
      <c r="H18" s="12">
        <v>1</v>
      </c>
      <c r="I18" s="13"/>
      <c r="J18" s="14"/>
      <c r="K18" s="11" t="s">
        <v>803</v>
      </c>
    </row>
    <row r="19" spans="1:11" ht="15" customHeight="1" x14ac:dyDescent="0.3">
      <c r="A19" s="11">
        <v>18</v>
      </c>
      <c r="B19" s="11" t="s">
        <v>804</v>
      </c>
      <c r="C19" s="11" t="s">
        <v>805</v>
      </c>
      <c r="D19" s="11" t="s">
        <v>806</v>
      </c>
      <c r="E19" s="12">
        <v>2005</v>
      </c>
      <c r="F19" s="12" t="s">
        <v>807</v>
      </c>
      <c r="G19" s="12" t="s">
        <v>711</v>
      </c>
      <c r="H19" s="12">
        <v>1</v>
      </c>
      <c r="I19" s="13"/>
      <c r="J19" s="14"/>
      <c r="K19" s="11" t="s">
        <v>808</v>
      </c>
    </row>
    <row r="20" spans="1:11" ht="34.5" customHeight="1" x14ac:dyDescent="0.3">
      <c r="A20" s="11">
        <v>19</v>
      </c>
      <c r="B20" s="11" t="s">
        <v>809</v>
      </c>
      <c r="C20" s="11" t="s">
        <v>810</v>
      </c>
      <c r="D20" s="11" t="s">
        <v>806</v>
      </c>
      <c r="E20" s="12">
        <v>1965</v>
      </c>
      <c r="F20" s="12" t="s">
        <v>811</v>
      </c>
      <c r="G20" s="12" t="s">
        <v>812</v>
      </c>
      <c r="H20" s="12">
        <v>1</v>
      </c>
      <c r="I20" s="13"/>
      <c r="J20" s="14"/>
      <c r="K20" s="11" t="s">
        <v>813</v>
      </c>
    </row>
    <row r="21" spans="1:11" ht="15" customHeight="1" x14ac:dyDescent="0.3">
      <c r="A21" s="11">
        <v>20</v>
      </c>
      <c r="B21" s="11" t="s">
        <v>814</v>
      </c>
      <c r="C21" s="11" t="s">
        <v>815</v>
      </c>
      <c r="D21" s="11" t="s">
        <v>772</v>
      </c>
      <c r="E21" s="12">
        <v>1965</v>
      </c>
      <c r="F21" s="12" t="s">
        <v>816</v>
      </c>
      <c r="G21" s="12" t="s">
        <v>727</v>
      </c>
      <c r="H21" s="12">
        <v>1</v>
      </c>
      <c r="I21" s="13"/>
      <c r="J21" s="14"/>
      <c r="K21" s="11" t="s">
        <v>817</v>
      </c>
    </row>
    <row r="22" spans="1:11" ht="15" customHeight="1" x14ac:dyDescent="0.3">
      <c r="A22" s="11">
        <v>21</v>
      </c>
      <c r="B22" s="11" t="s">
        <v>818</v>
      </c>
      <c r="C22" s="11" t="s">
        <v>819</v>
      </c>
      <c r="D22" s="11" t="s">
        <v>715</v>
      </c>
      <c r="E22" s="12">
        <v>2008</v>
      </c>
      <c r="F22" s="12" t="s">
        <v>820</v>
      </c>
      <c r="G22" s="12" t="s">
        <v>711</v>
      </c>
      <c r="H22" s="12">
        <v>1</v>
      </c>
      <c r="I22" s="13"/>
      <c r="J22" s="14"/>
      <c r="K22" s="11" t="s">
        <v>821</v>
      </c>
    </row>
    <row r="23" spans="1:11" ht="23.25" customHeight="1" x14ac:dyDescent="0.3">
      <c r="A23" s="11">
        <v>22</v>
      </c>
      <c r="B23" s="11" t="s">
        <v>822</v>
      </c>
      <c r="C23" s="11" t="s">
        <v>823</v>
      </c>
      <c r="D23" s="11" t="s">
        <v>806</v>
      </c>
      <c r="E23" s="12">
        <v>1974</v>
      </c>
      <c r="F23" s="12" t="s">
        <v>824</v>
      </c>
      <c r="G23" s="12" t="s">
        <v>825</v>
      </c>
      <c r="H23" s="12">
        <v>1</v>
      </c>
      <c r="I23" s="18" t="s">
        <v>826</v>
      </c>
      <c r="J23" s="14" t="s">
        <v>827</v>
      </c>
      <c r="K23" s="11" t="s">
        <v>828</v>
      </c>
    </row>
    <row r="24" spans="1:11" ht="15" customHeight="1" x14ac:dyDescent="0.3">
      <c r="A24" s="11">
        <v>23</v>
      </c>
      <c r="B24" s="11" t="s">
        <v>829</v>
      </c>
      <c r="C24" s="11" t="s">
        <v>830</v>
      </c>
      <c r="D24" s="11" t="s">
        <v>752</v>
      </c>
      <c r="E24" s="12">
        <v>1985</v>
      </c>
      <c r="F24" s="12" t="s">
        <v>831</v>
      </c>
      <c r="G24" s="12" t="s">
        <v>832</v>
      </c>
      <c r="H24" s="12">
        <v>0</v>
      </c>
      <c r="I24" s="13"/>
      <c r="J24" s="14"/>
      <c r="K24" s="11" t="s">
        <v>833</v>
      </c>
    </row>
    <row r="25" spans="1:11" ht="34.5" customHeight="1" x14ac:dyDescent="0.3">
      <c r="A25" s="11">
        <v>24</v>
      </c>
      <c r="B25" s="11" t="s">
        <v>834</v>
      </c>
      <c r="C25" s="11" t="s">
        <v>835</v>
      </c>
      <c r="D25" s="11" t="s">
        <v>772</v>
      </c>
      <c r="E25" s="12">
        <v>1947</v>
      </c>
      <c r="F25" s="12" t="s">
        <v>836</v>
      </c>
      <c r="G25" s="12" t="s">
        <v>837</v>
      </c>
      <c r="H25" s="12">
        <v>0</v>
      </c>
      <c r="I25" s="13"/>
      <c r="J25" s="14"/>
      <c r="K25" s="11" t="s">
        <v>838</v>
      </c>
    </row>
    <row r="26" spans="1:11" ht="15" customHeight="1" x14ac:dyDescent="0.3">
      <c r="A26" s="11">
        <v>25</v>
      </c>
      <c r="B26" s="11" t="s">
        <v>839</v>
      </c>
      <c r="C26" s="11" t="s">
        <v>840</v>
      </c>
      <c r="D26" s="11" t="s">
        <v>715</v>
      </c>
      <c r="E26" s="12">
        <v>1990</v>
      </c>
      <c r="F26" s="12" t="s">
        <v>841</v>
      </c>
      <c r="G26" s="12" t="s">
        <v>722</v>
      </c>
      <c r="H26" s="12">
        <v>1</v>
      </c>
      <c r="I26" s="13"/>
      <c r="J26" s="14"/>
      <c r="K26" s="11" t="s">
        <v>842</v>
      </c>
    </row>
    <row r="27" spans="1:11" ht="84.75" customHeight="1" x14ac:dyDescent="0.3">
      <c r="A27" s="16">
        <v>26</v>
      </c>
      <c r="B27" s="16" t="s">
        <v>843</v>
      </c>
      <c r="C27" s="16" t="s">
        <v>844</v>
      </c>
      <c r="D27" s="16" t="s">
        <v>709</v>
      </c>
      <c r="E27" s="16"/>
      <c r="F27" s="16" t="s">
        <v>845</v>
      </c>
      <c r="G27" s="16" t="s">
        <v>846</v>
      </c>
      <c r="H27" s="16"/>
      <c r="I27" s="16" t="s">
        <v>847</v>
      </c>
      <c r="J27" s="16" t="s">
        <v>848</v>
      </c>
      <c r="K27" s="16" t="s">
        <v>849</v>
      </c>
    </row>
    <row r="28" spans="1:11" ht="42.75" customHeight="1" x14ac:dyDescent="0.3">
      <c r="A28" s="16">
        <v>27</v>
      </c>
      <c r="B28" s="16" t="s">
        <v>850</v>
      </c>
      <c r="C28" s="16" t="s">
        <v>851</v>
      </c>
      <c r="D28" s="16" t="s">
        <v>772</v>
      </c>
      <c r="E28" s="16"/>
      <c r="F28" s="16" t="s">
        <v>852</v>
      </c>
      <c r="G28" s="16" t="s">
        <v>782</v>
      </c>
      <c r="H28" s="16"/>
      <c r="I28" s="16" t="s">
        <v>783</v>
      </c>
      <c r="J28" s="16" t="s">
        <v>853</v>
      </c>
      <c r="K28" s="16" t="s">
        <v>854</v>
      </c>
    </row>
    <row r="29" spans="1:11" ht="15" customHeight="1" x14ac:dyDescent="0.3">
      <c r="A29" s="11">
        <v>28</v>
      </c>
      <c r="B29" s="11" t="s">
        <v>855</v>
      </c>
      <c r="C29" s="11" t="s">
        <v>856</v>
      </c>
      <c r="D29" s="11" t="s">
        <v>709</v>
      </c>
      <c r="E29" s="12">
        <v>1991</v>
      </c>
      <c r="F29" s="12" t="s">
        <v>824</v>
      </c>
      <c r="G29" s="12" t="s">
        <v>727</v>
      </c>
      <c r="H29" s="12">
        <v>1</v>
      </c>
      <c r="I29" s="13"/>
      <c r="J29" s="14"/>
      <c r="K29" s="11" t="s">
        <v>857</v>
      </c>
    </row>
    <row r="30" spans="1:11" ht="15" customHeight="1" x14ac:dyDescent="0.3">
      <c r="A30" s="11">
        <v>29</v>
      </c>
      <c r="B30" s="11" t="s">
        <v>858</v>
      </c>
      <c r="C30" s="11" t="s">
        <v>859</v>
      </c>
      <c r="D30" s="11" t="s">
        <v>766</v>
      </c>
      <c r="E30" s="12">
        <v>1960</v>
      </c>
      <c r="F30" s="18" t="s">
        <v>860</v>
      </c>
      <c r="G30" s="12" t="s">
        <v>861</v>
      </c>
      <c r="H30" s="12">
        <v>0</v>
      </c>
      <c r="I30" s="13"/>
      <c r="J30" s="14"/>
      <c r="K30" s="11" t="s">
        <v>862</v>
      </c>
    </row>
    <row r="31" spans="1:11" ht="15" customHeight="1" x14ac:dyDescent="0.3">
      <c r="A31" s="11">
        <v>30</v>
      </c>
      <c r="B31" s="11" t="s">
        <v>863</v>
      </c>
      <c r="C31" s="11" t="s">
        <v>864</v>
      </c>
      <c r="D31" s="11" t="s">
        <v>709</v>
      </c>
      <c r="E31" s="12">
        <v>1991</v>
      </c>
      <c r="F31" s="19" t="s">
        <v>865</v>
      </c>
      <c r="G31" s="12" t="s">
        <v>866</v>
      </c>
      <c r="H31" s="12">
        <v>1</v>
      </c>
      <c r="I31" s="13"/>
      <c r="J31" s="14"/>
      <c r="K31" s="11" t="s">
        <v>867</v>
      </c>
    </row>
    <row r="32" spans="1:11" ht="15" customHeight="1" x14ac:dyDescent="0.3">
      <c r="A32" s="11">
        <v>31</v>
      </c>
      <c r="B32" s="11" t="s">
        <v>868</v>
      </c>
      <c r="C32" s="11" t="s">
        <v>869</v>
      </c>
      <c r="D32" s="11" t="s">
        <v>870</v>
      </c>
      <c r="E32" s="18">
        <v>1991</v>
      </c>
      <c r="F32" s="18" t="s">
        <v>871</v>
      </c>
      <c r="G32" s="18" t="s">
        <v>872</v>
      </c>
      <c r="H32" s="18">
        <v>1</v>
      </c>
      <c r="I32" s="13"/>
      <c r="J32" s="14"/>
      <c r="K32" s="11" t="s">
        <v>873</v>
      </c>
    </row>
    <row r="33" spans="1:11" ht="15" customHeight="1" x14ac:dyDescent="0.3">
      <c r="A33" s="11">
        <v>32</v>
      </c>
      <c r="B33" s="11" t="s">
        <v>874</v>
      </c>
      <c r="C33" s="11" t="s">
        <v>875</v>
      </c>
      <c r="D33" s="11" t="s">
        <v>772</v>
      </c>
      <c r="E33" s="18">
        <v>1982</v>
      </c>
      <c r="F33" s="18"/>
      <c r="G33" s="18" t="s">
        <v>876</v>
      </c>
      <c r="H33" s="18">
        <v>0</v>
      </c>
      <c r="I33" s="13"/>
      <c r="J33" s="14"/>
      <c r="K33" s="11" t="s">
        <v>877</v>
      </c>
    </row>
    <row r="34" spans="1:11" ht="15" customHeight="1" x14ac:dyDescent="0.3">
      <c r="A34" s="11">
        <v>33</v>
      </c>
      <c r="B34" s="11" t="s">
        <v>878</v>
      </c>
      <c r="C34" s="11" t="s">
        <v>879</v>
      </c>
      <c r="D34" s="11" t="s">
        <v>752</v>
      </c>
      <c r="E34" s="18">
        <v>2005</v>
      </c>
      <c r="F34" s="18" t="s">
        <v>880</v>
      </c>
      <c r="G34" s="18" t="s">
        <v>832</v>
      </c>
      <c r="H34" s="18">
        <v>0</v>
      </c>
      <c r="I34" s="13"/>
      <c r="J34" s="14"/>
      <c r="K34" s="11" t="s">
        <v>881</v>
      </c>
    </row>
    <row r="35" spans="1:11" ht="21.75" customHeight="1" x14ac:dyDescent="0.3">
      <c r="A35" s="11">
        <v>34</v>
      </c>
      <c r="B35" s="11" t="s">
        <v>882</v>
      </c>
      <c r="C35" s="11" t="s">
        <v>883</v>
      </c>
      <c r="D35" s="11" t="s">
        <v>715</v>
      </c>
      <c r="E35" s="18">
        <v>1988</v>
      </c>
      <c r="F35" s="18" t="s">
        <v>884</v>
      </c>
      <c r="G35" s="18" t="s">
        <v>885</v>
      </c>
      <c r="H35" s="18">
        <v>0</v>
      </c>
      <c r="I35" s="15" t="s">
        <v>733</v>
      </c>
      <c r="J35" s="14" t="s">
        <v>886</v>
      </c>
      <c r="K35" s="11" t="s">
        <v>887</v>
      </c>
    </row>
    <row r="36" spans="1:11" ht="15" customHeight="1" x14ac:dyDescent="0.3">
      <c r="A36" s="11">
        <v>35</v>
      </c>
      <c r="B36" s="11" t="s">
        <v>888</v>
      </c>
      <c r="C36" s="11" t="s">
        <v>889</v>
      </c>
      <c r="D36" s="11" t="s">
        <v>772</v>
      </c>
      <c r="E36" s="18">
        <v>1992</v>
      </c>
      <c r="F36" s="18" t="s">
        <v>890</v>
      </c>
      <c r="G36" s="18" t="s">
        <v>727</v>
      </c>
      <c r="H36" s="18">
        <v>1</v>
      </c>
      <c r="I36" s="13"/>
      <c r="J36" s="14"/>
      <c r="K36" s="11" t="s">
        <v>891</v>
      </c>
    </row>
    <row r="37" spans="1:11" ht="15" customHeight="1" x14ac:dyDescent="0.3">
      <c r="A37" s="11">
        <v>36</v>
      </c>
      <c r="B37" s="11" t="s">
        <v>892</v>
      </c>
      <c r="C37" s="11" t="s">
        <v>893</v>
      </c>
      <c r="D37" s="11" t="s">
        <v>806</v>
      </c>
      <c r="E37" s="18">
        <v>2006</v>
      </c>
      <c r="F37" s="18" t="s">
        <v>894</v>
      </c>
      <c r="G37" s="18" t="s">
        <v>711</v>
      </c>
      <c r="H37" s="18">
        <v>1</v>
      </c>
      <c r="I37" s="13"/>
      <c r="J37" s="14"/>
      <c r="K37" s="11" t="s">
        <v>895</v>
      </c>
    </row>
    <row r="38" spans="1:11" ht="21.75" customHeight="1" x14ac:dyDescent="0.3">
      <c r="A38" s="16">
        <v>37</v>
      </c>
      <c r="B38" s="16" t="s">
        <v>896</v>
      </c>
      <c r="C38" s="16" t="s">
        <v>897</v>
      </c>
      <c r="D38" s="16" t="s">
        <v>898</v>
      </c>
      <c r="E38" s="16"/>
      <c r="F38" s="16"/>
      <c r="G38" s="16"/>
      <c r="H38" s="16">
        <v>0</v>
      </c>
      <c r="I38" s="16" t="s">
        <v>733</v>
      </c>
      <c r="J38" s="16" t="s">
        <v>899</v>
      </c>
      <c r="K38" s="16" t="s">
        <v>900</v>
      </c>
    </row>
    <row r="39" spans="1:11" ht="15" customHeight="1" x14ac:dyDescent="0.3">
      <c r="A39" s="11">
        <v>38</v>
      </c>
      <c r="B39" s="11" t="s">
        <v>901</v>
      </c>
      <c r="C39" s="11" t="s">
        <v>902</v>
      </c>
      <c r="D39" s="11" t="s">
        <v>903</v>
      </c>
      <c r="E39" s="18">
        <v>1980</v>
      </c>
      <c r="F39" s="18" t="s">
        <v>904</v>
      </c>
      <c r="G39" s="18" t="s">
        <v>905</v>
      </c>
      <c r="H39" s="18">
        <v>0</v>
      </c>
      <c r="I39" s="13"/>
      <c r="J39" s="14"/>
      <c r="K39" s="11" t="s">
        <v>906</v>
      </c>
    </row>
    <row r="40" spans="1:11" ht="15" customHeight="1" x14ac:dyDescent="0.3">
      <c r="A40" s="11">
        <v>39</v>
      </c>
      <c r="B40" s="11" t="s">
        <v>907</v>
      </c>
      <c r="C40" s="11" t="s">
        <v>908</v>
      </c>
      <c r="D40" s="11" t="s">
        <v>806</v>
      </c>
      <c r="E40" s="18">
        <v>1960</v>
      </c>
      <c r="F40" s="18" t="s">
        <v>909</v>
      </c>
      <c r="G40" s="18" t="s">
        <v>910</v>
      </c>
      <c r="H40" s="18">
        <v>0</v>
      </c>
      <c r="I40" s="13"/>
      <c r="J40" s="14"/>
      <c r="K40" s="11" t="s">
        <v>911</v>
      </c>
    </row>
    <row r="41" spans="1:11" ht="21.75" customHeight="1" x14ac:dyDescent="0.3">
      <c r="A41" s="11">
        <v>40</v>
      </c>
      <c r="B41" s="11" t="s">
        <v>912</v>
      </c>
      <c r="C41" s="11" t="s">
        <v>913</v>
      </c>
      <c r="D41" s="11" t="s">
        <v>766</v>
      </c>
      <c r="E41" s="18">
        <v>1989</v>
      </c>
      <c r="F41" s="18" t="s">
        <v>914</v>
      </c>
      <c r="G41" s="18" t="s">
        <v>711</v>
      </c>
      <c r="H41" s="18">
        <v>1</v>
      </c>
      <c r="I41" s="15" t="s">
        <v>733</v>
      </c>
      <c r="J41" s="14" t="s">
        <v>886</v>
      </c>
      <c r="K41" s="11" t="s">
        <v>915</v>
      </c>
    </row>
    <row r="42" spans="1:11" ht="15" customHeight="1" x14ac:dyDescent="0.3">
      <c r="A42" s="11">
        <v>41</v>
      </c>
      <c r="B42" s="11" t="s">
        <v>916</v>
      </c>
      <c r="C42" s="11" t="s">
        <v>917</v>
      </c>
      <c r="D42" s="11" t="s">
        <v>709</v>
      </c>
      <c r="E42" s="18">
        <v>1985</v>
      </c>
      <c r="F42" s="18" t="s">
        <v>918</v>
      </c>
      <c r="G42" s="18" t="s">
        <v>919</v>
      </c>
      <c r="H42" s="18">
        <v>1</v>
      </c>
      <c r="I42" s="13"/>
      <c r="J42" s="14"/>
      <c r="K42" s="11" t="s">
        <v>920</v>
      </c>
    </row>
    <row r="43" spans="1:11" ht="15" customHeight="1" x14ac:dyDescent="0.3">
      <c r="A43" s="11">
        <v>42</v>
      </c>
      <c r="B43" s="11" t="s">
        <v>921</v>
      </c>
      <c r="C43" s="11" t="s">
        <v>922</v>
      </c>
      <c r="D43" s="11" t="s">
        <v>752</v>
      </c>
      <c r="E43" s="18">
        <v>2003</v>
      </c>
      <c r="F43" s="18" t="s">
        <v>923</v>
      </c>
      <c r="G43" s="18" t="s">
        <v>722</v>
      </c>
      <c r="H43" s="18">
        <v>1</v>
      </c>
      <c r="I43" s="13"/>
      <c r="J43" s="14"/>
      <c r="K43" s="11" t="s">
        <v>924</v>
      </c>
    </row>
    <row r="44" spans="1:11" ht="15" customHeight="1" x14ac:dyDescent="0.3">
      <c r="A44" s="11">
        <v>43</v>
      </c>
      <c r="B44" s="11" t="s">
        <v>925</v>
      </c>
      <c r="C44" s="11" t="s">
        <v>926</v>
      </c>
      <c r="D44" s="11" t="s">
        <v>715</v>
      </c>
      <c r="E44" s="18">
        <v>1981</v>
      </c>
      <c r="F44" s="18" t="s">
        <v>927</v>
      </c>
      <c r="G44" s="18" t="s">
        <v>928</v>
      </c>
      <c r="H44" s="18">
        <v>0</v>
      </c>
      <c r="I44" s="13"/>
      <c r="J44" s="14"/>
      <c r="K44" s="11" t="s">
        <v>929</v>
      </c>
    </row>
    <row r="45" spans="1:11" ht="15" customHeight="1" x14ac:dyDescent="0.3">
      <c r="A45" s="11">
        <v>44</v>
      </c>
      <c r="B45" s="11" t="s">
        <v>930</v>
      </c>
      <c r="C45" s="11" t="s">
        <v>931</v>
      </c>
      <c r="D45" s="11" t="s">
        <v>709</v>
      </c>
      <c r="E45" s="18">
        <v>2013</v>
      </c>
      <c r="F45" s="18" t="s">
        <v>932</v>
      </c>
      <c r="G45" s="18" t="s">
        <v>933</v>
      </c>
      <c r="H45" s="18">
        <v>1</v>
      </c>
      <c r="I45" s="13"/>
      <c r="J45" s="14"/>
      <c r="K45" s="11" t="s">
        <v>934</v>
      </c>
    </row>
    <row r="46" spans="1:11" ht="15" customHeight="1" x14ac:dyDescent="0.3">
      <c r="A46" s="11">
        <v>45</v>
      </c>
      <c r="B46" s="11" t="s">
        <v>935</v>
      </c>
      <c r="C46" s="11" t="s">
        <v>936</v>
      </c>
      <c r="D46" s="11" t="s">
        <v>709</v>
      </c>
      <c r="E46" s="18">
        <v>1987</v>
      </c>
      <c r="F46" s="18" t="s">
        <v>937</v>
      </c>
      <c r="G46" s="18" t="s">
        <v>732</v>
      </c>
      <c r="H46" s="18">
        <v>1</v>
      </c>
      <c r="I46" s="13"/>
      <c r="J46" s="14"/>
      <c r="K46" s="11" t="s">
        <v>938</v>
      </c>
    </row>
    <row r="47" spans="1:11" ht="15" customHeight="1" x14ac:dyDescent="0.3">
      <c r="A47" s="11">
        <v>46</v>
      </c>
      <c r="B47" s="11" t="s">
        <v>939</v>
      </c>
      <c r="C47" s="11" t="s">
        <v>940</v>
      </c>
      <c r="D47" s="11" t="s">
        <v>898</v>
      </c>
      <c r="E47" s="18">
        <v>1995</v>
      </c>
      <c r="F47" s="18" t="s">
        <v>941</v>
      </c>
      <c r="G47" s="18" t="s">
        <v>933</v>
      </c>
      <c r="H47" s="18">
        <v>1</v>
      </c>
      <c r="I47" s="13"/>
      <c r="J47" s="14"/>
      <c r="K47" s="11" t="s">
        <v>942</v>
      </c>
    </row>
    <row r="48" spans="1:11" ht="15" customHeight="1" x14ac:dyDescent="0.3">
      <c r="A48" s="11">
        <v>47</v>
      </c>
      <c r="B48" s="11" t="s">
        <v>943</v>
      </c>
      <c r="C48" s="11" t="s">
        <v>944</v>
      </c>
      <c r="D48" s="11" t="s">
        <v>709</v>
      </c>
      <c r="E48" s="18">
        <v>2010</v>
      </c>
      <c r="F48" s="18" t="s">
        <v>945</v>
      </c>
      <c r="G48" s="18" t="s">
        <v>727</v>
      </c>
      <c r="H48" s="18">
        <v>1</v>
      </c>
      <c r="I48" s="13"/>
      <c r="J48" s="14"/>
      <c r="K48" s="11" t="s">
        <v>946</v>
      </c>
    </row>
    <row r="49" spans="1:11" ht="27.75" customHeight="1" x14ac:dyDescent="0.3">
      <c r="A49" s="11">
        <v>48</v>
      </c>
      <c r="B49" s="11" t="s">
        <v>947</v>
      </c>
      <c r="C49" s="11" t="s">
        <v>948</v>
      </c>
      <c r="D49" s="11" t="s">
        <v>709</v>
      </c>
      <c r="E49" s="18">
        <v>1981</v>
      </c>
      <c r="F49" s="18" t="s">
        <v>949</v>
      </c>
      <c r="G49" s="18" t="s">
        <v>950</v>
      </c>
      <c r="H49" s="18">
        <v>0</v>
      </c>
      <c r="I49" s="13"/>
      <c r="J49" s="14"/>
      <c r="K49" s="11" t="s">
        <v>951</v>
      </c>
    </row>
    <row r="50" spans="1:11" ht="15" customHeight="1" x14ac:dyDescent="0.3">
      <c r="A50" s="11">
        <v>49</v>
      </c>
      <c r="B50" s="11" t="s">
        <v>952</v>
      </c>
      <c r="C50" s="11" t="s">
        <v>953</v>
      </c>
      <c r="D50" s="11" t="s">
        <v>903</v>
      </c>
      <c r="E50" s="18">
        <v>1991</v>
      </c>
      <c r="F50" s="18" t="s">
        <v>954</v>
      </c>
      <c r="G50" s="18" t="s">
        <v>885</v>
      </c>
      <c r="H50" s="18">
        <v>0</v>
      </c>
      <c r="I50" s="17" t="s">
        <v>775</v>
      </c>
      <c r="J50" s="14" t="s">
        <v>955</v>
      </c>
      <c r="K50" s="11" t="s">
        <v>956</v>
      </c>
    </row>
    <row r="51" spans="1:11" ht="15" customHeight="1" x14ac:dyDescent="0.3">
      <c r="A51" s="11">
        <v>50</v>
      </c>
      <c r="B51" s="11" t="s">
        <v>957</v>
      </c>
      <c r="C51" s="11" t="s">
        <v>958</v>
      </c>
      <c r="D51" s="11" t="s">
        <v>959</v>
      </c>
      <c r="E51" s="18">
        <v>2006</v>
      </c>
      <c r="F51" s="18" t="s">
        <v>960</v>
      </c>
      <c r="G51" s="18" t="s">
        <v>832</v>
      </c>
      <c r="H51" s="18">
        <v>0</v>
      </c>
      <c r="I51" s="13"/>
      <c r="J51" s="14"/>
      <c r="K51" s="11" t="s">
        <v>961</v>
      </c>
    </row>
    <row r="52" spans="1:11" ht="21.75" customHeight="1" x14ac:dyDescent="0.3">
      <c r="A52" s="16">
        <v>51</v>
      </c>
      <c r="B52" s="16" t="s">
        <v>962</v>
      </c>
      <c r="C52" s="16" t="s">
        <v>963</v>
      </c>
      <c r="D52" s="16" t="s">
        <v>806</v>
      </c>
      <c r="E52" s="16">
        <v>1962</v>
      </c>
      <c r="F52" s="16" t="s">
        <v>964</v>
      </c>
      <c r="G52" s="16" t="s">
        <v>965</v>
      </c>
      <c r="H52" s="16">
        <v>0</v>
      </c>
      <c r="I52" s="16" t="s">
        <v>761</v>
      </c>
      <c r="J52" s="16" t="s">
        <v>966</v>
      </c>
      <c r="K52" s="16" t="s">
        <v>967</v>
      </c>
    </row>
    <row r="53" spans="1:11" ht="15" customHeight="1" x14ac:dyDescent="0.3">
      <c r="A53" s="11">
        <v>52</v>
      </c>
      <c r="B53" s="11" t="s">
        <v>968</v>
      </c>
      <c r="C53" s="11" t="s">
        <v>969</v>
      </c>
      <c r="D53" s="11" t="s">
        <v>709</v>
      </c>
      <c r="E53" s="18">
        <v>2020</v>
      </c>
      <c r="F53" s="18" t="s">
        <v>970</v>
      </c>
      <c r="G53" s="18" t="s">
        <v>722</v>
      </c>
      <c r="H53" s="18">
        <v>1</v>
      </c>
      <c r="I53" s="13"/>
      <c r="J53" s="14"/>
      <c r="K53" s="11" t="s">
        <v>971</v>
      </c>
    </row>
    <row r="54" spans="1:11" ht="15" customHeight="1" x14ac:dyDescent="0.3">
      <c r="A54" s="11">
        <v>53</v>
      </c>
      <c r="B54" s="11" t="s">
        <v>972</v>
      </c>
      <c r="C54" s="11" t="s">
        <v>973</v>
      </c>
      <c r="D54" s="11" t="s">
        <v>709</v>
      </c>
      <c r="E54" s="18">
        <v>1958</v>
      </c>
      <c r="F54" s="18" t="s">
        <v>974</v>
      </c>
      <c r="G54" s="18" t="s">
        <v>975</v>
      </c>
      <c r="H54" s="18">
        <v>0</v>
      </c>
      <c r="I54" s="13"/>
      <c r="J54" s="14"/>
      <c r="K54" s="11" t="s">
        <v>976</v>
      </c>
    </row>
    <row r="55" spans="1:11" ht="15" customHeight="1" x14ac:dyDescent="0.3">
      <c r="A55" s="11">
        <v>54</v>
      </c>
      <c r="B55" s="11" t="s">
        <v>977</v>
      </c>
      <c r="C55" s="11" t="s">
        <v>978</v>
      </c>
      <c r="D55" s="11" t="s">
        <v>806</v>
      </c>
      <c r="E55" s="18">
        <v>1950</v>
      </c>
      <c r="F55" s="18" t="s">
        <v>979</v>
      </c>
      <c r="G55" s="18" t="s">
        <v>711</v>
      </c>
      <c r="H55" s="18">
        <v>1</v>
      </c>
      <c r="I55" s="13"/>
      <c r="J55" s="14"/>
      <c r="K55" s="11" t="s">
        <v>980</v>
      </c>
    </row>
    <row r="56" spans="1:11" ht="15" customHeight="1" x14ac:dyDescent="0.3">
      <c r="A56" s="11">
        <v>55</v>
      </c>
      <c r="B56" s="11" t="s">
        <v>981</v>
      </c>
      <c r="C56" s="11" t="s">
        <v>982</v>
      </c>
      <c r="D56" s="11" t="s">
        <v>772</v>
      </c>
      <c r="E56" s="18">
        <v>1959</v>
      </c>
      <c r="F56" s="18" t="s">
        <v>983</v>
      </c>
      <c r="G56" s="18" t="s">
        <v>722</v>
      </c>
      <c r="H56" s="18">
        <v>1</v>
      </c>
      <c r="I56" s="13"/>
      <c r="J56" s="14"/>
      <c r="K56" s="11" t="s">
        <v>984</v>
      </c>
    </row>
    <row r="57" spans="1:11" ht="27.75" customHeight="1" x14ac:dyDescent="0.3">
      <c r="A57" s="11">
        <v>56</v>
      </c>
      <c r="B57" s="11" t="s">
        <v>985</v>
      </c>
      <c r="C57" s="11" t="s">
        <v>986</v>
      </c>
      <c r="D57" s="11" t="s">
        <v>780</v>
      </c>
      <c r="E57" s="18">
        <v>2012</v>
      </c>
      <c r="F57" s="18" t="s">
        <v>987</v>
      </c>
      <c r="G57" s="18" t="s">
        <v>988</v>
      </c>
      <c r="H57" s="18">
        <v>0</v>
      </c>
      <c r="I57" s="13"/>
      <c r="J57" s="14"/>
      <c r="K57" s="11" t="s">
        <v>989</v>
      </c>
    </row>
    <row r="58" spans="1:11" ht="15" customHeight="1" x14ac:dyDescent="0.3">
      <c r="A58" s="11">
        <v>57</v>
      </c>
      <c r="B58" s="11" t="s">
        <v>990</v>
      </c>
      <c r="C58" s="11" t="s">
        <v>991</v>
      </c>
      <c r="D58" s="11" t="s">
        <v>806</v>
      </c>
      <c r="E58" s="18">
        <v>1983</v>
      </c>
      <c r="F58" s="18" t="s">
        <v>992</v>
      </c>
      <c r="G58" s="18" t="s">
        <v>993</v>
      </c>
      <c r="H58" s="18">
        <v>1</v>
      </c>
      <c r="I58" s="13"/>
      <c r="J58" s="14"/>
      <c r="K58" s="11" t="s">
        <v>994</v>
      </c>
    </row>
    <row r="59" spans="1:11" ht="15" customHeight="1" x14ac:dyDescent="0.3">
      <c r="A59" s="11">
        <v>58</v>
      </c>
      <c r="B59" s="11" t="s">
        <v>995</v>
      </c>
      <c r="C59" s="11" t="s">
        <v>996</v>
      </c>
      <c r="D59" s="11" t="s">
        <v>715</v>
      </c>
      <c r="E59" s="18">
        <v>1972</v>
      </c>
      <c r="F59" s="18" t="s">
        <v>997</v>
      </c>
      <c r="G59" s="18" t="s">
        <v>998</v>
      </c>
      <c r="H59" s="18">
        <v>0</v>
      </c>
      <c r="I59" s="13"/>
      <c r="J59" s="14"/>
      <c r="K59" s="11" t="s">
        <v>999</v>
      </c>
    </row>
    <row r="60" spans="1:11" ht="27.75" customHeight="1" x14ac:dyDescent="0.3">
      <c r="A60" s="11">
        <v>59</v>
      </c>
      <c r="B60" s="11" t="s">
        <v>1000</v>
      </c>
      <c r="C60" s="11" t="s">
        <v>1001</v>
      </c>
      <c r="D60" s="11" t="s">
        <v>758</v>
      </c>
      <c r="E60" s="18">
        <v>1959</v>
      </c>
      <c r="F60" s="18" t="s">
        <v>1002</v>
      </c>
      <c r="G60" s="18" t="s">
        <v>722</v>
      </c>
      <c r="H60" s="18">
        <v>1</v>
      </c>
      <c r="I60" s="13"/>
      <c r="J60" s="14"/>
      <c r="K60" s="11" t="s">
        <v>1003</v>
      </c>
    </row>
    <row r="61" spans="1:11" ht="21.75" customHeight="1" x14ac:dyDescent="0.3">
      <c r="A61" s="11">
        <v>60</v>
      </c>
      <c r="B61" s="11" t="s">
        <v>1004</v>
      </c>
      <c r="C61" s="11" t="s">
        <v>1005</v>
      </c>
      <c r="D61" s="11" t="s">
        <v>709</v>
      </c>
      <c r="E61" s="18">
        <v>2002</v>
      </c>
      <c r="F61" s="18" t="s">
        <v>1006</v>
      </c>
      <c r="G61" s="18" t="s">
        <v>832</v>
      </c>
      <c r="H61" s="18">
        <v>0</v>
      </c>
      <c r="I61" s="18" t="s">
        <v>826</v>
      </c>
      <c r="J61" s="14" t="s">
        <v>1007</v>
      </c>
      <c r="K61" s="11" t="s">
        <v>1008</v>
      </c>
    </row>
    <row r="62" spans="1:11" ht="15" customHeight="1" x14ac:dyDescent="0.3">
      <c r="A62" s="11">
        <v>61</v>
      </c>
      <c r="B62" s="11" t="s">
        <v>1009</v>
      </c>
      <c r="C62" s="11" t="s">
        <v>1010</v>
      </c>
      <c r="D62" s="11" t="s">
        <v>806</v>
      </c>
      <c r="E62" s="18">
        <v>1971</v>
      </c>
      <c r="F62" s="18" t="s">
        <v>1011</v>
      </c>
      <c r="G62" s="18" t="s">
        <v>1012</v>
      </c>
      <c r="H62" s="18">
        <v>1</v>
      </c>
      <c r="I62" s="13"/>
      <c r="J62" s="14"/>
      <c r="K62" s="11" t="s">
        <v>1013</v>
      </c>
    </row>
    <row r="63" spans="1:11" ht="21.75" customHeight="1" x14ac:dyDescent="0.3">
      <c r="A63" s="11">
        <v>62</v>
      </c>
      <c r="B63" s="11" t="s">
        <v>1014</v>
      </c>
      <c r="C63" s="11" t="s">
        <v>1015</v>
      </c>
      <c r="D63" s="11" t="s">
        <v>709</v>
      </c>
      <c r="E63" s="18">
        <v>1969</v>
      </c>
      <c r="F63" s="18" t="s">
        <v>1016</v>
      </c>
      <c r="G63" s="18" t="s">
        <v>1017</v>
      </c>
      <c r="H63" s="18">
        <v>0</v>
      </c>
      <c r="I63" s="17" t="s">
        <v>775</v>
      </c>
      <c r="J63" s="14" t="s">
        <v>1018</v>
      </c>
      <c r="K63" s="11" t="s">
        <v>1019</v>
      </c>
    </row>
    <row r="64" spans="1:11" ht="15" customHeight="1" x14ac:dyDescent="0.3">
      <c r="A64" s="11">
        <v>63</v>
      </c>
      <c r="B64" s="11" t="s">
        <v>1020</v>
      </c>
      <c r="C64" s="11" t="s">
        <v>1021</v>
      </c>
      <c r="D64" s="11" t="s">
        <v>709</v>
      </c>
      <c r="E64" s="18">
        <v>2003</v>
      </c>
      <c r="F64" s="18" t="s">
        <v>1022</v>
      </c>
      <c r="G64" s="18" t="s">
        <v>732</v>
      </c>
      <c r="H64" s="18">
        <v>1</v>
      </c>
      <c r="I64" s="13"/>
      <c r="J64" s="14"/>
      <c r="K64" s="11" t="s">
        <v>1023</v>
      </c>
    </row>
    <row r="65" spans="1:11" ht="15" customHeight="1" x14ac:dyDescent="0.3">
      <c r="A65" s="11">
        <v>64</v>
      </c>
      <c r="B65" s="11" t="s">
        <v>1024</v>
      </c>
      <c r="C65" s="11" t="s">
        <v>1025</v>
      </c>
      <c r="D65" s="11" t="s">
        <v>766</v>
      </c>
      <c r="E65" s="18">
        <v>1994</v>
      </c>
      <c r="F65" s="18" t="s">
        <v>1026</v>
      </c>
      <c r="G65" s="18" t="s">
        <v>743</v>
      </c>
      <c r="H65" s="18">
        <v>0</v>
      </c>
      <c r="I65" s="13"/>
      <c r="J65" s="14"/>
      <c r="K65" s="11" t="s">
        <v>1027</v>
      </c>
    </row>
    <row r="66" spans="1:11" ht="27.75" customHeight="1" x14ac:dyDescent="0.3">
      <c r="A66" s="11">
        <v>65</v>
      </c>
      <c r="B66" s="11" t="s">
        <v>1028</v>
      </c>
      <c r="C66" s="11" t="s">
        <v>1029</v>
      </c>
      <c r="D66" s="11" t="s">
        <v>780</v>
      </c>
      <c r="E66" s="18">
        <v>1970</v>
      </c>
      <c r="F66" s="18" t="s">
        <v>1030</v>
      </c>
      <c r="G66" s="18" t="s">
        <v>1012</v>
      </c>
      <c r="H66" s="18">
        <v>1</v>
      </c>
      <c r="I66" s="13"/>
      <c r="J66" s="14"/>
      <c r="K66" s="11" t="s">
        <v>1031</v>
      </c>
    </row>
    <row r="67" spans="1:11" ht="15" customHeight="1" x14ac:dyDescent="0.3">
      <c r="A67" s="11">
        <v>66</v>
      </c>
      <c r="B67" s="11" t="s">
        <v>1032</v>
      </c>
      <c r="C67" s="11" t="s">
        <v>1033</v>
      </c>
      <c r="D67" s="11" t="s">
        <v>870</v>
      </c>
      <c r="E67" s="18">
        <v>1961</v>
      </c>
      <c r="F67" s="18" t="s">
        <v>1034</v>
      </c>
      <c r="G67" s="18" t="s">
        <v>885</v>
      </c>
      <c r="H67" s="18">
        <v>0</v>
      </c>
      <c r="I67" s="13"/>
      <c r="J67" s="14"/>
      <c r="K67" s="11" t="s">
        <v>1035</v>
      </c>
    </row>
    <row r="68" spans="1:11" ht="15" customHeight="1" x14ac:dyDescent="0.3">
      <c r="A68" s="11">
        <v>67</v>
      </c>
      <c r="B68" s="11" t="s">
        <v>1036</v>
      </c>
      <c r="C68" s="11" t="s">
        <v>1037</v>
      </c>
      <c r="D68" s="11" t="s">
        <v>715</v>
      </c>
      <c r="E68" s="18">
        <v>1972</v>
      </c>
      <c r="F68" s="18" t="s">
        <v>1038</v>
      </c>
      <c r="G68" s="18" t="s">
        <v>1039</v>
      </c>
      <c r="H68" s="18">
        <v>0</v>
      </c>
      <c r="I68" s="13"/>
      <c r="J68" s="14"/>
      <c r="K68" s="11" t="s">
        <v>1040</v>
      </c>
    </row>
    <row r="69" spans="1:11" ht="15" customHeight="1" x14ac:dyDescent="0.3">
      <c r="A69" s="11">
        <v>68</v>
      </c>
      <c r="B69" s="11" t="s">
        <v>1041</v>
      </c>
      <c r="C69" s="11" t="s">
        <v>1042</v>
      </c>
      <c r="D69" s="11" t="s">
        <v>709</v>
      </c>
      <c r="E69" s="18">
        <v>1979</v>
      </c>
      <c r="F69" s="18" t="s">
        <v>1043</v>
      </c>
      <c r="G69" s="18" t="s">
        <v>975</v>
      </c>
      <c r="H69" s="18">
        <v>0</v>
      </c>
      <c r="I69" s="13"/>
      <c r="J69" s="14"/>
      <c r="K69" s="11" t="s">
        <v>1044</v>
      </c>
    </row>
    <row r="70" spans="1:11" ht="15" customHeight="1" x14ac:dyDescent="0.3">
      <c r="A70" s="11">
        <v>69</v>
      </c>
      <c r="B70" s="11" t="s">
        <v>1045</v>
      </c>
      <c r="C70" s="11" t="s">
        <v>1046</v>
      </c>
      <c r="D70" s="11" t="s">
        <v>715</v>
      </c>
      <c r="E70" s="18">
        <v>1961</v>
      </c>
      <c r="F70" s="18" t="s">
        <v>1047</v>
      </c>
      <c r="G70" s="18" t="s">
        <v>832</v>
      </c>
      <c r="H70" s="18">
        <v>0</v>
      </c>
      <c r="I70" s="13"/>
      <c r="J70" s="14"/>
      <c r="K70" s="11" t="s">
        <v>1048</v>
      </c>
    </row>
    <row r="71" spans="1:11" ht="15" customHeight="1" x14ac:dyDescent="0.3">
      <c r="A71" s="11">
        <v>70</v>
      </c>
      <c r="B71" s="11" t="s">
        <v>1049</v>
      </c>
      <c r="C71" s="11" t="s">
        <v>1050</v>
      </c>
      <c r="D71" s="11" t="s">
        <v>752</v>
      </c>
      <c r="E71" s="18">
        <v>2021</v>
      </c>
      <c r="F71" s="18" t="s">
        <v>1051</v>
      </c>
      <c r="G71" s="18" t="s">
        <v>1052</v>
      </c>
      <c r="H71" s="18">
        <v>0</v>
      </c>
      <c r="I71" s="13"/>
      <c r="J71" s="14"/>
      <c r="K71" s="11" t="s">
        <v>1053</v>
      </c>
    </row>
    <row r="72" spans="1:11" ht="15" customHeight="1" x14ac:dyDescent="0.3">
      <c r="A72" s="11">
        <v>71</v>
      </c>
      <c r="B72" s="11" t="s">
        <v>1054</v>
      </c>
      <c r="C72" s="11" t="s">
        <v>1055</v>
      </c>
      <c r="D72" s="11" t="s">
        <v>709</v>
      </c>
      <c r="E72" s="18">
        <v>1991</v>
      </c>
      <c r="F72" s="18" t="s">
        <v>1056</v>
      </c>
      <c r="G72" s="18" t="s">
        <v>1057</v>
      </c>
      <c r="H72" s="18">
        <v>1</v>
      </c>
      <c r="I72" s="13"/>
      <c r="J72" s="14"/>
      <c r="K72" s="11" t="s">
        <v>1058</v>
      </c>
    </row>
    <row r="73" spans="1:11" ht="15" customHeight="1" x14ac:dyDescent="0.3">
      <c r="A73" s="11">
        <v>72</v>
      </c>
      <c r="B73" s="11" t="s">
        <v>1059</v>
      </c>
      <c r="C73" s="11" t="s">
        <v>1060</v>
      </c>
      <c r="D73" s="11" t="s">
        <v>903</v>
      </c>
      <c r="E73" s="18">
        <v>1963</v>
      </c>
      <c r="F73" s="18" t="s">
        <v>1061</v>
      </c>
      <c r="G73" s="18" t="s">
        <v>1062</v>
      </c>
      <c r="H73" s="18">
        <v>1</v>
      </c>
      <c r="I73" s="13"/>
      <c r="J73" s="14"/>
      <c r="K73" s="11" t="s">
        <v>1063</v>
      </c>
    </row>
    <row r="74" spans="1:11" ht="15" customHeight="1" x14ac:dyDescent="0.3">
      <c r="A74" s="11">
        <v>73</v>
      </c>
      <c r="B74" s="11" t="s">
        <v>1064</v>
      </c>
      <c r="C74" s="11" t="s">
        <v>1065</v>
      </c>
      <c r="D74" s="11" t="s">
        <v>709</v>
      </c>
      <c r="E74" s="18">
        <v>1993</v>
      </c>
      <c r="F74" s="18" t="s">
        <v>1006</v>
      </c>
      <c r="G74" s="18" t="s">
        <v>832</v>
      </c>
      <c r="H74" s="18">
        <v>0</v>
      </c>
      <c r="I74" s="13"/>
      <c r="J74" s="14"/>
      <c r="K74" s="11" t="s">
        <v>1066</v>
      </c>
    </row>
    <row r="75" spans="1:11" ht="15" customHeight="1" x14ac:dyDescent="0.3">
      <c r="A75" s="11">
        <v>74</v>
      </c>
      <c r="B75" s="11" t="s">
        <v>1067</v>
      </c>
      <c r="C75" s="11" t="s">
        <v>1068</v>
      </c>
      <c r="D75" s="11" t="s">
        <v>709</v>
      </c>
      <c r="E75" s="18">
        <v>1989</v>
      </c>
      <c r="F75" s="18" t="s">
        <v>1069</v>
      </c>
      <c r="G75" s="18" t="s">
        <v>727</v>
      </c>
      <c r="H75" s="18">
        <v>1</v>
      </c>
      <c r="I75" s="13"/>
      <c r="J75" s="14"/>
      <c r="K75" s="11" t="s">
        <v>1070</v>
      </c>
    </row>
    <row r="76" spans="1:11" ht="15" customHeight="1" x14ac:dyDescent="0.3">
      <c r="A76" s="11">
        <v>75</v>
      </c>
      <c r="B76" s="11" t="s">
        <v>1071</v>
      </c>
      <c r="C76" s="11" t="s">
        <v>1072</v>
      </c>
      <c r="D76" s="11" t="s">
        <v>898</v>
      </c>
      <c r="E76" s="18">
        <v>1944</v>
      </c>
      <c r="F76" s="18" t="s">
        <v>1073</v>
      </c>
      <c r="G76" s="18" t="s">
        <v>832</v>
      </c>
      <c r="H76" s="18">
        <v>0</v>
      </c>
      <c r="I76" s="13"/>
      <c r="J76" s="14"/>
      <c r="K76" s="11" t="s">
        <v>1074</v>
      </c>
    </row>
    <row r="77" spans="1:11" ht="15" customHeight="1" x14ac:dyDescent="0.3">
      <c r="A77" s="11">
        <v>76</v>
      </c>
      <c r="B77" s="11" t="s">
        <v>1075</v>
      </c>
      <c r="C77" s="11" t="s">
        <v>1076</v>
      </c>
      <c r="D77" s="11" t="s">
        <v>709</v>
      </c>
      <c r="E77" s="18">
        <v>1995</v>
      </c>
      <c r="F77" s="18" t="s">
        <v>1077</v>
      </c>
      <c r="G77" s="18" t="s">
        <v>727</v>
      </c>
      <c r="H77" s="18">
        <v>1</v>
      </c>
      <c r="I77" s="13"/>
      <c r="J77" s="14"/>
      <c r="K77" s="11" t="s">
        <v>1078</v>
      </c>
    </row>
    <row r="78" spans="1:11" ht="15" customHeight="1" x14ac:dyDescent="0.3">
      <c r="A78" s="11">
        <v>77</v>
      </c>
      <c r="B78" s="11" t="s">
        <v>1079</v>
      </c>
      <c r="C78" s="11" t="s">
        <v>1080</v>
      </c>
      <c r="D78" s="11" t="s">
        <v>806</v>
      </c>
      <c r="E78" s="18">
        <v>2004</v>
      </c>
      <c r="F78" s="18" t="s">
        <v>1081</v>
      </c>
      <c r="G78" s="18" t="s">
        <v>1082</v>
      </c>
      <c r="H78" s="18">
        <v>0</v>
      </c>
      <c r="I78" s="13"/>
      <c r="J78" s="14"/>
      <c r="K78" s="11" t="s">
        <v>1083</v>
      </c>
    </row>
    <row r="79" spans="1:11" ht="15" customHeight="1" x14ac:dyDescent="0.3">
      <c r="A79" s="11">
        <v>78</v>
      </c>
      <c r="B79" s="11" t="s">
        <v>1084</v>
      </c>
      <c r="C79" s="11" t="s">
        <v>1085</v>
      </c>
      <c r="D79" s="11" t="s">
        <v>898</v>
      </c>
      <c r="E79" s="18">
        <v>2005</v>
      </c>
      <c r="F79" s="18" t="s">
        <v>1086</v>
      </c>
      <c r="G79" s="18" t="s">
        <v>1087</v>
      </c>
      <c r="H79" s="18">
        <v>0</v>
      </c>
      <c r="I79" s="13"/>
      <c r="J79" s="14"/>
      <c r="K79" s="11" t="s">
        <v>1088</v>
      </c>
    </row>
    <row r="80" spans="1:11" ht="15" customHeight="1" x14ac:dyDescent="0.3">
      <c r="A80" s="11">
        <v>79</v>
      </c>
      <c r="B80" s="11" t="s">
        <v>1089</v>
      </c>
      <c r="C80" s="11" t="s">
        <v>1090</v>
      </c>
      <c r="D80" s="11" t="s">
        <v>772</v>
      </c>
      <c r="E80" s="18">
        <v>1960</v>
      </c>
      <c r="F80" s="18" t="s">
        <v>1002</v>
      </c>
      <c r="G80" s="18" t="s">
        <v>975</v>
      </c>
      <c r="H80" s="18">
        <v>0</v>
      </c>
      <c r="I80" s="13"/>
      <c r="J80" s="14"/>
      <c r="K80" s="11" t="s">
        <v>1091</v>
      </c>
    </row>
    <row r="81" spans="1:11" ht="27.75" customHeight="1" x14ac:dyDescent="0.3">
      <c r="A81" s="16">
        <v>80</v>
      </c>
      <c r="B81" s="16" t="s">
        <v>1092</v>
      </c>
      <c r="C81" s="16" t="s">
        <v>1093</v>
      </c>
      <c r="D81" s="16" t="s">
        <v>780</v>
      </c>
      <c r="E81" s="16">
        <v>2024</v>
      </c>
      <c r="F81" s="16" t="s">
        <v>1094</v>
      </c>
      <c r="G81" s="16" t="s">
        <v>1082</v>
      </c>
      <c r="H81" s="16">
        <v>0</v>
      </c>
      <c r="I81" s="16"/>
      <c r="J81" s="16"/>
      <c r="K81" s="16" t="s">
        <v>1095</v>
      </c>
    </row>
    <row r="82" spans="1:11" ht="15" customHeight="1" x14ac:dyDescent="0.3">
      <c r="A82" s="11">
        <v>81</v>
      </c>
      <c r="B82" s="11" t="s">
        <v>1096</v>
      </c>
      <c r="C82" s="11" t="s">
        <v>1097</v>
      </c>
      <c r="D82" s="11" t="s">
        <v>898</v>
      </c>
      <c r="E82" s="18">
        <v>1955</v>
      </c>
      <c r="F82" s="18" t="s">
        <v>1061</v>
      </c>
      <c r="G82" s="18" t="s">
        <v>975</v>
      </c>
      <c r="H82" s="18">
        <v>0</v>
      </c>
      <c r="I82" s="13"/>
      <c r="J82" s="14"/>
      <c r="K82" s="11" t="s">
        <v>1098</v>
      </c>
    </row>
    <row r="83" spans="1:11" ht="15" customHeight="1" x14ac:dyDescent="0.3">
      <c r="A83" s="11">
        <v>82</v>
      </c>
      <c r="B83" s="11" t="s">
        <v>1099</v>
      </c>
      <c r="C83" s="11" t="s">
        <v>1100</v>
      </c>
      <c r="D83" s="11" t="s">
        <v>752</v>
      </c>
      <c r="E83" s="18">
        <v>2000</v>
      </c>
      <c r="F83" s="18" t="s">
        <v>1101</v>
      </c>
      <c r="G83" s="18" t="s">
        <v>722</v>
      </c>
      <c r="H83" s="18">
        <v>1</v>
      </c>
      <c r="I83" s="13"/>
      <c r="J83" s="14"/>
      <c r="K83" s="11" t="s">
        <v>1102</v>
      </c>
    </row>
    <row r="84" spans="1:11" ht="15" customHeight="1" x14ac:dyDescent="0.3">
      <c r="A84" s="16">
        <v>83</v>
      </c>
      <c r="B84" s="16" t="s">
        <v>1103</v>
      </c>
      <c r="C84" s="16" t="s">
        <v>1104</v>
      </c>
      <c r="D84" s="16" t="s">
        <v>806</v>
      </c>
      <c r="E84" s="16">
        <v>1999</v>
      </c>
      <c r="F84" s="16" t="s">
        <v>1105</v>
      </c>
      <c r="G84" s="16" t="s">
        <v>885</v>
      </c>
      <c r="H84" s="16">
        <v>0</v>
      </c>
      <c r="I84" s="16" t="s">
        <v>847</v>
      </c>
      <c r="J84" s="16" t="s">
        <v>1106</v>
      </c>
      <c r="K84" s="16" t="s">
        <v>1107</v>
      </c>
    </row>
    <row r="85" spans="1:11" ht="15" customHeight="1" x14ac:dyDescent="0.3">
      <c r="A85" s="11">
        <v>84</v>
      </c>
      <c r="B85" s="11" t="s">
        <v>1108</v>
      </c>
      <c r="C85" s="11" t="s">
        <v>1109</v>
      </c>
      <c r="D85" s="11" t="s">
        <v>758</v>
      </c>
      <c r="E85" s="18">
        <v>2002</v>
      </c>
      <c r="F85" s="18" t="s">
        <v>1110</v>
      </c>
      <c r="G85" s="18" t="s">
        <v>1111</v>
      </c>
      <c r="H85" s="18">
        <v>0</v>
      </c>
      <c r="I85" s="13"/>
      <c r="J85" s="14"/>
      <c r="K85" s="11" t="s">
        <v>1112</v>
      </c>
    </row>
    <row r="86" spans="1:11" ht="27.75" customHeight="1" x14ac:dyDescent="0.3">
      <c r="A86" s="11">
        <v>85</v>
      </c>
      <c r="B86" s="11" t="s">
        <v>1113</v>
      </c>
      <c r="C86" s="11" t="s">
        <v>1114</v>
      </c>
      <c r="D86" s="11" t="s">
        <v>715</v>
      </c>
      <c r="E86" s="18">
        <v>1979</v>
      </c>
      <c r="F86" s="18" t="s">
        <v>1115</v>
      </c>
      <c r="G86" s="18" t="s">
        <v>722</v>
      </c>
      <c r="H86" s="18">
        <v>1</v>
      </c>
      <c r="I86" s="13"/>
      <c r="J86" s="14"/>
      <c r="K86" s="11" t="s">
        <v>1116</v>
      </c>
    </row>
    <row r="87" spans="1:11" ht="15" customHeight="1" x14ac:dyDescent="0.3">
      <c r="A87" s="11">
        <v>86</v>
      </c>
      <c r="B87" s="11" t="s">
        <v>1117</v>
      </c>
      <c r="C87" s="11" t="s">
        <v>1118</v>
      </c>
      <c r="D87" s="11" t="s">
        <v>806</v>
      </c>
      <c r="E87" s="18">
        <v>1973</v>
      </c>
      <c r="F87" s="18" t="s">
        <v>1119</v>
      </c>
      <c r="G87" s="18" t="s">
        <v>1012</v>
      </c>
      <c r="H87" s="18">
        <v>1</v>
      </c>
      <c r="I87" s="13"/>
      <c r="J87" s="14"/>
      <c r="K87" s="11" t="s">
        <v>1120</v>
      </c>
    </row>
    <row r="88" spans="1:11" ht="15" customHeight="1" x14ac:dyDescent="0.3">
      <c r="A88" s="11">
        <v>87</v>
      </c>
      <c r="B88" s="11" t="s">
        <v>1121</v>
      </c>
      <c r="C88" s="11" t="s">
        <v>1122</v>
      </c>
      <c r="D88" s="11" t="s">
        <v>806</v>
      </c>
      <c r="E88" s="18">
        <v>1946</v>
      </c>
      <c r="F88" s="18" t="s">
        <v>1123</v>
      </c>
      <c r="G88" s="18" t="s">
        <v>1124</v>
      </c>
      <c r="H88" s="18">
        <v>1</v>
      </c>
      <c r="I88" s="13"/>
      <c r="J88" s="14"/>
      <c r="K88" s="11" t="s">
        <v>1125</v>
      </c>
    </row>
    <row r="89" spans="1:11" ht="15" customHeight="1" x14ac:dyDescent="0.3">
      <c r="A89" s="11">
        <v>88</v>
      </c>
      <c r="B89" s="11" t="s">
        <v>1126</v>
      </c>
      <c r="C89" s="11" t="s">
        <v>1127</v>
      </c>
      <c r="D89" s="11" t="s">
        <v>752</v>
      </c>
      <c r="E89" s="18">
        <v>1949</v>
      </c>
      <c r="F89" s="18" t="s">
        <v>1128</v>
      </c>
      <c r="G89" s="18" t="s">
        <v>1129</v>
      </c>
      <c r="H89" s="18">
        <v>0</v>
      </c>
      <c r="I89" s="13"/>
      <c r="J89" s="14"/>
      <c r="K89" s="11" t="s">
        <v>1130</v>
      </c>
    </row>
    <row r="90" spans="1:11" ht="15" customHeight="1" x14ac:dyDescent="0.3">
      <c r="A90" s="11">
        <v>89</v>
      </c>
      <c r="B90" s="11" t="s">
        <v>1131</v>
      </c>
      <c r="C90" s="11" t="s">
        <v>1132</v>
      </c>
      <c r="D90" s="11" t="s">
        <v>898</v>
      </c>
      <c r="E90" s="18">
        <v>1957</v>
      </c>
      <c r="F90" s="18" t="s">
        <v>1133</v>
      </c>
      <c r="G90" s="18" t="s">
        <v>975</v>
      </c>
      <c r="H90" s="18">
        <v>0</v>
      </c>
      <c r="I90" s="13"/>
      <c r="J90" s="14"/>
      <c r="K90" s="11" t="s">
        <v>1134</v>
      </c>
    </row>
    <row r="91" spans="1:11" ht="15" customHeight="1" x14ac:dyDescent="0.3">
      <c r="A91" s="11">
        <v>90</v>
      </c>
      <c r="B91" s="11" t="s">
        <v>1135</v>
      </c>
      <c r="C91" s="11" t="s">
        <v>1136</v>
      </c>
      <c r="D91" s="11" t="s">
        <v>709</v>
      </c>
      <c r="E91" s="18">
        <v>1948</v>
      </c>
      <c r="F91" s="18" t="s">
        <v>1137</v>
      </c>
      <c r="G91" s="18" t="s">
        <v>727</v>
      </c>
      <c r="H91" s="18">
        <v>1</v>
      </c>
      <c r="I91" s="13"/>
      <c r="J91" s="14"/>
      <c r="K91" s="11" t="s">
        <v>1138</v>
      </c>
    </row>
    <row r="92" spans="1:11" ht="15" customHeight="1" x14ac:dyDescent="0.3">
      <c r="A92" s="11">
        <v>91</v>
      </c>
      <c r="B92" s="11" t="s">
        <v>1139</v>
      </c>
      <c r="C92" s="11" t="s">
        <v>1140</v>
      </c>
      <c r="D92" s="11" t="s">
        <v>806</v>
      </c>
      <c r="E92" s="18">
        <v>1961</v>
      </c>
      <c r="F92" s="18" t="s">
        <v>1141</v>
      </c>
      <c r="G92" s="18" t="s">
        <v>722</v>
      </c>
      <c r="H92" s="18">
        <v>1</v>
      </c>
      <c r="I92" s="13"/>
      <c r="J92" s="14"/>
      <c r="K92" s="11" t="s">
        <v>1142</v>
      </c>
    </row>
    <row r="93" spans="1:11" ht="15" customHeight="1" x14ac:dyDescent="0.3">
      <c r="A93" s="11">
        <v>92</v>
      </c>
      <c r="B93" s="11" t="s">
        <v>1143</v>
      </c>
      <c r="C93" s="11" t="s">
        <v>1144</v>
      </c>
      <c r="D93" s="11" t="s">
        <v>709</v>
      </c>
      <c r="E93" s="18">
        <v>1960</v>
      </c>
      <c r="F93" s="18" t="s">
        <v>1145</v>
      </c>
      <c r="G93" s="18" t="s">
        <v>722</v>
      </c>
      <c r="H93" s="18">
        <v>1</v>
      </c>
      <c r="I93" s="13"/>
      <c r="J93" s="14"/>
      <c r="K93" s="11" t="s">
        <v>1146</v>
      </c>
    </row>
    <row r="94" spans="1:11" ht="27.75" customHeight="1" x14ac:dyDescent="0.3">
      <c r="A94" s="16">
        <v>93</v>
      </c>
      <c r="B94" s="16" t="s">
        <v>1147</v>
      </c>
      <c r="C94" s="16" t="s">
        <v>1148</v>
      </c>
      <c r="D94" s="16" t="s">
        <v>780</v>
      </c>
      <c r="E94" s="16">
        <v>2017</v>
      </c>
      <c r="F94" s="16" t="s">
        <v>1149</v>
      </c>
      <c r="G94" s="16" t="s">
        <v>1150</v>
      </c>
      <c r="H94" s="16">
        <v>1</v>
      </c>
      <c r="I94" s="16"/>
      <c r="J94" s="16"/>
      <c r="K94" s="16" t="s">
        <v>1151</v>
      </c>
    </row>
    <row r="95" spans="1:11" ht="15" customHeight="1" x14ac:dyDescent="0.3">
      <c r="A95" s="11">
        <v>94</v>
      </c>
      <c r="B95" s="11" t="s">
        <v>1152</v>
      </c>
      <c r="C95" s="11" t="s">
        <v>1153</v>
      </c>
      <c r="D95" s="11" t="s">
        <v>806</v>
      </c>
      <c r="E95" s="18">
        <v>1971</v>
      </c>
      <c r="F95" s="18" t="s">
        <v>1061</v>
      </c>
      <c r="G95" s="18" t="s">
        <v>1154</v>
      </c>
      <c r="H95" s="18">
        <v>1</v>
      </c>
      <c r="I95" s="13"/>
      <c r="J95" s="14"/>
      <c r="K95" s="11" t="s">
        <v>1155</v>
      </c>
    </row>
    <row r="96" spans="1:11" ht="15" customHeight="1" x14ac:dyDescent="0.3">
      <c r="A96" s="11">
        <v>95</v>
      </c>
      <c r="B96" s="11" t="s">
        <v>1156</v>
      </c>
      <c r="C96" s="11" t="s">
        <v>1157</v>
      </c>
      <c r="D96" s="11" t="s">
        <v>709</v>
      </c>
      <c r="E96" s="18">
        <v>1993</v>
      </c>
      <c r="F96" s="18" t="s">
        <v>1158</v>
      </c>
      <c r="G96" s="18" t="s">
        <v>1159</v>
      </c>
      <c r="H96" s="18">
        <v>1</v>
      </c>
      <c r="I96" s="13"/>
      <c r="J96" s="14"/>
      <c r="K96" s="11" t="s">
        <v>1160</v>
      </c>
    </row>
    <row r="97" spans="1:11" ht="27.75" customHeight="1" x14ac:dyDescent="0.3">
      <c r="A97" s="16">
        <v>96</v>
      </c>
      <c r="B97" s="16" t="s">
        <v>1161</v>
      </c>
      <c r="C97" s="16" t="s">
        <v>2142</v>
      </c>
      <c r="D97" s="16" t="s">
        <v>780</v>
      </c>
      <c r="E97" s="16">
        <v>2013</v>
      </c>
      <c r="F97" s="16" t="s">
        <v>1162</v>
      </c>
      <c r="G97" s="16" t="s">
        <v>717</v>
      </c>
      <c r="H97" s="16">
        <v>0</v>
      </c>
      <c r="I97" s="16"/>
      <c r="J97" s="16"/>
      <c r="K97" s="16" t="s">
        <v>1163</v>
      </c>
    </row>
    <row r="98" spans="1:11" ht="15" customHeight="1" x14ac:dyDescent="0.3">
      <c r="A98" s="11">
        <v>97</v>
      </c>
      <c r="B98" s="11" t="s">
        <v>1164</v>
      </c>
      <c r="C98" s="11" t="s">
        <v>1165</v>
      </c>
      <c r="D98" s="11" t="s">
        <v>715</v>
      </c>
      <c r="E98" s="18">
        <v>2000</v>
      </c>
      <c r="F98" s="18" t="s">
        <v>1166</v>
      </c>
      <c r="G98" s="18" t="s">
        <v>1167</v>
      </c>
      <c r="H98" s="18">
        <v>0</v>
      </c>
      <c r="I98" s="13"/>
      <c r="J98" s="14"/>
      <c r="K98" s="11" t="s">
        <v>1168</v>
      </c>
    </row>
    <row r="99" spans="1:11" ht="15" customHeight="1" x14ac:dyDescent="0.3">
      <c r="A99" s="11">
        <v>98</v>
      </c>
      <c r="B99" s="11" t="s">
        <v>1169</v>
      </c>
      <c r="C99" s="11" t="s">
        <v>1170</v>
      </c>
      <c r="D99" s="11" t="s">
        <v>766</v>
      </c>
      <c r="E99" s="18">
        <v>1956</v>
      </c>
      <c r="F99" s="18" t="s">
        <v>1171</v>
      </c>
      <c r="G99" s="18" t="s">
        <v>1172</v>
      </c>
      <c r="H99" s="18">
        <v>1</v>
      </c>
      <c r="I99" s="13"/>
      <c r="J99" s="14"/>
      <c r="K99" s="11" t="s">
        <v>1173</v>
      </c>
    </row>
    <row r="100" spans="1:11" ht="15" customHeight="1" x14ac:dyDescent="0.3">
      <c r="A100" s="11">
        <v>99</v>
      </c>
      <c r="B100" s="11" t="s">
        <v>1174</v>
      </c>
      <c r="C100" s="11" t="s">
        <v>1175</v>
      </c>
      <c r="D100" s="11" t="s">
        <v>903</v>
      </c>
      <c r="E100" s="18">
        <v>1979</v>
      </c>
      <c r="F100" s="18" t="s">
        <v>1176</v>
      </c>
      <c r="G100" s="18" t="s">
        <v>722</v>
      </c>
      <c r="H100" s="18">
        <v>1</v>
      </c>
      <c r="I100" s="13"/>
      <c r="J100" s="14"/>
      <c r="K100" s="11" t="s">
        <v>1177</v>
      </c>
    </row>
    <row r="101" spans="1:11" ht="15" customHeight="1" x14ac:dyDescent="0.3">
      <c r="A101" s="11">
        <v>100</v>
      </c>
      <c r="B101" s="11" t="s">
        <v>1178</v>
      </c>
      <c r="C101" s="11" t="s">
        <v>1179</v>
      </c>
      <c r="D101" s="11" t="s">
        <v>752</v>
      </c>
      <c r="E101" s="18">
        <v>1988</v>
      </c>
      <c r="F101" s="18" t="s">
        <v>1180</v>
      </c>
      <c r="G101" s="18" t="s">
        <v>1181</v>
      </c>
      <c r="H101" s="18">
        <v>0</v>
      </c>
      <c r="I101" s="13"/>
      <c r="J101" s="14"/>
      <c r="K101" s="11" t="s">
        <v>1182</v>
      </c>
    </row>
    <row r="102" spans="1:11" ht="15" customHeight="1" x14ac:dyDescent="0.3">
      <c r="A102" s="16">
        <v>101</v>
      </c>
      <c r="B102" s="16" t="s">
        <v>1183</v>
      </c>
      <c r="C102" s="16" t="s">
        <v>1184</v>
      </c>
      <c r="D102" s="16" t="s">
        <v>898</v>
      </c>
      <c r="E102" s="16">
        <v>1967</v>
      </c>
      <c r="F102" s="16" t="s">
        <v>1185</v>
      </c>
      <c r="G102" s="16" t="s">
        <v>1186</v>
      </c>
      <c r="H102" s="16">
        <v>0</v>
      </c>
      <c r="I102" s="16" t="s">
        <v>1187</v>
      </c>
      <c r="J102" s="16" t="s">
        <v>1188</v>
      </c>
      <c r="K102" s="16" t="s">
        <v>1189</v>
      </c>
    </row>
    <row r="103" spans="1:11" ht="15" customHeight="1" x14ac:dyDescent="0.3">
      <c r="A103" s="11">
        <v>102</v>
      </c>
      <c r="B103" s="11" t="s">
        <v>1190</v>
      </c>
      <c r="C103" s="11" t="s">
        <v>1191</v>
      </c>
      <c r="D103" s="11" t="s">
        <v>772</v>
      </c>
      <c r="E103" s="18">
        <v>1982</v>
      </c>
      <c r="F103" s="18" t="s">
        <v>1192</v>
      </c>
      <c r="G103" s="18" t="s">
        <v>1167</v>
      </c>
      <c r="H103" s="18">
        <v>0</v>
      </c>
      <c r="I103" s="17" t="s">
        <v>775</v>
      </c>
      <c r="J103" s="14" t="s">
        <v>955</v>
      </c>
      <c r="K103" s="11" t="s">
        <v>1193</v>
      </c>
    </row>
    <row r="104" spans="1:11" ht="15" customHeight="1" x14ac:dyDescent="0.3">
      <c r="A104" s="11">
        <v>103</v>
      </c>
      <c r="B104" s="11" t="s">
        <v>1194</v>
      </c>
      <c r="C104" s="11" t="s">
        <v>1195</v>
      </c>
      <c r="D104" s="11" t="s">
        <v>903</v>
      </c>
      <c r="E104" s="18">
        <v>1991</v>
      </c>
      <c r="F104" s="18" t="s">
        <v>1196</v>
      </c>
      <c r="G104" s="18" t="s">
        <v>1197</v>
      </c>
      <c r="H104" s="18">
        <v>1</v>
      </c>
      <c r="I104" s="13"/>
      <c r="J104" s="14"/>
      <c r="K104" s="11" t="s">
        <v>1198</v>
      </c>
    </row>
    <row r="105" spans="1:11" ht="21.75" customHeight="1" x14ac:dyDescent="0.3">
      <c r="A105" s="11">
        <v>104</v>
      </c>
      <c r="B105" s="11" t="s">
        <v>1199</v>
      </c>
      <c r="C105" s="11" t="s">
        <v>1200</v>
      </c>
      <c r="D105" s="11" t="s">
        <v>709</v>
      </c>
      <c r="E105" s="18">
        <v>1970</v>
      </c>
      <c r="F105" s="18" t="s">
        <v>748</v>
      </c>
      <c r="G105" s="18" t="s">
        <v>1167</v>
      </c>
      <c r="H105" s="18">
        <v>0</v>
      </c>
      <c r="I105" s="18" t="s">
        <v>826</v>
      </c>
      <c r="J105" s="14" t="s">
        <v>1201</v>
      </c>
      <c r="K105" s="11" t="s">
        <v>1202</v>
      </c>
    </row>
    <row r="106" spans="1:11" ht="15" customHeight="1" x14ac:dyDescent="0.3">
      <c r="A106" s="11">
        <v>105</v>
      </c>
      <c r="B106" s="11" t="s">
        <v>1203</v>
      </c>
      <c r="C106" s="11" t="s">
        <v>1204</v>
      </c>
      <c r="D106" s="11" t="s">
        <v>806</v>
      </c>
      <c r="E106" s="18">
        <v>1948</v>
      </c>
      <c r="F106" s="18" t="s">
        <v>1205</v>
      </c>
      <c r="G106" s="18" t="s">
        <v>1012</v>
      </c>
      <c r="H106" s="18">
        <v>1</v>
      </c>
      <c r="I106" s="13"/>
      <c r="J106" s="14"/>
      <c r="K106" s="11" t="s">
        <v>1206</v>
      </c>
    </row>
    <row r="107" spans="1:11" ht="15" customHeight="1" x14ac:dyDescent="0.3">
      <c r="A107" s="11">
        <v>106</v>
      </c>
      <c r="B107" s="11" t="s">
        <v>1207</v>
      </c>
      <c r="C107" s="11" t="s">
        <v>1208</v>
      </c>
      <c r="D107" s="11" t="s">
        <v>715</v>
      </c>
      <c r="E107" s="18">
        <v>1992</v>
      </c>
      <c r="F107" s="18" t="s">
        <v>1209</v>
      </c>
      <c r="G107" s="18" t="s">
        <v>727</v>
      </c>
      <c r="H107" s="18">
        <v>1</v>
      </c>
      <c r="I107" s="13"/>
      <c r="J107" s="14"/>
      <c r="K107" s="11" t="s">
        <v>1210</v>
      </c>
    </row>
    <row r="108" spans="1:11" ht="21.75" customHeight="1" x14ac:dyDescent="0.3">
      <c r="A108" s="11">
        <v>107</v>
      </c>
      <c r="B108" s="11" t="s">
        <v>1211</v>
      </c>
      <c r="C108" s="11" t="s">
        <v>1212</v>
      </c>
      <c r="D108" s="11" t="s">
        <v>709</v>
      </c>
      <c r="E108" s="18">
        <v>1993</v>
      </c>
      <c r="F108" s="18" t="s">
        <v>1213</v>
      </c>
      <c r="G108" s="18" t="s">
        <v>1167</v>
      </c>
      <c r="H108" s="18">
        <v>0</v>
      </c>
      <c r="I108" s="13"/>
      <c r="J108" s="14" t="s">
        <v>1214</v>
      </c>
      <c r="K108" s="11" t="s">
        <v>1215</v>
      </c>
    </row>
    <row r="109" spans="1:11" ht="27.75" customHeight="1" x14ac:dyDescent="0.3">
      <c r="A109" s="11">
        <v>108</v>
      </c>
      <c r="B109" s="11" t="s">
        <v>1216</v>
      </c>
      <c r="C109" s="11" t="s">
        <v>1217</v>
      </c>
      <c r="D109" s="11" t="s">
        <v>780</v>
      </c>
      <c r="E109" s="18">
        <v>2008</v>
      </c>
      <c r="F109" s="18" t="s">
        <v>1218</v>
      </c>
      <c r="G109" s="18" t="s">
        <v>1219</v>
      </c>
      <c r="H109" s="18">
        <v>0</v>
      </c>
      <c r="I109" s="13"/>
      <c r="J109" s="14"/>
      <c r="K109" s="11" t="s">
        <v>1220</v>
      </c>
    </row>
    <row r="110" spans="1:11" ht="15" customHeight="1" x14ac:dyDescent="0.3">
      <c r="A110" s="11">
        <v>109</v>
      </c>
      <c r="B110" s="11" t="s">
        <v>1221</v>
      </c>
      <c r="C110" s="11" t="s">
        <v>1222</v>
      </c>
      <c r="D110" s="11" t="s">
        <v>709</v>
      </c>
      <c r="E110" s="18">
        <v>1969</v>
      </c>
      <c r="F110" s="18" t="s">
        <v>748</v>
      </c>
      <c r="G110" s="18" t="s">
        <v>1223</v>
      </c>
      <c r="H110" s="18">
        <v>1</v>
      </c>
      <c r="I110" s="13"/>
      <c r="J110" s="14"/>
      <c r="K110" s="11" t="s">
        <v>1224</v>
      </c>
    </row>
    <row r="111" spans="1:11" ht="15" customHeight="1" x14ac:dyDescent="0.3">
      <c r="A111" s="11">
        <v>110</v>
      </c>
      <c r="B111" s="11" t="s">
        <v>1225</v>
      </c>
      <c r="C111" s="11" t="s">
        <v>1226</v>
      </c>
      <c r="D111" s="11" t="s">
        <v>715</v>
      </c>
      <c r="E111" s="18">
        <v>1957</v>
      </c>
      <c r="F111" s="18" t="s">
        <v>1227</v>
      </c>
      <c r="G111" s="18" t="s">
        <v>1228</v>
      </c>
      <c r="H111" s="18">
        <v>0</v>
      </c>
      <c r="I111" s="13"/>
      <c r="J111" s="14"/>
      <c r="K111" s="11" t="s">
        <v>1229</v>
      </c>
    </row>
    <row r="112" spans="1:11" ht="21.75" customHeight="1" x14ac:dyDescent="0.3">
      <c r="A112" s="11">
        <v>111</v>
      </c>
      <c r="B112" s="11" t="s">
        <v>1230</v>
      </c>
      <c r="C112" s="11" t="s">
        <v>1231</v>
      </c>
      <c r="D112" s="11" t="s">
        <v>870</v>
      </c>
      <c r="E112" s="18">
        <v>1969</v>
      </c>
      <c r="F112" s="18" t="s">
        <v>1232</v>
      </c>
      <c r="G112" s="18" t="s">
        <v>1233</v>
      </c>
      <c r="H112" s="18">
        <v>0</v>
      </c>
      <c r="I112" s="15" t="s">
        <v>733</v>
      </c>
      <c r="J112" s="14" t="s">
        <v>886</v>
      </c>
      <c r="K112" s="11" t="s">
        <v>1234</v>
      </c>
    </row>
    <row r="113" spans="1:11" ht="15" customHeight="1" x14ac:dyDescent="0.3">
      <c r="A113" s="11">
        <v>112</v>
      </c>
      <c r="B113" s="11" t="s">
        <v>1235</v>
      </c>
      <c r="C113" s="11" t="s">
        <v>1236</v>
      </c>
      <c r="D113" s="11" t="s">
        <v>766</v>
      </c>
      <c r="E113" s="18">
        <v>1988</v>
      </c>
      <c r="F113" s="18" t="s">
        <v>1237</v>
      </c>
      <c r="G113" s="18" t="s">
        <v>711</v>
      </c>
      <c r="H113" s="18">
        <v>1</v>
      </c>
      <c r="I113" s="13"/>
      <c r="J113" s="14"/>
      <c r="K113" s="11" t="s">
        <v>1238</v>
      </c>
    </row>
    <row r="114" spans="1:11" ht="27.75" customHeight="1" x14ac:dyDescent="0.3">
      <c r="A114" s="16">
        <v>113</v>
      </c>
      <c r="B114" s="16" t="s">
        <v>1239</v>
      </c>
      <c r="C114" s="16" t="s">
        <v>1240</v>
      </c>
      <c r="D114" s="16" t="s">
        <v>780</v>
      </c>
      <c r="E114" s="16">
        <v>2007</v>
      </c>
      <c r="F114" s="16" t="s">
        <v>1241</v>
      </c>
      <c r="G114" s="16" t="s">
        <v>1242</v>
      </c>
      <c r="H114" s="16">
        <v>0</v>
      </c>
      <c r="I114" s="16"/>
      <c r="J114" s="16"/>
      <c r="K114" s="16" t="s">
        <v>1243</v>
      </c>
    </row>
    <row r="115" spans="1:11" ht="15" customHeight="1" x14ac:dyDescent="0.3">
      <c r="A115" s="11">
        <v>114</v>
      </c>
      <c r="B115" s="11" t="s">
        <v>1244</v>
      </c>
      <c r="C115" s="11" t="s">
        <v>1245</v>
      </c>
      <c r="D115" s="11" t="s">
        <v>715</v>
      </c>
      <c r="E115" s="18">
        <v>2009</v>
      </c>
      <c r="F115" s="18" t="s">
        <v>1246</v>
      </c>
      <c r="G115" s="18" t="s">
        <v>1247</v>
      </c>
      <c r="H115" s="18">
        <v>0</v>
      </c>
      <c r="I115" s="13"/>
      <c r="J115" s="14"/>
      <c r="K115" s="11" t="s">
        <v>1248</v>
      </c>
    </row>
    <row r="116" spans="1:11" ht="15" customHeight="1" x14ac:dyDescent="0.3">
      <c r="A116" s="11">
        <v>115</v>
      </c>
      <c r="B116" s="11" t="s">
        <v>1249</v>
      </c>
      <c r="C116" s="11" t="s">
        <v>1250</v>
      </c>
      <c r="D116" s="11" t="s">
        <v>709</v>
      </c>
      <c r="E116" s="18">
        <v>1980</v>
      </c>
      <c r="F116" s="18" t="s">
        <v>1251</v>
      </c>
      <c r="G116" s="18" t="s">
        <v>832</v>
      </c>
      <c r="H116" s="18">
        <v>0</v>
      </c>
      <c r="I116" s="13"/>
      <c r="J116" s="14"/>
      <c r="K116" s="11" t="s">
        <v>1252</v>
      </c>
    </row>
    <row r="117" spans="1:11" ht="15" customHeight="1" x14ac:dyDescent="0.3">
      <c r="A117" s="16">
        <v>116</v>
      </c>
      <c r="B117" s="16" t="s">
        <v>1253</v>
      </c>
      <c r="C117" s="16" t="s">
        <v>1254</v>
      </c>
      <c r="D117" s="16" t="s">
        <v>709</v>
      </c>
      <c r="E117" s="16">
        <v>1991</v>
      </c>
      <c r="F117" s="16" t="s">
        <v>1255</v>
      </c>
      <c r="G117" s="16" t="s">
        <v>1256</v>
      </c>
      <c r="H117" s="16">
        <v>0</v>
      </c>
      <c r="I117" s="16" t="s">
        <v>847</v>
      </c>
      <c r="J117" s="16" t="s">
        <v>1257</v>
      </c>
      <c r="K117" s="16" t="s">
        <v>1258</v>
      </c>
    </row>
    <row r="118" spans="1:11" ht="15" customHeight="1" x14ac:dyDescent="0.3">
      <c r="A118" s="11">
        <v>117</v>
      </c>
      <c r="B118" s="11" t="s">
        <v>1259</v>
      </c>
      <c r="C118" s="11" t="s">
        <v>1260</v>
      </c>
      <c r="D118" s="11" t="s">
        <v>709</v>
      </c>
      <c r="E118" s="18">
        <v>2012</v>
      </c>
      <c r="F118" s="18" t="s">
        <v>1261</v>
      </c>
      <c r="G118" s="18" t="s">
        <v>711</v>
      </c>
      <c r="H118" s="18">
        <v>1</v>
      </c>
      <c r="I118" s="13"/>
      <c r="J118" s="14"/>
      <c r="K118" s="11" t="s">
        <v>1262</v>
      </c>
    </row>
    <row r="119" spans="1:11" ht="15" customHeight="1" x14ac:dyDescent="0.3">
      <c r="A119" s="11">
        <v>118</v>
      </c>
      <c r="B119" s="11" t="s">
        <v>1263</v>
      </c>
      <c r="C119" s="11" t="s">
        <v>1264</v>
      </c>
      <c r="D119" s="11" t="s">
        <v>709</v>
      </c>
      <c r="E119" s="18">
        <v>2021</v>
      </c>
      <c r="F119" s="18" t="s">
        <v>1265</v>
      </c>
      <c r="G119" s="18" t="s">
        <v>732</v>
      </c>
      <c r="H119" s="18">
        <v>1</v>
      </c>
      <c r="I119" s="13"/>
      <c r="J119" s="14"/>
      <c r="K119" s="11" t="s">
        <v>1266</v>
      </c>
    </row>
    <row r="120" spans="1:11" ht="21.75" customHeight="1" x14ac:dyDescent="0.3">
      <c r="A120" s="11">
        <v>119</v>
      </c>
      <c r="B120" s="11" t="s">
        <v>1267</v>
      </c>
      <c r="C120" s="11" t="s">
        <v>1268</v>
      </c>
      <c r="D120" s="11" t="s">
        <v>709</v>
      </c>
      <c r="E120" s="18">
        <v>1984</v>
      </c>
      <c r="F120" s="18"/>
      <c r="G120" s="18" t="s">
        <v>743</v>
      </c>
      <c r="H120" s="18">
        <v>0</v>
      </c>
      <c r="I120" s="18" t="s">
        <v>826</v>
      </c>
      <c r="J120" s="14" t="s">
        <v>1269</v>
      </c>
      <c r="K120" s="11" t="s">
        <v>1270</v>
      </c>
    </row>
    <row r="121" spans="1:11" ht="15" customHeight="1" x14ac:dyDescent="0.3">
      <c r="A121" s="11">
        <v>120</v>
      </c>
      <c r="B121" s="11" t="s">
        <v>1271</v>
      </c>
      <c r="C121" s="11" t="s">
        <v>1272</v>
      </c>
      <c r="D121" s="11" t="s">
        <v>715</v>
      </c>
      <c r="E121" s="18">
        <v>1997</v>
      </c>
      <c r="F121" s="18" t="s">
        <v>1273</v>
      </c>
      <c r="G121" s="18" t="s">
        <v>1274</v>
      </c>
      <c r="H121" s="18">
        <v>0</v>
      </c>
      <c r="I121" s="13"/>
      <c r="J121" s="14"/>
      <c r="K121" s="11" t="s">
        <v>1275</v>
      </c>
    </row>
    <row r="122" spans="1:11" ht="21.75" customHeight="1" x14ac:dyDescent="0.3">
      <c r="A122" s="16">
        <v>121</v>
      </c>
      <c r="B122" s="16" t="s">
        <v>1276</v>
      </c>
      <c r="C122" s="16" t="s">
        <v>1277</v>
      </c>
      <c r="D122" s="16" t="s">
        <v>758</v>
      </c>
      <c r="E122" s="16">
        <v>1948</v>
      </c>
      <c r="F122" s="16" t="s">
        <v>1278</v>
      </c>
      <c r="G122" s="16" t="s">
        <v>861</v>
      </c>
      <c r="H122" s="16">
        <v>0</v>
      </c>
      <c r="I122" s="16" t="s">
        <v>1187</v>
      </c>
      <c r="J122" s="16" t="s">
        <v>1279</v>
      </c>
      <c r="K122" s="16" t="s">
        <v>1280</v>
      </c>
    </row>
    <row r="123" spans="1:11" ht="15" customHeight="1" x14ac:dyDescent="0.3">
      <c r="A123" s="11">
        <v>122</v>
      </c>
      <c r="B123" s="11" t="s">
        <v>1281</v>
      </c>
      <c r="C123" s="11" t="s">
        <v>1282</v>
      </c>
      <c r="D123" s="11" t="s">
        <v>715</v>
      </c>
      <c r="E123" s="18">
        <v>1995</v>
      </c>
      <c r="F123" s="18" t="s">
        <v>1283</v>
      </c>
      <c r="G123" s="18" t="s">
        <v>1284</v>
      </c>
      <c r="H123" s="18">
        <v>0</v>
      </c>
      <c r="I123" s="13"/>
      <c r="J123" s="14"/>
      <c r="K123" s="11" t="s">
        <v>1285</v>
      </c>
    </row>
    <row r="124" spans="1:11" ht="15" customHeight="1" x14ac:dyDescent="0.3">
      <c r="A124" s="11">
        <v>123</v>
      </c>
      <c r="B124" s="11" t="s">
        <v>1286</v>
      </c>
      <c r="C124" s="11" t="s">
        <v>1287</v>
      </c>
      <c r="D124" s="11" t="s">
        <v>766</v>
      </c>
      <c r="E124" s="18">
        <v>1956</v>
      </c>
      <c r="F124" s="18" t="s">
        <v>1288</v>
      </c>
      <c r="G124" s="18" t="s">
        <v>711</v>
      </c>
      <c r="H124" s="18">
        <v>1</v>
      </c>
      <c r="I124" s="13"/>
      <c r="J124" s="14"/>
      <c r="K124" s="11" t="s">
        <v>1289</v>
      </c>
    </row>
    <row r="125" spans="1:11" ht="15" customHeight="1" x14ac:dyDescent="0.3">
      <c r="A125" s="11">
        <v>124</v>
      </c>
      <c r="B125" s="11" t="s">
        <v>1290</v>
      </c>
      <c r="C125" s="11" t="s">
        <v>1291</v>
      </c>
      <c r="D125" s="11" t="s">
        <v>715</v>
      </c>
      <c r="E125" s="18">
        <v>1994</v>
      </c>
      <c r="F125" s="18" t="s">
        <v>1292</v>
      </c>
      <c r="G125" s="18" t="s">
        <v>732</v>
      </c>
      <c r="H125" s="18">
        <v>1</v>
      </c>
      <c r="I125" s="13"/>
      <c r="J125" s="14"/>
      <c r="K125" s="11" t="s">
        <v>1293</v>
      </c>
    </row>
    <row r="126" spans="1:11" ht="15" customHeight="1" x14ac:dyDescent="0.3">
      <c r="A126" s="11">
        <v>125</v>
      </c>
      <c r="B126" s="11" t="s">
        <v>1294</v>
      </c>
      <c r="C126" s="11" t="s">
        <v>1295</v>
      </c>
      <c r="D126" s="11" t="s">
        <v>870</v>
      </c>
      <c r="E126" s="18">
        <v>2004</v>
      </c>
      <c r="F126" s="18" t="s">
        <v>1296</v>
      </c>
      <c r="G126" s="18" t="s">
        <v>732</v>
      </c>
      <c r="H126" s="18">
        <v>1</v>
      </c>
      <c r="I126" s="13"/>
      <c r="J126" s="14"/>
      <c r="K126" s="11" t="s">
        <v>1297</v>
      </c>
    </row>
    <row r="127" spans="1:11" ht="15" customHeight="1" x14ac:dyDescent="0.3">
      <c r="A127" s="11">
        <v>126</v>
      </c>
      <c r="B127" s="11" t="s">
        <v>1298</v>
      </c>
      <c r="C127" s="11" t="s">
        <v>1299</v>
      </c>
      <c r="D127" s="11" t="s">
        <v>715</v>
      </c>
      <c r="E127" s="18">
        <v>1984</v>
      </c>
      <c r="F127" s="18" t="s">
        <v>1300</v>
      </c>
      <c r="G127" s="18" t="s">
        <v>885</v>
      </c>
      <c r="H127" s="18">
        <v>0</v>
      </c>
      <c r="I127" s="13"/>
      <c r="J127" s="14"/>
      <c r="K127" s="11" t="s">
        <v>1301</v>
      </c>
    </row>
    <row r="128" spans="1:11" ht="15" customHeight="1" x14ac:dyDescent="0.3">
      <c r="A128" s="11">
        <v>127</v>
      </c>
      <c r="B128" s="11" t="s">
        <v>1302</v>
      </c>
      <c r="C128" s="11" t="s">
        <v>1303</v>
      </c>
      <c r="D128" s="11" t="s">
        <v>959</v>
      </c>
      <c r="E128" s="18">
        <v>2012</v>
      </c>
      <c r="F128" s="18" t="s">
        <v>1304</v>
      </c>
      <c r="G128" s="18" t="s">
        <v>732</v>
      </c>
      <c r="H128" s="18">
        <v>1</v>
      </c>
      <c r="I128" s="13"/>
      <c r="J128" s="14"/>
      <c r="K128" s="11" t="s">
        <v>1305</v>
      </c>
    </row>
    <row r="129" spans="1:11" ht="15" customHeight="1" x14ac:dyDescent="0.3">
      <c r="A129" s="11">
        <v>128</v>
      </c>
      <c r="B129" s="11" t="s">
        <v>1306</v>
      </c>
      <c r="C129" s="11" t="s">
        <v>1307</v>
      </c>
      <c r="D129" s="11" t="s">
        <v>772</v>
      </c>
      <c r="E129" s="18">
        <v>1980</v>
      </c>
      <c r="F129" s="18" t="s">
        <v>1308</v>
      </c>
      <c r="G129" s="18" t="s">
        <v>1309</v>
      </c>
      <c r="H129" s="18">
        <v>0</v>
      </c>
      <c r="I129" s="13"/>
      <c r="J129" s="14"/>
      <c r="K129" s="11" t="s">
        <v>1310</v>
      </c>
    </row>
    <row r="130" spans="1:11" ht="15" customHeight="1" x14ac:dyDescent="0.3">
      <c r="A130" s="11">
        <v>129</v>
      </c>
      <c r="B130" s="11" t="s">
        <v>1311</v>
      </c>
      <c r="C130" s="11" t="s">
        <v>1312</v>
      </c>
      <c r="D130" s="11" t="s">
        <v>870</v>
      </c>
      <c r="E130" s="18">
        <v>1931</v>
      </c>
      <c r="F130" s="18"/>
      <c r="G130" s="18" t="s">
        <v>727</v>
      </c>
      <c r="H130" s="18">
        <v>1</v>
      </c>
      <c r="I130" s="13"/>
      <c r="J130" s="14"/>
      <c r="K130" s="11" t="s">
        <v>1313</v>
      </c>
    </row>
    <row r="131" spans="1:11" ht="15" customHeight="1" x14ac:dyDescent="0.3">
      <c r="A131" s="11">
        <v>130</v>
      </c>
      <c r="B131" s="11" t="s">
        <v>1314</v>
      </c>
      <c r="C131" s="11" t="s">
        <v>1315</v>
      </c>
      <c r="D131" s="11" t="s">
        <v>709</v>
      </c>
      <c r="E131" s="18">
        <v>1961</v>
      </c>
      <c r="F131" s="18" t="s">
        <v>1316</v>
      </c>
      <c r="G131" s="18" t="s">
        <v>722</v>
      </c>
      <c r="H131" s="18">
        <v>1</v>
      </c>
      <c r="I131" s="13"/>
      <c r="J131" s="14"/>
      <c r="K131" s="11" t="s">
        <v>1317</v>
      </c>
    </row>
    <row r="132" spans="1:11" ht="15" customHeight="1" x14ac:dyDescent="0.3">
      <c r="A132" s="11">
        <v>131</v>
      </c>
      <c r="B132" s="11" t="s">
        <v>1318</v>
      </c>
      <c r="C132" s="11" t="s">
        <v>1319</v>
      </c>
      <c r="D132" s="11" t="s">
        <v>709</v>
      </c>
      <c r="E132" s="18">
        <v>2012</v>
      </c>
      <c r="F132" s="18" t="s">
        <v>1320</v>
      </c>
      <c r="G132" s="18" t="s">
        <v>711</v>
      </c>
      <c r="H132" s="18">
        <v>1</v>
      </c>
      <c r="I132" s="13"/>
      <c r="J132" s="14"/>
      <c r="K132" s="11" t="s">
        <v>1321</v>
      </c>
    </row>
    <row r="133" spans="1:11" ht="27.75" customHeight="1" x14ac:dyDescent="0.3">
      <c r="A133" s="16">
        <v>132</v>
      </c>
      <c r="B133" s="16" t="s">
        <v>1322</v>
      </c>
      <c r="C133" s="16" t="s">
        <v>1323</v>
      </c>
      <c r="D133" s="16" t="s">
        <v>780</v>
      </c>
      <c r="E133" s="16"/>
      <c r="F133" s="16" t="s">
        <v>1324</v>
      </c>
      <c r="G133" s="16" t="s">
        <v>1309</v>
      </c>
      <c r="H133" s="16">
        <v>0</v>
      </c>
      <c r="I133" s="16"/>
      <c r="J133" s="16"/>
      <c r="K133" s="16" t="s">
        <v>1325</v>
      </c>
    </row>
    <row r="134" spans="1:11" ht="15" customHeight="1" x14ac:dyDescent="0.3">
      <c r="A134" s="11">
        <v>133</v>
      </c>
      <c r="B134" s="11" t="s">
        <v>1326</v>
      </c>
      <c r="C134" s="11" t="s">
        <v>1327</v>
      </c>
      <c r="D134" s="11" t="s">
        <v>806</v>
      </c>
      <c r="E134" s="18">
        <v>1923</v>
      </c>
      <c r="F134" s="18" t="s">
        <v>1328</v>
      </c>
      <c r="G134" s="18" t="s">
        <v>717</v>
      </c>
      <c r="H134" s="18">
        <v>0</v>
      </c>
      <c r="I134" s="13"/>
      <c r="J134" s="14"/>
      <c r="K134" s="11" t="s">
        <v>1329</v>
      </c>
    </row>
    <row r="135" spans="1:11" ht="15" customHeight="1" x14ac:dyDescent="0.3">
      <c r="A135" s="16">
        <v>134</v>
      </c>
      <c r="B135" s="16" t="s">
        <v>1330</v>
      </c>
      <c r="C135" s="16" t="s">
        <v>1331</v>
      </c>
      <c r="D135" s="16" t="s">
        <v>806</v>
      </c>
      <c r="E135" s="16">
        <v>1984</v>
      </c>
      <c r="F135" s="16"/>
      <c r="G135" s="16" t="s">
        <v>1332</v>
      </c>
      <c r="H135" s="16">
        <v>0</v>
      </c>
      <c r="I135" s="16" t="s">
        <v>847</v>
      </c>
      <c r="J135" s="16" t="s">
        <v>1333</v>
      </c>
      <c r="K135" s="16" t="s">
        <v>1334</v>
      </c>
    </row>
    <row r="136" spans="1:11" ht="15" customHeight="1" x14ac:dyDescent="0.3">
      <c r="A136" s="11">
        <v>135</v>
      </c>
      <c r="B136" s="11" t="s">
        <v>1335</v>
      </c>
      <c r="C136" s="11" t="s">
        <v>1336</v>
      </c>
      <c r="D136" s="11" t="s">
        <v>709</v>
      </c>
      <c r="E136" s="18">
        <v>1987</v>
      </c>
      <c r="F136" s="18"/>
      <c r="G136" s="18" t="s">
        <v>727</v>
      </c>
      <c r="H136" s="18">
        <v>1</v>
      </c>
      <c r="I136" s="15" t="s">
        <v>733</v>
      </c>
      <c r="J136" s="14" t="s">
        <v>1337</v>
      </c>
      <c r="K136" s="11" t="s">
        <v>1338</v>
      </c>
    </row>
    <row r="137" spans="1:11" ht="21.75" customHeight="1" x14ac:dyDescent="0.3">
      <c r="A137" s="11">
        <v>136</v>
      </c>
      <c r="B137" s="11" t="s">
        <v>1339</v>
      </c>
      <c r="C137" s="11" t="s">
        <v>1340</v>
      </c>
      <c r="D137" s="11" t="s">
        <v>709</v>
      </c>
      <c r="E137" s="18">
        <v>1961</v>
      </c>
      <c r="F137" s="18" t="s">
        <v>1341</v>
      </c>
      <c r="G137" s="18" t="s">
        <v>1342</v>
      </c>
      <c r="H137" s="18">
        <v>0</v>
      </c>
      <c r="I137" s="13"/>
      <c r="J137" s="14" t="s">
        <v>1343</v>
      </c>
      <c r="K137" s="11" t="s">
        <v>1344</v>
      </c>
    </row>
    <row r="138" spans="1:11" ht="27.75" customHeight="1" x14ac:dyDescent="0.3">
      <c r="A138" s="11">
        <v>137</v>
      </c>
      <c r="B138" s="11" t="s">
        <v>1345</v>
      </c>
      <c r="C138" s="11" t="s">
        <v>1346</v>
      </c>
      <c r="D138" s="11" t="s">
        <v>780</v>
      </c>
      <c r="E138" s="18">
        <v>1997</v>
      </c>
      <c r="F138" s="18" t="s">
        <v>1347</v>
      </c>
      <c r="G138" s="18" t="s">
        <v>1309</v>
      </c>
      <c r="H138" s="18">
        <v>0</v>
      </c>
      <c r="I138" s="18" t="s">
        <v>826</v>
      </c>
      <c r="J138" s="14" t="s">
        <v>1348</v>
      </c>
      <c r="K138" s="11" t="s">
        <v>1349</v>
      </c>
    </row>
    <row r="139" spans="1:11" ht="27.75" customHeight="1" x14ac:dyDescent="0.3">
      <c r="A139" s="16">
        <v>138</v>
      </c>
      <c r="B139" s="16" t="s">
        <v>1350</v>
      </c>
      <c r="C139" s="16" t="s">
        <v>1351</v>
      </c>
      <c r="D139" s="16" t="s">
        <v>780</v>
      </c>
      <c r="E139" s="16">
        <v>2013</v>
      </c>
      <c r="F139" s="16" t="s">
        <v>1352</v>
      </c>
      <c r="G139" s="16" t="s">
        <v>717</v>
      </c>
      <c r="H139" s="16">
        <v>0</v>
      </c>
      <c r="I139" s="16"/>
      <c r="J139" s="16"/>
      <c r="K139" s="16" t="s">
        <v>1353</v>
      </c>
    </row>
    <row r="140" spans="1:11" ht="15" customHeight="1" x14ac:dyDescent="0.3">
      <c r="A140" s="11">
        <v>139</v>
      </c>
      <c r="B140" s="11" t="s">
        <v>1354</v>
      </c>
      <c r="C140" s="11" t="s">
        <v>1355</v>
      </c>
      <c r="D140" s="11" t="s">
        <v>715</v>
      </c>
      <c r="E140" s="18">
        <v>1978</v>
      </c>
      <c r="F140" s="18"/>
      <c r="G140" s="18" t="s">
        <v>832</v>
      </c>
      <c r="H140" s="18">
        <v>0</v>
      </c>
      <c r="I140" s="13"/>
      <c r="J140" s="14"/>
      <c r="K140" s="11" t="s">
        <v>1356</v>
      </c>
    </row>
    <row r="141" spans="1:11" ht="15" customHeight="1" x14ac:dyDescent="0.3">
      <c r="A141" s="11">
        <v>140</v>
      </c>
      <c r="B141" s="11" t="s">
        <v>1357</v>
      </c>
      <c r="C141" s="11" t="s">
        <v>1358</v>
      </c>
      <c r="D141" s="11" t="s">
        <v>709</v>
      </c>
      <c r="E141" s="18">
        <v>1973</v>
      </c>
      <c r="F141" s="18" t="s">
        <v>1359</v>
      </c>
      <c r="G141" s="18" t="s">
        <v>722</v>
      </c>
      <c r="H141" s="18">
        <v>1</v>
      </c>
      <c r="I141" s="13"/>
      <c r="J141" s="14"/>
      <c r="K141" s="11" t="s">
        <v>1360</v>
      </c>
    </row>
    <row r="142" spans="1:11" ht="15" customHeight="1" x14ac:dyDescent="0.3">
      <c r="A142" s="11">
        <v>141</v>
      </c>
      <c r="B142" s="11" t="s">
        <v>1361</v>
      </c>
      <c r="C142" s="11" t="s">
        <v>1362</v>
      </c>
      <c r="D142" s="11" t="s">
        <v>1363</v>
      </c>
      <c r="E142" s="18">
        <v>2009</v>
      </c>
      <c r="F142" s="18" t="s">
        <v>1364</v>
      </c>
      <c r="G142" s="18" t="s">
        <v>711</v>
      </c>
      <c r="H142" s="18">
        <v>1</v>
      </c>
      <c r="I142" s="13"/>
      <c r="J142" s="14"/>
      <c r="K142" s="11" t="s">
        <v>1365</v>
      </c>
    </row>
    <row r="143" spans="1:11" ht="15" customHeight="1" x14ac:dyDescent="0.3">
      <c r="A143" s="11">
        <v>142</v>
      </c>
      <c r="B143" s="11" t="s">
        <v>1366</v>
      </c>
      <c r="C143" s="11" t="s">
        <v>1367</v>
      </c>
      <c r="D143" s="11" t="s">
        <v>806</v>
      </c>
      <c r="E143" s="18">
        <v>1962</v>
      </c>
      <c r="F143" s="18" t="s">
        <v>1368</v>
      </c>
      <c r="G143" s="18" t="s">
        <v>711</v>
      </c>
      <c r="H143" s="18">
        <v>1</v>
      </c>
      <c r="I143" s="13"/>
      <c r="J143" s="14"/>
      <c r="K143" s="11" t="s">
        <v>1369</v>
      </c>
    </row>
    <row r="144" spans="1:11" ht="15" customHeight="1" x14ac:dyDescent="0.3">
      <c r="A144" s="11">
        <v>143</v>
      </c>
      <c r="B144" s="11" t="s">
        <v>1370</v>
      </c>
      <c r="C144" s="11" t="s">
        <v>1371</v>
      </c>
      <c r="D144" s="11" t="s">
        <v>709</v>
      </c>
      <c r="E144" s="18">
        <v>1958</v>
      </c>
      <c r="F144" s="18" t="s">
        <v>1372</v>
      </c>
      <c r="G144" s="18" t="s">
        <v>722</v>
      </c>
      <c r="H144" s="18">
        <v>1</v>
      </c>
      <c r="I144" s="13"/>
      <c r="J144" s="14"/>
      <c r="K144" s="11" t="s">
        <v>1373</v>
      </c>
    </row>
    <row r="145" spans="1:11" ht="15" customHeight="1" x14ac:dyDescent="0.3">
      <c r="A145" s="11">
        <v>144</v>
      </c>
      <c r="B145" s="11" t="s">
        <v>1374</v>
      </c>
      <c r="C145" s="11" t="s">
        <v>1375</v>
      </c>
      <c r="D145" s="11" t="s">
        <v>709</v>
      </c>
      <c r="E145" s="18">
        <v>1945</v>
      </c>
      <c r="F145" s="18" t="s">
        <v>1372</v>
      </c>
      <c r="G145" s="18" t="s">
        <v>727</v>
      </c>
      <c r="H145" s="18">
        <v>1</v>
      </c>
      <c r="I145" s="13"/>
      <c r="J145" s="14"/>
      <c r="K145" s="11" t="s">
        <v>1376</v>
      </c>
    </row>
    <row r="146" spans="1:11" ht="15" customHeight="1" x14ac:dyDescent="0.3">
      <c r="A146" s="11">
        <v>145</v>
      </c>
      <c r="B146" s="11" t="s">
        <v>1377</v>
      </c>
      <c r="C146" s="11" t="s">
        <v>1378</v>
      </c>
      <c r="D146" s="11" t="s">
        <v>709</v>
      </c>
      <c r="E146" s="18">
        <v>1990</v>
      </c>
      <c r="F146" s="18" t="s">
        <v>1379</v>
      </c>
      <c r="G146" s="18" t="s">
        <v>1309</v>
      </c>
      <c r="H146" s="18">
        <v>0</v>
      </c>
      <c r="I146" s="13"/>
      <c r="J146" s="14"/>
      <c r="K146" s="11" t="s">
        <v>1380</v>
      </c>
    </row>
    <row r="147" spans="1:11" ht="15" customHeight="1" x14ac:dyDescent="0.3">
      <c r="A147" s="16">
        <v>146</v>
      </c>
      <c r="B147" s="16" t="s">
        <v>1381</v>
      </c>
      <c r="C147" s="16" t="s">
        <v>1382</v>
      </c>
      <c r="D147" s="16" t="s">
        <v>903</v>
      </c>
      <c r="E147" s="16">
        <v>2012</v>
      </c>
      <c r="F147" s="16" t="s">
        <v>1383</v>
      </c>
      <c r="G147" s="16" t="s">
        <v>1384</v>
      </c>
      <c r="H147" s="16">
        <v>0</v>
      </c>
      <c r="I147" s="16"/>
      <c r="J147" s="16"/>
      <c r="K147" s="16" t="s">
        <v>1385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731"/>
  <sheetViews>
    <sheetView zoomScaleNormal="100" workbookViewId="0">
      <pane xSplit="6" ySplit="1" topLeftCell="G130" activePane="bottomRight" state="frozen"/>
      <selection pane="topRight" activeCell="G1" sqref="G1"/>
      <selection pane="bottomLeft" activeCell="A109" sqref="A109"/>
      <selection pane="bottomRight" activeCell="X6" sqref="X6"/>
    </sheetView>
  </sheetViews>
  <sheetFormatPr defaultColWidth="8.6640625" defaultRowHeight="14.4" x14ac:dyDescent="0.3"/>
  <cols>
    <col min="1" max="1" width="6" customWidth="1"/>
    <col min="2" max="2" width="8" customWidth="1"/>
    <col min="3" max="3" width="12" customWidth="1"/>
    <col min="4" max="4" width="32" customWidth="1"/>
    <col min="5" max="5" width="18" customWidth="1"/>
    <col min="6" max="6" width="7" customWidth="1"/>
    <col min="7" max="9" width="11" customWidth="1"/>
    <col min="10" max="10" width="13" customWidth="1"/>
    <col min="11" max="11" width="16" customWidth="1"/>
    <col min="12" max="12" width="14" customWidth="1"/>
    <col min="13" max="13" width="16" customWidth="1"/>
    <col min="14" max="15" width="15" customWidth="1"/>
    <col min="16" max="16" width="14" customWidth="1"/>
    <col min="17" max="17" width="10" customWidth="1"/>
    <col min="18" max="18" width="12" customWidth="1"/>
    <col min="19" max="19" width="10" customWidth="1"/>
    <col min="20" max="20" width="9" customWidth="1"/>
    <col min="21" max="21" width="12" customWidth="1"/>
    <col min="22" max="23" width="9" customWidth="1"/>
    <col min="24" max="24" width="26" customWidth="1"/>
  </cols>
  <sheetData>
    <row r="1" spans="1:24" ht="49.5" customHeight="1" x14ac:dyDescent="0.3">
      <c r="A1" s="4" t="s">
        <v>130</v>
      </c>
      <c r="B1" s="4" t="s">
        <v>131</v>
      </c>
      <c r="C1" s="4" t="s">
        <v>132</v>
      </c>
      <c r="D1" s="4" t="s">
        <v>133</v>
      </c>
      <c r="E1" s="4" t="s">
        <v>134</v>
      </c>
      <c r="F1" s="4" t="s">
        <v>135</v>
      </c>
      <c r="G1" s="4" t="s">
        <v>1386</v>
      </c>
      <c r="H1" s="4" t="s">
        <v>2143</v>
      </c>
      <c r="I1" s="4" t="s">
        <v>137</v>
      </c>
      <c r="J1" s="4" t="s">
        <v>139</v>
      </c>
      <c r="K1" s="4" t="s">
        <v>1388</v>
      </c>
      <c r="L1" s="4" t="s">
        <v>1389</v>
      </c>
      <c r="M1" s="4" t="s">
        <v>1390</v>
      </c>
      <c r="N1" s="4" t="s">
        <v>1391</v>
      </c>
      <c r="O1" s="4" t="s">
        <v>1392</v>
      </c>
      <c r="P1" s="4" t="s">
        <v>1393</v>
      </c>
      <c r="Q1" s="4" t="s">
        <v>1394</v>
      </c>
      <c r="R1" s="4" t="s">
        <v>1395</v>
      </c>
      <c r="S1" s="4" t="s">
        <v>1396</v>
      </c>
      <c r="T1" s="4" t="s">
        <v>1397</v>
      </c>
      <c r="U1" s="4" t="s">
        <v>700</v>
      </c>
      <c r="V1" s="4" t="s">
        <v>1398</v>
      </c>
      <c r="W1" s="4" t="s">
        <v>1401</v>
      </c>
      <c r="X1" s="4" t="s">
        <v>1402</v>
      </c>
    </row>
    <row r="2" spans="1:24" ht="15" customHeight="1" x14ac:dyDescent="0.3">
      <c r="A2" s="11">
        <v>1</v>
      </c>
      <c r="B2" s="11">
        <v>1</v>
      </c>
      <c r="C2" s="11" t="s">
        <v>707</v>
      </c>
      <c r="D2" s="11" t="s">
        <v>708</v>
      </c>
      <c r="E2" s="11" t="s">
        <v>709</v>
      </c>
      <c r="F2" s="11">
        <v>2021</v>
      </c>
      <c r="G2" s="20">
        <f t="shared" ref="G2:G65" si="0">IF(F2&gt;=2023,1,0)</f>
        <v>0</v>
      </c>
      <c r="H2" s="21">
        <v>0</v>
      </c>
      <c r="I2" s="21">
        <f>IFERROR(INDEX('Coding Sheet'!$AC$2:$AC$731,MATCH($B2&amp;"_"&amp;$F2,'Coding Sheet'!$A$2:$A$731,0)),"")</f>
        <v>5</v>
      </c>
      <c r="J2" s="7">
        <f>IFERROR(INDEX('Coding Sheet'!$AT$2:$AT$731,MATCH($B2&amp;"_"&amp;$F2,'Coding Sheet'!$A$2:$A$731,0)),"")</f>
        <v>0</v>
      </c>
      <c r="K2" s="12">
        <v>10153846154</v>
      </c>
      <c r="L2" s="21">
        <v>0.66180000000000005</v>
      </c>
      <c r="M2" s="20">
        <f t="shared" ref="M2:M65" si="1">IF(AND(ISNUMBER(K2),ISNUMBER(L2)),K2*L2/1000,"")</f>
        <v>6719815.3847172</v>
      </c>
      <c r="N2" s="12">
        <v>27528179</v>
      </c>
      <c r="O2" s="12">
        <v>34460435</v>
      </c>
      <c r="P2" s="20">
        <v>622198</v>
      </c>
      <c r="Q2" s="20">
        <f t="shared" ref="Q2:Q65" si="2">IF(AND(ISNUMBER(M2),ISNUMBER(N2),ISNUMBER(O2),O2&lt;&gt;0),(M2+N2)/O2,"")</f>
        <v>0.99383523117793482</v>
      </c>
      <c r="R2" s="20">
        <f t="shared" ref="R2:R65" si="3">IF(AND(ISNUMBER(O2),O2&gt;0),LN(O2),"")</f>
        <v>17.355322412315783</v>
      </c>
      <c r="S2" s="20">
        <f t="shared" ref="S2:S65" si="4">IF(AND(ISNUMBER(N2),ISNUMBER(O2),O2&lt;&gt;0),N2/O2,"")</f>
        <v>0.79883434437203127</v>
      </c>
      <c r="T2" s="20">
        <f t="shared" ref="T2:T65" si="5">IF(AND(ISNUMBER(P2),ISNUMBER(O2),O2&lt;&gt;0),P2/O2,"")</f>
        <v>1.8055430815078221E-2</v>
      </c>
      <c r="U2" s="20">
        <f>IFERROR(IF(ISNUMBER(INDEX('Firm Master'!$E$2:$E$1000,MATCH($C2,'Firm Master'!$B$2:$B$1000,0))),INDEX('Firm Master'!$E$2:$E$1000,MATCH($C2,'Firm Master'!$B$2:$B$1000,0)),""),"")</f>
        <v>1991</v>
      </c>
      <c r="V2" s="21">
        <f t="shared" ref="V2:V65" si="6">IF(ISNUMBER(U2),F2-U2,"")</f>
        <v>30</v>
      </c>
      <c r="W2" s="12">
        <v>1</v>
      </c>
      <c r="X2" s="20" t="str">
        <f>IFERROR(INDEX('Firm Master'!$G$2:$G$1000,MATCH($C2,'Firm Master'!$B$2:$B$1000,0)),"")</f>
        <v>PricewaterhouseCoopers</v>
      </c>
    </row>
    <row r="3" spans="1:24" ht="15" customHeight="1" x14ac:dyDescent="0.3">
      <c r="A3" s="11">
        <v>2</v>
      </c>
      <c r="B3" s="11">
        <v>1</v>
      </c>
      <c r="C3" s="11" t="s">
        <v>707</v>
      </c>
      <c r="D3" s="11" t="s">
        <v>708</v>
      </c>
      <c r="E3" s="11" t="s">
        <v>709</v>
      </c>
      <c r="F3" s="11">
        <v>2022</v>
      </c>
      <c r="G3" s="20">
        <f t="shared" si="0"/>
        <v>0</v>
      </c>
      <c r="H3" s="21">
        <v>0</v>
      </c>
      <c r="I3" s="21">
        <f>IFERROR(INDEX('Coding Sheet'!$AC$2:$AC$731,MATCH($B3&amp;"_"&amp;$F3,'Coding Sheet'!$A$2:$A$731,0)),"")</f>
        <v>0</v>
      </c>
      <c r="J3" s="7">
        <f>IFERROR(INDEX('Coding Sheet'!$AT$2:$AT$731,MATCH($B3&amp;"_"&amp;$F3,'Coding Sheet'!$A$2:$A$731,0)),"")</f>
        <v>0</v>
      </c>
      <c r="K3" s="12">
        <v>10153846154</v>
      </c>
      <c r="L3" s="21">
        <v>1.6998</v>
      </c>
      <c r="M3" s="20">
        <f t="shared" si="1"/>
        <v>17259507.6925692</v>
      </c>
      <c r="N3" s="12">
        <v>32159818</v>
      </c>
      <c r="O3" s="12">
        <v>39858233</v>
      </c>
      <c r="P3" s="20">
        <v>766160</v>
      </c>
      <c r="Q3" s="20">
        <f t="shared" si="2"/>
        <v>1.2398774850999841</v>
      </c>
      <c r="R3" s="20">
        <f t="shared" si="3"/>
        <v>17.50083954161077</v>
      </c>
      <c r="S3" s="20">
        <f t="shared" si="4"/>
        <v>0.80685508562308816</v>
      </c>
      <c r="T3" s="20">
        <f t="shared" si="5"/>
        <v>1.9222126580473349E-2</v>
      </c>
      <c r="U3" s="20">
        <f>IFERROR(IF(ISNUMBER(INDEX('Firm Master'!$E$2:$E$1000,MATCH($C3,'Firm Master'!$B$2:$B$1000,0))),INDEX('Firm Master'!$E$2:$E$1000,MATCH($C3,'Firm Master'!$B$2:$B$1000,0)),""),"")</f>
        <v>1991</v>
      </c>
      <c r="V3" s="21">
        <f t="shared" si="6"/>
        <v>31</v>
      </c>
      <c r="W3" s="12">
        <v>1</v>
      </c>
      <c r="X3" s="20" t="str">
        <f>IFERROR(INDEX('Firm Master'!$G$2:$G$1000,MATCH($C3,'Firm Master'!$B$2:$B$1000,0)),"")</f>
        <v>PricewaterhouseCoopers</v>
      </c>
    </row>
    <row r="4" spans="1:24" ht="15" customHeight="1" x14ac:dyDescent="0.3">
      <c r="A4" s="11">
        <v>3</v>
      </c>
      <c r="B4" s="11">
        <v>1</v>
      </c>
      <c r="C4" s="11" t="s">
        <v>707</v>
      </c>
      <c r="D4" s="11" t="s">
        <v>708</v>
      </c>
      <c r="E4" s="11" t="s">
        <v>709</v>
      </c>
      <c r="F4" s="11">
        <v>2023</v>
      </c>
      <c r="G4" s="20">
        <f t="shared" si="0"/>
        <v>1</v>
      </c>
      <c r="H4" s="21">
        <v>0</v>
      </c>
      <c r="I4" s="21">
        <f>IFERROR(INDEX('Coding Sheet'!$AC$2:$AC$731,MATCH($B4&amp;"_"&amp;$F4,'Coding Sheet'!$A$2:$A$731,0)),"")</f>
        <v>10</v>
      </c>
      <c r="J4" s="7">
        <f>IFERROR(INDEX('Coding Sheet'!$AT$2:$AT$731,MATCH($B4&amp;"_"&amp;$F4,'Coding Sheet'!$A$2:$A$731,0)),"")</f>
        <v>0</v>
      </c>
      <c r="K4" s="12">
        <v>10153846154</v>
      </c>
      <c r="L4" s="21">
        <v>2.2198000000000002</v>
      </c>
      <c r="M4" s="20">
        <f t="shared" si="1"/>
        <v>22539507.692649201</v>
      </c>
      <c r="N4" s="12">
        <v>48972544</v>
      </c>
      <c r="O4" s="12">
        <v>57552242</v>
      </c>
      <c r="P4" s="20">
        <v>871284</v>
      </c>
      <c r="Q4" s="20">
        <f t="shared" si="2"/>
        <v>1.2425589205134562</v>
      </c>
      <c r="R4" s="20">
        <f t="shared" si="3"/>
        <v>17.868203649801668</v>
      </c>
      <c r="S4" s="20">
        <f t="shared" si="4"/>
        <v>0.85092330547261741</v>
      </c>
      <c r="T4" s="20">
        <f t="shared" si="5"/>
        <v>1.5139010570604704E-2</v>
      </c>
      <c r="U4" s="20">
        <f>IFERROR(IF(ISNUMBER(INDEX('Firm Master'!$E$2:$E$1000,MATCH($C4,'Firm Master'!$B$2:$B$1000,0))),INDEX('Firm Master'!$E$2:$E$1000,MATCH($C4,'Firm Master'!$B$2:$B$1000,0)),""),"")</f>
        <v>1991</v>
      </c>
      <c r="V4" s="21">
        <f t="shared" si="6"/>
        <v>32</v>
      </c>
      <c r="W4" s="12">
        <v>1</v>
      </c>
      <c r="X4" s="20" t="str">
        <f>IFERROR(INDEX('Firm Master'!$G$2:$G$1000,MATCH($C4,'Firm Master'!$B$2:$B$1000,0)),"")</f>
        <v>PricewaterhouseCoopers</v>
      </c>
    </row>
    <row r="5" spans="1:24" ht="15" customHeight="1" x14ac:dyDescent="0.3">
      <c r="A5" s="11">
        <v>4</v>
      </c>
      <c r="B5" s="11">
        <v>1</v>
      </c>
      <c r="C5" s="11" t="s">
        <v>707</v>
      </c>
      <c r="D5" s="11" t="s">
        <v>708</v>
      </c>
      <c r="E5" s="11" t="s">
        <v>709</v>
      </c>
      <c r="F5" s="11">
        <v>2024</v>
      </c>
      <c r="G5" s="20">
        <f t="shared" si="0"/>
        <v>1</v>
      </c>
      <c r="H5" s="21">
        <v>0</v>
      </c>
      <c r="I5" s="21">
        <f>IFERROR(INDEX('Coding Sheet'!$AC$2:$AC$731,MATCH($B5&amp;"_"&amp;$F5,'Coding Sheet'!$A$2:$A$731,0)),"")</f>
        <v>10</v>
      </c>
      <c r="J5" s="7">
        <f>IFERROR(INDEX('Coding Sheet'!$AT$2:$AT$731,MATCH($B5&amp;"_"&amp;$F5,'Coding Sheet'!$A$2:$A$731,0)),"")</f>
        <v>0</v>
      </c>
      <c r="K5" s="12">
        <v>10153846154</v>
      </c>
      <c r="L5" s="33">
        <v>3</v>
      </c>
      <c r="M5" s="20">
        <f t="shared" si="1"/>
        <v>30461538.462000001</v>
      </c>
      <c r="N5" s="12">
        <v>75019725</v>
      </c>
      <c r="O5" s="12">
        <v>84251461</v>
      </c>
      <c r="P5" s="20">
        <v>1068195</v>
      </c>
      <c r="Q5" s="20">
        <f t="shared" si="2"/>
        <v>1.2519814162273102</v>
      </c>
      <c r="R5" s="20">
        <f t="shared" si="3"/>
        <v>18.24931646829268</v>
      </c>
      <c r="S5" s="20">
        <f t="shared" si="4"/>
        <v>0.89042639865912832</v>
      </c>
      <c r="T5" s="20">
        <f t="shared" si="5"/>
        <v>1.2678652539924501E-2</v>
      </c>
      <c r="U5" s="20">
        <f>IFERROR(IF(ISNUMBER(INDEX('Firm Master'!$E$2:$E$1000,MATCH($C5,'Firm Master'!$B$2:$B$1000,0))),INDEX('Firm Master'!$E$2:$E$1000,MATCH($C5,'Firm Master'!$B$2:$B$1000,0)),""),"")</f>
        <v>1991</v>
      </c>
      <c r="V5" s="21">
        <f t="shared" si="6"/>
        <v>33</v>
      </c>
      <c r="W5" s="12">
        <v>1</v>
      </c>
      <c r="X5" s="20" t="str">
        <f>IFERROR(INDEX('Firm Master'!$G$2:$G$1000,MATCH($C5,'Firm Master'!$B$2:$B$1000,0)),"")</f>
        <v>PricewaterhouseCoopers</v>
      </c>
    </row>
    <row r="6" spans="1:24" ht="15" customHeight="1" x14ac:dyDescent="0.3">
      <c r="A6" s="11">
        <v>5</v>
      </c>
      <c r="B6" s="11">
        <v>1</v>
      </c>
      <c r="C6" s="11" t="s">
        <v>707</v>
      </c>
      <c r="D6" s="11" t="s">
        <v>708</v>
      </c>
      <c r="E6" s="11" t="s">
        <v>709</v>
      </c>
      <c r="F6" s="11">
        <v>2025</v>
      </c>
      <c r="G6" s="20">
        <f t="shared" si="0"/>
        <v>1</v>
      </c>
      <c r="H6" s="21">
        <v>0</v>
      </c>
      <c r="I6" s="21">
        <f>IFERROR(INDEX('Coding Sheet'!$AC$2:$AC$731,MATCH($B6&amp;"_"&amp;$F6,'Coding Sheet'!$A$2:$A$731,0)),"")</f>
        <v>0</v>
      </c>
      <c r="J6" s="7">
        <f>IFERROR(INDEX('Coding Sheet'!$AT$2:$AT$731,MATCH($B6&amp;"_"&amp;$F6,'Coding Sheet'!$A$2:$A$731,0)),"")</f>
        <v>0</v>
      </c>
      <c r="K6" s="12">
        <v>10153846154</v>
      </c>
      <c r="L6" s="33">
        <v>6.4</v>
      </c>
      <c r="M6" s="20">
        <f t="shared" si="1"/>
        <v>64984615.385600008</v>
      </c>
      <c r="N6" s="12">
        <v>154067848</v>
      </c>
      <c r="O6" s="12">
        <v>165570637</v>
      </c>
      <c r="P6" s="20">
        <v>2880283</v>
      </c>
      <c r="Q6" s="20">
        <f t="shared" si="2"/>
        <v>1.3230151635256437</v>
      </c>
      <c r="R6" s="20">
        <f t="shared" si="3"/>
        <v>18.924908471391728</v>
      </c>
      <c r="S6" s="20">
        <f t="shared" si="4"/>
        <v>0.93052639520859004</v>
      </c>
      <c r="T6" s="20">
        <f t="shared" si="5"/>
        <v>1.7396097835874123E-2</v>
      </c>
      <c r="U6" s="20">
        <f>IFERROR(IF(ISNUMBER(INDEX('Firm Master'!$E$2:$E$1000,MATCH($C6,'Firm Master'!$B$2:$B$1000,0))),INDEX('Firm Master'!$E$2:$E$1000,MATCH($C6,'Firm Master'!$B$2:$B$1000,0)),""),"")</f>
        <v>1991</v>
      </c>
      <c r="V6" s="21">
        <f t="shared" si="6"/>
        <v>34</v>
      </c>
      <c r="W6" s="12">
        <v>1</v>
      </c>
      <c r="X6" s="20" t="str">
        <f>IFERROR(INDEX('Firm Master'!$G$2:$G$1000,MATCH($C6,'Firm Master'!$B$2:$B$1000,0)),"")</f>
        <v>PricewaterhouseCoopers</v>
      </c>
    </row>
    <row r="7" spans="1:24" ht="21.75" customHeight="1" x14ac:dyDescent="0.3">
      <c r="A7" s="11">
        <v>6</v>
      </c>
      <c r="B7" s="11">
        <v>2</v>
      </c>
      <c r="C7" s="11" t="s">
        <v>713</v>
      </c>
      <c r="D7" s="11" t="s">
        <v>714</v>
      </c>
      <c r="E7" s="11" t="s">
        <v>715</v>
      </c>
      <c r="F7" s="11">
        <v>2021</v>
      </c>
      <c r="G7" s="20">
        <f t="shared" si="0"/>
        <v>0</v>
      </c>
      <c r="H7" s="33">
        <v>0</v>
      </c>
      <c r="I7" s="21">
        <f>IFERROR(INDEX('Coding Sheet'!$AC$2:$AC$731,MATCH($B7&amp;"_"&amp;$F7,'Coding Sheet'!$A$2:$A$731,0)),"")</f>
        <v>5</v>
      </c>
      <c r="J7" s="7">
        <f>IFERROR(INDEX('Coding Sheet'!$AT$2:$AT$731,MATCH($B7&amp;"_"&amp;$F7,'Coding Sheet'!$A$2:$A$731,0)),"")</f>
        <v>0</v>
      </c>
      <c r="K7" s="12">
        <v>1657700000</v>
      </c>
      <c r="L7" s="21">
        <v>0.31</v>
      </c>
      <c r="M7" s="20">
        <f t="shared" si="1"/>
        <v>513887</v>
      </c>
      <c r="N7" s="12">
        <v>5022365</v>
      </c>
      <c r="O7" s="12">
        <v>6081390</v>
      </c>
      <c r="P7" s="20">
        <v>-153160</v>
      </c>
      <c r="Q7" s="20">
        <f t="shared" si="2"/>
        <v>0.91035963817482513</v>
      </c>
      <c r="R7" s="20">
        <f t="shared" si="3"/>
        <v>15.620743846234193</v>
      </c>
      <c r="S7" s="20">
        <f t="shared" si="4"/>
        <v>0.82585806863233568</v>
      </c>
      <c r="T7" s="20">
        <f t="shared" si="5"/>
        <v>-2.5185031711500168E-2</v>
      </c>
      <c r="U7" s="20">
        <f>IFERROR(IF(ISNUMBER(INDEX('Firm Master'!$E$2:$E$1000,MATCH($C7,'Firm Master'!$B$2:$B$1000,0))),INDEX('Firm Master'!$E$2:$E$1000,MATCH($C7,'Firm Master'!$B$2:$B$1000,0)),""),"")</f>
        <v>1993</v>
      </c>
      <c r="V7" s="21">
        <f t="shared" si="6"/>
        <v>28</v>
      </c>
      <c r="W7" s="12">
        <v>0</v>
      </c>
      <c r="X7" s="20" t="str">
        <f>IFERROR(INDEX('Firm Master'!$G$2:$G$1000,MATCH($C7,'Firm Master'!$B$2:$B$1000,0)),"")</f>
        <v>Forvis Mazars</v>
      </c>
    </row>
    <row r="8" spans="1:24" ht="15" customHeight="1" x14ac:dyDescent="0.3">
      <c r="A8" s="11">
        <v>7</v>
      </c>
      <c r="B8" s="11">
        <v>2</v>
      </c>
      <c r="C8" s="11" t="s">
        <v>713</v>
      </c>
      <c r="D8" s="11" t="s">
        <v>714</v>
      </c>
      <c r="E8" s="11" t="s">
        <v>715</v>
      </c>
      <c r="F8" s="11">
        <v>2022</v>
      </c>
      <c r="G8" s="20">
        <f t="shared" si="0"/>
        <v>0</v>
      </c>
      <c r="H8" s="33">
        <v>0</v>
      </c>
      <c r="I8" s="21">
        <f>IFERROR(INDEX('Coding Sheet'!$AC$2:$AC$731,MATCH($B8&amp;"_"&amp;$F8,'Coding Sheet'!$A$2:$A$731,0)),"")</f>
        <v>0</v>
      </c>
      <c r="J8" s="7">
        <f>IFERROR(INDEX('Coding Sheet'!$AT$2:$AT$731,MATCH($B8&amp;"_"&amp;$F8,'Coding Sheet'!$A$2:$A$731,0)),"")</f>
        <v>0</v>
      </c>
      <c r="K8" s="12">
        <v>2392622000</v>
      </c>
      <c r="L8" s="21">
        <v>0.25</v>
      </c>
      <c r="M8" s="20">
        <f t="shared" si="1"/>
        <v>598155.5</v>
      </c>
      <c r="N8" s="12">
        <v>5385835</v>
      </c>
      <c r="O8" s="12">
        <v>6642902</v>
      </c>
      <c r="P8" s="20">
        <v>15878</v>
      </c>
      <c r="Q8" s="20">
        <f t="shared" si="2"/>
        <v>0.9008096913066006</v>
      </c>
      <c r="R8" s="20">
        <f t="shared" si="3"/>
        <v>15.709059474167644</v>
      </c>
      <c r="S8" s="20">
        <f t="shared" si="4"/>
        <v>0.81076538536922571</v>
      </c>
      <c r="T8" s="20">
        <f t="shared" si="5"/>
        <v>2.3902204187266347E-3</v>
      </c>
      <c r="U8" s="20">
        <f>IFERROR(IF(ISNUMBER(INDEX('Firm Master'!$E$2:$E$1000,MATCH($C8,'Firm Master'!$B$2:$B$1000,0))),INDEX('Firm Master'!$E$2:$E$1000,MATCH($C8,'Firm Master'!$B$2:$B$1000,0)),""),"")</f>
        <v>1993</v>
      </c>
      <c r="V8" s="21">
        <f t="shared" si="6"/>
        <v>29</v>
      </c>
      <c r="W8" s="12">
        <v>0</v>
      </c>
      <c r="X8" s="20" t="str">
        <f>IFERROR(INDEX('Firm Master'!$G$2:$G$1000,MATCH($C8,'Firm Master'!$B$2:$B$1000,0)),"")</f>
        <v>Forvis Mazars</v>
      </c>
    </row>
    <row r="9" spans="1:24" ht="15" customHeight="1" x14ac:dyDescent="0.3">
      <c r="A9" s="11">
        <v>8</v>
      </c>
      <c r="B9" s="11">
        <v>2</v>
      </c>
      <c r="C9" s="11" t="s">
        <v>713</v>
      </c>
      <c r="D9" s="11" t="s">
        <v>714</v>
      </c>
      <c r="E9" s="11" t="s">
        <v>715</v>
      </c>
      <c r="F9" s="11">
        <v>2023</v>
      </c>
      <c r="G9" s="20">
        <f t="shared" si="0"/>
        <v>1</v>
      </c>
      <c r="H9" s="33">
        <v>0</v>
      </c>
      <c r="I9" s="21">
        <f>IFERROR(INDEX('Coding Sheet'!$AC$2:$AC$731,MATCH($B9&amp;"_"&amp;$F9,'Coding Sheet'!$A$2:$A$731,0)),"")</f>
        <v>5</v>
      </c>
      <c r="J9" s="7">
        <f>IFERROR(INDEX('Coding Sheet'!$AT$2:$AT$731,MATCH($B9&amp;"_"&amp;$F9,'Coding Sheet'!$A$2:$A$731,0)),"")</f>
        <v>0</v>
      </c>
      <c r="K9" s="12">
        <v>2392622000</v>
      </c>
      <c r="L9" s="21">
        <v>0.81079999999999997</v>
      </c>
      <c r="M9" s="20">
        <f t="shared" si="1"/>
        <v>1939937.9175999998</v>
      </c>
      <c r="N9" s="12">
        <v>6407895</v>
      </c>
      <c r="O9" s="12">
        <v>7023496</v>
      </c>
      <c r="P9" s="20">
        <v>-175326</v>
      </c>
      <c r="Q9" s="20">
        <f t="shared" si="2"/>
        <v>1.1885580795660737</v>
      </c>
      <c r="R9" s="20">
        <f t="shared" si="3"/>
        <v>15.764771657736317</v>
      </c>
      <c r="S9" s="20">
        <f t="shared" si="4"/>
        <v>0.91235119945964227</v>
      </c>
      <c r="T9" s="20">
        <f t="shared" si="5"/>
        <v>-2.4962782067505983E-2</v>
      </c>
      <c r="U9" s="20">
        <f>IFERROR(IF(ISNUMBER(INDEX('Firm Master'!$E$2:$E$1000,MATCH($C9,'Firm Master'!$B$2:$B$1000,0))),INDEX('Firm Master'!$E$2:$E$1000,MATCH($C9,'Firm Master'!$B$2:$B$1000,0)),""),"")</f>
        <v>1993</v>
      </c>
      <c r="V9" s="21">
        <f t="shared" si="6"/>
        <v>30</v>
      </c>
      <c r="W9" s="12">
        <v>0</v>
      </c>
      <c r="X9" s="20" t="str">
        <f>IFERROR(INDEX('Firm Master'!$G$2:$G$1000,MATCH($C9,'Firm Master'!$B$2:$B$1000,0)),"")</f>
        <v>Forvis Mazars</v>
      </c>
    </row>
    <row r="10" spans="1:24" ht="15" customHeight="1" x14ac:dyDescent="0.3">
      <c r="A10" s="11">
        <v>9</v>
      </c>
      <c r="B10" s="11">
        <v>2</v>
      </c>
      <c r="C10" s="11" t="s">
        <v>713</v>
      </c>
      <c r="D10" s="11" t="s">
        <v>714</v>
      </c>
      <c r="E10" s="11" t="s">
        <v>715</v>
      </c>
      <c r="F10" s="11">
        <v>2024</v>
      </c>
      <c r="G10" s="20">
        <f t="shared" si="0"/>
        <v>1</v>
      </c>
      <c r="H10" s="33">
        <v>0</v>
      </c>
      <c r="I10" s="21">
        <f>IFERROR(INDEX('Coding Sheet'!$AC$2:$AC$731,MATCH($B10&amp;"_"&amp;$F10,'Coding Sheet'!$A$2:$A$731,0)),"")</f>
        <v>0</v>
      </c>
      <c r="J10" s="7">
        <f>IFERROR(INDEX('Coding Sheet'!$AT$2:$AT$731,MATCH($B10&amp;"_"&amp;$F10,'Coding Sheet'!$A$2:$A$731,0)),"")</f>
        <v>0</v>
      </c>
      <c r="K10" s="12">
        <v>2392622000</v>
      </c>
      <c r="L10" s="21">
        <v>1.2287999999999999</v>
      </c>
      <c r="M10" s="20">
        <f t="shared" si="1"/>
        <v>2940053.9136000001</v>
      </c>
      <c r="N10" s="12">
        <v>10734736</v>
      </c>
      <c r="O10" s="12">
        <v>12003865</v>
      </c>
      <c r="P10" s="20">
        <v>532807</v>
      </c>
      <c r="Q10" s="20">
        <f t="shared" si="2"/>
        <v>1.1391989091513441</v>
      </c>
      <c r="R10" s="20">
        <f t="shared" si="3"/>
        <v>16.300739239227905</v>
      </c>
      <c r="S10" s="20">
        <f t="shared" si="4"/>
        <v>0.89427330280705419</v>
      </c>
      <c r="T10" s="20">
        <f t="shared" si="5"/>
        <v>4.4386287249981567E-2</v>
      </c>
      <c r="U10" s="20">
        <f>IFERROR(IF(ISNUMBER(INDEX('Firm Master'!$E$2:$E$1000,MATCH($C10,'Firm Master'!$B$2:$B$1000,0))),INDEX('Firm Master'!$E$2:$E$1000,MATCH($C10,'Firm Master'!$B$2:$B$1000,0)),""),"")</f>
        <v>1993</v>
      </c>
      <c r="V10" s="21">
        <f t="shared" si="6"/>
        <v>31</v>
      </c>
      <c r="W10" s="12">
        <v>0</v>
      </c>
      <c r="X10" s="20" t="str">
        <f>IFERROR(INDEX('Firm Master'!$G$2:$G$1000,MATCH($C10,'Firm Master'!$B$2:$B$1000,0)),"")</f>
        <v>Forvis Mazars</v>
      </c>
    </row>
    <row r="11" spans="1:24" ht="15" customHeight="1" x14ac:dyDescent="0.3">
      <c r="A11" s="11">
        <v>10</v>
      </c>
      <c r="B11" s="11">
        <v>2</v>
      </c>
      <c r="C11" s="11" t="s">
        <v>713</v>
      </c>
      <c r="D11" s="11" t="s">
        <v>714</v>
      </c>
      <c r="E11" s="11" t="s">
        <v>715</v>
      </c>
      <c r="F11" s="11">
        <v>2025</v>
      </c>
      <c r="G11" s="20">
        <f t="shared" si="0"/>
        <v>1</v>
      </c>
      <c r="H11" s="33">
        <v>0</v>
      </c>
      <c r="I11" s="21">
        <f>IFERROR(INDEX('Coding Sheet'!$AC$2:$AC$731,MATCH($B11&amp;"_"&amp;$F11,'Coding Sheet'!$A$2:$A$731,0)),"")</f>
        <v>0</v>
      </c>
      <c r="J11" s="7">
        <f>IFERROR(INDEX('Coding Sheet'!$AT$2:$AT$731,MATCH($B11&amp;"_"&amp;$F11,'Coding Sheet'!$A$2:$A$731,0)),"")</f>
        <v>0</v>
      </c>
      <c r="K11" s="12">
        <v>2392622000</v>
      </c>
      <c r="L11" s="21">
        <v>4.1001000000000003</v>
      </c>
      <c r="M11" s="20">
        <f t="shared" si="1"/>
        <v>9809989.4622000009</v>
      </c>
      <c r="N11" s="12">
        <v>12152000</v>
      </c>
      <c r="O11" s="12">
        <v>14462677</v>
      </c>
      <c r="P11" s="20">
        <v>971297</v>
      </c>
      <c r="Q11" s="20">
        <f t="shared" si="2"/>
        <v>1.5185286556700395</v>
      </c>
      <c r="R11" s="20">
        <f t="shared" si="3"/>
        <v>16.487081888957146</v>
      </c>
      <c r="S11" s="20">
        <f t="shared" si="4"/>
        <v>0.84023172196959106</v>
      </c>
      <c r="T11" s="20">
        <f t="shared" si="5"/>
        <v>6.7158866923460986E-2</v>
      </c>
      <c r="U11" s="20">
        <f>IFERROR(IF(ISNUMBER(INDEX('Firm Master'!$E$2:$E$1000,MATCH($C11,'Firm Master'!$B$2:$B$1000,0))),INDEX('Firm Master'!$E$2:$E$1000,MATCH($C11,'Firm Master'!$B$2:$B$1000,0)),""),"")</f>
        <v>1993</v>
      </c>
      <c r="V11" s="21">
        <f t="shared" si="6"/>
        <v>32</v>
      </c>
      <c r="W11" s="12">
        <v>0</v>
      </c>
      <c r="X11" s="20" t="str">
        <f>IFERROR(INDEX('Firm Master'!$G$2:$G$1000,MATCH($C11,'Firm Master'!$B$2:$B$1000,0)),"")</f>
        <v>Forvis Mazars</v>
      </c>
    </row>
    <row r="12" spans="1:24" ht="21.75" customHeight="1" x14ac:dyDescent="0.3">
      <c r="A12" s="11">
        <v>11</v>
      </c>
      <c r="B12" s="11">
        <v>3</v>
      </c>
      <c r="C12" s="11" t="s">
        <v>719</v>
      </c>
      <c r="D12" s="11" t="s">
        <v>720</v>
      </c>
      <c r="E12" s="11" t="s">
        <v>715</v>
      </c>
      <c r="F12" s="11">
        <v>2021</v>
      </c>
      <c r="G12" s="20">
        <f t="shared" si="0"/>
        <v>0</v>
      </c>
      <c r="H12" s="21">
        <v>0</v>
      </c>
      <c r="I12" s="21">
        <f>IFERROR(INDEX('Coding Sheet'!$AC$2:$AC$731,MATCH($B12&amp;"_"&amp;$F12,'Coding Sheet'!$A$2:$A$731,0)),"")</f>
        <v>0</v>
      </c>
      <c r="J12" s="7">
        <f>IFERROR(INDEX('Coding Sheet'!$AT$2:$AT$731,MATCH($B12&amp;"_"&amp;$F12,'Coding Sheet'!$A$2:$A$731,0)),"")</f>
        <v>0</v>
      </c>
      <c r="K12" s="12">
        <v>604800000</v>
      </c>
      <c r="L12" s="21">
        <v>0.5</v>
      </c>
      <c r="M12" s="20">
        <f t="shared" si="1"/>
        <v>302400</v>
      </c>
      <c r="N12" s="12">
        <v>2267930</v>
      </c>
      <c r="O12" s="12">
        <v>2278858</v>
      </c>
      <c r="P12" s="20">
        <v>-205452</v>
      </c>
      <c r="Q12" s="20">
        <f t="shared" si="2"/>
        <v>1.1279026600165523</v>
      </c>
      <c r="R12" s="20">
        <f t="shared" si="3"/>
        <v>14.639184998256757</v>
      </c>
      <c r="S12" s="20">
        <f t="shared" si="4"/>
        <v>0.99520461564520479</v>
      </c>
      <c r="T12" s="20">
        <f t="shared" si="5"/>
        <v>-9.0155683241342807E-2</v>
      </c>
      <c r="U12" s="20">
        <f>IFERROR(IF(ISNUMBER(INDEX('Firm Master'!$E$2:$E$1000,MATCH($C12,'Firm Master'!$B$2:$B$1000,0))),INDEX('Firm Master'!$E$2:$E$1000,MATCH($C12,'Firm Master'!$B$2:$B$1000,0)),""),"")</f>
        <v>1964</v>
      </c>
      <c r="V12" s="21">
        <f t="shared" si="6"/>
        <v>57</v>
      </c>
      <c r="W12" s="12">
        <v>1</v>
      </c>
      <c r="X12" s="20" t="str">
        <f>IFERROR(INDEX('Firm Master'!$G$2:$G$1000,MATCH($C12,'Firm Master'!$B$2:$B$1000,0)),"")</f>
        <v>Ernst &amp; Young</v>
      </c>
    </row>
    <row r="13" spans="1:24" ht="21.75" customHeight="1" x14ac:dyDescent="0.3">
      <c r="A13" s="11">
        <v>12</v>
      </c>
      <c r="B13" s="11">
        <v>3</v>
      </c>
      <c r="C13" s="11" t="s">
        <v>719</v>
      </c>
      <c r="D13" s="11" t="s">
        <v>720</v>
      </c>
      <c r="E13" s="11" t="s">
        <v>715</v>
      </c>
      <c r="F13" s="11">
        <v>2022</v>
      </c>
      <c r="G13" s="20">
        <f t="shared" si="0"/>
        <v>0</v>
      </c>
      <c r="H13" s="21">
        <v>0</v>
      </c>
      <c r="I13" s="21">
        <f>IFERROR(INDEX('Coding Sheet'!$AC$2:$AC$731,MATCH($B13&amp;"_"&amp;$F13,'Coding Sheet'!$A$2:$A$731,0)),"")</f>
        <v>0</v>
      </c>
      <c r="J13" s="7">
        <f>IFERROR(INDEX('Coding Sheet'!$AT$2:$AT$731,MATCH($B13&amp;"_"&amp;$F13,'Coding Sheet'!$A$2:$A$731,0)),"")</f>
        <v>0</v>
      </c>
      <c r="K13" s="12">
        <v>604800000</v>
      </c>
      <c r="L13" s="21">
        <v>1.6125</v>
      </c>
      <c r="M13" s="20">
        <f t="shared" si="1"/>
        <v>975240</v>
      </c>
      <c r="N13" s="12">
        <v>2107843</v>
      </c>
      <c r="O13" s="12">
        <v>2357293</v>
      </c>
      <c r="P13" s="20">
        <v>238523</v>
      </c>
      <c r="Q13" s="20">
        <f t="shared" si="2"/>
        <v>1.3078912973482719</v>
      </c>
      <c r="R13" s="20">
        <f t="shared" si="3"/>
        <v>14.673024484756628</v>
      </c>
      <c r="S13" s="20">
        <f t="shared" si="4"/>
        <v>0.89417946771996526</v>
      </c>
      <c r="T13" s="20">
        <f t="shared" si="5"/>
        <v>0.10118513057137997</v>
      </c>
      <c r="U13" s="20">
        <f>IFERROR(IF(ISNUMBER(INDEX('Firm Master'!$E$2:$E$1000,MATCH($C13,'Firm Master'!$B$2:$B$1000,0))),INDEX('Firm Master'!$E$2:$E$1000,MATCH($C13,'Firm Master'!$B$2:$B$1000,0)),""),"")</f>
        <v>1964</v>
      </c>
      <c r="V13" s="21">
        <f t="shared" si="6"/>
        <v>58</v>
      </c>
      <c r="W13" s="12">
        <v>1</v>
      </c>
      <c r="X13" s="20" t="str">
        <f>IFERROR(INDEX('Firm Master'!$G$2:$G$1000,MATCH($C13,'Firm Master'!$B$2:$B$1000,0)),"")</f>
        <v>Ernst &amp; Young</v>
      </c>
    </row>
    <row r="14" spans="1:24" ht="21.75" customHeight="1" x14ac:dyDescent="0.3">
      <c r="A14" s="11">
        <v>13</v>
      </c>
      <c r="B14" s="11">
        <v>3</v>
      </c>
      <c r="C14" s="11" t="s">
        <v>719</v>
      </c>
      <c r="D14" s="11" t="s">
        <v>720</v>
      </c>
      <c r="E14" s="11" t="s">
        <v>715</v>
      </c>
      <c r="F14" s="11">
        <v>2023</v>
      </c>
      <c r="G14" s="20">
        <f t="shared" si="0"/>
        <v>1</v>
      </c>
      <c r="H14" s="21">
        <v>0</v>
      </c>
      <c r="I14" s="21">
        <f>IFERROR(INDEX('Coding Sheet'!$AC$2:$AC$731,MATCH($B14&amp;"_"&amp;$F14,'Coding Sheet'!$A$2:$A$731,0)),"")</f>
        <v>5</v>
      </c>
      <c r="J14" s="7">
        <f>IFERROR(INDEX('Coding Sheet'!$AT$2:$AT$731,MATCH($B14&amp;"_"&amp;$F14,'Coding Sheet'!$A$2:$A$731,0)),"")</f>
        <v>0</v>
      </c>
      <c r="K14" s="12">
        <v>756000000</v>
      </c>
      <c r="L14" s="21">
        <v>1.9443999999999999</v>
      </c>
      <c r="M14" s="20">
        <f t="shared" si="1"/>
        <v>1469966.4</v>
      </c>
      <c r="N14" s="12">
        <v>2511113</v>
      </c>
      <c r="O14" s="12">
        <v>2654389</v>
      </c>
      <c r="P14" s="20">
        <v>17690</v>
      </c>
      <c r="Q14" s="20">
        <f t="shared" si="2"/>
        <v>1.4998100881219745</v>
      </c>
      <c r="R14" s="20">
        <f t="shared" si="3"/>
        <v>14.791725054347042</v>
      </c>
      <c r="S14" s="20">
        <f t="shared" si="4"/>
        <v>0.9460229830669129</v>
      </c>
      <c r="T14" s="20">
        <f t="shared" si="5"/>
        <v>6.6644338866684574E-3</v>
      </c>
      <c r="U14" s="20">
        <f>IFERROR(IF(ISNUMBER(INDEX('Firm Master'!$E$2:$E$1000,MATCH($C14,'Firm Master'!$B$2:$B$1000,0))),INDEX('Firm Master'!$E$2:$E$1000,MATCH($C14,'Firm Master'!$B$2:$B$1000,0)),""),"")</f>
        <v>1964</v>
      </c>
      <c r="V14" s="21">
        <f t="shared" si="6"/>
        <v>59</v>
      </c>
      <c r="W14" s="12">
        <v>1</v>
      </c>
      <c r="X14" s="20" t="str">
        <f>IFERROR(INDEX('Firm Master'!$G$2:$G$1000,MATCH($C14,'Firm Master'!$B$2:$B$1000,0)),"")</f>
        <v>Ernst &amp; Young</v>
      </c>
    </row>
    <row r="15" spans="1:24" ht="21.75" customHeight="1" x14ac:dyDescent="0.3">
      <c r="A15" s="11">
        <v>14</v>
      </c>
      <c r="B15" s="11">
        <v>3</v>
      </c>
      <c r="C15" s="11" t="s">
        <v>719</v>
      </c>
      <c r="D15" s="11" t="s">
        <v>720</v>
      </c>
      <c r="E15" s="11" t="s">
        <v>715</v>
      </c>
      <c r="F15" s="11">
        <v>2024</v>
      </c>
      <c r="G15" s="20">
        <f t="shared" si="0"/>
        <v>1</v>
      </c>
      <c r="H15" s="21">
        <v>0</v>
      </c>
      <c r="I15" s="21">
        <f>IFERROR(INDEX('Coding Sheet'!$AC$2:$AC$731,MATCH($B15&amp;"_"&amp;$F15,'Coding Sheet'!$A$2:$A$731,0)),"")</f>
        <v>0</v>
      </c>
      <c r="J15" s="7">
        <f>IFERROR(INDEX('Coding Sheet'!$AT$2:$AT$731,MATCH($B15&amp;"_"&amp;$F15,'Coding Sheet'!$A$2:$A$731,0)),"")</f>
        <v>0</v>
      </c>
      <c r="K15" s="12">
        <v>756000000</v>
      </c>
      <c r="L15" s="21">
        <v>3.0026000000000002</v>
      </c>
      <c r="M15" s="20">
        <f t="shared" si="1"/>
        <v>2269965.6</v>
      </c>
      <c r="N15" s="12">
        <v>2965000</v>
      </c>
      <c r="O15" s="12">
        <v>3106287</v>
      </c>
      <c r="P15" s="20">
        <v>73611</v>
      </c>
      <c r="Q15" s="20">
        <f t="shared" si="2"/>
        <v>1.6852807226119157</v>
      </c>
      <c r="R15" s="20">
        <f t="shared" si="3"/>
        <v>14.948938680224948</v>
      </c>
      <c r="S15" s="20">
        <f t="shared" si="4"/>
        <v>0.95451579329276404</v>
      </c>
      <c r="T15" s="20">
        <f t="shared" si="5"/>
        <v>2.3697423966298026E-2</v>
      </c>
      <c r="U15" s="20">
        <f>IFERROR(IF(ISNUMBER(INDEX('Firm Master'!$E$2:$E$1000,MATCH($C15,'Firm Master'!$B$2:$B$1000,0))),INDEX('Firm Master'!$E$2:$E$1000,MATCH($C15,'Firm Master'!$B$2:$B$1000,0)),""),"")</f>
        <v>1964</v>
      </c>
      <c r="V15" s="21">
        <f t="shared" si="6"/>
        <v>60</v>
      </c>
      <c r="W15" s="12">
        <v>1</v>
      </c>
      <c r="X15" s="20" t="str">
        <f>IFERROR(INDEX('Firm Master'!$G$2:$G$1000,MATCH($C15,'Firm Master'!$B$2:$B$1000,0)),"")</f>
        <v>Ernst &amp; Young</v>
      </c>
    </row>
    <row r="16" spans="1:24" ht="42.75" customHeight="1" x14ac:dyDescent="0.3">
      <c r="A16" s="16">
        <v>15</v>
      </c>
      <c r="B16" s="16">
        <v>3</v>
      </c>
      <c r="C16" s="16" t="s">
        <v>719</v>
      </c>
      <c r="D16" s="16" t="s">
        <v>720</v>
      </c>
      <c r="E16" s="16" t="s">
        <v>715</v>
      </c>
      <c r="F16" s="16">
        <v>2025</v>
      </c>
      <c r="G16" s="16">
        <f t="shared" si="0"/>
        <v>1</v>
      </c>
      <c r="H16" s="16">
        <v>0</v>
      </c>
      <c r="I16" s="16">
        <f>IFERROR(INDEX('Coding Sheet'!$AC$2:$AC$731,MATCH($B16&amp;"_"&amp;$F16,'Coding Sheet'!$A$2:$A$731,0)),"")</f>
        <v>0</v>
      </c>
      <c r="J16" s="22">
        <f>IFERROR(INDEX('Coding Sheet'!$AT$2:$AT$731,MATCH($B16&amp;"_"&amp;$F16,'Coding Sheet'!$A$2:$A$731,0)),"")</f>
        <v>0</v>
      </c>
      <c r="K16" s="16">
        <v>756000000</v>
      </c>
      <c r="L16" s="16"/>
      <c r="M16" s="16" t="str">
        <f t="shared" si="1"/>
        <v/>
      </c>
      <c r="N16" s="16">
        <v>3011895</v>
      </c>
      <c r="O16" s="16">
        <v>3794066</v>
      </c>
      <c r="P16" s="16">
        <v>716486</v>
      </c>
      <c r="Q16" s="16" t="str">
        <f t="shared" si="2"/>
        <v/>
      </c>
      <c r="R16" s="16">
        <f t="shared" si="3"/>
        <v>15.148948825214035</v>
      </c>
      <c r="S16" s="16">
        <f t="shared" si="4"/>
        <v>0.79384359681671324</v>
      </c>
      <c r="T16" s="16">
        <f t="shared" si="5"/>
        <v>0.188843841936329</v>
      </c>
      <c r="U16" s="16">
        <f>IFERROR(IF(ISNUMBER(INDEX('Firm Master'!$E$2:$E$1000,MATCH($C16,'Firm Master'!$B$2:$B$1000,0))),INDEX('Firm Master'!$E$2:$E$1000,MATCH($C16,'Firm Master'!$B$2:$B$1000,0)),""),"")</f>
        <v>1964</v>
      </c>
      <c r="V16" s="16">
        <f t="shared" si="6"/>
        <v>61</v>
      </c>
      <c r="W16" s="16">
        <v>1</v>
      </c>
      <c r="X16" s="16" t="str">
        <f>IFERROR(INDEX('Firm Master'!$G$2:$G$1000,MATCH($C16,'Firm Master'!$B$2:$B$1000,0)),"")</f>
        <v>Ernst &amp; Young</v>
      </c>
    </row>
    <row r="17" spans="1:24" ht="32.25" customHeight="1" x14ac:dyDescent="0.3">
      <c r="A17" s="11">
        <v>16</v>
      </c>
      <c r="B17" s="11">
        <v>4</v>
      </c>
      <c r="C17" s="11" t="s">
        <v>724</v>
      </c>
      <c r="D17" s="11" t="s">
        <v>725</v>
      </c>
      <c r="E17" s="11" t="s">
        <v>709</v>
      </c>
      <c r="F17" s="11">
        <v>2021</v>
      </c>
      <c r="G17" s="20">
        <f t="shared" si="0"/>
        <v>0</v>
      </c>
      <c r="H17" s="21">
        <v>0</v>
      </c>
      <c r="I17" s="21">
        <f>IFERROR(INDEX('Coding Sheet'!$AC$2:$AC$731,MATCH($B17&amp;"_"&amp;$F17,'Coding Sheet'!$A$2:$A$731,0)),"")</f>
        <v>5</v>
      </c>
      <c r="J17" s="7">
        <f>IFERROR(INDEX('Coding Sheet'!$AT$2:$AT$731,MATCH($B17&amp;"_"&amp;$F17,'Coding Sheet'!$A$2:$A$731,0)),"")</f>
        <v>0</v>
      </c>
      <c r="K17" s="12">
        <v>35545225622</v>
      </c>
      <c r="L17" s="21">
        <v>9.1170000000000009</v>
      </c>
      <c r="M17" s="20">
        <f t="shared" si="1"/>
        <v>324065821.99577403</v>
      </c>
      <c r="N17" s="12">
        <v>10681936000</v>
      </c>
      <c r="O17" s="12">
        <v>11731965000</v>
      </c>
      <c r="P17" s="20">
        <v>160215000</v>
      </c>
      <c r="Q17" s="20">
        <f t="shared" si="2"/>
        <v>0.93812092194238339</v>
      </c>
      <c r="R17" s="20">
        <f t="shared" si="3"/>
        <v>23.185583004763611</v>
      </c>
      <c r="S17" s="20">
        <f t="shared" si="4"/>
        <v>0.91049845443623467</v>
      </c>
      <c r="T17" s="20">
        <f t="shared" si="5"/>
        <v>1.3656280086072538E-2</v>
      </c>
      <c r="U17" s="20">
        <f>IFERROR(IF(ISNUMBER(INDEX('Firm Master'!$E$2:$E$1000,MATCH($C17,'Firm Master'!$B$2:$B$1000,0))),INDEX('Firm Master'!$E$2:$E$1000,MATCH($C17,'Firm Master'!$B$2:$B$1000,0)),""),"")</f>
        <v>2021</v>
      </c>
      <c r="V17" s="21">
        <f t="shared" si="6"/>
        <v>0</v>
      </c>
      <c r="W17" s="12">
        <v>1</v>
      </c>
      <c r="X17" s="20" t="str">
        <f>IFERROR(INDEX('Firm Master'!$G$2:$G$1000,MATCH($C17,'Firm Master'!$B$2:$B$1000,0)),"")</f>
        <v>KPMG Professional Services</v>
      </c>
    </row>
    <row r="18" spans="1:24" ht="15" customHeight="1" x14ac:dyDescent="0.3">
      <c r="A18" s="11">
        <v>17</v>
      </c>
      <c r="B18" s="11">
        <v>4</v>
      </c>
      <c r="C18" s="11" t="s">
        <v>724</v>
      </c>
      <c r="D18" s="11" t="s">
        <v>725</v>
      </c>
      <c r="E18" s="11" t="s">
        <v>709</v>
      </c>
      <c r="F18" s="11">
        <v>2022</v>
      </c>
      <c r="G18" s="20">
        <f t="shared" si="0"/>
        <v>0</v>
      </c>
      <c r="H18" s="21">
        <v>0</v>
      </c>
      <c r="I18" s="21">
        <f>IFERROR(INDEX('Coding Sheet'!$AC$2:$AC$731,MATCH($B18&amp;"_"&amp;$F18,'Coding Sheet'!$A$2:$A$731,0)),"")</f>
        <v>85</v>
      </c>
      <c r="J18" s="7">
        <f>IFERROR(INDEX('Coding Sheet'!$AT$2:$AT$731,MATCH($B18&amp;"_"&amp;$F18,'Coding Sheet'!$A$2:$A$731,0)),"")</f>
        <v>80</v>
      </c>
      <c r="K18" s="12">
        <v>35545225622</v>
      </c>
      <c r="L18" s="21">
        <v>8.2791999999999994</v>
      </c>
      <c r="M18" s="20">
        <f t="shared" si="1"/>
        <v>294286031.96966237</v>
      </c>
      <c r="N18" s="12">
        <v>13767010000</v>
      </c>
      <c r="O18" s="12">
        <v>14998401000</v>
      </c>
      <c r="P18" s="20">
        <v>152202000</v>
      </c>
      <c r="Q18" s="20">
        <f t="shared" si="2"/>
        <v>0.93751967506200573</v>
      </c>
      <c r="R18" s="20">
        <f t="shared" si="3"/>
        <v>23.431209432366437</v>
      </c>
      <c r="S18" s="20">
        <f t="shared" si="4"/>
        <v>0.91789851464832817</v>
      </c>
      <c r="T18" s="20">
        <f t="shared" si="5"/>
        <v>1.0147881764196063E-2</v>
      </c>
      <c r="U18" s="20">
        <f>IFERROR(IF(ISNUMBER(INDEX('Firm Master'!$E$2:$E$1000,MATCH($C18,'Firm Master'!$B$2:$B$1000,0))),INDEX('Firm Master'!$E$2:$E$1000,MATCH($C18,'Firm Master'!$B$2:$B$1000,0)),""),"")</f>
        <v>2021</v>
      </c>
      <c r="V18" s="21">
        <f t="shared" si="6"/>
        <v>1</v>
      </c>
      <c r="W18" s="12">
        <v>1</v>
      </c>
      <c r="X18" s="20" t="str">
        <f>IFERROR(INDEX('Firm Master'!$G$2:$G$1000,MATCH($C18,'Firm Master'!$B$2:$B$1000,0)),"")</f>
        <v>KPMG Professional Services</v>
      </c>
    </row>
    <row r="19" spans="1:24" ht="15" customHeight="1" x14ac:dyDescent="0.3">
      <c r="A19" s="11">
        <v>18</v>
      </c>
      <c r="B19" s="11">
        <v>4</v>
      </c>
      <c r="C19" s="11" t="s">
        <v>724</v>
      </c>
      <c r="D19" s="11" t="s">
        <v>725</v>
      </c>
      <c r="E19" s="11" t="s">
        <v>709</v>
      </c>
      <c r="F19" s="11">
        <v>2023</v>
      </c>
      <c r="G19" s="20">
        <f t="shared" si="0"/>
        <v>1</v>
      </c>
      <c r="H19" s="21">
        <v>1</v>
      </c>
      <c r="I19" s="21">
        <f>IFERROR(INDEX('Coding Sheet'!$AC$2:$AC$731,MATCH($B19&amp;"_"&amp;$F19,'Coding Sheet'!$A$2:$A$731,0)),"")</f>
        <v>95</v>
      </c>
      <c r="J19" s="7">
        <f>IFERROR(INDEX('Coding Sheet'!$AT$2:$AT$731,MATCH($B19&amp;"_"&amp;$F19,'Coding Sheet'!$A$2:$A$731,0)),"")</f>
        <v>86.666666666666671</v>
      </c>
      <c r="K19" s="12">
        <v>35545225622</v>
      </c>
      <c r="L19" s="21">
        <v>22.3689</v>
      </c>
      <c r="M19" s="20">
        <f t="shared" si="1"/>
        <v>795107597.41595578</v>
      </c>
      <c r="N19" s="12">
        <v>24503197000</v>
      </c>
      <c r="O19" s="12">
        <v>26688831000</v>
      </c>
      <c r="P19" s="20">
        <v>619324000</v>
      </c>
      <c r="Q19" s="20">
        <f t="shared" si="2"/>
        <v>0.94789856466234712</v>
      </c>
      <c r="R19" s="20">
        <f t="shared" si="3"/>
        <v>24.007511000227911</v>
      </c>
      <c r="S19" s="20">
        <f t="shared" si="4"/>
        <v>0.91810679156385677</v>
      </c>
      <c r="T19" s="20">
        <f t="shared" si="5"/>
        <v>2.3205362572830561E-2</v>
      </c>
      <c r="U19" s="20">
        <f>IFERROR(IF(ISNUMBER(INDEX('Firm Master'!$E$2:$E$1000,MATCH($C19,'Firm Master'!$B$2:$B$1000,0))),INDEX('Firm Master'!$E$2:$E$1000,MATCH($C19,'Firm Master'!$B$2:$B$1000,0)),""),"")</f>
        <v>2021</v>
      </c>
      <c r="V19" s="21">
        <f t="shared" si="6"/>
        <v>2</v>
      </c>
      <c r="W19" s="12">
        <v>1</v>
      </c>
      <c r="X19" s="20" t="str">
        <f>IFERROR(INDEX('Firm Master'!$G$2:$G$1000,MATCH($C19,'Firm Master'!$B$2:$B$1000,0)),"")</f>
        <v>KPMG Professional Services</v>
      </c>
    </row>
    <row r="20" spans="1:24" ht="21.75" customHeight="1" x14ac:dyDescent="0.3">
      <c r="A20" s="11">
        <v>19</v>
      </c>
      <c r="B20" s="11">
        <v>4</v>
      </c>
      <c r="C20" s="11" t="s">
        <v>724</v>
      </c>
      <c r="D20" s="11" t="s">
        <v>725</v>
      </c>
      <c r="E20" s="11" t="s">
        <v>709</v>
      </c>
      <c r="F20" s="11">
        <v>2024</v>
      </c>
      <c r="G20" s="20">
        <f t="shared" si="0"/>
        <v>1</v>
      </c>
      <c r="H20" s="21">
        <v>1</v>
      </c>
      <c r="I20" s="21">
        <f>IFERROR(INDEX('Coding Sheet'!$AC$2:$AC$731,MATCH($B20&amp;"_"&amp;$F20,'Coding Sheet'!$A$2:$A$731,0)),"")</f>
        <v>95</v>
      </c>
      <c r="J20" s="7">
        <f>IFERROR(INDEX('Coding Sheet'!$AT$2:$AT$731,MATCH($B20&amp;"_"&amp;$F20,'Coding Sheet'!$A$2:$A$731,0)),"")</f>
        <v>86.666666666666671</v>
      </c>
      <c r="K20" s="12">
        <v>53317838433</v>
      </c>
      <c r="L20" s="21">
        <v>23.444400000000002</v>
      </c>
      <c r="M20" s="20">
        <f t="shared" si="1"/>
        <v>1250004731.3586252</v>
      </c>
      <c r="N20" s="12">
        <v>37740174000</v>
      </c>
      <c r="O20" s="12">
        <v>41500353000</v>
      </c>
      <c r="P20" s="20">
        <v>642217000</v>
      </c>
      <c r="Q20" s="20">
        <f t="shared" si="2"/>
        <v>0.93951438753686334</v>
      </c>
      <c r="R20" s="20">
        <f t="shared" si="3"/>
        <v>24.448967770170984</v>
      </c>
      <c r="S20" s="20">
        <f t="shared" si="4"/>
        <v>0.90939404780484634</v>
      </c>
      <c r="T20" s="20">
        <f t="shared" si="5"/>
        <v>1.547497680320936E-2</v>
      </c>
      <c r="U20" s="20">
        <f>IFERROR(IF(ISNUMBER(INDEX('Firm Master'!$E$2:$E$1000,MATCH($C20,'Firm Master'!$B$2:$B$1000,0))),INDEX('Firm Master'!$E$2:$E$1000,MATCH($C20,'Firm Master'!$B$2:$B$1000,0)),""),"")</f>
        <v>2021</v>
      </c>
      <c r="V20" s="21">
        <f t="shared" si="6"/>
        <v>3</v>
      </c>
      <c r="W20" s="12">
        <v>1</v>
      </c>
      <c r="X20" s="20" t="str">
        <f>IFERROR(INDEX('Firm Master'!$G$2:$G$1000,MATCH($C20,'Firm Master'!$B$2:$B$1000,0)),"")</f>
        <v>KPMG Professional Services</v>
      </c>
    </row>
    <row r="21" spans="1:24" ht="32.25" customHeight="1" x14ac:dyDescent="0.3">
      <c r="A21" s="11">
        <v>20</v>
      </c>
      <c r="B21" s="11">
        <v>4</v>
      </c>
      <c r="C21" s="11" t="s">
        <v>724</v>
      </c>
      <c r="D21" s="11" t="s">
        <v>725</v>
      </c>
      <c r="E21" s="11" t="s">
        <v>709</v>
      </c>
      <c r="F21" s="11">
        <v>2025</v>
      </c>
      <c r="G21" s="20">
        <f t="shared" si="0"/>
        <v>1</v>
      </c>
      <c r="H21" s="21">
        <v>1</v>
      </c>
      <c r="I21" s="21">
        <f>IFERROR(INDEX('Coding Sheet'!$AC$2:$AC$731,MATCH($B21&amp;"_"&amp;$F21,'Coding Sheet'!$A$2:$A$731,0)),"")</f>
        <v>90</v>
      </c>
      <c r="J21" s="7">
        <f>IFERROR(INDEX('Coding Sheet'!$AT$2:$AT$731,MATCH($B21&amp;"_"&amp;$F21,'Coding Sheet'!$A$2:$A$731,0)),"")</f>
        <v>60</v>
      </c>
      <c r="K21" s="12">
        <v>53317838433</v>
      </c>
      <c r="L21" s="21">
        <v>20.444099999999999</v>
      </c>
      <c r="M21" s="20">
        <f t="shared" si="1"/>
        <v>1090035220.7080953</v>
      </c>
      <c r="N21" s="12">
        <v>47440000000</v>
      </c>
      <c r="O21" s="12">
        <v>51560000000</v>
      </c>
      <c r="P21" s="20">
        <v>743045000</v>
      </c>
      <c r="Q21" s="20">
        <f t="shared" si="2"/>
        <v>0.94123419745360926</v>
      </c>
      <c r="R21" s="20">
        <f t="shared" si="3"/>
        <v>24.666012015017397</v>
      </c>
      <c r="S21" s="20">
        <f t="shared" si="4"/>
        <v>0.92009309542280837</v>
      </c>
      <c r="T21" s="20">
        <f t="shared" si="5"/>
        <v>1.4411268425135765E-2</v>
      </c>
      <c r="U21" s="20">
        <f>IFERROR(IF(ISNUMBER(INDEX('Firm Master'!$E$2:$E$1000,MATCH($C21,'Firm Master'!$B$2:$B$1000,0))),INDEX('Firm Master'!$E$2:$E$1000,MATCH($C21,'Firm Master'!$B$2:$B$1000,0)),""),"")</f>
        <v>2021</v>
      </c>
      <c r="V21" s="21">
        <f t="shared" si="6"/>
        <v>4</v>
      </c>
      <c r="W21" s="12">
        <v>1</v>
      </c>
      <c r="X21" s="20" t="str">
        <f>IFERROR(INDEX('Firm Master'!$G$2:$G$1000,MATCH($C21,'Firm Master'!$B$2:$B$1000,0)),"")</f>
        <v>KPMG Professional Services</v>
      </c>
    </row>
    <row r="22" spans="1:24" ht="32.25" customHeight="1" x14ac:dyDescent="0.3">
      <c r="A22" s="11">
        <v>21</v>
      </c>
      <c r="B22" s="11">
        <v>5</v>
      </c>
      <c r="C22" s="11" t="s">
        <v>729</v>
      </c>
      <c r="D22" s="11" t="s">
        <v>730</v>
      </c>
      <c r="E22" s="11" t="s">
        <v>709</v>
      </c>
      <c r="F22" s="11">
        <v>2021</v>
      </c>
      <c r="G22" s="20">
        <f t="shared" si="0"/>
        <v>0</v>
      </c>
      <c r="H22" s="34">
        <v>0</v>
      </c>
      <c r="I22" s="34">
        <f>IFERROR(INDEX('Coding Sheet'!$AC$2:$AC$731,MATCH($B22&amp;"_"&amp;$F22,'Coding Sheet'!$A$2:$A$731,0)),"")</f>
        <v>0</v>
      </c>
      <c r="J22" s="7">
        <f>IFERROR(INDEX('Coding Sheet'!$AT$2:$AT$731,MATCH($B22&amp;"_"&amp;$F22,'Coding Sheet'!$A$2:$A$731,0)),"")</f>
        <v>0</v>
      </c>
      <c r="K22" s="23">
        <v>20585000000</v>
      </c>
      <c r="L22" s="34">
        <v>0.2</v>
      </c>
      <c r="M22" s="20">
        <f t="shared" si="1"/>
        <v>4117000</v>
      </c>
      <c r="N22" s="12">
        <v>47391703</v>
      </c>
      <c r="O22" s="12">
        <v>41587426</v>
      </c>
      <c r="P22" s="20">
        <v>2416845</v>
      </c>
      <c r="Q22" s="20">
        <f t="shared" si="2"/>
        <v>1.2385643439437679</v>
      </c>
      <c r="R22" s="20">
        <f t="shared" si="3"/>
        <v>17.543308419926461</v>
      </c>
      <c r="S22" s="20">
        <f t="shared" si="4"/>
        <v>1.1395680752158117</v>
      </c>
      <c r="T22" s="20">
        <f t="shared" si="5"/>
        <v>5.8114801334422574E-2</v>
      </c>
      <c r="U22" s="20">
        <f>IFERROR(IF(ISNUMBER(INDEX('Firm Master'!$E$2:$E$1000,MATCH($C22,'Firm Master'!$B$2:$B$1000,0))),INDEX('Firm Master'!$E$2:$E$1000,MATCH($C22,'Firm Master'!$B$2:$B$1000,0)),""),"")</f>
        <v>1960</v>
      </c>
      <c r="V22" s="34">
        <f t="shared" si="6"/>
        <v>61</v>
      </c>
      <c r="W22" s="12">
        <v>1</v>
      </c>
      <c r="X22" s="20" t="str">
        <f>IFERROR(INDEX('Firm Master'!$G$2:$G$1000,MATCH($C22,'Firm Master'!$B$2:$B$1000,0)),"")</f>
        <v>Deloitte &amp; Touche</v>
      </c>
    </row>
    <row r="23" spans="1:24" ht="32.25" customHeight="1" x14ac:dyDescent="0.3">
      <c r="A23" s="11">
        <v>22</v>
      </c>
      <c r="B23" s="11">
        <v>5</v>
      </c>
      <c r="C23" s="11" t="s">
        <v>729</v>
      </c>
      <c r="D23" s="11" t="s">
        <v>730</v>
      </c>
      <c r="E23" s="11" t="s">
        <v>709</v>
      </c>
      <c r="F23" s="11">
        <v>2022</v>
      </c>
      <c r="G23" s="20">
        <f t="shared" si="0"/>
        <v>0</v>
      </c>
      <c r="H23" s="21">
        <v>0</v>
      </c>
      <c r="I23" s="21">
        <f>IFERROR(INDEX('Coding Sheet'!$AC$2:$AC$731,MATCH($B23&amp;"_"&amp;$F23,'Coding Sheet'!$A$2:$A$731,0)),"")</f>
        <v>0</v>
      </c>
      <c r="J23" s="7">
        <f>IFERROR(INDEX('Coding Sheet'!$AT$2:$AT$731,MATCH($B23&amp;"_"&amp;$F23,'Coding Sheet'!$A$2:$A$731,0)),"")</f>
        <v>0</v>
      </c>
      <c r="K23" s="12">
        <v>20585000000</v>
      </c>
      <c r="L23" s="33">
        <v>0.2</v>
      </c>
      <c r="M23" s="20">
        <f t="shared" si="1"/>
        <v>4117000</v>
      </c>
      <c r="N23" s="35">
        <v>48396886</v>
      </c>
      <c r="O23" s="35">
        <v>53473361</v>
      </c>
      <c r="P23" s="20">
        <v>-2901109</v>
      </c>
      <c r="Q23" s="20">
        <f t="shared" si="2"/>
        <v>0.98205695355487377</v>
      </c>
      <c r="R23" s="20">
        <f t="shared" si="3"/>
        <v>17.794694162626655</v>
      </c>
      <c r="S23" s="20">
        <f t="shared" si="4"/>
        <v>0.9050653464628865</v>
      </c>
      <c r="T23" s="20">
        <f t="shared" si="5"/>
        <v>-5.4253350560852162E-2</v>
      </c>
      <c r="U23" s="20">
        <f>IFERROR(IF(ISNUMBER(INDEX('Firm Master'!$E$2:$E$1000,MATCH($C23,'Firm Master'!$B$2:$B$1000,0))),INDEX('Firm Master'!$E$2:$E$1000,MATCH($C23,'Firm Master'!$B$2:$B$1000,0)),""),"")</f>
        <v>1960</v>
      </c>
      <c r="V23" s="21">
        <f t="shared" si="6"/>
        <v>62</v>
      </c>
      <c r="W23" s="12">
        <v>1</v>
      </c>
      <c r="X23" s="20" t="str">
        <f>IFERROR(INDEX('Firm Master'!$G$2:$G$1000,MATCH($C23,'Firm Master'!$B$2:$B$1000,0)),"")</f>
        <v>Deloitte &amp; Touche</v>
      </c>
    </row>
    <row r="24" spans="1:24" ht="21.75" customHeight="1" x14ac:dyDescent="0.3">
      <c r="A24" s="16">
        <v>23</v>
      </c>
      <c r="B24" s="16">
        <v>5</v>
      </c>
      <c r="C24" s="16" t="s">
        <v>729</v>
      </c>
      <c r="D24" s="16" t="s">
        <v>730</v>
      </c>
      <c r="E24" s="16" t="s">
        <v>709</v>
      </c>
      <c r="F24" s="16">
        <v>2023</v>
      </c>
      <c r="G24" s="16">
        <f t="shared" si="0"/>
        <v>1</v>
      </c>
      <c r="H24" s="16">
        <v>0</v>
      </c>
      <c r="I24" s="16" t="str">
        <f>IFERROR(INDEX('Coding Sheet'!$AC$2:$AC$731,MATCH($B24&amp;"_"&amp;$F24,'Coding Sheet'!$A$2:$A$731,0)),"")</f>
        <v/>
      </c>
      <c r="J24" s="22" t="str">
        <f>IFERROR(INDEX('Coding Sheet'!$AT$2:$AT$731,MATCH($B24&amp;"_"&amp;$F24,'Coding Sheet'!$A$2:$A$731,0)),"")</f>
        <v/>
      </c>
      <c r="K24" s="16"/>
      <c r="L24" s="16">
        <v>0.2</v>
      </c>
      <c r="M24" s="16" t="str">
        <f t="shared" si="1"/>
        <v/>
      </c>
      <c r="N24" s="16"/>
      <c r="O24" s="16"/>
      <c r="P24" s="16"/>
      <c r="Q24" s="16" t="str">
        <f t="shared" si="2"/>
        <v/>
      </c>
      <c r="R24" s="16" t="str">
        <f t="shared" si="3"/>
        <v/>
      </c>
      <c r="S24" s="16" t="str">
        <f t="shared" si="4"/>
        <v/>
      </c>
      <c r="T24" s="16" t="str">
        <f t="shared" si="5"/>
        <v/>
      </c>
      <c r="U24" s="16">
        <f>IFERROR(IF(ISNUMBER(INDEX('Firm Master'!$E$2:$E$1000,MATCH($C24,'Firm Master'!$B$2:$B$1000,0))),INDEX('Firm Master'!$E$2:$E$1000,MATCH($C24,'Firm Master'!$B$2:$B$1000,0)),""),"")</f>
        <v>1960</v>
      </c>
      <c r="V24" s="16">
        <f t="shared" si="6"/>
        <v>63</v>
      </c>
      <c r="W24" s="16">
        <v>1</v>
      </c>
      <c r="X24" s="16" t="str">
        <f>IFERROR(INDEX('Firm Master'!$G$2:$G$1000,MATCH($C24,'Firm Master'!$B$2:$B$1000,0)),"")</f>
        <v>Deloitte &amp; Touche</v>
      </c>
    </row>
    <row r="25" spans="1:24" ht="15" customHeight="1" x14ac:dyDescent="0.3">
      <c r="A25" s="16">
        <v>24</v>
      </c>
      <c r="B25" s="16">
        <v>5</v>
      </c>
      <c r="C25" s="16" t="s">
        <v>729</v>
      </c>
      <c r="D25" s="16" t="s">
        <v>730</v>
      </c>
      <c r="E25" s="16" t="s">
        <v>709</v>
      </c>
      <c r="F25" s="16">
        <v>2024</v>
      </c>
      <c r="G25" s="16">
        <f t="shared" si="0"/>
        <v>1</v>
      </c>
      <c r="H25" s="16">
        <v>0</v>
      </c>
      <c r="I25" s="16" t="str">
        <f>IFERROR(INDEX('Coding Sheet'!$AC$2:$AC$731,MATCH($B25&amp;"_"&amp;$F25,'Coding Sheet'!$A$2:$A$731,0)),"")</f>
        <v/>
      </c>
      <c r="J25" s="22" t="str">
        <f>IFERROR(INDEX('Coding Sheet'!$AT$2:$AT$731,MATCH($B25&amp;"_"&amp;$F25,'Coding Sheet'!$A$2:$A$731,0)),"")</f>
        <v/>
      </c>
      <c r="K25" s="16"/>
      <c r="L25" s="16">
        <v>0.2</v>
      </c>
      <c r="M25" s="16" t="str">
        <f t="shared" si="1"/>
        <v/>
      </c>
      <c r="N25" s="16"/>
      <c r="O25" s="16"/>
      <c r="P25" s="16"/>
      <c r="Q25" s="16" t="str">
        <f t="shared" si="2"/>
        <v/>
      </c>
      <c r="R25" s="16" t="str">
        <f t="shared" si="3"/>
        <v/>
      </c>
      <c r="S25" s="16" t="str">
        <f t="shared" si="4"/>
        <v/>
      </c>
      <c r="T25" s="16" t="str">
        <f t="shared" si="5"/>
        <v/>
      </c>
      <c r="U25" s="16">
        <f>IFERROR(IF(ISNUMBER(INDEX('Firm Master'!$E$2:$E$1000,MATCH($C25,'Firm Master'!$B$2:$B$1000,0))),INDEX('Firm Master'!$E$2:$E$1000,MATCH($C25,'Firm Master'!$B$2:$B$1000,0)),""),"")</f>
        <v>1960</v>
      </c>
      <c r="V25" s="16">
        <f t="shared" si="6"/>
        <v>64</v>
      </c>
      <c r="W25" s="16">
        <v>1</v>
      </c>
      <c r="X25" s="16" t="str">
        <f>IFERROR(INDEX('Firm Master'!$G$2:$G$1000,MATCH($C25,'Firm Master'!$B$2:$B$1000,0)),"")</f>
        <v>Deloitte &amp; Touche</v>
      </c>
    </row>
    <row r="26" spans="1:24" ht="21.75" customHeight="1" x14ac:dyDescent="0.3">
      <c r="A26" s="16">
        <v>25</v>
      </c>
      <c r="B26" s="16">
        <v>5</v>
      </c>
      <c r="C26" s="16" t="s">
        <v>729</v>
      </c>
      <c r="D26" s="16" t="s">
        <v>730</v>
      </c>
      <c r="E26" s="16" t="s">
        <v>709</v>
      </c>
      <c r="F26" s="16">
        <v>2025</v>
      </c>
      <c r="G26" s="16">
        <f t="shared" si="0"/>
        <v>1</v>
      </c>
      <c r="H26" s="16">
        <v>0</v>
      </c>
      <c r="I26" s="16" t="str">
        <f>IFERROR(INDEX('Coding Sheet'!$AC$2:$AC$731,MATCH($B26&amp;"_"&amp;$F26,'Coding Sheet'!$A$2:$A$731,0)),"")</f>
        <v/>
      </c>
      <c r="J26" s="22" t="str">
        <f>IFERROR(INDEX('Coding Sheet'!$AT$2:$AT$731,MATCH($B26&amp;"_"&amp;$F26,'Coding Sheet'!$A$2:$A$731,0)),"")</f>
        <v/>
      </c>
      <c r="K26" s="16"/>
      <c r="L26" s="16">
        <v>0.2</v>
      </c>
      <c r="M26" s="16" t="str">
        <f t="shared" si="1"/>
        <v/>
      </c>
      <c r="N26" s="16"/>
      <c r="O26" s="16"/>
      <c r="P26" s="16"/>
      <c r="Q26" s="16" t="str">
        <f t="shared" si="2"/>
        <v/>
      </c>
      <c r="R26" s="16" t="str">
        <f t="shared" si="3"/>
        <v/>
      </c>
      <c r="S26" s="16" t="str">
        <f t="shared" si="4"/>
        <v/>
      </c>
      <c r="T26" s="16" t="str">
        <f t="shared" si="5"/>
        <v/>
      </c>
      <c r="U26" s="16">
        <f>IFERROR(IF(ISNUMBER(INDEX('Firm Master'!$E$2:$E$1000,MATCH($C26,'Firm Master'!$B$2:$B$1000,0))),INDEX('Firm Master'!$E$2:$E$1000,MATCH($C26,'Firm Master'!$B$2:$B$1000,0)),""),"")</f>
        <v>1960</v>
      </c>
      <c r="V26" s="16">
        <f t="shared" si="6"/>
        <v>65</v>
      </c>
      <c r="W26" s="16">
        <v>1</v>
      </c>
      <c r="X26" s="16" t="str">
        <f>IFERROR(INDEX('Firm Master'!$G$2:$G$1000,MATCH($C26,'Firm Master'!$B$2:$B$1000,0)),"")</f>
        <v>Deloitte &amp; Touche</v>
      </c>
    </row>
    <row r="27" spans="1:24" ht="15" customHeight="1" x14ac:dyDescent="0.3">
      <c r="A27" s="11">
        <v>26</v>
      </c>
      <c r="B27" s="11">
        <v>6</v>
      </c>
      <c r="C27" s="11" t="s">
        <v>736</v>
      </c>
      <c r="D27" s="11" t="s">
        <v>737</v>
      </c>
      <c r="E27" s="11" t="s">
        <v>709</v>
      </c>
      <c r="F27" s="11">
        <v>2021</v>
      </c>
      <c r="G27" s="20">
        <f t="shared" si="0"/>
        <v>0</v>
      </c>
      <c r="H27" s="21">
        <v>0</v>
      </c>
      <c r="I27" s="21">
        <f>IFERROR(INDEX('Coding Sheet'!$AC$2:$AC$731,MATCH($B27&amp;"_"&amp;$F27,'Coding Sheet'!$A$2:$A$731,0)),"")</f>
        <v>0</v>
      </c>
      <c r="J27" s="7">
        <f>IFERROR(INDEX('Coding Sheet'!$AT$2:$AT$731,MATCH($B27&amp;"_"&amp;$F27,'Coding Sheet'!$A$2:$A$731,0)),"")</f>
        <v>0</v>
      </c>
      <c r="K27" s="12">
        <v>2000000000</v>
      </c>
      <c r="L27" s="21">
        <v>6.35</v>
      </c>
      <c r="M27" s="20">
        <f t="shared" si="1"/>
        <v>12700000</v>
      </c>
      <c r="N27" s="12">
        <v>6993386</v>
      </c>
      <c r="O27" s="12">
        <v>15764176</v>
      </c>
      <c r="P27" s="20">
        <v>1414667</v>
      </c>
      <c r="Q27" s="20">
        <f t="shared" si="2"/>
        <v>1.2492493105887679</v>
      </c>
      <c r="R27" s="20">
        <f t="shared" si="3"/>
        <v>16.573250581913722</v>
      </c>
      <c r="S27" s="20">
        <f t="shared" si="4"/>
        <v>0.44362521707446045</v>
      </c>
      <c r="T27" s="20">
        <f t="shared" si="5"/>
        <v>8.9739355866110607E-2</v>
      </c>
      <c r="U27" s="20">
        <f>IFERROR(IF(ISNUMBER(INDEX('Firm Master'!$E$2:$E$1000,MATCH($C27,'Firm Master'!$B$2:$B$1000,0))),INDEX('Firm Master'!$E$2:$E$1000,MATCH($C27,'Firm Master'!$B$2:$B$1000,0)),""),"")</f>
        <v>2006</v>
      </c>
      <c r="V27" s="21">
        <f t="shared" si="6"/>
        <v>15</v>
      </c>
      <c r="W27" s="12">
        <v>1</v>
      </c>
      <c r="X27" s="20" t="str">
        <f>IFERROR(INDEX('Firm Master'!$G$2:$G$1000,MATCH($C27,'Firm Master'!$B$2:$B$1000,0)),"")</f>
        <v>Ernst &amp; Young</v>
      </c>
    </row>
    <row r="28" spans="1:24" ht="15" customHeight="1" x14ac:dyDescent="0.3">
      <c r="A28" s="11">
        <v>27</v>
      </c>
      <c r="B28" s="11">
        <v>6</v>
      </c>
      <c r="C28" s="11" t="s">
        <v>736</v>
      </c>
      <c r="D28" s="11" t="s">
        <v>737</v>
      </c>
      <c r="E28" s="11" t="s">
        <v>709</v>
      </c>
      <c r="F28" s="11">
        <v>2022</v>
      </c>
      <c r="G28" s="20">
        <f t="shared" si="0"/>
        <v>0</v>
      </c>
      <c r="H28" s="21">
        <v>0</v>
      </c>
      <c r="I28" s="21">
        <f>IFERROR(INDEX('Coding Sheet'!$AC$2:$AC$731,MATCH($B28&amp;"_"&amp;$F28,'Coding Sheet'!$A$2:$A$731,0)),"")</f>
        <v>0</v>
      </c>
      <c r="J28" s="7">
        <f>IFERROR(INDEX('Coding Sheet'!$AT$2:$AT$731,MATCH($B28&amp;"_"&amp;$F28,'Coding Sheet'!$A$2:$A$731,0)),"")</f>
        <v>0</v>
      </c>
      <c r="K28" s="12">
        <v>2000000000</v>
      </c>
      <c r="L28" s="21">
        <v>6</v>
      </c>
      <c r="M28" s="20">
        <f t="shared" si="1"/>
        <v>12000000</v>
      </c>
      <c r="N28" s="12">
        <v>9885098</v>
      </c>
      <c r="O28" s="12">
        <v>19270686</v>
      </c>
      <c r="P28" s="20">
        <v>1493249</v>
      </c>
      <c r="Q28" s="20">
        <f t="shared" si="2"/>
        <v>1.1356678221003653</v>
      </c>
      <c r="R28" s="20">
        <f t="shared" si="3"/>
        <v>16.774095639134178</v>
      </c>
      <c r="S28" s="20">
        <f t="shared" si="4"/>
        <v>0.51296035854665478</v>
      </c>
      <c r="T28" s="20">
        <f t="shared" si="5"/>
        <v>7.748810810367622E-2</v>
      </c>
      <c r="U28" s="20">
        <f>IFERROR(IF(ISNUMBER(INDEX('Firm Master'!$E$2:$E$1000,MATCH($C28,'Firm Master'!$B$2:$B$1000,0))),INDEX('Firm Master'!$E$2:$E$1000,MATCH($C28,'Firm Master'!$B$2:$B$1000,0)),""),"")</f>
        <v>2006</v>
      </c>
      <c r="V28" s="21">
        <f t="shared" si="6"/>
        <v>16</v>
      </c>
      <c r="W28" s="12">
        <v>1</v>
      </c>
      <c r="X28" s="20" t="str">
        <f>IFERROR(INDEX('Firm Master'!$G$2:$G$1000,MATCH($C28,'Firm Master'!$B$2:$B$1000,0)),"")</f>
        <v>Ernst &amp; Young</v>
      </c>
    </row>
    <row r="29" spans="1:24" ht="15" customHeight="1" x14ac:dyDescent="0.3">
      <c r="A29" s="11">
        <v>28</v>
      </c>
      <c r="B29" s="11">
        <v>6</v>
      </c>
      <c r="C29" s="11" t="s">
        <v>736</v>
      </c>
      <c r="D29" s="11" t="s">
        <v>737</v>
      </c>
      <c r="E29" s="11" t="s">
        <v>709</v>
      </c>
      <c r="F29" s="11">
        <v>2023</v>
      </c>
      <c r="G29" s="20">
        <f t="shared" si="0"/>
        <v>1</v>
      </c>
      <c r="H29" s="21">
        <v>0</v>
      </c>
      <c r="I29" s="21">
        <f>IFERROR(INDEX('Coding Sheet'!$AC$2:$AC$731,MATCH($B29&amp;"_"&amp;$F29,'Coding Sheet'!$A$2:$A$731,0)),"")</f>
        <v>0</v>
      </c>
      <c r="J29" s="7">
        <f>IFERROR(INDEX('Coding Sheet'!$AT$2:$AT$731,MATCH($B29&amp;"_"&amp;$F29,'Coding Sheet'!$A$2:$A$731,0)),"")</f>
        <v>0</v>
      </c>
      <c r="K29" s="12">
        <v>2000000000</v>
      </c>
      <c r="L29" s="21">
        <v>7.4</v>
      </c>
      <c r="M29" s="20">
        <f t="shared" si="1"/>
        <v>14800000</v>
      </c>
      <c r="N29" s="12">
        <v>13235493</v>
      </c>
      <c r="O29" s="12">
        <v>22981930</v>
      </c>
      <c r="P29" s="20">
        <v>962909</v>
      </c>
      <c r="Q29" s="20">
        <f t="shared" si="2"/>
        <v>1.2198928897616519</v>
      </c>
      <c r="R29" s="20">
        <f t="shared" si="3"/>
        <v>16.950218812933098</v>
      </c>
      <c r="S29" s="20">
        <f t="shared" si="4"/>
        <v>0.57590868129874206</v>
      </c>
      <c r="T29" s="20">
        <f t="shared" si="5"/>
        <v>4.189852636397378E-2</v>
      </c>
      <c r="U29" s="20">
        <f>IFERROR(IF(ISNUMBER(INDEX('Firm Master'!$E$2:$E$1000,MATCH($C29,'Firm Master'!$B$2:$B$1000,0))),INDEX('Firm Master'!$E$2:$E$1000,MATCH($C29,'Firm Master'!$B$2:$B$1000,0)),""),"")</f>
        <v>2006</v>
      </c>
      <c r="V29" s="21">
        <f t="shared" si="6"/>
        <v>17</v>
      </c>
      <c r="W29" s="12">
        <v>1</v>
      </c>
      <c r="X29" s="20" t="str">
        <f>IFERROR(INDEX('Firm Master'!$G$2:$G$1000,MATCH($C29,'Firm Master'!$B$2:$B$1000,0)),"")</f>
        <v>Ernst &amp; Young</v>
      </c>
    </row>
    <row r="30" spans="1:24" ht="15" customHeight="1" x14ac:dyDescent="0.3">
      <c r="A30" s="11">
        <v>29</v>
      </c>
      <c r="B30" s="11">
        <v>6</v>
      </c>
      <c r="C30" s="11" t="s">
        <v>736</v>
      </c>
      <c r="D30" s="11" t="s">
        <v>737</v>
      </c>
      <c r="E30" s="11" t="s">
        <v>709</v>
      </c>
      <c r="F30" s="11">
        <v>2024</v>
      </c>
      <c r="G30" s="20">
        <f t="shared" si="0"/>
        <v>1</v>
      </c>
      <c r="H30" s="21">
        <v>0</v>
      </c>
      <c r="I30" s="21">
        <f>IFERROR(INDEX('Coding Sheet'!$AC$2:$AC$731,MATCH($B30&amp;"_"&amp;$F30,'Coding Sheet'!$A$2:$A$731,0)),"")</f>
        <v>0</v>
      </c>
      <c r="J30" s="7">
        <f>IFERROR(INDEX('Coding Sheet'!$AT$2:$AT$731,MATCH($B30&amp;"_"&amp;$F30,'Coding Sheet'!$A$2:$A$731,0)),"")</f>
        <v>0</v>
      </c>
      <c r="K30" s="12">
        <v>2000000000</v>
      </c>
      <c r="L30" s="21">
        <v>20.55</v>
      </c>
      <c r="M30" s="20">
        <f t="shared" si="1"/>
        <v>41100000</v>
      </c>
      <c r="N30" s="12">
        <v>24007058</v>
      </c>
      <c r="O30" s="12">
        <v>34845257</v>
      </c>
      <c r="P30" s="20">
        <v>1810090</v>
      </c>
      <c r="Q30" s="20">
        <f t="shared" si="2"/>
        <v>1.8684625571853295</v>
      </c>
      <c r="R30" s="20">
        <f t="shared" si="3"/>
        <v>17.366427588347719</v>
      </c>
      <c r="S30" s="20">
        <f t="shared" si="4"/>
        <v>0.68896200134210517</v>
      </c>
      <c r="T30" s="20">
        <f t="shared" si="5"/>
        <v>5.1946524601612205E-2</v>
      </c>
      <c r="U30" s="20">
        <f>IFERROR(IF(ISNUMBER(INDEX('Firm Master'!$E$2:$E$1000,MATCH($C30,'Firm Master'!$B$2:$B$1000,0))),INDEX('Firm Master'!$E$2:$E$1000,MATCH($C30,'Firm Master'!$B$2:$B$1000,0)),""),"")</f>
        <v>2006</v>
      </c>
      <c r="V30" s="21">
        <f t="shared" si="6"/>
        <v>18</v>
      </c>
      <c r="W30" s="12">
        <v>1</v>
      </c>
      <c r="X30" s="20" t="str">
        <f>IFERROR(INDEX('Firm Master'!$G$2:$G$1000,MATCH($C30,'Firm Master'!$B$2:$B$1000,0)),"")</f>
        <v>Ernst &amp; Young</v>
      </c>
    </row>
    <row r="31" spans="1:24" ht="15" customHeight="1" x14ac:dyDescent="0.3">
      <c r="A31" s="11">
        <v>30</v>
      </c>
      <c r="B31" s="11">
        <v>6</v>
      </c>
      <c r="C31" s="11" t="s">
        <v>736</v>
      </c>
      <c r="D31" s="11" t="s">
        <v>737</v>
      </c>
      <c r="E31" s="11" t="s">
        <v>709</v>
      </c>
      <c r="F31" s="11">
        <v>2025</v>
      </c>
      <c r="G31" s="20">
        <f t="shared" si="0"/>
        <v>1</v>
      </c>
      <c r="H31" s="21">
        <v>0</v>
      </c>
      <c r="I31" s="21">
        <f>IFERROR(INDEX('Coding Sheet'!$AC$2:$AC$731,MATCH($B31&amp;"_"&amp;$F31,'Coding Sheet'!$A$2:$A$731,0)),"")</f>
        <v>0</v>
      </c>
      <c r="J31" s="7">
        <f>IFERROR(INDEX('Coding Sheet'!$AT$2:$AT$731,MATCH($B31&amp;"_"&amp;$F31,'Coding Sheet'!$A$2:$A$731,0)),"")</f>
        <v>0</v>
      </c>
      <c r="K31" s="12">
        <v>4000000000</v>
      </c>
      <c r="L31" s="21">
        <v>14.8</v>
      </c>
      <c r="M31" s="20">
        <f t="shared" si="1"/>
        <v>59200000</v>
      </c>
      <c r="N31" s="12">
        <v>29177215</v>
      </c>
      <c r="O31" s="12">
        <v>41908525</v>
      </c>
      <c r="P31" s="20">
        <v>2717172</v>
      </c>
      <c r="Q31" s="20">
        <f t="shared" si="2"/>
        <v>2.1088123478456948</v>
      </c>
      <c r="R31" s="20">
        <f t="shared" si="3"/>
        <v>17.550999824817588</v>
      </c>
      <c r="S31" s="20">
        <f t="shared" si="4"/>
        <v>0.69621192824133038</v>
      </c>
      <c r="T31" s="20">
        <f t="shared" si="5"/>
        <v>6.4835782218534296E-2</v>
      </c>
      <c r="U31" s="20">
        <f>IFERROR(IF(ISNUMBER(INDEX('Firm Master'!$E$2:$E$1000,MATCH($C31,'Firm Master'!$B$2:$B$1000,0))),INDEX('Firm Master'!$E$2:$E$1000,MATCH($C31,'Firm Master'!$B$2:$B$1000,0)),""),"")</f>
        <v>2006</v>
      </c>
      <c r="V31" s="21">
        <f t="shared" si="6"/>
        <v>19</v>
      </c>
      <c r="W31" s="12">
        <v>1</v>
      </c>
      <c r="X31" s="20" t="str">
        <f>IFERROR(INDEX('Firm Master'!$G$2:$G$1000,MATCH($C31,'Firm Master'!$B$2:$B$1000,0)),"")</f>
        <v>Ernst &amp; Young</v>
      </c>
    </row>
    <row r="32" spans="1:24" ht="15" customHeight="1" x14ac:dyDescent="0.3">
      <c r="A32" s="11">
        <v>31</v>
      </c>
      <c r="B32" s="11">
        <v>7</v>
      </c>
      <c r="C32" s="11" t="s">
        <v>740</v>
      </c>
      <c r="D32" s="11" t="s">
        <v>741</v>
      </c>
      <c r="E32" s="11" t="s">
        <v>715</v>
      </c>
      <c r="F32" s="11">
        <v>2021</v>
      </c>
      <c r="G32" s="20">
        <f t="shared" si="0"/>
        <v>0</v>
      </c>
      <c r="H32" s="21">
        <v>0</v>
      </c>
      <c r="I32" s="21">
        <f>IFERROR(INDEX('Coding Sheet'!$AC$2:$AC$731,MATCH($B32&amp;"_"&amp;$F32,'Coding Sheet'!$A$2:$A$731,0)),"")</f>
        <v>0</v>
      </c>
      <c r="J32" s="7">
        <f>IFERROR(INDEX('Coding Sheet'!$AT$2:$AT$731,MATCH($B32&amp;"_"&amp;$F32,'Coding Sheet'!$A$2:$A$731,0)),"")</f>
        <v>0</v>
      </c>
      <c r="K32" s="12">
        <v>4439046986</v>
      </c>
      <c r="L32" s="21">
        <v>0.2</v>
      </c>
      <c r="M32" s="20">
        <f t="shared" si="1"/>
        <v>887809.39720000001</v>
      </c>
      <c r="N32" s="12">
        <v>4969389</v>
      </c>
      <c r="O32" s="12">
        <v>1750974</v>
      </c>
      <c r="P32" s="20">
        <v>144237</v>
      </c>
      <c r="Q32" s="20">
        <f t="shared" si="2"/>
        <v>3.3451087207462815</v>
      </c>
      <c r="R32" s="20">
        <f t="shared" si="3"/>
        <v>14.375682762499837</v>
      </c>
      <c r="S32" s="20">
        <f t="shared" si="4"/>
        <v>2.8380712677629707</v>
      </c>
      <c r="T32" s="20">
        <f t="shared" si="5"/>
        <v>8.2375295121458109E-2</v>
      </c>
      <c r="U32" s="20">
        <f>IFERROR(IF(ISNUMBER(INDEX('Firm Master'!$E$2:$E$1000,MATCH($C32,'Firm Master'!$B$2:$B$1000,0))),INDEX('Firm Master'!$E$2:$E$1000,MATCH($C32,'Firm Master'!$B$2:$B$1000,0)),""),"")</f>
        <v>1959</v>
      </c>
      <c r="V32" s="21">
        <f t="shared" si="6"/>
        <v>62</v>
      </c>
      <c r="W32" s="12">
        <v>0</v>
      </c>
      <c r="X32" s="20" t="str">
        <f>IFERROR(INDEX('Firm Master'!$G$2:$G$1000,MATCH($C32,'Firm Master'!$B$2:$B$1000,0)),"")</f>
        <v>SIAO Partners</v>
      </c>
    </row>
    <row r="33" spans="1:24" ht="21.75" customHeight="1" x14ac:dyDescent="0.3">
      <c r="A33" s="11">
        <v>32</v>
      </c>
      <c r="B33" s="11">
        <v>7</v>
      </c>
      <c r="C33" s="11" t="s">
        <v>740</v>
      </c>
      <c r="D33" s="11" t="s">
        <v>741</v>
      </c>
      <c r="E33" s="11" t="s">
        <v>715</v>
      </c>
      <c r="F33" s="11">
        <v>2022</v>
      </c>
      <c r="G33" s="20">
        <f t="shared" si="0"/>
        <v>0</v>
      </c>
      <c r="H33" s="21">
        <v>0</v>
      </c>
      <c r="I33" s="21">
        <f>IFERROR(INDEX('Coding Sheet'!$AC$2:$AC$731,MATCH($B33&amp;"_"&amp;$F33,'Coding Sheet'!$A$2:$A$731,0)),"")</f>
        <v>0</v>
      </c>
      <c r="J33" s="7">
        <f>IFERROR(INDEX('Coding Sheet'!$AT$2:$AT$731,MATCH($B33&amp;"_"&amp;$F33,'Coding Sheet'!$A$2:$A$731,0)),"")</f>
        <v>0</v>
      </c>
      <c r="K33" s="12">
        <v>4439046986</v>
      </c>
      <c r="L33" s="21">
        <v>0.2</v>
      </c>
      <c r="M33" s="20">
        <f t="shared" si="1"/>
        <v>887809.39720000001</v>
      </c>
      <c r="N33" s="12">
        <v>4989344</v>
      </c>
      <c r="O33" s="12">
        <v>1649374</v>
      </c>
      <c r="P33" s="20">
        <v>-121555</v>
      </c>
      <c r="Q33" s="20">
        <f t="shared" si="2"/>
        <v>3.5632630302163122</v>
      </c>
      <c r="R33" s="20">
        <f t="shared" si="3"/>
        <v>14.315906379949281</v>
      </c>
      <c r="S33" s="20">
        <f t="shared" si="4"/>
        <v>3.0249925123107313</v>
      </c>
      <c r="T33" s="20">
        <f t="shared" si="5"/>
        <v>-7.3697657414267467E-2</v>
      </c>
      <c r="U33" s="20">
        <f>IFERROR(IF(ISNUMBER(INDEX('Firm Master'!$E$2:$E$1000,MATCH($C33,'Firm Master'!$B$2:$B$1000,0))),INDEX('Firm Master'!$E$2:$E$1000,MATCH($C33,'Firm Master'!$B$2:$B$1000,0)),""),"")</f>
        <v>1959</v>
      </c>
      <c r="V33" s="21">
        <f t="shared" si="6"/>
        <v>63</v>
      </c>
      <c r="W33" s="12">
        <v>0</v>
      </c>
      <c r="X33" s="20" t="str">
        <f>IFERROR(INDEX('Firm Master'!$G$2:$G$1000,MATCH($C33,'Firm Master'!$B$2:$B$1000,0)),"")</f>
        <v>SIAO Partners</v>
      </c>
    </row>
    <row r="34" spans="1:24" ht="32.25" customHeight="1" x14ac:dyDescent="0.3">
      <c r="A34" s="16">
        <v>33</v>
      </c>
      <c r="B34" s="16">
        <v>7</v>
      </c>
      <c r="C34" s="16" t="s">
        <v>740</v>
      </c>
      <c r="D34" s="16" t="s">
        <v>741</v>
      </c>
      <c r="E34" s="16" t="s">
        <v>715</v>
      </c>
      <c r="F34" s="16">
        <v>2023</v>
      </c>
      <c r="G34" s="16">
        <f t="shared" si="0"/>
        <v>1</v>
      </c>
      <c r="H34" s="16">
        <v>0</v>
      </c>
      <c r="I34" s="16" t="str">
        <f>IFERROR(INDEX('Coding Sheet'!$AC$2:$AC$731,MATCH($B34&amp;"_"&amp;$F34,'Coding Sheet'!$A$2:$A$731,0)),"")</f>
        <v/>
      </c>
      <c r="J34" s="22" t="str">
        <f>IFERROR(INDEX('Coding Sheet'!$AT$2:$AT$731,MATCH($B34&amp;"_"&amp;$F34,'Coding Sheet'!$A$2:$A$731,0)),"")</f>
        <v/>
      </c>
      <c r="K34" s="16"/>
      <c r="L34" s="16"/>
      <c r="M34" s="16" t="str">
        <f t="shared" si="1"/>
        <v/>
      </c>
      <c r="N34" s="16"/>
      <c r="O34" s="16"/>
      <c r="P34" s="16"/>
      <c r="Q34" s="16" t="str">
        <f t="shared" si="2"/>
        <v/>
      </c>
      <c r="R34" s="16" t="str">
        <f t="shared" si="3"/>
        <v/>
      </c>
      <c r="S34" s="16" t="str">
        <f t="shared" si="4"/>
        <v/>
      </c>
      <c r="T34" s="16" t="str">
        <f t="shared" si="5"/>
        <v/>
      </c>
      <c r="U34" s="16">
        <f>IFERROR(IF(ISNUMBER(INDEX('Firm Master'!$E$2:$E$1000,MATCH($C34,'Firm Master'!$B$2:$B$1000,0))),INDEX('Firm Master'!$E$2:$E$1000,MATCH($C34,'Firm Master'!$B$2:$B$1000,0)),""),"")</f>
        <v>1959</v>
      </c>
      <c r="V34" s="16">
        <f t="shared" si="6"/>
        <v>64</v>
      </c>
      <c r="W34" s="16">
        <v>0</v>
      </c>
      <c r="X34" s="16" t="str">
        <f>IFERROR(INDEX('Firm Master'!$G$2:$G$1000,MATCH($C34,'Firm Master'!$B$2:$B$1000,0)),"")</f>
        <v>SIAO Partners</v>
      </c>
    </row>
    <row r="35" spans="1:24" ht="15" customHeight="1" x14ac:dyDescent="0.3">
      <c r="A35" s="16">
        <v>34</v>
      </c>
      <c r="B35" s="16">
        <v>7</v>
      </c>
      <c r="C35" s="16" t="s">
        <v>740</v>
      </c>
      <c r="D35" s="16" t="s">
        <v>741</v>
      </c>
      <c r="E35" s="16" t="s">
        <v>715</v>
      </c>
      <c r="F35" s="16">
        <v>2024</v>
      </c>
      <c r="G35" s="16">
        <f t="shared" si="0"/>
        <v>1</v>
      </c>
      <c r="H35" s="16">
        <v>0</v>
      </c>
      <c r="I35" s="16" t="str">
        <f>IFERROR(INDEX('Coding Sheet'!$AC$2:$AC$731,MATCH($B35&amp;"_"&amp;$F35,'Coding Sheet'!$A$2:$A$731,0)),"")</f>
        <v/>
      </c>
      <c r="J35" s="22" t="str">
        <f>IFERROR(INDEX('Coding Sheet'!$AT$2:$AT$731,MATCH($B35&amp;"_"&amp;$F35,'Coding Sheet'!$A$2:$A$731,0)),"")</f>
        <v/>
      </c>
      <c r="K35" s="16"/>
      <c r="L35" s="16"/>
      <c r="M35" s="16" t="str">
        <f t="shared" si="1"/>
        <v/>
      </c>
      <c r="N35" s="16"/>
      <c r="O35" s="16"/>
      <c r="P35" s="16"/>
      <c r="Q35" s="16" t="str">
        <f t="shared" si="2"/>
        <v/>
      </c>
      <c r="R35" s="16" t="str">
        <f t="shared" si="3"/>
        <v/>
      </c>
      <c r="S35" s="16" t="str">
        <f t="shared" si="4"/>
        <v/>
      </c>
      <c r="T35" s="16" t="str">
        <f t="shared" si="5"/>
        <v/>
      </c>
      <c r="U35" s="16">
        <f>IFERROR(IF(ISNUMBER(INDEX('Firm Master'!$E$2:$E$1000,MATCH($C35,'Firm Master'!$B$2:$B$1000,0))),INDEX('Firm Master'!$E$2:$E$1000,MATCH($C35,'Firm Master'!$B$2:$B$1000,0)),""),"")</f>
        <v>1959</v>
      </c>
      <c r="V35" s="16">
        <f t="shared" si="6"/>
        <v>65</v>
      </c>
      <c r="W35" s="16">
        <v>0</v>
      </c>
      <c r="X35" s="16" t="str">
        <f>IFERROR(INDEX('Firm Master'!$G$2:$G$1000,MATCH($C35,'Firm Master'!$B$2:$B$1000,0)),"")</f>
        <v>SIAO Partners</v>
      </c>
    </row>
    <row r="36" spans="1:24" ht="15" customHeight="1" x14ac:dyDescent="0.3">
      <c r="A36" s="16">
        <v>35</v>
      </c>
      <c r="B36" s="16">
        <v>7</v>
      </c>
      <c r="C36" s="16" t="s">
        <v>740</v>
      </c>
      <c r="D36" s="16" t="s">
        <v>741</v>
      </c>
      <c r="E36" s="16" t="s">
        <v>715</v>
      </c>
      <c r="F36" s="16">
        <v>2025</v>
      </c>
      <c r="G36" s="16">
        <f t="shared" si="0"/>
        <v>1</v>
      </c>
      <c r="H36" s="16">
        <v>0</v>
      </c>
      <c r="I36" s="16" t="str">
        <f>IFERROR(INDEX('Coding Sheet'!$AC$2:$AC$731,MATCH($B36&amp;"_"&amp;$F36,'Coding Sheet'!$A$2:$A$731,0)),"")</f>
        <v/>
      </c>
      <c r="J36" s="22" t="str">
        <f>IFERROR(INDEX('Coding Sheet'!$AT$2:$AT$731,MATCH($B36&amp;"_"&amp;$F36,'Coding Sheet'!$A$2:$A$731,0)),"")</f>
        <v/>
      </c>
      <c r="K36" s="16"/>
      <c r="L36" s="16"/>
      <c r="M36" s="16" t="str">
        <f t="shared" si="1"/>
        <v/>
      </c>
      <c r="N36" s="16"/>
      <c r="O36" s="16"/>
      <c r="P36" s="16"/>
      <c r="Q36" s="16" t="str">
        <f t="shared" si="2"/>
        <v/>
      </c>
      <c r="R36" s="16" t="str">
        <f t="shared" si="3"/>
        <v/>
      </c>
      <c r="S36" s="16" t="str">
        <f t="shared" si="4"/>
        <v/>
      </c>
      <c r="T36" s="16" t="str">
        <f t="shared" si="5"/>
        <v/>
      </c>
      <c r="U36" s="16">
        <f>IFERROR(IF(ISNUMBER(INDEX('Firm Master'!$E$2:$E$1000,MATCH($C36,'Firm Master'!$B$2:$B$1000,0))),INDEX('Firm Master'!$E$2:$E$1000,MATCH($C36,'Firm Master'!$B$2:$B$1000,0)),""),"")</f>
        <v>1959</v>
      </c>
      <c r="V36" s="16">
        <f t="shared" si="6"/>
        <v>66</v>
      </c>
      <c r="W36" s="16">
        <v>0</v>
      </c>
      <c r="X36" s="16" t="str">
        <f>IFERROR(INDEX('Firm Master'!$G$2:$G$1000,MATCH($C36,'Firm Master'!$B$2:$B$1000,0)),"")</f>
        <v>SIAO Partners</v>
      </c>
    </row>
    <row r="37" spans="1:24" ht="15" customHeight="1" x14ac:dyDescent="0.3">
      <c r="A37" s="11">
        <v>36</v>
      </c>
      <c r="B37" s="11">
        <v>8</v>
      </c>
      <c r="C37" s="11" t="s">
        <v>746</v>
      </c>
      <c r="D37" s="11" t="s">
        <v>747</v>
      </c>
      <c r="E37" s="11" t="s">
        <v>709</v>
      </c>
      <c r="F37" s="11">
        <v>2021</v>
      </c>
      <c r="G37" s="20">
        <f t="shared" si="0"/>
        <v>0</v>
      </c>
      <c r="H37" s="21">
        <v>0</v>
      </c>
      <c r="I37" s="21">
        <f>IFERROR(INDEX('Coding Sheet'!$AC$2:$AC$731,MATCH($B37&amp;"_"&amp;$F37,'Coding Sheet'!$A$2:$A$731,0)),"")</f>
        <v>25</v>
      </c>
      <c r="J37" s="7">
        <f>IFERROR(INDEX('Coding Sheet'!$AT$2:$AT$731,MATCH($B37&amp;"_"&amp;$F37,'Coding Sheet'!$A$2:$A$731,0)),"")</f>
        <v>0</v>
      </c>
      <c r="K37" s="12">
        <v>36605275996</v>
      </c>
      <c r="L37" s="33">
        <v>0.7</v>
      </c>
      <c r="M37" s="20">
        <f t="shared" si="1"/>
        <v>25623693.197199997</v>
      </c>
      <c r="N37" s="12">
        <v>184006595</v>
      </c>
      <c r="O37" s="12">
        <v>222380851</v>
      </c>
      <c r="P37" s="20">
        <v>4916009</v>
      </c>
      <c r="Q37" s="20">
        <f t="shared" si="2"/>
        <v>0.94266339594680304</v>
      </c>
      <c r="R37" s="20">
        <f t="shared" si="3"/>
        <v>19.219902015015037</v>
      </c>
      <c r="S37" s="20">
        <f t="shared" si="4"/>
        <v>0.82743902711299544</v>
      </c>
      <c r="T37" s="20">
        <f t="shared" si="5"/>
        <v>2.2106260399192376E-2</v>
      </c>
      <c r="U37" s="20">
        <f>IFERROR(IF(ISNUMBER(INDEX('Firm Master'!$E$2:$E$1000,MATCH($C37,'Firm Master'!$B$2:$B$1000,0))),INDEX('Firm Master'!$E$2:$E$1000,MATCH($C37,'Firm Master'!$B$2:$B$1000,0)),""),"")</f>
        <v>1970</v>
      </c>
      <c r="V37" s="21">
        <f t="shared" si="6"/>
        <v>51</v>
      </c>
      <c r="W37" s="12">
        <v>1</v>
      </c>
      <c r="X37" s="20" t="str">
        <f>IFERROR(INDEX('Firm Master'!$G$2:$G$1000,MATCH($C37,'Firm Master'!$B$2:$B$1000,0)),"")</f>
        <v>Ernst &amp; Young</v>
      </c>
    </row>
    <row r="38" spans="1:24" ht="15" customHeight="1" x14ac:dyDescent="0.3">
      <c r="A38" s="11">
        <v>37</v>
      </c>
      <c r="B38" s="11">
        <v>8</v>
      </c>
      <c r="C38" s="11" t="s">
        <v>746</v>
      </c>
      <c r="D38" s="11" t="s">
        <v>747</v>
      </c>
      <c r="E38" s="11" t="s">
        <v>709</v>
      </c>
      <c r="F38" s="11">
        <v>2022</v>
      </c>
      <c r="G38" s="20">
        <f t="shared" si="0"/>
        <v>0</v>
      </c>
      <c r="H38" s="21">
        <v>0</v>
      </c>
      <c r="I38" s="21">
        <f>IFERROR(INDEX('Coding Sheet'!$AC$2:$AC$731,MATCH($B38&amp;"_"&amp;$F38,'Coding Sheet'!$A$2:$A$731,0)),"")</f>
        <v>25</v>
      </c>
      <c r="J38" s="7">
        <f>IFERROR(INDEX('Coding Sheet'!$AT$2:$AT$731,MATCH($B38&amp;"_"&amp;$F38,'Coding Sheet'!$A$2:$A$731,0)),"")</f>
        <v>0</v>
      </c>
      <c r="K38" s="12">
        <v>36605276013</v>
      </c>
      <c r="L38" s="33">
        <v>0.59</v>
      </c>
      <c r="M38" s="20">
        <f t="shared" si="1"/>
        <v>21597112.847669996</v>
      </c>
      <c r="N38" s="12">
        <v>225321512</v>
      </c>
      <c r="O38" s="12">
        <v>270329520</v>
      </c>
      <c r="P38" s="20">
        <v>7552836</v>
      </c>
      <c r="Q38" s="20">
        <f t="shared" si="2"/>
        <v>0.91339867302568356</v>
      </c>
      <c r="R38" s="20">
        <f t="shared" si="3"/>
        <v>19.415152217270162</v>
      </c>
      <c r="S38" s="20">
        <f t="shared" si="4"/>
        <v>0.8335068696899991</v>
      </c>
      <c r="T38" s="20">
        <f t="shared" si="5"/>
        <v>2.7939368219941352E-2</v>
      </c>
      <c r="U38" s="20">
        <f>IFERROR(IF(ISNUMBER(INDEX('Firm Master'!$E$2:$E$1000,MATCH($C38,'Firm Master'!$B$2:$B$1000,0))),INDEX('Firm Master'!$E$2:$E$1000,MATCH($C38,'Firm Master'!$B$2:$B$1000,0)),""),"")</f>
        <v>1970</v>
      </c>
      <c r="V38" s="21">
        <f t="shared" si="6"/>
        <v>52</v>
      </c>
      <c r="W38" s="12">
        <v>1</v>
      </c>
      <c r="X38" s="20" t="str">
        <f>IFERROR(INDEX('Firm Master'!$G$2:$G$1000,MATCH($C38,'Firm Master'!$B$2:$B$1000,0)),"")</f>
        <v>Ernst &amp; Young</v>
      </c>
    </row>
    <row r="39" spans="1:24" ht="42.75" customHeight="1" x14ac:dyDescent="0.3">
      <c r="A39" s="11">
        <v>38</v>
      </c>
      <c r="B39" s="11">
        <v>8</v>
      </c>
      <c r="C39" s="11" t="s">
        <v>746</v>
      </c>
      <c r="D39" s="11" t="s">
        <v>747</v>
      </c>
      <c r="E39" s="11" t="s">
        <v>709</v>
      </c>
      <c r="F39" s="11">
        <v>2023</v>
      </c>
      <c r="G39" s="20">
        <f t="shared" si="0"/>
        <v>1</v>
      </c>
      <c r="H39" s="21">
        <v>0</v>
      </c>
      <c r="I39" s="21">
        <f>IFERROR(INDEX('Coding Sheet'!$AC$2:$AC$731,MATCH($B39&amp;"_"&amp;$F39,'Coding Sheet'!$A$2:$A$731,0)),"")</f>
        <v>25</v>
      </c>
      <c r="J39" s="7">
        <f>IFERROR(INDEX('Coding Sheet'!$AT$2:$AT$731,MATCH($B39&amp;"_"&amp;$F39,'Coding Sheet'!$A$2:$A$731,0)),"")</f>
        <v>0</v>
      </c>
      <c r="K39" s="12">
        <v>36605276013</v>
      </c>
      <c r="L39" s="33">
        <v>0.76</v>
      </c>
      <c r="M39" s="20">
        <f t="shared" si="1"/>
        <v>27820009.769880001</v>
      </c>
      <c r="N39" s="12">
        <v>266265196</v>
      </c>
      <c r="O39" s="12">
        <v>318095562</v>
      </c>
      <c r="P39" s="20">
        <v>12135796</v>
      </c>
      <c r="Q39" s="20">
        <f t="shared" si="2"/>
        <v>0.92451841805287427</v>
      </c>
      <c r="R39" s="20">
        <f t="shared" si="3"/>
        <v>19.577862405034498</v>
      </c>
      <c r="S39" s="20">
        <f t="shared" si="4"/>
        <v>0.83706039256215714</v>
      </c>
      <c r="T39" s="20">
        <f t="shared" si="5"/>
        <v>3.8151415642824968E-2</v>
      </c>
      <c r="U39" s="20">
        <f>IFERROR(IF(ISNUMBER(INDEX('Firm Master'!$E$2:$E$1000,MATCH($C39,'Firm Master'!$B$2:$B$1000,0))),INDEX('Firm Master'!$E$2:$E$1000,MATCH($C39,'Firm Master'!$B$2:$B$1000,0)),""),"")</f>
        <v>1970</v>
      </c>
      <c r="V39" s="21">
        <f t="shared" si="6"/>
        <v>53</v>
      </c>
      <c r="W39" s="12">
        <v>1</v>
      </c>
      <c r="X39" s="20" t="str">
        <f>IFERROR(INDEX('Firm Master'!$G$2:$G$1000,MATCH($C39,'Firm Master'!$B$2:$B$1000,0)),"")</f>
        <v>Ernst &amp; Young</v>
      </c>
    </row>
    <row r="40" spans="1:24" ht="21.75" customHeight="1" x14ac:dyDescent="0.3">
      <c r="A40" s="11">
        <v>39</v>
      </c>
      <c r="B40" s="11">
        <v>8</v>
      </c>
      <c r="C40" s="11" t="s">
        <v>746</v>
      </c>
      <c r="D40" s="11" t="s">
        <v>747</v>
      </c>
      <c r="E40" s="11" t="s">
        <v>709</v>
      </c>
      <c r="F40" s="11">
        <v>2024</v>
      </c>
      <c r="G40" s="20">
        <f t="shared" si="0"/>
        <v>1</v>
      </c>
      <c r="H40" s="21">
        <v>0</v>
      </c>
      <c r="I40" s="21">
        <f>IFERROR(INDEX('Coding Sheet'!$AC$2:$AC$731,MATCH($B40&amp;"_"&amp;$F40,'Coding Sheet'!$A$2:$A$731,0)),"")</f>
        <v>25</v>
      </c>
      <c r="J40" s="7">
        <f>IFERROR(INDEX('Coding Sheet'!$AT$2:$AT$731,MATCH($B40&amp;"_"&amp;$F40,'Coding Sheet'!$A$2:$A$731,0)),"")</f>
        <v>0</v>
      </c>
      <c r="K40" s="12">
        <v>36605276013</v>
      </c>
      <c r="L40" s="33">
        <v>1.43</v>
      </c>
      <c r="M40" s="20">
        <f t="shared" si="1"/>
        <v>52345544.698589996</v>
      </c>
      <c r="N40" s="12">
        <v>348675411</v>
      </c>
      <c r="O40" s="12">
        <v>416480546</v>
      </c>
      <c r="P40" s="20">
        <v>15192468</v>
      </c>
      <c r="Q40" s="20">
        <f t="shared" si="2"/>
        <v>0.96288040233838434</v>
      </c>
      <c r="R40" s="20">
        <f t="shared" si="3"/>
        <v>19.847350310196994</v>
      </c>
      <c r="S40" s="20">
        <f t="shared" si="4"/>
        <v>0.83719495267853394</v>
      </c>
      <c r="T40" s="20">
        <f t="shared" si="5"/>
        <v>3.6478217640446522E-2</v>
      </c>
      <c r="U40" s="20">
        <f>IFERROR(IF(ISNUMBER(INDEX('Firm Master'!$E$2:$E$1000,MATCH($C40,'Firm Master'!$B$2:$B$1000,0))),INDEX('Firm Master'!$E$2:$E$1000,MATCH($C40,'Firm Master'!$B$2:$B$1000,0)),""),"")</f>
        <v>1970</v>
      </c>
      <c r="V40" s="21">
        <f t="shared" si="6"/>
        <v>54</v>
      </c>
      <c r="W40" s="12">
        <v>1</v>
      </c>
      <c r="X40" s="20" t="str">
        <f>IFERROR(INDEX('Firm Master'!$G$2:$G$1000,MATCH($C40,'Firm Master'!$B$2:$B$1000,0)),"")</f>
        <v>Ernst &amp; Young</v>
      </c>
    </row>
    <row r="41" spans="1:24" ht="21.75" customHeight="1" x14ac:dyDescent="0.3">
      <c r="A41" s="11">
        <v>40</v>
      </c>
      <c r="B41" s="11">
        <v>8</v>
      </c>
      <c r="C41" s="11" t="s">
        <v>746</v>
      </c>
      <c r="D41" s="11" t="s">
        <v>747</v>
      </c>
      <c r="E41" s="11" t="s">
        <v>709</v>
      </c>
      <c r="F41" s="11">
        <v>2025</v>
      </c>
      <c r="G41" s="20">
        <f t="shared" si="0"/>
        <v>1</v>
      </c>
      <c r="H41" s="21">
        <v>0</v>
      </c>
      <c r="I41" s="21">
        <f>IFERROR(INDEX('Coding Sheet'!$AC$2:$AC$731,MATCH($B41&amp;"_"&amp;$F41,'Coding Sheet'!$A$2:$A$731,0)),"")</f>
        <v>50</v>
      </c>
      <c r="J41" s="7">
        <f>IFERROR(INDEX('Coding Sheet'!$AT$2:$AT$731,MATCH($B41&amp;"_"&amp;$F41,'Coding Sheet'!$A$2:$A$731,0)),"")</f>
        <v>6.666666666666667</v>
      </c>
      <c r="K41" s="12">
        <v>36605276013</v>
      </c>
      <c r="L41" s="33">
        <v>3.79</v>
      </c>
      <c r="M41" s="20">
        <f t="shared" si="1"/>
        <v>138733996.08927</v>
      </c>
      <c r="N41" s="12">
        <v>484694109</v>
      </c>
      <c r="O41" s="12">
        <v>579667098</v>
      </c>
      <c r="P41" s="20">
        <v>17862313</v>
      </c>
      <c r="Q41" s="20">
        <f t="shared" si="2"/>
        <v>1.0754933430588982</v>
      </c>
      <c r="R41" s="20">
        <f t="shared" si="3"/>
        <v>20.177964527755979</v>
      </c>
      <c r="S41" s="20">
        <f t="shared" si="4"/>
        <v>0.8361594278376655</v>
      </c>
      <c r="T41" s="20">
        <f t="shared" si="5"/>
        <v>3.0814778105622272E-2</v>
      </c>
      <c r="U41" s="20">
        <f>IFERROR(IF(ISNUMBER(INDEX('Firm Master'!$E$2:$E$1000,MATCH($C41,'Firm Master'!$B$2:$B$1000,0))),INDEX('Firm Master'!$E$2:$E$1000,MATCH($C41,'Firm Master'!$B$2:$B$1000,0)),""),"")</f>
        <v>1970</v>
      </c>
      <c r="V41" s="21">
        <f t="shared" si="6"/>
        <v>55</v>
      </c>
      <c r="W41" s="12">
        <v>1</v>
      </c>
      <c r="X41" s="20" t="str">
        <f>IFERROR(INDEX('Firm Master'!$G$2:$G$1000,MATCH($C41,'Firm Master'!$B$2:$B$1000,0)),"")</f>
        <v>Ernst &amp; Young</v>
      </c>
    </row>
    <row r="42" spans="1:24" ht="42.75" customHeight="1" x14ac:dyDescent="0.3">
      <c r="A42" s="11">
        <v>41</v>
      </c>
      <c r="B42" s="11">
        <v>9</v>
      </c>
      <c r="C42" s="11" t="s">
        <v>750</v>
      </c>
      <c r="D42" s="11" t="s">
        <v>751</v>
      </c>
      <c r="E42" s="11" t="s">
        <v>752</v>
      </c>
      <c r="F42" s="11">
        <v>2021</v>
      </c>
      <c r="G42" s="20">
        <f t="shared" si="0"/>
        <v>0</v>
      </c>
      <c r="H42" s="21">
        <v>0</v>
      </c>
      <c r="I42" s="21">
        <f>IFERROR(INDEX('Coding Sheet'!$AC$2:$AC$731,MATCH($B42&amp;"_"&amp;$F42,'Coding Sheet'!$A$2:$A$731,0)),"")</f>
        <v>5</v>
      </c>
      <c r="J42" s="7">
        <f>IFERROR(INDEX('Coding Sheet'!$AT$2:$AT$731,MATCH($B42&amp;"_"&amp;$F42,'Coding Sheet'!$A$2:$A$731,0)),"")</f>
        <v>0</v>
      </c>
      <c r="K42" s="12">
        <v>3957000000</v>
      </c>
      <c r="L42" s="21">
        <v>710.13</v>
      </c>
      <c r="M42" s="20">
        <f t="shared" si="1"/>
        <v>2809984410</v>
      </c>
      <c r="N42" s="12">
        <v>2656000000</v>
      </c>
      <c r="O42" s="12">
        <v>3996000000</v>
      </c>
      <c r="P42" s="20">
        <v>180400000</v>
      </c>
      <c r="Q42" s="20">
        <f t="shared" si="2"/>
        <v>1.3678639664664665</v>
      </c>
      <c r="R42" s="20">
        <f t="shared" si="3"/>
        <v>22.108559697732719</v>
      </c>
      <c r="S42" s="20">
        <f t="shared" si="4"/>
        <v>0.66466466466466467</v>
      </c>
      <c r="T42" s="20">
        <f t="shared" si="5"/>
        <v>4.5145145145145144E-2</v>
      </c>
      <c r="U42" s="20">
        <f>IFERROR(IF(ISNUMBER(INDEX('Firm Master'!$E$2:$E$1000,MATCH($C42,'Firm Master'!$B$2:$B$1000,0))),INDEX('Firm Master'!$E$2:$E$1000,MATCH($C42,'Firm Master'!$B$2:$B$1000,0)),""),"")</f>
        <v>2010</v>
      </c>
      <c r="V42" s="21">
        <f t="shared" si="6"/>
        <v>11</v>
      </c>
      <c r="W42" s="12">
        <v>1</v>
      </c>
      <c r="X42" s="20" t="str">
        <f>IFERROR(INDEX('Firm Master'!$G$2:$G$1000,MATCH($C42,'Firm Master'!$B$2:$B$1000,0)),"")</f>
        <v>Deloitte LLP</v>
      </c>
    </row>
    <row r="43" spans="1:24" ht="32.25" customHeight="1" x14ac:dyDescent="0.3">
      <c r="A43" s="11">
        <v>42</v>
      </c>
      <c r="B43" s="11">
        <v>9</v>
      </c>
      <c r="C43" s="11" t="s">
        <v>750</v>
      </c>
      <c r="D43" s="11" t="s">
        <v>751</v>
      </c>
      <c r="E43" s="11" t="s">
        <v>752</v>
      </c>
      <c r="F43" s="11">
        <v>2022</v>
      </c>
      <c r="G43" s="20">
        <f t="shared" si="0"/>
        <v>0</v>
      </c>
      <c r="H43" s="21">
        <v>0</v>
      </c>
      <c r="I43" s="21">
        <f>IFERROR(INDEX('Coding Sheet'!$AC$2:$AC$731,MATCH($B43&amp;"_"&amp;$F43,'Coding Sheet'!$A$2:$A$731,0)),"")</f>
        <v>60</v>
      </c>
      <c r="J43" s="7">
        <f>IFERROR(INDEX('Coding Sheet'!$AT$2:$AT$731,MATCH($B43&amp;"_"&amp;$F43,'Coding Sheet'!$A$2:$A$731,0)),"")</f>
        <v>60</v>
      </c>
      <c r="K43" s="12">
        <v>3957000000</v>
      </c>
      <c r="L43" s="21">
        <v>573.66999999999996</v>
      </c>
      <c r="M43" s="20">
        <f t="shared" si="1"/>
        <v>2270012190</v>
      </c>
      <c r="N43" s="12">
        <v>3008857200</v>
      </c>
      <c r="O43" s="12">
        <v>4644477120</v>
      </c>
      <c r="P43" s="20">
        <v>338300400</v>
      </c>
      <c r="Q43" s="20">
        <f t="shared" si="2"/>
        <v>1.1365906761103821</v>
      </c>
      <c r="R43" s="20">
        <f t="shared" si="3"/>
        <v>22.258944634522852</v>
      </c>
      <c r="S43" s="20">
        <f t="shared" si="4"/>
        <v>0.64783550919936495</v>
      </c>
      <c r="T43" s="20">
        <f t="shared" si="5"/>
        <v>7.2839286589057417E-2</v>
      </c>
      <c r="U43" s="20">
        <f>IFERROR(IF(ISNUMBER(INDEX('Firm Master'!$E$2:$E$1000,MATCH($C43,'Firm Master'!$B$2:$B$1000,0))),INDEX('Firm Master'!$E$2:$E$1000,MATCH($C43,'Firm Master'!$B$2:$B$1000,0)),""),"")</f>
        <v>2010</v>
      </c>
      <c r="V43" s="21">
        <f t="shared" si="6"/>
        <v>12</v>
      </c>
      <c r="W43" s="12">
        <v>1</v>
      </c>
      <c r="X43" s="20" t="str">
        <f>IFERROR(INDEX('Firm Master'!$G$2:$G$1000,MATCH($C43,'Firm Master'!$B$2:$B$1000,0)),"")</f>
        <v>Deloitte LLP</v>
      </c>
    </row>
    <row r="44" spans="1:24" ht="53.25" customHeight="1" x14ac:dyDescent="0.3">
      <c r="A44" s="11">
        <v>43</v>
      </c>
      <c r="B44" s="11">
        <v>9</v>
      </c>
      <c r="C44" s="11" t="s">
        <v>750</v>
      </c>
      <c r="D44" s="11" t="s">
        <v>751</v>
      </c>
      <c r="E44" s="11" t="s">
        <v>752</v>
      </c>
      <c r="F44" s="11">
        <v>2023</v>
      </c>
      <c r="G44" s="20">
        <f t="shared" si="0"/>
        <v>1</v>
      </c>
      <c r="H44" s="21">
        <v>0</v>
      </c>
      <c r="I44" s="21">
        <f>IFERROR(INDEX('Coding Sheet'!$AC$2:$AC$731,MATCH($B44&amp;"_"&amp;$F44,'Coding Sheet'!$A$2:$A$731,0)),"")</f>
        <v>55.000000000000007</v>
      </c>
      <c r="J44" s="7">
        <f>IFERROR(INDEX('Coding Sheet'!$AT$2:$AT$731,MATCH($B44&amp;"_"&amp;$F44,'Coding Sheet'!$A$2:$A$731,0)),"")</f>
        <v>53.333333333333336</v>
      </c>
      <c r="K44" s="12">
        <v>3957000000</v>
      </c>
      <c r="L44" s="21">
        <v>1400.05</v>
      </c>
      <c r="M44" s="20">
        <f t="shared" si="1"/>
        <v>5539997850</v>
      </c>
      <c r="N44" s="12">
        <v>3392038000</v>
      </c>
      <c r="O44" s="12">
        <v>5147526000</v>
      </c>
      <c r="P44" s="20">
        <v>322700000</v>
      </c>
      <c r="Q44" s="20">
        <f t="shared" si="2"/>
        <v>1.7352094676160936</v>
      </c>
      <c r="R44" s="20">
        <f t="shared" si="3"/>
        <v>22.36178204784909</v>
      </c>
      <c r="S44" s="20">
        <f t="shared" si="4"/>
        <v>0.65896471431130221</v>
      </c>
      <c r="T44" s="20">
        <f t="shared" si="5"/>
        <v>6.2690309869245925E-2</v>
      </c>
      <c r="U44" s="20">
        <f>IFERROR(IF(ISNUMBER(INDEX('Firm Master'!$E$2:$E$1000,MATCH($C44,'Firm Master'!$B$2:$B$1000,0))),INDEX('Firm Master'!$E$2:$E$1000,MATCH($C44,'Firm Master'!$B$2:$B$1000,0)),""),"")</f>
        <v>2010</v>
      </c>
      <c r="V44" s="21">
        <f t="shared" si="6"/>
        <v>13</v>
      </c>
      <c r="W44" s="12">
        <v>1</v>
      </c>
      <c r="X44" s="20" t="str">
        <f>IFERROR(INDEX('Firm Master'!$G$2:$G$1000,MATCH($C44,'Firm Master'!$B$2:$B$1000,0)),"")</f>
        <v>Deloitte LLP</v>
      </c>
    </row>
    <row r="45" spans="1:24" ht="53.25" customHeight="1" x14ac:dyDescent="0.3">
      <c r="A45" s="11">
        <v>44</v>
      </c>
      <c r="B45" s="11">
        <v>9</v>
      </c>
      <c r="C45" s="11" t="s">
        <v>750</v>
      </c>
      <c r="D45" s="11" t="s">
        <v>751</v>
      </c>
      <c r="E45" s="11" t="s">
        <v>752</v>
      </c>
      <c r="F45" s="11">
        <v>2024</v>
      </c>
      <c r="G45" s="20">
        <f t="shared" si="0"/>
        <v>1</v>
      </c>
      <c r="H45" s="21">
        <v>0</v>
      </c>
      <c r="I45" s="21">
        <f>IFERROR(INDEX('Coding Sheet'!$AC$2:$AC$731,MATCH($B45&amp;"_"&amp;$F45,'Coding Sheet'!$A$2:$A$731,0)),"")</f>
        <v>85</v>
      </c>
      <c r="J45" s="7">
        <f>IFERROR(INDEX('Coding Sheet'!$AT$2:$AT$731,MATCH($B45&amp;"_"&amp;$F45,'Coding Sheet'!$A$2:$A$731,0)),"")</f>
        <v>86.666666666666671</v>
      </c>
      <c r="K45" s="12">
        <v>3888000000</v>
      </c>
      <c r="L45" s="21">
        <v>2078.19</v>
      </c>
      <c r="M45" s="20">
        <f t="shared" si="1"/>
        <v>8080002720</v>
      </c>
      <c r="N45" s="12">
        <v>10207350000</v>
      </c>
      <c r="O45" s="12">
        <v>13312350000</v>
      </c>
      <c r="P45" s="20">
        <v>-120150000</v>
      </c>
      <c r="Q45" s="20">
        <f t="shared" si="2"/>
        <v>1.3737133353615252</v>
      </c>
      <c r="R45" s="20">
        <f t="shared" si="3"/>
        <v>23.311958012746942</v>
      </c>
      <c r="S45" s="20">
        <f t="shared" si="4"/>
        <v>0.76675793530067948</v>
      </c>
      <c r="T45" s="20">
        <f t="shared" si="5"/>
        <v>-9.0254538079302307E-3</v>
      </c>
      <c r="U45" s="20">
        <f>IFERROR(IF(ISNUMBER(INDEX('Firm Master'!$E$2:$E$1000,MATCH($C45,'Firm Master'!$B$2:$B$1000,0))),INDEX('Firm Master'!$E$2:$E$1000,MATCH($C45,'Firm Master'!$B$2:$B$1000,0)),""),"")</f>
        <v>2010</v>
      </c>
      <c r="V45" s="21">
        <f t="shared" si="6"/>
        <v>14</v>
      </c>
      <c r="W45" s="12">
        <v>1</v>
      </c>
      <c r="X45" s="20" t="str">
        <f>IFERROR(INDEX('Firm Master'!$G$2:$G$1000,MATCH($C45,'Firm Master'!$B$2:$B$1000,0)),"")</f>
        <v>Deloitte LLP</v>
      </c>
    </row>
    <row r="46" spans="1:24" ht="74.25" customHeight="1" x14ac:dyDescent="0.3">
      <c r="A46" s="11">
        <v>45</v>
      </c>
      <c r="B46" s="11">
        <v>9</v>
      </c>
      <c r="C46" s="11" t="s">
        <v>750</v>
      </c>
      <c r="D46" s="11" t="s">
        <v>751</v>
      </c>
      <c r="E46" s="11" t="s">
        <v>752</v>
      </c>
      <c r="F46" s="11">
        <v>2025</v>
      </c>
      <c r="G46" s="20">
        <f t="shared" si="0"/>
        <v>1</v>
      </c>
      <c r="H46" s="21">
        <v>0</v>
      </c>
      <c r="I46" s="21">
        <f>IFERROR(INDEX('Coding Sheet'!$AC$2:$AC$731,MATCH($B46&amp;"_"&amp;$F46,'Coding Sheet'!$A$2:$A$731,0)),"")</f>
        <v>90</v>
      </c>
      <c r="J46" s="7">
        <f>IFERROR(INDEX('Coding Sheet'!$AT$2:$AT$731,MATCH($B46&amp;"_"&amp;$F46,'Coding Sheet'!$A$2:$A$731,0)),"")</f>
        <v>93.333333333333329</v>
      </c>
      <c r="K46" s="12">
        <v>3648813500</v>
      </c>
      <c r="L46" s="21">
        <v>6900.87</v>
      </c>
      <c r="M46" s="20">
        <f t="shared" si="1"/>
        <v>25179987617.744999</v>
      </c>
      <c r="N46" s="12">
        <v>13393163000</v>
      </c>
      <c r="O46" s="12">
        <v>17410065000</v>
      </c>
      <c r="P46" s="20">
        <v>474964000</v>
      </c>
      <c r="Q46" s="20">
        <f t="shared" si="2"/>
        <v>2.2155661462346634</v>
      </c>
      <c r="R46" s="20">
        <f t="shared" si="3"/>
        <v>23.580314324206043</v>
      </c>
      <c r="S46" s="20">
        <f t="shared" si="4"/>
        <v>0.76927702452575564</v>
      </c>
      <c r="T46" s="20">
        <f t="shared" si="5"/>
        <v>2.7281000961225588E-2</v>
      </c>
      <c r="U46" s="20">
        <f>IFERROR(IF(ISNUMBER(INDEX('Firm Master'!$E$2:$E$1000,MATCH($C46,'Firm Master'!$B$2:$B$1000,0))),INDEX('Firm Master'!$E$2:$E$1000,MATCH($C46,'Firm Master'!$B$2:$B$1000,0)),""),"")</f>
        <v>2010</v>
      </c>
      <c r="V46" s="21">
        <f t="shared" si="6"/>
        <v>15</v>
      </c>
      <c r="W46" s="12">
        <v>1</v>
      </c>
      <c r="X46" s="20" t="str">
        <f>IFERROR(INDEX('Firm Master'!$G$2:$G$1000,MATCH($C46,'Firm Master'!$B$2:$B$1000,0)),"")</f>
        <v>Deloitte LLP</v>
      </c>
    </row>
    <row r="47" spans="1:24" ht="27.75" customHeight="1" x14ac:dyDescent="0.3">
      <c r="A47" s="16">
        <v>46</v>
      </c>
      <c r="B47" s="16">
        <v>10</v>
      </c>
      <c r="C47" s="16" t="s">
        <v>756</v>
      </c>
      <c r="D47" s="16" t="s">
        <v>757</v>
      </c>
      <c r="E47" s="16" t="s">
        <v>758</v>
      </c>
      <c r="F47" s="16">
        <v>2021</v>
      </c>
      <c r="G47" s="16">
        <f t="shared" si="0"/>
        <v>0</v>
      </c>
      <c r="H47" s="16">
        <v>0</v>
      </c>
      <c r="I47" s="16">
        <f>IFERROR(INDEX('Coding Sheet'!$AC$2:$AC$731,MATCH($B47&amp;"_"&amp;$F47,'Coding Sheet'!$A$2:$A$731,0)),"")</f>
        <v>0</v>
      </c>
      <c r="J47" s="22">
        <f>IFERROR(INDEX('Coding Sheet'!$AT$2:$AT$731,MATCH($B47&amp;"_"&amp;$F47,'Coding Sheet'!$A$2:$A$731,0)),"")</f>
        <v>0</v>
      </c>
      <c r="K47" s="16">
        <v>219956000</v>
      </c>
      <c r="L47" s="16">
        <v>7.1832000000000003</v>
      </c>
      <c r="M47" s="16">
        <f t="shared" si="1"/>
        <v>1579987.9392000001</v>
      </c>
      <c r="N47" s="16">
        <v>425599</v>
      </c>
      <c r="O47" s="16">
        <v>2824172</v>
      </c>
      <c r="P47" s="16">
        <v>66941</v>
      </c>
      <c r="Q47" s="16">
        <f t="shared" si="2"/>
        <v>0.71015042256633099</v>
      </c>
      <c r="R47" s="16">
        <f t="shared" si="3"/>
        <v>14.853725782256124</v>
      </c>
      <c r="S47" s="16">
        <f t="shared" si="4"/>
        <v>0.15069868265813838</v>
      </c>
      <c r="T47" s="16">
        <f t="shared" si="5"/>
        <v>2.3702876453700412E-2</v>
      </c>
      <c r="U47" s="16">
        <f>IFERROR(IF(ISNUMBER(INDEX('Firm Master'!$E$2:$E$1000,MATCH($C47,'Firm Master'!$B$2:$B$1000,0))),INDEX('Firm Master'!$E$2:$E$1000,MATCH($C47,'Firm Master'!$B$2:$B$1000,0)),""),"")</f>
        <v>1982</v>
      </c>
      <c r="V47" s="16">
        <f t="shared" si="6"/>
        <v>39</v>
      </c>
      <c r="W47" s="16">
        <v>0</v>
      </c>
      <c r="X47" s="16" t="str">
        <f>IFERROR(INDEX('Firm Master'!$G$2:$G$1000,MATCH($C47,'Firm Master'!$B$2:$B$1000,0)),"")</f>
        <v>Madu, Onyekwena &amp; Co</v>
      </c>
    </row>
    <row r="48" spans="1:24" ht="27.75" customHeight="1" x14ac:dyDescent="0.3">
      <c r="A48" s="16">
        <v>47</v>
      </c>
      <c r="B48" s="16">
        <v>10</v>
      </c>
      <c r="C48" s="16" t="s">
        <v>756</v>
      </c>
      <c r="D48" s="16" t="s">
        <v>757</v>
      </c>
      <c r="E48" s="16" t="s">
        <v>758</v>
      </c>
      <c r="F48" s="16">
        <v>2022</v>
      </c>
      <c r="G48" s="16">
        <f t="shared" si="0"/>
        <v>0</v>
      </c>
      <c r="H48" s="16">
        <v>0</v>
      </c>
      <c r="I48" s="16">
        <f>IFERROR(INDEX('Coding Sheet'!$AC$2:$AC$731,MATCH($B48&amp;"_"&amp;$F48,'Coding Sheet'!$A$2:$A$731,0)),"")</f>
        <v>0</v>
      </c>
      <c r="J48" s="22">
        <f>IFERROR(INDEX('Coding Sheet'!$AT$2:$AT$731,MATCH($B48&amp;"_"&amp;$F48,'Coding Sheet'!$A$2:$A$731,0)),"")</f>
        <v>0</v>
      </c>
      <c r="K48" s="16">
        <v>219956000</v>
      </c>
      <c r="L48" s="16">
        <v>6.5</v>
      </c>
      <c r="M48" s="16">
        <f t="shared" si="1"/>
        <v>1429714</v>
      </c>
      <c r="N48" s="16">
        <v>621060</v>
      </c>
      <c r="O48" s="16">
        <v>3068000</v>
      </c>
      <c r="P48" s="16">
        <v>48530</v>
      </c>
      <c r="Q48" s="16">
        <f t="shared" si="2"/>
        <v>0.66844002607561925</v>
      </c>
      <c r="R48" s="16">
        <f t="shared" si="3"/>
        <v>14.936536441469284</v>
      </c>
      <c r="S48" s="16">
        <f t="shared" si="4"/>
        <v>0.20243155149934811</v>
      </c>
      <c r="T48" s="16">
        <f t="shared" si="5"/>
        <v>1.581812255541069E-2</v>
      </c>
      <c r="U48" s="16">
        <f>IFERROR(IF(ISNUMBER(INDEX('Firm Master'!$E$2:$E$1000,MATCH($C48,'Firm Master'!$B$2:$B$1000,0))),INDEX('Firm Master'!$E$2:$E$1000,MATCH($C48,'Firm Master'!$B$2:$B$1000,0)),""),"")</f>
        <v>1982</v>
      </c>
      <c r="V48" s="16">
        <f t="shared" si="6"/>
        <v>40</v>
      </c>
      <c r="W48" s="16">
        <v>0</v>
      </c>
      <c r="X48" s="16" t="str">
        <f>IFERROR(INDEX('Firm Master'!$G$2:$G$1000,MATCH($C48,'Firm Master'!$B$2:$B$1000,0)),"")</f>
        <v>Madu, Onyekwena &amp; Co</v>
      </c>
    </row>
    <row r="49" spans="1:24" ht="32.25" customHeight="1" x14ac:dyDescent="0.3">
      <c r="A49" s="16">
        <v>48</v>
      </c>
      <c r="B49" s="16">
        <v>10</v>
      </c>
      <c r="C49" s="16" t="s">
        <v>756</v>
      </c>
      <c r="D49" s="16" t="s">
        <v>757</v>
      </c>
      <c r="E49" s="16" t="s">
        <v>758</v>
      </c>
      <c r="F49" s="16">
        <v>2023</v>
      </c>
      <c r="G49" s="16">
        <f t="shared" si="0"/>
        <v>1</v>
      </c>
      <c r="H49" s="16">
        <v>0</v>
      </c>
      <c r="I49" s="16">
        <f>IFERROR(INDEX('Coding Sheet'!$AC$2:$AC$731,MATCH($B49&amp;"_"&amp;$F49,'Coding Sheet'!$A$2:$A$731,0)),"")</f>
        <v>0</v>
      </c>
      <c r="J49" s="22">
        <f>IFERROR(INDEX('Coding Sheet'!$AT$2:$AT$731,MATCH($B49&amp;"_"&amp;$F49,'Coding Sheet'!$A$2:$A$731,0)),"")</f>
        <v>0</v>
      </c>
      <c r="K49" s="16">
        <v>219956000</v>
      </c>
      <c r="L49" s="16">
        <v>7.15</v>
      </c>
      <c r="M49" s="16">
        <f t="shared" si="1"/>
        <v>1572685.4</v>
      </c>
      <c r="N49" s="16">
        <v>752010</v>
      </c>
      <c r="O49" s="16">
        <v>3076000</v>
      </c>
      <c r="P49" s="16">
        <v>117100</v>
      </c>
      <c r="Q49" s="16">
        <f t="shared" si="2"/>
        <v>0.75575273081924577</v>
      </c>
      <c r="R49" s="16">
        <f t="shared" si="3"/>
        <v>14.939140609607671</v>
      </c>
      <c r="S49" s="16">
        <f t="shared" si="4"/>
        <v>0.24447659297789337</v>
      </c>
      <c r="T49" s="16">
        <f t="shared" si="5"/>
        <v>3.8068920676202864E-2</v>
      </c>
      <c r="U49" s="16">
        <f>IFERROR(IF(ISNUMBER(INDEX('Firm Master'!$E$2:$E$1000,MATCH($C49,'Firm Master'!$B$2:$B$1000,0))),INDEX('Firm Master'!$E$2:$E$1000,MATCH($C49,'Firm Master'!$B$2:$B$1000,0)),""),"")</f>
        <v>1982</v>
      </c>
      <c r="V49" s="16">
        <f t="shared" si="6"/>
        <v>41</v>
      </c>
      <c r="W49" s="16">
        <v>0</v>
      </c>
      <c r="X49" s="16" t="str">
        <f>IFERROR(INDEX('Firm Master'!$G$2:$G$1000,MATCH($C49,'Firm Master'!$B$2:$B$1000,0)),"")</f>
        <v>Madu, Onyekwena &amp; Co</v>
      </c>
    </row>
    <row r="50" spans="1:24" ht="27.75" customHeight="1" x14ac:dyDescent="0.3">
      <c r="A50" s="16">
        <v>49</v>
      </c>
      <c r="B50" s="16">
        <v>10</v>
      </c>
      <c r="C50" s="16" t="s">
        <v>756</v>
      </c>
      <c r="D50" s="16" t="s">
        <v>757</v>
      </c>
      <c r="E50" s="16" t="s">
        <v>758</v>
      </c>
      <c r="F50" s="16">
        <v>2024</v>
      </c>
      <c r="G50" s="16">
        <f t="shared" si="0"/>
        <v>1</v>
      </c>
      <c r="H50" s="16">
        <v>0</v>
      </c>
      <c r="I50" s="16">
        <f>IFERROR(INDEX('Coding Sheet'!$AC$2:$AC$731,MATCH($B50&amp;"_"&amp;$F50,'Coding Sheet'!$A$2:$A$731,0)),"")</f>
        <v>0</v>
      </c>
      <c r="J50" s="22">
        <f>IFERROR(INDEX('Coding Sheet'!$AT$2:$AT$731,MATCH($B50&amp;"_"&amp;$F50,'Coding Sheet'!$A$2:$A$731,0)),"")</f>
        <v>0</v>
      </c>
      <c r="K50" s="16">
        <v>219956000</v>
      </c>
      <c r="L50" s="16">
        <v>7.1380999999999997</v>
      </c>
      <c r="M50" s="16">
        <f t="shared" si="1"/>
        <v>1570067.9235999999</v>
      </c>
      <c r="N50" s="16">
        <v>1002121</v>
      </c>
      <c r="O50" s="16">
        <v>8082372</v>
      </c>
      <c r="P50" s="16">
        <v>-200250</v>
      </c>
      <c r="Q50" s="16">
        <f t="shared" si="2"/>
        <v>0.31824678740349982</v>
      </c>
      <c r="R50" s="16">
        <f t="shared" si="3"/>
        <v>15.905195951772129</v>
      </c>
      <c r="S50" s="16">
        <f t="shared" si="4"/>
        <v>0.12398847763997994</v>
      </c>
      <c r="T50" s="16">
        <f t="shared" si="5"/>
        <v>-2.477614244927108E-2</v>
      </c>
      <c r="U50" s="16">
        <f>IFERROR(IF(ISNUMBER(INDEX('Firm Master'!$E$2:$E$1000,MATCH($C50,'Firm Master'!$B$2:$B$1000,0))),INDEX('Firm Master'!$E$2:$E$1000,MATCH($C50,'Firm Master'!$B$2:$B$1000,0)),""),"")</f>
        <v>1982</v>
      </c>
      <c r="V50" s="16">
        <f t="shared" si="6"/>
        <v>42</v>
      </c>
      <c r="W50" s="16">
        <v>0</v>
      </c>
      <c r="X50" s="16" t="str">
        <f>IFERROR(INDEX('Firm Master'!$G$2:$G$1000,MATCH($C50,'Firm Master'!$B$2:$B$1000,0)),"")</f>
        <v>Madu, Onyekwena &amp; Co</v>
      </c>
    </row>
    <row r="51" spans="1:24" ht="32.25" customHeight="1" x14ac:dyDescent="0.3">
      <c r="A51" s="16">
        <v>50</v>
      </c>
      <c r="B51" s="16">
        <v>10</v>
      </c>
      <c r="C51" s="16" t="s">
        <v>756</v>
      </c>
      <c r="D51" s="16" t="s">
        <v>757</v>
      </c>
      <c r="E51" s="16" t="s">
        <v>758</v>
      </c>
      <c r="F51" s="16">
        <v>2025</v>
      </c>
      <c r="G51" s="16">
        <f t="shared" si="0"/>
        <v>1</v>
      </c>
      <c r="H51" s="16">
        <v>0</v>
      </c>
      <c r="I51" s="16">
        <f>IFERROR(INDEX('Coding Sheet'!$AC$2:$AC$731,MATCH($B51&amp;"_"&amp;$F51,'Coding Sheet'!$A$2:$A$731,0)),"")</f>
        <v>0</v>
      </c>
      <c r="J51" s="22">
        <f>IFERROR(INDEX('Coding Sheet'!$AT$2:$AT$731,MATCH($B51&amp;"_"&amp;$F51,'Coding Sheet'!$A$2:$A$731,0)),"")</f>
        <v>0</v>
      </c>
      <c r="K51" s="16">
        <v>219956000</v>
      </c>
      <c r="L51" s="16">
        <v>21.640699999999999</v>
      </c>
      <c r="M51" s="16">
        <f t="shared" si="1"/>
        <v>4760001.8092</v>
      </c>
      <c r="N51" s="16">
        <v>971730</v>
      </c>
      <c r="O51" s="16">
        <v>3650000</v>
      </c>
      <c r="P51" s="16">
        <v>-397800</v>
      </c>
      <c r="Q51" s="16">
        <f t="shared" si="2"/>
        <v>1.5703374819726028</v>
      </c>
      <c r="R51" s="16">
        <f t="shared" si="3"/>
        <v>15.110237725558674</v>
      </c>
      <c r="S51" s="16">
        <f t="shared" si="4"/>
        <v>0.26622739726027395</v>
      </c>
      <c r="T51" s="16">
        <f t="shared" si="5"/>
        <v>-0.10898630136986301</v>
      </c>
      <c r="U51" s="16">
        <f>IFERROR(IF(ISNUMBER(INDEX('Firm Master'!$E$2:$E$1000,MATCH($C51,'Firm Master'!$B$2:$B$1000,0))),INDEX('Firm Master'!$E$2:$E$1000,MATCH($C51,'Firm Master'!$B$2:$B$1000,0)),""),"")</f>
        <v>1982</v>
      </c>
      <c r="V51" s="16">
        <f t="shared" si="6"/>
        <v>43</v>
      </c>
      <c r="W51" s="16">
        <v>0</v>
      </c>
      <c r="X51" s="16" t="str">
        <f>IFERROR(INDEX('Firm Master'!$G$2:$G$1000,MATCH($C51,'Firm Master'!$B$2:$B$1000,0)),"")</f>
        <v>Madu, Onyekwena &amp; Co</v>
      </c>
    </row>
    <row r="52" spans="1:24" ht="23.25" customHeight="1" x14ac:dyDescent="0.3">
      <c r="A52" s="16">
        <v>51</v>
      </c>
      <c r="B52" s="16">
        <v>11</v>
      </c>
      <c r="C52" s="16" t="s">
        <v>764</v>
      </c>
      <c r="D52" s="16" t="s">
        <v>765</v>
      </c>
      <c r="E52" s="16" t="s">
        <v>766</v>
      </c>
      <c r="F52" s="16">
        <v>2021</v>
      </c>
      <c r="G52" s="16">
        <f t="shared" si="0"/>
        <v>0</v>
      </c>
      <c r="H52" s="16">
        <v>0</v>
      </c>
      <c r="I52" s="16" t="str">
        <f>IFERROR(INDEX('Coding Sheet'!$AC$2:$AC$731,MATCH($B52&amp;"_"&amp;$F52,'Coding Sheet'!$A$2:$A$731,0)),"")</f>
        <v/>
      </c>
      <c r="J52" s="22" t="str">
        <f>IFERROR(INDEX('Coding Sheet'!$AT$2:$AT$731,MATCH($B52&amp;"_"&amp;$F52,'Coding Sheet'!$A$2:$A$731,0)),"")</f>
        <v/>
      </c>
      <c r="K52" s="16"/>
      <c r="L52" s="16"/>
      <c r="M52" s="16" t="str">
        <f t="shared" si="1"/>
        <v/>
      </c>
      <c r="N52" s="16"/>
      <c r="O52" s="16"/>
      <c r="P52" s="16"/>
      <c r="Q52" s="16" t="str">
        <f t="shared" si="2"/>
        <v/>
      </c>
      <c r="R52" s="16" t="str">
        <f t="shared" si="3"/>
        <v/>
      </c>
      <c r="S52" s="16" t="str">
        <f t="shared" si="4"/>
        <v/>
      </c>
      <c r="T52" s="16" t="str">
        <f t="shared" si="5"/>
        <v/>
      </c>
      <c r="U52" s="16">
        <f>IFERROR(IF(ISNUMBER(INDEX('Firm Master'!$E$2:$E$1000,MATCH($C52,'Firm Master'!$B$2:$B$1000,0))),INDEX('Firm Master'!$E$2:$E$1000,MATCH($C52,'Firm Master'!$B$2:$B$1000,0)),""),"")</f>
        <v>1992</v>
      </c>
      <c r="V52" s="16">
        <f t="shared" si="6"/>
        <v>29</v>
      </c>
      <c r="W52" s="16">
        <v>1</v>
      </c>
      <c r="X52" s="16" t="str">
        <f>IFERROR(INDEX('Firm Master'!$G$2:$G$1000,MATCH($C52,'Firm Master'!$B$2:$B$1000,0)),"")</f>
        <v>Deloitte &amp; Touche (FY2025); KPMG from FY2026</v>
      </c>
    </row>
    <row r="53" spans="1:24" ht="23.25" customHeight="1" x14ac:dyDescent="0.3">
      <c r="A53" s="16">
        <v>52</v>
      </c>
      <c r="B53" s="16">
        <v>11</v>
      </c>
      <c r="C53" s="16" t="s">
        <v>764</v>
      </c>
      <c r="D53" s="16" t="s">
        <v>765</v>
      </c>
      <c r="E53" s="16" t="s">
        <v>766</v>
      </c>
      <c r="F53" s="16">
        <v>2022</v>
      </c>
      <c r="G53" s="16">
        <f t="shared" si="0"/>
        <v>0</v>
      </c>
      <c r="H53" s="16">
        <v>0</v>
      </c>
      <c r="I53" s="16">
        <f>IFERROR(INDEX('Coding Sheet'!$AC$2:$AC$731,MATCH($B53&amp;"_"&amp;$F53,'Coding Sheet'!$A$2:$A$731,0)),"")</f>
        <v>30</v>
      </c>
      <c r="J53" s="22">
        <f>IFERROR(INDEX('Coding Sheet'!$AT$2:$AT$731,MATCH($B53&amp;"_"&amp;$F53,'Coding Sheet'!$A$2:$A$731,0)),"")</f>
        <v>0</v>
      </c>
      <c r="K53" s="16"/>
      <c r="L53" s="16"/>
      <c r="M53" s="16" t="str">
        <f t="shared" si="1"/>
        <v/>
      </c>
      <c r="N53" s="16"/>
      <c r="O53" s="16"/>
      <c r="P53" s="16"/>
      <c r="Q53" s="16" t="str">
        <f t="shared" si="2"/>
        <v/>
      </c>
      <c r="R53" s="16" t="str">
        <f t="shared" si="3"/>
        <v/>
      </c>
      <c r="S53" s="16" t="str">
        <f t="shared" si="4"/>
        <v/>
      </c>
      <c r="T53" s="16" t="str">
        <f t="shared" si="5"/>
        <v/>
      </c>
      <c r="U53" s="16">
        <f>IFERROR(IF(ISNUMBER(INDEX('Firm Master'!$E$2:$E$1000,MATCH($C53,'Firm Master'!$B$2:$B$1000,0))),INDEX('Firm Master'!$E$2:$E$1000,MATCH($C53,'Firm Master'!$B$2:$B$1000,0)),""),"")</f>
        <v>1992</v>
      </c>
      <c r="V53" s="16">
        <f t="shared" si="6"/>
        <v>30</v>
      </c>
      <c r="W53" s="16">
        <v>1</v>
      </c>
      <c r="X53" s="16" t="str">
        <f>IFERROR(INDEX('Firm Master'!$G$2:$G$1000,MATCH($C53,'Firm Master'!$B$2:$B$1000,0)),"")</f>
        <v>Deloitte &amp; Touche (FY2025); KPMG from FY2026</v>
      </c>
    </row>
    <row r="54" spans="1:24" ht="23.25" customHeight="1" x14ac:dyDescent="0.3">
      <c r="A54" s="16">
        <v>53</v>
      </c>
      <c r="B54" s="16">
        <v>11</v>
      </c>
      <c r="C54" s="16" t="s">
        <v>764</v>
      </c>
      <c r="D54" s="16" t="s">
        <v>765</v>
      </c>
      <c r="E54" s="16" t="s">
        <v>766</v>
      </c>
      <c r="F54" s="16">
        <v>2023</v>
      </c>
      <c r="G54" s="16">
        <f t="shared" si="0"/>
        <v>1</v>
      </c>
      <c r="H54" s="16">
        <v>0</v>
      </c>
      <c r="I54" s="16" t="str">
        <f>IFERROR(INDEX('Coding Sheet'!$AC$2:$AC$731,MATCH($B54&amp;"_"&amp;$F54,'Coding Sheet'!$A$2:$A$731,0)),"")</f>
        <v/>
      </c>
      <c r="J54" s="22" t="str">
        <f>IFERROR(INDEX('Coding Sheet'!$AT$2:$AT$731,MATCH($B54&amp;"_"&amp;$F54,'Coding Sheet'!$A$2:$A$731,0)),"")</f>
        <v/>
      </c>
      <c r="K54" s="16"/>
      <c r="L54" s="16"/>
      <c r="M54" s="16" t="str">
        <f t="shared" si="1"/>
        <v/>
      </c>
      <c r="N54" s="16"/>
      <c r="O54" s="16"/>
      <c r="P54" s="16"/>
      <c r="Q54" s="16" t="str">
        <f t="shared" si="2"/>
        <v/>
      </c>
      <c r="R54" s="16" t="str">
        <f t="shared" si="3"/>
        <v/>
      </c>
      <c r="S54" s="16" t="str">
        <f t="shared" si="4"/>
        <v/>
      </c>
      <c r="T54" s="16" t="str">
        <f t="shared" si="5"/>
        <v/>
      </c>
      <c r="U54" s="16">
        <f>IFERROR(IF(ISNUMBER(INDEX('Firm Master'!$E$2:$E$1000,MATCH($C54,'Firm Master'!$B$2:$B$1000,0))),INDEX('Firm Master'!$E$2:$E$1000,MATCH($C54,'Firm Master'!$B$2:$B$1000,0)),""),"")</f>
        <v>1992</v>
      </c>
      <c r="V54" s="16">
        <f t="shared" si="6"/>
        <v>31</v>
      </c>
      <c r="W54" s="16">
        <v>1</v>
      </c>
      <c r="X54" s="16" t="str">
        <f>IFERROR(INDEX('Firm Master'!$G$2:$G$1000,MATCH($C54,'Firm Master'!$B$2:$B$1000,0)),"")</f>
        <v>Deloitte &amp; Touche (FY2025); KPMG from FY2026</v>
      </c>
    </row>
    <row r="55" spans="1:24" ht="42.75" customHeight="1" x14ac:dyDescent="0.3">
      <c r="A55" s="11">
        <v>54</v>
      </c>
      <c r="B55" s="11">
        <v>11</v>
      </c>
      <c r="C55" s="11" t="s">
        <v>764</v>
      </c>
      <c r="D55" s="11" t="s">
        <v>765</v>
      </c>
      <c r="E55" s="11" t="s">
        <v>766</v>
      </c>
      <c r="F55" s="11">
        <v>2024</v>
      </c>
      <c r="G55" s="20">
        <f t="shared" si="0"/>
        <v>1</v>
      </c>
      <c r="H55" s="21">
        <v>0</v>
      </c>
      <c r="I55" s="21">
        <f>IFERROR(INDEX('Coding Sheet'!$AC$2:$AC$731,MATCH($B55&amp;"_"&amp;$F55,'Coding Sheet'!$A$2:$A$731,0)),"")</f>
        <v>35</v>
      </c>
      <c r="J55" s="7">
        <f>IFERROR(INDEX('Coding Sheet'!$AT$2:$AT$731,MATCH($B55&amp;"_"&amp;$F55,'Coding Sheet'!$A$2:$A$731,0)),"")</f>
        <v>0</v>
      </c>
      <c r="K55" s="12">
        <v>4344844360</v>
      </c>
      <c r="L55" s="33">
        <v>772.9</v>
      </c>
      <c r="M55" s="20">
        <f t="shared" si="1"/>
        <v>3358130205.8439999</v>
      </c>
      <c r="N55" s="12">
        <v>345725660</v>
      </c>
      <c r="O55" s="12">
        <v>1749835623</v>
      </c>
      <c r="P55" s="20">
        <v>259072447</v>
      </c>
      <c r="Q55" s="20">
        <f t="shared" si="2"/>
        <v>2.1166878860849434</v>
      </c>
      <c r="R55" s="20">
        <f t="shared" si="3"/>
        <v>21.282787690755875</v>
      </c>
      <c r="S55" s="20">
        <f t="shared" si="4"/>
        <v>0.1975760782645811</v>
      </c>
      <c r="T55" s="20">
        <f t="shared" si="5"/>
        <v>0.14805530507821876</v>
      </c>
      <c r="U55" s="20">
        <f>IFERROR(IF(ISNUMBER(INDEX('Firm Master'!$E$2:$E$1000,MATCH($C55,'Firm Master'!$B$2:$B$1000,0))),INDEX('Firm Master'!$E$2:$E$1000,MATCH($C55,'Firm Master'!$B$2:$B$1000,0)),""),"")</f>
        <v>1992</v>
      </c>
      <c r="V55" s="21">
        <f t="shared" si="6"/>
        <v>32</v>
      </c>
      <c r="W55" s="12">
        <v>1</v>
      </c>
      <c r="X55" s="20" t="str">
        <f>IFERROR(INDEX('Firm Master'!$G$2:$G$1000,MATCH($C55,'Firm Master'!$B$2:$B$1000,0)),"")</f>
        <v>Deloitte &amp; Touche (FY2025); KPMG from FY2026</v>
      </c>
    </row>
    <row r="56" spans="1:24" ht="53.25" customHeight="1" x14ac:dyDescent="0.3">
      <c r="A56" s="11">
        <v>55</v>
      </c>
      <c r="B56" s="11">
        <v>11</v>
      </c>
      <c r="C56" s="11" t="s">
        <v>764</v>
      </c>
      <c r="D56" s="11" t="s">
        <v>765</v>
      </c>
      <c r="E56" s="11" t="s">
        <v>766</v>
      </c>
      <c r="F56" s="11">
        <v>2025</v>
      </c>
      <c r="G56" s="20">
        <f t="shared" si="0"/>
        <v>1</v>
      </c>
      <c r="H56" s="21">
        <v>0</v>
      </c>
      <c r="I56" s="21">
        <f>IFERROR(INDEX('Coding Sheet'!$AC$2:$AC$731,MATCH($B56&amp;"_"&amp;$F56,'Coding Sheet'!$A$2:$A$731,0)),"")</f>
        <v>30</v>
      </c>
      <c r="J56" s="7">
        <f>IFERROR(INDEX('Coding Sheet'!$AT$2:$AT$731,MATCH($B56&amp;"_"&amp;$F56,'Coding Sheet'!$A$2:$A$731,0)),"")</f>
        <v>0</v>
      </c>
      <c r="K56" s="12">
        <v>4344844360</v>
      </c>
      <c r="L56" s="33">
        <v>670</v>
      </c>
      <c r="M56" s="20">
        <f t="shared" si="1"/>
        <v>2911045721.1999998</v>
      </c>
      <c r="N56" s="12">
        <v>7747863326</v>
      </c>
      <c r="O56" s="12">
        <v>9896139369</v>
      </c>
      <c r="P56" s="20">
        <v>757342748</v>
      </c>
      <c r="Q56" s="20">
        <f t="shared" si="2"/>
        <v>1.0770774995943775</v>
      </c>
      <c r="R56" s="20">
        <f t="shared" si="3"/>
        <v>23.015410555304445</v>
      </c>
      <c r="S56" s="20">
        <f t="shared" si="4"/>
        <v>0.78291776591894524</v>
      </c>
      <c r="T56" s="20">
        <f t="shared" si="5"/>
        <v>7.6529110975579268E-2</v>
      </c>
      <c r="U56" s="20">
        <f>IFERROR(IF(ISNUMBER(INDEX('Firm Master'!$E$2:$E$1000,MATCH($C56,'Firm Master'!$B$2:$B$1000,0))),INDEX('Firm Master'!$E$2:$E$1000,MATCH($C56,'Firm Master'!$B$2:$B$1000,0)),""),"")</f>
        <v>1992</v>
      </c>
      <c r="V56" s="21">
        <f t="shared" si="6"/>
        <v>33</v>
      </c>
      <c r="W56" s="12">
        <v>1</v>
      </c>
      <c r="X56" s="20" t="str">
        <f>IFERROR(INDEX('Firm Master'!$G$2:$G$1000,MATCH($C56,'Firm Master'!$B$2:$B$1000,0)),"")</f>
        <v>Deloitte &amp; Touche (FY2025); KPMG from FY2026</v>
      </c>
    </row>
    <row r="57" spans="1:24" ht="21.75" customHeight="1" x14ac:dyDescent="0.3">
      <c r="A57" s="11">
        <v>56</v>
      </c>
      <c r="B57" s="11">
        <v>12</v>
      </c>
      <c r="C57" s="11" t="s">
        <v>770</v>
      </c>
      <c r="D57" s="11" t="s">
        <v>771</v>
      </c>
      <c r="E57" s="11" t="s">
        <v>772</v>
      </c>
      <c r="F57" s="11">
        <v>2021</v>
      </c>
      <c r="G57" s="20">
        <f t="shared" si="0"/>
        <v>0</v>
      </c>
      <c r="H57" s="21">
        <v>0</v>
      </c>
      <c r="I57" s="21">
        <f>IFERROR(INDEX('Coding Sheet'!$AC$2:$AC$731,MATCH($B57&amp;"_"&amp;$F57,'Coding Sheet'!$A$2:$A$731,0)),"")</f>
        <v>0</v>
      </c>
      <c r="J57" s="7">
        <f>IFERROR(INDEX('Coding Sheet'!$AT$2:$AT$731,MATCH($B57&amp;"_"&amp;$F57,'Coding Sheet'!$A$2:$A$731,0)),"")</f>
        <v>0</v>
      </c>
      <c r="K57" s="12">
        <v>1079860000</v>
      </c>
      <c r="L57" s="21">
        <v>2.028</v>
      </c>
      <c r="M57" s="20">
        <f t="shared" si="1"/>
        <v>2189956.08</v>
      </c>
      <c r="N57" s="12">
        <v>49472</v>
      </c>
      <c r="O57" s="12">
        <v>1347146</v>
      </c>
      <c r="P57" s="20">
        <v>-44568</v>
      </c>
      <c r="Q57" s="20">
        <f t="shared" si="2"/>
        <v>1.6623499457371362</v>
      </c>
      <c r="R57" s="20">
        <f t="shared" si="3"/>
        <v>14.113498838531457</v>
      </c>
      <c r="S57" s="20">
        <f t="shared" si="4"/>
        <v>3.6723562256800672E-2</v>
      </c>
      <c r="T57" s="20">
        <f t="shared" si="5"/>
        <v>-3.3083273824811861E-2</v>
      </c>
      <c r="U57" s="20">
        <f>IFERROR(IF(ISNUMBER(INDEX('Firm Master'!$E$2:$E$1000,MATCH($C57,'Firm Master'!$B$2:$B$1000,0))),INDEX('Firm Master'!$E$2:$E$1000,MATCH($C57,'Firm Master'!$B$2:$B$1000,0)),""),"")</f>
        <v>1982</v>
      </c>
      <c r="V57" s="21">
        <f t="shared" si="6"/>
        <v>39</v>
      </c>
      <c r="W57" s="12">
        <v>0</v>
      </c>
      <c r="X57" s="20" t="str">
        <f>IFERROR(INDEX('Firm Master'!$G$2:$G$1000,MATCH($C57,'Firm Master'!$B$2:$B$1000,0)),"")</f>
        <v>David Ugiagbe &amp; Co.</v>
      </c>
    </row>
    <row r="58" spans="1:24" ht="21.75" customHeight="1" x14ac:dyDescent="0.3">
      <c r="A58" s="11">
        <v>57</v>
      </c>
      <c r="B58" s="11">
        <v>12</v>
      </c>
      <c r="C58" s="11" t="s">
        <v>770</v>
      </c>
      <c r="D58" s="11" t="s">
        <v>771</v>
      </c>
      <c r="E58" s="11" t="s">
        <v>772</v>
      </c>
      <c r="F58" s="11">
        <v>2022</v>
      </c>
      <c r="G58" s="20">
        <f t="shared" si="0"/>
        <v>0</v>
      </c>
      <c r="H58" s="21">
        <v>0</v>
      </c>
      <c r="I58" s="21">
        <f>IFERROR(INDEX('Coding Sheet'!$AC$2:$AC$731,MATCH($B58&amp;"_"&amp;$F58,'Coding Sheet'!$A$2:$A$731,0)),"")</f>
        <v>0</v>
      </c>
      <c r="J58" s="7">
        <f>IFERROR(INDEX('Coding Sheet'!$AT$2:$AT$731,MATCH($B58&amp;"_"&amp;$F58,'Coding Sheet'!$A$2:$A$731,0)),"")</f>
        <v>0</v>
      </c>
      <c r="K58" s="12">
        <v>1079860000</v>
      </c>
      <c r="L58" s="21">
        <v>2.028</v>
      </c>
      <c r="M58" s="20">
        <f t="shared" si="1"/>
        <v>2189956.08</v>
      </c>
      <c r="N58" s="12">
        <v>49472</v>
      </c>
      <c r="O58" s="12">
        <v>1302578</v>
      </c>
      <c r="P58" s="20">
        <v>-44568</v>
      </c>
      <c r="Q58" s="20">
        <f t="shared" si="2"/>
        <v>1.7192276239887363</v>
      </c>
      <c r="R58" s="20">
        <f t="shared" si="3"/>
        <v>14.079855935653486</v>
      </c>
      <c r="S58" s="20">
        <f t="shared" si="4"/>
        <v>3.7980067220542646E-2</v>
      </c>
      <c r="T58" s="20">
        <f t="shared" si="5"/>
        <v>-3.4215225498972039E-2</v>
      </c>
      <c r="U58" s="20">
        <f>IFERROR(IF(ISNUMBER(INDEX('Firm Master'!$E$2:$E$1000,MATCH($C58,'Firm Master'!$B$2:$B$1000,0))),INDEX('Firm Master'!$E$2:$E$1000,MATCH($C58,'Firm Master'!$B$2:$B$1000,0)),""),"")</f>
        <v>1982</v>
      </c>
      <c r="V58" s="21">
        <f t="shared" si="6"/>
        <v>40</v>
      </c>
      <c r="W58" s="12">
        <v>0</v>
      </c>
      <c r="X58" s="20" t="str">
        <f>IFERROR(INDEX('Firm Master'!$G$2:$G$1000,MATCH($C58,'Firm Master'!$B$2:$B$1000,0)),"")</f>
        <v>David Ugiagbe &amp; Co.</v>
      </c>
    </row>
    <row r="59" spans="1:24" ht="15" customHeight="1" x14ac:dyDescent="0.3">
      <c r="A59" s="11">
        <v>58</v>
      </c>
      <c r="B59" s="11">
        <v>12</v>
      </c>
      <c r="C59" s="11" t="s">
        <v>770</v>
      </c>
      <c r="D59" s="11" t="s">
        <v>771</v>
      </c>
      <c r="E59" s="11" t="s">
        <v>772</v>
      </c>
      <c r="F59" s="11">
        <v>2023</v>
      </c>
      <c r="G59" s="20">
        <f t="shared" si="0"/>
        <v>1</v>
      </c>
      <c r="H59" s="21">
        <v>0</v>
      </c>
      <c r="I59" s="21">
        <f>IFERROR(INDEX('Coding Sheet'!$AC$2:$AC$731,MATCH($B59&amp;"_"&amp;$F59,'Coding Sheet'!$A$2:$A$731,0)),"")</f>
        <v>0</v>
      </c>
      <c r="J59" s="7">
        <f>IFERROR(INDEX('Coding Sheet'!$AT$2:$AT$731,MATCH($B59&amp;"_"&amp;$F59,'Coding Sheet'!$A$2:$A$731,0)),"")</f>
        <v>0</v>
      </c>
      <c r="K59" s="12">
        <v>1079860000</v>
      </c>
      <c r="L59" s="21">
        <v>2.028</v>
      </c>
      <c r="M59" s="20">
        <f t="shared" si="1"/>
        <v>2189956.08</v>
      </c>
      <c r="N59" s="12">
        <v>48887</v>
      </c>
      <c r="O59" s="12">
        <v>1300900</v>
      </c>
      <c r="P59" s="20">
        <v>-1093</v>
      </c>
      <c r="Q59" s="20">
        <f t="shared" si="2"/>
        <v>1.7209955261741872</v>
      </c>
      <c r="R59" s="20">
        <f t="shared" si="3"/>
        <v>14.07856689058965</v>
      </c>
      <c r="S59" s="20">
        <f t="shared" si="4"/>
        <v>3.7579368129756326E-2</v>
      </c>
      <c r="T59" s="20">
        <f t="shared" si="5"/>
        <v>-8.4018756245676069E-4</v>
      </c>
      <c r="U59" s="20">
        <f>IFERROR(IF(ISNUMBER(INDEX('Firm Master'!$E$2:$E$1000,MATCH($C59,'Firm Master'!$B$2:$B$1000,0))),INDEX('Firm Master'!$E$2:$E$1000,MATCH($C59,'Firm Master'!$B$2:$B$1000,0)),""),"")</f>
        <v>1982</v>
      </c>
      <c r="V59" s="21">
        <f t="shared" si="6"/>
        <v>41</v>
      </c>
      <c r="W59" s="12">
        <v>0</v>
      </c>
      <c r="X59" s="20" t="str">
        <f>IFERROR(INDEX('Firm Master'!$G$2:$G$1000,MATCH($C59,'Firm Master'!$B$2:$B$1000,0)),"")</f>
        <v>David Ugiagbe &amp; Co.</v>
      </c>
    </row>
    <row r="60" spans="1:24" ht="15" customHeight="1" x14ac:dyDescent="0.3">
      <c r="A60" s="11">
        <v>59</v>
      </c>
      <c r="B60" s="11">
        <v>12</v>
      </c>
      <c r="C60" s="11" t="s">
        <v>770</v>
      </c>
      <c r="D60" s="11" t="s">
        <v>771</v>
      </c>
      <c r="E60" s="11" t="s">
        <v>772</v>
      </c>
      <c r="F60" s="11">
        <v>2024</v>
      </c>
      <c r="G60" s="20">
        <f t="shared" si="0"/>
        <v>1</v>
      </c>
      <c r="H60" s="21">
        <v>0</v>
      </c>
      <c r="I60" s="21">
        <f>IFERROR(INDEX('Coding Sheet'!$AC$2:$AC$731,MATCH($B60&amp;"_"&amp;$F60,'Coding Sheet'!$A$2:$A$731,0)),"")</f>
        <v>0</v>
      </c>
      <c r="J60" s="7">
        <f>IFERROR(INDEX('Coding Sheet'!$AT$2:$AT$731,MATCH($B60&amp;"_"&amp;$F60,'Coding Sheet'!$A$2:$A$731,0)),"")</f>
        <v>0</v>
      </c>
      <c r="K60" s="12">
        <v>1079860000</v>
      </c>
      <c r="L60" s="21">
        <v>1.8242</v>
      </c>
      <c r="M60" s="20">
        <f t="shared" si="1"/>
        <v>1969880.612</v>
      </c>
      <c r="N60" s="12">
        <v>40355</v>
      </c>
      <c r="O60" s="12">
        <v>1427592</v>
      </c>
      <c r="P60" s="20">
        <v>4232</v>
      </c>
      <c r="Q60" s="20">
        <f t="shared" si="2"/>
        <v>1.4081303425628611</v>
      </c>
      <c r="R60" s="20">
        <f t="shared" si="3"/>
        <v>14.171499666771849</v>
      </c>
      <c r="S60" s="20">
        <f t="shared" si="4"/>
        <v>2.8267880458842584E-2</v>
      </c>
      <c r="T60" s="20">
        <f t="shared" si="5"/>
        <v>2.9644324148636303E-3</v>
      </c>
      <c r="U60" s="20">
        <f>IFERROR(IF(ISNUMBER(INDEX('Firm Master'!$E$2:$E$1000,MATCH($C60,'Firm Master'!$B$2:$B$1000,0))),INDEX('Firm Master'!$E$2:$E$1000,MATCH($C60,'Firm Master'!$B$2:$B$1000,0)),""),"")</f>
        <v>1982</v>
      </c>
      <c r="V60" s="21">
        <f t="shared" si="6"/>
        <v>42</v>
      </c>
      <c r="W60" s="12">
        <v>0</v>
      </c>
      <c r="X60" s="20" t="str">
        <f>IFERROR(INDEX('Firm Master'!$G$2:$G$1000,MATCH($C60,'Firm Master'!$B$2:$B$1000,0)),"")</f>
        <v>David Ugiagbe &amp; Co.</v>
      </c>
    </row>
    <row r="61" spans="1:24" ht="32.25" customHeight="1" x14ac:dyDescent="0.3">
      <c r="A61" s="11">
        <v>60</v>
      </c>
      <c r="B61" s="11">
        <v>12</v>
      </c>
      <c r="C61" s="11" t="s">
        <v>770</v>
      </c>
      <c r="D61" s="11" t="s">
        <v>771</v>
      </c>
      <c r="E61" s="11" t="s">
        <v>772</v>
      </c>
      <c r="F61" s="11">
        <v>2025</v>
      </c>
      <c r="G61" s="20">
        <f t="shared" si="0"/>
        <v>1</v>
      </c>
      <c r="H61" s="21">
        <v>0</v>
      </c>
      <c r="I61" s="21">
        <f>IFERROR(INDEX('Coding Sheet'!$AC$2:$AC$731,MATCH($B61&amp;"_"&amp;$F61,'Coding Sheet'!$A$2:$A$731,0)),"")</f>
        <v>0</v>
      </c>
      <c r="J61" s="7">
        <f>IFERROR(INDEX('Coding Sheet'!$AT$2:$AT$731,MATCH($B61&amp;"_"&amp;$F61,'Coding Sheet'!$A$2:$A$731,0)),"")</f>
        <v>0</v>
      </c>
      <c r="K61" s="12">
        <v>1079860000</v>
      </c>
      <c r="L61" s="33">
        <v>4.25</v>
      </c>
      <c r="M61" s="20">
        <f t="shared" si="1"/>
        <v>4589405</v>
      </c>
      <c r="N61" s="12">
        <v>40360</v>
      </c>
      <c r="O61" s="12">
        <v>1420000</v>
      </c>
      <c r="P61" s="20">
        <v>-11160</v>
      </c>
      <c r="Q61" s="20">
        <f t="shared" si="2"/>
        <v>3.2603978873239439</v>
      </c>
      <c r="R61" s="20">
        <f t="shared" si="3"/>
        <v>14.166167429577444</v>
      </c>
      <c r="S61" s="20">
        <f t="shared" si="4"/>
        <v>2.8422535211267606E-2</v>
      </c>
      <c r="T61" s="20">
        <f t="shared" si="5"/>
        <v>-7.8591549295774655E-3</v>
      </c>
      <c r="U61" s="20">
        <f>IFERROR(IF(ISNUMBER(INDEX('Firm Master'!$E$2:$E$1000,MATCH($C61,'Firm Master'!$B$2:$B$1000,0))),INDEX('Firm Master'!$E$2:$E$1000,MATCH($C61,'Firm Master'!$B$2:$B$1000,0)),""),"")</f>
        <v>1982</v>
      </c>
      <c r="V61" s="21">
        <f t="shared" si="6"/>
        <v>43</v>
      </c>
      <c r="W61" s="12">
        <v>0</v>
      </c>
      <c r="X61" s="20" t="str">
        <f>IFERROR(INDEX('Firm Master'!$G$2:$G$1000,MATCH($C61,'Firm Master'!$B$2:$B$1000,0)),"")</f>
        <v>David Ugiagbe &amp; Co.</v>
      </c>
    </row>
    <row r="62" spans="1:24" ht="27.75" customHeight="1" x14ac:dyDescent="0.3">
      <c r="A62" s="16">
        <v>61</v>
      </c>
      <c r="B62" s="16">
        <v>13</v>
      </c>
      <c r="C62" s="16" t="s">
        <v>778</v>
      </c>
      <c r="D62" s="16" t="s">
        <v>779</v>
      </c>
      <c r="E62" s="16" t="s">
        <v>780</v>
      </c>
      <c r="F62" s="16">
        <v>2021</v>
      </c>
      <c r="G62" s="16">
        <f t="shared" si="0"/>
        <v>0</v>
      </c>
      <c r="H62" s="16">
        <v>0</v>
      </c>
      <c r="I62" s="16" t="str">
        <f>IFERROR(INDEX('Coding Sheet'!$AC$2:$AC$731,MATCH($B62&amp;"_"&amp;$F62,'Coding Sheet'!$A$2:$A$731,0)),"")</f>
        <v/>
      </c>
      <c r="J62" s="22" t="str">
        <f>IFERROR(INDEX('Coding Sheet'!$AT$2:$AT$731,MATCH($B62&amp;"_"&amp;$F62,'Coding Sheet'!$A$2:$A$731,0)),"")</f>
        <v/>
      </c>
      <c r="K62" s="16"/>
      <c r="L62" s="16"/>
      <c r="M62" s="16" t="str">
        <f t="shared" si="1"/>
        <v/>
      </c>
      <c r="N62" s="16"/>
      <c r="O62" s="16"/>
      <c r="P62" s="16"/>
      <c r="Q62" s="16" t="str">
        <f t="shared" si="2"/>
        <v/>
      </c>
      <c r="R62" s="16" t="str">
        <f t="shared" si="3"/>
        <v/>
      </c>
      <c r="S62" s="16" t="str">
        <f t="shared" si="4"/>
        <v/>
      </c>
      <c r="T62" s="16" t="str">
        <f t="shared" si="5"/>
        <v/>
      </c>
      <c r="U62" s="16" t="str">
        <f>IFERROR(IF(ISNUMBER(INDEX('Firm Master'!$E$2:$E$1000,MATCH($C62,'Firm Master'!$B$2:$B$1000,0))),INDEX('Firm Master'!$E$2:$E$1000,MATCH($C62,'Firm Master'!$B$2:$B$1000,0)),""),"")</f>
        <v/>
      </c>
      <c r="V62" s="16" t="str">
        <f t="shared" si="6"/>
        <v/>
      </c>
      <c r="W62" s="16"/>
      <c r="X62" s="16" t="str">
        <f>IFERROR(INDEX('Firm Master'!$G$2:$G$1000,MATCH($C62,'Firm Master'!$B$2:$B$1000,0)),"")</f>
        <v>N/A - not an operating company</v>
      </c>
    </row>
    <row r="63" spans="1:24" ht="27.75" customHeight="1" x14ac:dyDescent="0.3">
      <c r="A63" s="16">
        <v>62</v>
      </c>
      <c r="B63" s="16">
        <v>13</v>
      </c>
      <c r="C63" s="16" t="s">
        <v>778</v>
      </c>
      <c r="D63" s="16" t="s">
        <v>779</v>
      </c>
      <c r="E63" s="16" t="s">
        <v>780</v>
      </c>
      <c r="F63" s="16">
        <v>2022</v>
      </c>
      <c r="G63" s="16">
        <f t="shared" si="0"/>
        <v>0</v>
      </c>
      <c r="H63" s="16">
        <v>0</v>
      </c>
      <c r="I63" s="16" t="str">
        <f>IFERROR(INDEX('Coding Sheet'!$AC$2:$AC$731,MATCH($B63&amp;"_"&amp;$F63,'Coding Sheet'!$A$2:$A$731,0)),"")</f>
        <v/>
      </c>
      <c r="J63" s="22" t="str">
        <f>IFERROR(INDEX('Coding Sheet'!$AT$2:$AT$731,MATCH($B63&amp;"_"&amp;$F63,'Coding Sheet'!$A$2:$A$731,0)),"")</f>
        <v/>
      </c>
      <c r="K63" s="16"/>
      <c r="L63" s="16"/>
      <c r="M63" s="16" t="str">
        <f t="shared" si="1"/>
        <v/>
      </c>
      <c r="N63" s="16"/>
      <c r="O63" s="16"/>
      <c r="P63" s="16"/>
      <c r="Q63" s="16" t="str">
        <f t="shared" si="2"/>
        <v/>
      </c>
      <c r="R63" s="16" t="str">
        <f t="shared" si="3"/>
        <v/>
      </c>
      <c r="S63" s="16" t="str">
        <f t="shared" si="4"/>
        <v/>
      </c>
      <c r="T63" s="16" t="str">
        <f t="shared" si="5"/>
        <v/>
      </c>
      <c r="U63" s="16" t="str">
        <f>IFERROR(IF(ISNUMBER(INDEX('Firm Master'!$E$2:$E$1000,MATCH($C63,'Firm Master'!$B$2:$B$1000,0))),INDEX('Firm Master'!$E$2:$E$1000,MATCH($C63,'Firm Master'!$B$2:$B$1000,0)),""),"")</f>
        <v/>
      </c>
      <c r="V63" s="16" t="str">
        <f t="shared" si="6"/>
        <v/>
      </c>
      <c r="W63" s="16"/>
      <c r="X63" s="16" t="str">
        <f>IFERROR(INDEX('Firm Master'!$G$2:$G$1000,MATCH($C63,'Firm Master'!$B$2:$B$1000,0)),"")</f>
        <v>N/A - not an operating company</v>
      </c>
    </row>
    <row r="64" spans="1:24" ht="27.75" customHeight="1" x14ac:dyDescent="0.3">
      <c r="A64" s="16">
        <v>63</v>
      </c>
      <c r="B64" s="16">
        <v>13</v>
      </c>
      <c r="C64" s="16" t="s">
        <v>778</v>
      </c>
      <c r="D64" s="16" t="s">
        <v>779</v>
      </c>
      <c r="E64" s="16" t="s">
        <v>780</v>
      </c>
      <c r="F64" s="16">
        <v>2023</v>
      </c>
      <c r="G64" s="16">
        <f t="shared" si="0"/>
        <v>1</v>
      </c>
      <c r="H64" s="16">
        <v>0</v>
      </c>
      <c r="I64" s="16" t="str">
        <f>IFERROR(INDEX('Coding Sheet'!$AC$2:$AC$731,MATCH($B64&amp;"_"&amp;$F64,'Coding Sheet'!$A$2:$A$731,0)),"")</f>
        <v/>
      </c>
      <c r="J64" s="22" t="str">
        <f>IFERROR(INDEX('Coding Sheet'!$AT$2:$AT$731,MATCH($B64&amp;"_"&amp;$F64,'Coding Sheet'!$A$2:$A$731,0)),"")</f>
        <v/>
      </c>
      <c r="K64" s="16"/>
      <c r="L64" s="16"/>
      <c r="M64" s="16" t="str">
        <f t="shared" si="1"/>
        <v/>
      </c>
      <c r="N64" s="16"/>
      <c r="O64" s="16"/>
      <c r="P64" s="16"/>
      <c r="Q64" s="16" t="str">
        <f t="shared" si="2"/>
        <v/>
      </c>
      <c r="R64" s="16" t="str">
        <f t="shared" si="3"/>
        <v/>
      </c>
      <c r="S64" s="16" t="str">
        <f t="shared" si="4"/>
        <v/>
      </c>
      <c r="T64" s="16" t="str">
        <f t="shared" si="5"/>
        <v/>
      </c>
      <c r="U64" s="16" t="str">
        <f>IFERROR(IF(ISNUMBER(INDEX('Firm Master'!$E$2:$E$1000,MATCH($C64,'Firm Master'!$B$2:$B$1000,0))),INDEX('Firm Master'!$E$2:$E$1000,MATCH($C64,'Firm Master'!$B$2:$B$1000,0)),""),"")</f>
        <v/>
      </c>
      <c r="V64" s="16" t="str">
        <f t="shared" si="6"/>
        <v/>
      </c>
      <c r="W64" s="16"/>
      <c r="X64" s="16" t="str">
        <f>IFERROR(INDEX('Firm Master'!$G$2:$G$1000,MATCH($C64,'Firm Master'!$B$2:$B$1000,0)),"")</f>
        <v>N/A - not an operating company</v>
      </c>
    </row>
    <row r="65" spans="1:24" ht="27.75" customHeight="1" x14ac:dyDescent="0.3">
      <c r="A65" s="16">
        <v>64</v>
      </c>
      <c r="B65" s="16">
        <v>13</v>
      </c>
      <c r="C65" s="16" t="s">
        <v>778</v>
      </c>
      <c r="D65" s="16" t="s">
        <v>779</v>
      </c>
      <c r="E65" s="16" t="s">
        <v>780</v>
      </c>
      <c r="F65" s="16">
        <v>2024</v>
      </c>
      <c r="G65" s="16">
        <f t="shared" si="0"/>
        <v>1</v>
      </c>
      <c r="H65" s="16">
        <v>0</v>
      </c>
      <c r="I65" s="16">
        <f>IFERROR(INDEX('Coding Sheet'!$AC$2:$AC$731,MATCH($B65&amp;"_"&amp;$F65,'Coding Sheet'!$A$2:$A$731,0)),"")</f>
        <v>0</v>
      </c>
      <c r="J65" s="22">
        <f>IFERROR(INDEX('Coding Sheet'!$AT$2:$AT$731,MATCH($B65&amp;"_"&amp;$F65,'Coding Sheet'!$A$2:$A$731,0)),"")</f>
        <v>0</v>
      </c>
      <c r="K65" s="16"/>
      <c r="L65" s="16"/>
      <c r="M65" s="16" t="str">
        <f t="shared" si="1"/>
        <v/>
      </c>
      <c r="N65" s="16"/>
      <c r="O65" s="16"/>
      <c r="P65" s="16"/>
      <c r="Q65" s="16" t="str">
        <f t="shared" si="2"/>
        <v/>
      </c>
      <c r="R65" s="16" t="str">
        <f t="shared" si="3"/>
        <v/>
      </c>
      <c r="S65" s="16" t="str">
        <f t="shared" si="4"/>
        <v/>
      </c>
      <c r="T65" s="16" t="str">
        <f t="shared" si="5"/>
        <v/>
      </c>
      <c r="U65" s="16" t="str">
        <f>IFERROR(IF(ISNUMBER(INDEX('Firm Master'!$E$2:$E$1000,MATCH($C65,'Firm Master'!$B$2:$B$1000,0))),INDEX('Firm Master'!$E$2:$E$1000,MATCH($C65,'Firm Master'!$B$2:$B$1000,0)),""),"")</f>
        <v/>
      </c>
      <c r="V65" s="16" t="str">
        <f t="shared" si="6"/>
        <v/>
      </c>
      <c r="W65" s="16"/>
      <c r="X65" s="16" t="str">
        <f>IFERROR(INDEX('Firm Master'!$G$2:$G$1000,MATCH($C65,'Firm Master'!$B$2:$B$1000,0)),"")</f>
        <v>N/A - not an operating company</v>
      </c>
    </row>
    <row r="66" spans="1:24" ht="27.75" customHeight="1" x14ac:dyDescent="0.3">
      <c r="A66" s="16">
        <v>65</v>
      </c>
      <c r="B66" s="16">
        <v>13</v>
      </c>
      <c r="C66" s="16" t="s">
        <v>778</v>
      </c>
      <c r="D66" s="16" t="s">
        <v>779</v>
      </c>
      <c r="E66" s="16" t="s">
        <v>780</v>
      </c>
      <c r="F66" s="16">
        <v>2025</v>
      </c>
      <c r="G66" s="16">
        <f t="shared" ref="G66:G129" si="7">IF(F66&gt;=2023,1,0)</f>
        <v>1</v>
      </c>
      <c r="H66" s="16">
        <v>0</v>
      </c>
      <c r="I66" s="16">
        <f>IFERROR(INDEX('Coding Sheet'!$AC$2:$AC$731,MATCH($B66&amp;"_"&amp;$F66,'Coding Sheet'!$A$2:$A$731,0)),"")</f>
        <v>0</v>
      </c>
      <c r="J66" s="22">
        <f>IFERROR(INDEX('Coding Sheet'!$AT$2:$AT$731,MATCH($B66&amp;"_"&amp;$F66,'Coding Sheet'!$A$2:$A$731,0)),"")</f>
        <v>0</v>
      </c>
      <c r="K66" s="16"/>
      <c r="L66" s="16"/>
      <c r="M66" s="16" t="str">
        <f t="shared" ref="M66:M129" si="8">IF(AND(ISNUMBER(K66),ISNUMBER(L66)),K66*L66/1000,"")</f>
        <v/>
      </c>
      <c r="N66" s="16"/>
      <c r="O66" s="16"/>
      <c r="P66" s="16"/>
      <c r="Q66" s="16" t="str">
        <f t="shared" ref="Q66:Q129" si="9">IF(AND(ISNUMBER(M66),ISNUMBER(N66),ISNUMBER(O66),O66&lt;&gt;0),(M66+N66)/O66,"")</f>
        <v/>
      </c>
      <c r="R66" s="16" t="str">
        <f t="shared" ref="R66:R129" si="10">IF(AND(ISNUMBER(O66),O66&gt;0),LN(O66),"")</f>
        <v/>
      </c>
      <c r="S66" s="16" t="str">
        <f t="shared" ref="S66:S129" si="11">IF(AND(ISNUMBER(N66),ISNUMBER(O66),O66&lt;&gt;0),N66/O66,"")</f>
        <v/>
      </c>
      <c r="T66" s="16" t="str">
        <f t="shared" ref="T66:T129" si="12">IF(AND(ISNUMBER(P66),ISNUMBER(O66),O66&lt;&gt;0),P66/O66,"")</f>
        <v/>
      </c>
      <c r="U66" s="16" t="str">
        <f>IFERROR(IF(ISNUMBER(INDEX('Firm Master'!$E$2:$E$1000,MATCH($C66,'Firm Master'!$B$2:$B$1000,0))),INDEX('Firm Master'!$E$2:$E$1000,MATCH($C66,'Firm Master'!$B$2:$B$1000,0)),""),"")</f>
        <v/>
      </c>
      <c r="V66" s="16" t="str">
        <f t="shared" ref="V66:V129" si="13">IF(ISNUMBER(U66),F66-U66,"")</f>
        <v/>
      </c>
      <c r="W66" s="16"/>
      <c r="X66" s="16" t="str">
        <f>IFERROR(INDEX('Firm Master'!$G$2:$G$1000,MATCH($C66,'Firm Master'!$B$2:$B$1000,0)),"")</f>
        <v>N/A - not an operating company</v>
      </c>
    </row>
    <row r="67" spans="1:24" ht="42.75" customHeight="1" x14ac:dyDescent="0.3">
      <c r="A67" s="11">
        <v>66</v>
      </c>
      <c r="B67" s="11">
        <v>14</v>
      </c>
      <c r="C67" s="11" t="s">
        <v>786</v>
      </c>
      <c r="D67" s="11" t="s">
        <v>787</v>
      </c>
      <c r="E67" s="11" t="s">
        <v>752</v>
      </c>
      <c r="F67" s="11">
        <v>2021</v>
      </c>
      <c r="G67" s="20">
        <f t="shared" si="7"/>
        <v>0</v>
      </c>
      <c r="H67" s="21">
        <v>0</v>
      </c>
      <c r="I67" s="21">
        <f>IFERROR(INDEX('Coding Sheet'!$AC$2:$AC$731,MATCH($B67&amp;"_"&amp;$F67,'Coding Sheet'!$A$2:$A$731,0)),"")</f>
        <v>0</v>
      </c>
      <c r="J67" s="7">
        <f>IFERROR(INDEX('Coding Sheet'!$AT$2:$AT$731,MATCH($B67&amp;"_"&amp;$F67,'Coding Sheet'!$A$2:$A$731,0)),"")</f>
        <v>0</v>
      </c>
      <c r="K67" s="12">
        <v>10000000</v>
      </c>
      <c r="L67" s="21">
        <v>6.25</v>
      </c>
      <c r="M67" s="20">
        <f t="shared" si="8"/>
        <v>62500</v>
      </c>
      <c r="N67" s="12">
        <v>767628468</v>
      </c>
      <c r="O67" s="12">
        <v>785830318</v>
      </c>
      <c r="P67" s="20">
        <v>14419997</v>
      </c>
      <c r="Q67" s="20">
        <f t="shared" si="9"/>
        <v>0.97691696338954437</v>
      </c>
      <c r="R67" s="20">
        <f t="shared" si="10"/>
        <v>20.482251446680827</v>
      </c>
      <c r="S67" s="20">
        <f t="shared" si="11"/>
        <v>0.9768374296803346</v>
      </c>
      <c r="T67" s="20">
        <f t="shared" si="12"/>
        <v>1.8350013571250379E-2</v>
      </c>
      <c r="U67" s="20">
        <f>IFERROR(IF(ISNUMBER(INDEX('Firm Master'!$E$2:$E$1000,MATCH($C67,'Firm Master'!$B$2:$B$1000,0))),INDEX('Firm Master'!$E$2:$E$1000,MATCH($C67,'Firm Master'!$B$2:$B$1000,0)),""),"")</f>
        <v>2015</v>
      </c>
      <c r="V67" s="21">
        <f t="shared" si="13"/>
        <v>6</v>
      </c>
      <c r="W67" s="12">
        <v>0</v>
      </c>
      <c r="X67" s="20" t="str">
        <f>IFERROR(INDEX('Firm Master'!$G$2:$G$1000,MATCH($C67,'Firm Master'!$B$2:$B$1000,0)),"")</f>
        <v>Emmanuel Osuagwu &amp; Co.</v>
      </c>
    </row>
    <row r="68" spans="1:24" ht="15" customHeight="1" x14ac:dyDescent="0.3">
      <c r="A68" s="11">
        <v>67</v>
      </c>
      <c r="B68" s="11">
        <v>14</v>
      </c>
      <c r="C68" s="11" t="s">
        <v>786</v>
      </c>
      <c r="D68" s="11" t="s">
        <v>787</v>
      </c>
      <c r="E68" s="11" t="s">
        <v>752</v>
      </c>
      <c r="F68" s="11">
        <v>2022</v>
      </c>
      <c r="G68" s="20">
        <f t="shared" si="7"/>
        <v>0</v>
      </c>
      <c r="H68" s="21">
        <v>0</v>
      </c>
      <c r="I68" s="21">
        <f>IFERROR(INDEX('Coding Sheet'!$AC$2:$AC$731,MATCH($B68&amp;"_"&amp;$F68,'Coding Sheet'!$A$2:$A$731,0)),"")</f>
        <v>0</v>
      </c>
      <c r="J68" s="7">
        <f>IFERROR(INDEX('Coding Sheet'!$AT$2:$AT$731,MATCH($B68&amp;"_"&amp;$F68,'Coding Sheet'!$A$2:$A$731,0)),"")</f>
        <v>0</v>
      </c>
      <c r="K68" s="12">
        <v>10000000</v>
      </c>
      <c r="L68" s="21">
        <v>6.25</v>
      </c>
      <c r="M68" s="20">
        <f t="shared" si="8"/>
        <v>62500</v>
      </c>
      <c r="N68" s="12">
        <v>763128468</v>
      </c>
      <c r="O68" s="12">
        <v>786728755</v>
      </c>
      <c r="P68" s="20">
        <v>5398437</v>
      </c>
      <c r="Q68" s="20">
        <f t="shared" si="9"/>
        <v>0.97008144566928911</v>
      </c>
      <c r="R68" s="20">
        <f t="shared" si="10"/>
        <v>20.483394090048797</v>
      </c>
      <c r="S68" s="20">
        <f t="shared" si="11"/>
        <v>0.97000200278684356</v>
      </c>
      <c r="T68" s="20">
        <f t="shared" si="12"/>
        <v>6.8618783356914417E-3</v>
      </c>
      <c r="U68" s="20">
        <f>IFERROR(IF(ISNUMBER(INDEX('Firm Master'!$E$2:$E$1000,MATCH($C68,'Firm Master'!$B$2:$B$1000,0))),INDEX('Firm Master'!$E$2:$E$1000,MATCH($C68,'Firm Master'!$B$2:$B$1000,0)),""),"")</f>
        <v>2015</v>
      </c>
      <c r="V68" s="21">
        <f t="shared" si="13"/>
        <v>7</v>
      </c>
      <c r="W68" s="12">
        <v>0</v>
      </c>
      <c r="X68" s="20" t="str">
        <f>IFERROR(INDEX('Firm Master'!$G$2:$G$1000,MATCH($C68,'Firm Master'!$B$2:$B$1000,0)),"")</f>
        <v>Emmanuel Osuagwu &amp; Co.</v>
      </c>
    </row>
    <row r="69" spans="1:24" ht="32.25" customHeight="1" x14ac:dyDescent="0.3">
      <c r="A69" s="11">
        <v>68</v>
      </c>
      <c r="B69" s="11">
        <v>14</v>
      </c>
      <c r="C69" s="11" t="s">
        <v>786</v>
      </c>
      <c r="D69" s="11" t="s">
        <v>787</v>
      </c>
      <c r="E69" s="11" t="s">
        <v>752</v>
      </c>
      <c r="F69" s="11">
        <v>2023</v>
      </c>
      <c r="G69" s="20">
        <f t="shared" si="7"/>
        <v>1</v>
      </c>
      <c r="H69" s="21">
        <v>0</v>
      </c>
      <c r="I69" s="21">
        <f>IFERROR(INDEX('Coding Sheet'!$AC$2:$AC$731,MATCH($B69&amp;"_"&amp;$F69,'Coding Sheet'!$A$2:$A$731,0)),"")</f>
        <v>0</v>
      </c>
      <c r="J69" s="7">
        <f>IFERROR(INDEX('Coding Sheet'!$AT$2:$AT$731,MATCH($B69&amp;"_"&amp;$F69,'Coding Sheet'!$A$2:$A$731,0)),"")</f>
        <v>0</v>
      </c>
      <c r="K69" s="12">
        <v>10000000</v>
      </c>
      <c r="L69" s="21">
        <v>6.25</v>
      </c>
      <c r="M69" s="20">
        <f t="shared" si="8"/>
        <v>62500</v>
      </c>
      <c r="N69" s="12">
        <v>747037864</v>
      </c>
      <c r="O69" s="12">
        <v>773142364</v>
      </c>
      <c r="P69" s="20">
        <v>2504213</v>
      </c>
      <c r="Q69" s="20">
        <f t="shared" si="9"/>
        <v>0.96631668213695243</v>
      </c>
      <c r="R69" s="20">
        <f t="shared" si="10"/>
        <v>20.465973760357603</v>
      </c>
      <c r="S69" s="20">
        <f t="shared" si="11"/>
        <v>0.96623584320881939</v>
      </c>
      <c r="T69" s="20">
        <f t="shared" si="12"/>
        <v>3.239006315788951E-3</v>
      </c>
      <c r="U69" s="20">
        <f>IFERROR(IF(ISNUMBER(INDEX('Firm Master'!$E$2:$E$1000,MATCH($C69,'Firm Master'!$B$2:$B$1000,0))),INDEX('Firm Master'!$E$2:$E$1000,MATCH($C69,'Firm Master'!$B$2:$B$1000,0)),""),"")</f>
        <v>2015</v>
      </c>
      <c r="V69" s="21">
        <f t="shared" si="13"/>
        <v>8</v>
      </c>
      <c r="W69" s="12">
        <v>0</v>
      </c>
      <c r="X69" s="20" t="str">
        <f>IFERROR(INDEX('Firm Master'!$G$2:$G$1000,MATCH($C69,'Firm Master'!$B$2:$B$1000,0)),"")</f>
        <v>Emmanuel Osuagwu &amp; Co.</v>
      </c>
    </row>
    <row r="70" spans="1:24" ht="21.75" customHeight="1" x14ac:dyDescent="0.3">
      <c r="A70" s="11">
        <v>69</v>
      </c>
      <c r="B70" s="11">
        <v>14</v>
      </c>
      <c r="C70" s="11" t="s">
        <v>786</v>
      </c>
      <c r="D70" s="11" t="s">
        <v>787</v>
      </c>
      <c r="E70" s="11" t="s">
        <v>752</v>
      </c>
      <c r="F70" s="11">
        <v>2024</v>
      </c>
      <c r="G70" s="20">
        <f t="shared" si="7"/>
        <v>1</v>
      </c>
      <c r="H70" s="21">
        <v>0</v>
      </c>
      <c r="I70" s="21">
        <f>IFERROR(INDEX('Coding Sheet'!$AC$2:$AC$731,MATCH($B70&amp;"_"&amp;$F70,'Coding Sheet'!$A$2:$A$731,0)),"")</f>
        <v>0</v>
      </c>
      <c r="J70" s="7">
        <f>IFERROR(INDEX('Coding Sheet'!$AT$2:$AT$731,MATCH($B70&amp;"_"&amp;$F70,'Coding Sheet'!$A$2:$A$731,0)),"")</f>
        <v>0</v>
      </c>
      <c r="K70" s="12">
        <v>10000000</v>
      </c>
      <c r="L70" s="21">
        <v>6.25</v>
      </c>
      <c r="M70" s="20">
        <f t="shared" si="8"/>
        <v>62500</v>
      </c>
      <c r="N70" s="12">
        <v>8113557</v>
      </c>
      <c r="O70" s="12">
        <v>8169037</v>
      </c>
      <c r="P70" s="20">
        <v>22363.63</v>
      </c>
      <c r="Q70" s="20">
        <f t="shared" si="9"/>
        <v>1.0008593424169825</v>
      </c>
      <c r="R70" s="20">
        <f t="shared" si="10"/>
        <v>15.915861589631904</v>
      </c>
      <c r="S70" s="20">
        <f t="shared" si="11"/>
        <v>0.99320850180994402</v>
      </c>
      <c r="T70" s="20">
        <f t="shared" si="12"/>
        <v>2.737609096396552E-3</v>
      </c>
      <c r="U70" s="20">
        <f>IFERROR(IF(ISNUMBER(INDEX('Firm Master'!$E$2:$E$1000,MATCH($C70,'Firm Master'!$B$2:$B$1000,0))),INDEX('Firm Master'!$E$2:$E$1000,MATCH($C70,'Firm Master'!$B$2:$B$1000,0)),""),"")</f>
        <v>2015</v>
      </c>
      <c r="V70" s="21">
        <f t="shared" si="13"/>
        <v>9</v>
      </c>
      <c r="W70" s="12">
        <v>0</v>
      </c>
      <c r="X70" s="20" t="str">
        <f>IFERROR(INDEX('Firm Master'!$G$2:$G$1000,MATCH($C70,'Firm Master'!$B$2:$B$1000,0)),"")</f>
        <v>Emmanuel Osuagwu &amp; Co.</v>
      </c>
    </row>
    <row r="71" spans="1:24" ht="42.75" customHeight="1" x14ac:dyDescent="0.3">
      <c r="A71" s="11">
        <v>70</v>
      </c>
      <c r="B71" s="11">
        <v>14</v>
      </c>
      <c r="C71" s="11" t="s">
        <v>786</v>
      </c>
      <c r="D71" s="11" t="s">
        <v>787</v>
      </c>
      <c r="E71" s="11" t="s">
        <v>752</v>
      </c>
      <c r="F71" s="11">
        <v>2025</v>
      </c>
      <c r="G71" s="20">
        <f t="shared" si="7"/>
        <v>1</v>
      </c>
      <c r="H71" s="21">
        <v>0</v>
      </c>
      <c r="I71" s="21">
        <f>IFERROR(INDEX('Coding Sheet'!$AC$2:$AC$731,MATCH($B71&amp;"_"&amp;$F71,'Coding Sheet'!$A$2:$A$731,0)),"")</f>
        <v>0</v>
      </c>
      <c r="J71" s="7">
        <f>IFERROR(INDEX('Coding Sheet'!$AT$2:$AT$731,MATCH($B71&amp;"_"&amp;$F71,'Coding Sheet'!$A$2:$A$731,0)),"")</f>
        <v>0</v>
      </c>
      <c r="K71" s="12">
        <v>10000000</v>
      </c>
      <c r="L71" s="21">
        <v>6.25</v>
      </c>
      <c r="M71" s="20">
        <f t="shared" si="8"/>
        <v>62500</v>
      </c>
      <c r="N71" s="21">
        <v>7930000</v>
      </c>
      <c r="O71" s="21">
        <v>8026400</v>
      </c>
      <c r="P71" s="20">
        <v>40919</v>
      </c>
      <c r="Q71" s="20">
        <f t="shared" si="9"/>
        <v>0.99577643775540714</v>
      </c>
      <c r="R71" s="20">
        <f t="shared" si="10"/>
        <v>15.89824666659354</v>
      </c>
      <c r="S71" s="20">
        <f t="shared" si="11"/>
        <v>0.9879896342071165</v>
      </c>
      <c r="T71" s="20">
        <f t="shared" si="12"/>
        <v>5.0980514302800756E-3</v>
      </c>
      <c r="U71" s="20">
        <f>IFERROR(IF(ISNUMBER(INDEX('Firm Master'!$E$2:$E$1000,MATCH($C71,'Firm Master'!$B$2:$B$1000,0))),INDEX('Firm Master'!$E$2:$E$1000,MATCH($C71,'Firm Master'!$B$2:$B$1000,0)),""),"")</f>
        <v>2015</v>
      </c>
      <c r="V71" s="21">
        <f t="shared" si="13"/>
        <v>10</v>
      </c>
      <c r="W71" s="12">
        <v>0</v>
      </c>
      <c r="X71" s="20" t="str">
        <f>IFERROR(INDEX('Firm Master'!$G$2:$G$1000,MATCH($C71,'Firm Master'!$B$2:$B$1000,0)),"")</f>
        <v>Emmanuel Osuagwu &amp; Co.</v>
      </c>
    </row>
    <row r="72" spans="1:24" ht="15" customHeight="1" x14ac:dyDescent="0.3">
      <c r="A72" s="11">
        <v>71</v>
      </c>
      <c r="B72" s="11">
        <v>15</v>
      </c>
      <c r="C72" s="11" t="s">
        <v>791</v>
      </c>
      <c r="D72" s="11" t="s">
        <v>792</v>
      </c>
      <c r="E72" s="11" t="s">
        <v>772</v>
      </c>
      <c r="F72" s="11">
        <v>2021</v>
      </c>
      <c r="G72" s="20">
        <f t="shared" si="7"/>
        <v>0</v>
      </c>
      <c r="H72" s="21">
        <v>0</v>
      </c>
      <c r="I72" s="21">
        <f>IFERROR(INDEX('Coding Sheet'!$AC$2:$AC$731,MATCH($B72&amp;"_"&amp;$F72,'Coding Sheet'!$A$2:$A$731,0)),"")</f>
        <v>15</v>
      </c>
      <c r="J72" s="7">
        <f>IFERROR(INDEX('Coding Sheet'!$AT$2:$AT$731,MATCH($B72&amp;"_"&amp;$F72,'Coding Sheet'!$A$2:$A$731,0)),"")</f>
        <v>0</v>
      </c>
      <c r="K72" s="12">
        <v>289823447</v>
      </c>
      <c r="L72" s="12">
        <v>7.5</v>
      </c>
      <c r="M72" s="20">
        <f t="shared" si="8"/>
        <v>2173675.8525</v>
      </c>
      <c r="N72" s="12">
        <v>1879966</v>
      </c>
      <c r="O72" s="12">
        <v>5110669</v>
      </c>
      <c r="P72" s="20">
        <v>135635</v>
      </c>
      <c r="Q72" s="20">
        <f t="shared" si="9"/>
        <v>0.79317245012345738</v>
      </c>
      <c r="R72" s="20">
        <f t="shared" si="10"/>
        <v>15.446840873375809</v>
      </c>
      <c r="S72" s="20">
        <f t="shared" si="11"/>
        <v>0.36785125391607243</v>
      </c>
      <c r="T72" s="20">
        <f t="shared" si="12"/>
        <v>2.6539578282217063E-2</v>
      </c>
      <c r="U72" s="20">
        <f>IFERROR(IF(ISNUMBER(INDEX('Firm Master'!$E$2:$E$1000,MATCH($C72,'Firm Master'!$B$2:$B$1000,0))),INDEX('Firm Master'!$E$2:$E$1000,MATCH($C72,'Firm Master'!$B$2:$B$1000,0)),""),"")</f>
        <v>1959</v>
      </c>
      <c r="V72" s="21">
        <f t="shared" si="13"/>
        <v>62</v>
      </c>
      <c r="W72" s="12">
        <v>1</v>
      </c>
      <c r="X72" s="20" t="str">
        <f>IFERROR(INDEX('Firm Master'!$G$2:$G$1000,MATCH($C72,'Firm Master'!$B$2:$B$1000,0)),"")</f>
        <v>Pannell Kerr Forster</v>
      </c>
    </row>
    <row r="73" spans="1:24" ht="15" customHeight="1" x14ac:dyDescent="0.3">
      <c r="A73" s="11">
        <v>72</v>
      </c>
      <c r="B73" s="11">
        <v>15</v>
      </c>
      <c r="C73" s="11" t="s">
        <v>791</v>
      </c>
      <c r="D73" s="11" t="s">
        <v>792</v>
      </c>
      <c r="E73" s="11" t="s">
        <v>772</v>
      </c>
      <c r="F73" s="11">
        <v>2022</v>
      </c>
      <c r="G73" s="20">
        <f t="shared" si="7"/>
        <v>0</v>
      </c>
      <c r="H73" s="21">
        <v>0</v>
      </c>
      <c r="I73" s="21">
        <f>IFERROR(INDEX('Coding Sheet'!$AC$2:$AC$731,MATCH($B73&amp;"_"&amp;$F73,'Coding Sheet'!$A$2:$A$731,0)),"")</f>
        <v>15</v>
      </c>
      <c r="J73" s="7">
        <f>IFERROR(INDEX('Coding Sheet'!$AT$2:$AT$731,MATCH($B73&amp;"_"&amp;$F73,'Coding Sheet'!$A$2:$A$731,0)),"")</f>
        <v>0</v>
      </c>
      <c r="K73" s="12">
        <v>289823447</v>
      </c>
      <c r="L73" s="12">
        <v>6</v>
      </c>
      <c r="M73" s="20">
        <f t="shared" si="8"/>
        <v>1738940.682</v>
      </c>
      <c r="N73" s="12">
        <v>2205083</v>
      </c>
      <c r="O73" s="12">
        <v>5528528</v>
      </c>
      <c r="P73" s="20">
        <v>208670</v>
      </c>
      <c r="Q73" s="20">
        <f t="shared" si="9"/>
        <v>0.71339490041472164</v>
      </c>
      <c r="R73" s="20">
        <f t="shared" si="10"/>
        <v>15.525432153616686</v>
      </c>
      <c r="S73" s="20">
        <f t="shared" si="11"/>
        <v>0.3988553553495614</v>
      </c>
      <c r="T73" s="20">
        <f t="shared" si="12"/>
        <v>3.7744224140675423E-2</v>
      </c>
      <c r="U73" s="20">
        <f>IFERROR(IF(ISNUMBER(INDEX('Firm Master'!$E$2:$E$1000,MATCH($C73,'Firm Master'!$B$2:$B$1000,0))),INDEX('Firm Master'!$E$2:$E$1000,MATCH($C73,'Firm Master'!$B$2:$B$1000,0)),""),"")</f>
        <v>1959</v>
      </c>
      <c r="V73" s="21">
        <f t="shared" si="13"/>
        <v>63</v>
      </c>
      <c r="W73" s="12">
        <v>1</v>
      </c>
      <c r="X73" s="20" t="str">
        <f>IFERROR(INDEX('Firm Master'!$G$2:$G$1000,MATCH($C73,'Firm Master'!$B$2:$B$1000,0)),"")</f>
        <v>Pannell Kerr Forster</v>
      </c>
    </row>
    <row r="74" spans="1:24" ht="21.75" customHeight="1" x14ac:dyDescent="0.3">
      <c r="A74" s="11">
        <v>73</v>
      </c>
      <c r="B74" s="11">
        <v>15</v>
      </c>
      <c r="C74" s="11" t="s">
        <v>791</v>
      </c>
      <c r="D74" s="11" t="s">
        <v>792</v>
      </c>
      <c r="E74" s="11" t="s">
        <v>772</v>
      </c>
      <c r="F74" s="11">
        <v>2023</v>
      </c>
      <c r="G74" s="20">
        <f t="shared" si="7"/>
        <v>1</v>
      </c>
      <c r="H74" s="21">
        <v>0</v>
      </c>
      <c r="I74" s="21">
        <f>IFERROR(INDEX('Coding Sheet'!$AC$2:$AC$731,MATCH($B74&amp;"_"&amp;$F74,'Coding Sheet'!$A$2:$A$731,0)),"")</f>
        <v>15</v>
      </c>
      <c r="J74" s="7">
        <f>IFERROR(INDEX('Coding Sheet'!$AT$2:$AT$731,MATCH($B74&amp;"_"&amp;$F74,'Coding Sheet'!$A$2:$A$731,0)),"")</f>
        <v>0</v>
      </c>
      <c r="K74" s="12">
        <v>289823447</v>
      </c>
      <c r="L74" s="12">
        <v>13</v>
      </c>
      <c r="M74" s="20">
        <f t="shared" si="8"/>
        <v>3767704.8110000002</v>
      </c>
      <c r="N74" s="12">
        <v>3079569</v>
      </c>
      <c r="O74" s="12">
        <v>6610970</v>
      </c>
      <c r="P74" s="20">
        <v>468797</v>
      </c>
      <c r="Q74" s="20">
        <f t="shared" si="9"/>
        <v>1.0357441965399934</v>
      </c>
      <c r="R74" s="20">
        <f t="shared" si="10"/>
        <v>15.704240948414025</v>
      </c>
      <c r="S74" s="20">
        <f t="shared" si="11"/>
        <v>0.46582710252807075</v>
      </c>
      <c r="T74" s="20">
        <f t="shared" si="12"/>
        <v>7.091198417176299E-2</v>
      </c>
      <c r="U74" s="20">
        <f>IFERROR(IF(ISNUMBER(INDEX('Firm Master'!$E$2:$E$1000,MATCH($C74,'Firm Master'!$B$2:$B$1000,0))),INDEX('Firm Master'!$E$2:$E$1000,MATCH($C74,'Firm Master'!$B$2:$B$1000,0)),""),"")</f>
        <v>1959</v>
      </c>
      <c r="V74" s="21">
        <f t="shared" si="13"/>
        <v>64</v>
      </c>
      <c r="W74" s="12">
        <v>1</v>
      </c>
      <c r="X74" s="20" t="str">
        <f>IFERROR(INDEX('Firm Master'!$G$2:$G$1000,MATCH($C74,'Firm Master'!$B$2:$B$1000,0)),"")</f>
        <v>Pannell Kerr Forster</v>
      </c>
    </row>
    <row r="75" spans="1:24" ht="32.25" customHeight="1" x14ac:dyDescent="0.3">
      <c r="A75" s="11">
        <v>74</v>
      </c>
      <c r="B75" s="11">
        <v>15</v>
      </c>
      <c r="C75" s="11" t="s">
        <v>791</v>
      </c>
      <c r="D75" s="11" t="s">
        <v>792</v>
      </c>
      <c r="E75" s="11" t="s">
        <v>772</v>
      </c>
      <c r="F75" s="11">
        <v>2024</v>
      </c>
      <c r="G75" s="20">
        <f t="shared" si="7"/>
        <v>1</v>
      </c>
      <c r="H75" s="21">
        <v>0</v>
      </c>
      <c r="I75" s="21">
        <f>IFERROR(INDEX('Coding Sheet'!$AC$2:$AC$731,MATCH($B75&amp;"_"&amp;$F75,'Coding Sheet'!$A$2:$A$731,0)),"")</f>
        <v>20</v>
      </c>
      <c r="J75" s="7">
        <f>IFERROR(INDEX('Coding Sheet'!$AT$2:$AT$731,MATCH($B75&amp;"_"&amp;$F75,'Coding Sheet'!$A$2:$A$731,0)),"")</f>
        <v>6.666666666666667</v>
      </c>
      <c r="K75" s="12">
        <v>289823447</v>
      </c>
      <c r="L75" s="21">
        <v>20.0122</v>
      </c>
      <c r="M75" s="20">
        <f t="shared" si="8"/>
        <v>5800004.7860534005</v>
      </c>
      <c r="N75" s="12">
        <v>3690000</v>
      </c>
      <c r="O75" s="12">
        <v>7520000</v>
      </c>
      <c r="P75" s="20">
        <v>610860</v>
      </c>
      <c r="Q75" s="20">
        <f t="shared" si="9"/>
        <v>1.2619687215496542</v>
      </c>
      <c r="R75" s="20">
        <f t="shared" si="10"/>
        <v>15.833076695926023</v>
      </c>
      <c r="S75" s="20">
        <f t="shared" si="11"/>
        <v>0.49069148936170215</v>
      </c>
      <c r="T75" s="20">
        <f t="shared" si="12"/>
        <v>8.1231382978723399E-2</v>
      </c>
      <c r="U75" s="20">
        <f>IFERROR(IF(ISNUMBER(INDEX('Firm Master'!$E$2:$E$1000,MATCH($C75,'Firm Master'!$B$2:$B$1000,0))),INDEX('Firm Master'!$E$2:$E$1000,MATCH($C75,'Firm Master'!$B$2:$B$1000,0)),""),"")</f>
        <v>1959</v>
      </c>
      <c r="V75" s="21">
        <f t="shared" si="13"/>
        <v>65</v>
      </c>
      <c r="W75" s="12">
        <v>0</v>
      </c>
      <c r="X75" s="20" t="str">
        <f>IFERROR(INDEX('Firm Master'!$G$2:$G$1000,MATCH($C75,'Firm Master'!$B$2:$B$1000,0)),"")</f>
        <v>Pannell Kerr Forster</v>
      </c>
    </row>
    <row r="76" spans="1:24" ht="21.75" customHeight="1" x14ac:dyDescent="0.3">
      <c r="A76" s="11">
        <v>75</v>
      </c>
      <c r="B76" s="11">
        <v>15</v>
      </c>
      <c r="C76" s="11" t="s">
        <v>791</v>
      </c>
      <c r="D76" s="11" t="s">
        <v>792</v>
      </c>
      <c r="E76" s="11" t="s">
        <v>772</v>
      </c>
      <c r="F76" s="11">
        <v>2025</v>
      </c>
      <c r="G76" s="20">
        <f t="shared" si="7"/>
        <v>1</v>
      </c>
      <c r="H76" s="21">
        <v>0</v>
      </c>
      <c r="I76" s="21">
        <f>IFERROR(INDEX('Coding Sheet'!$AC$2:$AC$731,MATCH($B76&amp;"_"&amp;$F76,'Coding Sheet'!$A$2:$A$731,0)),"")</f>
        <v>15</v>
      </c>
      <c r="J76" s="7">
        <f>IFERROR(INDEX('Coding Sheet'!$AT$2:$AT$731,MATCH($B76&amp;"_"&amp;$F76,'Coding Sheet'!$A$2:$A$731,0)),"")</f>
        <v>0</v>
      </c>
      <c r="K76" s="12">
        <v>289823447</v>
      </c>
      <c r="L76" s="21">
        <v>47.994700000000002</v>
      </c>
      <c r="M76" s="20">
        <f t="shared" si="8"/>
        <v>13909989.391730899</v>
      </c>
      <c r="N76" s="12">
        <v>4340000</v>
      </c>
      <c r="O76" s="12">
        <v>9250000</v>
      </c>
      <c r="P76" s="20">
        <v>1480000</v>
      </c>
      <c r="Q76" s="20">
        <f t="shared" si="9"/>
        <v>1.97297182613307</v>
      </c>
      <c r="R76" s="20">
        <f t="shared" si="10"/>
        <v>16.040134109488609</v>
      </c>
      <c r="S76" s="20">
        <f t="shared" si="11"/>
        <v>0.46918918918918917</v>
      </c>
      <c r="T76" s="20">
        <f t="shared" si="12"/>
        <v>0.16</v>
      </c>
      <c r="U76" s="20">
        <f>IFERROR(IF(ISNUMBER(INDEX('Firm Master'!$E$2:$E$1000,MATCH($C76,'Firm Master'!$B$2:$B$1000,0))),INDEX('Firm Master'!$E$2:$E$1000,MATCH($C76,'Firm Master'!$B$2:$B$1000,0)),""),"")</f>
        <v>1959</v>
      </c>
      <c r="V76" s="21">
        <f t="shared" si="13"/>
        <v>66</v>
      </c>
      <c r="W76" s="12">
        <v>0</v>
      </c>
      <c r="X76" s="20" t="str">
        <f>IFERROR(INDEX('Firm Master'!$G$2:$G$1000,MATCH($C76,'Firm Master'!$B$2:$B$1000,0)),"")</f>
        <v>Pannell Kerr Forster</v>
      </c>
    </row>
    <row r="77" spans="1:24" ht="32.25" customHeight="1" x14ac:dyDescent="0.3">
      <c r="A77" s="11">
        <v>76</v>
      </c>
      <c r="B77" s="11">
        <v>16</v>
      </c>
      <c r="C77" s="11" t="s">
        <v>796</v>
      </c>
      <c r="D77" s="11" t="s">
        <v>797</v>
      </c>
      <c r="E77" s="11" t="s">
        <v>772</v>
      </c>
      <c r="F77" s="11">
        <v>2021</v>
      </c>
      <c r="G77" s="20">
        <f t="shared" si="7"/>
        <v>0</v>
      </c>
      <c r="H77" s="21">
        <v>0</v>
      </c>
      <c r="I77" s="21">
        <f>IFERROR(INDEX('Coding Sheet'!$AC$2:$AC$731,MATCH($B77&amp;"_"&amp;$F77,'Coding Sheet'!$A$2:$A$731,0)),"")</f>
        <v>0</v>
      </c>
      <c r="J77" s="7">
        <f>IFERROR(INDEX('Coding Sheet'!$AT$2:$AT$731,MATCH($B77&amp;"_"&amp;$F77,'Coding Sheet'!$A$2:$A$731,0)),"")</f>
        <v>0</v>
      </c>
      <c r="K77" s="21">
        <v>599970000</v>
      </c>
      <c r="L77" s="21">
        <v>44.12</v>
      </c>
      <c r="M77" s="20">
        <f t="shared" si="8"/>
        <v>26470676.399999999</v>
      </c>
      <c r="N77" s="21">
        <v>20984992</v>
      </c>
      <c r="O77" s="21">
        <v>63112410</v>
      </c>
      <c r="P77" s="20">
        <v>5457671</v>
      </c>
      <c r="Q77" s="20">
        <f t="shared" si="9"/>
        <v>0.7519229324311969</v>
      </c>
      <c r="R77" s="20">
        <f t="shared" si="10"/>
        <v>17.960427980123335</v>
      </c>
      <c r="S77" s="20">
        <f t="shared" si="11"/>
        <v>0.33250183284079948</v>
      </c>
      <c r="T77" s="20">
        <f t="shared" si="12"/>
        <v>8.6475401589006032E-2</v>
      </c>
      <c r="U77" s="20">
        <f>IFERROR(IF(ISNUMBER(INDEX('Firm Master'!$E$2:$E$1000,MATCH($C77,'Firm Master'!$B$2:$B$1000,0))),INDEX('Firm Master'!$E$2:$E$1000,MATCH($C77,'Firm Master'!$B$2:$B$1000,0)),""),"")</f>
        <v>1974</v>
      </c>
      <c r="V77" s="21">
        <f t="shared" si="13"/>
        <v>47</v>
      </c>
      <c r="W77" s="12">
        <v>1</v>
      </c>
      <c r="X77" s="20" t="str">
        <f>IFERROR(INDEX('Firm Master'!$G$2:$G$1000,MATCH($C77,'Firm Master'!$B$2:$B$1000,0)),"")</f>
        <v>Ernst &amp; Young</v>
      </c>
    </row>
    <row r="78" spans="1:24" ht="21.75" customHeight="1" x14ac:dyDescent="0.3">
      <c r="A78" s="11">
        <v>77</v>
      </c>
      <c r="B78" s="11">
        <v>16</v>
      </c>
      <c r="C78" s="11" t="s">
        <v>796</v>
      </c>
      <c r="D78" s="11" t="s">
        <v>797</v>
      </c>
      <c r="E78" s="11" t="s">
        <v>772</v>
      </c>
      <c r="F78" s="11">
        <v>2022</v>
      </c>
      <c r="G78" s="20">
        <f t="shared" si="7"/>
        <v>0</v>
      </c>
      <c r="H78" s="21">
        <v>0</v>
      </c>
      <c r="I78" s="21">
        <f>IFERROR(INDEX('Coding Sheet'!$AC$2:$AC$731,MATCH($B78&amp;"_"&amp;$F78,'Coding Sheet'!$A$2:$A$731,0)),"")</f>
        <v>5</v>
      </c>
      <c r="J78" s="7">
        <f>IFERROR(INDEX('Coding Sheet'!$AT$2:$AT$731,MATCH($B78&amp;"_"&amp;$F78,'Coding Sheet'!$A$2:$A$731,0)),"")</f>
        <v>0</v>
      </c>
      <c r="K78" s="21">
        <v>599970000</v>
      </c>
      <c r="L78" s="21">
        <v>39.6</v>
      </c>
      <c r="M78" s="20">
        <f t="shared" si="8"/>
        <v>23758812</v>
      </c>
      <c r="N78" s="21">
        <v>29681202</v>
      </c>
      <c r="O78" s="21">
        <v>75944552</v>
      </c>
      <c r="P78" s="20">
        <v>4685414</v>
      </c>
      <c r="Q78" s="20">
        <f t="shared" si="9"/>
        <v>0.70367146283251492</v>
      </c>
      <c r="R78" s="20">
        <f t="shared" si="10"/>
        <v>18.145514053030997</v>
      </c>
      <c r="S78" s="20">
        <f t="shared" si="11"/>
        <v>0.39082727092787378</v>
      </c>
      <c r="T78" s="20">
        <f t="shared" si="12"/>
        <v>6.1695195726482133E-2</v>
      </c>
      <c r="U78" s="20">
        <f>IFERROR(IF(ISNUMBER(INDEX('Firm Master'!$E$2:$E$1000,MATCH($C78,'Firm Master'!$B$2:$B$1000,0))),INDEX('Firm Master'!$E$2:$E$1000,MATCH($C78,'Firm Master'!$B$2:$B$1000,0)),""),"")</f>
        <v>1974</v>
      </c>
      <c r="V78" s="21">
        <f t="shared" si="13"/>
        <v>48</v>
      </c>
      <c r="W78" s="12">
        <v>1</v>
      </c>
      <c r="X78" s="20" t="str">
        <f>IFERROR(INDEX('Firm Master'!$G$2:$G$1000,MATCH($C78,'Firm Master'!$B$2:$B$1000,0)),"")</f>
        <v>Ernst &amp; Young</v>
      </c>
    </row>
    <row r="79" spans="1:24" ht="21.75" customHeight="1" x14ac:dyDescent="0.3">
      <c r="A79" s="11">
        <v>78</v>
      </c>
      <c r="B79" s="11">
        <v>16</v>
      </c>
      <c r="C79" s="11" t="s">
        <v>796</v>
      </c>
      <c r="D79" s="11" t="s">
        <v>797</v>
      </c>
      <c r="E79" s="11" t="s">
        <v>772</v>
      </c>
      <c r="F79" s="11">
        <v>2023</v>
      </c>
      <c r="G79" s="20">
        <f t="shared" si="7"/>
        <v>1</v>
      </c>
      <c r="H79" s="21">
        <v>0</v>
      </c>
      <c r="I79" s="21">
        <f>IFERROR(INDEX('Coding Sheet'!$AC$2:$AC$731,MATCH($B79&amp;"_"&amp;$F79,'Coding Sheet'!$A$2:$A$731,0)),"")</f>
        <v>5</v>
      </c>
      <c r="J79" s="7">
        <f>IFERROR(INDEX('Coding Sheet'!$AT$2:$AT$731,MATCH($B79&amp;"_"&amp;$F79,'Coding Sheet'!$A$2:$A$731,0)),"")</f>
        <v>0</v>
      </c>
      <c r="K79" s="21">
        <v>599970000</v>
      </c>
      <c r="L79" s="21">
        <v>59.4</v>
      </c>
      <c r="M79" s="20">
        <f t="shared" si="8"/>
        <v>35638218</v>
      </c>
      <c r="N79" s="21">
        <v>54846891</v>
      </c>
      <c r="O79" s="21">
        <v>106851901</v>
      </c>
      <c r="P79" s="20">
        <v>6442220</v>
      </c>
      <c r="Q79" s="20">
        <f t="shared" si="9"/>
        <v>0.84682732036746822</v>
      </c>
      <c r="R79" s="20">
        <f t="shared" si="10"/>
        <v>18.486954330867377</v>
      </c>
      <c r="S79" s="20">
        <f t="shared" si="11"/>
        <v>0.51329822386594692</v>
      </c>
      <c r="T79" s="20">
        <f t="shared" si="12"/>
        <v>6.0291112649460493E-2</v>
      </c>
      <c r="U79" s="20">
        <f>IFERROR(IF(ISNUMBER(INDEX('Firm Master'!$E$2:$E$1000,MATCH($C79,'Firm Master'!$B$2:$B$1000,0))),INDEX('Firm Master'!$E$2:$E$1000,MATCH($C79,'Firm Master'!$B$2:$B$1000,0)),""),"")</f>
        <v>1974</v>
      </c>
      <c r="V79" s="21">
        <f t="shared" si="13"/>
        <v>49</v>
      </c>
      <c r="W79" s="12">
        <v>1</v>
      </c>
      <c r="X79" s="20" t="str">
        <f>IFERROR(INDEX('Firm Master'!$G$2:$G$1000,MATCH($C79,'Firm Master'!$B$2:$B$1000,0)),"")</f>
        <v>Ernst &amp; Young</v>
      </c>
    </row>
    <row r="80" spans="1:24" ht="21.75" customHeight="1" x14ac:dyDescent="0.3">
      <c r="A80" s="11">
        <v>79</v>
      </c>
      <c r="B80" s="11">
        <v>16</v>
      </c>
      <c r="C80" s="11" t="s">
        <v>796</v>
      </c>
      <c r="D80" s="11" t="s">
        <v>797</v>
      </c>
      <c r="E80" s="11" t="s">
        <v>772</v>
      </c>
      <c r="F80" s="11">
        <v>2024</v>
      </c>
      <c r="G80" s="20">
        <f t="shared" si="7"/>
        <v>1</v>
      </c>
      <c r="H80" s="21">
        <v>0</v>
      </c>
      <c r="I80" s="21">
        <f>IFERROR(INDEX('Coding Sheet'!$AC$2:$AC$731,MATCH($B80&amp;"_"&amp;$F80,'Coding Sheet'!$A$2:$A$731,0)),"")</f>
        <v>5</v>
      </c>
      <c r="J80" s="7">
        <f>IFERROR(INDEX('Coding Sheet'!$AT$2:$AT$731,MATCH($B80&amp;"_"&amp;$F80,'Coding Sheet'!$A$2:$A$731,0)),"")</f>
        <v>0</v>
      </c>
      <c r="K80" s="12">
        <v>599970000</v>
      </c>
      <c r="L80" s="21">
        <v>64.900000000000006</v>
      </c>
      <c r="M80" s="20">
        <f t="shared" si="8"/>
        <v>38938053</v>
      </c>
      <c r="N80" s="12">
        <v>69560314</v>
      </c>
      <c r="O80" s="12">
        <v>134352197</v>
      </c>
      <c r="P80" s="20">
        <v>64791883</v>
      </c>
      <c r="Q80" s="20">
        <f t="shared" si="9"/>
        <v>0.80756674935505524</v>
      </c>
      <c r="R80" s="20">
        <f t="shared" si="10"/>
        <v>18.715975245701895</v>
      </c>
      <c r="S80" s="20">
        <f t="shared" si="11"/>
        <v>0.51774601050997326</v>
      </c>
      <c r="T80" s="20">
        <f t="shared" si="12"/>
        <v>0.48225398949002674</v>
      </c>
      <c r="U80" s="20">
        <f>IFERROR(IF(ISNUMBER(INDEX('Firm Master'!$E$2:$E$1000,MATCH($C80,'Firm Master'!$B$2:$B$1000,0))),INDEX('Firm Master'!$E$2:$E$1000,MATCH($C80,'Firm Master'!$B$2:$B$1000,0)),""),"")</f>
        <v>1974</v>
      </c>
      <c r="V80" s="21">
        <f t="shared" si="13"/>
        <v>50</v>
      </c>
      <c r="W80" s="12">
        <v>1</v>
      </c>
      <c r="X80" s="20" t="str">
        <f>IFERROR(INDEX('Firm Master'!$G$2:$G$1000,MATCH($C80,'Firm Master'!$B$2:$B$1000,0)),"")</f>
        <v>Ernst &amp; Young</v>
      </c>
    </row>
    <row r="81" spans="1:24" ht="21.75" customHeight="1" x14ac:dyDescent="0.3">
      <c r="A81" s="11">
        <v>80</v>
      </c>
      <c r="B81" s="11">
        <v>16</v>
      </c>
      <c r="C81" s="11" t="s">
        <v>796</v>
      </c>
      <c r="D81" s="11" t="s">
        <v>797</v>
      </c>
      <c r="E81" s="11" t="s">
        <v>772</v>
      </c>
      <c r="F81" s="11">
        <v>2025</v>
      </c>
      <c r="G81" s="20">
        <f t="shared" si="7"/>
        <v>1</v>
      </c>
      <c r="H81" s="21">
        <v>0</v>
      </c>
      <c r="I81" s="21">
        <f>IFERROR(INDEX('Coding Sheet'!$AC$2:$AC$731,MATCH($B81&amp;"_"&amp;$F81,'Coding Sheet'!$A$2:$A$731,0)),"")</f>
        <v>5</v>
      </c>
      <c r="J81" s="7">
        <f>IFERROR(INDEX('Coding Sheet'!$AT$2:$AT$731,MATCH($B81&amp;"_"&amp;$F81,'Coding Sheet'!$A$2:$A$731,0)),"")</f>
        <v>0</v>
      </c>
      <c r="K81" s="12">
        <v>599970000</v>
      </c>
      <c r="L81" s="12">
        <v>370</v>
      </c>
      <c r="M81" s="20">
        <f t="shared" si="8"/>
        <v>221988900</v>
      </c>
      <c r="N81" s="12">
        <v>87624904</v>
      </c>
      <c r="O81" s="12">
        <v>183892203</v>
      </c>
      <c r="P81" s="20">
        <v>96267299</v>
      </c>
      <c r="Q81" s="20">
        <f t="shared" si="9"/>
        <v>1.6836701010102098</v>
      </c>
      <c r="R81" s="20">
        <f t="shared" si="10"/>
        <v>19.029860290633312</v>
      </c>
      <c r="S81" s="20">
        <f t="shared" si="11"/>
        <v>0.47650146428448625</v>
      </c>
      <c r="T81" s="20">
        <f t="shared" si="12"/>
        <v>0.52349853571551375</v>
      </c>
      <c r="U81" s="20">
        <f>IFERROR(IF(ISNUMBER(INDEX('Firm Master'!$E$2:$E$1000,MATCH($C81,'Firm Master'!$B$2:$B$1000,0))),INDEX('Firm Master'!$E$2:$E$1000,MATCH($C81,'Firm Master'!$B$2:$B$1000,0)),""),"")</f>
        <v>1974</v>
      </c>
      <c r="V81" s="21">
        <f t="shared" si="13"/>
        <v>51</v>
      </c>
      <c r="W81" s="12">
        <v>1</v>
      </c>
      <c r="X81" s="20" t="str">
        <f>IFERROR(INDEX('Firm Master'!$G$2:$G$1000,MATCH($C81,'Firm Master'!$B$2:$B$1000,0)),"")</f>
        <v>Ernst &amp; Young</v>
      </c>
    </row>
    <row r="82" spans="1:24" ht="21.75" customHeight="1" x14ac:dyDescent="0.3">
      <c r="A82" s="11">
        <v>81</v>
      </c>
      <c r="B82" s="11">
        <v>17</v>
      </c>
      <c r="C82" s="11" t="s">
        <v>800</v>
      </c>
      <c r="D82" s="11" t="s">
        <v>801</v>
      </c>
      <c r="E82" s="11" t="s">
        <v>772</v>
      </c>
      <c r="F82" s="11">
        <v>2021</v>
      </c>
      <c r="G82" s="20">
        <f t="shared" si="7"/>
        <v>0</v>
      </c>
      <c r="H82" s="21">
        <v>0</v>
      </c>
      <c r="I82" s="21">
        <f>IFERROR(INDEX('Coding Sheet'!$AC$2:$AC$731,MATCH($B82&amp;"_"&amp;$F82,'Coding Sheet'!$A$2:$A$731,0)),"")</f>
        <v>25</v>
      </c>
      <c r="J82" s="7">
        <f>IFERROR(INDEX('Coding Sheet'!$AT$2:$AT$731,MATCH($B82&amp;"_"&amp;$F82,'Coding Sheet'!$A$2:$A$731,0)),"")</f>
        <v>0</v>
      </c>
      <c r="K82" s="12">
        <v>33864354060</v>
      </c>
      <c r="L82" s="21">
        <v>67.03</v>
      </c>
      <c r="M82" s="20">
        <f t="shared" si="8"/>
        <v>2269927652.6417999</v>
      </c>
      <c r="N82" s="21">
        <v>330400000</v>
      </c>
      <c r="O82" s="21">
        <v>728500000</v>
      </c>
      <c r="P82" s="20">
        <v>90079011</v>
      </c>
      <c r="Q82" s="20">
        <f t="shared" si="9"/>
        <v>3.569427114127385</v>
      </c>
      <c r="R82" s="20">
        <f t="shared" si="10"/>
        <v>20.406498183599535</v>
      </c>
      <c r="S82" s="20">
        <f t="shared" si="11"/>
        <v>0.45353466026080991</v>
      </c>
      <c r="T82" s="20">
        <f t="shared" si="12"/>
        <v>0.12364998078242966</v>
      </c>
      <c r="U82" s="20">
        <f>IFERROR(IF(ISNUMBER(INDEX('Firm Master'!$E$2:$E$1000,MATCH($C82,'Firm Master'!$B$2:$B$1000,0))),INDEX('Firm Master'!$E$2:$E$1000,MATCH($C82,'Firm Master'!$B$2:$B$1000,0)),""),"")</f>
        <v>2014</v>
      </c>
      <c r="V82" s="21">
        <f t="shared" si="13"/>
        <v>7</v>
      </c>
      <c r="W82" s="12">
        <v>1</v>
      </c>
      <c r="X82" s="20" t="str">
        <f>IFERROR(INDEX('Firm Master'!$G$2:$G$1000,MATCH($C82,'Firm Master'!$B$2:$B$1000,0)),"")</f>
        <v>PricewaterhouseCoopers</v>
      </c>
    </row>
    <row r="83" spans="1:24" ht="15" customHeight="1" x14ac:dyDescent="0.3">
      <c r="A83" s="11">
        <v>82</v>
      </c>
      <c r="B83" s="11">
        <v>17</v>
      </c>
      <c r="C83" s="11" t="s">
        <v>800</v>
      </c>
      <c r="D83" s="11" t="s">
        <v>801</v>
      </c>
      <c r="E83" s="11" t="s">
        <v>772</v>
      </c>
      <c r="F83" s="11">
        <v>2022</v>
      </c>
      <c r="G83" s="20">
        <f t="shared" si="7"/>
        <v>0</v>
      </c>
      <c r="H83" s="21">
        <v>0</v>
      </c>
      <c r="I83" s="21">
        <f>IFERROR(INDEX('Coding Sheet'!$AC$2:$AC$731,MATCH($B83&amp;"_"&amp;$F83,'Coding Sheet'!$A$2:$A$731,0)),"")</f>
        <v>25</v>
      </c>
      <c r="J83" s="7">
        <f>IFERROR(INDEX('Coding Sheet'!$AT$2:$AT$731,MATCH($B83&amp;"_"&amp;$F83,'Coding Sheet'!$A$2:$A$731,0)),"")</f>
        <v>0</v>
      </c>
      <c r="K83" s="12">
        <v>33864354060</v>
      </c>
      <c r="L83" s="21">
        <v>97.74</v>
      </c>
      <c r="M83" s="20">
        <f t="shared" si="8"/>
        <v>3309901965.8243999</v>
      </c>
      <c r="N83" s="12">
        <v>462899342</v>
      </c>
      <c r="O83" s="12">
        <v>874011884</v>
      </c>
      <c r="P83" s="20">
        <v>411112542</v>
      </c>
      <c r="Q83" s="20">
        <f t="shared" si="9"/>
        <v>4.3166476073046161</v>
      </c>
      <c r="R83" s="20">
        <f t="shared" si="10"/>
        <v>20.588604530781371</v>
      </c>
      <c r="S83" s="20">
        <f t="shared" si="11"/>
        <v>0.52962591295841011</v>
      </c>
      <c r="T83" s="20">
        <f t="shared" si="12"/>
        <v>0.47037408704158995</v>
      </c>
      <c r="U83" s="20">
        <f>IFERROR(IF(ISNUMBER(INDEX('Firm Master'!$E$2:$E$1000,MATCH($C83,'Firm Master'!$B$2:$B$1000,0))),INDEX('Firm Master'!$E$2:$E$1000,MATCH($C83,'Firm Master'!$B$2:$B$1000,0)),""),"")</f>
        <v>2014</v>
      </c>
      <c r="V83" s="21">
        <f t="shared" si="13"/>
        <v>8</v>
      </c>
      <c r="W83" s="12">
        <v>1</v>
      </c>
      <c r="X83" s="20" t="str">
        <f>IFERROR(INDEX('Firm Master'!$G$2:$G$1000,MATCH($C83,'Firm Master'!$B$2:$B$1000,0)),"")</f>
        <v>PricewaterhouseCoopers</v>
      </c>
    </row>
    <row r="84" spans="1:24" ht="21.75" customHeight="1" x14ac:dyDescent="0.3">
      <c r="A84" s="11">
        <v>83</v>
      </c>
      <c r="B84" s="11">
        <v>17</v>
      </c>
      <c r="C84" s="11" t="s">
        <v>800</v>
      </c>
      <c r="D84" s="11" t="s">
        <v>801</v>
      </c>
      <c r="E84" s="11" t="s">
        <v>772</v>
      </c>
      <c r="F84" s="11">
        <v>2023</v>
      </c>
      <c r="G84" s="20">
        <f t="shared" si="7"/>
        <v>1</v>
      </c>
      <c r="H84" s="33">
        <v>0</v>
      </c>
      <c r="I84" s="21">
        <f>IFERROR(INDEX('Coding Sheet'!$AC$2:$AC$731,MATCH($B84&amp;"_"&amp;$F84,'Coding Sheet'!$A$2:$A$731,0)),"")</f>
        <v>30</v>
      </c>
      <c r="J84" s="7">
        <f>IFERROR(INDEX('Coding Sheet'!$AT$2:$AT$731,MATCH($B84&amp;"_"&amp;$F84,'Coding Sheet'!$A$2:$A$731,0)),"")</f>
        <v>0</v>
      </c>
      <c r="K84" s="12">
        <v>33864354060</v>
      </c>
      <c r="L84" s="21">
        <v>96.86</v>
      </c>
      <c r="M84" s="20">
        <f t="shared" si="8"/>
        <v>3280101334.2516003</v>
      </c>
      <c r="N84" s="12">
        <v>830462227</v>
      </c>
      <c r="O84" s="12">
        <v>1215686377</v>
      </c>
      <c r="P84" s="20">
        <v>385224150</v>
      </c>
      <c r="Q84" s="20">
        <f t="shared" si="9"/>
        <v>3.3812697411279786</v>
      </c>
      <c r="R84" s="20">
        <f t="shared" si="10"/>
        <v>20.918574673573627</v>
      </c>
      <c r="S84" s="20">
        <f t="shared" si="11"/>
        <v>0.68312209687614189</v>
      </c>
      <c r="T84" s="20">
        <f t="shared" si="12"/>
        <v>0.31687790312385805</v>
      </c>
      <c r="U84" s="20">
        <f>IFERROR(IF(ISNUMBER(INDEX('Firm Master'!$E$2:$E$1000,MATCH($C84,'Firm Master'!$B$2:$B$1000,0))),INDEX('Firm Master'!$E$2:$E$1000,MATCH($C84,'Firm Master'!$B$2:$B$1000,0)),""),"")</f>
        <v>2014</v>
      </c>
      <c r="V84" s="21">
        <f t="shared" si="13"/>
        <v>9</v>
      </c>
      <c r="W84" s="12">
        <v>1</v>
      </c>
      <c r="X84" s="20" t="str">
        <f>IFERROR(INDEX('Firm Master'!$G$2:$G$1000,MATCH($C84,'Firm Master'!$B$2:$B$1000,0)),"")</f>
        <v>PricewaterhouseCoopers</v>
      </c>
    </row>
    <row r="85" spans="1:24" ht="15" customHeight="1" x14ac:dyDescent="0.3">
      <c r="A85" s="11">
        <v>84</v>
      </c>
      <c r="B85" s="11">
        <v>17</v>
      </c>
      <c r="C85" s="11" t="s">
        <v>800</v>
      </c>
      <c r="D85" s="11" t="s">
        <v>801</v>
      </c>
      <c r="E85" s="11" t="s">
        <v>772</v>
      </c>
      <c r="F85" s="11">
        <v>2024</v>
      </c>
      <c r="G85" s="20">
        <f t="shared" si="7"/>
        <v>1</v>
      </c>
      <c r="H85" s="21">
        <v>0</v>
      </c>
      <c r="I85" s="21">
        <f>IFERROR(INDEX('Coding Sheet'!$AC$2:$AC$731,MATCH($B85&amp;"_"&amp;$F85,'Coding Sheet'!$A$2:$A$731,0)),"")</f>
        <v>30</v>
      </c>
      <c r="J85" s="7">
        <f>IFERROR(INDEX('Coding Sheet'!$AT$2:$AT$731,MATCH($B85&amp;"_"&amp;$F85,'Coding Sheet'!$A$2:$A$731,0)),"")</f>
        <v>0</v>
      </c>
      <c r="K85" s="12">
        <v>33864354060</v>
      </c>
      <c r="L85" s="21">
        <v>93.03</v>
      </c>
      <c r="M85" s="20">
        <f t="shared" si="8"/>
        <v>3150400858.2017999</v>
      </c>
      <c r="N85" s="12">
        <v>1181803630</v>
      </c>
      <c r="O85" s="12">
        <v>1570351865</v>
      </c>
      <c r="P85" s="20">
        <v>388548235</v>
      </c>
      <c r="Q85" s="20">
        <f t="shared" si="9"/>
        <v>2.7587476315072861</v>
      </c>
      <c r="R85" s="20">
        <f t="shared" si="10"/>
        <v>21.174565549030373</v>
      </c>
      <c r="S85" s="20">
        <f t="shared" si="11"/>
        <v>0.75257250068601667</v>
      </c>
      <c r="T85" s="20">
        <f t="shared" si="12"/>
        <v>0.24742749931398336</v>
      </c>
      <c r="U85" s="20">
        <f>IFERROR(IF(ISNUMBER(INDEX('Firm Master'!$E$2:$E$1000,MATCH($C85,'Firm Master'!$B$2:$B$1000,0))),INDEX('Firm Master'!$E$2:$E$1000,MATCH($C85,'Firm Master'!$B$2:$B$1000,0)),""),"")</f>
        <v>2014</v>
      </c>
      <c r="V85" s="21">
        <f t="shared" si="13"/>
        <v>10</v>
      </c>
      <c r="W85" s="12">
        <v>1</v>
      </c>
      <c r="X85" s="20" t="str">
        <f>IFERROR(INDEX('Firm Master'!$G$2:$G$1000,MATCH($C85,'Firm Master'!$B$2:$B$1000,0)),"")</f>
        <v>PricewaterhouseCoopers</v>
      </c>
    </row>
    <row r="86" spans="1:24" ht="21.75" customHeight="1" x14ac:dyDescent="0.3">
      <c r="A86" s="11">
        <v>85</v>
      </c>
      <c r="B86" s="11">
        <v>17</v>
      </c>
      <c r="C86" s="11" t="s">
        <v>800</v>
      </c>
      <c r="D86" s="11" t="s">
        <v>801</v>
      </c>
      <c r="E86" s="11" t="s">
        <v>772</v>
      </c>
      <c r="F86" s="11">
        <v>2025</v>
      </c>
      <c r="G86" s="20">
        <f t="shared" si="7"/>
        <v>1</v>
      </c>
      <c r="H86" s="21">
        <v>0</v>
      </c>
      <c r="I86" s="21">
        <f>IFERROR(INDEX('Coding Sheet'!$AC$2:$AC$731,MATCH($B86&amp;"_"&amp;$F86,'Coding Sheet'!$A$2:$A$731,0)),"")</f>
        <v>0</v>
      </c>
      <c r="J86" s="7">
        <f>IFERROR(INDEX('Coding Sheet'!$AT$2:$AT$731,MATCH($B86&amp;"_"&amp;$F86,'Coding Sheet'!$A$2:$A$731,0)),"")</f>
        <v>0</v>
      </c>
      <c r="K86" s="12">
        <v>33864354060</v>
      </c>
      <c r="L86" s="21">
        <v>178.36</v>
      </c>
      <c r="M86" s="20">
        <f t="shared" si="8"/>
        <v>6040046190.1416006</v>
      </c>
      <c r="N86" s="12">
        <v>1180000000</v>
      </c>
      <c r="O86" s="12">
        <v>1860000000</v>
      </c>
      <c r="P86" s="20">
        <v>672900000</v>
      </c>
      <c r="Q86" s="20">
        <f t="shared" si="9"/>
        <v>3.8817452635169896</v>
      </c>
      <c r="R86" s="20">
        <f t="shared" si="10"/>
        <v>21.34384232467152</v>
      </c>
      <c r="S86" s="20">
        <f t="shared" si="11"/>
        <v>0.63440860215053763</v>
      </c>
      <c r="T86" s="20">
        <f t="shared" si="12"/>
        <v>0.36177419354838708</v>
      </c>
      <c r="U86" s="20">
        <f>IFERROR(IF(ISNUMBER(INDEX('Firm Master'!$E$2:$E$1000,MATCH($C86,'Firm Master'!$B$2:$B$1000,0))),INDEX('Firm Master'!$E$2:$E$1000,MATCH($C86,'Firm Master'!$B$2:$B$1000,0)),""),"")</f>
        <v>2014</v>
      </c>
      <c r="V86" s="21">
        <f t="shared" si="13"/>
        <v>11</v>
      </c>
      <c r="W86" s="12">
        <v>1</v>
      </c>
      <c r="X86" s="20" t="str">
        <f>IFERROR(INDEX('Firm Master'!$G$2:$G$1000,MATCH($C86,'Firm Master'!$B$2:$B$1000,0)),"")</f>
        <v>PricewaterhouseCoopers</v>
      </c>
    </row>
    <row r="87" spans="1:24" ht="32.25" customHeight="1" x14ac:dyDescent="0.3">
      <c r="A87" s="16">
        <v>86</v>
      </c>
      <c r="B87" s="16">
        <v>18</v>
      </c>
      <c r="C87" s="16" t="s">
        <v>804</v>
      </c>
      <c r="D87" s="16" t="s">
        <v>805</v>
      </c>
      <c r="E87" s="16" t="s">
        <v>806</v>
      </c>
      <c r="F87" s="16">
        <v>2021</v>
      </c>
      <c r="G87" s="16">
        <f t="shared" si="7"/>
        <v>0</v>
      </c>
      <c r="H87" s="16">
        <v>0</v>
      </c>
      <c r="I87" s="16">
        <f>IFERROR(INDEX('Coding Sheet'!$AC$2:$AC$731,MATCH($B87&amp;"_"&amp;$F87,'Coding Sheet'!$A$2:$A$731,0)),"")</f>
        <v>0</v>
      </c>
      <c r="J87" s="22">
        <f>IFERROR(INDEX('Coding Sheet'!$AT$2:$AT$731,MATCH($B87&amp;"_"&amp;$F87,'Coding Sheet'!$A$2:$A$731,0)),"")</f>
        <v>0</v>
      </c>
      <c r="K87" s="16">
        <v>18000000000</v>
      </c>
      <c r="L87" s="16"/>
      <c r="M87" s="16" t="str">
        <f t="shared" si="8"/>
        <v/>
      </c>
      <c r="N87" s="16">
        <v>392750842</v>
      </c>
      <c r="O87" s="16">
        <v>593469515</v>
      </c>
      <c r="P87" s="16">
        <v>200718673</v>
      </c>
      <c r="Q87" s="16" t="str">
        <f t="shared" si="9"/>
        <v/>
      </c>
      <c r="R87" s="16">
        <f t="shared" si="10"/>
        <v>20.201496405909609</v>
      </c>
      <c r="S87" s="16">
        <f t="shared" si="11"/>
        <v>0.66178772805204666</v>
      </c>
      <c r="T87" s="16">
        <f t="shared" si="12"/>
        <v>0.33821227194795339</v>
      </c>
      <c r="U87" s="16">
        <f>IFERROR(IF(ISNUMBER(INDEX('Firm Master'!$E$2:$E$1000,MATCH($C87,'Firm Master'!$B$2:$B$1000,0))),INDEX('Firm Master'!$E$2:$E$1000,MATCH($C87,'Firm Master'!$B$2:$B$1000,0)),""),"")</f>
        <v>2005</v>
      </c>
      <c r="V87" s="16">
        <f t="shared" si="13"/>
        <v>16</v>
      </c>
      <c r="W87" s="16">
        <v>1</v>
      </c>
      <c r="X87" s="16" t="str">
        <f>IFERROR(INDEX('Firm Master'!$G$2:$G$1000,MATCH($C87,'Firm Master'!$B$2:$B$1000,0)),"")</f>
        <v>PricewaterhouseCoopers</v>
      </c>
    </row>
    <row r="88" spans="1:24" ht="15" customHeight="1" x14ac:dyDescent="0.3">
      <c r="A88" s="11">
        <v>87</v>
      </c>
      <c r="B88" s="11">
        <v>18</v>
      </c>
      <c r="C88" s="11" t="s">
        <v>804</v>
      </c>
      <c r="D88" s="11" t="s">
        <v>805</v>
      </c>
      <c r="E88" s="11" t="s">
        <v>806</v>
      </c>
      <c r="F88" s="11">
        <v>2022</v>
      </c>
      <c r="G88" s="20">
        <f t="shared" si="7"/>
        <v>0</v>
      </c>
      <c r="H88" s="21">
        <v>0</v>
      </c>
      <c r="I88" s="21">
        <f>IFERROR(INDEX('Coding Sheet'!$AC$2:$AC$731,MATCH($B88&amp;"_"&amp;$F88,'Coding Sheet'!$A$2:$A$731,0)),"")</f>
        <v>5</v>
      </c>
      <c r="J88" s="7">
        <f>IFERROR(INDEX('Coding Sheet'!$AT$2:$AT$731,MATCH($B88&amp;"_"&amp;$F88,'Coding Sheet'!$A$2:$A$731,0)),"")</f>
        <v>0</v>
      </c>
      <c r="K88" s="12">
        <v>18000000000</v>
      </c>
      <c r="L88" s="21">
        <v>65</v>
      </c>
      <c r="M88" s="20">
        <f t="shared" si="8"/>
        <v>1170000000</v>
      </c>
      <c r="N88" s="12">
        <v>376263289</v>
      </c>
      <c r="O88" s="12">
        <v>607224625</v>
      </c>
      <c r="P88" s="20">
        <v>230961336</v>
      </c>
      <c r="Q88" s="20">
        <f t="shared" si="9"/>
        <v>2.5464436476040477</v>
      </c>
      <c r="R88" s="20">
        <f t="shared" si="10"/>
        <v>20.22440933822995</v>
      </c>
      <c r="S88" s="20">
        <f t="shared" si="11"/>
        <v>0.6196443186077969</v>
      </c>
      <c r="T88" s="20">
        <f t="shared" si="12"/>
        <v>0.3803556813922031</v>
      </c>
      <c r="U88" s="20">
        <f>IFERROR(IF(ISNUMBER(INDEX('Firm Master'!$E$2:$E$1000,MATCH($C88,'Firm Master'!$B$2:$B$1000,0))),INDEX('Firm Master'!$E$2:$E$1000,MATCH($C88,'Firm Master'!$B$2:$B$1000,0)),""),"")</f>
        <v>2005</v>
      </c>
      <c r="V88" s="21">
        <f t="shared" si="13"/>
        <v>17</v>
      </c>
      <c r="W88" s="12">
        <v>1</v>
      </c>
      <c r="X88" s="20" t="str">
        <f>IFERROR(INDEX('Firm Master'!$G$2:$G$1000,MATCH($C88,'Firm Master'!$B$2:$B$1000,0)),"")</f>
        <v>PricewaterhouseCoopers</v>
      </c>
    </row>
    <row r="89" spans="1:24" ht="21.75" customHeight="1" x14ac:dyDescent="0.3">
      <c r="A89" s="11">
        <v>88</v>
      </c>
      <c r="B89" s="11">
        <v>18</v>
      </c>
      <c r="C89" s="11" t="s">
        <v>804</v>
      </c>
      <c r="D89" s="11" t="s">
        <v>805</v>
      </c>
      <c r="E89" s="11" t="s">
        <v>806</v>
      </c>
      <c r="F89" s="11">
        <v>2023</v>
      </c>
      <c r="G89" s="20">
        <f t="shared" si="7"/>
        <v>1</v>
      </c>
      <c r="H89" s="33">
        <v>0</v>
      </c>
      <c r="I89" s="21">
        <f>IFERROR(INDEX('Coding Sheet'!$AC$2:$AC$731,MATCH($B89&amp;"_"&amp;$F89,'Coding Sheet'!$A$2:$A$731,0)),"")</f>
        <v>5</v>
      </c>
      <c r="J89" s="7">
        <f>IFERROR(INDEX('Coding Sheet'!$AT$2:$AT$731,MATCH($B89&amp;"_"&amp;$F89,'Coding Sheet'!$A$2:$A$731,0)),"")</f>
        <v>0</v>
      </c>
      <c r="K89" s="12">
        <v>18000000000</v>
      </c>
      <c r="L89" s="21">
        <v>193.33</v>
      </c>
      <c r="M89" s="20">
        <f t="shared" si="8"/>
        <v>3479940000</v>
      </c>
      <c r="N89" s="12">
        <v>808381029</v>
      </c>
      <c r="O89" s="12">
        <v>1070439862</v>
      </c>
      <c r="P89" s="20">
        <v>262058833</v>
      </c>
      <c r="Q89" s="20">
        <f t="shared" si="9"/>
        <v>4.0061297988172271</v>
      </c>
      <c r="R89" s="20">
        <f t="shared" si="10"/>
        <v>20.79133548692884</v>
      </c>
      <c r="S89" s="20">
        <f t="shared" si="11"/>
        <v>0.75518584247192388</v>
      </c>
      <c r="T89" s="20">
        <f t="shared" si="12"/>
        <v>0.24481415752807606</v>
      </c>
      <c r="U89" s="20">
        <f>IFERROR(IF(ISNUMBER(INDEX('Firm Master'!$E$2:$E$1000,MATCH($C89,'Firm Master'!$B$2:$B$1000,0))),INDEX('Firm Master'!$E$2:$E$1000,MATCH($C89,'Firm Master'!$B$2:$B$1000,0)),""),"")</f>
        <v>2005</v>
      </c>
      <c r="V89" s="21">
        <f t="shared" si="13"/>
        <v>18</v>
      </c>
      <c r="W89" s="12">
        <v>1</v>
      </c>
      <c r="X89" s="20" t="str">
        <f>IFERROR(INDEX('Firm Master'!$G$2:$G$1000,MATCH($C89,'Firm Master'!$B$2:$B$1000,0)),"")</f>
        <v>PricewaterhouseCoopers</v>
      </c>
    </row>
    <row r="90" spans="1:24" ht="21.75" customHeight="1" x14ac:dyDescent="0.3">
      <c r="A90" s="11">
        <v>89</v>
      </c>
      <c r="B90" s="11">
        <v>18</v>
      </c>
      <c r="C90" s="11" t="s">
        <v>804</v>
      </c>
      <c r="D90" s="11" t="s">
        <v>805</v>
      </c>
      <c r="E90" s="11" t="s">
        <v>806</v>
      </c>
      <c r="F90" s="11">
        <v>2024</v>
      </c>
      <c r="G90" s="20">
        <f t="shared" si="7"/>
        <v>1</v>
      </c>
      <c r="H90" s="33">
        <v>0</v>
      </c>
      <c r="I90" s="21">
        <f>IFERROR(INDEX('Coding Sheet'!$AC$2:$AC$731,MATCH($B90&amp;"_"&amp;$F90,'Coding Sheet'!$A$2:$A$731,0)),"")</f>
        <v>5</v>
      </c>
      <c r="J90" s="7">
        <f>IFERROR(INDEX('Coding Sheet'!$AT$2:$AT$731,MATCH($B90&amp;"_"&amp;$F90,'Coding Sheet'!$A$2:$A$731,0)),"")</f>
        <v>0</v>
      </c>
      <c r="K90" s="12">
        <v>18000000000</v>
      </c>
      <c r="L90" s="21">
        <v>415</v>
      </c>
      <c r="M90" s="20">
        <f t="shared" si="8"/>
        <v>7470000000</v>
      </c>
      <c r="N90" s="12">
        <v>666447596</v>
      </c>
      <c r="O90" s="12">
        <v>1095504241</v>
      </c>
      <c r="P90" s="20">
        <v>429056645</v>
      </c>
      <c r="Q90" s="20">
        <f t="shared" si="9"/>
        <v>7.4271256025196895</v>
      </c>
      <c r="R90" s="20">
        <f t="shared" si="10"/>
        <v>20.814480588283949</v>
      </c>
      <c r="S90" s="20">
        <f t="shared" si="11"/>
        <v>0.60834780100134733</v>
      </c>
      <c r="T90" s="20">
        <f t="shared" si="12"/>
        <v>0.39165219899865272</v>
      </c>
      <c r="U90" s="20">
        <f>IFERROR(IF(ISNUMBER(INDEX('Firm Master'!$E$2:$E$1000,MATCH($C90,'Firm Master'!$B$2:$B$1000,0))),INDEX('Firm Master'!$E$2:$E$1000,MATCH($C90,'Firm Master'!$B$2:$B$1000,0)),""),"")</f>
        <v>2005</v>
      </c>
      <c r="V90" s="21">
        <f t="shared" si="13"/>
        <v>19</v>
      </c>
      <c r="W90" s="12">
        <v>1</v>
      </c>
      <c r="X90" s="20" t="str">
        <f>IFERROR(INDEX('Firm Master'!$G$2:$G$1000,MATCH($C90,'Firm Master'!$B$2:$B$1000,0)),"")</f>
        <v>PricewaterhouseCoopers</v>
      </c>
    </row>
    <row r="91" spans="1:24" ht="21.75" customHeight="1" x14ac:dyDescent="0.3">
      <c r="A91" s="11">
        <v>90</v>
      </c>
      <c r="B91" s="11">
        <v>18</v>
      </c>
      <c r="C91" s="11" t="s">
        <v>804</v>
      </c>
      <c r="D91" s="11" t="s">
        <v>805</v>
      </c>
      <c r="E91" s="11" t="s">
        <v>806</v>
      </c>
      <c r="F91" s="11">
        <v>2025</v>
      </c>
      <c r="G91" s="20">
        <f t="shared" si="7"/>
        <v>1</v>
      </c>
      <c r="H91" s="21">
        <v>0</v>
      </c>
      <c r="I91" s="21">
        <f>IFERROR(INDEX('Coding Sheet'!$AC$2:$AC$731,MATCH($B91&amp;"_"&amp;$F91,'Coding Sheet'!$A$2:$A$731,0)),"")</f>
        <v>0</v>
      </c>
      <c r="J91" s="7">
        <f>IFERROR(INDEX('Coding Sheet'!$AT$2:$AT$731,MATCH($B91&amp;"_"&amp;$F91,'Coding Sheet'!$A$2:$A$731,0)),"")</f>
        <v>0</v>
      </c>
      <c r="K91" s="12">
        <v>18000000000</v>
      </c>
      <c r="L91" s="21">
        <v>798.89</v>
      </c>
      <c r="M91" s="20">
        <f t="shared" si="8"/>
        <v>14380020000</v>
      </c>
      <c r="N91" s="12">
        <v>683400000</v>
      </c>
      <c r="O91" s="12">
        <v>1386190000</v>
      </c>
      <c r="P91" s="20">
        <v>702790000</v>
      </c>
      <c r="Q91" s="20">
        <f t="shared" si="9"/>
        <v>10.866778724417287</v>
      </c>
      <c r="R91" s="20">
        <f t="shared" si="10"/>
        <v>21.049824813455899</v>
      </c>
      <c r="S91" s="20">
        <f t="shared" si="11"/>
        <v>0.49300600927722749</v>
      </c>
      <c r="T91" s="20">
        <f t="shared" si="12"/>
        <v>0.50699399072277251</v>
      </c>
      <c r="U91" s="20">
        <f>IFERROR(IF(ISNUMBER(INDEX('Firm Master'!$E$2:$E$1000,MATCH($C91,'Firm Master'!$B$2:$B$1000,0))),INDEX('Firm Master'!$E$2:$E$1000,MATCH($C91,'Firm Master'!$B$2:$B$1000,0)),""),"")</f>
        <v>2005</v>
      </c>
      <c r="V91" s="21">
        <f t="shared" si="13"/>
        <v>20</v>
      </c>
      <c r="W91" s="12">
        <v>1</v>
      </c>
      <c r="X91" s="20" t="str">
        <f>IFERROR(INDEX('Firm Master'!$G$2:$G$1000,MATCH($C91,'Firm Master'!$B$2:$B$1000,0)),"")</f>
        <v>PricewaterhouseCoopers</v>
      </c>
    </row>
    <row r="92" spans="1:24" ht="34.5" customHeight="1" x14ac:dyDescent="0.3">
      <c r="A92" s="11">
        <v>91</v>
      </c>
      <c r="B92" s="11">
        <v>19</v>
      </c>
      <c r="C92" s="11" t="s">
        <v>809</v>
      </c>
      <c r="D92" s="11" t="s">
        <v>810</v>
      </c>
      <c r="E92" s="11" t="s">
        <v>806</v>
      </c>
      <c r="F92" s="11">
        <v>2021</v>
      </c>
      <c r="G92" s="20">
        <f t="shared" si="7"/>
        <v>0</v>
      </c>
      <c r="H92" s="21">
        <v>0</v>
      </c>
      <c r="I92" s="21">
        <f>IFERROR(INDEX('Coding Sheet'!$AC$2:$AC$731,MATCH($B92&amp;"_"&amp;$F92,'Coding Sheet'!$A$2:$A$731,0)),"")</f>
        <v>10</v>
      </c>
      <c r="J92" s="7">
        <f>IFERROR(INDEX('Coding Sheet'!$AT$2:$AT$731,MATCH($B92&amp;"_"&amp;$F92,'Coding Sheet'!$A$2:$A$731,0)),"")</f>
        <v>0</v>
      </c>
      <c r="K92" s="12">
        <v>1878000000</v>
      </c>
      <c r="L92" s="12">
        <v>8.8018999999999998</v>
      </c>
      <c r="M92" s="20">
        <f t="shared" si="8"/>
        <v>16529968.199999999</v>
      </c>
      <c r="N92" s="12">
        <v>30051937</v>
      </c>
      <c r="O92" s="12">
        <v>43688291</v>
      </c>
      <c r="P92" s="20">
        <v>13636354</v>
      </c>
      <c r="Q92" s="20">
        <f t="shared" si="9"/>
        <v>1.0662331744677309</v>
      </c>
      <c r="R92" s="20">
        <f t="shared" si="10"/>
        <v>17.592590683659918</v>
      </c>
      <c r="S92" s="20">
        <f t="shared" si="11"/>
        <v>0.68787165421508478</v>
      </c>
      <c r="T92" s="20">
        <f t="shared" si="12"/>
        <v>0.31212834578491522</v>
      </c>
      <c r="U92" s="20">
        <f>IFERROR(IF(ISNUMBER(INDEX('Firm Master'!$E$2:$E$1000,MATCH($C92,'Firm Master'!$B$2:$B$1000,0))),INDEX('Firm Master'!$E$2:$E$1000,MATCH($C92,'Firm Master'!$B$2:$B$1000,0)),""),"")</f>
        <v>1965</v>
      </c>
      <c r="V92" s="21">
        <f t="shared" si="13"/>
        <v>56</v>
      </c>
      <c r="W92" s="12">
        <v>1</v>
      </c>
      <c r="X92" s="20" t="str">
        <f>IFERROR(INDEX('Firm Master'!$G$2:$G$1000,MATCH($C92,'Firm Master'!$B$2:$B$1000,0)),"")</f>
        <v>PricewaterhouseCoopers (stepping down after FY2026 - 10yr CAMA limit)</v>
      </c>
    </row>
    <row r="93" spans="1:24" ht="34.5" customHeight="1" x14ac:dyDescent="0.3">
      <c r="A93" s="11">
        <v>92</v>
      </c>
      <c r="B93" s="11">
        <v>19</v>
      </c>
      <c r="C93" s="11" t="s">
        <v>809</v>
      </c>
      <c r="D93" s="11" t="s">
        <v>810</v>
      </c>
      <c r="E93" s="11" t="s">
        <v>806</v>
      </c>
      <c r="F93" s="11">
        <v>2022</v>
      </c>
      <c r="G93" s="20">
        <f t="shared" si="7"/>
        <v>0</v>
      </c>
      <c r="H93" s="21">
        <v>0</v>
      </c>
      <c r="I93" s="21">
        <f>IFERROR(INDEX('Coding Sheet'!$AC$2:$AC$731,MATCH($B93&amp;"_"&amp;$F93,'Coding Sheet'!$A$2:$A$731,0)),"")</f>
        <v>0</v>
      </c>
      <c r="J93" s="7">
        <f>IFERROR(INDEX('Coding Sheet'!$AT$2:$AT$731,MATCH($B93&amp;"_"&amp;$F93,'Coding Sheet'!$A$2:$A$731,0)),"")</f>
        <v>0</v>
      </c>
      <c r="K93" s="12">
        <v>1878000000</v>
      </c>
      <c r="L93" s="12">
        <v>11.901</v>
      </c>
      <c r="M93" s="20">
        <f t="shared" si="8"/>
        <v>22350078</v>
      </c>
      <c r="N93" s="12">
        <v>46763275</v>
      </c>
      <c r="O93" s="12">
        <v>59713684</v>
      </c>
      <c r="P93" s="20">
        <v>12950409</v>
      </c>
      <c r="Q93" s="20">
        <f t="shared" si="9"/>
        <v>1.1574123110541965</v>
      </c>
      <c r="R93" s="20">
        <f t="shared" si="10"/>
        <v>17.905071764827923</v>
      </c>
      <c r="S93" s="20">
        <f t="shared" si="11"/>
        <v>0.78312493665606031</v>
      </c>
      <c r="T93" s="20">
        <f t="shared" si="12"/>
        <v>0.21687506334393972</v>
      </c>
      <c r="U93" s="20">
        <f>IFERROR(IF(ISNUMBER(INDEX('Firm Master'!$E$2:$E$1000,MATCH($C93,'Firm Master'!$B$2:$B$1000,0))),INDEX('Firm Master'!$E$2:$E$1000,MATCH($C93,'Firm Master'!$B$2:$B$1000,0)),""),"")</f>
        <v>1965</v>
      </c>
      <c r="V93" s="21">
        <f t="shared" si="13"/>
        <v>57</v>
      </c>
      <c r="W93" s="12">
        <v>1</v>
      </c>
      <c r="X93" s="20" t="str">
        <f>IFERROR(INDEX('Firm Master'!$G$2:$G$1000,MATCH($C93,'Firm Master'!$B$2:$B$1000,0)),"")</f>
        <v>PricewaterhouseCoopers (stepping down after FY2026 - 10yr CAMA limit)</v>
      </c>
    </row>
    <row r="94" spans="1:24" ht="34.5" customHeight="1" x14ac:dyDescent="0.3">
      <c r="A94" s="11">
        <v>93</v>
      </c>
      <c r="B94" s="11">
        <v>19</v>
      </c>
      <c r="C94" s="11" t="s">
        <v>809</v>
      </c>
      <c r="D94" s="11" t="s">
        <v>810</v>
      </c>
      <c r="E94" s="11" t="s">
        <v>806</v>
      </c>
      <c r="F94" s="11">
        <v>2023</v>
      </c>
      <c r="G94" s="20">
        <f t="shared" si="7"/>
        <v>1</v>
      </c>
      <c r="H94" s="21">
        <v>0</v>
      </c>
      <c r="I94" s="21">
        <f>IFERROR(INDEX('Coding Sheet'!$AC$2:$AC$731,MATCH($B94&amp;"_"&amp;$F94,'Coding Sheet'!$A$2:$A$731,0)),"")</f>
        <v>20</v>
      </c>
      <c r="J94" s="7">
        <f>IFERROR(INDEX('Coding Sheet'!$AT$2:$AT$731,MATCH($B94&amp;"_"&amp;$F94,'Coding Sheet'!$A$2:$A$731,0)),"")</f>
        <v>0</v>
      </c>
      <c r="K94" s="12">
        <v>1878000000</v>
      </c>
      <c r="L94" s="12">
        <v>19.004300000000001</v>
      </c>
      <c r="M94" s="20">
        <f t="shared" si="8"/>
        <v>35690075.399999999</v>
      </c>
      <c r="N94" s="12">
        <v>74674690</v>
      </c>
      <c r="O94" s="12">
        <v>64452683</v>
      </c>
      <c r="P94" s="20">
        <v>-10222007</v>
      </c>
      <c r="Q94" s="20">
        <f t="shared" si="9"/>
        <v>1.7123377998088924</v>
      </c>
      <c r="R94" s="20">
        <f t="shared" si="10"/>
        <v>17.981441915652901</v>
      </c>
      <c r="S94" s="20">
        <f t="shared" si="11"/>
        <v>1.1585970750046199</v>
      </c>
      <c r="T94" s="20">
        <f t="shared" si="12"/>
        <v>-0.15859707500462006</v>
      </c>
      <c r="U94" s="20">
        <f>IFERROR(IF(ISNUMBER(INDEX('Firm Master'!$E$2:$E$1000,MATCH($C94,'Firm Master'!$B$2:$B$1000,0))),INDEX('Firm Master'!$E$2:$E$1000,MATCH($C94,'Firm Master'!$B$2:$B$1000,0)),""),"")</f>
        <v>1965</v>
      </c>
      <c r="V94" s="21">
        <f t="shared" si="13"/>
        <v>58</v>
      </c>
      <c r="W94" s="12">
        <v>1</v>
      </c>
      <c r="X94" s="20" t="str">
        <f>IFERROR(INDEX('Firm Master'!$G$2:$G$1000,MATCH($C94,'Firm Master'!$B$2:$B$1000,0)),"")</f>
        <v>PricewaterhouseCoopers (stepping down after FY2026 - 10yr CAMA limit)</v>
      </c>
    </row>
    <row r="95" spans="1:24" ht="34.5" customHeight="1" x14ac:dyDescent="0.3">
      <c r="A95" s="11">
        <v>94</v>
      </c>
      <c r="B95" s="11">
        <v>19</v>
      </c>
      <c r="C95" s="11" t="s">
        <v>809</v>
      </c>
      <c r="D95" s="11" t="s">
        <v>810</v>
      </c>
      <c r="E95" s="11" t="s">
        <v>806</v>
      </c>
      <c r="F95" s="11">
        <v>2024</v>
      </c>
      <c r="G95" s="20">
        <f t="shared" si="7"/>
        <v>1</v>
      </c>
      <c r="H95" s="21">
        <v>0</v>
      </c>
      <c r="I95" s="21">
        <f>IFERROR(INDEX('Coding Sheet'!$AC$2:$AC$731,MATCH($B95&amp;"_"&amp;$F95,'Coding Sheet'!$A$2:$A$731,0)),"")</f>
        <v>10</v>
      </c>
      <c r="J95" s="7">
        <f>IFERROR(INDEX('Coding Sheet'!$AT$2:$AT$731,MATCH($B95&amp;"_"&amp;$F95,'Coding Sheet'!$A$2:$A$731,0)),"")</f>
        <v>0</v>
      </c>
      <c r="K95" s="12">
        <v>2280000000</v>
      </c>
      <c r="L95" s="12">
        <v>21.5044</v>
      </c>
      <c r="M95" s="20">
        <f t="shared" si="8"/>
        <v>49030032</v>
      </c>
      <c r="N95" s="12">
        <v>68064751</v>
      </c>
      <c r="O95" s="12">
        <v>72443944</v>
      </c>
      <c r="P95" s="20">
        <v>4379193</v>
      </c>
      <c r="Q95" s="20">
        <f t="shared" si="9"/>
        <v>1.6163501948485852</v>
      </c>
      <c r="R95" s="20">
        <f t="shared" si="10"/>
        <v>18.098323634555388</v>
      </c>
      <c r="S95" s="20">
        <f t="shared" si="11"/>
        <v>0.93955059928818896</v>
      </c>
      <c r="T95" s="20">
        <f t="shared" si="12"/>
        <v>6.0449400711811055E-2</v>
      </c>
      <c r="U95" s="20">
        <f>IFERROR(IF(ISNUMBER(INDEX('Firm Master'!$E$2:$E$1000,MATCH($C95,'Firm Master'!$B$2:$B$1000,0))),INDEX('Firm Master'!$E$2:$E$1000,MATCH($C95,'Firm Master'!$B$2:$B$1000,0)),""),"")</f>
        <v>1965</v>
      </c>
      <c r="V95" s="21">
        <f t="shared" si="13"/>
        <v>59</v>
      </c>
      <c r="W95" s="12">
        <v>1</v>
      </c>
      <c r="X95" s="20" t="str">
        <f>IFERROR(INDEX('Firm Master'!$G$2:$G$1000,MATCH($C95,'Firm Master'!$B$2:$B$1000,0)),"")</f>
        <v>PricewaterhouseCoopers (stepping down after FY2026 - 10yr CAMA limit)</v>
      </c>
    </row>
    <row r="96" spans="1:24" ht="34.5" customHeight="1" x14ac:dyDescent="0.3">
      <c r="A96" s="11">
        <v>95</v>
      </c>
      <c r="B96" s="11">
        <v>19</v>
      </c>
      <c r="C96" s="11" t="s">
        <v>809</v>
      </c>
      <c r="D96" s="11" t="s">
        <v>810</v>
      </c>
      <c r="E96" s="11" t="s">
        <v>806</v>
      </c>
      <c r="F96" s="11">
        <v>2025</v>
      </c>
      <c r="G96" s="20">
        <f t="shared" si="7"/>
        <v>1</v>
      </c>
      <c r="H96" s="21">
        <v>0</v>
      </c>
      <c r="I96" s="21">
        <f>IFERROR(INDEX('Coding Sheet'!$AC$2:$AC$731,MATCH($B96&amp;"_"&amp;$F96,'Coding Sheet'!$A$2:$A$731,0)),"")</f>
        <v>50</v>
      </c>
      <c r="J96" s="7">
        <f>IFERROR(INDEX('Coding Sheet'!$AT$2:$AT$731,MATCH($B96&amp;"_"&amp;$F96,'Coding Sheet'!$A$2:$A$731,0)),"")</f>
        <v>20</v>
      </c>
      <c r="K96" s="12">
        <v>2280000000</v>
      </c>
      <c r="L96" s="12">
        <v>59.907899999999998</v>
      </c>
      <c r="M96" s="20">
        <f t="shared" si="8"/>
        <v>136590012</v>
      </c>
      <c r="N96" s="12">
        <v>61942992</v>
      </c>
      <c r="O96" s="12">
        <v>75363153</v>
      </c>
      <c r="P96" s="20">
        <v>13420161</v>
      </c>
      <c r="Q96" s="20">
        <f t="shared" si="9"/>
        <v>2.6343510866643278</v>
      </c>
      <c r="R96" s="20">
        <f t="shared" si="10"/>
        <v>18.137829026529122</v>
      </c>
      <c r="S96" s="20">
        <f t="shared" si="11"/>
        <v>0.82192675776184687</v>
      </c>
      <c r="T96" s="20">
        <f t="shared" si="12"/>
        <v>0.17807324223815318</v>
      </c>
      <c r="U96" s="20">
        <f>IFERROR(IF(ISNUMBER(INDEX('Firm Master'!$E$2:$E$1000,MATCH($C96,'Firm Master'!$B$2:$B$1000,0))),INDEX('Firm Master'!$E$2:$E$1000,MATCH($C96,'Firm Master'!$B$2:$B$1000,0)),""),"")</f>
        <v>1965</v>
      </c>
      <c r="V96" s="21">
        <f t="shared" si="13"/>
        <v>60</v>
      </c>
      <c r="W96" s="12">
        <v>1</v>
      </c>
      <c r="X96" s="20" t="str">
        <f>IFERROR(INDEX('Firm Master'!$G$2:$G$1000,MATCH($C96,'Firm Master'!$B$2:$B$1000,0)),"")</f>
        <v>PricewaterhouseCoopers (stepping down after FY2026 - 10yr CAMA limit)</v>
      </c>
    </row>
    <row r="97" spans="1:24" ht="21.75" customHeight="1" x14ac:dyDescent="0.3">
      <c r="A97" s="11">
        <v>96</v>
      </c>
      <c r="B97" s="11">
        <v>20</v>
      </c>
      <c r="C97" s="11" t="s">
        <v>814</v>
      </c>
      <c r="D97" s="11" t="s">
        <v>815</v>
      </c>
      <c r="E97" s="11" t="s">
        <v>772</v>
      </c>
      <c r="F97" s="11">
        <v>2021</v>
      </c>
      <c r="G97" s="20">
        <f t="shared" si="7"/>
        <v>0</v>
      </c>
      <c r="H97" s="21">
        <v>0</v>
      </c>
      <c r="I97" s="21">
        <f>IFERROR(INDEX('Coding Sheet'!$AC$2:$AC$731,MATCH($B97&amp;"_"&amp;$F97,'Coding Sheet'!$A$2:$A$731,0)),"")</f>
        <v>0</v>
      </c>
      <c r="J97" s="7">
        <f>IFERROR(INDEX('Coding Sheet'!$AT$2:$AT$731,MATCH($B97&amp;"_"&amp;$F97,'Coding Sheet'!$A$2:$A$731,0)),"")</f>
        <v>0</v>
      </c>
      <c r="K97" s="12">
        <v>788260000</v>
      </c>
      <c r="L97" s="12">
        <v>19.446400000000001</v>
      </c>
      <c r="M97" s="20">
        <f t="shared" si="8"/>
        <v>15328819.264</v>
      </c>
      <c r="N97" s="12">
        <v>7706131</v>
      </c>
      <c r="O97" s="12">
        <v>12115919</v>
      </c>
      <c r="P97" s="20">
        <v>4409788</v>
      </c>
      <c r="Q97" s="20">
        <f t="shared" si="9"/>
        <v>1.9012136234981432</v>
      </c>
      <c r="R97" s="20">
        <f t="shared" si="10"/>
        <v>16.310030765732208</v>
      </c>
      <c r="S97" s="20">
        <f t="shared" si="11"/>
        <v>0.63603355222166802</v>
      </c>
      <c r="T97" s="20">
        <f t="shared" si="12"/>
        <v>0.36396644777833198</v>
      </c>
      <c r="U97" s="20">
        <f>IFERROR(IF(ISNUMBER(INDEX('Firm Master'!$E$2:$E$1000,MATCH($C97,'Firm Master'!$B$2:$B$1000,0))),INDEX('Firm Master'!$E$2:$E$1000,MATCH($C97,'Firm Master'!$B$2:$B$1000,0)),""),"")</f>
        <v>1965</v>
      </c>
      <c r="V97" s="21">
        <f t="shared" si="13"/>
        <v>56</v>
      </c>
      <c r="W97" s="12">
        <v>1</v>
      </c>
      <c r="X97" s="20" t="str">
        <f>IFERROR(INDEX('Firm Master'!$G$2:$G$1000,MATCH($C97,'Firm Master'!$B$2:$B$1000,0)),"")</f>
        <v>KPMG Professional Services</v>
      </c>
    </row>
    <row r="98" spans="1:24" ht="21.75" customHeight="1" x14ac:dyDescent="0.3">
      <c r="A98" s="11">
        <v>97</v>
      </c>
      <c r="B98" s="11">
        <v>20</v>
      </c>
      <c r="C98" s="11" t="s">
        <v>814</v>
      </c>
      <c r="D98" s="11" t="s">
        <v>815</v>
      </c>
      <c r="E98" s="11" t="s">
        <v>772</v>
      </c>
      <c r="F98" s="11">
        <v>2022</v>
      </c>
      <c r="G98" s="20">
        <f t="shared" si="7"/>
        <v>0</v>
      </c>
      <c r="H98" s="21">
        <v>0</v>
      </c>
      <c r="I98" s="21">
        <f>IFERROR(INDEX('Coding Sheet'!$AC$2:$AC$731,MATCH($B98&amp;"_"&amp;$F98,'Coding Sheet'!$A$2:$A$731,0)),"")</f>
        <v>0</v>
      </c>
      <c r="J98" s="7">
        <f>IFERROR(INDEX('Coding Sheet'!$AT$2:$AT$731,MATCH($B98&amp;"_"&amp;$F98,'Coding Sheet'!$A$2:$A$731,0)),"")</f>
        <v>0</v>
      </c>
      <c r="K98" s="12">
        <v>814747500</v>
      </c>
      <c r="L98" s="12">
        <v>17.7989</v>
      </c>
      <c r="M98" s="20">
        <f t="shared" si="8"/>
        <v>14501609.27775</v>
      </c>
      <c r="N98" s="12">
        <v>6806603</v>
      </c>
      <c r="O98" s="12">
        <v>13406204</v>
      </c>
      <c r="P98" s="20">
        <v>6599601</v>
      </c>
      <c r="Q98" s="20">
        <f t="shared" si="9"/>
        <v>1.58942921335152</v>
      </c>
      <c r="R98" s="20">
        <f t="shared" si="10"/>
        <v>16.411228142851247</v>
      </c>
      <c r="S98" s="20">
        <f t="shared" si="11"/>
        <v>0.50772038080279847</v>
      </c>
      <c r="T98" s="20">
        <f t="shared" si="12"/>
        <v>0.49227961919720153</v>
      </c>
      <c r="U98" s="20">
        <f>IFERROR(IF(ISNUMBER(INDEX('Firm Master'!$E$2:$E$1000,MATCH($C98,'Firm Master'!$B$2:$B$1000,0))),INDEX('Firm Master'!$E$2:$E$1000,MATCH($C98,'Firm Master'!$B$2:$B$1000,0)),""),"")</f>
        <v>1965</v>
      </c>
      <c r="V98" s="21">
        <f t="shared" si="13"/>
        <v>57</v>
      </c>
      <c r="W98" s="12">
        <v>1</v>
      </c>
      <c r="X98" s="20" t="str">
        <f>IFERROR(INDEX('Firm Master'!$G$2:$G$1000,MATCH($C98,'Firm Master'!$B$2:$B$1000,0)),"")</f>
        <v>KPMG Professional Services</v>
      </c>
    </row>
    <row r="99" spans="1:24" ht="15" customHeight="1" x14ac:dyDescent="0.3">
      <c r="A99" s="11">
        <v>98</v>
      </c>
      <c r="B99" s="11">
        <v>20</v>
      </c>
      <c r="C99" s="11" t="s">
        <v>814</v>
      </c>
      <c r="D99" s="11" t="s">
        <v>815</v>
      </c>
      <c r="E99" s="11" t="s">
        <v>772</v>
      </c>
      <c r="F99" s="11">
        <v>2023</v>
      </c>
      <c r="G99" s="20">
        <f t="shared" si="7"/>
        <v>1</v>
      </c>
      <c r="H99" s="21">
        <v>0</v>
      </c>
      <c r="I99" s="21">
        <f>IFERROR(INDEX('Coding Sheet'!$AC$2:$AC$731,MATCH($B99&amp;"_"&amp;$F99,'Coding Sheet'!$A$2:$A$731,0)),"")</f>
        <v>0</v>
      </c>
      <c r="J99" s="7">
        <f>IFERROR(INDEX('Coding Sheet'!$AT$2:$AT$731,MATCH($B99&amp;"_"&amp;$F99,'Coding Sheet'!$A$2:$A$731,0)),"")</f>
        <v>0</v>
      </c>
      <c r="K99" s="12">
        <v>814747500</v>
      </c>
      <c r="L99" s="12">
        <v>20.855599999999999</v>
      </c>
      <c r="M99" s="20">
        <f t="shared" si="8"/>
        <v>16992047.960999999</v>
      </c>
      <c r="N99" s="12">
        <v>7403814</v>
      </c>
      <c r="O99" s="12">
        <v>15373521</v>
      </c>
      <c r="P99" s="20">
        <v>7969707</v>
      </c>
      <c r="Q99" s="20">
        <f t="shared" si="9"/>
        <v>1.5868753788413208</v>
      </c>
      <c r="R99" s="20">
        <f t="shared" si="10"/>
        <v>16.548157171907857</v>
      </c>
      <c r="S99" s="20">
        <f t="shared" si="11"/>
        <v>0.48159520515827181</v>
      </c>
      <c r="T99" s="20">
        <f t="shared" si="12"/>
        <v>0.51840479484172819</v>
      </c>
      <c r="U99" s="20">
        <f>IFERROR(IF(ISNUMBER(INDEX('Firm Master'!$E$2:$E$1000,MATCH($C99,'Firm Master'!$B$2:$B$1000,0))),INDEX('Firm Master'!$E$2:$E$1000,MATCH($C99,'Firm Master'!$B$2:$B$1000,0)),""),"")</f>
        <v>1965</v>
      </c>
      <c r="V99" s="21">
        <f t="shared" si="13"/>
        <v>58</v>
      </c>
      <c r="W99" s="12">
        <v>1</v>
      </c>
      <c r="X99" s="20" t="str">
        <f>IFERROR(INDEX('Firm Master'!$G$2:$G$1000,MATCH($C99,'Firm Master'!$B$2:$B$1000,0)),"")</f>
        <v>KPMG Professional Services</v>
      </c>
    </row>
    <row r="100" spans="1:24" ht="15" customHeight="1" x14ac:dyDescent="0.3">
      <c r="A100" s="11">
        <v>99</v>
      </c>
      <c r="B100" s="11">
        <v>20</v>
      </c>
      <c r="C100" s="11" t="s">
        <v>814</v>
      </c>
      <c r="D100" s="11" t="s">
        <v>815</v>
      </c>
      <c r="E100" s="11" t="s">
        <v>772</v>
      </c>
      <c r="F100" s="11">
        <v>2024</v>
      </c>
      <c r="G100" s="20">
        <f t="shared" si="7"/>
        <v>1</v>
      </c>
      <c r="H100" s="21">
        <v>0</v>
      </c>
      <c r="I100" s="21">
        <f>IFERROR(INDEX('Coding Sheet'!$AC$2:$AC$731,MATCH($B100&amp;"_"&amp;$F100,'Coding Sheet'!$A$2:$A$731,0)),"")</f>
        <v>0</v>
      </c>
      <c r="J100" s="7">
        <f>IFERROR(INDEX('Coding Sheet'!$AT$2:$AT$731,MATCH($B100&amp;"_"&amp;$F100,'Coding Sheet'!$A$2:$A$731,0)),"")</f>
        <v>0</v>
      </c>
      <c r="K100" s="12">
        <v>814747500</v>
      </c>
      <c r="L100" s="12">
        <v>38.007300000000001</v>
      </c>
      <c r="M100" s="20">
        <f t="shared" si="8"/>
        <v>30966352.656750001</v>
      </c>
      <c r="N100" s="12">
        <v>9040692</v>
      </c>
      <c r="O100" s="12">
        <v>19677179</v>
      </c>
      <c r="P100" s="20">
        <v>10636487</v>
      </c>
      <c r="Q100" s="20">
        <f t="shared" si="9"/>
        <v>2.0331697270604696</v>
      </c>
      <c r="R100" s="20">
        <f t="shared" si="10"/>
        <v>16.794970095817785</v>
      </c>
      <c r="S100" s="20">
        <f t="shared" si="11"/>
        <v>0.45945061535497544</v>
      </c>
      <c r="T100" s="20">
        <f t="shared" si="12"/>
        <v>0.54054938464502456</v>
      </c>
      <c r="U100" s="20">
        <f>IFERROR(IF(ISNUMBER(INDEX('Firm Master'!$E$2:$E$1000,MATCH($C100,'Firm Master'!$B$2:$B$1000,0))),INDEX('Firm Master'!$E$2:$E$1000,MATCH($C100,'Firm Master'!$B$2:$B$1000,0)),""),"")</f>
        <v>1965</v>
      </c>
      <c r="V100" s="21">
        <f t="shared" si="13"/>
        <v>59</v>
      </c>
      <c r="W100" s="12">
        <v>1</v>
      </c>
      <c r="X100" s="20" t="str">
        <f>IFERROR(INDEX('Firm Master'!$G$2:$G$1000,MATCH($C100,'Firm Master'!$B$2:$B$1000,0)),"")</f>
        <v>KPMG Professional Services</v>
      </c>
    </row>
    <row r="101" spans="1:24" ht="32.25" customHeight="1" x14ac:dyDescent="0.3">
      <c r="A101" s="11">
        <v>100</v>
      </c>
      <c r="B101" s="11">
        <v>20</v>
      </c>
      <c r="C101" s="11" t="s">
        <v>814</v>
      </c>
      <c r="D101" s="11" t="s">
        <v>815</v>
      </c>
      <c r="E101" s="11" t="s">
        <v>772</v>
      </c>
      <c r="F101" s="11">
        <v>2025</v>
      </c>
      <c r="G101" s="20">
        <f t="shared" si="7"/>
        <v>1</v>
      </c>
      <c r="H101" s="21">
        <v>0</v>
      </c>
      <c r="I101" s="21">
        <f>IFERROR(INDEX('Coding Sheet'!$AC$2:$AC$731,MATCH($B101&amp;"_"&amp;$F101,'Coding Sheet'!$A$2:$A$731,0)),"")</f>
        <v>0</v>
      </c>
      <c r="J101" s="7">
        <f>IFERROR(INDEX('Coding Sheet'!$AT$2:$AT$731,MATCH($B101&amp;"_"&amp;$F101,'Coding Sheet'!$A$2:$A$731,0)),"")</f>
        <v>0</v>
      </c>
      <c r="K101" s="12">
        <v>814747500</v>
      </c>
      <c r="L101" s="12">
        <v>69.009799999999998</v>
      </c>
      <c r="M101" s="20">
        <f t="shared" si="8"/>
        <v>56225562.0255</v>
      </c>
      <c r="N101" s="12">
        <v>10218000</v>
      </c>
      <c r="O101" s="12">
        <v>24466000</v>
      </c>
      <c r="P101" s="20">
        <v>14248000</v>
      </c>
      <c r="Q101" s="20">
        <f t="shared" si="9"/>
        <v>2.7157509206858497</v>
      </c>
      <c r="R101" s="20">
        <f t="shared" si="10"/>
        <v>17.012794956588998</v>
      </c>
      <c r="S101" s="20">
        <f t="shared" si="11"/>
        <v>0.41764080765143463</v>
      </c>
      <c r="T101" s="20">
        <f t="shared" si="12"/>
        <v>0.58235919234856537</v>
      </c>
      <c r="U101" s="20">
        <f>IFERROR(IF(ISNUMBER(INDEX('Firm Master'!$E$2:$E$1000,MATCH($C101,'Firm Master'!$B$2:$B$1000,0))),INDEX('Firm Master'!$E$2:$E$1000,MATCH($C101,'Firm Master'!$B$2:$B$1000,0)),""),"")</f>
        <v>1965</v>
      </c>
      <c r="V101" s="21">
        <f t="shared" si="13"/>
        <v>60</v>
      </c>
      <c r="W101" s="12">
        <v>1</v>
      </c>
      <c r="X101" s="20" t="str">
        <f>IFERROR(INDEX('Firm Master'!$G$2:$G$1000,MATCH($C101,'Firm Master'!$B$2:$B$1000,0)),"")</f>
        <v>KPMG Professional Services</v>
      </c>
    </row>
    <row r="102" spans="1:24" ht="21.75" customHeight="1" x14ac:dyDescent="0.3">
      <c r="A102" s="11">
        <v>101</v>
      </c>
      <c r="B102" s="11">
        <v>21</v>
      </c>
      <c r="C102" s="11" t="s">
        <v>818</v>
      </c>
      <c r="D102" s="11" t="s">
        <v>819</v>
      </c>
      <c r="E102" s="11" t="s">
        <v>715</v>
      </c>
      <c r="F102" s="11">
        <v>2021</v>
      </c>
      <c r="G102" s="20">
        <f t="shared" si="7"/>
        <v>0</v>
      </c>
      <c r="H102" s="21">
        <v>0</v>
      </c>
      <c r="I102" s="21">
        <f>IFERROR(INDEX('Coding Sheet'!$AC$2:$AC$731,MATCH($B102&amp;"_"&amp;$F102,'Coding Sheet'!$A$2:$A$731,0)),"")</f>
        <v>10</v>
      </c>
      <c r="J102" s="7">
        <f>IFERROR(INDEX('Coding Sheet'!$AT$2:$AT$731,MATCH($B102&amp;"_"&amp;$F102,'Coding Sheet'!$A$2:$A$731,0)),"")</f>
        <v>0</v>
      </c>
      <c r="K102" s="12">
        <v>3350509750</v>
      </c>
      <c r="L102" s="21">
        <v>1.72</v>
      </c>
      <c r="M102" s="20">
        <f t="shared" si="8"/>
        <v>5762876.7699999996</v>
      </c>
      <c r="N102" s="12">
        <v>62492729</v>
      </c>
      <c r="O102" s="12">
        <v>79799649</v>
      </c>
      <c r="P102" s="12">
        <v>-4303635</v>
      </c>
      <c r="Q102" s="20">
        <f t="shared" si="9"/>
        <v>0.85533716783641489</v>
      </c>
      <c r="R102" s="20">
        <f t="shared" si="10"/>
        <v>18.195029663914124</v>
      </c>
      <c r="S102" s="20">
        <f t="shared" si="11"/>
        <v>0.78312034931381713</v>
      </c>
      <c r="T102" s="20">
        <f t="shared" si="12"/>
        <v>-5.3930500370997871E-2</v>
      </c>
      <c r="U102" s="20">
        <f>IFERROR(IF(ISNUMBER(INDEX('Firm Master'!$E$2:$E$1000,MATCH($C102,'Firm Master'!$B$2:$B$1000,0))),INDEX('Firm Master'!$E$2:$E$1000,MATCH($C102,'Firm Master'!$B$2:$B$1000,0)),""),"")</f>
        <v>2008</v>
      </c>
      <c r="V102" s="21">
        <f t="shared" si="13"/>
        <v>13</v>
      </c>
      <c r="W102" s="12">
        <v>1</v>
      </c>
      <c r="X102" s="20" t="str">
        <f>IFERROR(INDEX('Firm Master'!$G$2:$G$1000,MATCH($C102,'Firm Master'!$B$2:$B$1000,0)),"")</f>
        <v>PricewaterhouseCoopers</v>
      </c>
    </row>
    <row r="103" spans="1:24" ht="15" customHeight="1" x14ac:dyDescent="0.3">
      <c r="A103" s="11">
        <v>102</v>
      </c>
      <c r="B103" s="11">
        <v>21</v>
      </c>
      <c r="C103" s="11" t="s">
        <v>818</v>
      </c>
      <c r="D103" s="11" t="s">
        <v>819</v>
      </c>
      <c r="E103" s="11" t="s">
        <v>715</v>
      </c>
      <c r="F103" s="11">
        <v>2022</v>
      </c>
      <c r="G103" s="20">
        <f t="shared" si="7"/>
        <v>0</v>
      </c>
      <c r="H103" s="21">
        <v>0</v>
      </c>
      <c r="I103" s="21">
        <f>IFERROR(INDEX('Coding Sheet'!$AC$2:$AC$731,MATCH($B103&amp;"_"&amp;$F103,'Coding Sheet'!$A$2:$A$731,0)),"")</f>
        <v>10</v>
      </c>
      <c r="J103" s="7">
        <f>IFERROR(INDEX('Coding Sheet'!$AT$2:$AT$731,MATCH($B103&amp;"_"&amp;$F103,'Coding Sheet'!$A$2:$A$731,0)),"")</f>
        <v>0</v>
      </c>
      <c r="K103" s="12">
        <v>3350509750</v>
      </c>
      <c r="L103" s="21">
        <v>0.99</v>
      </c>
      <c r="M103" s="20">
        <f t="shared" si="8"/>
        <v>3317004.6524999999</v>
      </c>
      <c r="N103" s="12">
        <v>62311170</v>
      </c>
      <c r="O103" s="12">
        <v>74456376</v>
      </c>
      <c r="P103" s="12">
        <v>-5127302</v>
      </c>
      <c r="Q103" s="20">
        <f t="shared" si="9"/>
        <v>0.88143122427151177</v>
      </c>
      <c r="R103" s="20">
        <f t="shared" si="10"/>
        <v>18.125723954797326</v>
      </c>
      <c r="S103" s="20">
        <f t="shared" si="11"/>
        <v>0.83688158553405823</v>
      </c>
      <c r="T103" s="20">
        <f t="shared" si="12"/>
        <v>-6.8863168951440776E-2</v>
      </c>
      <c r="U103" s="20">
        <f>IFERROR(IF(ISNUMBER(INDEX('Firm Master'!$E$2:$E$1000,MATCH($C103,'Firm Master'!$B$2:$B$1000,0))),INDEX('Firm Master'!$E$2:$E$1000,MATCH($C103,'Firm Master'!$B$2:$B$1000,0)),""),"")</f>
        <v>2008</v>
      </c>
      <c r="V103" s="21">
        <f t="shared" si="13"/>
        <v>14</v>
      </c>
      <c r="W103" s="12">
        <v>1</v>
      </c>
      <c r="X103" s="20" t="str">
        <f>IFERROR(INDEX('Firm Master'!$G$2:$G$1000,MATCH($C103,'Firm Master'!$B$2:$B$1000,0)),"")</f>
        <v>PricewaterhouseCoopers</v>
      </c>
    </row>
    <row r="104" spans="1:24" ht="21.75" customHeight="1" x14ac:dyDescent="0.3">
      <c r="A104" s="11">
        <v>103</v>
      </c>
      <c r="B104" s="11">
        <v>21</v>
      </c>
      <c r="C104" s="11" t="s">
        <v>818</v>
      </c>
      <c r="D104" s="11" t="s">
        <v>819</v>
      </c>
      <c r="E104" s="11" t="s">
        <v>715</v>
      </c>
      <c r="F104" s="11">
        <v>2023</v>
      </c>
      <c r="G104" s="20">
        <f t="shared" si="7"/>
        <v>1</v>
      </c>
      <c r="H104" s="21">
        <v>0</v>
      </c>
      <c r="I104" s="21">
        <f>IFERROR(INDEX('Coding Sheet'!$AC$2:$AC$731,MATCH($B104&amp;"_"&amp;$F104,'Coding Sheet'!$A$2:$A$731,0)),"")</f>
        <v>10</v>
      </c>
      <c r="J104" s="7">
        <f>IFERROR(INDEX('Coding Sheet'!$AT$2:$AT$731,MATCH($B104&amp;"_"&amp;$F104,'Coding Sheet'!$A$2:$A$731,0)),"")</f>
        <v>0</v>
      </c>
      <c r="K104" s="12">
        <v>3350509750</v>
      </c>
      <c r="L104" s="21">
        <v>1.79</v>
      </c>
      <c r="M104" s="20">
        <f t="shared" si="8"/>
        <v>5997412.4524999997</v>
      </c>
      <c r="N104" s="12">
        <v>80066013</v>
      </c>
      <c r="O104" s="12">
        <v>79318378</v>
      </c>
      <c r="P104" s="12">
        <v>-12654132</v>
      </c>
      <c r="Q104" s="20">
        <f t="shared" si="9"/>
        <v>1.085037637210635</v>
      </c>
      <c r="R104" s="20">
        <f t="shared" si="10"/>
        <v>18.188980412591864</v>
      </c>
      <c r="S104" s="20">
        <f t="shared" si="11"/>
        <v>1.0094257474604436</v>
      </c>
      <c r="T104" s="20">
        <f t="shared" si="12"/>
        <v>-0.15953594008188116</v>
      </c>
      <c r="U104" s="20">
        <f>IFERROR(IF(ISNUMBER(INDEX('Firm Master'!$E$2:$E$1000,MATCH($C104,'Firm Master'!$B$2:$B$1000,0))),INDEX('Firm Master'!$E$2:$E$1000,MATCH($C104,'Firm Master'!$B$2:$B$1000,0)),""),"")</f>
        <v>2008</v>
      </c>
      <c r="V104" s="21">
        <f t="shared" si="13"/>
        <v>15</v>
      </c>
      <c r="W104" s="12">
        <v>1</v>
      </c>
      <c r="X104" s="20" t="str">
        <f>IFERROR(INDEX('Firm Master'!$G$2:$G$1000,MATCH($C104,'Firm Master'!$B$2:$B$1000,0)),"")</f>
        <v>PricewaterhouseCoopers</v>
      </c>
    </row>
    <row r="105" spans="1:24" ht="21.75" customHeight="1" x14ac:dyDescent="0.3">
      <c r="A105" s="11">
        <v>104</v>
      </c>
      <c r="B105" s="11">
        <v>21</v>
      </c>
      <c r="C105" s="11" t="s">
        <v>818</v>
      </c>
      <c r="D105" s="11" t="s">
        <v>819</v>
      </c>
      <c r="E105" s="11" t="s">
        <v>715</v>
      </c>
      <c r="F105" s="11">
        <v>2024</v>
      </c>
      <c r="G105" s="20">
        <f t="shared" si="7"/>
        <v>1</v>
      </c>
      <c r="H105" s="21">
        <v>0</v>
      </c>
      <c r="I105" s="21">
        <f>IFERROR(INDEX('Coding Sheet'!$AC$2:$AC$731,MATCH($B105&amp;"_"&amp;$F105,'Coding Sheet'!$A$2:$A$731,0)),"")</f>
        <v>0</v>
      </c>
      <c r="J105" s="7">
        <f>IFERROR(INDEX('Coding Sheet'!$AT$2:$AT$731,MATCH($B105&amp;"_"&amp;$F105,'Coding Sheet'!$A$2:$A$731,0)),"")</f>
        <v>0</v>
      </c>
      <c r="K105" s="12">
        <v>3350509750</v>
      </c>
      <c r="L105" s="21">
        <v>2.3199999999999998</v>
      </c>
      <c r="M105" s="20">
        <f t="shared" si="8"/>
        <v>7773182.6199999992</v>
      </c>
      <c r="N105" s="12">
        <v>130771139</v>
      </c>
      <c r="O105" s="12">
        <v>76163688</v>
      </c>
      <c r="P105" s="12">
        <v>-53472318</v>
      </c>
      <c r="Q105" s="20">
        <f t="shared" si="9"/>
        <v>1.8190337844459423</v>
      </c>
      <c r="R105" s="20">
        <f t="shared" si="10"/>
        <v>18.14839537164471</v>
      </c>
      <c r="S105" s="20">
        <f t="shared" si="11"/>
        <v>1.7169748791576374</v>
      </c>
      <c r="T105" s="20">
        <f t="shared" si="12"/>
        <v>-0.70207101840971775</v>
      </c>
      <c r="U105" s="20">
        <f>IFERROR(IF(ISNUMBER(INDEX('Firm Master'!$E$2:$E$1000,MATCH($C105,'Firm Master'!$B$2:$B$1000,0))),INDEX('Firm Master'!$E$2:$E$1000,MATCH($C105,'Firm Master'!$B$2:$B$1000,0)),""),"")</f>
        <v>2008</v>
      </c>
      <c r="V105" s="21">
        <f t="shared" si="13"/>
        <v>16</v>
      </c>
      <c r="W105" s="12">
        <v>1</v>
      </c>
      <c r="X105" s="20" t="str">
        <f>IFERROR(INDEX('Firm Master'!$G$2:$G$1000,MATCH($C105,'Firm Master'!$B$2:$B$1000,0)),"")</f>
        <v>PricewaterhouseCoopers</v>
      </c>
    </row>
    <row r="106" spans="1:24" ht="32.25" customHeight="1" x14ac:dyDescent="0.3">
      <c r="A106" s="11">
        <v>105</v>
      </c>
      <c r="B106" s="11">
        <v>21</v>
      </c>
      <c r="C106" s="11" t="s">
        <v>818</v>
      </c>
      <c r="D106" s="11" t="s">
        <v>819</v>
      </c>
      <c r="E106" s="11" t="s">
        <v>715</v>
      </c>
      <c r="F106" s="11">
        <v>2025</v>
      </c>
      <c r="G106" s="20">
        <f t="shared" si="7"/>
        <v>1</v>
      </c>
      <c r="H106" s="21">
        <v>0</v>
      </c>
      <c r="I106" s="21">
        <f>IFERROR(INDEX('Coding Sheet'!$AC$2:$AC$731,MATCH($B106&amp;"_"&amp;$F106,'Coding Sheet'!$A$2:$A$731,0)),"")</f>
        <v>10</v>
      </c>
      <c r="J106" s="7">
        <f>IFERROR(INDEX('Coding Sheet'!$AT$2:$AT$731,MATCH($B106&amp;"_"&amp;$F106,'Coding Sheet'!$A$2:$A$731,0)),"")</f>
        <v>0</v>
      </c>
      <c r="K106" s="12">
        <v>3350509750</v>
      </c>
      <c r="L106" s="21">
        <v>5.4</v>
      </c>
      <c r="M106" s="20">
        <f t="shared" si="8"/>
        <v>18092752.649999999</v>
      </c>
      <c r="N106" s="12">
        <v>127388834</v>
      </c>
      <c r="O106" s="12">
        <v>118627469</v>
      </c>
      <c r="P106" s="12">
        <v>-13786202</v>
      </c>
      <c r="Q106" s="20">
        <f t="shared" si="9"/>
        <v>1.226373519357477</v>
      </c>
      <c r="R106" s="20">
        <f t="shared" si="10"/>
        <v>18.591498628165649</v>
      </c>
      <c r="S106" s="20">
        <f t="shared" si="11"/>
        <v>1.0738561234919377</v>
      </c>
      <c r="T106" s="20">
        <f t="shared" si="12"/>
        <v>-0.11621424714034824</v>
      </c>
      <c r="U106" s="20">
        <f>IFERROR(IF(ISNUMBER(INDEX('Firm Master'!$E$2:$E$1000,MATCH($C106,'Firm Master'!$B$2:$B$1000,0))),INDEX('Firm Master'!$E$2:$E$1000,MATCH($C106,'Firm Master'!$B$2:$B$1000,0)),""),"")</f>
        <v>2008</v>
      </c>
      <c r="V106" s="21">
        <f t="shared" si="13"/>
        <v>17</v>
      </c>
      <c r="W106" s="12">
        <v>1</v>
      </c>
      <c r="X106" s="20" t="str">
        <f>IFERROR(INDEX('Firm Master'!$G$2:$G$1000,MATCH($C106,'Firm Master'!$B$2:$B$1000,0)),"")</f>
        <v>PricewaterhouseCoopers</v>
      </c>
    </row>
    <row r="107" spans="1:24" ht="32.25" customHeight="1" x14ac:dyDescent="0.3">
      <c r="A107" s="11">
        <v>106</v>
      </c>
      <c r="B107" s="11">
        <v>22</v>
      </c>
      <c r="C107" s="11" t="s">
        <v>822</v>
      </c>
      <c r="D107" s="11" t="s">
        <v>823</v>
      </c>
      <c r="E107" s="11" t="s">
        <v>806</v>
      </c>
      <c r="F107" s="11">
        <v>2021</v>
      </c>
      <c r="G107" s="20">
        <f t="shared" si="7"/>
        <v>0</v>
      </c>
      <c r="H107" s="21">
        <v>0</v>
      </c>
      <c r="I107" s="21">
        <f>IFERROR(INDEX('Coding Sheet'!$AC$2:$AC$731,MATCH($B107&amp;"_"&amp;$F107,'Coding Sheet'!$A$2:$A$731,0)),"")</f>
        <v>0</v>
      </c>
      <c r="J107" s="7">
        <f>IFERROR(INDEX('Coding Sheet'!$AT$2:$AT$731,MATCH($B107&amp;"_"&amp;$F107,'Coding Sheet'!$A$2:$A$731,0)),"")</f>
        <v>0</v>
      </c>
      <c r="K107" s="12">
        <v>7829496000</v>
      </c>
      <c r="L107" s="21">
        <v>2.35</v>
      </c>
      <c r="M107" s="20">
        <f t="shared" si="8"/>
        <v>18399315.600000001</v>
      </c>
      <c r="N107" s="12">
        <v>3940710</v>
      </c>
      <c r="O107" s="12">
        <v>13473094</v>
      </c>
      <c r="P107" s="21">
        <v>984233</v>
      </c>
      <c r="Q107" s="20">
        <f t="shared" si="9"/>
        <v>1.6581214084901361</v>
      </c>
      <c r="R107" s="20">
        <f t="shared" si="10"/>
        <v>16.416205217630441</v>
      </c>
      <c r="S107" s="20">
        <f t="shared" si="11"/>
        <v>0.29248738263089386</v>
      </c>
      <c r="T107" s="20">
        <f t="shared" si="12"/>
        <v>7.3051742977522455E-2</v>
      </c>
      <c r="U107" s="20">
        <f>IFERROR(IF(ISNUMBER(INDEX('Firm Master'!$E$2:$E$1000,MATCH($C107,'Firm Master'!$B$2:$B$1000,0))),INDEX('Firm Master'!$E$2:$E$1000,MATCH($C107,'Firm Master'!$B$2:$B$1000,0)),""),"")</f>
        <v>1974</v>
      </c>
      <c r="V107" s="21">
        <f t="shared" si="13"/>
        <v>47</v>
      </c>
      <c r="W107" s="12">
        <v>1</v>
      </c>
      <c r="X107" s="20" t="str">
        <f>IFERROR(INDEX('Firm Master'!$G$2:$G$1000,MATCH($C107,'Firm Master'!$B$2:$B$1000,0)),"")</f>
        <v>KPMG (through 2021); Deloitte &amp; Touche (2022 AGM onward)</v>
      </c>
    </row>
    <row r="108" spans="1:24" ht="23.25" customHeight="1" x14ac:dyDescent="0.3">
      <c r="A108" s="11">
        <v>107</v>
      </c>
      <c r="B108" s="11">
        <v>22</v>
      </c>
      <c r="C108" s="11" t="s">
        <v>822</v>
      </c>
      <c r="D108" s="11" t="s">
        <v>823</v>
      </c>
      <c r="E108" s="11" t="s">
        <v>806</v>
      </c>
      <c r="F108" s="11">
        <v>2022</v>
      </c>
      <c r="G108" s="20">
        <f t="shared" si="7"/>
        <v>0</v>
      </c>
      <c r="H108" s="21">
        <v>0</v>
      </c>
      <c r="I108" s="21">
        <f>IFERROR(INDEX('Coding Sheet'!$AC$2:$AC$731,MATCH($B108&amp;"_"&amp;$F108,'Coding Sheet'!$A$2:$A$731,0)),"")</f>
        <v>0</v>
      </c>
      <c r="J108" s="7">
        <f>IFERROR(INDEX('Coding Sheet'!$AT$2:$AT$731,MATCH($B108&amp;"_"&amp;$F108,'Coding Sheet'!$A$2:$A$731,0)),"")</f>
        <v>0</v>
      </c>
      <c r="K108" s="12">
        <v>7829496000</v>
      </c>
      <c r="L108" s="21">
        <v>5.5000999999999998</v>
      </c>
      <c r="M108" s="20">
        <f t="shared" si="8"/>
        <v>43063010.949599996</v>
      </c>
      <c r="N108" s="12">
        <v>4539125</v>
      </c>
      <c r="O108" s="12">
        <v>15453585</v>
      </c>
      <c r="P108" s="12">
        <v>882215</v>
      </c>
      <c r="Q108" s="20">
        <f t="shared" si="9"/>
        <v>3.080329641930982</v>
      </c>
      <c r="R108" s="20">
        <f t="shared" si="10"/>
        <v>16.553351573226134</v>
      </c>
      <c r="S108" s="20">
        <f t="shared" si="11"/>
        <v>0.29372634246357721</v>
      </c>
      <c r="T108" s="20">
        <f t="shared" si="12"/>
        <v>5.7088047854268117E-2</v>
      </c>
      <c r="U108" s="20">
        <f>IFERROR(IF(ISNUMBER(INDEX('Firm Master'!$E$2:$E$1000,MATCH($C108,'Firm Master'!$B$2:$B$1000,0))),INDEX('Firm Master'!$E$2:$E$1000,MATCH($C108,'Firm Master'!$B$2:$B$1000,0)),""),"")</f>
        <v>1974</v>
      </c>
      <c r="V108" s="21">
        <f t="shared" si="13"/>
        <v>48</v>
      </c>
      <c r="W108" s="12">
        <v>1</v>
      </c>
      <c r="X108" s="20" t="str">
        <f>IFERROR(INDEX('Firm Master'!$G$2:$G$1000,MATCH($C108,'Firm Master'!$B$2:$B$1000,0)),"")</f>
        <v>KPMG (through 2021); Deloitte &amp; Touche (2022 AGM onward)</v>
      </c>
    </row>
    <row r="109" spans="1:24" ht="23.25" customHeight="1" x14ac:dyDescent="0.3">
      <c r="A109" s="11">
        <v>108</v>
      </c>
      <c r="B109" s="11">
        <v>22</v>
      </c>
      <c r="C109" s="11" t="s">
        <v>822</v>
      </c>
      <c r="D109" s="11" t="s">
        <v>823</v>
      </c>
      <c r="E109" s="11" t="s">
        <v>806</v>
      </c>
      <c r="F109" s="11">
        <v>2023</v>
      </c>
      <c r="G109" s="20">
        <f t="shared" si="7"/>
        <v>1</v>
      </c>
      <c r="H109" s="21">
        <v>0</v>
      </c>
      <c r="I109" s="21">
        <f>IFERROR(INDEX('Coding Sheet'!$AC$2:$AC$731,MATCH($B109&amp;"_"&amp;$F109,'Coding Sheet'!$A$2:$A$731,0)),"")</f>
        <v>10</v>
      </c>
      <c r="J109" s="7">
        <f>IFERROR(INDEX('Coding Sheet'!$AT$2:$AT$731,MATCH($B109&amp;"_"&amp;$F109,'Coding Sheet'!$A$2:$A$731,0)),"")</f>
        <v>6.666666666666667</v>
      </c>
      <c r="K109" s="12">
        <v>7829496000</v>
      </c>
      <c r="L109" s="21">
        <v>4.1497000000000002</v>
      </c>
      <c r="M109" s="20">
        <f t="shared" si="8"/>
        <v>32490059.551200002</v>
      </c>
      <c r="N109" s="12">
        <v>9357780</v>
      </c>
      <c r="O109" s="12">
        <v>20553079</v>
      </c>
      <c r="P109" s="12">
        <v>370563</v>
      </c>
      <c r="Q109" s="20">
        <f t="shared" si="9"/>
        <v>2.0360861528922261</v>
      </c>
      <c r="R109" s="20">
        <f t="shared" si="10"/>
        <v>16.838521317366869</v>
      </c>
      <c r="S109" s="20">
        <f t="shared" si="11"/>
        <v>0.45529820617144517</v>
      </c>
      <c r="T109" s="20">
        <f t="shared" si="12"/>
        <v>1.8029561410239314E-2</v>
      </c>
      <c r="U109" s="20">
        <f>IFERROR(IF(ISNUMBER(INDEX('Firm Master'!$E$2:$E$1000,MATCH($C109,'Firm Master'!$B$2:$B$1000,0))),INDEX('Firm Master'!$E$2:$E$1000,MATCH($C109,'Firm Master'!$B$2:$B$1000,0)),""),"")</f>
        <v>1974</v>
      </c>
      <c r="V109" s="21">
        <f t="shared" si="13"/>
        <v>49</v>
      </c>
      <c r="W109" s="12">
        <v>1</v>
      </c>
      <c r="X109" s="20" t="str">
        <f>IFERROR(INDEX('Firm Master'!$G$2:$G$1000,MATCH($C109,'Firm Master'!$B$2:$B$1000,0)),"")</f>
        <v>KPMG (through 2021); Deloitte &amp; Touche (2022 AGM onward)</v>
      </c>
    </row>
    <row r="110" spans="1:24" ht="32.25" customHeight="1" x14ac:dyDescent="0.3">
      <c r="A110" s="11">
        <v>109</v>
      </c>
      <c r="B110" s="11">
        <v>22</v>
      </c>
      <c r="C110" s="11" t="s">
        <v>822</v>
      </c>
      <c r="D110" s="11" t="s">
        <v>823</v>
      </c>
      <c r="E110" s="11" t="s">
        <v>806</v>
      </c>
      <c r="F110" s="11">
        <v>2024</v>
      </c>
      <c r="G110" s="20">
        <f t="shared" si="7"/>
        <v>1</v>
      </c>
      <c r="H110" s="21">
        <v>0</v>
      </c>
      <c r="I110" s="21">
        <f>IFERROR(INDEX('Coding Sheet'!$AC$2:$AC$731,MATCH($B110&amp;"_"&amp;$F110,'Coding Sheet'!$A$2:$A$731,0)),"")</f>
        <v>35</v>
      </c>
      <c r="J110" s="7">
        <f>IFERROR(INDEX('Coding Sheet'!$AT$2:$AT$731,MATCH($B110&amp;"_"&amp;$F110,'Coding Sheet'!$A$2:$A$731,0)),"")</f>
        <v>20</v>
      </c>
      <c r="K110" s="12">
        <v>8947995000</v>
      </c>
      <c r="L110" s="21">
        <v>3.8098000000000001</v>
      </c>
      <c r="M110" s="20">
        <f t="shared" si="8"/>
        <v>34090071.351000004</v>
      </c>
      <c r="N110" s="12">
        <v>9289111</v>
      </c>
      <c r="O110" s="12">
        <v>21345197</v>
      </c>
      <c r="P110" s="12">
        <v>816995</v>
      </c>
      <c r="Q110" s="20">
        <f t="shared" si="9"/>
        <v>2.032269008854779</v>
      </c>
      <c r="R110" s="20">
        <f t="shared" si="10"/>
        <v>16.87633730745932</v>
      </c>
      <c r="S110" s="20">
        <f t="shared" si="11"/>
        <v>0.43518506762903147</v>
      </c>
      <c r="T110" s="20">
        <f t="shared" si="12"/>
        <v>3.8275355341063376E-2</v>
      </c>
      <c r="U110" s="20">
        <f>IFERROR(IF(ISNUMBER(INDEX('Firm Master'!$E$2:$E$1000,MATCH($C110,'Firm Master'!$B$2:$B$1000,0))),INDEX('Firm Master'!$E$2:$E$1000,MATCH($C110,'Firm Master'!$B$2:$B$1000,0)),""),"")</f>
        <v>1974</v>
      </c>
      <c r="V110" s="21">
        <f t="shared" si="13"/>
        <v>50</v>
      </c>
      <c r="W110" s="12">
        <v>1</v>
      </c>
      <c r="X110" s="20" t="str">
        <f>IFERROR(INDEX('Firm Master'!$G$2:$G$1000,MATCH($C110,'Firm Master'!$B$2:$B$1000,0)),"")</f>
        <v>KPMG (through 2021); Deloitte &amp; Touche (2022 AGM onward)</v>
      </c>
    </row>
    <row r="111" spans="1:24" ht="42.75" customHeight="1" x14ac:dyDescent="0.3">
      <c r="A111" s="11">
        <v>110</v>
      </c>
      <c r="B111" s="11">
        <v>22</v>
      </c>
      <c r="C111" s="11" t="s">
        <v>822</v>
      </c>
      <c r="D111" s="11" t="s">
        <v>823</v>
      </c>
      <c r="E111" s="11" t="s">
        <v>806</v>
      </c>
      <c r="F111" s="11">
        <v>2025</v>
      </c>
      <c r="G111" s="20">
        <f t="shared" si="7"/>
        <v>1</v>
      </c>
      <c r="H111" s="21">
        <v>0</v>
      </c>
      <c r="I111" s="21">
        <f>IFERROR(INDEX('Coding Sheet'!$AC$2:$AC$731,MATCH($B111&amp;"_"&amp;$F111,'Coding Sheet'!$A$2:$A$731,0)),"")</f>
        <v>0</v>
      </c>
      <c r="J111" s="7">
        <f>IFERROR(INDEX('Coding Sheet'!$AT$2:$AT$731,MATCH($B111&amp;"_"&amp;$F111,'Coding Sheet'!$A$2:$A$731,0)),"")</f>
        <v>0</v>
      </c>
      <c r="K111" s="12">
        <v>8947995000</v>
      </c>
      <c r="L111" s="21">
        <v>14.0006</v>
      </c>
      <c r="M111" s="20">
        <f t="shared" si="8"/>
        <v>125277298.79700001</v>
      </c>
      <c r="N111" s="12">
        <v>69261481</v>
      </c>
      <c r="O111" s="12">
        <v>82338577</v>
      </c>
      <c r="P111" s="12">
        <v>1789881</v>
      </c>
      <c r="Q111" s="20">
        <f t="shared" si="9"/>
        <v>2.3626687135605948</v>
      </c>
      <c r="R111" s="20">
        <f t="shared" si="10"/>
        <v>18.226350292155239</v>
      </c>
      <c r="S111" s="20">
        <f t="shared" si="11"/>
        <v>0.84117898952759407</v>
      </c>
      <c r="T111" s="20">
        <f t="shared" si="12"/>
        <v>2.1738060884875385E-2</v>
      </c>
      <c r="U111" s="20">
        <f>IFERROR(IF(ISNUMBER(INDEX('Firm Master'!$E$2:$E$1000,MATCH($C111,'Firm Master'!$B$2:$B$1000,0))),INDEX('Firm Master'!$E$2:$E$1000,MATCH($C111,'Firm Master'!$B$2:$B$1000,0)),""),"")</f>
        <v>1974</v>
      </c>
      <c r="V111" s="21">
        <f t="shared" si="13"/>
        <v>51</v>
      </c>
      <c r="W111" s="12">
        <v>1</v>
      </c>
      <c r="X111" s="20" t="str">
        <f>IFERROR(INDEX('Firm Master'!$G$2:$G$1000,MATCH($C111,'Firm Master'!$B$2:$B$1000,0)),"")</f>
        <v>KPMG (through 2021); Deloitte &amp; Touche (2022 AGM onward)</v>
      </c>
    </row>
    <row r="112" spans="1:24" ht="15" customHeight="1" x14ac:dyDescent="0.3">
      <c r="A112" s="11">
        <v>111</v>
      </c>
      <c r="B112" s="11">
        <v>23</v>
      </c>
      <c r="C112" s="11" t="s">
        <v>829</v>
      </c>
      <c r="D112" s="11" t="s">
        <v>830</v>
      </c>
      <c r="E112" s="11" t="s">
        <v>752</v>
      </c>
      <c r="F112" s="11">
        <v>2021</v>
      </c>
      <c r="G112" s="20">
        <f t="shared" si="7"/>
        <v>0</v>
      </c>
      <c r="H112" s="21">
        <v>0</v>
      </c>
      <c r="I112" s="21">
        <f>IFERROR(INDEX('Coding Sheet'!$AC$2:$AC$731,MATCH($B112&amp;"_"&amp;$F112,'Coding Sheet'!$A$2:$A$731,0)),"")</f>
        <v>0</v>
      </c>
      <c r="J112" s="7">
        <f>IFERROR(INDEX('Coding Sheet'!$AT$2:$AT$731,MATCH($B112&amp;"_"&amp;$F112,'Coding Sheet'!$A$2:$A$731,0)),"")</f>
        <v>0</v>
      </c>
      <c r="K112" s="12">
        <v>4696060000</v>
      </c>
      <c r="L112" s="21">
        <v>0.21929999999999999</v>
      </c>
      <c r="M112" s="20">
        <f t="shared" si="8"/>
        <v>1029845.958</v>
      </c>
      <c r="N112" s="12">
        <v>7090714</v>
      </c>
      <c r="O112" s="12">
        <v>11825349</v>
      </c>
      <c r="P112" s="12">
        <v>-359916</v>
      </c>
      <c r="Q112" s="20">
        <f t="shared" si="9"/>
        <v>0.68670784752314706</v>
      </c>
      <c r="R112" s="20">
        <f t="shared" si="10"/>
        <v>16.285756005648821</v>
      </c>
      <c r="S112" s="20">
        <f t="shared" si="11"/>
        <v>0.5996198505431003</v>
      </c>
      <c r="T112" s="20">
        <f t="shared" si="12"/>
        <v>-3.043597275649116E-2</v>
      </c>
      <c r="U112" s="20">
        <f>IFERROR(IF(ISNUMBER(INDEX('Firm Master'!$E$2:$E$1000,MATCH($C112,'Firm Master'!$B$2:$B$1000,0))),INDEX('Firm Master'!$E$2:$E$1000,MATCH($C112,'Firm Master'!$B$2:$B$1000,0)),""),"")</f>
        <v>1985</v>
      </c>
      <c r="V112" s="21">
        <f t="shared" si="13"/>
        <v>36</v>
      </c>
      <c r="W112" s="12">
        <v>0</v>
      </c>
      <c r="X112" s="20" t="str">
        <f>IFERROR(INDEX('Firm Master'!$G$2:$G$1000,MATCH($C112,'Firm Master'!$B$2:$B$1000,0)),"")</f>
        <v>PKF Professional Services</v>
      </c>
    </row>
    <row r="113" spans="1:24" ht="21.75" customHeight="1" x14ac:dyDescent="0.3">
      <c r="A113" s="11">
        <v>112</v>
      </c>
      <c r="B113" s="11">
        <v>23</v>
      </c>
      <c r="C113" s="11" t="s">
        <v>829</v>
      </c>
      <c r="D113" s="11" t="s">
        <v>830</v>
      </c>
      <c r="E113" s="11" t="s">
        <v>752</v>
      </c>
      <c r="F113" s="11">
        <v>2022</v>
      </c>
      <c r="G113" s="20">
        <f t="shared" si="7"/>
        <v>0</v>
      </c>
      <c r="H113" s="21">
        <v>0</v>
      </c>
      <c r="I113" s="21">
        <f>IFERROR(INDEX('Coding Sheet'!$AC$2:$AC$731,MATCH($B113&amp;"_"&amp;$F113,'Coding Sheet'!$A$2:$A$731,0)),"")</f>
        <v>0</v>
      </c>
      <c r="J113" s="7">
        <f>IFERROR(INDEX('Coding Sheet'!$AT$2:$AT$731,MATCH($B113&amp;"_"&amp;$F113,'Coding Sheet'!$A$2:$A$731,0)),"")</f>
        <v>0</v>
      </c>
      <c r="K113" s="12">
        <v>4696060000</v>
      </c>
      <c r="L113" s="21">
        <v>0.21929999999999999</v>
      </c>
      <c r="M113" s="20">
        <f t="shared" si="8"/>
        <v>1029845.958</v>
      </c>
      <c r="N113" s="12">
        <v>6839428</v>
      </c>
      <c r="O113" s="12">
        <v>16288880</v>
      </c>
      <c r="P113" s="12">
        <v>-375240</v>
      </c>
      <c r="Q113" s="20">
        <f t="shared" si="9"/>
        <v>0.48310712326446015</v>
      </c>
      <c r="R113" s="20">
        <f t="shared" si="10"/>
        <v>16.605993224377865</v>
      </c>
      <c r="S113" s="20">
        <f t="shared" si="11"/>
        <v>0.41988325778076824</v>
      </c>
      <c r="T113" s="20">
        <f t="shared" si="12"/>
        <v>-2.3036574644788345E-2</v>
      </c>
      <c r="U113" s="20">
        <f>IFERROR(IF(ISNUMBER(INDEX('Firm Master'!$E$2:$E$1000,MATCH($C113,'Firm Master'!$B$2:$B$1000,0))),INDEX('Firm Master'!$E$2:$E$1000,MATCH($C113,'Firm Master'!$B$2:$B$1000,0)),""),"")</f>
        <v>1985</v>
      </c>
      <c r="V113" s="21">
        <f t="shared" si="13"/>
        <v>37</v>
      </c>
      <c r="W113" s="12">
        <v>0</v>
      </c>
      <c r="X113" s="20" t="str">
        <f>IFERROR(INDEX('Firm Master'!$G$2:$G$1000,MATCH($C113,'Firm Master'!$B$2:$B$1000,0)),"")</f>
        <v>PKF Professional Services</v>
      </c>
    </row>
    <row r="114" spans="1:24" ht="15" customHeight="1" x14ac:dyDescent="0.3">
      <c r="A114" s="11">
        <v>113</v>
      </c>
      <c r="B114" s="11">
        <v>23</v>
      </c>
      <c r="C114" s="11" t="s">
        <v>829</v>
      </c>
      <c r="D114" s="11" t="s">
        <v>830</v>
      </c>
      <c r="E114" s="11" t="s">
        <v>752</v>
      </c>
      <c r="F114" s="11">
        <v>2023</v>
      </c>
      <c r="G114" s="20">
        <f t="shared" si="7"/>
        <v>1</v>
      </c>
      <c r="H114" s="21">
        <v>0</v>
      </c>
      <c r="I114" s="21">
        <f>IFERROR(INDEX('Coding Sheet'!$AC$2:$AC$731,MATCH($B114&amp;"_"&amp;$F114,'Coding Sheet'!$A$2:$A$731,0)),"")</f>
        <v>0</v>
      </c>
      <c r="J114" s="7">
        <f>IFERROR(INDEX('Coding Sheet'!$AT$2:$AT$731,MATCH($B114&amp;"_"&amp;$F114,'Coding Sheet'!$A$2:$A$731,0)),"")</f>
        <v>0</v>
      </c>
      <c r="K114" s="12">
        <v>4696060000</v>
      </c>
      <c r="L114" s="21">
        <v>1.9698</v>
      </c>
      <c r="M114" s="20">
        <f t="shared" si="8"/>
        <v>9250298.9879999999</v>
      </c>
      <c r="N114" s="12">
        <v>9332146</v>
      </c>
      <c r="O114" s="12">
        <v>18999495</v>
      </c>
      <c r="P114" s="12">
        <v>20220</v>
      </c>
      <c r="Q114" s="20">
        <f t="shared" si="9"/>
        <v>0.97804941594500261</v>
      </c>
      <c r="R114" s="20">
        <f t="shared" si="10"/>
        <v>16.759922957830121</v>
      </c>
      <c r="S114" s="20">
        <f t="shared" si="11"/>
        <v>0.49117863395842887</v>
      </c>
      <c r="T114" s="20">
        <f t="shared" si="12"/>
        <v>1.0642388126631786E-3</v>
      </c>
      <c r="U114" s="20">
        <f>IFERROR(IF(ISNUMBER(INDEX('Firm Master'!$E$2:$E$1000,MATCH($C114,'Firm Master'!$B$2:$B$1000,0))),INDEX('Firm Master'!$E$2:$E$1000,MATCH($C114,'Firm Master'!$B$2:$B$1000,0)),""),"")</f>
        <v>1985</v>
      </c>
      <c r="V114" s="21">
        <f t="shared" si="13"/>
        <v>38</v>
      </c>
      <c r="W114" s="12">
        <v>0</v>
      </c>
      <c r="X114" s="20" t="str">
        <f>IFERROR(INDEX('Firm Master'!$G$2:$G$1000,MATCH($C114,'Firm Master'!$B$2:$B$1000,0)),"")</f>
        <v>PKF Professional Services</v>
      </c>
    </row>
    <row r="115" spans="1:24" ht="15" customHeight="1" x14ac:dyDescent="0.3">
      <c r="A115" s="11">
        <v>114</v>
      </c>
      <c r="B115" s="11">
        <v>23</v>
      </c>
      <c r="C115" s="11" t="s">
        <v>829</v>
      </c>
      <c r="D115" s="11" t="s">
        <v>830</v>
      </c>
      <c r="E115" s="11" t="s">
        <v>752</v>
      </c>
      <c r="F115" s="11">
        <v>2024</v>
      </c>
      <c r="G115" s="20">
        <f t="shared" si="7"/>
        <v>1</v>
      </c>
      <c r="H115" s="21">
        <v>0</v>
      </c>
      <c r="I115" s="21">
        <f>IFERROR(INDEX('Coding Sheet'!$AC$2:$AC$731,MATCH($B115&amp;"_"&amp;$F115,'Coding Sheet'!$A$2:$A$731,0)),"")</f>
        <v>0</v>
      </c>
      <c r="J115" s="7">
        <f>IFERROR(INDEX('Coding Sheet'!$AT$2:$AT$731,MATCH($B115&amp;"_"&amp;$F115,'Coding Sheet'!$A$2:$A$731,0)),"")</f>
        <v>0</v>
      </c>
      <c r="K115" s="12">
        <v>4696060000</v>
      </c>
      <c r="L115" s="21">
        <v>1.9911000000000001</v>
      </c>
      <c r="M115" s="20">
        <f t="shared" si="8"/>
        <v>9350325.0659999996</v>
      </c>
      <c r="N115" s="12">
        <v>10398617</v>
      </c>
      <c r="O115" s="12">
        <v>20391942</v>
      </c>
      <c r="P115" s="12">
        <v>391055</v>
      </c>
      <c r="Q115" s="20">
        <f t="shared" si="9"/>
        <v>0.9684679402285471</v>
      </c>
      <c r="R115" s="20">
        <f t="shared" si="10"/>
        <v>16.830650380781396</v>
      </c>
      <c r="S115" s="20">
        <f t="shared" si="11"/>
        <v>0.50993755278433017</v>
      </c>
      <c r="T115" s="20">
        <f t="shared" si="12"/>
        <v>1.9176937635464048E-2</v>
      </c>
      <c r="U115" s="20">
        <f>IFERROR(IF(ISNUMBER(INDEX('Firm Master'!$E$2:$E$1000,MATCH($C115,'Firm Master'!$B$2:$B$1000,0))),INDEX('Firm Master'!$E$2:$E$1000,MATCH($C115,'Firm Master'!$B$2:$B$1000,0)),""),"")</f>
        <v>1985</v>
      </c>
      <c r="V115" s="21">
        <f t="shared" si="13"/>
        <v>39</v>
      </c>
      <c r="W115" s="12">
        <v>0</v>
      </c>
      <c r="X115" s="20" t="str">
        <f>IFERROR(INDEX('Firm Master'!$G$2:$G$1000,MATCH($C115,'Firm Master'!$B$2:$B$1000,0)),"")</f>
        <v>PKF Professional Services</v>
      </c>
    </row>
    <row r="116" spans="1:24" ht="32.25" customHeight="1" x14ac:dyDescent="0.3">
      <c r="A116" s="11">
        <v>115</v>
      </c>
      <c r="B116" s="11">
        <v>23</v>
      </c>
      <c r="C116" s="11" t="s">
        <v>829</v>
      </c>
      <c r="D116" s="11" t="s">
        <v>830</v>
      </c>
      <c r="E116" s="11" t="s">
        <v>752</v>
      </c>
      <c r="F116" s="11">
        <v>2025</v>
      </c>
      <c r="G116" s="20">
        <f t="shared" si="7"/>
        <v>1</v>
      </c>
      <c r="H116" s="21">
        <v>0</v>
      </c>
      <c r="I116" s="21">
        <f>IFERROR(INDEX('Coding Sheet'!$AC$2:$AC$731,MATCH($B116&amp;"_"&amp;$F116,'Coding Sheet'!$A$2:$A$731,0)),"")</f>
        <v>0</v>
      </c>
      <c r="J116" s="7">
        <f>IFERROR(INDEX('Coding Sheet'!$AT$2:$AT$731,MATCH($B116&amp;"_"&amp;$F116,'Coding Sheet'!$A$2:$A$731,0)),"")</f>
        <v>0</v>
      </c>
      <c r="K116" s="12">
        <v>9000000000</v>
      </c>
      <c r="L116" s="21">
        <v>3.9</v>
      </c>
      <c r="M116" s="20">
        <f t="shared" si="8"/>
        <v>35100000</v>
      </c>
      <c r="N116" s="12">
        <v>14856894</v>
      </c>
      <c r="O116" s="12">
        <v>34378390</v>
      </c>
      <c r="P116" s="12">
        <v>417093</v>
      </c>
      <c r="Q116" s="20">
        <f t="shared" si="9"/>
        <v>1.4531481549892242</v>
      </c>
      <c r="R116" s="20">
        <f t="shared" si="10"/>
        <v>17.352938727270374</v>
      </c>
      <c r="S116" s="20">
        <f t="shared" si="11"/>
        <v>0.43215793409755371</v>
      </c>
      <c r="T116" s="20">
        <f t="shared" si="12"/>
        <v>1.2132418068443578E-2</v>
      </c>
      <c r="U116" s="20">
        <f>IFERROR(IF(ISNUMBER(INDEX('Firm Master'!$E$2:$E$1000,MATCH($C116,'Firm Master'!$B$2:$B$1000,0))),INDEX('Firm Master'!$E$2:$E$1000,MATCH($C116,'Firm Master'!$B$2:$B$1000,0)),""),"")</f>
        <v>1985</v>
      </c>
      <c r="V116" s="21">
        <f t="shared" si="13"/>
        <v>40</v>
      </c>
      <c r="W116" s="12">
        <v>0</v>
      </c>
      <c r="X116" s="20" t="str">
        <f>IFERROR(INDEX('Firm Master'!$G$2:$G$1000,MATCH($C116,'Firm Master'!$B$2:$B$1000,0)),"")</f>
        <v>PKF Professional Services</v>
      </c>
    </row>
    <row r="117" spans="1:24" ht="34.5" customHeight="1" x14ac:dyDescent="0.3">
      <c r="A117" s="11">
        <v>116</v>
      </c>
      <c r="B117" s="11">
        <v>24</v>
      </c>
      <c r="C117" s="11" t="s">
        <v>834</v>
      </c>
      <c r="D117" s="11" t="s">
        <v>835</v>
      </c>
      <c r="E117" s="11" t="s">
        <v>772</v>
      </c>
      <c r="F117" s="11">
        <v>2021</v>
      </c>
      <c r="G117" s="20">
        <f t="shared" si="7"/>
        <v>0</v>
      </c>
      <c r="H117" s="21">
        <v>0</v>
      </c>
      <c r="I117" s="21">
        <f>IFERROR(INDEX('Coding Sheet'!$AC$2:$AC$731,MATCH($B117&amp;"_"&amp;$F117,'Coding Sheet'!$A$2:$A$731,0)),"")</f>
        <v>0</v>
      </c>
      <c r="J117" s="7">
        <f>IFERROR(INDEX('Coding Sheet'!$AT$2:$AT$731,MATCH($B117&amp;"_"&amp;$F117,'Coding Sheet'!$A$2:$A$731,0)),"")</f>
        <v>0</v>
      </c>
      <c r="K117" s="12">
        <v>722925000</v>
      </c>
      <c r="L117" s="21">
        <v>2.2408000000000001</v>
      </c>
      <c r="M117" s="20">
        <f t="shared" si="8"/>
        <v>1619930.34</v>
      </c>
      <c r="N117" s="12">
        <v>13597176</v>
      </c>
      <c r="O117" s="12">
        <v>6574367</v>
      </c>
      <c r="P117" s="12">
        <v>-3814043</v>
      </c>
      <c r="Q117" s="20">
        <f t="shared" si="9"/>
        <v>2.3146116333329125</v>
      </c>
      <c r="R117" s="20">
        <f t="shared" si="10"/>
        <v>15.698688857629227</v>
      </c>
      <c r="S117" s="20">
        <f t="shared" si="11"/>
        <v>2.0682106733621657</v>
      </c>
      <c r="T117" s="20">
        <f t="shared" si="12"/>
        <v>-0.5801384376625156</v>
      </c>
      <c r="U117" s="20">
        <f>IFERROR(IF(ISNUMBER(INDEX('Firm Master'!$E$2:$E$1000,MATCH($C117,'Firm Master'!$B$2:$B$1000,0))),INDEX('Firm Master'!$E$2:$E$1000,MATCH($C117,'Firm Master'!$B$2:$B$1000,0)),""),"")</f>
        <v>1947</v>
      </c>
      <c r="V117" s="21">
        <f t="shared" si="13"/>
        <v>74</v>
      </c>
      <c r="W117" s="12">
        <v>0</v>
      </c>
      <c r="X117" s="20" t="str">
        <f>IFERROR(INDEX('Firm Master'!$G$2:$G$1000,MATCH($C117,'Firm Master'!$B$2:$B$1000,0)),"")</f>
        <v>BDO Professional Services (2021-2023); PKF Professional Services (by FY2025)</v>
      </c>
    </row>
    <row r="118" spans="1:24" ht="34.5" customHeight="1" x14ac:dyDescent="0.3">
      <c r="A118" s="11">
        <v>117</v>
      </c>
      <c r="B118" s="11">
        <v>24</v>
      </c>
      <c r="C118" s="11" t="s">
        <v>834</v>
      </c>
      <c r="D118" s="11" t="s">
        <v>835</v>
      </c>
      <c r="E118" s="11" t="s">
        <v>772</v>
      </c>
      <c r="F118" s="11">
        <v>2022</v>
      </c>
      <c r="G118" s="20">
        <f t="shared" si="7"/>
        <v>0</v>
      </c>
      <c r="H118" s="21">
        <v>0</v>
      </c>
      <c r="I118" s="21">
        <f>IFERROR(INDEX('Coding Sheet'!$AC$2:$AC$731,MATCH($B118&amp;"_"&amp;$F118,'Coding Sheet'!$A$2:$A$731,0)),"")</f>
        <v>0</v>
      </c>
      <c r="J118" s="7">
        <f>IFERROR(INDEX('Coding Sheet'!$AT$2:$AT$731,MATCH($B118&amp;"_"&amp;$F118,'Coding Sheet'!$A$2:$A$731,0)),"")</f>
        <v>0</v>
      </c>
      <c r="K118" s="12">
        <v>722925000</v>
      </c>
      <c r="L118" s="21">
        <v>2.2408000000000001</v>
      </c>
      <c r="M118" s="20">
        <f t="shared" si="8"/>
        <v>1619930.34</v>
      </c>
      <c r="N118" s="12">
        <v>14938142</v>
      </c>
      <c r="O118" s="12">
        <v>11123983</v>
      </c>
      <c r="P118" s="12">
        <v>882215</v>
      </c>
      <c r="Q118" s="20">
        <f t="shared" si="9"/>
        <v>1.4885021255426227</v>
      </c>
      <c r="R118" s="20">
        <f t="shared" si="10"/>
        <v>16.224613966107569</v>
      </c>
      <c r="S118" s="20">
        <f t="shared" si="11"/>
        <v>1.3428770971692423</v>
      </c>
      <c r="T118" s="20">
        <f t="shared" si="12"/>
        <v>7.9307474669819258E-2</v>
      </c>
      <c r="U118" s="20">
        <f>IFERROR(IF(ISNUMBER(INDEX('Firm Master'!$E$2:$E$1000,MATCH($C118,'Firm Master'!$B$2:$B$1000,0))),INDEX('Firm Master'!$E$2:$E$1000,MATCH($C118,'Firm Master'!$B$2:$B$1000,0)),""),"")</f>
        <v>1947</v>
      </c>
      <c r="V118" s="21">
        <f t="shared" si="13"/>
        <v>75</v>
      </c>
      <c r="W118" s="12">
        <v>0</v>
      </c>
      <c r="X118" s="20" t="str">
        <f>IFERROR(INDEX('Firm Master'!$G$2:$G$1000,MATCH($C118,'Firm Master'!$B$2:$B$1000,0)),"")</f>
        <v>BDO Professional Services (2021-2023); PKF Professional Services (by FY2025)</v>
      </c>
    </row>
    <row r="119" spans="1:24" ht="34.5" customHeight="1" x14ac:dyDescent="0.3">
      <c r="A119" s="11">
        <v>118</v>
      </c>
      <c r="B119" s="11">
        <v>24</v>
      </c>
      <c r="C119" s="11" t="s">
        <v>834</v>
      </c>
      <c r="D119" s="11" t="s">
        <v>835</v>
      </c>
      <c r="E119" s="11" t="s">
        <v>772</v>
      </c>
      <c r="F119" s="11">
        <v>2023</v>
      </c>
      <c r="G119" s="20">
        <f t="shared" si="7"/>
        <v>1</v>
      </c>
      <c r="H119" s="21">
        <v>0</v>
      </c>
      <c r="I119" s="21">
        <f>IFERROR(INDEX('Coding Sheet'!$AC$2:$AC$731,MATCH($B119&amp;"_"&amp;$F119,'Coding Sheet'!$A$2:$A$731,0)),"")</f>
        <v>0</v>
      </c>
      <c r="J119" s="7">
        <f>IFERROR(INDEX('Coding Sheet'!$AT$2:$AT$731,MATCH($B119&amp;"_"&amp;$F119,'Coding Sheet'!$A$2:$A$731,0)),"")</f>
        <v>0</v>
      </c>
      <c r="K119" s="12">
        <v>722925000</v>
      </c>
      <c r="L119" s="21">
        <v>4.1500000000000004</v>
      </c>
      <c r="M119" s="20">
        <f t="shared" si="8"/>
        <v>3000138.7500000005</v>
      </c>
      <c r="N119" s="12">
        <v>12209972</v>
      </c>
      <c r="O119" s="12">
        <v>12178914</v>
      </c>
      <c r="P119" s="12">
        <v>3788560</v>
      </c>
      <c r="Q119" s="20">
        <f t="shared" si="9"/>
        <v>1.2488889198166602</v>
      </c>
      <c r="R119" s="20">
        <f t="shared" si="10"/>
        <v>16.315216653709232</v>
      </c>
      <c r="S119" s="20">
        <f t="shared" si="11"/>
        <v>1.0025501452756789</v>
      </c>
      <c r="T119" s="20">
        <f t="shared" si="12"/>
        <v>0.31107535532314295</v>
      </c>
      <c r="U119" s="20">
        <f>IFERROR(IF(ISNUMBER(INDEX('Firm Master'!$E$2:$E$1000,MATCH($C119,'Firm Master'!$B$2:$B$1000,0))),INDEX('Firm Master'!$E$2:$E$1000,MATCH($C119,'Firm Master'!$B$2:$B$1000,0)),""),"")</f>
        <v>1947</v>
      </c>
      <c r="V119" s="21">
        <f t="shared" si="13"/>
        <v>76</v>
      </c>
      <c r="W119" s="12">
        <v>0</v>
      </c>
      <c r="X119" s="20" t="str">
        <f>IFERROR(INDEX('Firm Master'!$G$2:$G$1000,MATCH($C119,'Firm Master'!$B$2:$B$1000,0)),"")</f>
        <v>BDO Professional Services (2021-2023); PKF Professional Services (by FY2025)</v>
      </c>
    </row>
    <row r="120" spans="1:24" ht="53.25" customHeight="1" x14ac:dyDescent="0.3">
      <c r="A120" s="11">
        <v>119</v>
      </c>
      <c r="B120" s="11">
        <v>24</v>
      </c>
      <c r="C120" s="11" t="s">
        <v>834</v>
      </c>
      <c r="D120" s="11" t="s">
        <v>835</v>
      </c>
      <c r="E120" s="11" t="s">
        <v>772</v>
      </c>
      <c r="F120" s="11">
        <v>2024</v>
      </c>
      <c r="G120" s="20">
        <f t="shared" si="7"/>
        <v>1</v>
      </c>
      <c r="H120" s="21">
        <v>0</v>
      </c>
      <c r="I120" s="21">
        <f>IFERROR(INDEX('Coding Sheet'!$AC$2:$AC$731,MATCH($B120&amp;"_"&amp;$F120,'Coding Sheet'!$A$2:$A$731,0)),"")</f>
        <v>0</v>
      </c>
      <c r="J120" s="7">
        <f>IFERROR(INDEX('Coding Sheet'!$AT$2:$AT$731,MATCH($B120&amp;"_"&amp;$F120,'Coding Sheet'!$A$2:$A$731,0)),"")</f>
        <v>0</v>
      </c>
      <c r="K120" s="12">
        <v>722925000</v>
      </c>
      <c r="L120" s="21">
        <v>3.6930999999999998</v>
      </c>
      <c r="M120" s="20">
        <f t="shared" si="8"/>
        <v>2669834.3174999999</v>
      </c>
      <c r="N120" s="12">
        <v>16459643</v>
      </c>
      <c r="O120" s="12">
        <v>14561812</v>
      </c>
      <c r="P120" s="12">
        <v>-3002959</v>
      </c>
      <c r="Q120" s="20">
        <f t="shared" si="9"/>
        <v>1.3136742403692616</v>
      </c>
      <c r="R120" s="20">
        <f t="shared" si="10"/>
        <v>16.493913043538939</v>
      </c>
      <c r="S120" s="20">
        <f t="shared" si="11"/>
        <v>1.1303293161592802</v>
      </c>
      <c r="T120" s="20">
        <f t="shared" si="12"/>
        <v>-0.20622151968450081</v>
      </c>
      <c r="U120" s="20">
        <f>IFERROR(IF(ISNUMBER(INDEX('Firm Master'!$E$2:$E$1000,MATCH($C120,'Firm Master'!$B$2:$B$1000,0))),INDEX('Firm Master'!$E$2:$E$1000,MATCH($C120,'Firm Master'!$B$2:$B$1000,0)),""),"")</f>
        <v>1947</v>
      </c>
      <c r="V120" s="21">
        <f t="shared" si="13"/>
        <v>77</v>
      </c>
      <c r="W120" s="12">
        <v>0</v>
      </c>
      <c r="X120" s="20" t="str">
        <f>IFERROR(INDEX('Firm Master'!$G$2:$G$1000,MATCH($C120,'Firm Master'!$B$2:$B$1000,0)),"")</f>
        <v>BDO Professional Services (2021-2023); PKF Professional Services (by FY2025)</v>
      </c>
    </row>
    <row r="121" spans="1:24" ht="42.75" customHeight="1" x14ac:dyDescent="0.3">
      <c r="A121" s="11">
        <v>120</v>
      </c>
      <c r="B121" s="11">
        <v>24</v>
      </c>
      <c r="C121" s="11" t="s">
        <v>834</v>
      </c>
      <c r="D121" s="11" t="s">
        <v>835</v>
      </c>
      <c r="E121" s="11" t="s">
        <v>772</v>
      </c>
      <c r="F121" s="11">
        <v>2025</v>
      </c>
      <c r="G121" s="20">
        <f t="shared" si="7"/>
        <v>1</v>
      </c>
      <c r="H121" s="21">
        <v>0</v>
      </c>
      <c r="I121" s="21">
        <f>IFERROR(INDEX('Coding Sheet'!$AC$2:$AC$731,MATCH($B121&amp;"_"&amp;$F121,'Coding Sheet'!$A$2:$A$731,0)),"")</f>
        <v>0</v>
      </c>
      <c r="J121" s="7">
        <f>IFERROR(INDEX('Coding Sheet'!$AT$2:$AT$731,MATCH($B121&amp;"_"&amp;$F121,'Coding Sheet'!$A$2:$A$731,0)),"")</f>
        <v>0</v>
      </c>
      <c r="K121" s="12">
        <v>722925000</v>
      </c>
      <c r="L121" s="21">
        <v>13.1959</v>
      </c>
      <c r="M121" s="20">
        <f t="shared" si="8"/>
        <v>9539646.0075000003</v>
      </c>
      <c r="N121" s="12">
        <v>21009742</v>
      </c>
      <c r="O121" s="12">
        <v>23305367</v>
      </c>
      <c r="P121" s="12">
        <v>-2576964</v>
      </c>
      <c r="Q121" s="20">
        <f t="shared" si="9"/>
        <v>1.3108305914041174</v>
      </c>
      <c r="R121" s="20">
        <f t="shared" si="10"/>
        <v>16.964194235358612</v>
      </c>
      <c r="S121" s="20">
        <f t="shared" si="11"/>
        <v>0.90149801116626915</v>
      </c>
      <c r="T121" s="20">
        <f t="shared" si="12"/>
        <v>-0.11057384335548116</v>
      </c>
      <c r="U121" s="20">
        <f>IFERROR(IF(ISNUMBER(INDEX('Firm Master'!$E$2:$E$1000,MATCH($C121,'Firm Master'!$B$2:$B$1000,0))),INDEX('Firm Master'!$E$2:$E$1000,MATCH($C121,'Firm Master'!$B$2:$B$1000,0)),""),"")</f>
        <v>1947</v>
      </c>
      <c r="V121" s="21">
        <f t="shared" si="13"/>
        <v>78</v>
      </c>
      <c r="W121" s="12">
        <v>0</v>
      </c>
      <c r="X121" s="20" t="str">
        <f>IFERROR(INDEX('Firm Master'!$G$2:$G$1000,MATCH($C121,'Firm Master'!$B$2:$B$1000,0)),"")</f>
        <v>BDO Professional Services (2021-2023); PKF Professional Services (by FY2025)</v>
      </c>
    </row>
    <row r="122" spans="1:24" ht="21.75" customHeight="1" x14ac:dyDescent="0.3">
      <c r="A122" s="11">
        <v>121</v>
      </c>
      <c r="B122" s="11">
        <v>25</v>
      </c>
      <c r="C122" s="11" t="s">
        <v>839</v>
      </c>
      <c r="D122" s="11" t="s">
        <v>840</v>
      </c>
      <c r="E122" s="11" t="s">
        <v>715</v>
      </c>
      <c r="F122" s="11">
        <v>2021</v>
      </c>
      <c r="G122" s="20">
        <f t="shared" si="7"/>
        <v>0</v>
      </c>
      <c r="H122" s="21">
        <v>0</v>
      </c>
      <c r="I122" s="21">
        <f>IFERROR(INDEX('Coding Sheet'!$AC$2:$AC$731,MATCH($B122&amp;"_"&amp;$F122,'Coding Sheet'!$A$2:$A$731,0)),"")</f>
        <v>0</v>
      </c>
      <c r="J122" s="7">
        <f>IFERROR(INDEX('Coding Sheet'!$AT$2:$AT$731,MATCH($B122&amp;"_"&amp;$F122,'Coding Sheet'!$A$2:$A$731,0)),"")</f>
        <v>0</v>
      </c>
      <c r="K122" s="12">
        <v>1303000000</v>
      </c>
      <c r="L122" s="21">
        <v>2.5173000000000001</v>
      </c>
      <c r="M122" s="20">
        <f t="shared" si="8"/>
        <v>3280041.9</v>
      </c>
      <c r="N122" s="12">
        <v>44271267</v>
      </c>
      <c r="O122" s="12">
        <v>58133823</v>
      </c>
      <c r="P122" s="12">
        <v>31280</v>
      </c>
      <c r="Q122" s="20">
        <f t="shared" si="9"/>
        <v>0.81796287335171469</v>
      </c>
      <c r="R122" s="20">
        <f t="shared" si="10"/>
        <v>17.878258203900707</v>
      </c>
      <c r="S122" s="20">
        <f t="shared" si="11"/>
        <v>0.76154060950025604</v>
      </c>
      <c r="T122" s="20">
        <f t="shared" si="12"/>
        <v>5.3806886225253071E-4</v>
      </c>
      <c r="U122" s="20">
        <f>IFERROR(IF(ISNUMBER(INDEX('Firm Master'!$E$2:$E$1000,MATCH($C122,'Firm Master'!$B$2:$B$1000,0))),INDEX('Firm Master'!$E$2:$E$1000,MATCH($C122,'Firm Master'!$B$2:$B$1000,0)),""),"")</f>
        <v>1990</v>
      </c>
      <c r="V122" s="21">
        <f t="shared" si="13"/>
        <v>31</v>
      </c>
      <c r="W122" s="12">
        <v>1</v>
      </c>
      <c r="X122" s="20" t="str">
        <f>IFERROR(INDEX('Firm Master'!$G$2:$G$1000,MATCH($C122,'Firm Master'!$B$2:$B$1000,0)),"")</f>
        <v>Ernst &amp; Young</v>
      </c>
    </row>
    <row r="123" spans="1:24" ht="21.75" customHeight="1" x14ac:dyDescent="0.3">
      <c r="A123" s="11">
        <v>122</v>
      </c>
      <c r="B123" s="11">
        <v>25</v>
      </c>
      <c r="C123" s="11" t="s">
        <v>839</v>
      </c>
      <c r="D123" s="11" t="s">
        <v>840</v>
      </c>
      <c r="E123" s="11" t="s">
        <v>715</v>
      </c>
      <c r="F123" s="11">
        <v>2022</v>
      </c>
      <c r="G123" s="20">
        <f t="shared" si="7"/>
        <v>0</v>
      </c>
      <c r="H123" s="21">
        <v>0</v>
      </c>
      <c r="I123" s="21">
        <f>IFERROR(INDEX('Coding Sheet'!$AC$2:$AC$731,MATCH($B123&amp;"_"&amp;$F123,'Coding Sheet'!$A$2:$A$731,0)),"")</f>
        <v>0</v>
      </c>
      <c r="J123" s="7">
        <f>IFERROR(INDEX('Coding Sheet'!$AT$2:$AT$731,MATCH($B123&amp;"_"&amp;$F123,'Coding Sheet'!$A$2:$A$731,0)),"")</f>
        <v>0</v>
      </c>
      <c r="K123" s="12">
        <v>1303000000</v>
      </c>
      <c r="L123" s="21">
        <v>1.9187000000000001</v>
      </c>
      <c r="M123" s="20">
        <f t="shared" si="8"/>
        <v>2500066.1</v>
      </c>
      <c r="N123" s="12">
        <v>41039444</v>
      </c>
      <c r="O123" s="12">
        <v>57753684</v>
      </c>
      <c r="P123" s="12">
        <v>577269</v>
      </c>
      <c r="Q123" s="20">
        <f t="shared" si="9"/>
        <v>0.75388281897307197</v>
      </c>
      <c r="R123" s="20">
        <f t="shared" si="10"/>
        <v>17.871697697539332</v>
      </c>
      <c r="S123" s="20">
        <f t="shared" si="11"/>
        <v>0.71059439255857682</v>
      </c>
      <c r="T123" s="20">
        <f t="shared" si="12"/>
        <v>9.9953623737664941E-3</v>
      </c>
      <c r="U123" s="20">
        <f>IFERROR(IF(ISNUMBER(INDEX('Firm Master'!$E$2:$E$1000,MATCH($C123,'Firm Master'!$B$2:$B$1000,0))),INDEX('Firm Master'!$E$2:$E$1000,MATCH($C123,'Firm Master'!$B$2:$B$1000,0)),""),"")</f>
        <v>1990</v>
      </c>
      <c r="V123" s="21">
        <f t="shared" si="13"/>
        <v>32</v>
      </c>
      <c r="W123" s="12">
        <v>1</v>
      </c>
      <c r="X123" s="20" t="str">
        <f>IFERROR(INDEX('Firm Master'!$G$2:$G$1000,MATCH($C123,'Firm Master'!$B$2:$B$1000,0)),"")</f>
        <v>Ernst &amp; Young</v>
      </c>
    </row>
    <row r="124" spans="1:24" ht="32.25" customHeight="1" x14ac:dyDescent="0.3">
      <c r="A124" s="11">
        <v>123</v>
      </c>
      <c r="B124" s="11">
        <v>25</v>
      </c>
      <c r="C124" s="11" t="s">
        <v>839</v>
      </c>
      <c r="D124" s="11" t="s">
        <v>840</v>
      </c>
      <c r="E124" s="11" t="s">
        <v>715</v>
      </c>
      <c r="F124" s="11">
        <v>2023</v>
      </c>
      <c r="G124" s="20">
        <f t="shared" si="7"/>
        <v>1</v>
      </c>
      <c r="H124" s="21">
        <v>0</v>
      </c>
      <c r="I124" s="21">
        <f>IFERROR(INDEX('Coding Sheet'!$AC$2:$AC$731,MATCH($B124&amp;"_"&amp;$F124,'Coding Sheet'!$A$2:$A$731,0)),"")</f>
        <v>0</v>
      </c>
      <c r="J124" s="7">
        <f>IFERROR(INDEX('Coding Sheet'!$AT$2:$AT$731,MATCH($B124&amp;"_"&amp;$F124,'Coding Sheet'!$A$2:$A$731,0)),"")</f>
        <v>0</v>
      </c>
      <c r="K124" s="12">
        <v>1303000000</v>
      </c>
      <c r="L124" s="21">
        <v>3.3614999999999999</v>
      </c>
      <c r="M124" s="20">
        <f t="shared" si="8"/>
        <v>4380034.5</v>
      </c>
      <c r="N124" s="12">
        <v>52302101</v>
      </c>
      <c r="O124" s="12">
        <v>78698307</v>
      </c>
      <c r="P124" s="12">
        <v>273334</v>
      </c>
      <c r="Q124" s="20">
        <f t="shared" si="9"/>
        <v>0.72024593235531742</v>
      </c>
      <c r="R124" s="20">
        <f t="shared" si="10"/>
        <v>18.181132201085088</v>
      </c>
      <c r="S124" s="20">
        <f t="shared" si="11"/>
        <v>0.66458991296979231</v>
      </c>
      <c r="T124" s="20">
        <f t="shared" si="12"/>
        <v>3.4731878031378743E-3</v>
      </c>
      <c r="U124" s="20">
        <f>IFERROR(IF(ISNUMBER(INDEX('Firm Master'!$E$2:$E$1000,MATCH($C124,'Firm Master'!$B$2:$B$1000,0))),INDEX('Firm Master'!$E$2:$E$1000,MATCH($C124,'Firm Master'!$B$2:$B$1000,0)),""),"")</f>
        <v>1990</v>
      </c>
      <c r="V124" s="21">
        <f t="shared" si="13"/>
        <v>33</v>
      </c>
      <c r="W124" s="12">
        <v>1</v>
      </c>
      <c r="X124" s="20" t="str">
        <f>IFERROR(INDEX('Firm Master'!$G$2:$G$1000,MATCH($C124,'Firm Master'!$B$2:$B$1000,0)),"")</f>
        <v>Ernst &amp; Young</v>
      </c>
    </row>
    <row r="125" spans="1:24" ht="21.75" customHeight="1" x14ac:dyDescent="0.3">
      <c r="A125" s="11">
        <v>124</v>
      </c>
      <c r="B125" s="11">
        <v>25</v>
      </c>
      <c r="C125" s="11" t="s">
        <v>839</v>
      </c>
      <c r="D125" s="11" t="s">
        <v>840</v>
      </c>
      <c r="E125" s="11" t="s">
        <v>715</v>
      </c>
      <c r="F125" s="11">
        <v>2024</v>
      </c>
      <c r="G125" s="20">
        <f t="shared" si="7"/>
        <v>1</v>
      </c>
      <c r="H125" s="21">
        <v>0</v>
      </c>
      <c r="I125" s="21">
        <f>IFERROR(INDEX('Coding Sheet'!$AC$2:$AC$731,MATCH($B125&amp;"_"&amp;$F125,'Coding Sheet'!$A$2:$A$731,0)),"")</f>
        <v>0</v>
      </c>
      <c r="J125" s="7">
        <f>IFERROR(INDEX('Coding Sheet'!$AT$2:$AT$731,MATCH($B125&amp;"_"&amp;$F125,'Coding Sheet'!$A$2:$A$731,0)),"")</f>
        <v>0</v>
      </c>
      <c r="K125" s="12">
        <v>2949000000</v>
      </c>
      <c r="L125" s="21">
        <v>3.7707999999999999</v>
      </c>
      <c r="M125" s="20">
        <f t="shared" si="8"/>
        <v>11120089.199999999</v>
      </c>
      <c r="N125" s="12">
        <v>68120000</v>
      </c>
      <c r="O125" s="12">
        <v>116270000</v>
      </c>
      <c r="P125" s="12">
        <v>1600000</v>
      </c>
      <c r="Q125" s="20">
        <f t="shared" si="9"/>
        <v>0.68151792551819046</v>
      </c>
      <c r="R125" s="20">
        <f t="shared" si="10"/>
        <v>18.571425630644789</v>
      </c>
      <c r="S125" s="20">
        <f t="shared" si="11"/>
        <v>0.58587769846047988</v>
      </c>
      <c r="T125" s="20">
        <f t="shared" si="12"/>
        <v>1.376107336372237E-2</v>
      </c>
      <c r="U125" s="20">
        <f>IFERROR(IF(ISNUMBER(INDEX('Firm Master'!$E$2:$E$1000,MATCH($C125,'Firm Master'!$B$2:$B$1000,0))),INDEX('Firm Master'!$E$2:$E$1000,MATCH($C125,'Firm Master'!$B$2:$B$1000,0)),""),"")</f>
        <v>1990</v>
      </c>
      <c r="V125" s="21">
        <f t="shared" si="13"/>
        <v>34</v>
      </c>
      <c r="W125" s="12">
        <v>1</v>
      </c>
      <c r="X125" s="20" t="str">
        <f>IFERROR(INDEX('Firm Master'!$G$2:$G$1000,MATCH($C125,'Firm Master'!$B$2:$B$1000,0)),"")</f>
        <v>Ernst &amp; Young</v>
      </c>
    </row>
    <row r="126" spans="1:24" ht="32.25" customHeight="1" x14ac:dyDescent="0.3">
      <c r="A126" s="11">
        <v>125</v>
      </c>
      <c r="B126" s="11">
        <v>25</v>
      </c>
      <c r="C126" s="11" t="s">
        <v>839</v>
      </c>
      <c r="D126" s="11" t="s">
        <v>840</v>
      </c>
      <c r="E126" s="11" t="s">
        <v>715</v>
      </c>
      <c r="F126" s="11">
        <v>2025</v>
      </c>
      <c r="G126" s="20">
        <f t="shared" si="7"/>
        <v>1</v>
      </c>
      <c r="H126" s="21">
        <v>0</v>
      </c>
      <c r="I126" s="21">
        <f>IFERROR(INDEX('Coding Sheet'!$AC$2:$AC$731,MATCH($B126&amp;"_"&amp;$F126,'Coding Sheet'!$A$2:$A$731,0)),"")</f>
        <v>0</v>
      </c>
      <c r="J126" s="7">
        <f>IFERROR(INDEX('Coding Sheet'!$AT$2:$AT$731,MATCH($B126&amp;"_"&amp;$F126,'Coding Sheet'!$A$2:$A$731,0)),"")</f>
        <v>0</v>
      </c>
      <c r="K126" s="12">
        <v>2949000000</v>
      </c>
      <c r="L126" s="21">
        <v>6.8498000000000001</v>
      </c>
      <c r="M126" s="20">
        <f t="shared" si="8"/>
        <v>20200060.199999999</v>
      </c>
      <c r="N126" s="12">
        <v>89980000</v>
      </c>
      <c r="O126" s="12">
        <v>135550000</v>
      </c>
      <c r="P126" s="12">
        <v>2940000</v>
      </c>
      <c r="Q126" s="20">
        <f t="shared" si="9"/>
        <v>0.81283703578015498</v>
      </c>
      <c r="R126" s="20">
        <f t="shared" si="10"/>
        <v>18.724851133908949</v>
      </c>
      <c r="S126" s="20">
        <f t="shared" si="11"/>
        <v>0.66381409074142383</v>
      </c>
      <c r="T126" s="20">
        <f t="shared" si="12"/>
        <v>2.1689413500553301E-2</v>
      </c>
      <c r="U126" s="20">
        <f>IFERROR(IF(ISNUMBER(INDEX('Firm Master'!$E$2:$E$1000,MATCH($C126,'Firm Master'!$B$2:$B$1000,0))),INDEX('Firm Master'!$E$2:$E$1000,MATCH($C126,'Firm Master'!$B$2:$B$1000,0)),""),"")</f>
        <v>1990</v>
      </c>
      <c r="V126" s="21">
        <f t="shared" si="13"/>
        <v>35</v>
      </c>
      <c r="W126" s="12">
        <v>1</v>
      </c>
      <c r="X126" s="20" t="str">
        <f>IFERROR(INDEX('Firm Master'!$G$2:$G$1000,MATCH($C126,'Firm Master'!$B$2:$B$1000,0)),"")</f>
        <v>Ernst &amp; Young</v>
      </c>
    </row>
    <row r="127" spans="1:24" ht="42.75" customHeight="1" x14ac:dyDescent="0.3">
      <c r="A127" s="16">
        <v>126</v>
      </c>
      <c r="B127" s="16">
        <v>26</v>
      </c>
      <c r="C127" s="16" t="s">
        <v>843</v>
      </c>
      <c r="D127" s="16" t="s">
        <v>844</v>
      </c>
      <c r="E127" s="16" t="s">
        <v>709</v>
      </c>
      <c r="F127" s="16">
        <v>2021</v>
      </c>
      <c r="G127" s="16">
        <f t="shared" si="7"/>
        <v>0</v>
      </c>
      <c r="H127" s="16">
        <v>0</v>
      </c>
      <c r="I127" s="16" t="str">
        <f>IFERROR(INDEX('Coding Sheet'!$AC$2:$AC$731,MATCH($B127&amp;"_"&amp;$F127,'Coding Sheet'!$A$2:$A$731,0)),"")</f>
        <v/>
      </c>
      <c r="J127" s="22" t="str">
        <f>IFERROR(INDEX('Coding Sheet'!$AT$2:$AT$731,MATCH($B127&amp;"_"&amp;$F127,'Coding Sheet'!$A$2:$A$731,0)),"")</f>
        <v/>
      </c>
      <c r="K127" s="16"/>
      <c r="L127" s="16"/>
      <c r="M127" s="16" t="str">
        <f t="shared" si="8"/>
        <v/>
      </c>
      <c r="N127" s="16"/>
      <c r="O127" s="16"/>
      <c r="P127" s="16"/>
      <c r="Q127" s="16" t="str">
        <f t="shared" si="9"/>
        <v/>
      </c>
      <c r="R127" s="16" t="str">
        <f t="shared" si="10"/>
        <v/>
      </c>
      <c r="S127" s="16" t="str">
        <f t="shared" si="11"/>
        <v/>
      </c>
      <c r="T127" s="16" t="str">
        <f t="shared" si="12"/>
        <v/>
      </c>
      <c r="U127" s="16" t="str">
        <f>IFERROR(IF(ISNUMBER(INDEX('Firm Master'!$E$2:$E$1000,MATCH($C127,'Firm Master'!$B$2:$B$1000,0))),INDEX('Firm Master'!$E$2:$E$1000,MATCH($C127,'Firm Master'!$B$2:$B$1000,0)),""),"")</f>
        <v/>
      </c>
      <c r="V127" s="16" t="str">
        <f t="shared" si="13"/>
        <v/>
      </c>
      <c r="W127" s="16"/>
      <c r="X127" s="16" t="str">
        <f>IFERROR(INDEX('Firm Master'!$G$2:$G$1000,MATCH($C127,'Firm Master'!$B$2:$B$1000,0)),"")</f>
        <v>N/A - excluded, SEC Interim Management Team in place</v>
      </c>
    </row>
    <row r="128" spans="1:24" ht="41.25" customHeight="1" x14ac:dyDescent="0.3">
      <c r="A128" s="16">
        <v>127</v>
      </c>
      <c r="B128" s="16">
        <v>26</v>
      </c>
      <c r="C128" s="16" t="s">
        <v>843</v>
      </c>
      <c r="D128" s="16" t="s">
        <v>844</v>
      </c>
      <c r="E128" s="16" t="s">
        <v>709</v>
      </c>
      <c r="F128" s="16">
        <v>2022</v>
      </c>
      <c r="G128" s="16">
        <f t="shared" si="7"/>
        <v>0</v>
      </c>
      <c r="H128" s="16">
        <v>0</v>
      </c>
      <c r="I128" s="16" t="str">
        <f>IFERROR(INDEX('Coding Sheet'!$AC$2:$AC$731,MATCH($B128&amp;"_"&amp;$F128,'Coding Sheet'!$A$2:$A$731,0)),"")</f>
        <v/>
      </c>
      <c r="J128" s="22" t="str">
        <f>IFERROR(INDEX('Coding Sheet'!$AT$2:$AT$731,MATCH($B128&amp;"_"&amp;$F128,'Coding Sheet'!$A$2:$A$731,0)),"")</f>
        <v/>
      </c>
      <c r="K128" s="16"/>
      <c r="L128" s="16"/>
      <c r="M128" s="16" t="str">
        <f t="shared" si="8"/>
        <v/>
      </c>
      <c r="N128" s="16"/>
      <c r="O128" s="16"/>
      <c r="P128" s="16"/>
      <c r="Q128" s="16" t="str">
        <f t="shared" si="9"/>
        <v/>
      </c>
      <c r="R128" s="16" t="str">
        <f t="shared" si="10"/>
        <v/>
      </c>
      <c r="S128" s="16" t="str">
        <f t="shared" si="11"/>
        <v/>
      </c>
      <c r="T128" s="16" t="str">
        <f t="shared" si="12"/>
        <v/>
      </c>
      <c r="U128" s="16" t="str">
        <f>IFERROR(IF(ISNUMBER(INDEX('Firm Master'!$E$2:$E$1000,MATCH($C128,'Firm Master'!$B$2:$B$1000,0))),INDEX('Firm Master'!$E$2:$E$1000,MATCH($C128,'Firm Master'!$B$2:$B$1000,0)),""),"")</f>
        <v/>
      </c>
      <c r="V128" s="16" t="str">
        <f t="shared" si="13"/>
        <v/>
      </c>
      <c r="W128" s="16"/>
      <c r="X128" s="16" t="str">
        <f>IFERROR(INDEX('Firm Master'!$G$2:$G$1000,MATCH($C128,'Firm Master'!$B$2:$B$1000,0)),"")</f>
        <v>N/A - excluded, SEC Interim Management Team in place</v>
      </c>
    </row>
    <row r="129" spans="1:24" ht="41.25" customHeight="1" x14ac:dyDescent="0.3">
      <c r="A129" s="16">
        <v>128</v>
      </c>
      <c r="B129" s="16">
        <v>26</v>
      </c>
      <c r="C129" s="16" t="s">
        <v>843</v>
      </c>
      <c r="D129" s="16" t="s">
        <v>844</v>
      </c>
      <c r="E129" s="16" t="s">
        <v>709</v>
      </c>
      <c r="F129" s="16">
        <v>2023</v>
      </c>
      <c r="G129" s="16">
        <f t="shared" si="7"/>
        <v>1</v>
      </c>
      <c r="H129" s="16">
        <v>0</v>
      </c>
      <c r="I129" s="16" t="str">
        <f>IFERROR(INDEX('Coding Sheet'!$AC$2:$AC$731,MATCH($B129&amp;"_"&amp;$F129,'Coding Sheet'!$A$2:$A$731,0)),"")</f>
        <v/>
      </c>
      <c r="J129" s="22" t="str">
        <f>IFERROR(INDEX('Coding Sheet'!$AT$2:$AT$731,MATCH($B129&amp;"_"&amp;$F129,'Coding Sheet'!$A$2:$A$731,0)),"")</f>
        <v/>
      </c>
      <c r="K129" s="16"/>
      <c r="L129" s="16"/>
      <c r="M129" s="16" t="str">
        <f t="shared" si="8"/>
        <v/>
      </c>
      <c r="N129" s="16"/>
      <c r="O129" s="16"/>
      <c r="P129" s="16"/>
      <c r="Q129" s="16" t="str">
        <f t="shared" si="9"/>
        <v/>
      </c>
      <c r="R129" s="16" t="str">
        <f t="shared" si="10"/>
        <v/>
      </c>
      <c r="S129" s="16" t="str">
        <f t="shared" si="11"/>
        <v/>
      </c>
      <c r="T129" s="16" t="str">
        <f t="shared" si="12"/>
        <v/>
      </c>
      <c r="U129" s="16" t="str">
        <f>IFERROR(IF(ISNUMBER(INDEX('Firm Master'!$E$2:$E$1000,MATCH($C129,'Firm Master'!$B$2:$B$1000,0))),INDEX('Firm Master'!$E$2:$E$1000,MATCH($C129,'Firm Master'!$B$2:$B$1000,0)),""),"")</f>
        <v/>
      </c>
      <c r="V129" s="16" t="str">
        <f t="shared" si="13"/>
        <v/>
      </c>
      <c r="W129" s="16"/>
      <c r="X129" s="16" t="str">
        <f>IFERROR(INDEX('Firm Master'!$G$2:$G$1000,MATCH($C129,'Firm Master'!$B$2:$B$1000,0)),"")</f>
        <v>N/A - excluded, SEC Interim Management Team in place</v>
      </c>
    </row>
    <row r="130" spans="1:24" ht="41.25" customHeight="1" x14ac:dyDescent="0.3">
      <c r="A130" s="16">
        <v>129</v>
      </c>
      <c r="B130" s="16">
        <v>26</v>
      </c>
      <c r="C130" s="16" t="s">
        <v>843</v>
      </c>
      <c r="D130" s="16" t="s">
        <v>844</v>
      </c>
      <c r="E130" s="16" t="s">
        <v>709</v>
      </c>
      <c r="F130" s="16">
        <v>2024</v>
      </c>
      <c r="G130" s="16">
        <f t="shared" ref="G130:G193" si="14">IF(F130&gt;=2023,1,0)</f>
        <v>1</v>
      </c>
      <c r="H130" s="16">
        <v>0</v>
      </c>
      <c r="I130" s="16" t="str">
        <f>IFERROR(INDEX('Coding Sheet'!$AC$2:$AC$731,MATCH($B130&amp;"_"&amp;$F130,'Coding Sheet'!$A$2:$A$731,0)),"")</f>
        <v/>
      </c>
      <c r="J130" s="22" t="str">
        <f>IFERROR(INDEX('Coding Sheet'!$AT$2:$AT$731,MATCH($B130&amp;"_"&amp;$F130,'Coding Sheet'!$A$2:$A$731,0)),"")</f>
        <v/>
      </c>
      <c r="K130" s="16"/>
      <c r="L130" s="16"/>
      <c r="M130" s="16" t="str">
        <f t="shared" ref="M130:M193" si="15">IF(AND(ISNUMBER(K130),ISNUMBER(L130)),K130*L130/1000,"")</f>
        <v/>
      </c>
      <c r="N130" s="16"/>
      <c r="O130" s="16"/>
      <c r="P130" s="16"/>
      <c r="Q130" s="16" t="str">
        <f t="shared" ref="Q130:Q193" si="16">IF(AND(ISNUMBER(M130),ISNUMBER(N130),ISNUMBER(O130),O130&lt;&gt;0),(M130+N130)/O130,"")</f>
        <v/>
      </c>
      <c r="R130" s="16" t="str">
        <f t="shared" ref="R130:R193" si="17">IF(AND(ISNUMBER(O130),O130&gt;0),LN(O130),"")</f>
        <v/>
      </c>
      <c r="S130" s="16" t="str">
        <f t="shared" ref="S130:S193" si="18">IF(AND(ISNUMBER(N130),ISNUMBER(O130),O130&lt;&gt;0),N130/O130,"")</f>
        <v/>
      </c>
      <c r="T130" s="16" t="str">
        <f t="shared" ref="T130:T193" si="19">IF(AND(ISNUMBER(P130),ISNUMBER(O130),O130&lt;&gt;0),P130/O130,"")</f>
        <v/>
      </c>
      <c r="U130" s="16" t="str">
        <f>IFERROR(IF(ISNUMBER(INDEX('Firm Master'!$E$2:$E$1000,MATCH($C130,'Firm Master'!$B$2:$B$1000,0))),INDEX('Firm Master'!$E$2:$E$1000,MATCH($C130,'Firm Master'!$B$2:$B$1000,0)),""),"")</f>
        <v/>
      </c>
      <c r="V130" s="16" t="str">
        <f t="shared" ref="V130:V193" si="20">IF(ISNUMBER(U130),F130-U130,"")</f>
        <v/>
      </c>
      <c r="W130" s="16"/>
      <c r="X130" s="16" t="str">
        <f>IFERROR(INDEX('Firm Master'!$G$2:$G$1000,MATCH($C130,'Firm Master'!$B$2:$B$1000,0)),"")</f>
        <v>N/A - excluded, SEC Interim Management Team in place</v>
      </c>
    </row>
    <row r="131" spans="1:24" ht="41.25" customHeight="1" x14ac:dyDescent="0.3">
      <c r="A131" s="16">
        <v>130</v>
      </c>
      <c r="B131" s="16">
        <v>26</v>
      </c>
      <c r="C131" s="16" t="s">
        <v>843</v>
      </c>
      <c r="D131" s="16" t="s">
        <v>844</v>
      </c>
      <c r="E131" s="16" t="s">
        <v>709</v>
      </c>
      <c r="F131" s="16">
        <v>2025</v>
      </c>
      <c r="G131" s="16">
        <f t="shared" si="14"/>
        <v>1</v>
      </c>
      <c r="H131" s="16">
        <v>0</v>
      </c>
      <c r="I131" s="16" t="str">
        <f>IFERROR(INDEX('Coding Sheet'!$AC$2:$AC$731,MATCH($B131&amp;"_"&amp;$F131,'Coding Sheet'!$A$2:$A$731,0)),"")</f>
        <v/>
      </c>
      <c r="J131" s="22" t="str">
        <f>IFERROR(INDEX('Coding Sheet'!$AT$2:$AT$731,MATCH($B131&amp;"_"&amp;$F131,'Coding Sheet'!$A$2:$A$731,0)),"")</f>
        <v/>
      </c>
      <c r="K131" s="16"/>
      <c r="L131" s="16"/>
      <c r="M131" s="16" t="str">
        <f t="shared" si="15"/>
        <v/>
      </c>
      <c r="N131" s="16"/>
      <c r="O131" s="16"/>
      <c r="P131" s="16"/>
      <c r="Q131" s="16" t="str">
        <f t="shared" si="16"/>
        <v/>
      </c>
      <c r="R131" s="16" t="str">
        <f t="shared" si="17"/>
        <v/>
      </c>
      <c r="S131" s="16" t="str">
        <f t="shared" si="18"/>
        <v/>
      </c>
      <c r="T131" s="16" t="str">
        <f t="shared" si="19"/>
        <v/>
      </c>
      <c r="U131" s="16" t="str">
        <f>IFERROR(IF(ISNUMBER(INDEX('Firm Master'!$E$2:$E$1000,MATCH($C131,'Firm Master'!$B$2:$B$1000,0))),INDEX('Firm Master'!$E$2:$E$1000,MATCH($C131,'Firm Master'!$B$2:$B$1000,0)),""),"")</f>
        <v/>
      </c>
      <c r="V131" s="16" t="str">
        <f t="shared" si="20"/>
        <v/>
      </c>
      <c r="W131" s="16"/>
      <c r="X131" s="16" t="str">
        <f>IFERROR(INDEX('Firm Master'!$G$2:$G$1000,MATCH($C131,'Firm Master'!$B$2:$B$1000,0)),"")</f>
        <v>N/A - excluded, SEC Interim Management Team in place</v>
      </c>
    </row>
    <row r="132" spans="1:24" ht="23.25" customHeight="1" x14ac:dyDescent="0.3">
      <c r="A132" s="16">
        <v>131</v>
      </c>
      <c r="B132" s="16">
        <v>27</v>
      </c>
      <c r="C132" s="16" t="s">
        <v>850</v>
      </c>
      <c r="D132" s="16" t="s">
        <v>851</v>
      </c>
      <c r="E132" s="16" t="s">
        <v>772</v>
      </c>
      <c r="F132" s="16">
        <v>2021</v>
      </c>
      <c r="G132" s="16">
        <f t="shared" si="14"/>
        <v>0</v>
      </c>
      <c r="H132" s="16">
        <v>0</v>
      </c>
      <c r="I132" s="16" t="str">
        <f>IFERROR(INDEX('Coding Sheet'!$AC$2:$AC$731,MATCH($B132&amp;"_"&amp;$F132,'Coding Sheet'!$A$2:$A$731,0)),"")</f>
        <v/>
      </c>
      <c r="J132" s="22" t="str">
        <f>IFERROR(INDEX('Coding Sheet'!$AT$2:$AT$731,MATCH($B132&amp;"_"&amp;$F132,'Coding Sheet'!$A$2:$A$731,0)),"")</f>
        <v/>
      </c>
      <c r="K132" s="16"/>
      <c r="L132" s="16"/>
      <c r="M132" s="16" t="str">
        <f t="shared" si="15"/>
        <v/>
      </c>
      <c r="N132" s="16"/>
      <c r="O132" s="16"/>
      <c r="P132" s="16"/>
      <c r="Q132" s="16" t="str">
        <f t="shared" si="16"/>
        <v/>
      </c>
      <c r="R132" s="16" t="str">
        <f t="shared" si="17"/>
        <v/>
      </c>
      <c r="S132" s="16" t="str">
        <f t="shared" si="18"/>
        <v/>
      </c>
      <c r="T132" s="16" t="str">
        <f t="shared" si="19"/>
        <v/>
      </c>
      <c r="U132" s="16" t="str">
        <f>IFERROR(IF(ISNUMBER(INDEX('Firm Master'!$E$2:$E$1000,MATCH($C132,'Firm Master'!$B$2:$B$1000,0))),INDEX('Firm Master'!$E$2:$E$1000,MATCH($C132,'Firm Master'!$B$2:$B$1000,0)),""),"")</f>
        <v/>
      </c>
      <c r="V132" s="16" t="str">
        <f t="shared" si="20"/>
        <v/>
      </c>
      <c r="W132" s="16"/>
      <c r="X132" s="16" t="str">
        <f>IFERROR(INDEX('Firm Master'!$G$2:$G$1000,MATCH($C132,'Firm Master'!$B$2:$B$1000,0)),"")</f>
        <v>N/A - not an operating company</v>
      </c>
    </row>
    <row r="133" spans="1:24" ht="23.25" customHeight="1" x14ac:dyDescent="0.3">
      <c r="A133" s="16">
        <v>132</v>
      </c>
      <c r="B133" s="16">
        <v>27</v>
      </c>
      <c r="C133" s="16" t="s">
        <v>850</v>
      </c>
      <c r="D133" s="16" t="s">
        <v>851</v>
      </c>
      <c r="E133" s="16" t="s">
        <v>772</v>
      </c>
      <c r="F133" s="16">
        <v>2022</v>
      </c>
      <c r="G133" s="16">
        <f t="shared" si="14"/>
        <v>0</v>
      </c>
      <c r="H133" s="16">
        <v>0</v>
      </c>
      <c r="I133" s="16" t="str">
        <f>IFERROR(INDEX('Coding Sheet'!$AC$2:$AC$731,MATCH($B133&amp;"_"&amp;$F133,'Coding Sheet'!$A$2:$A$731,0)),"")</f>
        <v/>
      </c>
      <c r="J133" s="22" t="str">
        <f>IFERROR(INDEX('Coding Sheet'!$AT$2:$AT$731,MATCH($B133&amp;"_"&amp;$F133,'Coding Sheet'!$A$2:$A$731,0)),"")</f>
        <v/>
      </c>
      <c r="K133" s="16"/>
      <c r="L133" s="16"/>
      <c r="M133" s="16" t="str">
        <f t="shared" si="15"/>
        <v/>
      </c>
      <c r="N133" s="16"/>
      <c r="O133" s="16"/>
      <c r="P133" s="16"/>
      <c r="Q133" s="16" t="str">
        <f t="shared" si="16"/>
        <v/>
      </c>
      <c r="R133" s="16" t="str">
        <f t="shared" si="17"/>
        <v/>
      </c>
      <c r="S133" s="16" t="str">
        <f t="shared" si="18"/>
        <v/>
      </c>
      <c r="T133" s="16" t="str">
        <f t="shared" si="19"/>
        <v/>
      </c>
      <c r="U133" s="16" t="str">
        <f>IFERROR(IF(ISNUMBER(INDEX('Firm Master'!$E$2:$E$1000,MATCH($C133,'Firm Master'!$B$2:$B$1000,0))),INDEX('Firm Master'!$E$2:$E$1000,MATCH($C133,'Firm Master'!$B$2:$B$1000,0)),""),"")</f>
        <v/>
      </c>
      <c r="V133" s="16" t="str">
        <f t="shared" si="20"/>
        <v/>
      </c>
      <c r="W133" s="16"/>
      <c r="X133" s="16" t="str">
        <f>IFERROR(INDEX('Firm Master'!$G$2:$G$1000,MATCH($C133,'Firm Master'!$B$2:$B$1000,0)),"")</f>
        <v>N/A - not an operating company</v>
      </c>
    </row>
    <row r="134" spans="1:24" ht="23.25" customHeight="1" x14ac:dyDescent="0.3">
      <c r="A134" s="16">
        <v>133</v>
      </c>
      <c r="B134" s="16">
        <v>27</v>
      </c>
      <c r="C134" s="16" t="s">
        <v>850</v>
      </c>
      <c r="D134" s="16" t="s">
        <v>851</v>
      </c>
      <c r="E134" s="16" t="s">
        <v>772</v>
      </c>
      <c r="F134" s="16">
        <v>2023</v>
      </c>
      <c r="G134" s="16">
        <f t="shared" si="14"/>
        <v>1</v>
      </c>
      <c r="H134" s="16">
        <v>0</v>
      </c>
      <c r="I134" s="16" t="str">
        <f>IFERROR(INDEX('Coding Sheet'!$AC$2:$AC$731,MATCH($B134&amp;"_"&amp;$F134,'Coding Sheet'!$A$2:$A$731,0)),"")</f>
        <v/>
      </c>
      <c r="J134" s="22" t="str">
        <f>IFERROR(INDEX('Coding Sheet'!$AT$2:$AT$731,MATCH($B134&amp;"_"&amp;$F134,'Coding Sheet'!$A$2:$A$731,0)),"")</f>
        <v/>
      </c>
      <c r="K134" s="16"/>
      <c r="L134" s="16"/>
      <c r="M134" s="16" t="str">
        <f t="shared" si="15"/>
        <v/>
      </c>
      <c r="N134" s="16"/>
      <c r="O134" s="16"/>
      <c r="P134" s="16"/>
      <c r="Q134" s="16" t="str">
        <f t="shared" si="16"/>
        <v/>
      </c>
      <c r="R134" s="16" t="str">
        <f t="shared" si="17"/>
        <v/>
      </c>
      <c r="S134" s="16" t="str">
        <f t="shared" si="18"/>
        <v/>
      </c>
      <c r="T134" s="16" t="str">
        <f t="shared" si="19"/>
        <v/>
      </c>
      <c r="U134" s="16" t="str">
        <f>IFERROR(IF(ISNUMBER(INDEX('Firm Master'!$E$2:$E$1000,MATCH($C134,'Firm Master'!$B$2:$B$1000,0))),INDEX('Firm Master'!$E$2:$E$1000,MATCH($C134,'Firm Master'!$B$2:$B$1000,0)),""),"")</f>
        <v/>
      </c>
      <c r="V134" s="16" t="str">
        <f t="shared" si="20"/>
        <v/>
      </c>
      <c r="W134" s="16"/>
      <c r="X134" s="16" t="str">
        <f>IFERROR(INDEX('Firm Master'!$G$2:$G$1000,MATCH($C134,'Firm Master'!$B$2:$B$1000,0)),"")</f>
        <v>N/A - not an operating company</v>
      </c>
    </row>
    <row r="135" spans="1:24" ht="23.25" customHeight="1" x14ac:dyDescent="0.3">
      <c r="A135" s="16">
        <v>134</v>
      </c>
      <c r="B135" s="16">
        <v>27</v>
      </c>
      <c r="C135" s="16" t="s">
        <v>850</v>
      </c>
      <c r="D135" s="16" t="s">
        <v>851</v>
      </c>
      <c r="E135" s="16" t="s">
        <v>772</v>
      </c>
      <c r="F135" s="16">
        <v>2024</v>
      </c>
      <c r="G135" s="16">
        <f t="shared" si="14"/>
        <v>1</v>
      </c>
      <c r="H135" s="16">
        <v>0</v>
      </c>
      <c r="I135" s="16" t="str">
        <f>IFERROR(INDEX('Coding Sheet'!$AC$2:$AC$731,MATCH($B135&amp;"_"&amp;$F135,'Coding Sheet'!$A$2:$A$731,0)),"")</f>
        <v/>
      </c>
      <c r="J135" s="22" t="str">
        <f>IFERROR(INDEX('Coding Sheet'!$AT$2:$AT$731,MATCH($B135&amp;"_"&amp;$F135,'Coding Sheet'!$A$2:$A$731,0)),"")</f>
        <v/>
      </c>
      <c r="K135" s="16"/>
      <c r="L135" s="16"/>
      <c r="M135" s="16" t="str">
        <f t="shared" si="15"/>
        <v/>
      </c>
      <c r="N135" s="16"/>
      <c r="O135" s="16"/>
      <c r="P135" s="16"/>
      <c r="Q135" s="16" t="str">
        <f t="shared" si="16"/>
        <v/>
      </c>
      <c r="R135" s="16" t="str">
        <f t="shared" si="17"/>
        <v/>
      </c>
      <c r="S135" s="16" t="str">
        <f t="shared" si="18"/>
        <v/>
      </c>
      <c r="T135" s="16" t="str">
        <f t="shared" si="19"/>
        <v/>
      </c>
      <c r="U135" s="16" t="str">
        <f>IFERROR(IF(ISNUMBER(INDEX('Firm Master'!$E$2:$E$1000,MATCH($C135,'Firm Master'!$B$2:$B$1000,0))),INDEX('Firm Master'!$E$2:$E$1000,MATCH($C135,'Firm Master'!$B$2:$B$1000,0)),""),"")</f>
        <v/>
      </c>
      <c r="V135" s="16" t="str">
        <f t="shared" si="20"/>
        <v/>
      </c>
      <c r="W135" s="16"/>
      <c r="X135" s="16" t="str">
        <f>IFERROR(INDEX('Firm Master'!$G$2:$G$1000,MATCH($C135,'Firm Master'!$B$2:$B$1000,0)),"")</f>
        <v>N/A - not an operating company</v>
      </c>
    </row>
    <row r="136" spans="1:24" ht="23.25" customHeight="1" x14ac:dyDescent="0.3">
      <c r="A136" s="16">
        <v>135</v>
      </c>
      <c r="B136" s="16">
        <v>27</v>
      </c>
      <c r="C136" s="16" t="s">
        <v>850</v>
      </c>
      <c r="D136" s="16" t="s">
        <v>851</v>
      </c>
      <c r="E136" s="16" t="s">
        <v>772</v>
      </c>
      <c r="F136" s="16">
        <v>2025</v>
      </c>
      <c r="G136" s="16">
        <f t="shared" si="14"/>
        <v>1</v>
      </c>
      <c r="H136" s="16">
        <v>0</v>
      </c>
      <c r="I136" s="16">
        <f>IFERROR(INDEX('Coding Sheet'!$AC$2:$AC$731,MATCH($B136&amp;"_"&amp;$F136,'Coding Sheet'!$A$2:$A$731,0)),"")</f>
        <v>20</v>
      </c>
      <c r="J136" s="22">
        <f>IFERROR(INDEX('Coding Sheet'!$AT$2:$AT$731,MATCH($B136&amp;"_"&amp;$F136,'Coding Sheet'!$A$2:$A$731,0)),"")</f>
        <v>0</v>
      </c>
      <c r="K136" s="16"/>
      <c r="L136" s="16"/>
      <c r="M136" s="16" t="str">
        <f t="shared" si="15"/>
        <v/>
      </c>
      <c r="N136" s="16"/>
      <c r="O136" s="16"/>
      <c r="P136" s="16"/>
      <c r="Q136" s="16" t="str">
        <f t="shared" si="16"/>
        <v/>
      </c>
      <c r="R136" s="16" t="str">
        <f t="shared" si="17"/>
        <v/>
      </c>
      <c r="S136" s="16" t="str">
        <f t="shared" si="18"/>
        <v/>
      </c>
      <c r="T136" s="16" t="str">
        <f t="shared" si="19"/>
        <v/>
      </c>
      <c r="U136" s="16" t="str">
        <f>IFERROR(IF(ISNUMBER(INDEX('Firm Master'!$E$2:$E$1000,MATCH($C136,'Firm Master'!$B$2:$B$1000,0))),INDEX('Firm Master'!$E$2:$E$1000,MATCH($C136,'Firm Master'!$B$2:$B$1000,0)),""),"")</f>
        <v/>
      </c>
      <c r="V136" s="16" t="str">
        <f t="shared" si="20"/>
        <v/>
      </c>
      <c r="W136" s="16"/>
      <c r="X136" s="16" t="str">
        <f>IFERROR(INDEX('Firm Master'!$G$2:$G$1000,MATCH($C136,'Firm Master'!$B$2:$B$1000,0)),"")</f>
        <v>N/A - not an operating company</v>
      </c>
    </row>
    <row r="137" spans="1:24" ht="15" customHeight="1" x14ac:dyDescent="0.3">
      <c r="A137" s="11">
        <v>136</v>
      </c>
      <c r="B137" s="11">
        <v>28</v>
      </c>
      <c r="C137" s="11" t="s">
        <v>855</v>
      </c>
      <c r="D137" s="11" t="s">
        <v>856</v>
      </c>
      <c r="E137" s="11" t="s">
        <v>709</v>
      </c>
      <c r="F137" s="11">
        <v>2021</v>
      </c>
      <c r="G137" s="20">
        <f t="shared" si="14"/>
        <v>0</v>
      </c>
      <c r="H137" s="21">
        <v>0</v>
      </c>
      <c r="I137" s="21">
        <f>IFERROR(INDEX('Coding Sheet'!$AC$2:$AC$731,MATCH($B137&amp;"_"&amp;$F137,'Coding Sheet'!$A$2:$A$731,0)),"")</f>
        <v>15</v>
      </c>
      <c r="J137" s="7">
        <f>IFERROR(INDEX('Coding Sheet'!$AT$2:$AT$731,MATCH($B137&amp;"_"&amp;$F137,'Coding Sheet'!$A$2:$A$731,0)),"")</f>
        <v>0</v>
      </c>
      <c r="K137" s="21">
        <v>10840000000</v>
      </c>
      <c r="L137" s="21">
        <v>0.78959999999999997</v>
      </c>
      <c r="M137" s="20">
        <f t="shared" si="15"/>
        <v>8559264</v>
      </c>
      <c r="N137" s="21">
        <v>6662383</v>
      </c>
      <c r="O137" s="21">
        <v>15674166</v>
      </c>
      <c r="P137" s="21">
        <v>790638</v>
      </c>
      <c r="Q137" s="20">
        <f t="shared" si="16"/>
        <v>0.97112962820477977</v>
      </c>
      <c r="R137" s="20">
        <f t="shared" si="17"/>
        <v>16.567524437326156</v>
      </c>
      <c r="S137" s="20">
        <f t="shared" si="18"/>
        <v>0.42505502366122699</v>
      </c>
      <c r="T137" s="20">
        <f t="shared" si="19"/>
        <v>5.0442109647173571E-2</v>
      </c>
      <c r="U137" s="20">
        <f>IFERROR(IF(ISNUMBER(INDEX('Firm Master'!$E$2:$E$1000,MATCH($C137,'Firm Master'!$B$2:$B$1000,0))),INDEX('Firm Master'!$E$2:$E$1000,MATCH($C137,'Firm Master'!$B$2:$B$1000,0)),""),"")</f>
        <v>1991</v>
      </c>
      <c r="V137" s="21">
        <f t="shared" si="20"/>
        <v>30</v>
      </c>
      <c r="W137" s="21">
        <v>1</v>
      </c>
      <c r="X137" s="20" t="str">
        <f>IFERROR(INDEX('Firm Master'!$G$2:$G$1000,MATCH($C137,'Firm Master'!$B$2:$B$1000,0)),"")</f>
        <v>KPMG Professional Services</v>
      </c>
    </row>
    <row r="138" spans="1:24" ht="15" customHeight="1" x14ac:dyDescent="0.3">
      <c r="A138" s="11">
        <v>137</v>
      </c>
      <c r="B138" s="11">
        <v>28</v>
      </c>
      <c r="C138" s="11" t="s">
        <v>855</v>
      </c>
      <c r="D138" s="11" t="s">
        <v>856</v>
      </c>
      <c r="E138" s="11" t="s">
        <v>709</v>
      </c>
      <c r="F138" s="11">
        <v>2022</v>
      </c>
      <c r="G138" s="20">
        <f t="shared" si="14"/>
        <v>0</v>
      </c>
      <c r="H138" s="21">
        <v>0</v>
      </c>
      <c r="I138" s="21">
        <f>IFERROR(INDEX('Coding Sheet'!$AC$2:$AC$731,MATCH($B138&amp;"_"&amp;$F138,'Coding Sheet'!$A$2:$A$731,0)),"")</f>
        <v>15</v>
      </c>
      <c r="J138" s="7">
        <f>IFERROR(INDEX('Coding Sheet'!$AT$2:$AT$731,MATCH($B138&amp;"_"&amp;$F138,'Coding Sheet'!$A$2:$A$731,0)),"")</f>
        <v>0</v>
      </c>
      <c r="K138" s="21">
        <v>10840000000</v>
      </c>
      <c r="L138" s="21">
        <v>0.66969999999999996</v>
      </c>
      <c r="M138" s="20">
        <f t="shared" si="15"/>
        <v>7259548</v>
      </c>
      <c r="N138" s="21">
        <v>8726725</v>
      </c>
      <c r="O138" s="21">
        <v>18535742</v>
      </c>
      <c r="P138" s="21">
        <v>995985</v>
      </c>
      <c r="Q138" s="20">
        <f t="shared" si="16"/>
        <v>0.86245659871614522</v>
      </c>
      <c r="R138" s="20">
        <f t="shared" si="17"/>
        <v>16.735211426136885</v>
      </c>
      <c r="S138" s="20">
        <f t="shared" si="18"/>
        <v>0.47080526908499265</v>
      </c>
      <c r="T138" s="20">
        <f t="shared" si="19"/>
        <v>5.3733214456696689E-2</v>
      </c>
      <c r="U138" s="20">
        <f>IFERROR(IF(ISNUMBER(INDEX('Firm Master'!$E$2:$E$1000,MATCH($C138,'Firm Master'!$B$2:$B$1000,0))),INDEX('Firm Master'!$E$2:$E$1000,MATCH($C138,'Firm Master'!$B$2:$B$1000,0)),""),"")</f>
        <v>1991</v>
      </c>
      <c r="V138" s="21">
        <f t="shared" si="20"/>
        <v>31</v>
      </c>
      <c r="W138" s="21">
        <v>1</v>
      </c>
      <c r="X138" s="20" t="str">
        <f>IFERROR(INDEX('Firm Master'!$G$2:$G$1000,MATCH($C138,'Firm Master'!$B$2:$B$1000,0)),"")</f>
        <v>KPMG Professional Services</v>
      </c>
    </row>
    <row r="139" spans="1:24" ht="15" customHeight="1" x14ac:dyDescent="0.3">
      <c r="A139" s="11">
        <v>138</v>
      </c>
      <c r="B139" s="11">
        <v>28</v>
      </c>
      <c r="C139" s="11" t="s">
        <v>855</v>
      </c>
      <c r="D139" s="11" t="s">
        <v>856</v>
      </c>
      <c r="E139" s="11" t="s">
        <v>709</v>
      </c>
      <c r="F139" s="11">
        <v>2023</v>
      </c>
      <c r="G139" s="20">
        <f t="shared" si="14"/>
        <v>1</v>
      </c>
      <c r="H139" s="21">
        <v>0</v>
      </c>
      <c r="I139" s="21">
        <f>IFERROR(INDEX('Coding Sheet'!$AC$2:$AC$731,MATCH($B139&amp;"_"&amp;$F139,'Coding Sheet'!$A$2:$A$731,0)),"")</f>
        <v>0</v>
      </c>
      <c r="J139" s="7">
        <f>IFERROR(INDEX('Coding Sheet'!$AT$2:$AT$731,MATCH($B139&amp;"_"&amp;$F139,'Coding Sheet'!$A$2:$A$731,0)),"")</f>
        <v>0</v>
      </c>
      <c r="K139" s="21">
        <v>10840000000</v>
      </c>
      <c r="L139" s="21">
        <v>1.4696</v>
      </c>
      <c r="M139" s="20">
        <f t="shared" si="15"/>
        <v>15930464</v>
      </c>
      <c r="N139" s="21">
        <v>13300000</v>
      </c>
      <c r="O139" s="21">
        <v>26200000</v>
      </c>
      <c r="P139" s="21">
        <v>3700000</v>
      </c>
      <c r="Q139" s="20">
        <f t="shared" si="16"/>
        <v>1.1156665648854962</v>
      </c>
      <c r="R139" s="20">
        <f t="shared" si="17"/>
        <v>17.081269968731327</v>
      </c>
      <c r="S139" s="20">
        <f t="shared" si="18"/>
        <v>0.50763358778625955</v>
      </c>
      <c r="T139" s="20">
        <f t="shared" si="19"/>
        <v>0.14122137404580154</v>
      </c>
      <c r="U139" s="20">
        <f>IFERROR(IF(ISNUMBER(INDEX('Firm Master'!$E$2:$E$1000,MATCH($C139,'Firm Master'!$B$2:$B$1000,0))),INDEX('Firm Master'!$E$2:$E$1000,MATCH($C139,'Firm Master'!$B$2:$B$1000,0)),""),"")</f>
        <v>1991</v>
      </c>
      <c r="V139" s="21">
        <f t="shared" si="20"/>
        <v>32</v>
      </c>
      <c r="W139" s="21">
        <v>1</v>
      </c>
      <c r="X139" s="20" t="str">
        <f>IFERROR(INDEX('Firm Master'!$G$2:$G$1000,MATCH($C139,'Firm Master'!$B$2:$B$1000,0)),"")</f>
        <v>KPMG Professional Services</v>
      </c>
    </row>
    <row r="140" spans="1:24" ht="15" customHeight="1" x14ac:dyDescent="0.3">
      <c r="A140" s="11">
        <v>139</v>
      </c>
      <c r="B140" s="11">
        <v>28</v>
      </c>
      <c r="C140" s="11" t="s">
        <v>855</v>
      </c>
      <c r="D140" s="11" t="s">
        <v>856</v>
      </c>
      <c r="E140" s="11" t="s">
        <v>709</v>
      </c>
      <c r="F140" s="11">
        <v>2024</v>
      </c>
      <c r="G140" s="20">
        <f t="shared" si="14"/>
        <v>1</v>
      </c>
      <c r="H140" s="21">
        <v>0</v>
      </c>
      <c r="I140" s="21">
        <f>IFERROR(INDEX('Coding Sheet'!$AC$2:$AC$731,MATCH($B140&amp;"_"&amp;$F140,'Coding Sheet'!$A$2:$A$731,0)),"")</f>
        <v>0</v>
      </c>
      <c r="J140" s="7">
        <f>IFERROR(INDEX('Coding Sheet'!$AT$2:$AT$731,MATCH($B140&amp;"_"&amp;$F140,'Coding Sheet'!$A$2:$A$731,0)),"")</f>
        <v>0</v>
      </c>
      <c r="K140" s="21">
        <v>10840000000</v>
      </c>
      <c r="L140" s="21">
        <v>3.4502000000000002</v>
      </c>
      <c r="M140" s="20">
        <f t="shared" si="15"/>
        <v>37400168</v>
      </c>
      <c r="N140" s="21">
        <v>21900000</v>
      </c>
      <c r="O140" s="21">
        <v>56900000</v>
      </c>
      <c r="P140" s="21">
        <v>22630000</v>
      </c>
      <c r="Q140" s="20">
        <f t="shared" si="16"/>
        <v>1.0421822144112478</v>
      </c>
      <c r="R140" s="20">
        <f t="shared" si="17"/>
        <v>17.85680589909656</v>
      </c>
      <c r="S140" s="20">
        <f t="shared" si="18"/>
        <v>0.38488576449912126</v>
      </c>
      <c r="T140" s="20">
        <f t="shared" si="19"/>
        <v>0.39771528998242534</v>
      </c>
      <c r="U140" s="20">
        <f>IFERROR(IF(ISNUMBER(INDEX('Firm Master'!$E$2:$E$1000,MATCH($C140,'Firm Master'!$B$2:$B$1000,0))),INDEX('Firm Master'!$E$2:$E$1000,MATCH($C140,'Firm Master'!$B$2:$B$1000,0)),""),"")</f>
        <v>1991</v>
      </c>
      <c r="V140" s="21">
        <f t="shared" si="20"/>
        <v>33</v>
      </c>
      <c r="W140" s="21">
        <v>1</v>
      </c>
      <c r="X140" s="20" t="str">
        <f>IFERROR(INDEX('Firm Master'!$G$2:$G$1000,MATCH($C140,'Firm Master'!$B$2:$B$1000,0)),"")</f>
        <v>KPMG Professional Services</v>
      </c>
    </row>
    <row r="141" spans="1:24" ht="15" customHeight="1" x14ac:dyDescent="0.3">
      <c r="A141" s="11">
        <v>140</v>
      </c>
      <c r="B141" s="11">
        <v>28</v>
      </c>
      <c r="C141" s="11" t="s">
        <v>855</v>
      </c>
      <c r="D141" s="11" t="s">
        <v>856</v>
      </c>
      <c r="E141" s="11" t="s">
        <v>709</v>
      </c>
      <c r="F141" s="11">
        <v>2025</v>
      </c>
      <c r="G141" s="20">
        <f t="shared" si="14"/>
        <v>1</v>
      </c>
      <c r="H141" s="21">
        <v>0</v>
      </c>
      <c r="I141" s="21">
        <f>IFERROR(INDEX('Coding Sheet'!$AC$2:$AC$731,MATCH($B141&amp;"_"&amp;$F141,'Coding Sheet'!$A$2:$A$731,0)),"")</f>
        <v>0</v>
      </c>
      <c r="J141" s="7">
        <f>IFERROR(INDEX('Coding Sheet'!$AT$2:$AT$731,MATCH($B141&amp;"_"&amp;$F141,'Coding Sheet'!$A$2:$A$731,0)),"")</f>
        <v>0</v>
      </c>
      <c r="K141" s="21">
        <v>10840000000</v>
      </c>
      <c r="L141" s="21">
        <v>4.3404999999999996</v>
      </c>
      <c r="M141" s="20">
        <f t="shared" si="15"/>
        <v>47051019.999999993</v>
      </c>
      <c r="N141" s="21">
        <v>33782035.796999998</v>
      </c>
      <c r="O141" s="21">
        <v>75939296.063999996</v>
      </c>
      <c r="P141" s="21">
        <v>8440000</v>
      </c>
      <c r="Q141" s="20">
        <f t="shared" si="16"/>
        <v>1.0644430484169307</v>
      </c>
      <c r="R141" s="20">
        <f t="shared" si="17"/>
        <v>18.145444843091045</v>
      </c>
      <c r="S141" s="20">
        <f t="shared" si="18"/>
        <v>0.44485579335011521</v>
      </c>
      <c r="T141" s="20">
        <f t="shared" si="19"/>
        <v>0.11114140421958811</v>
      </c>
      <c r="U141" s="20">
        <f>IFERROR(IF(ISNUMBER(INDEX('Firm Master'!$E$2:$E$1000,MATCH($C141,'Firm Master'!$B$2:$B$1000,0))),INDEX('Firm Master'!$E$2:$E$1000,MATCH($C141,'Firm Master'!$B$2:$B$1000,0)),""),"")</f>
        <v>1991</v>
      </c>
      <c r="V141" s="21">
        <f t="shared" si="20"/>
        <v>34</v>
      </c>
      <c r="W141" s="21">
        <v>1</v>
      </c>
      <c r="X141" s="20" t="str">
        <f>IFERROR(INDEX('Firm Master'!$G$2:$G$1000,MATCH($C141,'Firm Master'!$B$2:$B$1000,0)),"")</f>
        <v>KPMG Professional Services</v>
      </c>
    </row>
    <row r="142" spans="1:24" ht="15" customHeight="1" x14ac:dyDescent="0.3">
      <c r="A142" s="11">
        <v>141</v>
      </c>
      <c r="B142" s="11">
        <v>29</v>
      </c>
      <c r="C142" s="11" t="s">
        <v>858</v>
      </c>
      <c r="D142" s="11" t="s">
        <v>859</v>
      </c>
      <c r="E142" s="11" t="s">
        <v>766</v>
      </c>
      <c r="F142" s="11">
        <v>2021</v>
      </c>
      <c r="G142" s="20">
        <f t="shared" si="14"/>
        <v>0</v>
      </c>
      <c r="H142" s="21">
        <v>0</v>
      </c>
      <c r="I142" s="21">
        <f>IFERROR(INDEX('Coding Sheet'!$AC$2:$AC$731,MATCH($B142&amp;"_"&amp;$F142,'Coding Sheet'!$A$2:$A$731,0)),"")</f>
        <v>5</v>
      </c>
      <c r="J142" s="7">
        <f>IFERROR(INDEX('Coding Sheet'!$AT$2:$AT$731,MATCH($B142&amp;"_"&amp;$F142,'Coding Sheet'!$A$2:$A$731,0)),"")</f>
        <v>0</v>
      </c>
      <c r="K142" s="33">
        <v>693952117</v>
      </c>
      <c r="L142" s="21">
        <v>22</v>
      </c>
      <c r="M142" s="20">
        <f t="shared" si="15"/>
        <v>15266946.573999999</v>
      </c>
      <c r="N142" s="33">
        <v>32191978</v>
      </c>
      <c r="O142" s="33">
        <v>53981346</v>
      </c>
      <c r="P142" s="33">
        <v>3082690</v>
      </c>
      <c r="Q142" s="20">
        <f t="shared" si="16"/>
        <v>0.87917267891022954</v>
      </c>
      <c r="R142" s="20">
        <f t="shared" si="17"/>
        <v>17.804149100404427</v>
      </c>
      <c r="S142" s="20">
        <f t="shared" si="18"/>
        <v>0.59635374782985218</v>
      </c>
      <c r="T142" s="20">
        <f t="shared" si="19"/>
        <v>5.7106579002309428E-2</v>
      </c>
      <c r="U142" s="20">
        <f>IFERROR(IF(ISNUMBER(INDEX('Firm Master'!$E$2:$E$1000,MATCH($C142,'Firm Master'!$B$2:$B$1000,0))),INDEX('Firm Master'!$E$2:$E$1000,MATCH($C142,'Firm Master'!$B$2:$B$1000,0)),""),"")</f>
        <v>1960</v>
      </c>
      <c r="V142" s="21">
        <f t="shared" si="20"/>
        <v>61</v>
      </c>
      <c r="W142" s="21">
        <v>0</v>
      </c>
      <c r="X142" s="20" t="str">
        <f>IFERROR(INDEX('Firm Master'!$G$2:$G$1000,MATCH($C142,'Firm Master'!$B$2:$B$1000,0)),"")</f>
        <v>Nexia Agbo Abel &amp; Co</v>
      </c>
    </row>
    <row r="143" spans="1:24" ht="15" customHeight="1" x14ac:dyDescent="0.3">
      <c r="A143" s="11">
        <v>142</v>
      </c>
      <c r="B143" s="11">
        <v>29</v>
      </c>
      <c r="C143" s="11" t="s">
        <v>858</v>
      </c>
      <c r="D143" s="11" t="s">
        <v>859</v>
      </c>
      <c r="E143" s="11" t="s">
        <v>766</v>
      </c>
      <c r="F143" s="11">
        <v>2022</v>
      </c>
      <c r="G143" s="20">
        <f t="shared" si="14"/>
        <v>0</v>
      </c>
      <c r="H143" s="21">
        <v>0</v>
      </c>
      <c r="I143" s="21">
        <f>IFERROR(INDEX('Coding Sheet'!$AC$2:$AC$731,MATCH($B143&amp;"_"&amp;$F143,'Coding Sheet'!$A$2:$A$731,0)),"")</f>
        <v>5</v>
      </c>
      <c r="J143" s="7">
        <f>IFERROR(INDEX('Coding Sheet'!$AT$2:$AT$731,MATCH($B143&amp;"_"&amp;$F143,'Coding Sheet'!$A$2:$A$731,0)),"")</f>
        <v>0</v>
      </c>
      <c r="K143" s="33">
        <v>693952117</v>
      </c>
      <c r="L143" s="21">
        <v>26.5</v>
      </c>
      <c r="M143" s="20">
        <f t="shared" si="15"/>
        <v>18389731.100499999</v>
      </c>
      <c r="N143" s="33">
        <v>33718298</v>
      </c>
      <c r="O143" s="33">
        <v>59994291</v>
      </c>
      <c r="P143" s="33">
        <v>6221505</v>
      </c>
      <c r="Q143" s="20">
        <f t="shared" si="16"/>
        <v>0.868549794187917</v>
      </c>
      <c r="R143" s="20">
        <f t="shared" si="17"/>
        <v>17.909759965659326</v>
      </c>
      <c r="S143" s="20">
        <f t="shared" si="18"/>
        <v>0.56202511002255195</v>
      </c>
      <c r="T143" s="20">
        <f t="shared" si="19"/>
        <v>0.10370161720887743</v>
      </c>
      <c r="U143" s="20">
        <f>IFERROR(IF(ISNUMBER(INDEX('Firm Master'!$E$2:$E$1000,MATCH($C143,'Firm Master'!$B$2:$B$1000,0))),INDEX('Firm Master'!$E$2:$E$1000,MATCH($C143,'Firm Master'!$B$2:$B$1000,0)),""),"")</f>
        <v>1960</v>
      </c>
      <c r="V143" s="21">
        <f t="shared" si="20"/>
        <v>62</v>
      </c>
      <c r="W143" s="21">
        <v>0</v>
      </c>
      <c r="X143" s="20" t="str">
        <f>IFERROR(INDEX('Firm Master'!$G$2:$G$1000,MATCH($C143,'Firm Master'!$B$2:$B$1000,0)),"")</f>
        <v>Nexia Agbo Abel &amp; Co</v>
      </c>
    </row>
    <row r="144" spans="1:24" ht="15" customHeight="1" x14ac:dyDescent="0.3">
      <c r="A144" s="11">
        <v>143</v>
      </c>
      <c r="B144" s="11">
        <v>29</v>
      </c>
      <c r="C144" s="11" t="s">
        <v>858</v>
      </c>
      <c r="D144" s="11" t="s">
        <v>859</v>
      </c>
      <c r="E144" s="11" t="s">
        <v>766</v>
      </c>
      <c r="F144" s="11">
        <v>2023</v>
      </c>
      <c r="G144" s="20">
        <f t="shared" si="14"/>
        <v>1</v>
      </c>
      <c r="H144" s="21">
        <v>0</v>
      </c>
      <c r="I144" s="21">
        <f>IFERROR(INDEX('Coding Sheet'!$AC$2:$AC$731,MATCH($B144&amp;"_"&amp;$F144,'Coding Sheet'!$A$2:$A$731,0)),"")</f>
        <v>5</v>
      </c>
      <c r="J144" s="7">
        <f>IFERROR(INDEX('Coding Sheet'!$AT$2:$AT$731,MATCH($B144&amp;"_"&amp;$F144,'Coding Sheet'!$A$2:$A$731,0)),"")</f>
        <v>0</v>
      </c>
      <c r="K144" s="33">
        <v>693952117</v>
      </c>
      <c r="L144" s="21">
        <v>83.9</v>
      </c>
      <c r="M144" s="20">
        <f t="shared" si="15"/>
        <v>58222582.616300002</v>
      </c>
      <c r="N144" s="33">
        <v>64332404</v>
      </c>
      <c r="O144" s="33">
        <v>97477977</v>
      </c>
      <c r="P144" s="33">
        <v>9868239</v>
      </c>
      <c r="Q144" s="20">
        <f t="shared" si="16"/>
        <v>1.2572582073210239</v>
      </c>
      <c r="R144" s="20">
        <f t="shared" si="17"/>
        <v>18.395137033530965</v>
      </c>
      <c r="S144" s="20">
        <f t="shared" si="18"/>
        <v>0.6599685998817969</v>
      </c>
      <c r="T144" s="20">
        <f t="shared" si="19"/>
        <v>0.10123557447237544</v>
      </c>
      <c r="U144" s="20">
        <f>IFERROR(IF(ISNUMBER(INDEX('Firm Master'!$E$2:$E$1000,MATCH($C144,'Firm Master'!$B$2:$B$1000,0))),INDEX('Firm Master'!$E$2:$E$1000,MATCH($C144,'Firm Master'!$B$2:$B$1000,0)),""),"")</f>
        <v>1960</v>
      </c>
      <c r="V144" s="21">
        <f t="shared" si="20"/>
        <v>63</v>
      </c>
      <c r="W144" s="21">
        <v>0</v>
      </c>
      <c r="X144" s="20" t="str">
        <f>IFERROR(INDEX('Firm Master'!$G$2:$G$1000,MATCH($C144,'Firm Master'!$B$2:$B$1000,0)),"")</f>
        <v>Nexia Agbo Abel &amp; Co</v>
      </c>
    </row>
    <row r="145" spans="1:24" ht="15" customHeight="1" x14ac:dyDescent="0.3">
      <c r="A145" s="11">
        <v>144</v>
      </c>
      <c r="B145" s="11">
        <v>29</v>
      </c>
      <c r="C145" s="11" t="s">
        <v>858</v>
      </c>
      <c r="D145" s="11" t="s">
        <v>859</v>
      </c>
      <c r="E145" s="11" t="s">
        <v>766</v>
      </c>
      <c r="F145" s="11">
        <v>2024</v>
      </c>
      <c r="G145" s="20">
        <f t="shared" si="14"/>
        <v>1</v>
      </c>
      <c r="H145" s="21">
        <v>0</v>
      </c>
      <c r="I145" s="21">
        <f>IFERROR(INDEX('Coding Sheet'!$AC$2:$AC$731,MATCH($B145&amp;"_"&amp;$F145,'Coding Sheet'!$A$2:$A$731,0)),"")</f>
        <v>5</v>
      </c>
      <c r="J145" s="7">
        <f>IFERROR(INDEX('Coding Sheet'!$AT$2:$AT$731,MATCH($B145&amp;"_"&amp;$F145,'Coding Sheet'!$A$2:$A$731,0)),"")</f>
        <v>0</v>
      </c>
      <c r="K145" s="33">
        <v>693952117</v>
      </c>
      <c r="L145" s="21">
        <v>387.2</v>
      </c>
      <c r="M145" s="20">
        <f t="shared" si="15"/>
        <v>268698259.70239997</v>
      </c>
      <c r="N145" s="33">
        <v>75460000</v>
      </c>
      <c r="O145" s="33">
        <v>114950000</v>
      </c>
      <c r="P145" s="33">
        <v>8780000</v>
      </c>
      <c r="Q145" s="20">
        <f t="shared" si="16"/>
        <v>2.993982250564593</v>
      </c>
      <c r="R145" s="20">
        <f t="shared" si="17"/>
        <v>18.560007809173463</v>
      </c>
      <c r="S145" s="20">
        <f t="shared" si="18"/>
        <v>0.65645933014354063</v>
      </c>
      <c r="T145" s="20">
        <f t="shared" si="19"/>
        <v>7.6381035232709879E-2</v>
      </c>
      <c r="U145" s="20">
        <f>IFERROR(IF(ISNUMBER(INDEX('Firm Master'!$E$2:$E$1000,MATCH($C145,'Firm Master'!$B$2:$B$1000,0))),INDEX('Firm Master'!$E$2:$E$1000,MATCH($C145,'Firm Master'!$B$2:$B$1000,0)),""),"")</f>
        <v>1960</v>
      </c>
      <c r="V145" s="21">
        <f t="shared" si="20"/>
        <v>64</v>
      </c>
      <c r="W145" s="21">
        <v>0</v>
      </c>
      <c r="X145" s="20" t="str">
        <f>IFERROR(INDEX('Firm Master'!$G$2:$G$1000,MATCH($C145,'Firm Master'!$B$2:$B$1000,0)),"")</f>
        <v>Nexia Agbo Abel &amp; Co</v>
      </c>
    </row>
    <row r="146" spans="1:24" ht="15" customHeight="1" x14ac:dyDescent="0.3">
      <c r="A146" s="11">
        <v>145</v>
      </c>
      <c r="B146" s="11">
        <v>29</v>
      </c>
      <c r="C146" s="11" t="s">
        <v>858</v>
      </c>
      <c r="D146" s="11" t="s">
        <v>859</v>
      </c>
      <c r="E146" s="11" t="s">
        <v>766</v>
      </c>
      <c r="F146" s="11">
        <v>2025</v>
      </c>
      <c r="G146" s="20">
        <f t="shared" si="14"/>
        <v>1</v>
      </c>
      <c r="H146" s="21">
        <v>0</v>
      </c>
      <c r="I146" s="21">
        <f>IFERROR(INDEX('Coding Sheet'!$AC$2:$AC$731,MATCH($B146&amp;"_"&amp;$F146,'Coding Sheet'!$A$2:$A$731,0)),"")</f>
        <v>5</v>
      </c>
      <c r="J146" s="7">
        <f>IFERROR(INDEX('Coding Sheet'!$AT$2:$AT$731,MATCH($B146&amp;"_"&amp;$F146,'Coding Sheet'!$A$2:$A$731,0)),"")</f>
        <v>0</v>
      </c>
      <c r="K146" s="33">
        <v>693952117</v>
      </c>
      <c r="L146" s="21">
        <v>187.2</v>
      </c>
      <c r="M146" s="20">
        <f t="shared" si="15"/>
        <v>129907836.30239999</v>
      </c>
      <c r="N146" s="33">
        <v>100130000</v>
      </c>
      <c r="O146" s="33">
        <v>139370000</v>
      </c>
      <c r="P146" s="33">
        <v>2010000</v>
      </c>
      <c r="Q146" s="20">
        <f t="shared" si="16"/>
        <v>1.6505548992064289</v>
      </c>
      <c r="R146" s="20">
        <f t="shared" si="17"/>
        <v>18.752642825095691</v>
      </c>
      <c r="S146" s="20">
        <f t="shared" si="18"/>
        <v>0.71844729855779577</v>
      </c>
      <c r="T146" s="20">
        <f t="shared" si="19"/>
        <v>1.4422042046351438E-2</v>
      </c>
      <c r="U146" s="20">
        <f>IFERROR(IF(ISNUMBER(INDEX('Firm Master'!$E$2:$E$1000,MATCH($C146,'Firm Master'!$B$2:$B$1000,0))),INDEX('Firm Master'!$E$2:$E$1000,MATCH($C146,'Firm Master'!$B$2:$B$1000,0)),""),"")</f>
        <v>1960</v>
      </c>
      <c r="V146" s="21">
        <f t="shared" si="20"/>
        <v>65</v>
      </c>
      <c r="W146" s="21">
        <v>0</v>
      </c>
      <c r="X146" s="20" t="str">
        <f>IFERROR(INDEX('Firm Master'!$G$2:$G$1000,MATCH($C146,'Firm Master'!$B$2:$B$1000,0)),"")</f>
        <v>Nexia Agbo Abel &amp; Co</v>
      </c>
    </row>
    <row r="147" spans="1:24" ht="15" customHeight="1" x14ac:dyDescent="0.3">
      <c r="A147" s="11">
        <v>146</v>
      </c>
      <c r="B147" s="11">
        <v>30</v>
      </c>
      <c r="C147" s="11" t="s">
        <v>863</v>
      </c>
      <c r="D147" s="11" t="s">
        <v>864</v>
      </c>
      <c r="E147" s="11" t="s">
        <v>709</v>
      </c>
      <c r="F147" s="11">
        <v>2021</v>
      </c>
      <c r="G147" s="20">
        <f t="shared" si="14"/>
        <v>0</v>
      </c>
      <c r="H147" s="21">
        <v>0</v>
      </c>
      <c r="I147" s="21">
        <f>IFERROR(INDEX('Coding Sheet'!$AC$2:$AC$731,MATCH($B147&amp;"_"&amp;$F147,'Coding Sheet'!$A$2:$A$731,0)),"")</f>
        <v>50</v>
      </c>
      <c r="J147" s="7">
        <f>IFERROR(INDEX('Coding Sheet'!$AT$2:$AT$731,MATCH($B147&amp;"_"&amp;$F147,'Coding Sheet'!$A$2:$A$731,0)),"")</f>
        <v>0</v>
      </c>
      <c r="K147" s="33">
        <v>18166392725</v>
      </c>
      <c r="L147" s="21">
        <v>0.45689999999999997</v>
      </c>
      <c r="M147" s="20">
        <f t="shared" si="15"/>
        <v>8300224.8360524997</v>
      </c>
      <c r="N147" s="33">
        <v>28986015</v>
      </c>
      <c r="O147" s="33">
        <v>48054266</v>
      </c>
      <c r="P147" s="21">
        <v>3535935</v>
      </c>
      <c r="Q147" s="20">
        <f t="shared" si="16"/>
        <v>0.7759194539783939</v>
      </c>
      <c r="R147" s="20">
        <f t="shared" si="17"/>
        <v>17.687841471957853</v>
      </c>
      <c r="S147" s="20">
        <f t="shared" si="18"/>
        <v>0.60319337725395705</v>
      </c>
      <c r="T147" s="20">
        <f t="shared" si="19"/>
        <v>7.3582124841944319E-2</v>
      </c>
      <c r="U147" s="20">
        <f>IFERROR(IF(ISNUMBER(INDEX('Firm Master'!$E$2:$E$1000,MATCH($C147,'Firm Master'!$B$2:$B$1000,0))),INDEX('Firm Master'!$E$2:$E$1000,MATCH($C147,'Firm Master'!$B$2:$B$1000,0)),""),"")</f>
        <v>1991</v>
      </c>
      <c r="V147" s="21">
        <f t="shared" si="20"/>
        <v>30</v>
      </c>
      <c r="W147" s="21">
        <v>1</v>
      </c>
      <c r="X147" s="20" t="str">
        <f>IFERROR(INDEX('Firm Master'!$G$2:$G$1000,MATCH($C147,'Firm Master'!$B$2:$B$1000,0)),"")</f>
        <v>KPMG Professional Services (through 2023); Deloitte (by FY2025)</v>
      </c>
    </row>
    <row r="148" spans="1:24" ht="15" customHeight="1" x14ac:dyDescent="0.3">
      <c r="A148" s="11">
        <v>147</v>
      </c>
      <c r="B148" s="11">
        <v>30</v>
      </c>
      <c r="C148" s="11" t="s">
        <v>863</v>
      </c>
      <c r="D148" s="11" t="s">
        <v>864</v>
      </c>
      <c r="E148" s="11" t="s">
        <v>709</v>
      </c>
      <c r="F148" s="11">
        <v>2022</v>
      </c>
      <c r="G148" s="20">
        <f t="shared" si="14"/>
        <v>0</v>
      </c>
      <c r="H148" s="21">
        <v>0</v>
      </c>
      <c r="I148" s="21">
        <f>IFERROR(INDEX('Coding Sheet'!$AC$2:$AC$731,MATCH($B148&amp;"_"&amp;$F148,'Coding Sheet'!$A$2:$A$731,0)),"")</f>
        <v>55.000000000000007</v>
      </c>
      <c r="J148" s="7">
        <f>IFERROR(INDEX('Coding Sheet'!$AT$2:$AT$731,MATCH($B148&amp;"_"&amp;$F148,'Coding Sheet'!$A$2:$A$731,0)),"")</f>
        <v>0</v>
      </c>
      <c r="K148" s="33">
        <v>18166392725</v>
      </c>
      <c r="L148" s="21">
        <v>0.59550000000000003</v>
      </c>
      <c r="M148" s="20">
        <f t="shared" si="15"/>
        <v>10818086.867737502</v>
      </c>
      <c r="N148" s="33">
        <v>31285457</v>
      </c>
      <c r="O148" s="33">
        <v>49530744</v>
      </c>
      <c r="P148" s="33">
        <v>16389</v>
      </c>
      <c r="Q148" s="20">
        <f t="shared" si="16"/>
        <v>0.85004868628134278</v>
      </c>
      <c r="R148" s="20">
        <f t="shared" si="17"/>
        <v>17.718104125650875</v>
      </c>
      <c r="S148" s="20">
        <f t="shared" si="18"/>
        <v>0.63163713026398316</v>
      </c>
      <c r="T148" s="20">
        <f t="shared" si="19"/>
        <v>3.3088539917752903E-4</v>
      </c>
      <c r="U148" s="20">
        <f>IFERROR(IF(ISNUMBER(INDEX('Firm Master'!$E$2:$E$1000,MATCH($C148,'Firm Master'!$B$2:$B$1000,0))),INDEX('Firm Master'!$E$2:$E$1000,MATCH($C148,'Firm Master'!$B$2:$B$1000,0)),""),"")</f>
        <v>1991</v>
      </c>
      <c r="V148" s="21">
        <f t="shared" si="20"/>
        <v>31</v>
      </c>
      <c r="W148" s="21">
        <v>1</v>
      </c>
      <c r="X148" s="20" t="str">
        <f>IFERROR(INDEX('Firm Master'!$G$2:$G$1000,MATCH($C148,'Firm Master'!$B$2:$B$1000,0)),"")</f>
        <v>KPMG Professional Services (through 2023); Deloitte (by FY2025)</v>
      </c>
    </row>
    <row r="149" spans="1:24" ht="15" customHeight="1" x14ac:dyDescent="0.3">
      <c r="A149" s="11">
        <v>148</v>
      </c>
      <c r="B149" s="11">
        <v>30</v>
      </c>
      <c r="C149" s="11" t="s">
        <v>863</v>
      </c>
      <c r="D149" s="11" t="s">
        <v>864</v>
      </c>
      <c r="E149" s="11" t="s">
        <v>709</v>
      </c>
      <c r="F149" s="11">
        <v>2023</v>
      </c>
      <c r="G149" s="20">
        <f t="shared" si="14"/>
        <v>1</v>
      </c>
      <c r="H149" s="21">
        <v>0</v>
      </c>
      <c r="I149" s="21">
        <f>IFERROR(INDEX('Coding Sheet'!$AC$2:$AC$731,MATCH($B149&amp;"_"&amp;$F149,'Coding Sheet'!$A$2:$A$731,0)),"")</f>
        <v>50</v>
      </c>
      <c r="J149" s="7">
        <f>IFERROR(INDEX('Coding Sheet'!$AT$2:$AT$731,MATCH($B149&amp;"_"&amp;$F149,'Coding Sheet'!$A$2:$A$731,0)),"")</f>
        <v>0</v>
      </c>
      <c r="K149" s="33">
        <v>18166392725</v>
      </c>
      <c r="L149" s="21">
        <v>1.3898999999999999</v>
      </c>
      <c r="M149" s="20">
        <f t="shared" si="15"/>
        <v>25249469.248477496</v>
      </c>
      <c r="N149" s="33">
        <v>48589780</v>
      </c>
      <c r="O149" s="33">
        <v>82508551</v>
      </c>
      <c r="P149" s="33">
        <v>13838762</v>
      </c>
      <c r="Q149" s="20">
        <f t="shared" si="16"/>
        <v>0.89492844503447266</v>
      </c>
      <c r="R149" s="20">
        <f t="shared" si="17"/>
        <v>18.228412494418624</v>
      </c>
      <c r="S149" s="20">
        <f t="shared" si="18"/>
        <v>0.58890599108933572</v>
      </c>
      <c r="T149" s="20">
        <f t="shared" si="19"/>
        <v>0.16772518523564908</v>
      </c>
      <c r="U149" s="20">
        <f>IFERROR(IF(ISNUMBER(INDEX('Firm Master'!$E$2:$E$1000,MATCH($C149,'Firm Master'!$B$2:$B$1000,0))),INDEX('Firm Master'!$E$2:$E$1000,MATCH($C149,'Firm Master'!$B$2:$B$1000,0)),""),"")</f>
        <v>1991</v>
      </c>
      <c r="V149" s="21">
        <f t="shared" si="20"/>
        <v>32</v>
      </c>
      <c r="W149" s="21">
        <v>1</v>
      </c>
      <c r="X149" s="20" t="str">
        <f>IFERROR(INDEX('Firm Master'!$G$2:$G$1000,MATCH($C149,'Firm Master'!$B$2:$B$1000,0)),"")</f>
        <v>KPMG Professional Services (through 2023); Deloitte (by FY2025)</v>
      </c>
    </row>
    <row r="150" spans="1:24" ht="15" customHeight="1" x14ac:dyDescent="0.3">
      <c r="A150" s="11">
        <v>149</v>
      </c>
      <c r="B150" s="11">
        <v>30</v>
      </c>
      <c r="C150" s="11" t="s">
        <v>863</v>
      </c>
      <c r="D150" s="11" t="s">
        <v>864</v>
      </c>
      <c r="E150" s="11" t="s">
        <v>709</v>
      </c>
      <c r="F150" s="11">
        <v>2024</v>
      </c>
      <c r="G150" s="20">
        <f t="shared" si="14"/>
        <v>1</v>
      </c>
      <c r="H150" s="21">
        <v>0</v>
      </c>
      <c r="I150" s="21">
        <f>IFERROR(INDEX('Coding Sheet'!$AC$2:$AC$731,MATCH($B150&amp;"_"&amp;$F150,'Coding Sheet'!$A$2:$A$731,0)),"")</f>
        <v>60</v>
      </c>
      <c r="J150" s="7">
        <f>IFERROR(INDEX('Coding Sheet'!$AT$2:$AT$731,MATCH($B150&amp;"_"&amp;$F150,'Coding Sheet'!$A$2:$A$731,0)),"")</f>
        <v>0</v>
      </c>
      <c r="K150" s="33">
        <v>18166392725</v>
      </c>
      <c r="L150" s="21">
        <v>3.5747</v>
      </c>
      <c r="M150" s="20">
        <f t="shared" si="15"/>
        <v>64939404.074057505</v>
      </c>
      <c r="N150" s="33">
        <v>61004279</v>
      </c>
      <c r="O150" s="33">
        <v>121501003</v>
      </c>
      <c r="P150" s="33">
        <v>25583281</v>
      </c>
      <c r="Q150" s="20">
        <f t="shared" si="16"/>
        <v>1.0365649662501757</v>
      </c>
      <c r="R150" s="20">
        <f t="shared" si="17"/>
        <v>18.615433075854838</v>
      </c>
      <c r="S150" s="20">
        <f t="shared" si="18"/>
        <v>0.50208868646129612</v>
      </c>
      <c r="T150" s="20">
        <f t="shared" si="19"/>
        <v>0.2105602453339418</v>
      </c>
      <c r="U150" s="20">
        <f>IFERROR(IF(ISNUMBER(INDEX('Firm Master'!$E$2:$E$1000,MATCH($C150,'Firm Master'!$B$2:$B$1000,0))),INDEX('Firm Master'!$E$2:$E$1000,MATCH($C150,'Firm Master'!$B$2:$B$1000,0)),""),"")</f>
        <v>1991</v>
      </c>
      <c r="V150" s="21">
        <f t="shared" si="20"/>
        <v>33</v>
      </c>
      <c r="W150" s="21">
        <v>1</v>
      </c>
      <c r="X150" s="20" t="str">
        <f>IFERROR(INDEX('Firm Master'!$G$2:$G$1000,MATCH($C150,'Firm Master'!$B$2:$B$1000,0)),"")</f>
        <v>KPMG Professional Services (through 2023); Deloitte (by FY2025)</v>
      </c>
    </row>
    <row r="151" spans="1:24" ht="15" customHeight="1" x14ac:dyDescent="0.3">
      <c r="A151" s="11">
        <v>150</v>
      </c>
      <c r="B151" s="11">
        <v>30</v>
      </c>
      <c r="C151" s="11" t="s">
        <v>863</v>
      </c>
      <c r="D151" s="11" t="s">
        <v>864</v>
      </c>
      <c r="E151" s="11" t="s">
        <v>709</v>
      </c>
      <c r="F151" s="11">
        <v>2025</v>
      </c>
      <c r="G151" s="20">
        <f t="shared" si="14"/>
        <v>1</v>
      </c>
      <c r="H151" s="21">
        <v>0</v>
      </c>
      <c r="I151" s="21">
        <f>IFERROR(INDEX('Coding Sheet'!$AC$2:$AC$731,MATCH($B151&amp;"_"&amp;$F151,'Coding Sheet'!$A$2:$A$731,0)),"")</f>
        <v>35</v>
      </c>
      <c r="J151" s="7">
        <f>IFERROR(INDEX('Coding Sheet'!$AT$2:$AT$731,MATCH($B151&amp;"_"&amp;$F151,'Coding Sheet'!$A$2:$A$731,0)),"")</f>
        <v>13.333333333333334</v>
      </c>
      <c r="K151" s="33">
        <v>18166392725</v>
      </c>
      <c r="L151" s="21">
        <v>5.9179000000000004</v>
      </c>
      <c r="M151" s="20">
        <f t="shared" si="15"/>
        <v>107506895.50727752</v>
      </c>
      <c r="N151" s="33">
        <v>67767618</v>
      </c>
      <c r="O151" s="33">
        <v>137601697</v>
      </c>
      <c r="P151" s="33">
        <v>8268605</v>
      </c>
      <c r="Q151" s="20">
        <f t="shared" si="16"/>
        <v>1.2737816271791875</v>
      </c>
      <c r="R151" s="20">
        <f t="shared" si="17"/>
        <v>18.739873816236305</v>
      </c>
      <c r="S151" s="20">
        <f t="shared" si="18"/>
        <v>0.49249115001830246</v>
      </c>
      <c r="T151" s="20">
        <f t="shared" si="19"/>
        <v>6.0090865013096462E-2</v>
      </c>
      <c r="U151" s="20">
        <f>IFERROR(IF(ISNUMBER(INDEX('Firm Master'!$E$2:$E$1000,MATCH($C151,'Firm Master'!$B$2:$B$1000,0))),INDEX('Firm Master'!$E$2:$E$1000,MATCH($C151,'Firm Master'!$B$2:$B$1000,0)),""),"")</f>
        <v>1991</v>
      </c>
      <c r="V151" s="21">
        <f t="shared" si="20"/>
        <v>34</v>
      </c>
      <c r="W151" s="21">
        <v>1</v>
      </c>
      <c r="X151" s="20" t="str">
        <f>IFERROR(INDEX('Firm Master'!$G$2:$G$1000,MATCH($C151,'Firm Master'!$B$2:$B$1000,0)),"")</f>
        <v>KPMG Professional Services (through 2023); Deloitte (by FY2025)</v>
      </c>
    </row>
    <row r="152" spans="1:24" ht="15" customHeight="1" x14ac:dyDescent="0.3">
      <c r="A152" s="11">
        <v>151</v>
      </c>
      <c r="B152" s="11">
        <v>31</v>
      </c>
      <c r="C152" s="11" t="s">
        <v>868</v>
      </c>
      <c r="D152" s="11" t="s">
        <v>869</v>
      </c>
      <c r="E152" s="11" t="s">
        <v>870</v>
      </c>
      <c r="F152" s="11">
        <v>2021</v>
      </c>
      <c r="G152" s="20">
        <f t="shared" si="14"/>
        <v>0</v>
      </c>
      <c r="H152" s="21">
        <v>0</v>
      </c>
      <c r="I152" s="21">
        <f>IFERROR(INDEX('Coding Sheet'!$AC$2:$AC$731,MATCH($B152&amp;"_"&amp;$F152,'Coding Sheet'!$A$2:$A$731,0)),"")</f>
        <v>0</v>
      </c>
      <c r="J152" s="7">
        <f>IFERROR(INDEX('Coding Sheet'!$AT$2:$AT$731,MATCH($B152&amp;"_"&amp;$F152,'Coding Sheet'!$A$2:$A$731,0)),"")</f>
        <v>0</v>
      </c>
      <c r="K152" s="21">
        <v>5882000000</v>
      </c>
      <c r="L152" s="21">
        <v>7.9</v>
      </c>
      <c r="M152" s="20">
        <f t="shared" si="15"/>
        <v>46467800</v>
      </c>
      <c r="N152" s="21">
        <v>120134000</v>
      </c>
      <c r="O152" s="21">
        <v>184472000</v>
      </c>
      <c r="P152" s="20">
        <v>10660000</v>
      </c>
      <c r="Q152" s="20">
        <f t="shared" si="16"/>
        <v>0.90312784596036255</v>
      </c>
      <c r="R152" s="20">
        <f t="shared" si="17"/>
        <v>19.033008248410297</v>
      </c>
      <c r="S152" s="20">
        <f t="shared" si="18"/>
        <v>0.65123162322737327</v>
      </c>
      <c r="T152" s="20">
        <f t="shared" si="19"/>
        <v>5.7786547551932001E-2</v>
      </c>
      <c r="U152" s="20">
        <f>IFERROR(IF(ISNUMBER(INDEX('Firm Master'!$E$2:$E$1000,MATCH($C152,'Firm Master'!$B$2:$B$1000,0))),INDEX('Firm Master'!$E$2:$E$1000,MATCH($C152,'Firm Master'!$B$2:$B$1000,0)),""),"")</f>
        <v>1991</v>
      </c>
      <c r="V152" s="21">
        <f t="shared" si="20"/>
        <v>30</v>
      </c>
      <c r="W152" s="21">
        <v>1</v>
      </c>
      <c r="X152" s="20" t="str">
        <f>IFERROR(INDEX('Firm Master'!$G$2:$G$1000,MATCH($C152,'Firm Master'!$B$2:$B$1000,0)),"")</f>
        <v>Deloitte</v>
      </c>
    </row>
    <row r="153" spans="1:24" ht="15" customHeight="1" x14ac:dyDescent="0.3">
      <c r="A153" s="11">
        <v>152</v>
      </c>
      <c r="B153" s="11">
        <v>31</v>
      </c>
      <c r="C153" s="11" t="s">
        <v>868</v>
      </c>
      <c r="D153" s="11" t="s">
        <v>869</v>
      </c>
      <c r="E153" s="11" t="s">
        <v>870</v>
      </c>
      <c r="F153" s="11">
        <v>2022</v>
      </c>
      <c r="G153" s="20">
        <f t="shared" si="14"/>
        <v>0</v>
      </c>
      <c r="H153" s="21">
        <v>0</v>
      </c>
      <c r="I153" s="21">
        <f>IFERROR(INDEX('Coding Sheet'!$AC$2:$AC$731,MATCH($B153&amp;"_"&amp;$F153,'Coding Sheet'!$A$2:$A$731,0)),"")</f>
        <v>0</v>
      </c>
      <c r="J153" s="7">
        <f>IFERROR(INDEX('Coding Sheet'!$AT$2:$AT$731,MATCH($B153&amp;"_"&amp;$F153,'Coding Sheet'!$A$2:$A$731,0)),"")</f>
        <v>0</v>
      </c>
      <c r="K153" s="21">
        <v>5882000000</v>
      </c>
      <c r="L153" s="21">
        <v>5.95</v>
      </c>
      <c r="M153" s="20">
        <f t="shared" si="15"/>
        <v>34997900</v>
      </c>
      <c r="N153" s="21">
        <v>147311000</v>
      </c>
      <c r="O153" s="21">
        <v>212212000</v>
      </c>
      <c r="P153" s="20">
        <v>8373000</v>
      </c>
      <c r="Q153" s="20">
        <f t="shared" si="16"/>
        <v>0.85908855295647746</v>
      </c>
      <c r="R153" s="20">
        <f t="shared" si="17"/>
        <v>19.173096332969369</v>
      </c>
      <c r="S153" s="20">
        <f t="shared" si="18"/>
        <v>0.69416903850866118</v>
      </c>
      <c r="T153" s="20">
        <f t="shared" si="19"/>
        <v>3.945582719167625E-2</v>
      </c>
      <c r="U153" s="20">
        <f>IFERROR(IF(ISNUMBER(INDEX('Firm Master'!$E$2:$E$1000,MATCH($C153,'Firm Master'!$B$2:$B$1000,0))),INDEX('Firm Master'!$E$2:$E$1000,MATCH($C153,'Firm Master'!$B$2:$B$1000,0)),""),"")</f>
        <v>1991</v>
      </c>
      <c r="V153" s="21">
        <f t="shared" si="20"/>
        <v>31</v>
      </c>
      <c r="W153" s="21">
        <v>1</v>
      </c>
      <c r="X153" s="20" t="str">
        <f>IFERROR(INDEX('Firm Master'!$G$2:$G$1000,MATCH($C153,'Firm Master'!$B$2:$B$1000,0)),"")</f>
        <v>Deloitte</v>
      </c>
    </row>
    <row r="154" spans="1:24" ht="15" customHeight="1" x14ac:dyDescent="0.3">
      <c r="A154" s="11">
        <v>153</v>
      </c>
      <c r="B154" s="11">
        <v>31</v>
      </c>
      <c r="C154" s="11" t="s">
        <v>868</v>
      </c>
      <c r="D154" s="11" t="s">
        <v>869</v>
      </c>
      <c r="E154" s="11" t="s">
        <v>870</v>
      </c>
      <c r="F154" s="11">
        <v>2023</v>
      </c>
      <c r="G154" s="20">
        <f t="shared" si="14"/>
        <v>1</v>
      </c>
      <c r="H154" s="21">
        <v>0</v>
      </c>
      <c r="I154" s="21">
        <f>IFERROR(INDEX('Coding Sheet'!$AC$2:$AC$731,MATCH($B154&amp;"_"&amp;$F154,'Coding Sheet'!$A$2:$A$731,0)),"")</f>
        <v>0</v>
      </c>
      <c r="J154" s="7">
        <f>IFERROR(INDEX('Coding Sheet'!$AT$2:$AT$731,MATCH($B154&amp;"_"&amp;$F154,'Coding Sheet'!$A$2:$A$731,0)),"")</f>
        <v>0</v>
      </c>
      <c r="K154" s="21">
        <v>5882000000</v>
      </c>
      <c r="L154" s="21">
        <v>9</v>
      </c>
      <c r="M154" s="20">
        <f t="shared" si="15"/>
        <v>52938000</v>
      </c>
      <c r="N154" s="21">
        <v>188334000</v>
      </c>
      <c r="O154" s="21">
        <v>269800000</v>
      </c>
      <c r="P154" s="20">
        <v>19057000</v>
      </c>
      <c r="Q154" s="20">
        <f t="shared" si="16"/>
        <v>0.89426241660489247</v>
      </c>
      <c r="R154" s="20">
        <f t="shared" si="17"/>
        <v>19.413191501737931</v>
      </c>
      <c r="S154" s="20">
        <f t="shared" si="18"/>
        <v>0.6980504077094144</v>
      </c>
      <c r="T154" s="20">
        <f t="shared" si="19"/>
        <v>7.0633802816901403E-2</v>
      </c>
      <c r="U154" s="20">
        <f>IFERROR(IF(ISNUMBER(INDEX('Firm Master'!$E$2:$E$1000,MATCH($C154,'Firm Master'!$B$2:$B$1000,0))),INDEX('Firm Master'!$E$2:$E$1000,MATCH($C154,'Firm Master'!$B$2:$B$1000,0)),""),"")</f>
        <v>1991</v>
      </c>
      <c r="V154" s="21">
        <f t="shared" si="20"/>
        <v>32</v>
      </c>
      <c r="W154" s="21">
        <v>1</v>
      </c>
      <c r="X154" s="20" t="str">
        <f>IFERROR(INDEX('Firm Master'!$G$2:$G$1000,MATCH($C154,'Firm Master'!$B$2:$B$1000,0)),"")</f>
        <v>Deloitte</v>
      </c>
    </row>
    <row r="155" spans="1:24" ht="15" customHeight="1" x14ac:dyDescent="0.3">
      <c r="A155" s="11">
        <v>154</v>
      </c>
      <c r="B155" s="11">
        <v>31</v>
      </c>
      <c r="C155" s="11" t="s">
        <v>868</v>
      </c>
      <c r="D155" s="11" t="s">
        <v>869</v>
      </c>
      <c r="E155" s="11" t="s">
        <v>870</v>
      </c>
      <c r="F155" s="11">
        <v>2024</v>
      </c>
      <c r="G155" s="20">
        <f t="shared" si="14"/>
        <v>1</v>
      </c>
      <c r="H155" s="21">
        <v>0</v>
      </c>
      <c r="I155" s="21">
        <f>IFERROR(INDEX('Coding Sheet'!$AC$2:$AC$731,MATCH($B155&amp;"_"&amp;$F155,'Coding Sheet'!$A$2:$A$731,0)),"")</f>
        <v>0</v>
      </c>
      <c r="J155" s="7">
        <f>IFERROR(INDEX('Coding Sheet'!$AT$2:$AT$731,MATCH($B155&amp;"_"&amp;$F155,'Coding Sheet'!$A$2:$A$731,0)),"")</f>
        <v>0</v>
      </c>
      <c r="K155" s="21">
        <v>5882000000</v>
      </c>
      <c r="L155" s="21">
        <v>17.100000000000001</v>
      </c>
      <c r="M155" s="20">
        <f t="shared" si="15"/>
        <v>100582200.00000001</v>
      </c>
      <c r="N155" s="21">
        <v>274899000</v>
      </c>
      <c r="O155" s="21">
        <v>416239000</v>
      </c>
      <c r="P155" s="20">
        <v>53997000</v>
      </c>
      <c r="Q155" s="20">
        <f t="shared" si="16"/>
        <v>0.9020807757081869</v>
      </c>
      <c r="R155" s="20">
        <f t="shared" si="17"/>
        <v>19.846770172483318</v>
      </c>
      <c r="S155" s="20">
        <f t="shared" si="18"/>
        <v>0.66043547096740096</v>
      </c>
      <c r="T155" s="20">
        <f t="shared" si="19"/>
        <v>0.12972595071581472</v>
      </c>
      <c r="U155" s="20">
        <f>IFERROR(IF(ISNUMBER(INDEX('Firm Master'!$E$2:$E$1000,MATCH($C155,'Firm Master'!$B$2:$B$1000,0))),INDEX('Firm Master'!$E$2:$E$1000,MATCH($C155,'Firm Master'!$B$2:$B$1000,0)),""),"")</f>
        <v>1991</v>
      </c>
      <c r="V155" s="21">
        <f t="shared" si="20"/>
        <v>33</v>
      </c>
      <c r="W155" s="21">
        <v>1</v>
      </c>
      <c r="X155" s="20" t="str">
        <f>IFERROR(INDEX('Firm Master'!$G$2:$G$1000,MATCH($C155,'Firm Master'!$B$2:$B$1000,0)),"")</f>
        <v>Deloitte</v>
      </c>
    </row>
    <row r="156" spans="1:24" ht="15" customHeight="1" x14ac:dyDescent="0.3">
      <c r="A156" s="11">
        <v>155</v>
      </c>
      <c r="B156" s="11">
        <v>31</v>
      </c>
      <c r="C156" s="11" t="s">
        <v>868</v>
      </c>
      <c r="D156" s="11" t="s">
        <v>869</v>
      </c>
      <c r="E156" s="11" t="s">
        <v>870</v>
      </c>
      <c r="F156" s="11">
        <v>2025</v>
      </c>
      <c r="G156" s="20">
        <f t="shared" si="14"/>
        <v>1</v>
      </c>
      <c r="H156" s="21">
        <v>0</v>
      </c>
      <c r="I156" s="21">
        <f>IFERROR(INDEX('Coding Sheet'!$AC$2:$AC$731,MATCH($B156&amp;"_"&amp;$F156,'Coding Sheet'!$A$2:$A$731,0)),"")</f>
        <v>0</v>
      </c>
      <c r="J156" s="7">
        <f>IFERROR(INDEX('Coding Sheet'!$AT$2:$AT$731,MATCH($B156&amp;"_"&amp;$F156,'Coding Sheet'!$A$2:$A$731,0)),"")</f>
        <v>0</v>
      </c>
      <c r="K156" s="21">
        <v>5882000000</v>
      </c>
      <c r="L156" s="21">
        <v>43</v>
      </c>
      <c r="M156" s="20">
        <f t="shared" si="15"/>
        <v>252926000</v>
      </c>
      <c r="N156" s="21">
        <v>840275000</v>
      </c>
      <c r="O156" s="21">
        <v>1058821000</v>
      </c>
      <c r="P156" s="20">
        <v>65839000</v>
      </c>
      <c r="Q156" s="20">
        <f t="shared" si="16"/>
        <v>1.0324700775674076</v>
      </c>
      <c r="R156" s="20">
        <f t="shared" si="17"/>
        <v>20.780421861894617</v>
      </c>
      <c r="S156" s="20">
        <f t="shared" si="18"/>
        <v>0.79359495136571712</v>
      </c>
      <c r="T156" s="20">
        <f t="shared" si="19"/>
        <v>6.2181426322296215E-2</v>
      </c>
      <c r="U156" s="20">
        <f>IFERROR(IF(ISNUMBER(INDEX('Firm Master'!$E$2:$E$1000,MATCH($C156,'Firm Master'!$B$2:$B$1000,0))),INDEX('Firm Master'!$E$2:$E$1000,MATCH($C156,'Firm Master'!$B$2:$B$1000,0)),""),"")</f>
        <v>1991</v>
      </c>
      <c r="V156" s="21">
        <f t="shared" si="20"/>
        <v>34</v>
      </c>
      <c r="W156" s="21">
        <v>1</v>
      </c>
      <c r="X156" s="20" t="str">
        <f>IFERROR(INDEX('Firm Master'!$G$2:$G$1000,MATCH($C156,'Firm Master'!$B$2:$B$1000,0)),"")</f>
        <v>Deloitte</v>
      </c>
    </row>
    <row r="157" spans="1:24" ht="15" customHeight="1" x14ac:dyDescent="0.3">
      <c r="A157" s="11">
        <v>156</v>
      </c>
      <c r="B157" s="11">
        <v>32</v>
      </c>
      <c r="C157" s="11" t="s">
        <v>874</v>
      </c>
      <c r="D157" s="11" t="s">
        <v>875</v>
      </c>
      <c r="E157" s="11" t="s">
        <v>772</v>
      </c>
      <c r="F157" s="11">
        <v>2021</v>
      </c>
      <c r="G157" s="20">
        <f t="shared" si="14"/>
        <v>0</v>
      </c>
      <c r="H157" s="21">
        <v>0</v>
      </c>
      <c r="I157" s="21">
        <f>IFERROR(INDEX('Coding Sheet'!$AC$2:$AC$731,MATCH($B157&amp;"_"&amp;$F157,'Coding Sheet'!$A$2:$A$731,0)),"")</f>
        <v>0</v>
      </c>
      <c r="J157" s="7">
        <f>IFERROR(INDEX('Coding Sheet'!$AT$2:$AT$731,MATCH($B157&amp;"_"&amp;$F157,'Coding Sheet'!$A$2:$A$731,0)),"")</f>
        <v>0</v>
      </c>
      <c r="K157" s="21">
        <v>1761321000</v>
      </c>
      <c r="L157" s="21">
        <v>5.2803000000000004</v>
      </c>
      <c r="M157" s="20">
        <f t="shared" si="15"/>
        <v>9300303.2763000019</v>
      </c>
      <c r="N157" s="21">
        <v>2636402</v>
      </c>
      <c r="O157" s="21">
        <v>4792191</v>
      </c>
      <c r="P157" s="20">
        <v>594023</v>
      </c>
      <c r="Q157" s="20">
        <f t="shared" si="16"/>
        <v>2.4908659267337221</v>
      </c>
      <c r="R157" s="20">
        <f t="shared" si="17"/>
        <v>15.382498276079938</v>
      </c>
      <c r="S157" s="20">
        <f t="shared" si="18"/>
        <v>0.55014543452045217</v>
      </c>
      <c r="T157" s="20">
        <f t="shared" si="19"/>
        <v>0.12395645332166436</v>
      </c>
      <c r="U157" s="20">
        <f>IFERROR(IF(ISNUMBER(INDEX('Firm Master'!$E$2:$E$1000,MATCH($C157,'Firm Master'!$B$2:$B$1000,0))),INDEX('Firm Master'!$E$2:$E$1000,MATCH($C157,'Firm Master'!$B$2:$B$1000,0)),""),"")</f>
        <v>1982</v>
      </c>
      <c r="V157" s="21">
        <f t="shared" si="20"/>
        <v>39</v>
      </c>
      <c r="W157" s="21">
        <v>0</v>
      </c>
      <c r="X157" s="20" t="str">
        <f>IFERROR(INDEX('Firm Master'!$G$2:$G$1000,MATCH($C157,'Firm Master'!$B$2:$B$1000,0)),"")</f>
        <v>Ngozi Monica Okonkwo &amp; Co.</v>
      </c>
    </row>
    <row r="158" spans="1:24" ht="15" customHeight="1" x14ac:dyDescent="0.3">
      <c r="A158" s="11">
        <v>157</v>
      </c>
      <c r="B158" s="11">
        <v>32</v>
      </c>
      <c r="C158" s="11" t="s">
        <v>874</v>
      </c>
      <c r="D158" s="11" t="s">
        <v>875</v>
      </c>
      <c r="E158" s="11" t="s">
        <v>772</v>
      </c>
      <c r="F158" s="11">
        <v>2022</v>
      </c>
      <c r="G158" s="20">
        <f t="shared" si="14"/>
        <v>0</v>
      </c>
      <c r="H158" s="21">
        <v>0</v>
      </c>
      <c r="I158" s="21">
        <f>IFERROR(INDEX('Coding Sheet'!$AC$2:$AC$731,MATCH($B158&amp;"_"&amp;$F158,'Coding Sheet'!$A$2:$A$731,0)),"")</f>
        <v>20</v>
      </c>
      <c r="J158" s="7">
        <f>IFERROR(INDEX('Coding Sheet'!$AT$2:$AT$731,MATCH($B158&amp;"_"&amp;$F158,'Coding Sheet'!$A$2:$A$731,0)),"")</f>
        <v>13.333333333333334</v>
      </c>
      <c r="K158" s="21">
        <v>3522644000</v>
      </c>
      <c r="L158" s="21">
        <v>1.05</v>
      </c>
      <c r="M158" s="20">
        <f t="shared" si="15"/>
        <v>3698776.2</v>
      </c>
      <c r="N158" s="21">
        <v>2412000</v>
      </c>
      <c r="O158" s="21">
        <v>5116000</v>
      </c>
      <c r="P158" s="20">
        <v>786310</v>
      </c>
      <c r="Q158" s="20">
        <f t="shared" si="16"/>
        <v>1.1944441360437843</v>
      </c>
      <c r="R158" s="20">
        <f t="shared" si="17"/>
        <v>15.447883441680871</v>
      </c>
      <c r="S158" s="20">
        <f t="shared" si="18"/>
        <v>0.47146207974980453</v>
      </c>
      <c r="T158" s="20">
        <f t="shared" si="19"/>
        <v>0.1536962470680219</v>
      </c>
      <c r="U158" s="20">
        <f>IFERROR(IF(ISNUMBER(INDEX('Firm Master'!$E$2:$E$1000,MATCH($C158,'Firm Master'!$B$2:$B$1000,0))),INDEX('Firm Master'!$E$2:$E$1000,MATCH($C158,'Firm Master'!$B$2:$B$1000,0)),""),"")</f>
        <v>1982</v>
      </c>
      <c r="V158" s="21">
        <f t="shared" si="20"/>
        <v>40</v>
      </c>
      <c r="W158" s="21">
        <v>0</v>
      </c>
      <c r="X158" s="20" t="str">
        <f>IFERROR(INDEX('Firm Master'!$G$2:$G$1000,MATCH($C158,'Firm Master'!$B$2:$B$1000,0)),"")</f>
        <v>Ngozi Monica Okonkwo &amp; Co.</v>
      </c>
    </row>
    <row r="159" spans="1:24" ht="15" customHeight="1" x14ac:dyDescent="0.3">
      <c r="A159" s="11">
        <v>158</v>
      </c>
      <c r="B159" s="11">
        <v>32</v>
      </c>
      <c r="C159" s="11" t="s">
        <v>874</v>
      </c>
      <c r="D159" s="11" t="s">
        <v>875</v>
      </c>
      <c r="E159" s="11" t="s">
        <v>772</v>
      </c>
      <c r="F159" s="11">
        <v>2023</v>
      </c>
      <c r="G159" s="20">
        <f t="shared" si="14"/>
        <v>1</v>
      </c>
      <c r="H159" s="21">
        <v>0</v>
      </c>
      <c r="I159" s="21">
        <f>IFERROR(INDEX('Coding Sheet'!$AC$2:$AC$731,MATCH($B159&amp;"_"&amp;$F159,'Coding Sheet'!$A$2:$A$731,0)),"")</f>
        <v>10</v>
      </c>
      <c r="J159" s="7">
        <f>IFERROR(INDEX('Coding Sheet'!$AT$2:$AT$731,MATCH($B159&amp;"_"&amp;$F159,'Coding Sheet'!$A$2:$A$731,0)),"")</f>
        <v>0</v>
      </c>
      <c r="K159" s="21">
        <v>3522644000</v>
      </c>
      <c r="L159" s="21">
        <v>1.02</v>
      </c>
      <c r="M159" s="20">
        <f t="shared" si="15"/>
        <v>3593096.88</v>
      </c>
      <c r="N159" s="21">
        <v>2674000</v>
      </c>
      <c r="O159" s="21">
        <v>5842000</v>
      </c>
      <c r="P159" s="20">
        <v>789990</v>
      </c>
      <c r="Q159" s="20">
        <f t="shared" si="16"/>
        <v>1.0727656419034577</v>
      </c>
      <c r="R159" s="20">
        <f t="shared" si="17"/>
        <v>15.580583761929823</v>
      </c>
      <c r="S159" s="20">
        <f t="shared" si="18"/>
        <v>0.45771995891817868</v>
      </c>
      <c r="T159" s="20">
        <f t="shared" si="19"/>
        <v>0.13522595001711743</v>
      </c>
      <c r="U159" s="20">
        <f>IFERROR(IF(ISNUMBER(INDEX('Firm Master'!$E$2:$E$1000,MATCH($C159,'Firm Master'!$B$2:$B$1000,0))),INDEX('Firm Master'!$E$2:$E$1000,MATCH($C159,'Firm Master'!$B$2:$B$1000,0)),""),"")</f>
        <v>1982</v>
      </c>
      <c r="V159" s="21">
        <f t="shared" si="20"/>
        <v>41</v>
      </c>
      <c r="W159" s="21">
        <v>0</v>
      </c>
      <c r="X159" s="20" t="str">
        <f>IFERROR(INDEX('Firm Master'!$G$2:$G$1000,MATCH($C159,'Firm Master'!$B$2:$B$1000,0)),"")</f>
        <v>Ngozi Monica Okonkwo &amp; Co.</v>
      </c>
    </row>
    <row r="160" spans="1:24" ht="15" customHeight="1" x14ac:dyDescent="0.3">
      <c r="A160" s="11">
        <v>159</v>
      </c>
      <c r="B160" s="11">
        <v>32</v>
      </c>
      <c r="C160" s="11" t="s">
        <v>874</v>
      </c>
      <c r="D160" s="11" t="s">
        <v>875</v>
      </c>
      <c r="E160" s="11" t="s">
        <v>772</v>
      </c>
      <c r="F160" s="11">
        <v>2024</v>
      </c>
      <c r="G160" s="20">
        <f t="shared" si="14"/>
        <v>1</v>
      </c>
      <c r="H160" s="21">
        <v>0</v>
      </c>
      <c r="I160" s="21">
        <f>IFERROR(INDEX('Coding Sheet'!$AC$2:$AC$731,MATCH($B160&amp;"_"&amp;$F160,'Coding Sheet'!$A$2:$A$731,0)),"")</f>
        <v>10</v>
      </c>
      <c r="J160" s="7">
        <f>IFERROR(INDEX('Coding Sheet'!$AT$2:$AT$731,MATCH($B160&amp;"_"&amp;$F160,'Coding Sheet'!$A$2:$A$731,0)),"")</f>
        <v>0</v>
      </c>
      <c r="K160" s="21">
        <v>3522644000</v>
      </c>
      <c r="L160" s="21">
        <v>1.47</v>
      </c>
      <c r="M160" s="20">
        <f t="shared" si="15"/>
        <v>5178286.68</v>
      </c>
      <c r="N160" s="21">
        <v>3484000</v>
      </c>
      <c r="O160" s="21">
        <v>7289000</v>
      </c>
      <c r="P160" s="20">
        <v>1065000</v>
      </c>
      <c r="Q160" s="20">
        <f t="shared" si="16"/>
        <v>1.1884053615036356</v>
      </c>
      <c r="R160" s="20">
        <f t="shared" si="17"/>
        <v>15.80187692036435</v>
      </c>
      <c r="S160" s="20">
        <f t="shared" si="18"/>
        <v>0.47798051858965562</v>
      </c>
      <c r="T160" s="20">
        <f t="shared" si="19"/>
        <v>0.1461105775826588</v>
      </c>
      <c r="U160" s="20">
        <f>IFERROR(IF(ISNUMBER(INDEX('Firm Master'!$E$2:$E$1000,MATCH($C160,'Firm Master'!$B$2:$B$1000,0))),INDEX('Firm Master'!$E$2:$E$1000,MATCH($C160,'Firm Master'!$B$2:$B$1000,0)),""),"")</f>
        <v>1982</v>
      </c>
      <c r="V160" s="21">
        <f t="shared" si="20"/>
        <v>42</v>
      </c>
      <c r="W160" s="21">
        <v>0</v>
      </c>
      <c r="X160" s="20" t="str">
        <f>IFERROR(INDEX('Firm Master'!$G$2:$G$1000,MATCH($C160,'Firm Master'!$B$2:$B$1000,0)),"")</f>
        <v>Ngozi Monica Okonkwo &amp; Co.</v>
      </c>
    </row>
    <row r="161" spans="1:24" ht="15" customHeight="1" x14ac:dyDescent="0.3">
      <c r="A161" s="11">
        <v>160</v>
      </c>
      <c r="B161" s="11">
        <v>32</v>
      </c>
      <c r="C161" s="11" t="s">
        <v>874</v>
      </c>
      <c r="D161" s="11" t="s">
        <v>875</v>
      </c>
      <c r="E161" s="11" t="s">
        <v>772</v>
      </c>
      <c r="F161" s="11">
        <v>2025</v>
      </c>
      <c r="G161" s="20">
        <f t="shared" si="14"/>
        <v>1</v>
      </c>
      <c r="H161" s="21">
        <v>0</v>
      </c>
      <c r="I161" s="21">
        <f>IFERROR(INDEX('Coding Sheet'!$AC$2:$AC$731,MATCH($B161&amp;"_"&amp;$F161,'Coding Sheet'!$A$2:$A$731,0)),"")</f>
        <v>20</v>
      </c>
      <c r="J161" s="7">
        <f>IFERROR(INDEX('Coding Sheet'!$AT$2:$AT$731,MATCH($B161&amp;"_"&amp;$F161,'Coding Sheet'!$A$2:$A$731,0)),"")</f>
        <v>6.666666666666667</v>
      </c>
      <c r="K161" s="21">
        <v>7045288000</v>
      </c>
      <c r="L161" s="21">
        <v>2.37</v>
      </c>
      <c r="M161" s="20">
        <f t="shared" si="15"/>
        <v>16697332.560000001</v>
      </c>
      <c r="N161" s="21">
        <v>4439000</v>
      </c>
      <c r="O161" s="21">
        <v>8692000</v>
      </c>
      <c r="P161" s="20">
        <v>1032000</v>
      </c>
      <c r="Q161" s="20">
        <f t="shared" si="16"/>
        <v>2.4316995582144503</v>
      </c>
      <c r="R161" s="20">
        <f t="shared" si="17"/>
        <v>15.977913620358457</v>
      </c>
      <c r="S161" s="20">
        <f t="shared" si="18"/>
        <v>0.51069949378739066</v>
      </c>
      <c r="T161" s="20">
        <f t="shared" si="19"/>
        <v>0.11872986654394846</v>
      </c>
      <c r="U161" s="20">
        <f>IFERROR(IF(ISNUMBER(INDEX('Firm Master'!$E$2:$E$1000,MATCH($C161,'Firm Master'!$B$2:$B$1000,0))),INDEX('Firm Master'!$E$2:$E$1000,MATCH($C161,'Firm Master'!$B$2:$B$1000,0)),""),"")</f>
        <v>1982</v>
      </c>
      <c r="V161" s="21">
        <f t="shared" si="20"/>
        <v>43</v>
      </c>
      <c r="W161" s="21">
        <v>0</v>
      </c>
      <c r="X161" s="20" t="str">
        <f>IFERROR(INDEX('Firm Master'!$G$2:$G$1000,MATCH($C161,'Firm Master'!$B$2:$B$1000,0)),"")</f>
        <v>Ngozi Monica Okonkwo &amp; Co.</v>
      </c>
    </row>
    <row r="162" spans="1:24" ht="15" customHeight="1" x14ac:dyDescent="0.3">
      <c r="A162" s="11">
        <v>161</v>
      </c>
      <c r="B162" s="11">
        <v>33</v>
      </c>
      <c r="C162" s="11" t="s">
        <v>878</v>
      </c>
      <c r="D162" s="11" t="s">
        <v>879</v>
      </c>
      <c r="E162" s="11" t="s">
        <v>752</v>
      </c>
      <c r="F162" s="11">
        <v>2021</v>
      </c>
      <c r="G162" s="20">
        <f t="shared" si="14"/>
        <v>0</v>
      </c>
      <c r="H162" s="21">
        <v>0</v>
      </c>
      <c r="I162" s="21">
        <f>IFERROR(INDEX('Coding Sheet'!$AC$2:$AC$731,MATCH($B162&amp;"_"&amp;$F162,'Coding Sheet'!$A$2:$A$731,0)),"")</f>
        <v>0</v>
      </c>
      <c r="J162" s="7">
        <f>IFERROR(INDEX('Coding Sheet'!$AT$2:$AT$731,MATCH($B162&amp;"_"&amp;$F162,'Coding Sheet'!$A$2:$A$731,0)),"")</f>
        <v>0</v>
      </c>
      <c r="K162" s="21">
        <v>2525000000</v>
      </c>
      <c r="L162" s="21">
        <v>0.96</v>
      </c>
      <c r="M162" s="20">
        <f t="shared" si="15"/>
        <v>2424000</v>
      </c>
      <c r="N162" s="21">
        <v>7359000</v>
      </c>
      <c r="O162" s="21">
        <v>8417000</v>
      </c>
      <c r="P162" s="20">
        <v>449640</v>
      </c>
      <c r="Q162" s="20">
        <f t="shared" si="16"/>
        <v>1.162290602352382</v>
      </c>
      <c r="R162" s="20">
        <f t="shared" si="17"/>
        <v>15.945764028193713</v>
      </c>
      <c r="S162" s="20">
        <f t="shared" si="18"/>
        <v>0.87430200784127365</v>
      </c>
      <c r="T162" s="20">
        <f t="shared" si="19"/>
        <v>5.3420458595699181E-2</v>
      </c>
      <c r="U162" s="20">
        <f>IFERROR(IF(ISNUMBER(INDEX('Firm Master'!$E$2:$E$1000,MATCH($C162,'Firm Master'!$B$2:$B$1000,0))),INDEX('Firm Master'!$E$2:$E$1000,MATCH($C162,'Firm Master'!$B$2:$B$1000,0)),""),"")</f>
        <v>2005</v>
      </c>
      <c r="V162" s="21">
        <f t="shared" si="20"/>
        <v>16</v>
      </c>
      <c r="W162" s="21">
        <v>0</v>
      </c>
      <c r="X162" s="20" t="str">
        <f>IFERROR(INDEX('Firm Master'!$G$2:$G$1000,MATCH($C162,'Firm Master'!$B$2:$B$1000,0)),"")</f>
        <v>PKF Professional Services</v>
      </c>
    </row>
    <row r="163" spans="1:24" ht="15" customHeight="1" x14ac:dyDescent="0.3">
      <c r="A163" s="11">
        <v>162</v>
      </c>
      <c r="B163" s="11">
        <v>33</v>
      </c>
      <c r="C163" s="11" t="s">
        <v>878</v>
      </c>
      <c r="D163" s="11" t="s">
        <v>879</v>
      </c>
      <c r="E163" s="11" t="s">
        <v>752</v>
      </c>
      <c r="F163" s="11">
        <v>2022</v>
      </c>
      <c r="G163" s="20">
        <f t="shared" si="14"/>
        <v>0</v>
      </c>
      <c r="H163" s="21">
        <v>0</v>
      </c>
      <c r="I163" s="21">
        <f>IFERROR(INDEX('Coding Sheet'!$AC$2:$AC$731,MATCH($B163&amp;"_"&amp;$F163,'Coding Sheet'!$A$2:$A$731,0)),"")</f>
        <v>0</v>
      </c>
      <c r="J163" s="7">
        <f>IFERROR(INDEX('Coding Sheet'!$AT$2:$AT$731,MATCH($B163&amp;"_"&amp;$F163,'Coding Sheet'!$A$2:$A$731,0)),"")</f>
        <v>0</v>
      </c>
      <c r="K163" s="21">
        <v>2525000000</v>
      </c>
      <c r="L163" s="21">
        <v>0.87</v>
      </c>
      <c r="M163" s="20">
        <f t="shared" si="15"/>
        <v>2196750</v>
      </c>
      <c r="N163" s="21">
        <v>13061000</v>
      </c>
      <c r="O163" s="21">
        <v>14533000</v>
      </c>
      <c r="P163" s="20">
        <v>476800</v>
      </c>
      <c r="Q163" s="20">
        <f t="shared" si="16"/>
        <v>1.0498692630564921</v>
      </c>
      <c r="R163" s="20">
        <f t="shared" si="17"/>
        <v>16.491932483608309</v>
      </c>
      <c r="S163" s="20">
        <f t="shared" si="18"/>
        <v>0.89871327324021189</v>
      </c>
      <c r="T163" s="20">
        <f t="shared" si="19"/>
        <v>3.2808091928713964E-2</v>
      </c>
      <c r="U163" s="20">
        <f>IFERROR(IF(ISNUMBER(INDEX('Firm Master'!$E$2:$E$1000,MATCH($C163,'Firm Master'!$B$2:$B$1000,0))),INDEX('Firm Master'!$E$2:$E$1000,MATCH($C163,'Firm Master'!$B$2:$B$1000,0)),""),"")</f>
        <v>2005</v>
      </c>
      <c r="V163" s="21">
        <f t="shared" si="20"/>
        <v>17</v>
      </c>
      <c r="W163" s="21">
        <v>0</v>
      </c>
      <c r="X163" s="20" t="str">
        <f>IFERROR(INDEX('Firm Master'!$G$2:$G$1000,MATCH($C163,'Firm Master'!$B$2:$B$1000,0)),"")</f>
        <v>PKF Professional Services</v>
      </c>
    </row>
    <row r="164" spans="1:24" ht="15" customHeight="1" x14ac:dyDescent="0.3">
      <c r="A164" s="11">
        <v>163</v>
      </c>
      <c r="B164" s="11">
        <v>33</v>
      </c>
      <c r="C164" s="11" t="s">
        <v>878</v>
      </c>
      <c r="D164" s="11" t="s">
        <v>879</v>
      </c>
      <c r="E164" s="11" t="s">
        <v>752</v>
      </c>
      <c r="F164" s="11">
        <v>2023</v>
      </c>
      <c r="G164" s="20">
        <f t="shared" si="14"/>
        <v>1</v>
      </c>
      <c r="H164" s="21">
        <v>0</v>
      </c>
      <c r="I164" s="21">
        <f>IFERROR(INDEX('Coding Sheet'!$AC$2:$AC$731,MATCH($B164&amp;"_"&amp;$F164,'Coding Sheet'!$A$2:$A$731,0)),"")</f>
        <v>0</v>
      </c>
      <c r="J164" s="7">
        <f>IFERROR(INDEX('Coding Sheet'!$AT$2:$AT$731,MATCH($B164&amp;"_"&amp;$F164,'Coding Sheet'!$A$2:$A$731,0)),"")</f>
        <v>0</v>
      </c>
      <c r="K164" s="21">
        <v>2525000000</v>
      </c>
      <c r="L164" s="21">
        <v>7.45</v>
      </c>
      <c r="M164" s="20">
        <f t="shared" si="15"/>
        <v>18811250</v>
      </c>
      <c r="N164" s="21">
        <v>15572000</v>
      </c>
      <c r="O164" s="21">
        <v>17815000</v>
      </c>
      <c r="P164" s="20">
        <v>576080</v>
      </c>
      <c r="Q164" s="20">
        <f t="shared" si="16"/>
        <v>1.9300168397417907</v>
      </c>
      <c r="R164" s="20">
        <f t="shared" si="17"/>
        <v>16.695551357022072</v>
      </c>
      <c r="S164" s="20">
        <f t="shared" si="18"/>
        <v>0.8740948638787539</v>
      </c>
      <c r="T164" s="20">
        <f t="shared" si="19"/>
        <v>3.2336794835812518E-2</v>
      </c>
      <c r="U164" s="20">
        <f>IFERROR(IF(ISNUMBER(INDEX('Firm Master'!$E$2:$E$1000,MATCH($C164,'Firm Master'!$B$2:$B$1000,0))),INDEX('Firm Master'!$E$2:$E$1000,MATCH($C164,'Firm Master'!$B$2:$B$1000,0)),""),"")</f>
        <v>2005</v>
      </c>
      <c r="V164" s="21">
        <f t="shared" si="20"/>
        <v>18</v>
      </c>
      <c r="W164" s="21">
        <v>0</v>
      </c>
      <c r="X164" s="20" t="str">
        <f>IFERROR(INDEX('Firm Master'!$G$2:$G$1000,MATCH($C164,'Firm Master'!$B$2:$B$1000,0)),"")</f>
        <v>PKF Professional Services</v>
      </c>
    </row>
    <row r="165" spans="1:24" ht="15" customHeight="1" x14ac:dyDescent="0.3">
      <c r="A165" s="11">
        <v>164</v>
      </c>
      <c r="B165" s="11">
        <v>33</v>
      </c>
      <c r="C165" s="11" t="s">
        <v>878</v>
      </c>
      <c r="D165" s="11" t="s">
        <v>879</v>
      </c>
      <c r="E165" s="11" t="s">
        <v>752</v>
      </c>
      <c r="F165" s="11">
        <v>2024</v>
      </c>
      <c r="G165" s="20">
        <f t="shared" si="14"/>
        <v>1</v>
      </c>
      <c r="H165" s="21">
        <v>0</v>
      </c>
      <c r="I165" s="21">
        <f>IFERROR(INDEX('Coding Sheet'!$AC$2:$AC$731,MATCH($B165&amp;"_"&amp;$F165,'Coding Sheet'!$A$2:$A$731,0)),"")</f>
        <v>5</v>
      </c>
      <c r="J165" s="7">
        <f>IFERROR(INDEX('Coding Sheet'!$AT$2:$AT$731,MATCH($B165&amp;"_"&amp;$F165,'Coding Sheet'!$A$2:$A$731,0)),"")</f>
        <v>0</v>
      </c>
      <c r="K165" s="21">
        <v>2525000000</v>
      </c>
      <c r="L165" s="21">
        <v>7.08</v>
      </c>
      <c r="M165" s="20">
        <f t="shared" si="15"/>
        <v>17877000</v>
      </c>
      <c r="N165" s="21">
        <v>23319000</v>
      </c>
      <c r="O165" s="21">
        <v>29947000</v>
      </c>
      <c r="P165" s="20">
        <v>3044000</v>
      </c>
      <c r="Q165" s="20">
        <f t="shared" si="16"/>
        <v>1.3756302801616189</v>
      </c>
      <c r="R165" s="20">
        <f t="shared" si="17"/>
        <v>17.21493971056378</v>
      </c>
      <c r="S165" s="20">
        <f t="shared" si="18"/>
        <v>0.77867566033325541</v>
      </c>
      <c r="T165" s="20">
        <f t="shared" si="19"/>
        <v>0.1016462416936588</v>
      </c>
      <c r="U165" s="20">
        <f>IFERROR(IF(ISNUMBER(INDEX('Firm Master'!$E$2:$E$1000,MATCH($C165,'Firm Master'!$B$2:$B$1000,0))),INDEX('Firm Master'!$E$2:$E$1000,MATCH($C165,'Firm Master'!$B$2:$B$1000,0)),""),"")</f>
        <v>2005</v>
      </c>
      <c r="V165" s="21">
        <f t="shared" si="20"/>
        <v>19</v>
      </c>
      <c r="W165" s="21">
        <v>0</v>
      </c>
      <c r="X165" s="20" t="str">
        <f>IFERROR(INDEX('Firm Master'!$G$2:$G$1000,MATCH($C165,'Firm Master'!$B$2:$B$1000,0)),"")</f>
        <v>PKF Professional Services</v>
      </c>
    </row>
    <row r="166" spans="1:24" ht="15" customHeight="1" x14ac:dyDescent="0.3">
      <c r="A166" s="11">
        <v>165</v>
      </c>
      <c r="B166" s="11">
        <v>33</v>
      </c>
      <c r="C166" s="11" t="s">
        <v>878</v>
      </c>
      <c r="D166" s="11" t="s">
        <v>879</v>
      </c>
      <c r="E166" s="11" t="s">
        <v>752</v>
      </c>
      <c r="F166" s="11">
        <v>2025</v>
      </c>
      <c r="G166" s="20">
        <f t="shared" si="14"/>
        <v>1</v>
      </c>
      <c r="H166" s="21">
        <v>0</v>
      </c>
      <c r="I166" s="21">
        <f>IFERROR(INDEX('Coding Sheet'!$AC$2:$AC$731,MATCH($B166&amp;"_"&amp;$F166,'Coding Sheet'!$A$2:$A$731,0)),"")</f>
        <v>0</v>
      </c>
      <c r="J166" s="7">
        <f>IFERROR(INDEX('Coding Sheet'!$AT$2:$AT$731,MATCH($B166&amp;"_"&amp;$F166,'Coding Sheet'!$A$2:$A$731,0)),"")</f>
        <v>0</v>
      </c>
      <c r="K166" s="21">
        <v>2525000000</v>
      </c>
      <c r="L166" s="21">
        <v>17.37</v>
      </c>
      <c r="M166" s="20">
        <f t="shared" si="15"/>
        <v>43859250</v>
      </c>
      <c r="N166" s="21">
        <v>31032000</v>
      </c>
      <c r="O166" s="21">
        <v>39953000</v>
      </c>
      <c r="P166" s="20">
        <v>4975000</v>
      </c>
      <c r="Q166" s="20">
        <f t="shared" si="16"/>
        <v>1.8744837684279028</v>
      </c>
      <c r="R166" s="20">
        <f t="shared" si="17"/>
        <v>17.50321432122449</v>
      </c>
      <c r="S166" s="20">
        <f t="shared" si="18"/>
        <v>0.77671263734888496</v>
      </c>
      <c r="T166" s="20">
        <f t="shared" si="19"/>
        <v>0.12452131254223713</v>
      </c>
      <c r="U166" s="20">
        <f>IFERROR(IF(ISNUMBER(INDEX('Firm Master'!$E$2:$E$1000,MATCH($C166,'Firm Master'!$B$2:$B$1000,0))),INDEX('Firm Master'!$E$2:$E$1000,MATCH($C166,'Firm Master'!$B$2:$B$1000,0)),""),"")</f>
        <v>2005</v>
      </c>
      <c r="V166" s="21">
        <f t="shared" si="20"/>
        <v>20</v>
      </c>
      <c r="W166" s="21">
        <v>0</v>
      </c>
      <c r="X166" s="20" t="str">
        <f>IFERROR(INDEX('Firm Master'!$G$2:$G$1000,MATCH($C166,'Firm Master'!$B$2:$B$1000,0)),"")</f>
        <v>PKF Professional Services</v>
      </c>
    </row>
    <row r="167" spans="1:24" ht="15" customHeight="1" x14ac:dyDescent="0.3">
      <c r="A167" s="11">
        <v>166</v>
      </c>
      <c r="B167" s="11">
        <v>34</v>
      </c>
      <c r="C167" s="11" t="s">
        <v>882</v>
      </c>
      <c r="D167" s="11" t="s">
        <v>883</v>
      </c>
      <c r="E167" s="11" t="s">
        <v>715</v>
      </c>
      <c r="F167" s="11">
        <v>2021</v>
      </c>
      <c r="G167" s="20">
        <f t="shared" si="14"/>
        <v>0</v>
      </c>
      <c r="H167" s="21">
        <v>0</v>
      </c>
      <c r="I167" s="21">
        <f>IFERROR(INDEX('Coding Sheet'!$AC$2:$AC$731,MATCH($B167&amp;"_"&amp;$F167,'Coding Sheet'!$A$2:$A$731,0)),"")</f>
        <v>0</v>
      </c>
      <c r="J167" s="7">
        <f>IFERROR(INDEX('Coding Sheet'!$AT$2:$AT$731,MATCH($B167&amp;"_"&amp;$F167,'Coding Sheet'!$A$2:$A$731,0)),"")</f>
        <v>0</v>
      </c>
      <c r="K167" s="21">
        <v>8000000000</v>
      </c>
      <c r="L167" s="21">
        <v>0.2</v>
      </c>
      <c r="M167" s="20">
        <f t="shared" si="15"/>
        <v>1600000</v>
      </c>
      <c r="N167" s="21">
        <v>11220000</v>
      </c>
      <c r="O167" s="21">
        <v>14201000</v>
      </c>
      <c r="P167" s="20">
        <v>-733460</v>
      </c>
      <c r="Q167" s="20">
        <f t="shared" si="16"/>
        <v>0.90275332723047674</v>
      </c>
      <c r="R167" s="20">
        <f t="shared" si="17"/>
        <v>16.468822942627149</v>
      </c>
      <c r="S167" s="20">
        <f t="shared" si="18"/>
        <v>0.79008520526723469</v>
      </c>
      <c r="T167" s="20">
        <f t="shared" si="19"/>
        <v>-5.1648475459474687E-2</v>
      </c>
      <c r="U167" s="20">
        <f>IFERROR(IF(ISNUMBER(INDEX('Firm Master'!$E$2:$E$1000,MATCH($C167,'Firm Master'!$B$2:$B$1000,0))),INDEX('Firm Master'!$E$2:$E$1000,MATCH($C167,'Firm Master'!$B$2:$B$1000,0)),""),"")</f>
        <v>1988</v>
      </c>
      <c r="V167" s="21">
        <f t="shared" si="20"/>
        <v>33</v>
      </c>
      <c r="W167" s="21">
        <v>0</v>
      </c>
      <c r="X167" s="20" t="str">
        <f>IFERROR(INDEX('Firm Master'!$G$2:$G$1000,MATCH($C167,'Firm Master'!$B$2:$B$1000,0)),"")</f>
        <v>Baker Tilly Nigeria</v>
      </c>
    </row>
    <row r="168" spans="1:24" ht="15" customHeight="1" x14ac:dyDescent="0.3">
      <c r="A168" s="11">
        <v>167</v>
      </c>
      <c r="B168" s="11">
        <v>34</v>
      </c>
      <c r="C168" s="11" t="s">
        <v>882</v>
      </c>
      <c r="D168" s="11" t="s">
        <v>883</v>
      </c>
      <c r="E168" s="11" t="s">
        <v>715</v>
      </c>
      <c r="F168" s="11">
        <v>2022</v>
      </c>
      <c r="G168" s="20">
        <f t="shared" si="14"/>
        <v>0</v>
      </c>
      <c r="H168" s="21">
        <v>0</v>
      </c>
      <c r="I168" s="21">
        <f>IFERROR(INDEX('Coding Sheet'!$AC$2:$AC$731,MATCH($B168&amp;"_"&amp;$F168,'Coding Sheet'!$A$2:$A$731,0)),"")</f>
        <v>0</v>
      </c>
      <c r="J168" s="7">
        <f>IFERROR(INDEX('Coding Sheet'!$AT$2:$AT$731,MATCH($B168&amp;"_"&amp;$F168,'Coding Sheet'!$A$2:$A$731,0)),"")</f>
        <v>0</v>
      </c>
      <c r="K168" s="21">
        <v>8000000000</v>
      </c>
      <c r="L168" s="21">
        <v>0.2</v>
      </c>
      <c r="M168" s="20">
        <f t="shared" si="15"/>
        <v>1600000</v>
      </c>
      <c r="N168" s="21">
        <v>10237000</v>
      </c>
      <c r="O168" s="21">
        <v>12450000</v>
      </c>
      <c r="P168" s="20">
        <v>-768070</v>
      </c>
      <c r="Q168" s="20">
        <f t="shared" si="16"/>
        <v>0.95076305220883539</v>
      </c>
      <c r="R168" s="20">
        <f t="shared" si="17"/>
        <v>16.337231180874991</v>
      </c>
      <c r="S168" s="20">
        <f t="shared" si="18"/>
        <v>0.82224899598393575</v>
      </c>
      <c r="T168" s="20">
        <f t="shared" si="19"/>
        <v>-6.1692369477911645E-2</v>
      </c>
      <c r="U168" s="20">
        <f>IFERROR(IF(ISNUMBER(INDEX('Firm Master'!$E$2:$E$1000,MATCH($C168,'Firm Master'!$B$2:$B$1000,0))),INDEX('Firm Master'!$E$2:$E$1000,MATCH($C168,'Firm Master'!$B$2:$B$1000,0)),""),"")</f>
        <v>1988</v>
      </c>
      <c r="V168" s="21">
        <f t="shared" si="20"/>
        <v>34</v>
      </c>
      <c r="W168" s="21">
        <v>0</v>
      </c>
      <c r="X168" s="20" t="str">
        <f>IFERROR(INDEX('Firm Master'!$G$2:$G$1000,MATCH($C168,'Firm Master'!$B$2:$B$1000,0)),"")</f>
        <v>Baker Tilly Nigeria</v>
      </c>
    </row>
    <row r="169" spans="1:24" ht="15" customHeight="1" x14ac:dyDescent="0.3">
      <c r="A169" s="11">
        <v>168</v>
      </c>
      <c r="B169" s="11">
        <v>34</v>
      </c>
      <c r="C169" s="11" t="s">
        <v>882</v>
      </c>
      <c r="D169" s="11" t="s">
        <v>883</v>
      </c>
      <c r="E169" s="11" t="s">
        <v>715</v>
      </c>
      <c r="F169" s="11">
        <v>2023</v>
      </c>
      <c r="G169" s="20">
        <f t="shared" si="14"/>
        <v>1</v>
      </c>
      <c r="H169" s="21">
        <v>0</v>
      </c>
      <c r="I169" s="21">
        <f>IFERROR(INDEX('Coding Sheet'!$AC$2:$AC$731,MATCH($B169&amp;"_"&amp;$F169,'Coding Sheet'!$A$2:$A$731,0)),"")</f>
        <v>0</v>
      </c>
      <c r="J169" s="7">
        <f>IFERROR(INDEX('Coding Sheet'!$AT$2:$AT$731,MATCH($B169&amp;"_"&amp;$F169,'Coding Sheet'!$A$2:$A$731,0)),"")</f>
        <v>0</v>
      </c>
      <c r="K169" s="21">
        <v>8000000000</v>
      </c>
      <c r="L169" s="21">
        <v>0.9</v>
      </c>
      <c r="M169" s="20">
        <f t="shared" si="15"/>
        <v>7200000</v>
      </c>
      <c r="N169" s="21">
        <v>13087000</v>
      </c>
      <c r="O169" s="21">
        <v>30906000</v>
      </c>
      <c r="P169" s="20">
        <v>-1628000</v>
      </c>
      <c r="Q169" s="20">
        <f t="shared" si="16"/>
        <v>0.65640975862292117</v>
      </c>
      <c r="R169" s="20">
        <f t="shared" si="17"/>
        <v>17.246460897775776</v>
      </c>
      <c r="S169" s="20">
        <f t="shared" si="18"/>
        <v>0.42344528570504109</v>
      </c>
      <c r="T169" s="20">
        <f t="shared" si="19"/>
        <v>-5.2675855820876208E-2</v>
      </c>
      <c r="U169" s="20">
        <f>IFERROR(IF(ISNUMBER(INDEX('Firm Master'!$E$2:$E$1000,MATCH($C169,'Firm Master'!$B$2:$B$1000,0))),INDEX('Firm Master'!$E$2:$E$1000,MATCH($C169,'Firm Master'!$B$2:$B$1000,0)),""),"")</f>
        <v>1988</v>
      </c>
      <c r="V169" s="21">
        <f t="shared" si="20"/>
        <v>35</v>
      </c>
      <c r="W169" s="21">
        <v>0</v>
      </c>
      <c r="X169" s="20" t="str">
        <f>IFERROR(INDEX('Firm Master'!$G$2:$G$1000,MATCH($C169,'Firm Master'!$B$2:$B$1000,0)),"")</f>
        <v>Baker Tilly Nigeria</v>
      </c>
    </row>
    <row r="170" spans="1:24" ht="15" customHeight="1" x14ac:dyDescent="0.3">
      <c r="A170" s="11">
        <v>169</v>
      </c>
      <c r="B170" s="11">
        <v>34</v>
      </c>
      <c r="C170" s="11" t="s">
        <v>882</v>
      </c>
      <c r="D170" s="11" t="s">
        <v>883</v>
      </c>
      <c r="E170" s="11" t="s">
        <v>715</v>
      </c>
      <c r="F170" s="11">
        <v>2024</v>
      </c>
      <c r="G170" s="20">
        <f t="shared" si="14"/>
        <v>1</v>
      </c>
      <c r="H170" s="21">
        <v>0</v>
      </c>
      <c r="I170" s="21">
        <f>IFERROR(INDEX('Coding Sheet'!$AC$2:$AC$731,MATCH($B170&amp;"_"&amp;$F170,'Coding Sheet'!$A$2:$A$731,0)),"")</f>
        <v>0</v>
      </c>
      <c r="J170" s="7">
        <f>IFERROR(INDEX('Coding Sheet'!$AT$2:$AT$731,MATCH($B170&amp;"_"&amp;$F170,'Coding Sheet'!$A$2:$A$731,0)),"")</f>
        <v>0</v>
      </c>
      <c r="K170" s="21">
        <v>8000000000</v>
      </c>
      <c r="L170" s="21">
        <v>0.63</v>
      </c>
      <c r="M170" s="20">
        <f t="shared" si="15"/>
        <v>5040000</v>
      </c>
      <c r="N170" s="21">
        <v>11309000</v>
      </c>
      <c r="O170" s="21">
        <v>27493000</v>
      </c>
      <c r="P170" s="20">
        <v>-2342000</v>
      </c>
      <c r="Q170" s="20">
        <f t="shared" si="16"/>
        <v>0.5946604590259339</v>
      </c>
      <c r="R170" s="20">
        <f t="shared" si="17"/>
        <v>17.129441984780062</v>
      </c>
      <c r="S170" s="20">
        <f t="shared" si="18"/>
        <v>0.41134106863565273</v>
      </c>
      <c r="T170" s="20">
        <f t="shared" si="19"/>
        <v>-8.5185319899610812E-2</v>
      </c>
      <c r="U170" s="20">
        <f>IFERROR(IF(ISNUMBER(INDEX('Firm Master'!$E$2:$E$1000,MATCH($C170,'Firm Master'!$B$2:$B$1000,0))),INDEX('Firm Master'!$E$2:$E$1000,MATCH($C170,'Firm Master'!$B$2:$B$1000,0)),""),"")</f>
        <v>1988</v>
      </c>
      <c r="V170" s="21">
        <f t="shared" si="20"/>
        <v>36</v>
      </c>
      <c r="W170" s="21">
        <v>0</v>
      </c>
      <c r="X170" s="20" t="str">
        <f>IFERROR(INDEX('Firm Master'!$G$2:$G$1000,MATCH($C170,'Firm Master'!$B$2:$B$1000,0)),"")</f>
        <v>Baker Tilly Nigeria</v>
      </c>
    </row>
    <row r="171" spans="1:24" ht="15" customHeight="1" x14ac:dyDescent="0.3">
      <c r="A171" s="11">
        <v>170</v>
      </c>
      <c r="B171" s="11">
        <v>34</v>
      </c>
      <c r="C171" s="11" t="s">
        <v>882</v>
      </c>
      <c r="D171" s="11" t="s">
        <v>883</v>
      </c>
      <c r="E171" s="11" t="s">
        <v>715</v>
      </c>
      <c r="F171" s="11">
        <v>2025</v>
      </c>
      <c r="G171" s="20">
        <f t="shared" si="14"/>
        <v>1</v>
      </c>
      <c r="H171" s="21">
        <v>0</v>
      </c>
      <c r="I171" s="21">
        <f>IFERROR(INDEX('Coding Sheet'!$AC$2:$AC$731,MATCH($B171&amp;"_"&amp;$F171,'Coding Sheet'!$A$2:$A$731,0)),"")</f>
        <v>0</v>
      </c>
      <c r="J171" s="7">
        <f>IFERROR(INDEX('Coding Sheet'!$AT$2:$AT$731,MATCH($B171&amp;"_"&amp;$F171,'Coding Sheet'!$A$2:$A$731,0)),"")</f>
        <v>0</v>
      </c>
      <c r="K171" s="21">
        <v>8000000000</v>
      </c>
      <c r="L171" s="21">
        <v>0.93</v>
      </c>
      <c r="M171" s="20">
        <f t="shared" si="15"/>
        <v>7440000</v>
      </c>
      <c r="N171" s="21">
        <v>10327000</v>
      </c>
      <c r="O171" s="21">
        <v>27132000</v>
      </c>
      <c r="P171" s="20">
        <v>-874660</v>
      </c>
      <c r="Q171" s="20">
        <f t="shared" si="16"/>
        <v>0.6548356184579095</v>
      </c>
      <c r="R171" s="20">
        <f t="shared" si="17"/>
        <v>17.116224401048107</v>
      </c>
      <c r="S171" s="20">
        <f t="shared" si="18"/>
        <v>0.38062066932035971</v>
      </c>
      <c r="T171" s="20">
        <f t="shared" si="19"/>
        <v>-3.2237210673743182E-2</v>
      </c>
      <c r="U171" s="20">
        <f>IFERROR(IF(ISNUMBER(INDEX('Firm Master'!$E$2:$E$1000,MATCH($C171,'Firm Master'!$B$2:$B$1000,0))),INDEX('Firm Master'!$E$2:$E$1000,MATCH($C171,'Firm Master'!$B$2:$B$1000,0)),""),"")</f>
        <v>1988</v>
      </c>
      <c r="V171" s="21">
        <f t="shared" si="20"/>
        <v>37</v>
      </c>
      <c r="W171" s="21">
        <v>0</v>
      </c>
      <c r="X171" s="20" t="str">
        <f>IFERROR(INDEX('Firm Master'!$G$2:$G$1000,MATCH($C171,'Firm Master'!$B$2:$B$1000,0)),"")</f>
        <v>Baker Tilly Nigeria</v>
      </c>
    </row>
    <row r="172" spans="1:24" ht="15" customHeight="1" x14ac:dyDescent="0.3">
      <c r="A172" s="11">
        <v>171</v>
      </c>
      <c r="B172" s="11">
        <v>35</v>
      </c>
      <c r="C172" s="11" t="s">
        <v>888</v>
      </c>
      <c r="D172" s="11" t="s">
        <v>889</v>
      </c>
      <c r="E172" s="11" t="s">
        <v>772</v>
      </c>
      <c r="F172" s="11">
        <v>2021</v>
      </c>
      <c r="G172" s="20">
        <f t="shared" si="14"/>
        <v>0</v>
      </c>
      <c r="H172" s="21">
        <v>0</v>
      </c>
      <c r="I172" s="21">
        <f>IFERROR(INDEX('Coding Sheet'!$AC$2:$AC$731,MATCH($B172&amp;"_"&amp;$F172,'Coding Sheet'!$A$2:$A$731,0)),"")</f>
        <v>50</v>
      </c>
      <c r="J172" s="7">
        <f>IFERROR(INDEX('Coding Sheet'!$AT$2:$AT$731,MATCH($B172&amp;"_"&amp;$F172,'Coding Sheet'!$A$2:$A$731,0)),"")</f>
        <v>26.666666666666668</v>
      </c>
      <c r="K172" s="21">
        <v>17000000000</v>
      </c>
      <c r="L172" s="21">
        <v>199.19</v>
      </c>
      <c r="M172" s="20">
        <f t="shared" si="15"/>
        <v>3386230000</v>
      </c>
      <c r="N172" s="21">
        <v>1408350000</v>
      </c>
      <c r="O172" s="21">
        <v>2392019000</v>
      </c>
      <c r="P172" s="20">
        <v>361008000</v>
      </c>
      <c r="Q172" s="20">
        <f t="shared" si="16"/>
        <v>2.0044071556287806</v>
      </c>
      <c r="R172" s="20">
        <f t="shared" si="17"/>
        <v>21.595403616147063</v>
      </c>
      <c r="S172" s="20">
        <f t="shared" si="18"/>
        <v>0.58877040692402527</v>
      </c>
      <c r="T172" s="20">
        <f t="shared" si="19"/>
        <v>0.15092187812889446</v>
      </c>
      <c r="U172" s="20">
        <f>IFERROR(IF(ISNUMBER(INDEX('Firm Master'!$E$2:$E$1000,MATCH($C172,'Firm Master'!$B$2:$B$1000,0))),INDEX('Firm Master'!$E$2:$E$1000,MATCH($C172,'Firm Master'!$B$2:$B$1000,0)),""),"")</f>
        <v>1992</v>
      </c>
      <c r="V172" s="21">
        <f t="shared" si="20"/>
        <v>29</v>
      </c>
      <c r="W172" s="21">
        <v>1</v>
      </c>
      <c r="X172" s="20" t="str">
        <f>IFERROR(INDEX('Firm Master'!$G$2:$G$1000,MATCH($C172,'Firm Master'!$B$2:$B$1000,0)),"")</f>
        <v>KPMG Professional Services</v>
      </c>
    </row>
    <row r="173" spans="1:24" ht="15" customHeight="1" x14ac:dyDescent="0.3">
      <c r="A173" s="11">
        <v>172</v>
      </c>
      <c r="B173" s="11">
        <v>35</v>
      </c>
      <c r="C173" s="11" t="s">
        <v>888</v>
      </c>
      <c r="D173" s="11" t="s">
        <v>889</v>
      </c>
      <c r="E173" s="11" t="s">
        <v>772</v>
      </c>
      <c r="F173" s="11">
        <v>2022</v>
      </c>
      <c r="G173" s="20">
        <f t="shared" si="14"/>
        <v>0</v>
      </c>
      <c r="H173" s="21">
        <v>0</v>
      </c>
      <c r="I173" s="21">
        <f>IFERROR(INDEX('Coding Sheet'!$AC$2:$AC$731,MATCH($B173&amp;"_"&amp;$F173,'Coding Sheet'!$A$2:$A$731,0)),"")</f>
        <v>70</v>
      </c>
      <c r="J173" s="7">
        <f>IFERROR(INDEX('Coding Sheet'!$AT$2:$AT$731,MATCH($B173&amp;"_"&amp;$F173,'Coding Sheet'!$A$2:$A$731,0)),"")</f>
        <v>53.333333333333336</v>
      </c>
      <c r="K173" s="21">
        <v>16880000000</v>
      </c>
      <c r="L173" s="21">
        <v>216.89</v>
      </c>
      <c r="M173" s="20">
        <f t="shared" si="15"/>
        <v>3661103200</v>
      </c>
      <c r="N173" s="21">
        <v>1536708000</v>
      </c>
      <c r="O173" s="21">
        <v>2615655000</v>
      </c>
      <c r="P173" s="20">
        <v>375988000</v>
      </c>
      <c r="Q173" s="20">
        <f t="shared" si="16"/>
        <v>1.9871929593161177</v>
      </c>
      <c r="R173" s="20">
        <f t="shared" si="17"/>
        <v>21.684780381110389</v>
      </c>
      <c r="S173" s="20">
        <f t="shared" si="18"/>
        <v>0.5875040859746411</v>
      </c>
      <c r="T173" s="20">
        <f t="shared" si="19"/>
        <v>0.14374525692417386</v>
      </c>
      <c r="U173" s="20">
        <f>IFERROR(IF(ISNUMBER(INDEX('Firm Master'!$E$2:$E$1000,MATCH($C173,'Firm Master'!$B$2:$B$1000,0))),INDEX('Firm Master'!$E$2:$E$1000,MATCH($C173,'Firm Master'!$B$2:$B$1000,0)),""),"")</f>
        <v>1992</v>
      </c>
      <c r="V173" s="21">
        <f t="shared" si="20"/>
        <v>30</v>
      </c>
      <c r="W173" s="21">
        <v>1</v>
      </c>
      <c r="X173" s="20" t="str">
        <f>IFERROR(INDEX('Firm Master'!$G$2:$G$1000,MATCH($C173,'Firm Master'!$B$2:$B$1000,0)),"")</f>
        <v>KPMG Professional Services</v>
      </c>
    </row>
    <row r="174" spans="1:24" ht="15" customHeight="1" x14ac:dyDescent="0.3">
      <c r="A174" s="11">
        <v>173</v>
      </c>
      <c r="B174" s="11">
        <v>35</v>
      </c>
      <c r="C174" s="11" t="s">
        <v>888</v>
      </c>
      <c r="D174" s="11" t="s">
        <v>889</v>
      </c>
      <c r="E174" s="11" t="s">
        <v>772</v>
      </c>
      <c r="F174" s="11">
        <v>2023</v>
      </c>
      <c r="G174" s="20">
        <f t="shared" si="14"/>
        <v>1</v>
      </c>
      <c r="H174" s="21">
        <v>0</v>
      </c>
      <c r="I174" s="21">
        <f>IFERROR(INDEX('Coding Sheet'!$AC$2:$AC$731,MATCH($B174&amp;"_"&amp;$F174,'Coding Sheet'!$A$2:$A$731,0)),"")</f>
        <v>55.000000000000007</v>
      </c>
      <c r="J174" s="7">
        <f>IFERROR(INDEX('Coding Sheet'!$AT$2:$AT$731,MATCH($B174&amp;"_"&amp;$F174,'Coding Sheet'!$A$2:$A$731,0)),"")</f>
        <v>46.666666666666664</v>
      </c>
      <c r="K174" s="21">
        <v>16818000000</v>
      </c>
      <c r="L174" s="21">
        <v>285.52999999999997</v>
      </c>
      <c r="M174" s="20">
        <f t="shared" si="15"/>
        <v>4802043540</v>
      </c>
      <c r="N174" s="21">
        <v>2212885000</v>
      </c>
      <c r="O174" s="21">
        <v>3938725000</v>
      </c>
      <c r="P174" s="20">
        <v>445214000</v>
      </c>
      <c r="Q174" s="20">
        <f t="shared" si="16"/>
        <v>1.7810150594418244</v>
      </c>
      <c r="R174" s="20">
        <f t="shared" si="17"/>
        <v>22.094122903824246</v>
      </c>
      <c r="S174" s="20">
        <f t="shared" si="18"/>
        <v>0.56182774882734898</v>
      </c>
      <c r="T174" s="20">
        <f t="shared" si="19"/>
        <v>0.11303505576043009</v>
      </c>
      <c r="U174" s="20">
        <f>IFERROR(IF(ISNUMBER(INDEX('Firm Master'!$E$2:$E$1000,MATCH($C174,'Firm Master'!$B$2:$B$1000,0))),INDEX('Firm Master'!$E$2:$E$1000,MATCH($C174,'Firm Master'!$B$2:$B$1000,0)),""),"")</f>
        <v>1992</v>
      </c>
      <c r="V174" s="21">
        <f t="shared" si="20"/>
        <v>31</v>
      </c>
      <c r="W174" s="21">
        <v>1</v>
      </c>
      <c r="X174" s="20" t="str">
        <f>IFERROR(INDEX('Firm Master'!$G$2:$G$1000,MATCH($C174,'Firm Master'!$B$2:$B$1000,0)),"")</f>
        <v>KPMG Professional Services</v>
      </c>
    </row>
    <row r="175" spans="1:24" ht="15" customHeight="1" x14ac:dyDescent="0.3">
      <c r="A175" s="11">
        <v>174</v>
      </c>
      <c r="B175" s="11">
        <v>35</v>
      </c>
      <c r="C175" s="11" t="s">
        <v>888</v>
      </c>
      <c r="D175" s="11" t="s">
        <v>889</v>
      </c>
      <c r="E175" s="11" t="s">
        <v>772</v>
      </c>
      <c r="F175" s="11">
        <v>2024</v>
      </c>
      <c r="G175" s="20">
        <f t="shared" si="14"/>
        <v>1</v>
      </c>
      <c r="H175" s="21">
        <v>0</v>
      </c>
      <c r="I175" s="21">
        <f>IFERROR(INDEX('Coding Sheet'!$AC$2:$AC$731,MATCH($B175&amp;"_"&amp;$F175,'Coding Sheet'!$A$2:$A$731,0)),"")</f>
        <v>75</v>
      </c>
      <c r="J175" s="7">
        <f>IFERROR(INDEX('Coding Sheet'!$AT$2:$AT$731,MATCH($B175&amp;"_"&amp;$F175,'Coding Sheet'!$A$2:$A$731,0)),"")</f>
        <v>73.333333333333329</v>
      </c>
      <c r="K175" s="21">
        <v>16752000000</v>
      </c>
      <c r="L175" s="21">
        <v>446.88</v>
      </c>
      <c r="M175" s="20">
        <f t="shared" si="15"/>
        <v>7486133760</v>
      </c>
      <c r="N175" s="21">
        <v>4227993000</v>
      </c>
      <c r="O175" s="21">
        <v>6403238000</v>
      </c>
      <c r="P175" s="20">
        <v>498192000</v>
      </c>
      <c r="Q175" s="20">
        <f t="shared" si="16"/>
        <v>1.8294067407770882</v>
      </c>
      <c r="R175" s="20">
        <f t="shared" si="17"/>
        <v>22.580069636868814</v>
      </c>
      <c r="S175" s="20">
        <f t="shared" si="18"/>
        <v>0.66028984085864062</v>
      </c>
      <c r="T175" s="20">
        <f t="shared" si="19"/>
        <v>7.7803136475639356E-2</v>
      </c>
      <c r="U175" s="20">
        <f>IFERROR(IF(ISNUMBER(INDEX('Firm Master'!$E$2:$E$1000,MATCH($C175,'Firm Master'!$B$2:$B$1000,0))),INDEX('Firm Master'!$E$2:$E$1000,MATCH($C175,'Firm Master'!$B$2:$B$1000,0)),""),"")</f>
        <v>1992</v>
      </c>
      <c r="V175" s="21">
        <f t="shared" si="20"/>
        <v>32</v>
      </c>
      <c r="W175" s="21">
        <v>1</v>
      </c>
      <c r="X175" s="20" t="str">
        <f>IFERROR(INDEX('Firm Master'!$G$2:$G$1000,MATCH($C175,'Firm Master'!$B$2:$B$1000,0)),"")</f>
        <v>KPMG Professional Services</v>
      </c>
    </row>
    <row r="176" spans="1:24" ht="15" customHeight="1" x14ac:dyDescent="0.3">
      <c r="A176" s="11">
        <v>175</v>
      </c>
      <c r="B176" s="11">
        <v>35</v>
      </c>
      <c r="C176" s="11" t="s">
        <v>888</v>
      </c>
      <c r="D176" s="11" t="s">
        <v>889</v>
      </c>
      <c r="E176" s="11" t="s">
        <v>772</v>
      </c>
      <c r="F176" s="11">
        <v>2025</v>
      </c>
      <c r="G176" s="20">
        <f t="shared" si="14"/>
        <v>1</v>
      </c>
      <c r="H176" s="21">
        <v>0</v>
      </c>
      <c r="I176" s="21">
        <f>IFERROR(INDEX('Coding Sheet'!$AC$2:$AC$731,MATCH($B176&amp;"_"&amp;$F176,'Coding Sheet'!$A$2:$A$731,0)),"")</f>
        <v>70</v>
      </c>
      <c r="J176" s="7">
        <f>IFERROR(INDEX('Coding Sheet'!$AT$2:$AT$731,MATCH($B176&amp;"_"&amp;$F176,'Coding Sheet'!$A$2:$A$731,0)),"")</f>
        <v>46.666666666666664</v>
      </c>
      <c r="K176" s="21">
        <v>16752000000</v>
      </c>
      <c r="L176" s="21">
        <v>609</v>
      </c>
      <c r="M176" s="20">
        <f t="shared" si="15"/>
        <v>10201968000</v>
      </c>
      <c r="N176" s="21">
        <v>3420591000</v>
      </c>
      <c r="O176" s="21">
        <v>6040727000</v>
      </c>
      <c r="P176" s="20">
        <v>1002847000</v>
      </c>
      <c r="Q176" s="20">
        <f t="shared" si="16"/>
        <v>2.2551191272176347</v>
      </c>
      <c r="R176" s="20">
        <f t="shared" si="17"/>
        <v>22.521790205888351</v>
      </c>
      <c r="S176" s="20">
        <f t="shared" si="18"/>
        <v>0.566254856410495</v>
      </c>
      <c r="T176" s="20">
        <f t="shared" si="19"/>
        <v>0.16601428933967716</v>
      </c>
      <c r="U176" s="20">
        <f>IFERROR(IF(ISNUMBER(INDEX('Firm Master'!$E$2:$E$1000,MATCH($C176,'Firm Master'!$B$2:$B$1000,0))),INDEX('Firm Master'!$E$2:$E$1000,MATCH($C176,'Firm Master'!$B$2:$B$1000,0)),""),"")</f>
        <v>1992</v>
      </c>
      <c r="V176" s="21">
        <f t="shared" si="20"/>
        <v>33</v>
      </c>
      <c r="W176" s="21">
        <v>1</v>
      </c>
      <c r="X176" s="20" t="str">
        <f>IFERROR(INDEX('Firm Master'!$G$2:$G$1000,MATCH($C176,'Firm Master'!$B$2:$B$1000,0)),"")</f>
        <v>KPMG Professional Services</v>
      </c>
    </row>
    <row r="177" spans="1:24" ht="15" customHeight="1" x14ac:dyDescent="0.3">
      <c r="A177" s="11">
        <v>176</v>
      </c>
      <c r="B177" s="11">
        <v>36</v>
      </c>
      <c r="C177" s="11" t="s">
        <v>892</v>
      </c>
      <c r="D177" s="11" t="s">
        <v>893</v>
      </c>
      <c r="E177" s="11" t="s">
        <v>806</v>
      </c>
      <c r="F177" s="11">
        <v>2021</v>
      </c>
      <c r="G177" s="20">
        <f t="shared" si="14"/>
        <v>0</v>
      </c>
      <c r="H177" s="21">
        <v>0</v>
      </c>
      <c r="I177" s="21">
        <f>IFERROR(INDEX('Coding Sheet'!$AC$2:$AC$731,MATCH($B177&amp;"_"&amp;$F177,'Coding Sheet'!$A$2:$A$731,0)),"")</f>
        <v>5</v>
      </c>
      <c r="J177" s="7">
        <f>IFERROR(INDEX('Coding Sheet'!$AT$2:$AT$731,MATCH($B177&amp;"_"&amp;$F177,'Coding Sheet'!$A$2:$A$731,0)),"")</f>
        <v>0</v>
      </c>
      <c r="K177" s="21">
        <v>12147000000</v>
      </c>
      <c r="L177" s="21">
        <v>14.51</v>
      </c>
      <c r="M177" s="20">
        <f t="shared" si="15"/>
        <v>176252970</v>
      </c>
      <c r="N177" s="21">
        <v>230875000</v>
      </c>
      <c r="O177" s="21">
        <v>359506000</v>
      </c>
      <c r="P177" s="20">
        <v>22058000</v>
      </c>
      <c r="Q177" s="20">
        <f t="shared" si="16"/>
        <v>1.1324650214460954</v>
      </c>
      <c r="R177" s="20">
        <f t="shared" si="17"/>
        <v>19.700241424833113</v>
      </c>
      <c r="S177" s="20">
        <f t="shared" si="18"/>
        <v>0.64220068649758277</v>
      </c>
      <c r="T177" s="20">
        <f t="shared" si="19"/>
        <v>6.1356416860914698E-2</v>
      </c>
      <c r="U177" s="20">
        <f>IFERROR(IF(ISNUMBER(INDEX('Firm Master'!$E$2:$E$1000,MATCH($C177,'Firm Master'!$B$2:$B$1000,0))),INDEX('Firm Master'!$E$2:$E$1000,MATCH($C177,'Firm Master'!$B$2:$B$1000,0)),""),"")</f>
        <v>2006</v>
      </c>
      <c r="V177" s="21">
        <f t="shared" si="20"/>
        <v>15</v>
      </c>
      <c r="W177" s="21">
        <v>1</v>
      </c>
      <c r="X177" s="20" t="str">
        <f>IFERROR(INDEX('Firm Master'!$G$2:$G$1000,MATCH($C177,'Firm Master'!$B$2:$B$1000,0)),"")</f>
        <v>PricewaterhouseCoopers</v>
      </c>
    </row>
    <row r="178" spans="1:24" ht="15" customHeight="1" x14ac:dyDescent="0.3">
      <c r="A178" s="11">
        <v>177</v>
      </c>
      <c r="B178" s="11">
        <v>36</v>
      </c>
      <c r="C178" s="11" t="s">
        <v>892</v>
      </c>
      <c r="D178" s="11" t="s">
        <v>893</v>
      </c>
      <c r="E178" s="11" t="s">
        <v>806</v>
      </c>
      <c r="F178" s="11">
        <v>2022</v>
      </c>
      <c r="G178" s="20">
        <f t="shared" si="14"/>
        <v>0</v>
      </c>
      <c r="H178" s="21">
        <v>0</v>
      </c>
      <c r="I178" s="21">
        <f>IFERROR(INDEX('Coding Sheet'!$AC$2:$AC$731,MATCH($B178&amp;"_"&amp;$F178,'Coding Sheet'!$A$2:$A$731,0)),"")</f>
        <v>5</v>
      </c>
      <c r="J178" s="7">
        <f>IFERROR(INDEX('Coding Sheet'!$AT$2:$AT$731,MATCH($B178&amp;"_"&amp;$F178,'Coding Sheet'!$A$2:$A$731,0)),"")</f>
        <v>0</v>
      </c>
      <c r="K178" s="21">
        <v>12147000000</v>
      </c>
      <c r="L178" s="21">
        <v>14.2</v>
      </c>
      <c r="M178" s="20">
        <f t="shared" si="15"/>
        <v>172487400</v>
      </c>
      <c r="N178" s="21">
        <v>321208000</v>
      </c>
      <c r="O178" s="21">
        <v>492434000</v>
      </c>
      <c r="P178" s="20">
        <v>54738000</v>
      </c>
      <c r="Q178" s="20">
        <f t="shared" si="16"/>
        <v>1.002561561549365</v>
      </c>
      <c r="R178" s="20">
        <f t="shared" si="17"/>
        <v>20.014870999443971</v>
      </c>
      <c r="S178" s="20">
        <f t="shared" si="18"/>
        <v>0.65228639777107189</v>
      </c>
      <c r="T178" s="20">
        <f t="shared" si="19"/>
        <v>0.11115804351446082</v>
      </c>
      <c r="U178" s="20">
        <f>IFERROR(IF(ISNUMBER(INDEX('Firm Master'!$E$2:$E$1000,MATCH($C178,'Firm Master'!$B$2:$B$1000,0))),INDEX('Firm Master'!$E$2:$E$1000,MATCH($C178,'Firm Master'!$B$2:$B$1000,0)),""),"")</f>
        <v>2006</v>
      </c>
      <c r="V178" s="21">
        <f t="shared" si="20"/>
        <v>16</v>
      </c>
      <c r="W178" s="21">
        <v>1</v>
      </c>
      <c r="X178" s="20" t="str">
        <f>IFERROR(INDEX('Firm Master'!$G$2:$G$1000,MATCH($C178,'Firm Master'!$B$2:$B$1000,0)),"")</f>
        <v>PricewaterhouseCoopers</v>
      </c>
    </row>
    <row r="179" spans="1:24" ht="15" customHeight="1" x14ac:dyDescent="0.3">
      <c r="A179" s="11">
        <v>178</v>
      </c>
      <c r="B179" s="11">
        <v>36</v>
      </c>
      <c r="C179" s="11" t="s">
        <v>892</v>
      </c>
      <c r="D179" s="11" t="s">
        <v>893</v>
      </c>
      <c r="E179" s="11" t="s">
        <v>806</v>
      </c>
      <c r="F179" s="11">
        <v>2023</v>
      </c>
      <c r="G179" s="20">
        <f t="shared" si="14"/>
        <v>1</v>
      </c>
      <c r="H179" s="21">
        <v>0</v>
      </c>
      <c r="I179" s="21">
        <f>IFERROR(INDEX('Coding Sheet'!$AC$2:$AC$731,MATCH($B179&amp;"_"&amp;$F179,'Coding Sheet'!$A$2:$A$731,0)),"")</f>
        <v>30</v>
      </c>
      <c r="J179" s="7">
        <f>IFERROR(INDEX('Coding Sheet'!$AT$2:$AT$731,MATCH($B179&amp;"_"&amp;$F179,'Coding Sheet'!$A$2:$A$731,0)),"")</f>
        <v>26.666666666666668</v>
      </c>
      <c r="K179" s="21">
        <v>12147000000</v>
      </c>
      <c r="L179" s="21">
        <v>54.93</v>
      </c>
      <c r="M179" s="20">
        <f t="shared" si="15"/>
        <v>667234710</v>
      </c>
      <c r="N179" s="21">
        <v>521544000</v>
      </c>
      <c r="O179" s="21">
        <v>600790000</v>
      </c>
      <c r="P179" s="20">
        <v>-73743000</v>
      </c>
      <c r="Q179" s="20">
        <f t="shared" si="16"/>
        <v>1.978692571447594</v>
      </c>
      <c r="R179" s="20">
        <f t="shared" si="17"/>
        <v>20.213756013801643</v>
      </c>
      <c r="S179" s="20">
        <f t="shared" si="18"/>
        <v>0.86809700560928116</v>
      </c>
      <c r="T179" s="20">
        <f t="shared" si="19"/>
        <v>-0.12274338787263436</v>
      </c>
      <c r="U179" s="20">
        <f>IFERROR(IF(ISNUMBER(INDEX('Firm Master'!$E$2:$E$1000,MATCH($C179,'Firm Master'!$B$2:$B$1000,0))),INDEX('Firm Master'!$E$2:$E$1000,MATCH($C179,'Firm Master'!$B$2:$B$1000,0)),""),"")</f>
        <v>2006</v>
      </c>
      <c r="V179" s="21">
        <f t="shared" si="20"/>
        <v>17</v>
      </c>
      <c r="W179" s="21">
        <v>1</v>
      </c>
      <c r="X179" s="20" t="str">
        <f>IFERROR(INDEX('Firm Master'!$G$2:$G$1000,MATCH($C179,'Firm Master'!$B$2:$B$1000,0)),"")</f>
        <v>PricewaterhouseCoopers</v>
      </c>
    </row>
    <row r="180" spans="1:24" ht="15" customHeight="1" x14ac:dyDescent="0.3">
      <c r="A180" s="11">
        <v>179</v>
      </c>
      <c r="B180" s="11">
        <v>36</v>
      </c>
      <c r="C180" s="11" t="s">
        <v>892</v>
      </c>
      <c r="D180" s="11" t="s">
        <v>893</v>
      </c>
      <c r="E180" s="11" t="s">
        <v>806</v>
      </c>
      <c r="F180" s="11">
        <v>2024</v>
      </c>
      <c r="G180" s="20">
        <f t="shared" si="14"/>
        <v>1</v>
      </c>
      <c r="H180" s="21">
        <v>0</v>
      </c>
      <c r="I180" s="21">
        <f>IFERROR(INDEX('Coding Sheet'!$AC$2:$AC$731,MATCH($B180&amp;"_"&amp;$F180,'Coding Sheet'!$A$2:$A$731,0)),"")</f>
        <v>25</v>
      </c>
      <c r="J180" s="7">
        <f>IFERROR(INDEX('Coding Sheet'!$AT$2:$AT$731,MATCH($B180&amp;"_"&amp;$F180,'Coding Sheet'!$A$2:$A$731,0)),"")</f>
        <v>0</v>
      </c>
      <c r="K180" s="21">
        <v>12147000000</v>
      </c>
      <c r="L180" s="21">
        <v>31.32</v>
      </c>
      <c r="M180" s="20">
        <f t="shared" si="15"/>
        <v>380444040</v>
      </c>
      <c r="N180" s="21">
        <v>838605000</v>
      </c>
      <c r="O180" s="21">
        <v>1050833000</v>
      </c>
      <c r="P180" s="20">
        <v>-192599000</v>
      </c>
      <c r="Q180" s="20">
        <f t="shared" si="16"/>
        <v>1.1600787565674089</v>
      </c>
      <c r="R180" s="20">
        <f t="shared" si="17"/>
        <v>20.772849019926625</v>
      </c>
      <c r="S180" s="20">
        <f t="shared" si="18"/>
        <v>0.79803831817234516</v>
      </c>
      <c r="T180" s="20">
        <f t="shared" si="19"/>
        <v>-0.18328221515692789</v>
      </c>
      <c r="U180" s="20">
        <f>IFERROR(IF(ISNUMBER(INDEX('Firm Master'!$E$2:$E$1000,MATCH($C180,'Firm Master'!$B$2:$B$1000,0))),INDEX('Firm Master'!$E$2:$E$1000,MATCH($C180,'Firm Master'!$B$2:$B$1000,0)),""),"")</f>
        <v>2006</v>
      </c>
      <c r="V180" s="21">
        <f t="shared" si="20"/>
        <v>18</v>
      </c>
      <c r="W180" s="21">
        <v>1</v>
      </c>
      <c r="X180" s="20" t="str">
        <f>IFERROR(INDEX('Firm Master'!$G$2:$G$1000,MATCH($C180,'Firm Master'!$B$2:$B$1000,0)),"")</f>
        <v>PricewaterhouseCoopers</v>
      </c>
    </row>
    <row r="181" spans="1:24" ht="15" customHeight="1" x14ac:dyDescent="0.3">
      <c r="A181" s="11">
        <v>180</v>
      </c>
      <c r="B181" s="11">
        <v>36</v>
      </c>
      <c r="C181" s="11" t="s">
        <v>892</v>
      </c>
      <c r="D181" s="11" t="s">
        <v>893</v>
      </c>
      <c r="E181" s="11" t="s">
        <v>806</v>
      </c>
      <c r="F181" s="11">
        <v>2025</v>
      </c>
      <c r="G181" s="20">
        <f t="shared" si="14"/>
        <v>1</v>
      </c>
      <c r="H181" s="21">
        <v>0</v>
      </c>
      <c r="I181" s="21">
        <f>IFERROR(INDEX('Coding Sheet'!$AC$2:$AC$731,MATCH($B181&amp;"_"&amp;$F181,'Coding Sheet'!$A$2:$A$731,0)),"")</f>
        <v>5</v>
      </c>
      <c r="J181" s="7">
        <f>IFERROR(INDEX('Coding Sheet'!$AT$2:$AT$731,MATCH($B181&amp;"_"&amp;$F181,'Coding Sheet'!$A$2:$A$731,0)),"")</f>
        <v>0</v>
      </c>
      <c r="K181" s="21">
        <v>12147000000</v>
      </c>
      <c r="L181" s="21">
        <v>57.82</v>
      </c>
      <c r="M181" s="20">
        <f t="shared" si="15"/>
        <v>702339540</v>
      </c>
      <c r="N181" s="21">
        <v>836945000</v>
      </c>
      <c r="O181" s="21">
        <v>965926000</v>
      </c>
      <c r="P181" s="20">
        <v>-64064000</v>
      </c>
      <c r="Q181" s="20">
        <f t="shared" si="16"/>
        <v>1.5935843325472137</v>
      </c>
      <c r="R181" s="20">
        <f t="shared" si="17"/>
        <v>20.688597784687648</v>
      </c>
      <c r="S181" s="20">
        <f t="shared" si="18"/>
        <v>0.86646906698856851</v>
      </c>
      <c r="T181" s="20">
        <f t="shared" si="19"/>
        <v>-6.6323921294177815E-2</v>
      </c>
      <c r="U181" s="20">
        <f>IFERROR(IF(ISNUMBER(INDEX('Firm Master'!$E$2:$E$1000,MATCH($C181,'Firm Master'!$B$2:$B$1000,0))),INDEX('Firm Master'!$E$2:$E$1000,MATCH($C181,'Firm Master'!$B$2:$B$1000,0)),""),"")</f>
        <v>2006</v>
      </c>
      <c r="V181" s="21">
        <f t="shared" si="20"/>
        <v>19</v>
      </c>
      <c r="W181" s="21">
        <v>1</v>
      </c>
      <c r="X181" s="20" t="str">
        <f>IFERROR(INDEX('Firm Master'!$G$2:$G$1000,MATCH($C181,'Firm Master'!$B$2:$B$1000,0)),"")</f>
        <v>PricewaterhouseCoopers</v>
      </c>
    </row>
    <row r="182" spans="1:24" ht="15" customHeight="1" x14ac:dyDescent="0.3">
      <c r="A182" s="16">
        <v>181</v>
      </c>
      <c r="B182" s="16">
        <v>37</v>
      </c>
      <c r="C182" s="16" t="s">
        <v>896</v>
      </c>
      <c r="D182" s="16" t="s">
        <v>897</v>
      </c>
      <c r="E182" s="16" t="s">
        <v>898</v>
      </c>
      <c r="F182" s="16">
        <v>2021</v>
      </c>
      <c r="G182" s="16">
        <f t="shared" si="14"/>
        <v>0</v>
      </c>
      <c r="H182" s="16">
        <v>0</v>
      </c>
      <c r="I182" s="16" t="str">
        <f>IFERROR(INDEX('Coding Sheet'!$AC$2:$AC$731,MATCH($B182&amp;"_"&amp;$F182,'Coding Sheet'!$A$2:$A$731,0)),"")</f>
        <v/>
      </c>
      <c r="J182" s="22" t="str">
        <f>IFERROR(INDEX('Coding Sheet'!$AT$2:$AT$731,MATCH($B182&amp;"_"&amp;$F182,'Coding Sheet'!$A$2:$A$731,0)),"")</f>
        <v/>
      </c>
      <c r="K182" s="16"/>
      <c r="L182" s="16"/>
      <c r="M182" s="16" t="str">
        <f t="shared" si="15"/>
        <v/>
      </c>
      <c r="N182" s="16"/>
      <c r="O182" s="16"/>
      <c r="P182" s="16"/>
      <c r="Q182" s="16" t="str">
        <f t="shared" si="16"/>
        <v/>
      </c>
      <c r="R182" s="16" t="str">
        <f t="shared" si="17"/>
        <v/>
      </c>
      <c r="S182" s="16" t="str">
        <f t="shared" si="18"/>
        <v/>
      </c>
      <c r="T182" s="16" t="str">
        <f t="shared" si="19"/>
        <v/>
      </c>
      <c r="U182" s="16" t="str">
        <f>IFERROR(IF(ISNUMBER(INDEX('Firm Master'!$E$2:$E$1000,MATCH($C182,'Firm Master'!$B$2:$B$1000,0))),INDEX('Firm Master'!$E$2:$E$1000,MATCH($C182,'Firm Master'!$B$2:$B$1000,0)),""),"")</f>
        <v/>
      </c>
      <c r="V182" s="16" t="str">
        <f t="shared" si="20"/>
        <v/>
      </c>
      <c r="W182" s="16"/>
      <c r="X182" s="16">
        <f>IFERROR(INDEX('Firm Master'!$G$2:$G$1000,MATCH($C182,'Firm Master'!$B$2:$B$1000,0)),"")</f>
        <v>0</v>
      </c>
    </row>
    <row r="183" spans="1:24" ht="15" customHeight="1" x14ac:dyDescent="0.3">
      <c r="A183" s="16">
        <v>182</v>
      </c>
      <c r="B183" s="16">
        <v>37</v>
      </c>
      <c r="C183" s="16" t="s">
        <v>896</v>
      </c>
      <c r="D183" s="16" t="s">
        <v>897</v>
      </c>
      <c r="E183" s="16" t="s">
        <v>898</v>
      </c>
      <c r="F183" s="16">
        <v>2022</v>
      </c>
      <c r="G183" s="16">
        <f t="shared" si="14"/>
        <v>0</v>
      </c>
      <c r="H183" s="16">
        <v>0</v>
      </c>
      <c r="I183" s="16" t="str">
        <f>IFERROR(INDEX('Coding Sheet'!$AC$2:$AC$731,MATCH($B183&amp;"_"&amp;$F183,'Coding Sheet'!$A$2:$A$731,0)),"")</f>
        <v/>
      </c>
      <c r="J183" s="22" t="str">
        <f>IFERROR(INDEX('Coding Sheet'!$AT$2:$AT$731,MATCH($B183&amp;"_"&amp;$F183,'Coding Sheet'!$A$2:$A$731,0)),"")</f>
        <v/>
      </c>
      <c r="K183" s="16"/>
      <c r="L183" s="16"/>
      <c r="M183" s="16" t="str">
        <f t="shared" si="15"/>
        <v/>
      </c>
      <c r="N183" s="16"/>
      <c r="O183" s="16"/>
      <c r="P183" s="16"/>
      <c r="Q183" s="16" t="str">
        <f t="shared" si="16"/>
        <v/>
      </c>
      <c r="R183" s="16" t="str">
        <f t="shared" si="17"/>
        <v/>
      </c>
      <c r="S183" s="16" t="str">
        <f t="shared" si="18"/>
        <v/>
      </c>
      <c r="T183" s="16" t="str">
        <f t="shared" si="19"/>
        <v/>
      </c>
      <c r="U183" s="16" t="str">
        <f>IFERROR(IF(ISNUMBER(INDEX('Firm Master'!$E$2:$E$1000,MATCH($C183,'Firm Master'!$B$2:$B$1000,0))),INDEX('Firm Master'!$E$2:$E$1000,MATCH($C183,'Firm Master'!$B$2:$B$1000,0)),""),"")</f>
        <v/>
      </c>
      <c r="V183" s="16" t="str">
        <f t="shared" si="20"/>
        <v/>
      </c>
      <c r="W183" s="16"/>
      <c r="X183" s="16">
        <f>IFERROR(INDEX('Firm Master'!$G$2:$G$1000,MATCH($C183,'Firm Master'!$B$2:$B$1000,0)),"")</f>
        <v>0</v>
      </c>
    </row>
    <row r="184" spans="1:24" ht="15" customHeight="1" x14ac:dyDescent="0.3">
      <c r="A184" s="16">
        <v>183</v>
      </c>
      <c r="B184" s="16">
        <v>37</v>
      </c>
      <c r="C184" s="16" t="s">
        <v>896</v>
      </c>
      <c r="D184" s="16" t="s">
        <v>897</v>
      </c>
      <c r="E184" s="16" t="s">
        <v>898</v>
      </c>
      <c r="F184" s="16">
        <v>2023</v>
      </c>
      <c r="G184" s="16">
        <f t="shared" si="14"/>
        <v>1</v>
      </c>
      <c r="H184" s="16">
        <v>0</v>
      </c>
      <c r="I184" s="16" t="str">
        <f>IFERROR(INDEX('Coding Sheet'!$AC$2:$AC$731,MATCH($B184&amp;"_"&amp;$F184,'Coding Sheet'!$A$2:$A$731,0)),"")</f>
        <v/>
      </c>
      <c r="J184" s="22" t="str">
        <f>IFERROR(INDEX('Coding Sheet'!$AT$2:$AT$731,MATCH($B184&amp;"_"&amp;$F184,'Coding Sheet'!$A$2:$A$731,0)),"")</f>
        <v/>
      </c>
      <c r="K184" s="16"/>
      <c r="L184" s="16"/>
      <c r="M184" s="16" t="str">
        <f t="shared" si="15"/>
        <v/>
      </c>
      <c r="N184" s="16"/>
      <c r="O184" s="16"/>
      <c r="P184" s="16"/>
      <c r="Q184" s="16" t="str">
        <f t="shared" si="16"/>
        <v/>
      </c>
      <c r="R184" s="16" t="str">
        <f t="shared" si="17"/>
        <v/>
      </c>
      <c r="S184" s="16" t="str">
        <f t="shared" si="18"/>
        <v/>
      </c>
      <c r="T184" s="16" t="str">
        <f t="shared" si="19"/>
        <v/>
      </c>
      <c r="U184" s="16" t="str">
        <f>IFERROR(IF(ISNUMBER(INDEX('Firm Master'!$E$2:$E$1000,MATCH($C184,'Firm Master'!$B$2:$B$1000,0))),INDEX('Firm Master'!$E$2:$E$1000,MATCH($C184,'Firm Master'!$B$2:$B$1000,0)),""),"")</f>
        <v/>
      </c>
      <c r="V184" s="16" t="str">
        <f t="shared" si="20"/>
        <v/>
      </c>
      <c r="W184" s="16"/>
      <c r="X184" s="16">
        <f>IFERROR(INDEX('Firm Master'!$G$2:$G$1000,MATCH($C184,'Firm Master'!$B$2:$B$1000,0)),"")</f>
        <v>0</v>
      </c>
    </row>
    <row r="185" spans="1:24" ht="15" customHeight="1" x14ac:dyDescent="0.3">
      <c r="A185" s="16">
        <v>184</v>
      </c>
      <c r="B185" s="16">
        <v>37</v>
      </c>
      <c r="C185" s="16" t="s">
        <v>896</v>
      </c>
      <c r="D185" s="16" t="s">
        <v>897</v>
      </c>
      <c r="E185" s="16" t="s">
        <v>898</v>
      </c>
      <c r="F185" s="16">
        <v>2024</v>
      </c>
      <c r="G185" s="16">
        <f t="shared" si="14"/>
        <v>1</v>
      </c>
      <c r="H185" s="16">
        <v>0</v>
      </c>
      <c r="I185" s="16" t="str">
        <f>IFERROR(INDEX('Coding Sheet'!$AC$2:$AC$731,MATCH($B185&amp;"_"&amp;$F185,'Coding Sheet'!$A$2:$A$731,0)),"")</f>
        <v/>
      </c>
      <c r="J185" s="22" t="str">
        <f>IFERROR(INDEX('Coding Sheet'!$AT$2:$AT$731,MATCH($B185&amp;"_"&amp;$F185,'Coding Sheet'!$A$2:$A$731,0)),"")</f>
        <v/>
      </c>
      <c r="K185" s="16"/>
      <c r="L185" s="16"/>
      <c r="M185" s="16" t="str">
        <f t="shared" si="15"/>
        <v/>
      </c>
      <c r="N185" s="16"/>
      <c r="O185" s="16"/>
      <c r="P185" s="16"/>
      <c r="Q185" s="16" t="str">
        <f t="shared" si="16"/>
        <v/>
      </c>
      <c r="R185" s="16" t="str">
        <f t="shared" si="17"/>
        <v/>
      </c>
      <c r="S185" s="16" t="str">
        <f t="shared" si="18"/>
        <v/>
      </c>
      <c r="T185" s="16" t="str">
        <f t="shared" si="19"/>
        <v/>
      </c>
      <c r="U185" s="16" t="str">
        <f>IFERROR(IF(ISNUMBER(INDEX('Firm Master'!$E$2:$E$1000,MATCH($C185,'Firm Master'!$B$2:$B$1000,0))),INDEX('Firm Master'!$E$2:$E$1000,MATCH($C185,'Firm Master'!$B$2:$B$1000,0)),""),"")</f>
        <v/>
      </c>
      <c r="V185" s="16" t="str">
        <f t="shared" si="20"/>
        <v/>
      </c>
      <c r="W185" s="16"/>
      <c r="X185" s="16">
        <f>IFERROR(INDEX('Firm Master'!$G$2:$G$1000,MATCH($C185,'Firm Master'!$B$2:$B$1000,0)),"")</f>
        <v>0</v>
      </c>
    </row>
    <row r="186" spans="1:24" ht="15" customHeight="1" x14ac:dyDescent="0.3">
      <c r="A186" s="16">
        <v>185</v>
      </c>
      <c r="B186" s="16">
        <v>37</v>
      </c>
      <c r="C186" s="16" t="s">
        <v>896</v>
      </c>
      <c r="D186" s="16" t="s">
        <v>897</v>
      </c>
      <c r="E186" s="16" t="s">
        <v>898</v>
      </c>
      <c r="F186" s="16">
        <v>2025</v>
      </c>
      <c r="G186" s="16">
        <f t="shared" si="14"/>
        <v>1</v>
      </c>
      <c r="H186" s="16">
        <v>0</v>
      </c>
      <c r="I186" s="16" t="str">
        <f>IFERROR(INDEX('Coding Sheet'!$AC$2:$AC$731,MATCH($B186&amp;"_"&amp;$F186,'Coding Sheet'!$A$2:$A$731,0)),"")</f>
        <v/>
      </c>
      <c r="J186" s="22" t="str">
        <f>IFERROR(INDEX('Coding Sheet'!$AT$2:$AT$731,MATCH($B186&amp;"_"&amp;$F186,'Coding Sheet'!$A$2:$A$731,0)),"")</f>
        <v/>
      </c>
      <c r="K186" s="16"/>
      <c r="L186" s="16"/>
      <c r="M186" s="16" t="str">
        <f t="shared" si="15"/>
        <v/>
      </c>
      <c r="N186" s="16"/>
      <c r="O186" s="16"/>
      <c r="P186" s="16"/>
      <c r="Q186" s="16" t="str">
        <f t="shared" si="16"/>
        <v/>
      </c>
      <c r="R186" s="16" t="str">
        <f t="shared" si="17"/>
        <v/>
      </c>
      <c r="S186" s="16" t="str">
        <f t="shared" si="18"/>
        <v/>
      </c>
      <c r="T186" s="16" t="str">
        <f t="shared" si="19"/>
        <v/>
      </c>
      <c r="U186" s="16" t="str">
        <f>IFERROR(IF(ISNUMBER(INDEX('Firm Master'!$E$2:$E$1000,MATCH($C186,'Firm Master'!$B$2:$B$1000,0))),INDEX('Firm Master'!$E$2:$E$1000,MATCH($C186,'Firm Master'!$B$2:$B$1000,0)),""),"")</f>
        <v/>
      </c>
      <c r="V186" s="16" t="str">
        <f t="shared" si="20"/>
        <v/>
      </c>
      <c r="W186" s="16"/>
      <c r="X186" s="16">
        <f>IFERROR(INDEX('Firm Master'!$G$2:$G$1000,MATCH($C186,'Firm Master'!$B$2:$B$1000,0)),"")</f>
        <v>0</v>
      </c>
    </row>
    <row r="187" spans="1:24" ht="15" customHeight="1" x14ac:dyDescent="0.3">
      <c r="A187" s="11">
        <v>186</v>
      </c>
      <c r="B187" s="11">
        <v>38</v>
      </c>
      <c r="C187" s="11" t="s">
        <v>901</v>
      </c>
      <c r="D187" s="11" t="s">
        <v>902</v>
      </c>
      <c r="E187" s="11" t="s">
        <v>903</v>
      </c>
      <c r="F187" s="11">
        <v>2021</v>
      </c>
      <c r="G187" s="20">
        <f t="shared" si="14"/>
        <v>0</v>
      </c>
      <c r="H187" s="24">
        <v>0</v>
      </c>
      <c r="I187" s="24">
        <f>IFERROR(INDEX('Coding Sheet'!$AC$2:$AC$731,MATCH($B187&amp;"_"&amp;$F187,'Coding Sheet'!$A$2:$A$731,0)),"")</f>
        <v>0</v>
      </c>
      <c r="J187" s="7">
        <f>IFERROR(INDEX('Coding Sheet'!$AT$2:$AT$731,MATCH($B187&amp;"_"&amp;$F187,'Coding Sheet'!$A$2:$A$731,0)),"")</f>
        <v>0</v>
      </c>
      <c r="K187" s="24">
        <v>2000000000</v>
      </c>
      <c r="L187" s="24">
        <v>4.25</v>
      </c>
      <c r="M187" s="20">
        <f t="shared" si="15"/>
        <v>8500000</v>
      </c>
      <c r="N187" s="24">
        <v>2960042</v>
      </c>
      <c r="O187" s="24">
        <v>10081326</v>
      </c>
      <c r="P187" s="20">
        <v>-563279</v>
      </c>
      <c r="Q187" s="20">
        <f t="shared" si="16"/>
        <v>1.1367593905801678</v>
      </c>
      <c r="R187" s="20">
        <f t="shared" si="17"/>
        <v>16.126195359574915</v>
      </c>
      <c r="S187" s="20">
        <f t="shared" si="18"/>
        <v>0.29361633578757396</v>
      </c>
      <c r="T187" s="20">
        <f t="shared" si="19"/>
        <v>-5.5873503148296165E-2</v>
      </c>
      <c r="U187" s="20">
        <f>IFERROR(IF(ISNUMBER(INDEX('Firm Master'!$E$2:$E$1000,MATCH($C187,'Firm Master'!$B$2:$B$1000,0))),INDEX('Firm Master'!$E$2:$E$1000,MATCH($C187,'Firm Master'!$B$2:$B$1000,0)),""),"")</f>
        <v>1980</v>
      </c>
      <c r="V187" s="24">
        <f t="shared" si="20"/>
        <v>41</v>
      </c>
      <c r="W187" s="24">
        <v>0</v>
      </c>
      <c r="X187" s="20" t="str">
        <f>IFERROR(INDEX('Firm Master'!$G$2:$G$1000,MATCH($C187,'Firm Master'!$B$2:$B$1000,0)),"")</f>
        <v>Olabode Akande &amp; Co.</v>
      </c>
    </row>
    <row r="188" spans="1:24" ht="15" customHeight="1" x14ac:dyDescent="0.3">
      <c r="A188" s="11">
        <v>187</v>
      </c>
      <c r="B188" s="11">
        <v>38</v>
      </c>
      <c r="C188" s="11" t="s">
        <v>901</v>
      </c>
      <c r="D188" s="11" t="s">
        <v>902</v>
      </c>
      <c r="E188" s="11" t="s">
        <v>903</v>
      </c>
      <c r="F188" s="11">
        <v>2022</v>
      </c>
      <c r="G188" s="20">
        <f t="shared" si="14"/>
        <v>0</v>
      </c>
      <c r="H188" s="21">
        <v>0</v>
      </c>
      <c r="I188" s="21">
        <f>IFERROR(INDEX('Coding Sheet'!$AC$2:$AC$731,MATCH($B188&amp;"_"&amp;$F188,'Coding Sheet'!$A$2:$A$731,0)),"")</f>
        <v>0</v>
      </c>
      <c r="J188" s="7">
        <f>IFERROR(INDEX('Coding Sheet'!$AT$2:$AT$731,MATCH($B188&amp;"_"&amp;$F188,'Coding Sheet'!$A$2:$A$731,0)),"")</f>
        <v>0</v>
      </c>
      <c r="K188" s="21">
        <v>1792000000</v>
      </c>
      <c r="L188" s="21">
        <v>3.61</v>
      </c>
      <c r="M188" s="20">
        <f t="shared" si="15"/>
        <v>6469120</v>
      </c>
      <c r="N188" s="21">
        <v>3527000</v>
      </c>
      <c r="O188" s="21">
        <v>23360000</v>
      </c>
      <c r="P188" s="20">
        <v>-1004000</v>
      </c>
      <c r="Q188" s="20">
        <f t="shared" si="16"/>
        <v>0.42791609589041096</v>
      </c>
      <c r="R188" s="20">
        <f t="shared" si="17"/>
        <v>16.966535715924302</v>
      </c>
      <c r="S188" s="20">
        <f t="shared" si="18"/>
        <v>0.15098458904109588</v>
      </c>
      <c r="T188" s="20">
        <f t="shared" si="19"/>
        <v>-4.2979452054794517E-2</v>
      </c>
      <c r="U188" s="20">
        <f>IFERROR(IF(ISNUMBER(INDEX('Firm Master'!$E$2:$E$1000,MATCH($C188,'Firm Master'!$B$2:$B$1000,0))),INDEX('Firm Master'!$E$2:$E$1000,MATCH($C188,'Firm Master'!$B$2:$B$1000,0)),""),"")</f>
        <v>1980</v>
      </c>
      <c r="V188" s="21">
        <f t="shared" si="20"/>
        <v>42</v>
      </c>
      <c r="W188" s="21">
        <v>0</v>
      </c>
      <c r="X188" s="20" t="str">
        <f>IFERROR(INDEX('Firm Master'!$G$2:$G$1000,MATCH($C188,'Firm Master'!$B$2:$B$1000,0)),"")</f>
        <v>Olabode Akande &amp; Co.</v>
      </c>
    </row>
    <row r="189" spans="1:24" ht="15" customHeight="1" x14ac:dyDescent="0.3">
      <c r="A189" s="11">
        <v>188</v>
      </c>
      <c r="B189" s="11">
        <v>38</v>
      </c>
      <c r="C189" s="11" t="s">
        <v>901</v>
      </c>
      <c r="D189" s="11" t="s">
        <v>902</v>
      </c>
      <c r="E189" s="11" t="s">
        <v>903</v>
      </c>
      <c r="F189" s="11">
        <v>2023</v>
      </c>
      <c r="G189" s="20">
        <f t="shared" si="14"/>
        <v>1</v>
      </c>
      <c r="H189" s="21">
        <v>0</v>
      </c>
      <c r="I189" s="21">
        <f>IFERROR(INDEX('Coding Sheet'!$AC$2:$AC$731,MATCH($B189&amp;"_"&amp;$F189,'Coding Sheet'!$A$2:$A$731,0)),"")</f>
        <v>0</v>
      </c>
      <c r="J189" s="7">
        <f>IFERROR(INDEX('Coding Sheet'!$AT$2:$AT$731,MATCH($B189&amp;"_"&amp;$F189,'Coding Sheet'!$A$2:$A$731,0)),"")</f>
        <v>0</v>
      </c>
      <c r="K189" s="21">
        <v>2000000000</v>
      </c>
      <c r="L189" s="21">
        <v>3.93</v>
      </c>
      <c r="M189" s="20">
        <f t="shared" si="15"/>
        <v>7860000</v>
      </c>
      <c r="N189" s="21">
        <v>3520000</v>
      </c>
      <c r="O189" s="21">
        <v>23436000</v>
      </c>
      <c r="P189" s="20">
        <v>-849320</v>
      </c>
      <c r="Q189" s="20">
        <f t="shared" si="16"/>
        <v>0.48557774364225975</v>
      </c>
      <c r="R189" s="20">
        <f t="shared" si="17"/>
        <v>16.969783859646817</v>
      </c>
      <c r="S189" s="20">
        <f t="shared" si="18"/>
        <v>0.15019627922853729</v>
      </c>
      <c r="T189" s="20">
        <f t="shared" si="19"/>
        <v>-3.6239972691585597E-2</v>
      </c>
      <c r="U189" s="20">
        <f>IFERROR(IF(ISNUMBER(INDEX('Firm Master'!$E$2:$E$1000,MATCH($C189,'Firm Master'!$B$2:$B$1000,0))),INDEX('Firm Master'!$E$2:$E$1000,MATCH($C189,'Firm Master'!$B$2:$B$1000,0)),""),"")</f>
        <v>1980</v>
      </c>
      <c r="V189" s="21">
        <f t="shared" si="20"/>
        <v>43</v>
      </c>
      <c r="W189" s="21">
        <v>0</v>
      </c>
      <c r="X189" s="20" t="str">
        <f>IFERROR(INDEX('Firm Master'!$G$2:$G$1000,MATCH($C189,'Firm Master'!$B$2:$B$1000,0)),"")</f>
        <v>Olabode Akande &amp; Co.</v>
      </c>
    </row>
    <row r="190" spans="1:24" ht="15" customHeight="1" x14ac:dyDescent="0.3">
      <c r="A190" s="11">
        <v>189</v>
      </c>
      <c r="B190" s="11">
        <v>38</v>
      </c>
      <c r="C190" s="11" t="s">
        <v>901</v>
      </c>
      <c r="D190" s="11" t="s">
        <v>902</v>
      </c>
      <c r="E190" s="11" t="s">
        <v>903</v>
      </c>
      <c r="F190" s="11">
        <v>2024</v>
      </c>
      <c r="G190" s="20">
        <f t="shared" si="14"/>
        <v>1</v>
      </c>
      <c r="H190" s="21">
        <v>0</v>
      </c>
      <c r="I190" s="21">
        <f>IFERROR(INDEX('Coding Sheet'!$AC$2:$AC$731,MATCH($B190&amp;"_"&amp;$F190,'Coding Sheet'!$A$2:$A$731,0)),"")</f>
        <v>0</v>
      </c>
      <c r="J190" s="7">
        <f>IFERROR(INDEX('Coding Sheet'!$AT$2:$AT$731,MATCH($B190&amp;"_"&amp;$F190,'Coding Sheet'!$A$2:$A$731,0)),"")</f>
        <v>0</v>
      </c>
      <c r="K190" s="21">
        <v>2754000000</v>
      </c>
      <c r="L190" s="21">
        <v>3</v>
      </c>
      <c r="M190" s="20">
        <f t="shared" si="15"/>
        <v>8262000</v>
      </c>
      <c r="N190" s="21">
        <v>2703000</v>
      </c>
      <c r="O190" s="21">
        <v>24552000</v>
      </c>
      <c r="P190" s="20">
        <v>-893940</v>
      </c>
      <c r="Q190" s="20">
        <f t="shared" si="16"/>
        <v>0.44660312805474095</v>
      </c>
      <c r="R190" s="20">
        <f t="shared" si="17"/>
        <v>17.016303875281711</v>
      </c>
      <c r="S190" s="20">
        <f t="shared" si="18"/>
        <v>0.11009286412512219</v>
      </c>
      <c r="T190" s="20">
        <f t="shared" si="19"/>
        <v>-3.6410068426197456E-2</v>
      </c>
      <c r="U190" s="20">
        <f>IFERROR(IF(ISNUMBER(INDEX('Firm Master'!$E$2:$E$1000,MATCH($C190,'Firm Master'!$B$2:$B$1000,0))),INDEX('Firm Master'!$E$2:$E$1000,MATCH($C190,'Firm Master'!$B$2:$B$1000,0)),""),"")</f>
        <v>1980</v>
      </c>
      <c r="V190" s="21">
        <f t="shared" si="20"/>
        <v>44</v>
      </c>
      <c r="W190" s="21">
        <v>0</v>
      </c>
      <c r="X190" s="20" t="str">
        <f>IFERROR(INDEX('Firm Master'!$G$2:$G$1000,MATCH($C190,'Firm Master'!$B$2:$B$1000,0)),"")</f>
        <v>Olabode Akande &amp; Co.</v>
      </c>
    </row>
    <row r="191" spans="1:24" ht="15" customHeight="1" x14ac:dyDescent="0.3">
      <c r="A191" s="11">
        <v>190</v>
      </c>
      <c r="B191" s="11">
        <v>38</v>
      </c>
      <c r="C191" s="11" t="s">
        <v>901</v>
      </c>
      <c r="D191" s="11" t="s">
        <v>902</v>
      </c>
      <c r="E191" s="11" t="s">
        <v>903</v>
      </c>
      <c r="F191" s="11">
        <v>2025</v>
      </c>
      <c r="G191" s="20">
        <f t="shared" si="14"/>
        <v>1</v>
      </c>
      <c r="H191" s="21">
        <v>0</v>
      </c>
      <c r="I191" s="21">
        <f>IFERROR(INDEX('Coding Sheet'!$AC$2:$AC$731,MATCH($B191&amp;"_"&amp;$F191,'Coding Sheet'!$A$2:$A$731,0)),"")</f>
        <v>0</v>
      </c>
      <c r="J191" s="7">
        <f>IFERROR(INDEX('Coding Sheet'!$AT$2:$AT$731,MATCH($B191&amp;"_"&amp;$F191,'Coding Sheet'!$A$2:$A$731,0)),"")</f>
        <v>0</v>
      </c>
      <c r="K191" s="21">
        <v>3858000000</v>
      </c>
      <c r="L191" s="21">
        <v>9.2100000000000009</v>
      </c>
      <c r="M191" s="20">
        <f t="shared" si="15"/>
        <v>35532180</v>
      </c>
      <c r="N191" s="21">
        <v>8391000</v>
      </c>
      <c r="O191" s="21">
        <v>31051000</v>
      </c>
      <c r="P191" s="20">
        <v>-1596000</v>
      </c>
      <c r="Q191" s="20">
        <f t="shared" si="16"/>
        <v>1.4145496119287624</v>
      </c>
      <c r="R191" s="20">
        <f t="shared" si="17"/>
        <v>17.25114157194432</v>
      </c>
      <c r="S191" s="20">
        <f t="shared" si="18"/>
        <v>0.2702328427425848</v>
      </c>
      <c r="T191" s="20">
        <f t="shared" si="19"/>
        <v>-5.1399310811246011E-2</v>
      </c>
      <c r="U191" s="20">
        <f>IFERROR(IF(ISNUMBER(INDEX('Firm Master'!$E$2:$E$1000,MATCH($C191,'Firm Master'!$B$2:$B$1000,0))),INDEX('Firm Master'!$E$2:$E$1000,MATCH($C191,'Firm Master'!$B$2:$B$1000,0)),""),"")</f>
        <v>1980</v>
      </c>
      <c r="V191" s="21">
        <f t="shared" si="20"/>
        <v>45</v>
      </c>
      <c r="W191" s="21">
        <v>0</v>
      </c>
      <c r="X191" s="20" t="str">
        <f>IFERROR(INDEX('Firm Master'!$G$2:$G$1000,MATCH($C191,'Firm Master'!$B$2:$B$1000,0)),"")</f>
        <v>Olabode Akande &amp; Co.</v>
      </c>
    </row>
    <row r="192" spans="1:24" ht="15" customHeight="1" x14ac:dyDescent="0.3">
      <c r="A192" s="11">
        <v>191</v>
      </c>
      <c r="B192" s="11">
        <v>39</v>
      </c>
      <c r="C192" s="11" t="s">
        <v>907</v>
      </c>
      <c r="D192" s="11" t="s">
        <v>908</v>
      </c>
      <c r="E192" s="11" t="s">
        <v>806</v>
      </c>
      <c r="F192" s="11">
        <v>2021</v>
      </c>
      <c r="G192" s="20">
        <f t="shared" si="14"/>
        <v>0</v>
      </c>
      <c r="H192" s="24">
        <v>0</v>
      </c>
      <c r="I192" s="24">
        <f>IFERROR(INDEX('Coding Sheet'!$AC$2:$AC$731,MATCH($B192&amp;"_"&amp;$F192,'Coding Sheet'!$A$2:$A$731,0)),"")</f>
        <v>0</v>
      </c>
      <c r="J192" s="7">
        <f>IFERROR(INDEX('Coding Sheet'!$AT$2:$AT$731,MATCH($B192&amp;"_"&amp;$F192,'Coding Sheet'!$A$2:$A$731,0)),"")</f>
        <v>0</v>
      </c>
      <c r="K192" s="24">
        <v>76032000</v>
      </c>
      <c r="L192" s="24">
        <v>16.2</v>
      </c>
      <c r="M192" s="20">
        <f t="shared" si="15"/>
        <v>1231718.3999999999</v>
      </c>
      <c r="N192" s="24">
        <v>951234</v>
      </c>
      <c r="O192" s="24">
        <v>1507040</v>
      </c>
      <c r="P192" s="20">
        <v>-275533</v>
      </c>
      <c r="Q192" s="20">
        <f t="shared" si="16"/>
        <v>1.4485032912198748</v>
      </c>
      <c r="R192" s="20">
        <f t="shared" si="17"/>
        <v>14.225658020056644</v>
      </c>
      <c r="S192" s="20">
        <f t="shared" si="18"/>
        <v>0.63119359804650177</v>
      </c>
      <c r="T192" s="20">
        <f t="shared" si="19"/>
        <v>-0.18283058180273914</v>
      </c>
      <c r="U192" s="20">
        <f>IFERROR(IF(ISNUMBER(INDEX('Firm Master'!$E$2:$E$1000,MATCH($C192,'Firm Master'!$B$2:$B$1000,0))),INDEX('Firm Master'!$E$2:$E$1000,MATCH($C192,'Firm Master'!$B$2:$B$1000,0)),""),"")</f>
        <v>1960</v>
      </c>
      <c r="V192" s="24">
        <f t="shared" si="20"/>
        <v>61</v>
      </c>
      <c r="W192" s="24">
        <v>0</v>
      </c>
      <c r="X192" s="20" t="str">
        <f>IFERROR(INDEX('Firm Master'!$G$2:$G$1000,MATCH($C192,'Firm Master'!$B$2:$B$1000,0)),"")</f>
        <v>OOP and Partners (Chartered Accountants)</v>
      </c>
    </row>
    <row r="193" spans="1:24" ht="15" customHeight="1" x14ac:dyDescent="0.3">
      <c r="A193" s="11">
        <v>192</v>
      </c>
      <c r="B193" s="11">
        <v>39</v>
      </c>
      <c r="C193" s="11" t="s">
        <v>907</v>
      </c>
      <c r="D193" s="11" t="s">
        <v>908</v>
      </c>
      <c r="E193" s="11" t="s">
        <v>806</v>
      </c>
      <c r="F193" s="11">
        <v>2022</v>
      </c>
      <c r="G193" s="20">
        <f t="shared" si="14"/>
        <v>0</v>
      </c>
      <c r="H193" s="21">
        <v>0</v>
      </c>
      <c r="I193" s="21">
        <f>IFERROR(INDEX('Coding Sheet'!$AC$2:$AC$731,MATCH($B193&amp;"_"&amp;$F193,'Coding Sheet'!$A$2:$A$731,0)),"")</f>
        <v>0</v>
      </c>
      <c r="J193" s="7">
        <f>IFERROR(INDEX('Coding Sheet'!$AT$2:$AT$731,MATCH($B193&amp;"_"&amp;$F193,'Coding Sheet'!$A$2:$A$731,0)),"")</f>
        <v>0</v>
      </c>
      <c r="K193" s="21">
        <v>76030000</v>
      </c>
      <c r="L193" s="21">
        <v>16.2</v>
      </c>
      <c r="M193" s="20">
        <f t="shared" si="15"/>
        <v>1231686</v>
      </c>
      <c r="N193" s="21">
        <v>4264000</v>
      </c>
      <c r="O193" s="21">
        <v>4409000</v>
      </c>
      <c r="P193" s="20">
        <v>-431220</v>
      </c>
      <c r="Q193" s="20">
        <f t="shared" si="16"/>
        <v>1.246469947833976</v>
      </c>
      <c r="R193" s="20">
        <f t="shared" si="17"/>
        <v>15.299158464340074</v>
      </c>
      <c r="S193" s="20">
        <f t="shared" si="18"/>
        <v>0.96711272397369019</v>
      </c>
      <c r="T193" s="20">
        <f t="shared" si="19"/>
        <v>-9.7804490814243597E-2</v>
      </c>
      <c r="U193" s="20">
        <f>IFERROR(IF(ISNUMBER(INDEX('Firm Master'!$E$2:$E$1000,MATCH($C193,'Firm Master'!$B$2:$B$1000,0))),INDEX('Firm Master'!$E$2:$E$1000,MATCH($C193,'Firm Master'!$B$2:$B$1000,0)),""),"")</f>
        <v>1960</v>
      </c>
      <c r="V193" s="21">
        <f t="shared" si="20"/>
        <v>62</v>
      </c>
      <c r="W193" s="21">
        <v>0</v>
      </c>
      <c r="X193" s="20" t="str">
        <f>IFERROR(INDEX('Firm Master'!$G$2:$G$1000,MATCH($C193,'Firm Master'!$B$2:$B$1000,0)),"")</f>
        <v>OOP and Partners (Chartered Accountants)</v>
      </c>
    </row>
    <row r="194" spans="1:24" ht="15" customHeight="1" x14ac:dyDescent="0.3">
      <c r="A194" s="11">
        <v>193</v>
      </c>
      <c r="B194" s="11">
        <v>39</v>
      </c>
      <c r="C194" s="11" t="s">
        <v>907</v>
      </c>
      <c r="D194" s="11" t="s">
        <v>908</v>
      </c>
      <c r="E194" s="11" t="s">
        <v>806</v>
      </c>
      <c r="F194" s="11">
        <v>2023</v>
      </c>
      <c r="G194" s="20">
        <f t="shared" ref="G194:G257" si="21">IF(F194&gt;=2023,1,0)</f>
        <v>1</v>
      </c>
      <c r="H194" s="21">
        <v>0</v>
      </c>
      <c r="I194" s="21">
        <f>IFERROR(INDEX('Coding Sheet'!$AC$2:$AC$731,MATCH($B194&amp;"_"&amp;$F194,'Coding Sheet'!$A$2:$A$731,0)),"")</f>
        <v>0</v>
      </c>
      <c r="J194" s="7">
        <f>IFERROR(INDEX('Coding Sheet'!$AT$2:$AT$731,MATCH($B194&amp;"_"&amp;$F194,'Coding Sheet'!$A$2:$A$731,0)),"")</f>
        <v>0</v>
      </c>
      <c r="K194" s="21">
        <v>76030000</v>
      </c>
      <c r="L194" s="21">
        <v>17.75</v>
      </c>
      <c r="M194" s="20">
        <f t="shared" ref="M194:M257" si="22">IF(AND(ISNUMBER(K194),ISNUMBER(L194)),K194*L194/1000,"")</f>
        <v>1349532.5</v>
      </c>
      <c r="N194" s="21">
        <v>3671000</v>
      </c>
      <c r="O194" s="21">
        <v>5502000</v>
      </c>
      <c r="P194" s="20">
        <v>1686000</v>
      </c>
      <c r="Q194" s="20">
        <f t="shared" ref="Q194:Q257" si="23">IF(AND(ISNUMBER(M194),ISNUMBER(N194),ISNUMBER(O194),O194&lt;&gt;0),(M194+N194)/O194,"")</f>
        <v>0.91249227553616863</v>
      </c>
      <c r="R194" s="20">
        <f t="shared" ref="R194:R257" si="24">IF(AND(ISNUMBER(O194),O194&gt;0),LN(O194),"")</f>
        <v>15.520622220466658</v>
      </c>
      <c r="S194" s="20">
        <f t="shared" ref="S194:S257" si="25">IF(AND(ISNUMBER(N194),ISNUMBER(O194),O194&lt;&gt;0),N194/O194,"")</f>
        <v>0.66721192293711373</v>
      </c>
      <c r="T194" s="20">
        <f t="shared" ref="T194:T257" si="26">IF(AND(ISNUMBER(P194),ISNUMBER(O194),O194&lt;&gt;0),P194/O194,"")</f>
        <v>0.30643402399127589</v>
      </c>
      <c r="U194" s="20">
        <f>IFERROR(IF(ISNUMBER(INDEX('Firm Master'!$E$2:$E$1000,MATCH($C194,'Firm Master'!$B$2:$B$1000,0))),INDEX('Firm Master'!$E$2:$E$1000,MATCH($C194,'Firm Master'!$B$2:$B$1000,0)),""),"")</f>
        <v>1960</v>
      </c>
      <c r="V194" s="21">
        <f t="shared" ref="V194:V257" si="27">IF(ISNUMBER(U194),F194-U194,"")</f>
        <v>63</v>
      </c>
      <c r="W194" s="21">
        <v>0</v>
      </c>
      <c r="X194" s="20" t="str">
        <f>IFERROR(INDEX('Firm Master'!$G$2:$G$1000,MATCH($C194,'Firm Master'!$B$2:$B$1000,0)),"")</f>
        <v>OOP and Partners (Chartered Accountants)</v>
      </c>
    </row>
    <row r="195" spans="1:24" ht="15" customHeight="1" x14ac:dyDescent="0.3">
      <c r="A195" s="11">
        <v>194</v>
      </c>
      <c r="B195" s="11">
        <v>39</v>
      </c>
      <c r="C195" s="11" t="s">
        <v>907</v>
      </c>
      <c r="D195" s="11" t="s">
        <v>908</v>
      </c>
      <c r="E195" s="11" t="s">
        <v>806</v>
      </c>
      <c r="F195" s="11">
        <v>2024</v>
      </c>
      <c r="G195" s="20">
        <f t="shared" si="21"/>
        <v>1</v>
      </c>
      <c r="H195" s="21">
        <v>0</v>
      </c>
      <c r="I195" s="21">
        <f>IFERROR(INDEX('Coding Sheet'!$AC$2:$AC$731,MATCH($B195&amp;"_"&amp;$F195,'Coding Sheet'!$A$2:$A$731,0)),"")</f>
        <v>0</v>
      </c>
      <c r="J195" s="7">
        <f>IFERROR(INDEX('Coding Sheet'!$AT$2:$AT$731,MATCH($B195&amp;"_"&amp;$F195,'Coding Sheet'!$A$2:$A$731,0)),"")</f>
        <v>0</v>
      </c>
      <c r="K195" s="21">
        <v>76030000</v>
      </c>
      <c r="L195" s="21">
        <v>19.3</v>
      </c>
      <c r="M195" s="20">
        <f t="shared" si="22"/>
        <v>1467379</v>
      </c>
      <c r="N195" s="21">
        <v>3247000</v>
      </c>
      <c r="O195" s="21">
        <v>2503000</v>
      </c>
      <c r="P195" s="20">
        <v>-2598000</v>
      </c>
      <c r="Q195" s="20">
        <f t="shared" si="23"/>
        <v>1.8834914103076308</v>
      </c>
      <c r="R195" s="20">
        <f t="shared" si="24"/>
        <v>14.73300057041391</v>
      </c>
      <c r="S195" s="20">
        <f t="shared" si="25"/>
        <v>1.2972433080303636</v>
      </c>
      <c r="T195" s="20">
        <f t="shared" si="26"/>
        <v>-1.0379544546544146</v>
      </c>
      <c r="U195" s="20">
        <f>IFERROR(IF(ISNUMBER(INDEX('Firm Master'!$E$2:$E$1000,MATCH($C195,'Firm Master'!$B$2:$B$1000,0))),INDEX('Firm Master'!$E$2:$E$1000,MATCH($C195,'Firm Master'!$B$2:$B$1000,0)),""),"")</f>
        <v>1960</v>
      </c>
      <c r="V195" s="21">
        <f t="shared" si="27"/>
        <v>64</v>
      </c>
      <c r="W195" s="21">
        <v>0</v>
      </c>
      <c r="X195" s="20" t="str">
        <f>IFERROR(INDEX('Firm Master'!$G$2:$G$1000,MATCH($C195,'Firm Master'!$B$2:$B$1000,0)),"")</f>
        <v>OOP and Partners (Chartered Accountants)</v>
      </c>
    </row>
    <row r="196" spans="1:24" ht="15" customHeight="1" x14ac:dyDescent="0.3">
      <c r="A196" s="11">
        <v>195</v>
      </c>
      <c r="B196" s="11">
        <v>39</v>
      </c>
      <c r="C196" s="11" t="s">
        <v>907</v>
      </c>
      <c r="D196" s="11" t="s">
        <v>908</v>
      </c>
      <c r="E196" s="11" t="s">
        <v>806</v>
      </c>
      <c r="F196" s="11">
        <v>2025</v>
      </c>
      <c r="G196" s="20">
        <f t="shared" si="21"/>
        <v>1</v>
      </c>
      <c r="H196" s="21">
        <v>0</v>
      </c>
      <c r="I196" s="21">
        <f>IFERROR(INDEX('Coding Sheet'!$AC$2:$AC$731,MATCH($B196&amp;"_"&amp;$F196,'Coding Sheet'!$A$2:$A$731,0)),"")</f>
        <v>0</v>
      </c>
      <c r="J196" s="7">
        <f>IFERROR(INDEX('Coding Sheet'!$AT$2:$AT$731,MATCH($B196&amp;"_"&amp;$F196,'Coding Sheet'!$A$2:$A$731,0)),"")</f>
        <v>0</v>
      </c>
      <c r="K196" s="21">
        <v>76030000</v>
      </c>
      <c r="L196" s="21">
        <v>25.3</v>
      </c>
      <c r="M196" s="20">
        <f t="shared" si="22"/>
        <v>1923559</v>
      </c>
      <c r="N196" s="21">
        <v>3429000</v>
      </c>
      <c r="O196" s="21">
        <v>2700000</v>
      </c>
      <c r="P196" s="20">
        <v>15480</v>
      </c>
      <c r="Q196" s="20">
        <f t="shared" si="23"/>
        <v>1.9824292592592592</v>
      </c>
      <c r="R196" s="20">
        <f t="shared" si="24"/>
        <v>14.808762330974558</v>
      </c>
      <c r="S196" s="20">
        <f t="shared" si="25"/>
        <v>1.27</v>
      </c>
      <c r="T196" s="20">
        <f t="shared" si="26"/>
        <v>5.7333333333333333E-3</v>
      </c>
      <c r="U196" s="20">
        <f>IFERROR(IF(ISNUMBER(INDEX('Firm Master'!$E$2:$E$1000,MATCH($C196,'Firm Master'!$B$2:$B$1000,0))),INDEX('Firm Master'!$E$2:$E$1000,MATCH($C196,'Firm Master'!$B$2:$B$1000,0)),""),"")</f>
        <v>1960</v>
      </c>
      <c r="V196" s="21">
        <f t="shared" si="27"/>
        <v>65</v>
      </c>
      <c r="W196" s="21">
        <v>0</v>
      </c>
      <c r="X196" s="20" t="str">
        <f>IFERROR(INDEX('Firm Master'!$G$2:$G$1000,MATCH($C196,'Firm Master'!$B$2:$B$1000,0)),"")</f>
        <v>OOP and Partners (Chartered Accountants)</v>
      </c>
    </row>
    <row r="197" spans="1:24" ht="15" customHeight="1" x14ac:dyDescent="0.3">
      <c r="A197" s="11">
        <v>196</v>
      </c>
      <c r="B197" s="11">
        <v>40</v>
      </c>
      <c r="C197" s="11" t="s">
        <v>912</v>
      </c>
      <c r="D197" s="11" t="s">
        <v>913</v>
      </c>
      <c r="E197" s="11" t="s">
        <v>766</v>
      </c>
      <c r="F197" s="11">
        <v>2021</v>
      </c>
      <c r="G197" s="20">
        <f t="shared" si="21"/>
        <v>0</v>
      </c>
      <c r="H197" s="21">
        <v>0</v>
      </c>
      <c r="I197" s="21">
        <f>IFERROR(INDEX('Coding Sheet'!$AC$2:$AC$731,MATCH($B197&amp;"_"&amp;$F197,'Coding Sheet'!$A$2:$A$731,0)),"")</f>
        <v>30</v>
      </c>
      <c r="J197" s="7">
        <f>IFERROR(INDEX('Coding Sheet'!$AT$2:$AT$731,MATCH($B197&amp;"_"&amp;$F197,'Coding Sheet'!$A$2:$A$731,0)),"")</f>
        <v>0</v>
      </c>
      <c r="K197" s="21">
        <v>1304000000</v>
      </c>
      <c r="L197" s="21">
        <v>4.0599999999999996</v>
      </c>
      <c r="M197" s="20">
        <f t="shared" si="22"/>
        <v>5294239.9999999991</v>
      </c>
      <c r="N197" s="21">
        <v>33964000</v>
      </c>
      <c r="O197" s="21">
        <v>46082000</v>
      </c>
      <c r="P197" s="20">
        <v>-1100000</v>
      </c>
      <c r="Q197" s="20">
        <f t="shared" si="23"/>
        <v>0.85192135757996612</v>
      </c>
      <c r="R197" s="20">
        <f t="shared" si="24"/>
        <v>17.645932976187815</v>
      </c>
      <c r="S197" s="20">
        <f t="shared" si="25"/>
        <v>0.73703398290004773</v>
      </c>
      <c r="T197" s="20">
        <f t="shared" si="26"/>
        <v>-2.387049173212968E-2</v>
      </c>
      <c r="U197" s="20">
        <v>1989</v>
      </c>
      <c r="V197" s="21">
        <f t="shared" si="27"/>
        <v>32</v>
      </c>
      <c r="W197" s="21">
        <v>1</v>
      </c>
      <c r="X197" s="20" t="str">
        <f>IFERROR(INDEX('Firm Master'!$G$2:$G$1000,MATCH($C197,'Firm Master'!$B$2:$B$1000,0)),"")</f>
        <v>PricewaterhouseCoopers</v>
      </c>
    </row>
    <row r="198" spans="1:24" ht="15" customHeight="1" x14ac:dyDescent="0.3">
      <c r="A198" s="11">
        <v>197</v>
      </c>
      <c r="B198" s="11">
        <v>40</v>
      </c>
      <c r="C198" s="11" t="s">
        <v>912</v>
      </c>
      <c r="D198" s="11" t="s">
        <v>913</v>
      </c>
      <c r="E198" s="11" t="s">
        <v>766</v>
      </c>
      <c r="F198" s="11">
        <v>2022</v>
      </c>
      <c r="G198" s="20">
        <f t="shared" si="21"/>
        <v>0</v>
      </c>
      <c r="H198" s="21">
        <v>0</v>
      </c>
      <c r="I198" s="21">
        <f>IFERROR(INDEX('Coding Sheet'!$AC$2:$AC$731,MATCH($B198&amp;"_"&amp;$F198,'Coding Sheet'!$A$2:$A$731,0)),"")</f>
        <v>30</v>
      </c>
      <c r="J198" s="7">
        <f>IFERROR(INDEX('Coding Sheet'!$AT$2:$AT$731,MATCH($B198&amp;"_"&amp;$F198,'Coding Sheet'!$A$2:$A$731,0)),"")</f>
        <v>0</v>
      </c>
      <c r="K198" s="21">
        <v>1304000000</v>
      </c>
      <c r="L198" s="21">
        <v>5.38</v>
      </c>
      <c r="M198" s="20">
        <f t="shared" si="22"/>
        <v>7015520</v>
      </c>
      <c r="N198" s="21">
        <v>41086000</v>
      </c>
      <c r="O198" s="21">
        <v>54216000</v>
      </c>
      <c r="P198" s="20">
        <v>1012000</v>
      </c>
      <c r="Q198" s="20">
        <f t="shared" si="23"/>
        <v>0.88722000885347496</v>
      </c>
      <c r="R198" s="20">
        <f t="shared" si="24"/>
        <v>17.808486625798086</v>
      </c>
      <c r="S198" s="20">
        <f t="shared" si="25"/>
        <v>0.75782056957355759</v>
      </c>
      <c r="T198" s="20">
        <f t="shared" si="26"/>
        <v>1.8666076435000737E-2</v>
      </c>
      <c r="U198" s="20">
        <v>1989</v>
      </c>
      <c r="V198" s="21">
        <f t="shared" si="27"/>
        <v>33</v>
      </c>
      <c r="W198" s="21">
        <v>1</v>
      </c>
      <c r="X198" s="20" t="str">
        <f>IFERROR(INDEX('Firm Master'!$G$2:$G$1000,MATCH($C198,'Firm Master'!$B$2:$B$1000,0)),"")</f>
        <v>PricewaterhouseCoopers</v>
      </c>
    </row>
    <row r="199" spans="1:24" ht="15" customHeight="1" x14ac:dyDescent="0.3">
      <c r="A199" s="11">
        <v>198</v>
      </c>
      <c r="B199" s="11">
        <v>40</v>
      </c>
      <c r="C199" s="11" t="s">
        <v>912</v>
      </c>
      <c r="D199" s="11" t="s">
        <v>913</v>
      </c>
      <c r="E199" s="11" t="s">
        <v>766</v>
      </c>
      <c r="F199" s="11">
        <v>2023</v>
      </c>
      <c r="G199" s="20">
        <f t="shared" si="21"/>
        <v>1</v>
      </c>
      <c r="H199" s="21">
        <v>0</v>
      </c>
      <c r="I199" s="21">
        <f>IFERROR(INDEX('Coding Sheet'!$AC$2:$AC$731,MATCH($B199&amp;"_"&amp;$F199,'Coding Sheet'!$A$2:$A$731,0)),"")</f>
        <v>0</v>
      </c>
      <c r="J199" s="7">
        <f>IFERROR(INDEX('Coding Sheet'!$AT$2:$AT$731,MATCH($B199&amp;"_"&amp;$F199,'Coding Sheet'!$A$2:$A$731,0)),"")</f>
        <v>0</v>
      </c>
      <c r="K199" s="21">
        <v>1304000000</v>
      </c>
      <c r="L199" s="21">
        <v>11.42</v>
      </c>
      <c r="M199" s="20">
        <f t="shared" si="22"/>
        <v>14891680</v>
      </c>
      <c r="N199" s="21">
        <v>56138000</v>
      </c>
      <c r="O199" s="21">
        <v>59640000</v>
      </c>
      <c r="P199" s="20">
        <v>-9433000</v>
      </c>
      <c r="Q199" s="20">
        <f t="shared" si="23"/>
        <v>1.1909738430583501</v>
      </c>
      <c r="R199" s="20">
        <f t="shared" si="24"/>
        <v>17.903837047860812</v>
      </c>
      <c r="S199" s="20">
        <f t="shared" si="25"/>
        <v>0.94128101945003351</v>
      </c>
      <c r="T199" s="20">
        <f t="shared" si="26"/>
        <v>-0.15816566063044937</v>
      </c>
      <c r="U199" s="20">
        <v>1989</v>
      </c>
      <c r="V199" s="21">
        <f t="shared" si="27"/>
        <v>34</v>
      </c>
      <c r="W199" s="21">
        <v>1</v>
      </c>
      <c r="X199" s="20" t="str">
        <f>IFERROR(INDEX('Firm Master'!$G$2:$G$1000,MATCH($C199,'Firm Master'!$B$2:$B$1000,0)),"")</f>
        <v>PricewaterhouseCoopers</v>
      </c>
    </row>
    <row r="200" spans="1:24" ht="15" customHeight="1" x14ac:dyDescent="0.3">
      <c r="A200" s="11">
        <v>199</v>
      </c>
      <c r="B200" s="11">
        <v>40</v>
      </c>
      <c r="C200" s="11" t="s">
        <v>912</v>
      </c>
      <c r="D200" s="11" t="s">
        <v>913</v>
      </c>
      <c r="E200" s="11" t="s">
        <v>766</v>
      </c>
      <c r="F200" s="11">
        <v>2024</v>
      </c>
      <c r="G200" s="20">
        <f t="shared" si="21"/>
        <v>1</v>
      </c>
      <c r="H200" s="21">
        <v>0</v>
      </c>
      <c r="I200" s="21">
        <f>IFERROR(INDEX('Coding Sheet'!$AC$2:$AC$731,MATCH($B200&amp;"_"&amp;$F200,'Coding Sheet'!$A$2:$A$731,0)),"")</f>
        <v>45</v>
      </c>
      <c r="J200" s="7">
        <f>IFERROR(INDEX('Coding Sheet'!$AT$2:$AT$731,MATCH($B200&amp;"_"&amp;$F200,'Coding Sheet'!$A$2:$A$731,0)),"")</f>
        <v>6.666666666666667</v>
      </c>
      <c r="K200" s="21">
        <v>1304000000</v>
      </c>
      <c r="L200" s="21">
        <v>20.04</v>
      </c>
      <c r="M200" s="20">
        <f t="shared" si="22"/>
        <v>26132160</v>
      </c>
      <c r="N200" s="21">
        <v>62572000</v>
      </c>
      <c r="O200" s="21">
        <v>67423000</v>
      </c>
      <c r="P200" s="20">
        <v>1349000</v>
      </c>
      <c r="Q200" s="20">
        <f t="shared" si="23"/>
        <v>1.3156365038636666</v>
      </c>
      <c r="R200" s="20">
        <f t="shared" si="24"/>
        <v>18.026496763962065</v>
      </c>
      <c r="S200" s="20">
        <f t="shared" si="25"/>
        <v>0.92805125847262804</v>
      </c>
      <c r="T200" s="20">
        <f t="shared" si="26"/>
        <v>2.0008009136348131E-2</v>
      </c>
      <c r="U200" s="20">
        <v>1989</v>
      </c>
      <c r="V200" s="21">
        <f t="shared" si="27"/>
        <v>35</v>
      </c>
      <c r="W200" s="21">
        <v>1</v>
      </c>
      <c r="X200" s="20" t="str">
        <f>IFERROR(INDEX('Firm Master'!$G$2:$G$1000,MATCH($C200,'Firm Master'!$B$2:$B$1000,0)),"")</f>
        <v>PricewaterhouseCoopers</v>
      </c>
    </row>
    <row r="201" spans="1:24" ht="15" customHeight="1" x14ac:dyDescent="0.3">
      <c r="A201" s="11">
        <v>200</v>
      </c>
      <c r="B201" s="11">
        <v>40</v>
      </c>
      <c r="C201" s="11" t="s">
        <v>912</v>
      </c>
      <c r="D201" s="11" t="s">
        <v>913</v>
      </c>
      <c r="E201" s="11" t="s">
        <v>766</v>
      </c>
      <c r="F201" s="11">
        <v>2025</v>
      </c>
      <c r="G201" s="20">
        <f t="shared" si="21"/>
        <v>1</v>
      </c>
      <c r="H201" s="21">
        <v>0</v>
      </c>
      <c r="I201" s="21">
        <f>IFERROR(INDEX('Coding Sheet'!$AC$2:$AC$731,MATCH($B201&amp;"_"&amp;$F201,'Coding Sheet'!$A$2:$A$731,0)),"")</f>
        <v>0</v>
      </c>
      <c r="J201" s="7">
        <f>IFERROR(INDEX('Coding Sheet'!$AT$2:$AT$731,MATCH($B201&amp;"_"&amp;$F201,'Coding Sheet'!$A$2:$A$731,0)),"")</f>
        <v>0</v>
      </c>
      <c r="K201" s="21">
        <v>1304000000</v>
      </c>
      <c r="L201" s="21">
        <v>28.08</v>
      </c>
      <c r="M201" s="20">
        <f t="shared" si="22"/>
        <v>36616320</v>
      </c>
      <c r="N201" s="21">
        <v>84427000</v>
      </c>
      <c r="O201" s="21">
        <v>92195000</v>
      </c>
      <c r="P201" s="20">
        <v>2917000</v>
      </c>
      <c r="Q201" s="20">
        <f t="shared" si="23"/>
        <v>1.3129054720971853</v>
      </c>
      <c r="R201" s="20">
        <f t="shared" si="24"/>
        <v>18.339416457121402</v>
      </c>
      <c r="S201" s="20">
        <f t="shared" si="25"/>
        <v>0.91574380389392052</v>
      </c>
      <c r="T201" s="20">
        <f t="shared" si="26"/>
        <v>3.1639459840555342E-2</v>
      </c>
      <c r="U201" s="20">
        <v>1989</v>
      </c>
      <c r="V201" s="21">
        <f t="shared" si="27"/>
        <v>36</v>
      </c>
      <c r="W201" s="21">
        <v>1</v>
      </c>
      <c r="X201" s="20" t="str">
        <f>IFERROR(INDEX('Firm Master'!$G$2:$G$1000,MATCH($C201,'Firm Master'!$B$2:$B$1000,0)),"")</f>
        <v>PricewaterhouseCoopers</v>
      </c>
    </row>
    <row r="202" spans="1:24" ht="15" customHeight="1" x14ac:dyDescent="0.3">
      <c r="A202" s="11">
        <v>201</v>
      </c>
      <c r="B202" s="11">
        <v>41</v>
      </c>
      <c r="C202" s="11" t="s">
        <v>916</v>
      </c>
      <c r="D202" s="11" t="s">
        <v>917</v>
      </c>
      <c r="E202" s="11" t="s">
        <v>709</v>
      </c>
      <c r="F202" s="11">
        <v>2021</v>
      </c>
      <c r="G202" s="20">
        <f t="shared" si="21"/>
        <v>0</v>
      </c>
      <c r="H202" s="21">
        <v>0</v>
      </c>
      <c r="I202" s="21">
        <f>IFERROR(INDEX('Coding Sheet'!$AC$2:$AC$731,MATCH($B202&amp;"_"&amp;$F202,'Coding Sheet'!$A$2:$A$731,0)),"")</f>
        <v>20</v>
      </c>
      <c r="J202" s="7">
        <f>IFERROR(INDEX('Coding Sheet'!$AT$2:$AT$731,MATCH($B202&amp;"_"&amp;$F202,'Coding Sheet'!$A$2:$A$731,0)),"")</f>
        <v>6.666666666666667</v>
      </c>
      <c r="K202" s="21">
        <v>24730000000</v>
      </c>
      <c r="L202" s="21">
        <v>7.9</v>
      </c>
      <c r="M202" s="20">
        <f t="shared" si="22"/>
        <v>195367000</v>
      </c>
      <c r="N202" s="21">
        <v>10771328212</v>
      </c>
      <c r="O202" s="21">
        <v>11689232030</v>
      </c>
      <c r="P202" s="20">
        <v>146328347</v>
      </c>
      <c r="Q202" s="20">
        <f t="shared" si="23"/>
        <v>0.938187828238362</v>
      </c>
      <c r="R202" s="20">
        <f t="shared" si="24"/>
        <v>23.181933915661624</v>
      </c>
      <c r="S202" s="20">
        <f t="shared" si="25"/>
        <v>0.92147441203628844</v>
      </c>
      <c r="T202" s="20">
        <f t="shared" si="26"/>
        <v>1.251821733236653E-2</v>
      </c>
      <c r="U202" s="20">
        <f>IFERROR(IF(ISNUMBER(INDEX('Firm Master'!$E$2:$E$1000,MATCH($C202,'Firm Master'!$B$2:$B$1000,0))),INDEX('Firm Master'!$E$2:$E$1000,MATCH($C202,'Firm Master'!$B$2:$B$1000,0)),""),"")</f>
        <v>1985</v>
      </c>
      <c r="V202" s="21">
        <f t="shared" si="27"/>
        <v>36</v>
      </c>
      <c r="W202" s="21">
        <v>1</v>
      </c>
      <c r="X202" s="20" t="str">
        <f>IFERROR(INDEX('Firm Master'!$G$2:$G$1000,MATCH($C202,'Firm Master'!$B$2:$B$1000,0)),"")</f>
        <v>Deloitte and Grant Thornton (joint auditors)</v>
      </c>
    </row>
    <row r="203" spans="1:24" ht="15" customHeight="1" x14ac:dyDescent="0.3">
      <c r="A203" s="11">
        <v>202</v>
      </c>
      <c r="B203" s="11">
        <v>41</v>
      </c>
      <c r="C203" s="11" t="s">
        <v>916</v>
      </c>
      <c r="D203" s="11" t="s">
        <v>917</v>
      </c>
      <c r="E203" s="11" t="s">
        <v>709</v>
      </c>
      <c r="F203" s="11">
        <v>2022</v>
      </c>
      <c r="G203" s="20">
        <f t="shared" si="21"/>
        <v>0</v>
      </c>
      <c r="H203" s="21">
        <v>0</v>
      </c>
      <c r="I203" s="21">
        <f>IFERROR(INDEX('Coding Sheet'!$AC$2:$AC$731,MATCH($B203&amp;"_"&amp;$F203,'Coding Sheet'!$A$2:$A$731,0)),"")</f>
        <v>25</v>
      </c>
      <c r="J203" s="7">
        <f>IFERROR(INDEX('Coding Sheet'!$AT$2:$AT$731,MATCH($B203&amp;"_"&amp;$F203,'Coding Sheet'!$A$2:$A$731,0)),"")</f>
        <v>13.333333333333334</v>
      </c>
      <c r="K203" s="21">
        <v>24593000000</v>
      </c>
      <c r="L203" s="21">
        <v>10.17</v>
      </c>
      <c r="M203" s="20">
        <f t="shared" si="22"/>
        <v>250110810</v>
      </c>
      <c r="N203" s="21">
        <v>12439165709</v>
      </c>
      <c r="O203" s="21">
        <v>13373822328</v>
      </c>
      <c r="P203" s="20">
        <v>156551884</v>
      </c>
      <c r="Q203" s="20">
        <f t="shared" si="23"/>
        <v>0.94881449803869411</v>
      </c>
      <c r="R203" s="20">
        <f t="shared" si="24"/>
        <v>23.316565075608839</v>
      </c>
      <c r="S203" s="20">
        <f t="shared" si="25"/>
        <v>0.930112977720426</v>
      </c>
      <c r="T203" s="20">
        <f t="shared" si="26"/>
        <v>1.1705844459458412E-2</v>
      </c>
      <c r="U203" s="20">
        <f>IFERROR(IF(ISNUMBER(INDEX('Firm Master'!$E$2:$E$1000,MATCH($C203,'Firm Master'!$B$2:$B$1000,0))),INDEX('Firm Master'!$E$2:$E$1000,MATCH($C203,'Firm Master'!$B$2:$B$1000,0)),""),"")</f>
        <v>1985</v>
      </c>
      <c r="V203" s="21">
        <f t="shared" si="27"/>
        <v>37</v>
      </c>
      <c r="W203" s="21">
        <v>1</v>
      </c>
      <c r="X203" s="20" t="str">
        <f>IFERROR(INDEX('Firm Master'!$G$2:$G$1000,MATCH($C203,'Firm Master'!$B$2:$B$1000,0)),"")</f>
        <v>Deloitte and Grant Thornton (joint auditors)</v>
      </c>
    </row>
    <row r="204" spans="1:24" ht="15" customHeight="1" x14ac:dyDescent="0.3">
      <c r="A204" s="11">
        <v>203</v>
      </c>
      <c r="B204" s="11">
        <v>41</v>
      </c>
      <c r="C204" s="11" t="s">
        <v>916</v>
      </c>
      <c r="D204" s="11" t="s">
        <v>917</v>
      </c>
      <c r="E204" s="11" t="s">
        <v>709</v>
      </c>
      <c r="F204" s="11">
        <v>2023</v>
      </c>
      <c r="G204" s="20">
        <f t="shared" si="21"/>
        <v>1</v>
      </c>
      <c r="H204" s="21">
        <v>0</v>
      </c>
      <c r="I204" s="21">
        <f>IFERROR(INDEX('Coding Sheet'!$AC$2:$AC$731,MATCH($B204&amp;"_"&amp;$F204,'Coding Sheet'!$A$2:$A$731,0)),"")</f>
        <v>30</v>
      </c>
      <c r="J204" s="7">
        <f>IFERROR(INDEX('Coding Sheet'!$AT$2:$AT$731,MATCH($B204&amp;"_"&amp;$F204,'Coding Sheet'!$A$2:$A$731,0)),"")</f>
        <v>26.666666666666668</v>
      </c>
      <c r="K204" s="21">
        <v>24593000000</v>
      </c>
      <c r="L204" s="21">
        <v>20.9</v>
      </c>
      <c r="M204" s="20">
        <f t="shared" si="22"/>
        <v>513993699.99999994</v>
      </c>
      <c r="N204" s="21">
        <v>24266561821</v>
      </c>
      <c r="O204" s="21">
        <v>25917398745</v>
      </c>
      <c r="P204" s="20">
        <v>263524043</v>
      </c>
      <c r="Q204" s="20">
        <f t="shared" si="23"/>
        <v>0.95613590564449213</v>
      </c>
      <c r="R204" s="20">
        <f t="shared" si="24"/>
        <v>23.978180346334192</v>
      </c>
      <c r="S204" s="20">
        <f t="shared" si="25"/>
        <v>0.93630391150583814</v>
      </c>
      <c r="T204" s="20">
        <f t="shared" si="26"/>
        <v>1.016784306144301E-2</v>
      </c>
      <c r="U204" s="20">
        <f>IFERROR(IF(ISNUMBER(INDEX('Firm Master'!$E$2:$E$1000,MATCH($C204,'Firm Master'!$B$2:$B$1000,0))),INDEX('Firm Master'!$E$2:$E$1000,MATCH($C204,'Firm Master'!$B$2:$B$1000,0)),""),"")</f>
        <v>1985</v>
      </c>
      <c r="V204" s="21">
        <f t="shared" si="27"/>
        <v>38</v>
      </c>
      <c r="W204" s="21">
        <v>1</v>
      </c>
      <c r="X204" s="20" t="str">
        <f>IFERROR(INDEX('Firm Master'!$G$2:$G$1000,MATCH($C204,'Firm Master'!$B$2:$B$1000,0)),"")</f>
        <v>Deloitte and Grant Thornton (joint auditors)</v>
      </c>
    </row>
    <row r="205" spans="1:24" ht="15" customHeight="1" x14ac:dyDescent="0.3">
      <c r="A205" s="11">
        <v>204</v>
      </c>
      <c r="B205" s="11">
        <v>41</v>
      </c>
      <c r="C205" s="11" t="s">
        <v>916</v>
      </c>
      <c r="D205" s="11" t="s">
        <v>917</v>
      </c>
      <c r="E205" s="11" t="s">
        <v>709</v>
      </c>
      <c r="F205" s="11">
        <v>2024</v>
      </c>
      <c r="G205" s="20">
        <f t="shared" si="21"/>
        <v>1</v>
      </c>
      <c r="H205" s="21">
        <v>0</v>
      </c>
      <c r="I205" s="21">
        <f>IFERROR(INDEX('Coding Sheet'!$AC$2:$AC$731,MATCH($B205&amp;"_"&amp;$F205,'Coding Sheet'!$A$2:$A$731,0)),"")</f>
        <v>0</v>
      </c>
      <c r="J205" s="7">
        <f>IFERROR(INDEX('Coding Sheet'!$AT$2:$AT$731,MATCH($B205&amp;"_"&amp;$F205,'Coding Sheet'!$A$2:$A$731,0)),"")</f>
        <v>0</v>
      </c>
      <c r="K205" s="21">
        <v>24593000000</v>
      </c>
      <c r="L205" s="21">
        <v>28</v>
      </c>
      <c r="M205" s="20">
        <f t="shared" si="22"/>
        <v>688604000</v>
      </c>
      <c r="N205" s="21">
        <v>40522413130</v>
      </c>
      <c r="O205" s="21">
        <v>43302561428</v>
      </c>
      <c r="P205" s="20">
        <v>735897462</v>
      </c>
      <c r="Q205" s="20">
        <f t="shared" si="23"/>
        <v>0.95169929378247864</v>
      </c>
      <c r="R205" s="20">
        <f t="shared" si="24"/>
        <v>24.491477625586306</v>
      </c>
      <c r="S205" s="20">
        <f t="shared" si="25"/>
        <v>0.93579713979223589</v>
      </c>
      <c r="T205" s="20">
        <f t="shared" si="26"/>
        <v>1.6994317142730479E-2</v>
      </c>
      <c r="U205" s="20">
        <f>IFERROR(IF(ISNUMBER(INDEX('Firm Master'!$E$2:$E$1000,MATCH($C205,'Firm Master'!$B$2:$B$1000,0))),INDEX('Firm Master'!$E$2:$E$1000,MATCH($C205,'Firm Master'!$B$2:$B$1000,0)),""),"")</f>
        <v>1985</v>
      </c>
      <c r="V205" s="21">
        <f t="shared" si="27"/>
        <v>39</v>
      </c>
      <c r="W205" s="21">
        <v>1</v>
      </c>
      <c r="X205" s="20" t="str">
        <f>IFERROR(INDEX('Firm Master'!$G$2:$G$1000,MATCH($C205,'Firm Master'!$B$2:$B$1000,0)),"")</f>
        <v>Deloitte and Grant Thornton (joint auditors)</v>
      </c>
    </row>
    <row r="206" spans="1:24" ht="15" customHeight="1" x14ac:dyDescent="0.3">
      <c r="A206" s="11">
        <v>205</v>
      </c>
      <c r="B206" s="11">
        <v>41</v>
      </c>
      <c r="C206" s="11" t="s">
        <v>916</v>
      </c>
      <c r="D206" s="11" t="s">
        <v>917</v>
      </c>
      <c r="E206" s="11" t="s">
        <v>709</v>
      </c>
      <c r="F206" s="11">
        <v>2025</v>
      </c>
      <c r="G206" s="20">
        <f t="shared" si="21"/>
        <v>1</v>
      </c>
      <c r="H206" s="21">
        <v>0</v>
      </c>
      <c r="I206" s="21">
        <f>IFERROR(INDEX('Coding Sheet'!$AC$2:$AC$731,MATCH($B206&amp;"_"&amp;$F206,'Coding Sheet'!$A$2:$A$731,0)),"")</f>
        <v>0</v>
      </c>
      <c r="J206" s="7">
        <f>IFERROR(INDEX('Coding Sheet'!$AT$2:$AT$731,MATCH($B206&amp;"_"&amp;$F206,'Coding Sheet'!$A$2:$A$731,0)),"")</f>
        <v>0</v>
      </c>
      <c r="K206" s="21">
        <v>24566000000</v>
      </c>
      <c r="L206" s="21">
        <v>41.9</v>
      </c>
      <c r="M206" s="20">
        <f t="shared" si="22"/>
        <v>1029315400</v>
      </c>
      <c r="N206" s="21">
        <v>45535897061</v>
      </c>
      <c r="O206" s="21">
        <v>49659169735</v>
      </c>
      <c r="P206" s="20">
        <v>904711653</v>
      </c>
      <c r="Q206" s="20">
        <f t="shared" si="23"/>
        <v>0.93769615379172633</v>
      </c>
      <c r="R206" s="20">
        <f t="shared" si="24"/>
        <v>24.628448897897542</v>
      </c>
      <c r="S206" s="20">
        <f t="shared" si="25"/>
        <v>0.91696855392461585</v>
      </c>
      <c r="T206" s="20">
        <f t="shared" si="26"/>
        <v>1.821842084408341E-2</v>
      </c>
      <c r="U206" s="20">
        <f>IFERROR(IF(ISNUMBER(INDEX('Firm Master'!$E$2:$E$1000,MATCH($C206,'Firm Master'!$B$2:$B$1000,0))),INDEX('Firm Master'!$E$2:$E$1000,MATCH($C206,'Firm Master'!$B$2:$B$1000,0)),""),"")</f>
        <v>1985</v>
      </c>
      <c r="V206" s="21">
        <f t="shared" si="27"/>
        <v>40</v>
      </c>
      <c r="W206" s="21">
        <v>1</v>
      </c>
      <c r="X206" s="20" t="str">
        <f>IFERROR(INDEX('Firm Master'!$G$2:$G$1000,MATCH($C206,'Firm Master'!$B$2:$B$1000,0)),"")</f>
        <v>Deloitte and Grant Thornton (joint auditors)</v>
      </c>
    </row>
    <row r="207" spans="1:24" ht="15" customHeight="1" x14ac:dyDescent="0.3">
      <c r="A207" s="11">
        <v>206</v>
      </c>
      <c r="B207" s="11">
        <v>42</v>
      </c>
      <c r="C207" s="11" t="s">
        <v>921</v>
      </c>
      <c r="D207" s="11" t="s">
        <v>922</v>
      </c>
      <c r="E207" s="11" t="s">
        <v>752</v>
      </c>
      <c r="F207" s="11">
        <v>2021</v>
      </c>
      <c r="G207" s="20">
        <f t="shared" si="21"/>
        <v>0</v>
      </c>
      <c r="H207" s="21">
        <v>0</v>
      </c>
      <c r="I207" s="21">
        <f>IFERROR(INDEX('Coding Sheet'!$AC$2:$AC$731,MATCH($B207&amp;"_"&amp;$F207,'Coding Sheet'!$A$2:$A$731,0)),"")</f>
        <v>0</v>
      </c>
      <c r="J207" s="7">
        <f>IFERROR(INDEX('Coding Sheet'!$AT$2:$AT$731,MATCH($B207&amp;"_"&amp;$F207,'Coding Sheet'!$A$2:$A$731,0)),"")</f>
        <v>0</v>
      </c>
      <c r="K207" s="21">
        <v>6635000000</v>
      </c>
      <c r="L207" s="21">
        <v>1.85</v>
      </c>
      <c r="M207" s="20">
        <f t="shared" si="22"/>
        <v>12274750</v>
      </c>
      <c r="N207" s="21">
        <v>8498000</v>
      </c>
      <c r="O207" s="21">
        <v>10911000</v>
      </c>
      <c r="P207" s="20">
        <v>455750</v>
      </c>
      <c r="Q207" s="20">
        <f t="shared" si="23"/>
        <v>1.9038355787737147</v>
      </c>
      <c r="R207" s="20">
        <f t="shared" si="24"/>
        <v>16.205282012637237</v>
      </c>
      <c r="S207" s="20">
        <f t="shared" si="25"/>
        <v>0.77884703510219044</v>
      </c>
      <c r="T207" s="20">
        <f t="shared" si="26"/>
        <v>4.176977362294932E-2</v>
      </c>
      <c r="U207" s="20">
        <f>IFERROR(IF(ISNUMBER(INDEX('Firm Master'!$E$2:$E$1000,MATCH($C207,'Firm Master'!$B$2:$B$1000,0))),INDEX('Firm Master'!$E$2:$E$1000,MATCH($C207,'Firm Master'!$B$2:$B$1000,0)),""),"")</f>
        <v>2003</v>
      </c>
      <c r="V207" s="21">
        <f t="shared" si="27"/>
        <v>18</v>
      </c>
      <c r="W207" s="21">
        <v>1</v>
      </c>
      <c r="X207" s="20" t="str">
        <f>IFERROR(INDEX('Firm Master'!$G$2:$G$1000,MATCH($C207,'Firm Master'!$B$2:$B$1000,0)),"")</f>
        <v>Ernst &amp; Young</v>
      </c>
    </row>
    <row r="208" spans="1:24" ht="15" customHeight="1" x14ac:dyDescent="0.3">
      <c r="A208" s="11">
        <v>207</v>
      </c>
      <c r="B208" s="11">
        <v>42</v>
      </c>
      <c r="C208" s="11" t="s">
        <v>921</v>
      </c>
      <c r="D208" s="11" t="s">
        <v>922</v>
      </c>
      <c r="E208" s="11" t="s">
        <v>752</v>
      </c>
      <c r="F208" s="11">
        <v>2022</v>
      </c>
      <c r="G208" s="20">
        <f t="shared" si="21"/>
        <v>0</v>
      </c>
      <c r="H208" s="21">
        <v>0</v>
      </c>
      <c r="I208" s="21">
        <f>IFERROR(INDEX('Coding Sheet'!$AC$2:$AC$731,MATCH($B208&amp;"_"&amp;$F208,'Coding Sheet'!$A$2:$A$731,0)),"")</f>
        <v>0</v>
      </c>
      <c r="J208" s="7">
        <f>IFERROR(INDEX('Coding Sheet'!$AT$2:$AT$731,MATCH($B208&amp;"_"&amp;$F208,'Coding Sheet'!$A$2:$A$731,0)),"")</f>
        <v>0</v>
      </c>
      <c r="K208" s="21">
        <v>9200000000</v>
      </c>
      <c r="L208" s="21">
        <v>3.42</v>
      </c>
      <c r="M208" s="20">
        <f t="shared" si="22"/>
        <v>31464000</v>
      </c>
      <c r="N208" s="21">
        <v>10500000</v>
      </c>
      <c r="O208" s="21">
        <v>19776000</v>
      </c>
      <c r="P208" s="20">
        <v>1175000</v>
      </c>
      <c r="Q208" s="20">
        <f t="shared" si="23"/>
        <v>2.1219660194174756</v>
      </c>
      <c r="R208" s="20">
        <f t="shared" si="24"/>
        <v>16.799979639239556</v>
      </c>
      <c r="S208" s="20">
        <f t="shared" si="25"/>
        <v>0.53094660194174759</v>
      </c>
      <c r="T208" s="20">
        <f t="shared" si="26"/>
        <v>5.9415453074433654E-2</v>
      </c>
      <c r="U208" s="20">
        <f>IFERROR(IF(ISNUMBER(INDEX('Firm Master'!$E$2:$E$1000,MATCH($C208,'Firm Master'!$B$2:$B$1000,0))),INDEX('Firm Master'!$E$2:$E$1000,MATCH($C208,'Firm Master'!$B$2:$B$1000,0)),""),"")</f>
        <v>2003</v>
      </c>
      <c r="V208" s="21">
        <f t="shared" si="27"/>
        <v>19</v>
      </c>
      <c r="W208" s="21">
        <v>1</v>
      </c>
      <c r="X208" s="20" t="str">
        <f>IFERROR(INDEX('Firm Master'!$G$2:$G$1000,MATCH($C208,'Firm Master'!$B$2:$B$1000,0)),"")</f>
        <v>Ernst &amp; Young</v>
      </c>
    </row>
    <row r="209" spans="1:24" ht="15" customHeight="1" x14ac:dyDescent="0.3">
      <c r="A209" s="11">
        <v>208</v>
      </c>
      <c r="B209" s="11">
        <v>42</v>
      </c>
      <c r="C209" s="11" t="s">
        <v>921</v>
      </c>
      <c r="D209" s="11" t="s">
        <v>922</v>
      </c>
      <c r="E209" s="11" t="s">
        <v>752</v>
      </c>
      <c r="F209" s="11">
        <v>2023</v>
      </c>
      <c r="G209" s="20">
        <f t="shared" si="21"/>
        <v>1</v>
      </c>
      <c r="H209" s="21">
        <v>0</v>
      </c>
      <c r="I209" s="21">
        <f>IFERROR(INDEX('Coding Sheet'!$AC$2:$AC$731,MATCH($B209&amp;"_"&amp;$F209,'Coding Sheet'!$A$2:$A$731,0)),"")</f>
        <v>0</v>
      </c>
      <c r="J209" s="7">
        <f>IFERROR(INDEX('Coding Sheet'!$AT$2:$AT$731,MATCH($B209&amp;"_"&amp;$F209,'Coding Sheet'!$A$2:$A$731,0)),"")</f>
        <v>0</v>
      </c>
      <c r="K209" s="21">
        <v>9200000000</v>
      </c>
      <c r="L209" s="21">
        <v>5.92</v>
      </c>
      <c r="M209" s="20">
        <f t="shared" si="22"/>
        <v>54464000</v>
      </c>
      <c r="N209" s="21">
        <v>16727000</v>
      </c>
      <c r="O209" s="21">
        <v>28205000</v>
      </c>
      <c r="P209" s="20">
        <v>2202000</v>
      </c>
      <c r="Q209" s="20">
        <f t="shared" si="23"/>
        <v>2.5240560184364473</v>
      </c>
      <c r="R209" s="20">
        <f t="shared" si="24"/>
        <v>17.155009825156213</v>
      </c>
      <c r="S209" s="20">
        <f t="shared" si="25"/>
        <v>0.59305087750398866</v>
      </c>
      <c r="T209" s="20">
        <f t="shared" si="26"/>
        <v>7.8071263960290724E-2</v>
      </c>
      <c r="U209" s="20">
        <f>IFERROR(IF(ISNUMBER(INDEX('Firm Master'!$E$2:$E$1000,MATCH($C209,'Firm Master'!$B$2:$B$1000,0))),INDEX('Firm Master'!$E$2:$E$1000,MATCH($C209,'Firm Master'!$B$2:$B$1000,0)),""),"")</f>
        <v>2003</v>
      </c>
      <c r="V209" s="21">
        <f t="shared" si="27"/>
        <v>20</v>
      </c>
      <c r="W209" s="21">
        <v>1</v>
      </c>
      <c r="X209" s="20" t="str">
        <f>IFERROR(INDEX('Firm Master'!$G$2:$G$1000,MATCH($C209,'Firm Master'!$B$2:$B$1000,0)),"")</f>
        <v>Ernst &amp; Young</v>
      </c>
    </row>
    <row r="210" spans="1:24" ht="15" customHeight="1" x14ac:dyDescent="0.3">
      <c r="A210" s="11">
        <v>209</v>
      </c>
      <c r="B210" s="11">
        <v>42</v>
      </c>
      <c r="C210" s="11" t="s">
        <v>921</v>
      </c>
      <c r="D210" s="11" t="s">
        <v>922</v>
      </c>
      <c r="E210" s="11" t="s">
        <v>752</v>
      </c>
      <c r="F210" s="11">
        <v>2024</v>
      </c>
      <c r="G210" s="20">
        <f t="shared" si="21"/>
        <v>1</v>
      </c>
      <c r="H210" s="21">
        <v>0</v>
      </c>
      <c r="I210" s="21">
        <f>IFERROR(INDEX('Coding Sheet'!$AC$2:$AC$731,MATCH($B210&amp;"_"&amp;$F210,'Coding Sheet'!$A$2:$A$731,0)),"")</f>
        <v>0</v>
      </c>
      <c r="J210" s="7">
        <f>IFERROR(INDEX('Coding Sheet'!$AT$2:$AT$731,MATCH($B210&amp;"_"&amp;$F210,'Coding Sheet'!$A$2:$A$731,0)),"")</f>
        <v>0</v>
      </c>
      <c r="K210" s="21">
        <v>9200000000</v>
      </c>
      <c r="L210" s="21">
        <v>6.36</v>
      </c>
      <c r="M210" s="20">
        <f t="shared" si="22"/>
        <v>58512000</v>
      </c>
      <c r="N210" s="21">
        <v>9130000</v>
      </c>
      <c r="O210" s="21">
        <v>24001000</v>
      </c>
      <c r="P210" s="20">
        <v>3393000</v>
      </c>
      <c r="Q210" s="20">
        <f t="shared" si="23"/>
        <v>2.8182992375317695</v>
      </c>
      <c r="R210" s="20">
        <f t="shared" si="24"/>
        <v>16.993606054110856</v>
      </c>
      <c r="S210" s="20">
        <f t="shared" si="25"/>
        <v>0.3804008166326403</v>
      </c>
      <c r="T210" s="20">
        <f t="shared" si="26"/>
        <v>0.14136910962043248</v>
      </c>
      <c r="U210" s="20">
        <f>IFERROR(IF(ISNUMBER(INDEX('Firm Master'!$E$2:$E$1000,MATCH($C210,'Firm Master'!$B$2:$B$1000,0))),INDEX('Firm Master'!$E$2:$E$1000,MATCH($C210,'Firm Master'!$B$2:$B$1000,0)),""),"")</f>
        <v>2003</v>
      </c>
      <c r="V210" s="21">
        <f t="shared" si="27"/>
        <v>21</v>
      </c>
      <c r="W210" s="21">
        <v>1</v>
      </c>
      <c r="X210" s="20" t="str">
        <f>IFERROR(INDEX('Firm Master'!$G$2:$G$1000,MATCH($C210,'Firm Master'!$B$2:$B$1000,0)),"")</f>
        <v>Ernst &amp; Young</v>
      </c>
    </row>
    <row r="211" spans="1:24" ht="15" customHeight="1" x14ac:dyDescent="0.3">
      <c r="A211" s="11">
        <v>210</v>
      </c>
      <c r="B211" s="11">
        <v>42</v>
      </c>
      <c r="C211" s="11" t="s">
        <v>921</v>
      </c>
      <c r="D211" s="11" t="s">
        <v>922</v>
      </c>
      <c r="E211" s="11" t="s">
        <v>752</v>
      </c>
      <c r="F211" s="11">
        <v>2025</v>
      </c>
      <c r="G211" s="20">
        <f t="shared" si="21"/>
        <v>1</v>
      </c>
      <c r="H211" s="21">
        <v>0</v>
      </c>
      <c r="I211" s="21">
        <f>IFERROR(INDEX('Coding Sheet'!$AC$2:$AC$731,MATCH($B211&amp;"_"&amp;$F211,'Coding Sheet'!$A$2:$A$731,0)),"")</f>
        <v>0</v>
      </c>
      <c r="J211" s="7">
        <f>IFERROR(INDEX('Coding Sheet'!$AT$2:$AT$731,MATCH($B211&amp;"_"&amp;$F211,'Coding Sheet'!$A$2:$A$731,0)),"")</f>
        <v>0</v>
      </c>
      <c r="K211" s="21">
        <v>9200000000</v>
      </c>
      <c r="L211" s="21">
        <v>11.24</v>
      </c>
      <c r="M211" s="20">
        <f t="shared" si="22"/>
        <v>103408000</v>
      </c>
      <c r="N211" s="21">
        <v>29950000</v>
      </c>
      <c r="O211" s="21">
        <v>46140000</v>
      </c>
      <c r="P211" s="20">
        <v>2470000</v>
      </c>
      <c r="Q211" s="20">
        <f t="shared" si="23"/>
        <v>2.890290420459471</v>
      </c>
      <c r="R211" s="20">
        <f t="shared" si="24"/>
        <v>17.647190810709883</v>
      </c>
      <c r="S211" s="20">
        <f t="shared" si="25"/>
        <v>0.64911140008669266</v>
      </c>
      <c r="T211" s="20">
        <f t="shared" si="26"/>
        <v>5.3532726484612048E-2</v>
      </c>
      <c r="U211" s="20">
        <f>IFERROR(IF(ISNUMBER(INDEX('Firm Master'!$E$2:$E$1000,MATCH($C211,'Firm Master'!$B$2:$B$1000,0))),INDEX('Firm Master'!$E$2:$E$1000,MATCH($C211,'Firm Master'!$B$2:$B$1000,0)),""),"")</f>
        <v>2003</v>
      </c>
      <c r="V211" s="21">
        <f t="shared" si="27"/>
        <v>22</v>
      </c>
      <c r="W211" s="21">
        <v>1</v>
      </c>
      <c r="X211" s="20" t="str">
        <f>IFERROR(INDEX('Firm Master'!$G$2:$G$1000,MATCH($C211,'Firm Master'!$B$2:$B$1000,0)),"")</f>
        <v>Ernst &amp; Young</v>
      </c>
    </row>
    <row r="212" spans="1:24" ht="15" customHeight="1" x14ac:dyDescent="0.3">
      <c r="A212" s="16">
        <v>211</v>
      </c>
      <c r="B212" s="16">
        <v>43</v>
      </c>
      <c r="C212" s="16" t="s">
        <v>925</v>
      </c>
      <c r="D212" s="16" t="s">
        <v>926</v>
      </c>
      <c r="E212" s="16" t="s">
        <v>715</v>
      </c>
      <c r="F212" s="16">
        <v>2021</v>
      </c>
      <c r="G212" s="16">
        <f t="shared" si="21"/>
        <v>0</v>
      </c>
      <c r="H212" s="16">
        <v>0</v>
      </c>
      <c r="I212" s="16">
        <f>IFERROR(INDEX('Coding Sheet'!$AC$2:$AC$731,MATCH($B212&amp;"_"&amp;$F212,'Coding Sheet'!$A$2:$A$731,0)),"")</f>
        <v>0</v>
      </c>
      <c r="J212" s="22">
        <f>IFERROR(INDEX('Coding Sheet'!$AT$2:$AT$731,MATCH($B212&amp;"_"&amp;$F212,'Coding Sheet'!$A$2:$A$731,0)),"")</f>
        <v>0</v>
      </c>
      <c r="K212" s="16"/>
      <c r="L212" s="16"/>
      <c r="M212" s="16" t="str">
        <f t="shared" si="22"/>
        <v/>
      </c>
      <c r="N212" s="16">
        <v>469378</v>
      </c>
      <c r="O212" s="16">
        <v>651250</v>
      </c>
      <c r="P212" s="16">
        <v>14518</v>
      </c>
      <c r="Q212" s="16" t="str">
        <f t="shared" si="23"/>
        <v/>
      </c>
      <c r="R212" s="16">
        <f t="shared" si="24"/>
        <v>13.386648872049713</v>
      </c>
      <c r="S212" s="16">
        <f t="shared" si="25"/>
        <v>0.72073397312859888</v>
      </c>
      <c r="T212" s="16">
        <f t="shared" si="26"/>
        <v>2.2292514395393474E-2</v>
      </c>
      <c r="U212" s="16">
        <f>IFERROR(IF(ISNUMBER(INDEX('Firm Master'!$E$2:$E$1000,MATCH($C212,'Firm Master'!$B$2:$B$1000,0))),INDEX('Firm Master'!$E$2:$E$1000,MATCH($C212,'Firm Master'!$B$2:$B$1000,0)),""),"")</f>
        <v>1981</v>
      </c>
      <c r="V212" s="16">
        <f t="shared" si="27"/>
        <v>40</v>
      </c>
      <c r="W212" s="16"/>
      <c r="X212" s="16" t="str">
        <f>IFERROR(INDEX('Firm Master'!$G$2:$G$1000,MATCH($C212,'Firm Master'!$B$2:$B$1000,0)),"")</f>
        <v>ANOC Professional Services</v>
      </c>
    </row>
    <row r="213" spans="1:24" ht="15" customHeight="1" x14ac:dyDescent="0.3">
      <c r="A213" s="11">
        <v>212</v>
      </c>
      <c r="B213" s="11">
        <v>43</v>
      </c>
      <c r="C213" s="11" t="s">
        <v>925</v>
      </c>
      <c r="D213" s="11" t="s">
        <v>926</v>
      </c>
      <c r="E213" s="11" t="s">
        <v>715</v>
      </c>
      <c r="F213" s="11">
        <v>2022</v>
      </c>
      <c r="G213" s="20">
        <f t="shared" si="21"/>
        <v>0</v>
      </c>
      <c r="H213" s="21">
        <v>0</v>
      </c>
      <c r="I213" s="21">
        <f>IFERROR(INDEX('Coding Sheet'!$AC$2:$AC$731,MATCH($B213&amp;"_"&amp;$F213,'Coding Sheet'!$A$2:$A$731,0)),"")</f>
        <v>0</v>
      </c>
      <c r="J213" s="7">
        <f>IFERROR(INDEX('Coding Sheet'!$AT$2:$AT$731,MATCH($B213&amp;"_"&amp;$F213,'Coding Sheet'!$A$2:$A$731,0)),"")</f>
        <v>0</v>
      </c>
      <c r="K213" s="21">
        <v>236700000</v>
      </c>
      <c r="L213" s="21">
        <v>2.91</v>
      </c>
      <c r="M213" s="20">
        <f t="shared" si="22"/>
        <v>688797</v>
      </c>
      <c r="N213" s="21">
        <v>418050</v>
      </c>
      <c r="O213" s="21">
        <v>605000</v>
      </c>
      <c r="P213" s="20">
        <v>5090</v>
      </c>
      <c r="Q213" s="20">
        <f t="shared" si="23"/>
        <v>1.8294991735537189</v>
      </c>
      <c r="R213" s="20">
        <f t="shared" si="24"/>
        <v>13.312983737012978</v>
      </c>
      <c r="S213" s="20">
        <f t="shared" si="25"/>
        <v>0.69099173553719007</v>
      </c>
      <c r="T213" s="20">
        <f t="shared" si="26"/>
        <v>8.4132231404958676E-3</v>
      </c>
      <c r="U213" s="20">
        <f>IFERROR(IF(ISNUMBER(INDEX('Firm Master'!$E$2:$E$1000,MATCH($C213,'Firm Master'!$B$2:$B$1000,0))),INDEX('Firm Master'!$E$2:$E$1000,MATCH($C213,'Firm Master'!$B$2:$B$1000,0)),""),"")</f>
        <v>1981</v>
      </c>
      <c r="V213" s="21">
        <f t="shared" si="27"/>
        <v>41</v>
      </c>
      <c r="W213" s="21">
        <v>0</v>
      </c>
      <c r="X213" s="20" t="str">
        <f>IFERROR(INDEX('Firm Master'!$G$2:$G$1000,MATCH($C213,'Firm Master'!$B$2:$B$1000,0)),"")</f>
        <v>ANOC Professional Services</v>
      </c>
    </row>
    <row r="214" spans="1:24" ht="15" customHeight="1" x14ac:dyDescent="0.3">
      <c r="A214" s="11">
        <v>213</v>
      </c>
      <c r="B214" s="11">
        <v>43</v>
      </c>
      <c r="C214" s="11" t="s">
        <v>925</v>
      </c>
      <c r="D214" s="11" t="s">
        <v>926</v>
      </c>
      <c r="E214" s="11" t="s">
        <v>715</v>
      </c>
      <c r="F214" s="11">
        <v>2023</v>
      </c>
      <c r="G214" s="20">
        <f t="shared" si="21"/>
        <v>1</v>
      </c>
      <c r="H214" s="21">
        <v>0</v>
      </c>
      <c r="I214" s="21">
        <f>IFERROR(INDEX('Coding Sheet'!$AC$2:$AC$731,MATCH($B214&amp;"_"&amp;$F214,'Coding Sheet'!$A$2:$A$731,0)),"")</f>
        <v>0</v>
      </c>
      <c r="J214" s="7">
        <f>IFERROR(INDEX('Coding Sheet'!$AT$2:$AT$731,MATCH($B214&amp;"_"&amp;$F214,'Coding Sheet'!$A$2:$A$731,0)),"")</f>
        <v>0</v>
      </c>
      <c r="K214" s="21">
        <v>236700000</v>
      </c>
      <c r="L214" s="21">
        <v>2.91</v>
      </c>
      <c r="M214" s="20">
        <f t="shared" si="22"/>
        <v>688797</v>
      </c>
      <c r="N214" s="21">
        <v>440050</v>
      </c>
      <c r="O214" s="21">
        <v>635850</v>
      </c>
      <c r="P214" s="20">
        <v>8840</v>
      </c>
      <c r="Q214" s="20">
        <f t="shared" si="23"/>
        <v>1.7753353778406857</v>
      </c>
      <c r="R214" s="20">
        <f t="shared" si="24"/>
        <v>13.362717965448892</v>
      </c>
      <c r="S214" s="20">
        <f t="shared" si="25"/>
        <v>0.69206573877486832</v>
      </c>
      <c r="T214" s="20">
        <f t="shared" si="26"/>
        <v>1.3902649996068255E-2</v>
      </c>
      <c r="U214" s="20">
        <f>IFERROR(IF(ISNUMBER(INDEX('Firm Master'!$E$2:$E$1000,MATCH($C214,'Firm Master'!$B$2:$B$1000,0))),INDEX('Firm Master'!$E$2:$E$1000,MATCH($C214,'Firm Master'!$B$2:$B$1000,0)),""),"")</f>
        <v>1981</v>
      </c>
      <c r="V214" s="21">
        <f t="shared" si="27"/>
        <v>42</v>
      </c>
      <c r="W214" s="21">
        <v>0</v>
      </c>
      <c r="X214" s="20" t="str">
        <f>IFERROR(INDEX('Firm Master'!$G$2:$G$1000,MATCH($C214,'Firm Master'!$B$2:$B$1000,0)),"")</f>
        <v>ANOC Professional Services</v>
      </c>
    </row>
    <row r="215" spans="1:24" ht="15" customHeight="1" x14ac:dyDescent="0.3">
      <c r="A215" s="11">
        <v>214</v>
      </c>
      <c r="B215" s="11">
        <v>43</v>
      </c>
      <c r="C215" s="11" t="s">
        <v>925</v>
      </c>
      <c r="D215" s="11" t="s">
        <v>926</v>
      </c>
      <c r="E215" s="11" t="s">
        <v>715</v>
      </c>
      <c r="F215" s="11">
        <v>2024</v>
      </c>
      <c r="G215" s="20">
        <f t="shared" si="21"/>
        <v>1</v>
      </c>
      <c r="H215" s="21">
        <v>0</v>
      </c>
      <c r="I215" s="21">
        <f>IFERROR(INDEX('Coding Sheet'!$AC$2:$AC$731,MATCH($B215&amp;"_"&amp;$F215,'Coding Sheet'!$A$2:$A$731,0)),"")</f>
        <v>0</v>
      </c>
      <c r="J215" s="7">
        <f>IFERROR(INDEX('Coding Sheet'!$AT$2:$AT$731,MATCH($B215&amp;"_"&amp;$F215,'Coding Sheet'!$A$2:$A$731,0)),"")</f>
        <v>0</v>
      </c>
      <c r="K215" s="21">
        <v>236700000</v>
      </c>
      <c r="L215" s="21">
        <v>3.2</v>
      </c>
      <c r="M215" s="20">
        <f t="shared" si="22"/>
        <v>757440</v>
      </c>
      <c r="N215" s="21">
        <v>593900</v>
      </c>
      <c r="O215" s="21">
        <v>889770</v>
      </c>
      <c r="P215" s="20">
        <v>100070</v>
      </c>
      <c r="Q215" s="20">
        <f t="shared" si="23"/>
        <v>1.5187520370432808</v>
      </c>
      <c r="R215" s="20">
        <f t="shared" si="24"/>
        <v>13.698718281344028</v>
      </c>
      <c r="S215" s="20">
        <f t="shared" si="25"/>
        <v>0.66747586454926555</v>
      </c>
      <c r="T215" s="20">
        <f t="shared" si="26"/>
        <v>0.11246726682176293</v>
      </c>
      <c r="U215" s="20">
        <f>IFERROR(IF(ISNUMBER(INDEX('Firm Master'!$E$2:$E$1000,MATCH($C215,'Firm Master'!$B$2:$B$1000,0))),INDEX('Firm Master'!$E$2:$E$1000,MATCH($C215,'Firm Master'!$B$2:$B$1000,0)),""),"")</f>
        <v>1981</v>
      </c>
      <c r="V215" s="21">
        <f t="shared" si="27"/>
        <v>43</v>
      </c>
      <c r="W215" s="21">
        <v>0</v>
      </c>
      <c r="X215" s="20" t="str">
        <f>IFERROR(INDEX('Firm Master'!$G$2:$G$1000,MATCH($C215,'Firm Master'!$B$2:$B$1000,0)),"")</f>
        <v>ANOC Professional Services</v>
      </c>
    </row>
    <row r="216" spans="1:24" ht="15" customHeight="1" x14ac:dyDescent="0.3">
      <c r="A216" s="11">
        <v>215</v>
      </c>
      <c r="B216" s="11">
        <v>43</v>
      </c>
      <c r="C216" s="11" t="s">
        <v>925</v>
      </c>
      <c r="D216" s="11" t="s">
        <v>926</v>
      </c>
      <c r="E216" s="11" t="s">
        <v>715</v>
      </c>
      <c r="F216" s="11">
        <v>2025</v>
      </c>
      <c r="G216" s="20">
        <f t="shared" si="21"/>
        <v>1</v>
      </c>
      <c r="H216" s="21">
        <v>0</v>
      </c>
      <c r="I216" s="21">
        <f>IFERROR(INDEX('Coding Sheet'!$AC$2:$AC$731,MATCH($B216&amp;"_"&amp;$F216,'Coding Sheet'!$A$2:$A$731,0)),"")</f>
        <v>0</v>
      </c>
      <c r="J216" s="7">
        <f>IFERROR(INDEX('Coding Sheet'!$AT$2:$AT$731,MATCH($B216&amp;"_"&amp;$F216,'Coding Sheet'!$A$2:$A$731,0)),"")</f>
        <v>0</v>
      </c>
      <c r="K216" s="21">
        <v>236700000</v>
      </c>
      <c r="L216" s="21">
        <v>12.95</v>
      </c>
      <c r="M216" s="20">
        <f t="shared" si="22"/>
        <v>3065265</v>
      </c>
      <c r="N216" s="21">
        <v>442870</v>
      </c>
      <c r="O216" s="21">
        <v>929220</v>
      </c>
      <c r="P216" s="20">
        <v>190480</v>
      </c>
      <c r="Q216" s="20">
        <f t="shared" si="23"/>
        <v>3.7753545984804457</v>
      </c>
      <c r="R216" s="20">
        <f t="shared" si="24"/>
        <v>13.742100803538275</v>
      </c>
      <c r="S216" s="20">
        <f t="shared" si="25"/>
        <v>0.47660403349045438</v>
      </c>
      <c r="T216" s="20">
        <f t="shared" si="26"/>
        <v>0.20498913066873292</v>
      </c>
      <c r="U216" s="20">
        <f>IFERROR(IF(ISNUMBER(INDEX('Firm Master'!$E$2:$E$1000,MATCH($C216,'Firm Master'!$B$2:$B$1000,0))),INDEX('Firm Master'!$E$2:$E$1000,MATCH($C216,'Firm Master'!$B$2:$B$1000,0)),""),"")</f>
        <v>1981</v>
      </c>
      <c r="V216" s="21">
        <f t="shared" si="27"/>
        <v>44</v>
      </c>
      <c r="W216" s="21">
        <v>0</v>
      </c>
      <c r="X216" s="20" t="str">
        <f>IFERROR(INDEX('Firm Master'!$G$2:$G$1000,MATCH($C216,'Firm Master'!$B$2:$B$1000,0)),"")</f>
        <v>ANOC Professional Services</v>
      </c>
    </row>
    <row r="217" spans="1:24" ht="15" customHeight="1" x14ac:dyDescent="0.3">
      <c r="A217" s="11">
        <v>216</v>
      </c>
      <c r="B217" s="11">
        <v>44</v>
      </c>
      <c r="C217" s="11" t="s">
        <v>930</v>
      </c>
      <c r="D217" s="11" t="s">
        <v>931</v>
      </c>
      <c r="E217" s="11" t="s">
        <v>709</v>
      </c>
      <c r="F217" s="11">
        <v>2021</v>
      </c>
      <c r="G217" s="20">
        <f t="shared" si="21"/>
        <v>0</v>
      </c>
      <c r="H217" s="21">
        <v>0</v>
      </c>
      <c r="I217" s="21">
        <f>IFERROR(INDEX('Coding Sheet'!$AC$2:$AC$731,MATCH($B217&amp;"_"&amp;$F217,'Coding Sheet'!$A$2:$A$731,0)),"")</f>
        <v>0</v>
      </c>
      <c r="J217" s="7">
        <f>IFERROR(INDEX('Coding Sheet'!$AT$2:$AT$731,MATCH($B217&amp;"_"&amp;$F217,'Coding Sheet'!$A$2:$A$731,0)),"")</f>
        <v>0</v>
      </c>
      <c r="K217" s="21">
        <v>19803000000</v>
      </c>
      <c r="L217" s="21">
        <v>2.33</v>
      </c>
      <c r="M217" s="20">
        <f t="shared" si="22"/>
        <v>46140990</v>
      </c>
      <c r="N217" s="21">
        <v>2249392000</v>
      </c>
      <c r="O217" s="21">
        <v>2493198000</v>
      </c>
      <c r="P217" s="20">
        <v>20709000</v>
      </c>
      <c r="Q217" s="20">
        <f t="shared" si="23"/>
        <v>0.92071828631340147</v>
      </c>
      <c r="R217" s="20">
        <f t="shared" si="24"/>
        <v>21.636832060716713</v>
      </c>
      <c r="S217" s="20">
        <f t="shared" si="25"/>
        <v>0.90221153715027846</v>
      </c>
      <c r="T217" s="20">
        <f t="shared" si="26"/>
        <v>8.3061995076203331E-3</v>
      </c>
      <c r="U217" s="20">
        <f>IFERROR(IF(ISNUMBER(INDEX('Firm Master'!$E$2:$E$1000,MATCH($C217,'Firm Master'!$B$2:$B$1000,0))),INDEX('Firm Master'!$E$2:$E$1000,MATCH($C217,'Firm Master'!$B$2:$B$1000,0)),""),"")</f>
        <v>2013</v>
      </c>
      <c r="V217" s="21">
        <f t="shared" si="27"/>
        <v>8</v>
      </c>
      <c r="W217" s="21">
        <v>1</v>
      </c>
      <c r="X217" s="20" t="str">
        <f>IFERROR(INDEX('Firm Master'!$G$2:$G$1000,MATCH($C217,'Firm Master'!$B$2:$B$1000,0)),"")</f>
        <v>Deloitte and Touche</v>
      </c>
    </row>
    <row r="218" spans="1:24" ht="15" customHeight="1" x14ac:dyDescent="0.3">
      <c r="A218" s="11">
        <v>217</v>
      </c>
      <c r="B218" s="11">
        <v>44</v>
      </c>
      <c r="C218" s="11" t="s">
        <v>930</v>
      </c>
      <c r="D218" s="11" t="s">
        <v>931</v>
      </c>
      <c r="E218" s="11" t="s">
        <v>709</v>
      </c>
      <c r="F218" s="11">
        <v>2022</v>
      </c>
      <c r="G218" s="20">
        <f t="shared" si="21"/>
        <v>0</v>
      </c>
      <c r="H218" s="21">
        <v>0</v>
      </c>
      <c r="I218" s="21">
        <f>IFERROR(INDEX('Coding Sheet'!$AC$2:$AC$731,MATCH($B218&amp;"_"&amp;$F218,'Coding Sheet'!$A$2:$A$731,0)),"")</f>
        <v>40</v>
      </c>
      <c r="J218" s="7">
        <f>IFERROR(INDEX('Coding Sheet'!$AT$2:$AT$731,MATCH($B218&amp;"_"&amp;$F218,'Coding Sheet'!$A$2:$A$731,0)),"")</f>
        <v>40</v>
      </c>
      <c r="K218" s="21">
        <v>19803000000</v>
      </c>
      <c r="L218" s="21">
        <v>3.17</v>
      </c>
      <c r="M218" s="20">
        <f t="shared" si="22"/>
        <v>62775510</v>
      </c>
      <c r="N218" s="21">
        <v>2707173000</v>
      </c>
      <c r="O218" s="21">
        <v>2983053000</v>
      </c>
      <c r="P218" s="20">
        <v>30901000</v>
      </c>
      <c r="Q218" s="20">
        <f t="shared" si="23"/>
        <v>0.92856161456065311</v>
      </c>
      <c r="R218" s="20">
        <f t="shared" si="24"/>
        <v>21.816213109669491</v>
      </c>
      <c r="S218" s="20">
        <f t="shared" si="25"/>
        <v>0.90751756673448314</v>
      </c>
      <c r="T218" s="20">
        <f t="shared" si="26"/>
        <v>1.035885047969312E-2</v>
      </c>
      <c r="U218" s="20">
        <f>IFERROR(IF(ISNUMBER(INDEX('Firm Master'!$E$2:$E$1000,MATCH($C218,'Firm Master'!$B$2:$B$1000,0))),INDEX('Firm Master'!$E$2:$E$1000,MATCH($C218,'Firm Master'!$B$2:$B$1000,0)),""),"")</f>
        <v>2013</v>
      </c>
      <c r="V218" s="21">
        <f t="shared" si="27"/>
        <v>9</v>
      </c>
      <c r="W218" s="21">
        <v>1</v>
      </c>
      <c r="X218" s="20" t="str">
        <f>IFERROR(INDEX('Firm Master'!$G$2:$G$1000,MATCH($C218,'Firm Master'!$B$2:$B$1000,0)),"")</f>
        <v>Deloitte and Touche</v>
      </c>
    </row>
    <row r="219" spans="1:24" ht="15" customHeight="1" x14ac:dyDescent="0.3">
      <c r="A219" s="11">
        <v>218</v>
      </c>
      <c r="B219" s="11">
        <v>44</v>
      </c>
      <c r="C219" s="11" t="s">
        <v>930</v>
      </c>
      <c r="D219" s="11" t="s">
        <v>931</v>
      </c>
      <c r="E219" s="11" t="s">
        <v>709</v>
      </c>
      <c r="F219" s="11">
        <v>2023</v>
      </c>
      <c r="G219" s="20">
        <f t="shared" si="21"/>
        <v>1</v>
      </c>
      <c r="H219" s="21">
        <v>0</v>
      </c>
      <c r="I219" s="21">
        <f>IFERROR(INDEX('Coding Sheet'!$AC$2:$AC$731,MATCH($B219&amp;"_"&amp;$F219,'Coding Sheet'!$A$2:$A$731,0)),"")</f>
        <v>0</v>
      </c>
      <c r="J219" s="7">
        <f>IFERROR(INDEX('Coding Sheet'!$AT$2:$AT$731,MATCH($B219&amp;"_"&amp;$F219,'Coding Sheet'!$A$2:$A$731,0)),"")</f>
        <v>0</v>
      </c>
      <c r="K219" s="21">
        <v>19803000000</v>
      </c>
      <c r="L219" s="21">
        <v>6.52</v>
      </c>
      <c r="M219" s="20">
        <f t="shared" si="22"/>
        <v>129115559.99999999</v>
      </c>
      <c r="N219" s="21">
        <v>3961268000</v>
      </c>
      <c r="O219" s="21">
        <v>4423895000</v>
      </c>
      <c r="P219" s="20">
        <v>92629000</v>
      </c>
      <c r="Q219" s="20">
        <f t="shared" si="23"/>
        <v>0.92461135718637089</v>
      </c>
      <c r="R219" s="20">
        <f t="shared" si="24"/>
        <v>22.210286366707571</v>
      </c>
      <c r="S219" s="20">
        <f t="shared" si="25"/>
        <v>0.89542541131740239</v>
      </c>
      <c r="T219" s="20">
        <f t="shared" si="26"/>
        <v>2.0938336013852046E-2</v>
      </c>
      <c r="U219" s="20">
        <f>IFERROR(IF(ISNUMBER(INDEX('Firm Master'!$E$2:$E$1000,MATCH($C219,'Firm Master'!$B$2:$B$1000,0))),INDEX('Firm Master'!$E$2:$E$1000,MATCH($C219,'Firm Master'!$B$2:$B$1000,0)),""),"")</f>
        <v>2013</v>
      </c>
      <c r="V219" s="21">
        <f t="shared" si="27"/>
        <v>10</v>
      </c>
      <c r="W219" s="21">
        <v>1</v>
      </c>
      <c r="X219" s="20" t="str">
        <f>IFERROR(INDEX('Firm Master'!$G$2:$G$1000,MATCH($C219,'Firm Master'!$B$2:$B$1000,0)),"")</f>
        <v>Deloitte and Touche</v>
      </c>
    </row>
    <row r="220" spans="1:24" ht="15" customHeight="1" x14ac:dyDescent="0.3">
      <c r="A220" s="11">
        <v>219</v>
      </c>
      <c r="B220" s="11">
        <v>44</v>
      </c>
      <c r="C220" s="11" t="s">
        <v>930</v>
      </c>
      <c r="D220" s="11" t="s">
        <v>931</v>
      </c>
      <c r="E220" s="11" t="s">
        <v>709</v>
      </c>
      <c r="F220" s="11">
        <v>2024</v>
      </c>
      <c r="G220" s="20">
        <f t="shared" si="21"/>
        <v>1</v>
      </c>
      <c r="H220" s="21">
        <v>0</v>
      </c>
      <c r="I220" s="21">
        <f>IFERROR(INDEX('Coding Sheet'!$AC$2:$AC$731,MATCH($B220&amp;"_"&amp;$F220,'Coding Sheet'!$A$2:$A$731,0)),"")</f>
        <v>55.000000000000007</v>
      </c>
      <c r="J220" s="7">
        <f>IFERROR(INDEX('Coding Sheet'!$AT$2:$AT$731,MATCH($B220&amp;"_"&amp;$F220,'Coding Sheet'!$A$2:$A$731,0)),"")</f>
        <v>40</v>
      </c>
      <c r="K220" s="21">
        <v>39605000000</v>
      </c>
      <c r="L220" s="21">
        <v>8.83</v>
      </c>
      <c r="M220" s="20">
        <f t="shared" si="22"/>
        <v>349712150</v>
      </c>
      <c r="N220" s="21">
        <v>6365185000</v>
      </c>
      <c r="O220" s="21">
        <v>7054166000</v>
      </c>
      <c r="P220" s="20">
        <v>73134000</v>
      </c>
      <c r="Q220" s="20">
        <f t="shared" si="23"/>
        <v>0.951905179152291</v>
      </c>
      <c r="R220" s="20">
        <f t="shared" si="24"/>
        <v>22.676884201230759</v>
      </c>
      <c r="S220" s="20">
        <f t="shared" si="25"/>
        <v>0.90232991398274442</v>
      </c>
      <c r="T220" s="20">
        <f t="shared" si="26"/>
        <v>1.036749064311784E-2</v>
      </c>
      <c r="U220" s="20">
        <f>IFERROR(IF(ISNUMBER(INDEX('Firm Master'!$E$2:$E$1000,MATCH($C220,'Firm Master'!$B$2:$B$1000,0))),INDEX('Firm Master'!$E$2:$E$1000,MATCH($C220,'Firm Master'!$B$2:$B$1000,0)),""),"")</f>
        <v>2013</v>
      </c>
      <c r="V220" s="21">
        <f t="shared" si="27"/>
        <v>11</v>
      </c>
      <c r="W220" s="21">
        <v>1</v>
      </c>
      <c r="X220" s="20" t="str">
        <f>IFERROR(INDEX('Firm Master'!$G$2:$G$1000,MATCH($C220,'Firm Master'!$B$2:$B$1000,0)),"")</f>
        <v>Deloitte and Touche</v>
      </c>
    </row>
    <row r="221" spans="1:24" ht="15" customHeight="1" x14ac:dyDescent="0.3">
      <c r="A221" s="11">
        <v>220</v>
      </c>
      <c r="B221" s="11">
        <v>44</v>
      </c>
      <c r="C221" s="11" t="s">
        <v>930</v>
      </c>
      <c r="D221" s="11" t="s">
        <v>931</v>
      </c>
      <c r="E221" s="11" t="s">
        <v>709</v>
      </c>
      <c r="F221" s="11">
        <v>2025</v>
      </c>
      <c r="G221" s="20">
        <f t="shared" si="21"/>
        <v>1</v>
      </c>
      <c r="H221" s="21">
        <v>0</v>
      </c>
      <c r="I221" s="21">
        <f>IFERROR(INDEX('Coding Sheet'!$AC$2:$AC$731,MATCH($B221&amp;"_"&amp;$F221,'Coding Sheet'!$A$2:$A$731,0)),"")</f>
        <v>65</v>
      </c>
      <c r="J221" s="7">
        <f>IFERROR(INDEX('Coding Sheet'!$AT$2:$AT$731,MATCH($B221&amp;"_"&amp;$F221,'Coding Sheet'!$A$2:$A$731,0)),"")</f>
        <v>60</v>
      </c>
      <c r="K221" s="21">
        <v>42800000000</v>
      </c>
      <c r="L221" s="21">
        <v>12.05</v>
      </c>
      <c r="M221" s="20">
        <f t="shared" si="22"/>
        <v>515740000</v>
      </c>
      <c r="N221" s="21">
        <v>6719914000</v>
      </c>
      <c r="O221" s="21">
        <v>7543332000</v>
      </c>
      <c r="P221" s="20">
        <v>176642000</v>
      </c>
      <c r="Q221" s="20">
        <f t="shared" si="23"/>
        <v>0.95921192385539966</v>
      </c>
      <c r="R221" s="20">
        <f t="shared" si="24"/>
        <v>22.743929831167215</v>
      </c>
      <c r="S221" s="20">
        <f t="shared" si="25"/>
        <v>0.89084160686550717</v>
      </c>
      <c r="T221" s="20">
        <f t="shared" si="26"/>
        <v>2.3416972764820639E-2</v>
      </c>
      <c r="U221" s="20">
        <f>IFERROR(IF(ISNUMBER(INDEX('Firm Master'!$E$2:$E$1000,MATCH($C221,'Firm Master'!$B$2:$B$1000,0))),INDEX('Firm Master'!$E$2:$E$1000,MATCH($C221,'Firm Master'!$B$2:$B$1000,0)),""),"")</f>
        <v>2013</v>
      </c>
      <c r="V221" s="21">
        <f t="shared" si="27"/>
        <v>12</v>
      </c>
      <c r="W221" s="21">
        <v>1</v>
      </c>
      <c r="X221" s="20" t="str">
        <f>IFERROR(INDEX('Firm Master'!$G$2:$G$1000,MATCH($C221,'Firm Master'!$B$2:$B$1000,0)),"")</f>
        <v>Deloitte and Touche</v>
      </c>
    </row>
    <row r="222" spans="1:24" ht="15" customHeight="1" x14ac:dyDescent="0.3">
      <c r="A222" s="11">
        <v>221</v>
      </c>
      <c r="B222" s="11">
        <v>45</v>
      </c>
      <c r="C222" s="11" t="s">
        <v>935</v>
      </c>
      <c r="D222" s="11" t="s">
        <v>936</v>
      </c>
      <c r="E222" s="11" t="s">
        <v>709</v>
      </c>
      <c r="F222" s="11">
        <v>2021</v>
      </c>
      <c r="G222" s="20">
        <f t="shared" si="21"/>
        <v>0</v>
      </c>
      <c r="H222" s="21">
        <v>0</v>
      </c>
      <c r="I222" s="21">
        <f>IFERROR(INDEX('Coding Sheet'!$AC$2:$AC$731,MATCH($B222&amp;"_"&amp;$F222,'Coding Sheet'!$A$2:$A$731,0)),"")</f>
        <v>45</v>
      </c>
      <c r="J222" s="7">
        <f>IFERROR(INDEX('Coding Sheet'!$AT$2:$AT$731,MATCH($B222&amp;"_"&amp;$F222,'Coding Sheet'!$A$2:$A$731,0)),"")</f>
        <v>20</v>
      </c>
      <c r="K222" s="21">
        <v>28963000000</v>
      </c>
      <c r="L222" s="21">
        <v>1.53</v>
      </c>
      <c r="M222" s="20">
        <f t="shared" si="22"/>
        <v>44313390</v>
      </c>
      <c r="N222" s="21">
        <v>2995160000</v>
      </c>
      <c r="O222" s="21">
        <v>3280454000</v>
      </c>
      <c r="P222" s="20">
        <v>23104000</v>
      </c>
      <c r="Q222" s="20">
        <f t="shared" si="23"/>
        <v>0.92654046970327886</v>
      </c>
      <c r="R222" s="20">
        <f t="shared" si="24"/>
        <v>21.911247664398189</v>
      </c>
      <c r="S222" s="20">
        <f t="shared" si="25"/>
        <v>0.91303215957303474</v>
      </c>
      <c r="T222" s="20">
        <f t="shared" si="26"/>
        <v>7.0429275947780402E-3</v>
      </c>
      <c r="U222" s="20">
        <f>IFERROR(IF(ISNUMBER(INDEX('Firm Master'!$E$2:$E$1000,MATCH($C222,'Firm Master'!$B$2:$B$1000,0))),INDEX('Firm Master'!$E$2:$E$1000,MATCH($C222,'Firm Master'!$B$2:$B$1000,0)),""),"")</f>
        <v>1987</v>
      </c>
      <c r="V222" s="21">
        <f t="shared" si="27"/>
        <v>34</v>
      </c>
      <c r="W222" s="21">
        <v>1</v>
      </c>
      <c r="X222" s="20" t="str">
        <f>IFERROR(INDEX('Firm Master'!$G$2:$G$1000,MATCH($C222,'Firm Master'!$B$2:$B$1000,0)),"")</f>
        <v>Deloitte &amp; Touche</v>
      </c>
    </row>
    <row r="223" spans="1:24" ht="15" customHeight="1" x14ac:dyDescent="0.3">
      <c r="A223" s="11">
        <v>222</v>
      </c>
      <c r="B223" s="11">
        <v>45</v>
      </c>
      <c r="C223" s="11" t="s">
        <v>935</v>
      </c>
      <c r="D223" s="11" t="s">
        <v>936</v>
      </c>
      <c r="E223" s="11" t="s">
        <v>709</v>
      </c>
      <c r="F223" s="11">
        <v>2022</v>
      </c>
      <c r="G223" s="20">
        <f t="shared" si="21"/>
        <v>0</v>
      </c>
      <c r="H223" s="21">
        <v>0</v>
      </c>
      <c r="I223" s="21">
        <f>IFERROR(INDEX('Coding Sheet'!$AC$2:$AC$731,MATCH($B223&amp;"_"&amp;$F223,'Coding Sheet'!$A$2:$A$731,0)),"")</f>
        <v>45</v>
      </c>
      <c r="J223" s="7">
        <f>IFERROR(INDEX('Coding Sheet'!$AT$2:$AT$731,MATCH($B223&amp;"_"&amp;$F223,'Coding Sheet'!$A$2:$A$731,0)),"")</f>
        <v>20</v>
      </c>
      <c r="K223" s="21">
        <v>28963000000</v>
      </c>
      <c r="L223" s="21">
        <v>2.95</v>
      </c>
      <c r="M223" s="20">
        <f t="shared" si="22"/>
        <v>85440850</v>
      </c>
      <c r="N223" s="21">
        <v>3674649000</v>
      </c>
      <c r="O223" s="21">
        <v>3989009000</v>
      </c>
      <c r="P223" s="20">
        <v>46724000</v>
      </c>
      <c r="Q223" s="20">
        <f t="shared" si="23"/>
        <v>0.94261252606850476</v>
      </c>
      <c r="R223" s="20">
        <f t="shared" si="24"/>
        <v>22.106808666071696</v>
      </c>
      <c r="S223" s="20">
        <f t="shared" si="25"/>
        <v>0.92119345932786811</v>
      </c>
      <c r="T223" s="20">
        <f t="shared" si="26"/>
        <v>1.171318490381947E-2</v>
      </c>
      <c r="U223" s="20">
        <f>IFERROR(IF(ISNUMBER(INDEX('Firm Master'!$E$2:$E$1000,MATCH($C223,'Firm Master'!$B$2:$B$1000,0))),INDEX('Firm Master'!$E$2:$E$1000,MATCH($C223,'Firm Master'!$B$2:$B$1000,0)),""),"")</f>
        <v>1987</v>
      </c>
      <c r="V223" s="21">
        <f t="shared" si="27"/>
        <v>35</v>
      </c>
      <c r="W223" s="21">
        <v>1</v>
      </c>
      <c r="X223" s="20" t="str">
        <f>IFERROR(INDEX('Firm Master'!$G$2:$G$1000,MATCH($C223,'Firm Master'!$B$2:$B$1000,0)),"")</f>
        <v>Deloitte &amp; Touche</v>
      </c>
    </row>
    <row r="224" spans="1:24" ht="15" customHeight="1" x14ac:dyDescent="0.3">
      <c r="A224" s="11">
        <v>223</v>
      </c>
      <c r="B224" s="11">
        <v>45</v>
      </c>
      <c r="C224" s="11" t="s">
        <v>935</v>
      </c>
      <c r="D224" s="11" t="s">
        <v>936</v>
      </c>
      <c r="E224" s="11" t="s">
        <v>709</v>
      </c>
      <c r="F224" s="11">
        <v>2023</v>
      </c>
      <c r="G224" s="20">
        <f t="shared" si="21"/>
        <v>1</v>
      </c>
      <c r="H224" s="21">
        <v>0</v>
      </c>
      <c r="I224" s="21">
        <f>IFERROR(INDEX('Coding Sheet'!$AC$2:$AC$731,MATCH($B224&amp;"_"&amp;$F224,'Coding Sheet'!$A$2:$A$731,0)),"")</f>
        <v>80</v>
      </c>
      <c r="J224" s="7">
        <f>IFERROR(INDEX('Coding Sheet'!$AT$2:$AT$731,MATCH($B224&amp;"_"&amp;$F224,'Coding Sheet'!$A$2:$A$731,0)),"")</f>
        <v>86.666666666666671</v>
      </c>
      <c r="K224" s="21">
        <v>32000000000</v>
      </c>
      <c r="L224" s="21">
        <v>8.1300000000000008</v>
      </c>
      <c r="M224" s="20">
        <f t="shared" si="22"/>
        <v>260160000.00000003</v>
      </c>
      <c r="N224" s="21">
        <v>5797381000</v>
      </c>
      <c r="O224" s="21">
        <v>6234688000</v>
      </c>
      <c r="P224" s="20">
        <v>99454000</v>
      </c>
      <c r="Q224" s="20">
        <f t="shared" si="23"/>
        <v>0.97158687010480715</v>
      </c>
      <c r="R224" s="20">
        <f t="shared" si="24"/>
        <v>22.553394374730132</v>
      </c>
      <c r="S224" s="20">
        <f t="shared" si="25"/>
        <v>0.92985904025991362</v>
      </c>
      <c r="T224" s="20">
        <f t="shared" si="26"/>
        <v>1.5951720438937764E-2</v>
      </c>
      <c r="U224" s="20">
        <f>IFERROR(IF(ISNUMBER(INDEX('Firm Master'!$E$2:$E$1000,MATCH($C224,'Firm Master'!$B$2:$B$1000,0))),INDEX('Firm Master'!$E$2:$E$1000,MATCH($C224,'Firm Master'!$B$2:$B$1000,0)),""),"")</f>
        <v>1987</v>
      </c>
      <c r="V224" s="21">
        <f t="shared" si="27"/>
        <v>36</v>
      </c>
      <c r="W224" s="21">
        <v>1</v>
      </c>
      <c r="X224" s="20" t="str">
        <f>IFERROR(INDEX('Firm Master'!$G$2:$G$1000,MATCH($C224,'Firm Master'!$B$2:$B$1000,0)),"")</f>
        <v>Deloitte &amp; Touche</v>
      </c>
    </row>
    <row r="225" spans="1:24" ht="15" customHeight="1" x14ac:dyDescent="0.3">
      <c r="A225" s="11">
        <v>224</v>
      </c>
      <c r="B225" s="11">
        <v>45</v>
      </c>
      <c r="C225" s="11" t="s">
        <v>935</v>
      </c>
      <c r="D225" s="11" t="s">
        <v>936</v>
      </c>
      <c r="E225" s="11" t="s">
        <v>709</v>
      </c>
      <c r="F225" s="11">
        <v>2024</v>
      </c>
      <c r="G225" s="20">
        <f t="shared" si="21"/>
        <v>1</v>
      </c>
      <c r="H225" s="21">
        <v>1</v>
      </c>
      <c r="I225" s="21">
        <f>IFERROR(INDEX('Coding Sheet'!$AC$2:$AC$731,MATCH($B225&amp;"_"&amp;$F225,'Coding Sheet'!$A$2:$A$731,0)),"")</f>
        <v>95</v>
      </c>
      <c r="J225" s="7">
        <f>IFERROR(INDEX('Coding Sheet'!$AT$2:$AT$731,MATCH($B225&amp;"_"&amp;$F225,'Coding Sheet'!$A$2:$A$731,0)),"")</f>
        <v>80</v>
      </c>
      <c r="K225" s="21">
        <v>50200000000</v>
      </c>
      <c r="L225" s="21">
        <v>16.3</v>
      </c>
      <c r="M225" s="20">
        <f t="shared" si="22"/>
        <v>818260000</v>
      </c>
      <c r="N225" s="21">
        <v>7923863000</v>
      </c>
      <c r="O225" s="21">
        <v>8821737000</v>
      </c>
      <c r="P225" s="20">
        <v>278106000</v>
      </c>
      <c r="Q225" s="20">
        <f t="shared" si="23"/>
        <v>0.99097524671161696</v>
      </c>
      <c r="R225" s="20">
        <f t="shared" si="24"/>
        <v>22.900484626350725</v>
      </c>
      <c r="S225" s="20">
        <f t="shared" si="25"/>
        <v>0.89822027113254455</v>
      </c>
      <c r="T225" s="20">
        <f t="shared" si="26"/>
        <v>3.1525084005564891E-2</v>
      </c>
      <c r="U225" s="20">
        <f>IFERROR(IF(ISNUMBER(INDEX('Firm Master'!$E$2:$E$1000,MATCH($C225,'Firm Master'!$B$2:$B$1000,0))),INDEX('Firm Master'!$E$2:$E$1000,MATCH($C225,'Firm Master'!$B$2:$B$1000,0)),""),"")</f>
        <v>1987</v>
      </c>
      <c r="V225" s="21">
        <f t="shared" si="27"/>
        <v>37</v>
      </c>
      <c r="W225" s="21">
        <v>1</v>
      </c>
      <c r="X225" s="20" t="str">
        <f>IFERROR(INDEX('Firm Master'!$G$2:$G$1000,MATCH($C225,'Firm Master'!$B$2:$B$1000,0)),"")</f>
        <v>Deloitte &amp; Touche</v>
      </c>
    </row>
    <row r="226" spans="1:24" ht="15" customHeight="1" x14ac:dyDescent="0.3">
      <c r="A226" s="11">
        <v>225</v>
      </c>
      <c r="B226" s="11">
        <v>45</v>
      </c>
      <c r="C226" s="11" t="s">
        <v>935</v>
      </c>
      <c r="D226" s="11" t="s">
        <v>936</v>
      </c>
      <c r="E226" s="11" t="s">
        <v>709</v>
      </c>
      <c r="F226" s="11">
        <v>2025</v>
      </c>
      <c r="G226" s="20">
        <f t="shared" si="21"/>
        <v>1</v>
      </c>
      <c r="H226" s="21">
        <v>1</v>
      </c>
      <c r="I226" s="21">
        <f>IFERROR(INDEX('Coding Sheet'!$AC$2:$AC$731,MATCH($B226&amp;"_"&amp;$F226,'Coding Sheet'!$A$2:$A$731,0)),"")</f>
        <v>5</v>
      </c>
      <c r="J226" s="7">
        <f>IFERROR(INDEX('Coding Sheet'!$AT$2:$AT$731,MATCH($B226&amp;"_"&amp;$F226,'Coding Sheet'!$A$2:$A$731,0)),"")</f>
        <v>0</v>
      </c>
      <c r="K226" s="21">
        <v>50200000000</v>
      </c>
      <c r="L226" s="21">
        <v>19</v>
      </c>
      <c r="M226" s="20">
        <f t="shared" si="22"/>
        <v>953800000</v>
      </c>
      <c r="N226" s="21">
        <v>9376227000</v>
      </c>
      <c r="O226" s="21">
        <v>10463815000</v>
      </c>
      <c r="P226" s="20">
        <v>242444000</v>
      </c>
      <c r="Q226" s="20">
        <f t="shared" si="23"/>
        <v>0.98721422349305676</v>
      </c>
      <c r="R226" s="20">
        <f t="shared" si="24"/>
        <v>23.071188951841357</v>
      </c>
      <c r="S226" s="20">
        <f t="shared" si="25"/>
        <v>0.89606200033161898</v>
      </c>
      <c r="T226" s="20">
        <f t="shared" si="26"/>
        <v>2.3169752141069009E-2</v>
      </c>
      <c r="U226" s="20">
        <f>IFERROR(IF(ISNUMBER(INDEX('Firm Master'!$E$2:$E$1000,MATCH($C226,'Firm Master'!$B$2:$B$1000,0))),INDEX('Firm Master'!$E$2:$E$1000,MATCH($C226,'Firm Master'!$B$2:$B$1000,0)),""),"")</f>
        <v>1987</v>
      </c>
      <c r="V226" s="21">
        <f t="shared" si="27"/>
        <v>38</v>
      </c>
      <c r="W226" s="21">
        <v>1</v>
      </c>
      <c r="X226" s="20" t="str">
        <f>IFERROR(INDEX('Firm Master'!$G$2:$G$1000,MATCH($C226,'Firm Master'!$B$2:$B$1000,0)),"")</f>
        <v>Deloitte &amp; Touche</v>
      </c>
    </row>
    <row r="227" spans="1:24" ht="15" customHeight="1" x14ac:dyDescent="0.3">
      <c r="A227" s="11">
        <v>226</v>
      </c>
      <c r="B227" s="11">
        <v>46</v>
      </c>
      <c r="C227" s="11" t="s">
        <v>939</v>
      </c>
      <c r="D227" s="11" t="s">
        <v>940</v>
      </c>
      <c r="E227" s="11" t="s">
        <v>898</v>
      </c>
      <c r="F227" s="11">
        <v>2021</v>
      </c>
      <c r="G227" s="20">
        <f t="shared" si="21"/>
        <v>0</v>
      </c>
      <c r="H227" s="21">
        <v>0</v>
      </c>
      <c r="I227" s="21">
        <f>IFERROR(INDEX('Coding Sheet'!$AC$2:$AC$731,MATCH($B227&amp;"_"&amp;$F227,'Coding Sheet'!$A$2:$A$731,0)),"")</f>
        <v>0</v>
      </c>
      <c r="J227" s="7">
        <f>IFERROR(INDEX('Coding Sheet'!$AT$2:$AT$731,MATCH($B227&amp;"_"&amp;$F227,'Coding Sheet'!$A$2:$A$731,0)),"")</f>
        <v>0</v>
      </c>
      <c r="K227" s="21">
        <v>2295000000</v>
      </c>
      <c r="L227" s="21">
        <v>4.71</v>
      </c>
      <c r="M227" s="20">
        <f t="shared" si="22"/>
        <v>10809450</v>
      </c>
      <c r="N227" s="21">
        <v>19354000</v>
      </c>
      <c r="O227" s="21">
        <v>33105000</v>
      </c>
      <c r="P227" s="20">
        <v>3720000</v>
      </c>
      <c r="Q227" s="20">
        <f t="shared" si="23"/>
        <v>0.91114484216885672</v>
      </c>
      <c r="R227" s="20">
        <f t="shared" si="24"/>
        <v>17.315194886341082</v>
      </c>
      <c r="S227" s="20">
        <f t="shared" si="25"/>
        <v>0.58462467905150284</v>
      </c>
      <c r="T227" s="20">
        <f t="shared" si="26"/>
        <v>0.11236973266878116</v>
      </c>
      <c r="U227" s="20">
        <f>IFERROR(IF(ISNUMBER(INDEX('Firm Master'!$E$2:$E$1000,MATCH($C227,'Firm Master'!$B$2:$B$1000,0))),INDEX('Firm Master'!$E$2:$E$1000,MATCH($C227,'Firm Master'!$B$2:$B$1000,0)),""),"")</f>
        <v>1995</v>
      </c>
      <c r="V227" s="21">
        <f t="shared" si="27"/>
        <v>26</v>
      </c>
      <c r="W227" s="21">
        <v>1</v>
      </c>
      <c r="X227" s="20" t="str">
        <f>IFERROR(INDEX('Firm Master'!$G$2:$G$1000,MATCH($C227,'Firm Master'!$B$2:$B$1000,0)),"")</f>
        <v>Deloitte and Touche</v>
      </c>
    </row>
    <row r="228" spans="1:24" ht="15" customHeight="1" x14ac:dyDescent="0.3">
      <c r="A228" s="11">
        <v>227</v>
      </c>
      <c r="B228" s="11">
        <v>46</v>
      </c>
      <c r="C228" s="11" t="s">
        <v>939</v>
      </c>
      <c r="D228" s="11" t="s">
        <v>940</v>
      </c>
      <c r="E228" s="11" t="s">
        <v>898</v>
      </c>
      <c r="F228" s="11">
        <v>2022</v>
      </c>
      <c r="G228" s="20">
        <f t="shared" si="21"/>
        <v>0</v>
      </c>
      <c r="H228" s="21">
        <v>0</v>
      </c>
      <c r="I228" s="21">
        <f>IFERROR(INDEX('Coding Sheet'!$AC$2:$AC$731,MATCH($B228&amp;"_"&amp;$F228,'Coding Sheet'!$A$2:$A$731,0)),"")</f>
        <v>35</v>
      </c>
      <c r="J228" s="7">
        <f>IFERROR(INDEX('Coding Sheet'!$AT$2:$AT$731,MATCH($B228&amp;"_"&amp;$F228,'Coding Sheet'!$A$2:$A$731,0)),"")</f>
        <v>0</v>
      </c>
      <c r="K228" s="21">
        <v>2295000000</v>
      </c>
      <c r="L228" s="21">
        <v>7.82</v>
      </c>
      <c r="M228" s="20">
        <f t="shared" si="22"/>
        <v>17946900</v>
      </c>
      <c r="N228" s="21">
        <v>26062000</v>
      </c>
      <c r="O228" s="21">
        <v>42981000</v>
      </c>
      <c r="P228" s="20">
        <v>4187000</v>
      </c>
      <c r="Q228" s="20">
        <f t="shared" si="23"/>
        <v>1.0239152183522953</v>
      </c>
      <c r="R228" s="20">
        <f t="shared" si="24"/>
        <v>17.57626871554362</v>
      </c>
      <c r="S228" s="20">
        <f t="shared" si="25"/>
        <v>0.60636095018729208</v>
      </c>
      <c r="T228" s="20">
        <f t="shared" si="26"/>
        <v>9.7415136920965081E-2</v>
      </c>
      <c r="U228" s="20">
        <f>IFERROR(IF(ISNUMBER(INDEX('Firm Master'!$E$2:$E$1000,MATCH($C228,'Firm Master'!$B$2:$B$1000,0))),INDEX('Firm Master'!$E$2:$E$1000,MATCH($C228,'Firm Master'!$B$2:$B$1000,0)),""),"")</f>
        <v>1995</v>
      </c>
      <c r="V228" s="21">
        <f t="shared" si="27"/>
        <v>27</v>
      </c>
      <c r="W228" s="21">
        <v>1</v>
      </c>
      <c r="X228" s="20" t="str">
        <f>IFERROR(INDEX('Firm Master'!$G$2:$G$1000,MATCH($C228,'Firm Master'!$B$2:$B$1000,0)),"")</f>
        <v>Deloitte and Touche</v>
      </c>
    </row>
    <row r="229" spans="1:24" ht="15" customHeight="1" x14ac:dyDescent="0.3">
      <c r="A229" s="11">
        <v>228</v>
      </c>
      <c r="B229" s="11">
        <v>46</v>
      </c>
      <c r="C229" s="11" t="s">
        <v>939</v>
      </c>
      <c r="D229" s="11" t="s">
        <v>940</v>
      </c>
      <c r="E229" s="11" t="s">
        <v>898</v>
      </c>
      <c r="F229" s="11">
        <v>2023</v>
      </c>
      <c r="G229" s="20">
        <f t="shared" si="21"/>
        <v>1</v>
      </c>
      <c r="H229" s="21">
        <v>0</v>
      </c>
      <c r="I229" s="21">
        <f>IFERROR(INDEX('Coding Sheet'!$AC$2:$AC$731,MATCH($B229&amp;"_"&amp;$F229,'Coding Sheet'!$A$2:$A$731,0)),"")</f>
        <v>40</v>
      </c>
      <c r="J229" s="7">
        <f>IFERROR(INDEX('Coding Sheet'!$AT$2:$AT$731,MATCH($B229&amp;"_"&amp;$F229,'Coding Sheet'!$A$2:$A$731,0)),"")</f>
        <v>0</v>
      </c>
      <c r="K229" s="21">
        <v>2295000000</v>
      </c>
      <c r="L229" s="21">
        <v>15.77</v>
      </c>
      <c r="M229" s="20">
        <f t="shared" si="22"/>
        <v>36192150</v>
      </c>
      <c r="N229" s="21">
        <v>42697000</v>
      </c>
      <c r="O229" s="21">
        <v>61991000</v>
      </c>
      <c r="P229" s="20">
        <v>3608000</v>
      </c>
      <c r="Q229" s="20">
        <f t="shared" si="23"/>
        <v>1.2725903760223258</v>
      </c>
      <c r="R229" s="20">
        <f t="shared" si="24"/>
        <v>17.942499771182124</v>
      </c>
      <c r="S229" s="20">
        <f t="shared" si="25"/>
        <v>0.688761271797519</v>
      </c>
      <c r="T229" s="20">
        <f t="shared" si="26"/>
        <v>5.8201997064089947E-2</v>
      </c>
      <c r="U229" s="20">
        <f>IFERROR(IF(ISNUMBER(INDEX('Firm Master'!$E$2:$E$1000,MATCH($C229,'Firm Master'!$B$2:$B$1000,0))),INDEX('Firm Master'!$E$2:$E$1000,MATCH($C229,'Firm Master'!$B$2:$B$1000,0)),""),"")</f>
        <v>1995</v>
      </c>
      <c r="V229" s="21">
        <f t="shared" si="27"/>
        <v>28</v>
      </c>
      <c r="W229" s="21">
        <v>1</v>
      </c>
      <c r="X229" s="20" t="str">
        <f>IFERROR(INDEX('Firm Master'!$G$2:$G$1000,MATCH($C229,'Firm Master'!$B$2:$B$1000,0)),"")</f>
        <v>Deloitte and Touche</v>
      </c>
    </row>
    <row r="230" spans="1:24" ht="15" customHeight="1" x14ac:dyDescent="0.3">
      <c r="A230" s="11">
        <v>229</v>
      </c>
      <c r="B230" s="11">
        <v>46</v>
      </c>
      <c r="C230" s="11" t="s">
        <v>939</v>
      </c>
      <c r="D230" s="11" t="s">
        <v>940</v>
      </c>
      <c r="E230" s="11" t="s">
        <v>898</v>
      </c>
      <c r="F230" s="11">
        <v>2024</v>
      </c>
      <c r="G230" s="20">
        <f t="shared" si="21"/>
        <v>1</v>
      </c>
      <c r="H230" s="21">
        <v>0</v>
      </c>
      <c r="I230" s="21">
        <f>IFERROR(INDEX('Coding Sheet'!$AC$2:$AC$731,MATCH($B230&amp;"_"&amp;$F230,'Coding Sheet'!$A$2:$A$731,0)),"")</f>
        <v>35</v>
      </c>
      <c r="J230" s="7">
        <f>IFERROR(INDEX('Coding Sheet'!$AT$2:$AT$731,MATCH($B230&amp;"_"&amp;$F230,'Coding Sheet'!$A$2:$A$731,0)),"")</f>
        <v>0</v>
      </c>
      <c r="K230" s="21">
        <v>2295000000</v>
      </c>
      <c r="L230" s="21">
        <v>14.57</v>
      </c>
      <c r="M230" s="20">
        <f t="shared" si="22"/>
        <v>33438150</v>
      </c>
      <c r="N230" s="21">
        <v>51148000</v>
      </c>
      <c r="O230" s="21">
        <v>73493000</v>
      </c>
      <c r="P230" s="20">
        <v>4399000</v>
      </c>
      <c r="Q230" s="20">
        <f t="shared" si="23"/>
        <v>1.1509415862735226</v>
      </c>
      <c r="R230" s="20">
        <f t="shared" si="24"/>
        <v>18.112700721552393</v>
      </c>
      <c r="S230" s="20">
        <f t="shared" si="25"/>
        <v>0.69595743812335864</v>
      </c>
      <c r="T230" s="20">
        <f t="shared" si="26"/>
        <v>5.9856040711360269E-2</v>
      </c>
      <c r="U230" s="20">
        <f>IFERROR(IF(ISNUMBER(INDEX('Firm Master'!$E$2:$E$1000,MATCH($C230,'Firm Master'!$B$2:$B$1000,0))),INDEX('Firm Master'!$E$2:$E$1000,MATCH($C230,'Firm Master'!$B$2:$B$1000,0)),""),"")</f>
        <v>1995</v>
      </c>
      <c r="V230" s="21">
        <f t="shared" si="27"/>
        <v>29</v>
      </c>
      <c r="W230" s="21">
        <v>1</v>
      </c>
      <c r="X230" s="20" t="str">
        <f>IFERROR(INDEX('Firm Master'!$G$2:$G$1000,MATCH($C230,'Firm Master'!$B$2:$B$1000,0)),"")</f>
        <v>Deloitte and Touche</v>
      </c>
    </row>
    <row r="231" spans="1:24" ht="15" customHeight="1" x14ac:dyDescent="0.3">
      <c r="A231" s="11">
        <v>230</v>
      </c>
      <c r="B231" s="11">
        <v>46</v>
      </c>
      <c r="C231" s="11" t="s">
        <v>939</v>
      </c>
      <c r="D231" s="11" t="s">
        <v>940</v>
      </c>
      <c r="E231" s="11" t="s">
        <v>898</v>
      </c>
      <c r="F231" s="11">
        <v>2025</v>
      </c>
      <c r="G231" s="20">
        <f t="shared" si="21"/>
        <v>1</v>
      </c>
      <c r="H231" s="21">
        <v>0</v>
      </c>
      <c r="I231" s="21">
        <f>IFERROR(INDEX('Coding Sheet'!$AC$2:$AC$731,MATCH($B231&amp;"_"&amp;$F231,'Coding Sheet'!$A$2:$A$731,0)),"")</f>
        <v>35</v>
      </c>
      <c r="J231" s="7">
        <f>IFERROR(INDEX('Coding Sheet'!$AT$2:$AT$731,MATCH($B231&amp;"_"&amp;$F231,'Coding Sheet'!$A$2:$A$731,0)),"")</f>
        <v>0</v>
      </c>
      <c r="K231" s="21">
        <v>2400000000</v>
      </c>
      <c r="L231" s="21">
        <v>49.35</v>
      </c>
      <c r="M231" s="20">
        <f t="shared" si="22"/>
        <v>118440000</v>
      </c>
      <c r="N231" s="21">
        <v>50090000</v>
      </c>
      <c r="O231" s="21">
        <v>80287000</v>
      </c>
      <c r="P231" s="20">
        <v>9884000</v>
      </c>
      <c r="Q231" s="20">
        <f t="shared" si="23"/>
        <v>2.0990944984866791</v>
      </c>
      <c r="R231" s="20">
        <f t="shared" si="24"/>
        <v>18.201118272909302</v>
      </c>
      <c r="S231" s="20">
        <f t="shared" si="25"/>
        <v>0.62388680608317659</v>
      </c>
      <c r="T231" s="20">
        <f t="shared" si="26"/>
        <v>0.12310834879868472</v>
      </c>
      <c r="U231" s="20">
        <f>IFERROR(IF(ISNUMBER(INDEX('Firm Master'!$E$2:$E$1000,MATCH($C231,'Firm Master'!$B$2:$B$1000,0))),INDEX('Firm Master'!$E$2:$E$1000,MATCH($C231,'Firm Master'!$B$2:$B$1000,0)),""),"")</f>
        <v>1995</v>
      </c>
      <c r="V231" s="21">
        <f t="shared" si="27"/>
        <v>30</v>
      </c>
      <c r="W231" s="21">
        <v>1</v>
      </c>
      <c r="X231" s="20" t="str">
        <f>IFERROR(INDEX('Firm Master'!$G$2:$G$1000,MATCH($C231,'Firm Master'!$B$2:$B$1000,0)),"")</f>
        <v>Deloitte and Touche</v>
      </c>
    </row>
    <row r="232" spans="1:24" ht="27.75" customHeight="1" x14ac:dyDescent="0.3">
      <c r="A232" s="11">
        <v>231</v>
      </c>
      <c r="B232" s="11">
        <v>47</v>
      </c>
      <c r="C232" s="11" t="s">
        <v>943</v>
      </c>
      <c r="D232" s="11" t="s">
        <v>944</v>
      </c>
      <c r="E232" s="11" t="s">
        <v>709</v>
      </c>
      <c r="F232" s="11">
        <v>2021</v>
      </c>
      <c r="G232" s="20">
        <f t="shared" si="21"/>
        <v>0</v>
      </c>
      <c r="H232" s="21">
        <v>0</v>
      </c>
      <c r="I232" s="21">
        <f>IFERROR(INDEX('Coding Sheet'!$AC$2:$AC$731,MATCH($B232&amp;"_"&amp;$F232,'Coding Sheet'!$A$2:$A$731,0)),"")</f>
        <v>35</v>
      </c>
      <c r="J232" s="7">
        <f>IFERROR(INDEX('Coding Sheet'!$AT$2:$AT$731,MATCH($B232&amp;"_"&amp;$F232,'Coding Sheet'!$A$2:$A$731,0)),"")</f>
        <v>0</v>
      </c>
      <c r="K232" s="21">
        <v>35895000000</v>
      </c>
      <c r="L232" s="21">
        <v>10.23</v>
      </c>
      <c r="M232" s="20">
        <f t="shared" si="22"/>
        <v>367205850</v>
      </c>
      <c r="N232" s="21">
        <v>8052517000</v>
      </c>
      <c r="O232" s="21">
        <v>8932373000</v>
      </c>
      <c r="P232" s="20">
        <v>149709000</v>
      </c>
      <c r="Q232" s="20">
        <f t="shared" si="23"/>
        <v>0.94260761949820049</v>
      </c>
      <c r="R232" s="20">
        <f t="shared" si="24"/>
        <v>22.912947930016575</v>
      </c>
      <c r="S232" s="20">
        <f t="shared" si="25"/>
        <v>0.901498067758702</v>
      </c>
      <c r="T232" s="20">
        <f t="shared" si="26"/>
        <v>1.6760271878480667E-2</v>
      </c>
      <c r="U232" s="20">
        <f>IFERROR(IF(ISNUMBER(INDEX('Firm Master'!$E$2:$E$1000,MATCH($C232,'Firm Master'!$B$2:$B$1000,0))),INDEX('Firm Master'!$E$2:$E$1000,MATCH($C232,'Firm Master'!$B$2:$B$1000,0)),""),"")</f>
        <v>2010</v>
      </c>
      <c r="V232" s="21">
        <f t="shared" si="27"/>
        <v>11</v>
      </c>
      <c r="W232" s="21">
        <v>1</v>
      </c>
      <c r="X232" s="20" t="str">
        <f>IFERROR(INDEX('Firm Master'!$G$2:$G$1000,MATCH($C232,'Firm Master'!$B$2:$B$1000,0)),"")</f>
        <v>KPMG Professional Services</v>
      </c>
    </row>
    <row r="233" spans="1:24" ht="27.75" customHeight="1" x14ac:dyDescent="0.3">
      <c r="A233" s="11">
        <v>232</v>
      </c>
      <c r="B233" s="11">
        <v>47</v>
      </c>
      <c r="C233" s="11" t="s">
        <v>943</v>
      </c>
      <c r="D233" s="11" t="s">
        <v>944</v>
      </c>
      <c r="E233" s="11" t="s">
        <v>709</v>
      </c>
      <c r="F233" s="11">
        <v>2022</v>
      </c>
      <c r="G233" s="20">
        <f t="shared" si="21"/>
        <v>0</v>
      </c>
      <c r="H233" s="21">
        <v>0</v>
      </c>
      <c r="I233" s="21">
        <f>IFERROR(INDEX('Coding Sheet'!$AC$2:$AC$731,MATCH($B233&amp;"_"&amp;$F233,'Coding Sheet'!$A$2:$A$731,0)),"")</f>
        <v>50</v>
      </c>
      <c r="J233" s="7">
        <f>IFERROR(INDEX('Coding Sheet'!$AT$2:$AT$731,MATCH($B233&amp;"_"&amp;$F233,'Coding Sheet'!$A$2:$A$731,0)),"")</f>
        <v>0</v>
      </c>
      <c r="K233" s="21">
        <v>35895000000</v>
      </c>
      <c r="L233" s="21">
        <v>10.11</v>
      </c>
      <c r="M233" s="20">
        <f t="shared" si="22"/>
        <v>362898450</v>
      </c>
      <c r="N233" s="21">
        <v>9581969000</v>
      </c>
      <c r="O233" s="21">
        <v>10577710000</v>
      </c>
      <c r="P233" s="20">
        <v>134403000</v>
      </c>
      <c r="Q233" s="20">
        <f t="shared" si="23"/>
        <v>0.94017206465293524</v>
      </c>
      <c r="R233" s="20">
        <f t="shared" si="24"/>
        <v>23.082014793823959</v>
      </c>
      <c r="S233" s="20">
        <f t="shared" si="25"/>
        <v>0.90586421824761687</v>
      </c>
      <c r="T233" s="20">
        <f t="shared" si="26"/>
        <v>1.2706247382467471E-2</v>
      </c>
      <c r="U233" s="20">
        <f>IFERROR(IF(ISNUMBER(INDEX('Firm Master'!$E$2:$E$1000,MATCH($C233,'Firm Master'!$B$2:$B$1000,0))),INDEX('Firm Master'!$E$2:$E$1000,MATCH($C233,'Firm Master'!$B$2:$B$1000,0)),""),"")</f>
        <v>2010</v>
      </c>
      <c r="V233" s="21">
        <f t="shared" si="27"/>
        <v>12</v>
      </c>
      <c r="W233" s="21">
        <v>1</v>
      </c>
      <c r="X233" s="20" t="str">
        <f>IFERROR(INDEX('Firm Master'!$G$2:$G$1000,MATCH($C233,'Firm Master'!$B$2:$B$1000,0)),"")</f>
        <v>KPMG Professional Services</v>
      </c>
    </row>
    <row r="234" spans="1:24" ht="27.75" customHeight="1" x14ac:dyDescent="0.3">
      <c r="A234" s="11">
        <v>233</v>
      </c>
      <c r="B234" s="11">
        <v>47</v>
      </c>
      <c r="C234" s="11" t="s">
        <v>943</v>
      </c>
      <c r="D234" s="11" t="s">
        <v>944</v>
      </c>
      <c r="E234" s="11" t="s">
        <v>709</v>
      </c>
      <c r="F234" s="11">
        <v>2023</v>
      </c>
      <c r="G234" s="20">
        <f t="shared" si="21"/>
        <v>1</v>
      </c>
      <c r="H234" s="21">
        <v>0</v>
      </c>
      <c r="I234" s="21">
        <f>IFERROR(INDEX('Coding Sheet'!$AC$2:$AC$731,MATCH($B234&amp;"_"&amp;$F234,'Coding Sheet'!$A$2:$A$731,0)),"")</f>
        <v>65</v>
      </c>
      <c r="J234" s="7">
        <f>IFERROR(INDEX('Coding Sheet'!$AT$2:$AT$731,MATCH($B234&amp;"_"&amp;$F234,'Coding Sheet'!$A$2:$A$731,0)),"")</f>
        <v>53.333333333333336</v>
      </c>
      <c r="K234" s="21">
        <v>35895000000</v>
      </c>
      <c r="L234" s="21">
        <v>22.46</v>
      </c>
      <c r="M234" s="20">
        <f t="shared" si="22"/>
        <v>806201700</v>
      </c>
      <c r="N234" s="21">
        <v>15190663000</v>
      </c>
      <c r="O234" s="21">
        <v>16937684000</v>
      </c>
      <c r="P234" s="20">
        <v>308203000</v>
      </c>
      <c r="Q234" s="20">
        <f t="shared" si="23"/>
        <v>0.94445407648412849</v>
      </c>
      <c r="R234" s="20">
        <f t="shared" si="24"/>
        <v>23.55280679899596</v>
      </c>
      <c r="S234" s="20">
        <f t="shared" si="25"/>
        <v>0.89685596921043043</v>
      </c>
      <c r="T234" s="20">
        <f t="shared" si="26"/>
        <v>1.8196289410051573E-2</v>
      </c>
      <c r="U234" s="20">
        <f>IFERROR(IF(ISNUMBER(INDEX('Firm Master'!$E$2:$E$1000,MATCH($C234,'Firm Master'!$B$2:$B$1000,0))),INDEX('Firm Master'!$E$2:$E$1000,MATCH($C234,'Firm Master'!$B$2:$B$1000,0)),""),"")</f>
        <v>2010</v>
      </c>
      <c r="V234" s="21">
        <f t="shared" si="27"/>
        <v>13</v>
      </c>
      <c r="W234" s="21">
        <v>1</v>
      </c>
      <c r="X234" s="20" t="str">
        <f>IFERROR(INDEX('Firm Master'!$G$2:$G$1000,MATCH($C234,'Firm Master'!$B$2:$B$1000,0)),"")</f>
        <v>KPMG Professional Services</v>
      </c>
    </row>
    <row r="235" spans="1:24" ht="27.75" customHeight="1" x14ac:dyDescent="0.3">
      <c r="A235" s="11">
        <v>234</v>
      </c>
      <c r="B235" s="11">
        <v>47</v>
      </c>
      <c r="C235" s="11" t="s">
        <v>943</v>
      </c>
      <c r="D235" s="11" t="s">
        <v>944</v>
      </c>
      <c r="E235" s="11" t="s">
        <v>709</v>
      </c>
      <c r="F235" s="11">
        <v>2024</v>
      </c>
      <c r="G235" s="20">
        <f t="shared" si="21"/>
        <v>1</v>
      </c>
      <c r="H235" s="21">
        <v>0</v>
      </c>
      <c r="I235" s="21">
        <f>IFERROR(INDEX('Coding Sheet'!$AC$2:$AC$731,MATCH($B235&amp;"_"&amp;$F235,'Coding Sheet'!$A$2:$A$731,0)),"")</f>
        <v>10</v>
      </c>
      <c r="J235" s="7">
        <f>IFERROR(INDEX('Coding Sheet'!$AT$2:$AT$731,MATCH($B235&amp;"_"&amp;$F235,'Coding Sheet'!$A$2:$A$731,0)),"")</f>
        <v>0</v>
      </c>
      <c r="K235" s="21">
        <v>36093000000</v>
      </c>
      <c r="L235" s="21">
        <v>27.4</v>
      </c>
      <c r="M235" s="20">
        <f t="shared" si="22"/>
        <v>988948200</v>
      </c>
      <c r="N235" s="21">
        <v>23728884000</v>
      </c>
      <c r="O235" s="21">
        <v>26524218000</v>
      </c>
      <c r="P235" s="20">
        <v>670799000</v>
      </c>
      <c r="Q235" s="20">
        <f t="shared" si="23"/>
        <v>0.93189673678598173</v>
      </c>
      <c r="R235" s="20">
        <f t="shared" si="24"/>
        <v>24.001324039390756</v>
      </c>
      <c r="S235" s="20">
        <f t="shared" si="25"/>
        <v>0.89461201080461639</v>
      </c>
      <c r="T235" s="20">
        <f t="shared" si="26"/>
        <v>2.5290057561734712E-2</v>
      </c>
      <c r="U235" s="20">
        <f>IFERROR(IF(ISNUMBER(INDEX('Firm Master'!$E$2:$E$1000,MATCH($C235,'Firm Master'!$B$2:$B$1000,0))),INDEX('Firm Master'!$E$2:$E$1000,MATCH($C235,'Firm Master'!$B$2:$B$1000,0)),""),"")</f>
        <v>2010</v>
      </c>
      <c r="V235" s="21">
        <f t="shared" si="27"/>
        <v>14</v>
      </c>
      <c r="W235" s="21">
        <v>1</v>
      </c>
      <c r="X235" s="20" t="str">
        <f>IFERROR(INDEX('Firm Master'!$G$2:$G$1000,MATCH($C235,'Firm Master'!$B$2:$B$1000,0)),"")</f>
        <v>KPMG Professional Services</v>
      </c>
    </row>
    <row r="236" spans="1:24" ht="27.75" customHeight="1" x14ac:dyDescent="0.3">
      <c r="A236" s="11">
        <v>235</v>
      </c>
      <c r="B236" s="11">
        <v>47</v>
      </c>
      <c r="C236" s="11" t="s">
        <v>943</v>
      </c>
      <c r="D236" s="11" t="s">
        <v>944</v>
      </c>
      <c r="E236" s="11" t="s">
        <v>709</v>
      </c>
      <c r="F236" s="11">
        <v>2025</v>
      </c>
      <c r="G236" s="20">
        <f t="shared" si="21"/>
        <v>1</v>
      </c>
      <c r="H236" s="21">
        <v>0</v>
      </c>
      <c r="I236" s="21">
        <f>IFERROR(INDEX('Coding Sheet'!$AC$2:$AC$731,MATCH($B236&amp;"_"&amp;$F236,'Coding Sheet'!$A$2:$A$731,0)),"")</f>
        <v>20</v>
      </c>
      <c r="J236" s="7">
        <f>IFERROR(INDEX('Coding Sheet'!$AT$2:$AT$731,MATCH($B236&amp;"_"&amp;$F236,'Coding Sheet'!$A$2:$A$731,0)),"")</f>
        <v>13.333333333333334</v>
      </c>
      <c r="K236" s="21">
        <v>44454000000</v>
      </c>
      <c r="L236" s="21">
        <v>47.9</v>
      </c>
      <c r="M236" s="20">
        <f t="shared" si="22"/>
        <v>2129346600</v>
      </c>
      <c r="N236" s="21">
        <v>23949570000</v>
      </c>
      <c r="O236" s="21">
        <v>27250935000</v>
      </c>
      <c r="P236" s="20">
        <v>132684000</v>
      </c>
      <c r="Q236" s="20">
        <f t="shared" si="23"/>
        <v>0.95699162615888222</v>
      </c>
      <c r="R236" s="20">
        <f t="shared" si="24"/>
        <v>24.028353669393628</v>
      </c>
      <c r="S236" s="20">
        <f t="shared" si="25"/>
        <v>0.87885314760759581</v>
      </c>
      <c r="T236" s="20">
        <f t="shared" si="26"/>
        <v>4.8689705509187119E-3</v>
      </c>
      <c r="U236" s="20">
        <f>IFERROR(IF(ISNUMBER(INDEX('Firm Master'!$E$2:$E$1000,MATCH($C236,'Firm Master'!$B$2:$B$1000,0))),INDEX('Firm Master'!$E$2:$E$1000,MATCH($C236,'Firm Master'!$B$2:$B$1000,0)),""),"")</f>
        <v>2010</v>
      </c>
      <c r="V236" s="21">
        <f t="shared" si="27"/>
        <v>15</v>
      </c>
      <c r="W236" s="21">
        <v>1</v>
      </c>
      <c r="X236" s="20" t="str">
        <f>IFERROR(INDEX('Firm Master'!$G$2:$G$1000,MATCH($C236,'Firm Master'!$B$2:$B$1000,0)),"")</f>
        <v>KPMG Professional Services</v>
      </c>
    </row>
    <row r="237" spans="1:24" ht="27.75" customHeight="1" x14ac:dyDescent="0.3">
      <c r="A237" s="11">
        <v>236</v>
      </c>
      <c r="B237" s="11">
        <v>48</v>
      </c>
      <c r="C237" s="11" t="s">
        <v>947</v>
      </c>
      <c r="D237" s="11" t="s">
        <v>948</v>
      </c>
      <c r="E237" s="11" t="s">
        <v>709</v>
      </c>
      <c r="F237" s="11">
        <v>2021</v>
      </c>
      <c r="G237" s="20">
        <f t="shared" si="21"/>
        <v>0</v>
      </c>
      <c r="H237" s="21">
        <v>0</v>
      </c>
      <c r="I237" s="21">
        <f>IFERROR(INDEX('Coding Sheet'!$AC$2:$AC$731,MATCH($B237&amp;"_"&amp;$F237,'Coding Sheet'!$A$2:$A$731,0)),"")</f>
        <v>0</v>
      </c>
      <c r="J237" s="7">
        <f>IFERROR(INDEX('Coding Sheet'!$AT$2:$AT$731,MATCH($B237&amp;"_"&amp;$F237,'Coding Sheet'!$A$2:$A$731,0)),"")</f>
        <v>0</v>
      </c>
      <c r="K237" s="21">
        <v>12911000000</v>
      </c>
      <c r="L237" s="21">
        <v>0.2</v>
      </c>
      <c r="M237" s="20">
        <f t="shared" si="22"/>
        <v>2582200</v>
      </c>
      <c r="N237" s="21">
        <v>10847000</v>
      </c>
      <c r="O237" s="21">
        <v>7698000</v>
      </c>
      <c r="P237" s="20">
        <v>-1725000</v>
      </c>
      <c r="Q237" s="20">
        <f t="shared" si="23"/>
        <v>1.7445050662509742</v>
      </c>
      <c r="R237" s="20">
        <f t="shared" si="24"/>
        <v>15.856471112825828</v>
      </c>
      <c r="S237" s="20">
        <f t="shared" si="25"/>
        <v>1.4090672902052481</v>
      </c>
      <c r="T237" s="20">
        <f t="shared" si="26"/>
        <v>-0.2240841777084957</v>
      </c>
      <c r="U237" s="20">
        <f>IFERROR(IF(ISNUMBER(INDEX('Firm Master'!$E$2:$E$1000,MATCH($C237,'Firm Master'!$B$2:$B$1000,0))),INDEX('Firm Master'!$E$2:$E$1000,MATCH($C237,'Firm Master'!$B$2:$B$1000,0)),""),"")</f>
        <v>1981</v>
      </c>
      <c r="V237" s="21">
        <f t="shared" si="27"/>
        <v>40</v>
      </c>
      <c r="W237" s="21">
        <v>0</v>
      </c>
      <c r="X237" s="20" t="str">
        <f>IFERROR(INDEX('Firm Master'!$G$2:$G$1000,MATCH($C237,'Firm Master'!$B$2:$B$1000,0)),"")</f>
        <v>Muhtari Dangana &amp; Co (2021-2024); TAC Professional Services (2025)</v>
      </c>
    </row>
    <row r="238" spans="1:24" ht="27.75" customHeight="1" x14ac:dyDescent="0.3">
      <c r="A238" s="11">
        <v>237</v>
      </c>
      <c r="B238" s="11">
        <v>48</v>
      </c>
      <c r="C238" s="11" t="s">
        <v>947</v>
      </c>
      <c r="D238" s="11" t="s">
        <v>948</v>
      </c>
      <c r="E238" s="11" t="s">
        <v>709</v>
      </c>
      <c r="F238" s="11">
        <v>2022</v>
      </c>
      <c r="G238" s="20">
        <f t="shared" si="21"/>
        <v>0</v>
      </c>
      <c r="H238" s="21">
        <v>0</v>
      </c>
      <c r="I238" s="21">
        <f>IFERROR(INDEX('Coding Sheet'!$AC$2:$AC$731,MATCH($B238&amp;"_"&amp;$F238,'Coding Sheet'!$A$2:$A$731,0)),"")</f>
        <v>0</v>
      </c>
      <c r="J238" s="7">
        <f>IFERROR(INDEX('Coding Sheet'!$AT$2:$AT$731,MATCH($B238&amp;"_"&amp;$F238,'Coding Sheet'!$A$2:$A$731,0)),"")</f>
        <v>0</v>
      </c>
      <c r="K238" s="21">
        <v>12911000000</v>
      </c>
      <c r="L238" s="21">
        <v>0.2</v>
      </c>
      <c r="M238" s="20">
        <f t="shared" si="22"/>
        <v>2582200</v>
      </c>
      <c r="N238" s="21">
        <v>10620000</v>
      </c>
      <c r="O238" s="21">
        <v>6190000</v>
      </c>
      <c r="P238" s="20">
        <v>-829720</v>
      </c>
      <c r="Q238" s="20">
        <f t="shared" si="23"/>
        <v>2.1328271405492729</v>
      </c>
      <c r="R238" s="20">
        <f t="shared" si="24"/>
        <v>15.638445644660779</v>
      </c>
      <c r="S238" s="20">
        <f t="shared" si="25"/>
        <v>1.7156704361873991</v>
      </c>
      <c r="T238" s="20">
        <f t="shared" si="26"/>
        <v>-0.13404200323101778</v>
      </c>
      <c r="U238" s="20">
        <f>IFERROR(IF(ISNUMBER(INDEX('Firm Master'!$E$2:$E$1000,MATCH($C238,'Firm Master'!$B$2:$B$1000,0))),INDEX('Firm Master'!$E$2:$E$1000,MATCH($C238,'Firm Master'!$B$2:$B$1000,0)),""),"")</f>
        <v>1981</v>
      </c>
      <c r="V238" s="21">
        <f t="shared" si="27"/>
        <v>41</v>
      </c>
      <c r="W238" s="21">
        <v>0</v>
      </c>
      <c r="X238" s="20" t="str">
        <f>IFERROR(INDEX('Firm Master'!$G$2:$G$1000,MATCH($C238,'Firm Master'!$B$2:$B$1000,0)),"")</f>
        <v>Muhtari Dangana &amp; Co (2021-2024); TAC Professional Services (2025)</v>
      </c>
    </row>
    <row r="239" spans="1:24" ht="27.75" customHeight="1" x14ac:dyDescent="0.3">
      <c r="A239" s="11">
        <v>238</v>
      </c>
      <c r="B239" s="11">
        <v>48</v>
      </c>
      <c r="C239" s="11" t="s">
        <v>947</v>
      </c>
      <c r="D239" s="11" t="s">
        <v>948</v>
      </c>
      <c r="E239" s="11" t="s">
        <v>709</v>
      </c>
      <c r="F239" s="11">
        <v>2023</v>
      </c>
      <c r="G239" s="20">
        <f t="shared" si="21"/>
        <v>1</v>
      </c>
      <c r="H239" s="21">
        <v>0</v>
      </c>
      <c r="I239" s="21">
        <f>IFERROR(INDEX('Coding Sheet'!$AC$2:$AC$731,MATCH($B239&amp;"_"&amp;$F239,'Coding Sheet'!$A$2:$A$731,0)),"")</f>
        <v>0</v>
      </c>
      <c r="J239" s="7">
        <f>IFERROR(INDEX('Coding Sheet'!$AT$2:$AT$731,MATCH($B239&amp;"_"&amp;$F239,'Coding Sheet'!$A$2:$A$731,0)),"")</f>
        <v>0</v>
      </c>
      <c r="K239" s="21">
        <v>12911000000</v>
      </c>
      <c r="L239" s="21">
        <v>0.2</v>
      </c>
      <c r="M239" s="20">
        <f t="shared" si="22"/>
        <v>2582200</v>
      </c>
      <c r="N239" s="21">
        <v>12426000</v>
      </c>
      <c r="O239" s="21">
        <v>7512000</v>
      </c>
      <c r="P239" s="20">
        <v>-1816000</v>
      </c>
      <c r="Q239" s="20">
        <f t="shared" si="23"/>
        <v>1.9978966986155484</v>
      </c>
      <c r="R239" s="20">
        <f t="shared" si="24"/>
        <v>15.832012299870236</v>
      </c>
      <c r="S239" s="20">
        <f t="shared" si="25"/>
        <v>1.6541533546325879</v>
      </c>
      <c r="T239" s="20">
        <f t="shared" si="26"/>
        <v>-0.2417465388711395</v>
      </c>
      <c r="U239" s="20">
        <f>IFERROR(IF(ISNUMBER(INDEX('Firm Master'!$E$2:$E$1000,MATCH($C239,'Firm Master'!$B$2:$B$1000,0))),INDEX('Firm Master'!$E$2:$E$1000,MATCH($C239,'Firm Master'!$B$2:$B$1000,0)),""),"")</f>
        <v>1981</v>
      </c>
      <c r="V239" s="21">
        <f t="shared" si="27"/>
        <v>42</v>
      </c>
      <c r="W239" s="21">
        <v>0</v>
      </c>
      <c r="X239" s="20" t="str">
        <f>IFERROR(INDEX('Firm Master'!$G$2:$G$1000,MATCH($C239,'Firm Master'!$B$2:$B$1000,0)),"")</f>
        <v>Muhtari Dangana &amp; Co (2021-2024); TAC Professional Services (2025)</v>
      </c>
    </row>
    <row r="240" spans="1:24" ht="27.75" customHeight="1" x14ac:dyDescent="0.3">
      <c r="A240" s="11">
        <v>239</v>
      </c>
      <c r="B240" s="11">
        <v>48</v>
      </c>
      <c r="C240" s="11" t="s">
        <v>947</v>
      </c>
      <c r="D240" s="11" t="s">
        <v>948</v>
      </c>
      <c r="E240" s="11" t="s">
        <v>709</v>
      </c>
      <c r="F240" s="11">
        <v>2024</v>
      </c>
      <c r="G240" s="20">
        <f t="shared" si="21"/>
        <v>1</v>
      </c>
      <c r="H240" s="21">
        <v>0</v>
      </c>
      <c r="I240" s="21">
        <f>IFERROR(INDEX('Coding Sheet'!$AC$2:$AC$731,MATCH($B240&amp;"_"&amp;$F240,'Coding Sheet'!$A$2:$A$731,0)),"")</f>
        <v>0</v>
      </c>
      <c r="J240" s="7">
        <f>IFERROR(INDEX('Coding Sheet'!$AT$2:$AT$731,MATCH($B240&amp;"_"&amp;$F240,'Coding Sheet'!$A$2:$A$731,0)),"")</f>
        <v>0</v>
      </c>
      <c r="K240" s="21">
        <v>12911000000</v>
      </c>
      <c r="L240" s="21">
        <v>0.2</v>
      </c>
      <c r="M240" s="20">
        <f t="shared" si="22"/>
        <v>2582200</v>
      </c>
      <c r="N240" s="21">
        <v>14835000</v>
      </c>
      <c r="O240" s="21">
        <v>13760000</v>
      </c>
      <c r="P240" s="20">
        <v>4990000</v>
      </c>
      <c r="Q240" s="20">
        <f t="shared" si="23"/>
        <v>1.2657848837209302</v>
      </c>
      <c r="R240" s="20">
        <f t="shared" si="24"/>
        <v>16.437276390469471</v>
      </c>
      <c r="S240" s="20">
        <f t="shared" si="25"/>
        <v>1.078125</v>
      </c>
      <c r="T240" s="20">
        <f t="shared" si="26"/>
        <v>0.36264534883720928</v>
      </c>
      <c r="U240" s="20">
        <f>IFERROR(IF(ISNUMBER(INDEX('Firm Master'!$E$2:$E$1000,MATCH($C240,'Firm Master'!$B$2:$B$1000,0))),INDEX('Firm Master'!$E$2:$E$1000,MATCH($C240,'Firm Master'!$B$2:$B$1000,0)),""),"")</f>
        <v>1981</v>
      </c>
      <c r="V240" s="21">
        <f t="shared" si="27"/>
        <v>43</v>
      </c>
      <c r="W240" s="21">
        <v>0</v>
      </c>
      <c r="X240" s="20" t="str">
        <f>IFERROR(INDEX('Firm Master'!$G$2:$G$1000,MATCH($C240,'Firm Master'!$B$2:$B$1000,0)),"")</f>
        <v>Muhtari Dangana &amp; Co (2021-2024); TAC Professional Services (2025)</v>
      </c>
    </row>
    <row r="241" spans="1:24" ht="27.75" customHeight="1" x14ac:dyDescent="0.3">
      <c r="A241" s="11">
        <v>240</v>
      </c>
      <c r="B241" s="11">
        <v>48</v>
      </c>
      <c r="C241" s="11" t="s">
        <v>947</v>
      </c>
      <c r="D241" s="11" t="s">
        <v>948</v>
      </c>
      <c r="E241" s="11" t="s">
        <v>709</v>
      </c>
      <c r="F241" s="11">
        <v>2025</v>
      </c>
      <c r="G241" s="20">
        <f t="shared" si="21"/>
        <v>1</v>
      </c>
      <c r="H241" s="21">
        <v>0</v>
      </c>
      <c r="I241" s="21">
        <f>IFERROR(INDEX('Coding Sheet'!$AC$2:$AC$731,MATCH($B241&amp;"_"&amp;$F241,'Coding Sheet'!$A$2:$A$731,0)),"")</f>
        <v>0</v>
      </c>
      <c r="J241" s="7">
        <f>IFERROR(INDEX('Coding Sheet'!$AT$2:$AT$731,MATCH($B241&amp;"_"&amp;$F241,'Coding Sheet'!$A$2:$A$731,0)),"")</f>
        <v>0</v>
      </c>
      <c r="K241" s="21">
        <v>12911000000</v>
      </c>
      <c r="L241" s="21">
        <v>0.2</v>
      </c>
      <c r="M241" s="20">
        <f t="shared" si="22"/>
        <v>2582200</v>
      </c>
      <c r="N241" s="21">
        <v>15702000</v>
      </c>
      <c r="O241" s="21">
        <v>25052000</v>
      </c>
      <c r="P241" s="20">
        <v>-1688000</v>
      </c>
      <c r="Q241" s="20">
        <f t="shared" si="23"/>
        <v>0.72984991218266004</v>
      </c>
      <c r="R241" s="20">
        <f t="shared" si="24"/>
        <v>17.036464222627441</v>
      </c>
      <c r="S241" s="20">
        <f t="shared" si="25"/>
        <v>0.62677630528500716</v>
      </c>
      <c r="T241" s="20">
        <f t="shared" si="26"/>
        <v>-6.7379849912182654E-2</v>
      </c>
      <c r="U241" s="20">
        <f>IFERROR(IF(ISNUMBER(INDEX('Firm Master'!$E$2:$E$1000,MATCH($C241,'Firm Master'!$B$2:$B$1000,0))),INDEX('Firm Master'!$E$2:$E$1000,MATCH($C241,'Firm Master'!$B$2:$B$1000,0)),""),"")</f>
        <v>1981</v>
      </c>
      <c r="V241" s="21">
        <f t="shared" si="27"/>
        <v>44</v>
      </c>
      <c r="W241" s="21">
        <v>0</v>
      </c>
      <c r="X241" s="20" t="str">
        <f>IFERROR(INDEX('Firm Master'!$G$2:$G$1000,MATCH($C241,'Firm Master'!$B$2:$B$1000,0)),"")</f>
        <v>Muhtari Dangana &amp; Co (2021-2024); TAC Professional Services (2025)</v>
      </c>
    </row>
    <row r="242" spans="1:24" ht="15" customHeight="1" x14ac:dyDescent="0.3">
      <c r="A242" s="11">
        <v>241</v>
      </c>
      <c r="B242" s="11">
        <v>49</v>
      </c>
      <c r="C242" s="11" t="s">
        <v>952</v>
      </c>
      <c r="D242" s="11" t="s">
        <v>953</v>
      </c>
      <c r="E242" s="11" t="s">
        <v>903</v>
      </c>
      <c r="F242" s="11">
        <v>2021</v>
      </c>
      <c r="G242" s="20">
        <f t="shared" si="21"/>
        <v>0</v>
      </c>
      <c r="H242" s="21">
        <v>0</v>
      </c>
      <c r="I242" s="21">
        <f>IFERROR(INDEX('Coding Sheet'!$AC$2:$AC$731,MATCH($B242&amp;"_"&amp;$F242,'Coding Sheet'!$A$2:$A$731,0)),"")</f>
        <v>0</v>
      </c>
      <c r="J242" s="7">
        <f>IFERROR(INDEX('Coding Sheet'!$AT$2:$AT$731,MATCH($B242&amp;"_"&amp;$F242,'Coding Sheet'!$A$2:$A$731,0)),"")</f>
        <v>0</v>
      </c>
      <c r="K242" s="21">
        <v>2200000000</v>
      </c>
      <c r="L242" s="21">
        <v>0.39</v>
      </c>
      <c r="M242" s="20">
        <f t="shared" si="22"/>
        <v>858000</v>
      </c>
      <c r="N242" s="21">
        <v>9415000</v>
      </c>
      <c r="O242" s="21">
        <v>7441000</v>
      </c>
      <c r="P242" s="20">
        <v>-1479000</v>
      </c>
      <c r="Q242" s="20">
        <f t="shared" si="23"/>
        <v>1.3805940061819648</v>
      </c>
      <c r="R242" s="20">
        <f t="shared" si="24"/>
        <v>15.822515806379398</v>
      </c>
      <c r="S242" s="20">
        <f t="shared" si="25"/>
        <v>1.2652869238005644</v>
      </c>
      <c r="T242" s="20">
        <f t="shared" si="26"/>
        <v>-0.19876360704206425</v>
      </c>
      <c r="U242" s="20">
        <f>IFERROR(IF(ISNUMBER(INDEX('Firm Master'!$E$2:$E$1000,MATCH($C242,'Firm Master'!$B$2:$B$1000,0))),INDEX('Firm Master'!$E$2:$E$1000,MATCH($C242,'Firm Master'!$B$2:$B$1000,0)),""),"")</f>
        <v>1991</v>
      </c>
      <c r="V242" s="21">
        <f t="shared" si="27"/>
        <v>30</v>
      </c>
      <c r="W242" s="21">
        <v>0</v>
      </c>
      <c r="X242" s="20" t="str">
        <f>IFERROR(INDEX('Firm Master'!$G$2:$G$1000,MATCH($C242,'Firm Master'!$B$2:$B$1000,0)),"")</f>
        <v>Baker Tilly Nigeria</v>
      </c>
    </row>
    <row r="243" spans="1:24" ht="15" customHeight="1" x14ac:dyDescent="0.3">
      <c r="A243" s="11">
        <v>242</v>
      </c>
      <c r="B243" s="11">
        <v>49</v>
      </c>
      <c r="C243" s="11" t="s">
        <v>952</v>
      </c>
      <c r="D243" s="11" t="s">
        <v>953</v>
      </c>
      <c r="E243" s="11" t="s">
        <v>903</v>
      </c>
      <c r="F243" s="11">
        <v>2022</v>
      </c>
      <c r="G243" s="20">
        <f t="shared" si="21"/>
        <v>0</v>
      </c>
      <c r="H243" s="21">
        <v>0</v>
      </c>
      <c r="I243" s="21">
        <f>IFERROR(INDEX('Coding Sheet'!$AC$2:$AC$731,MATCH($B243&amp;"_"&amp;$F243,'Coding Sheet'!$A$2:$A$731,0)),"")</f>
        <v>0</v>
      </c>
      <c r="J243" s="7">
        <f>IFERROR(INDEX('Coding Sheet'!$AT$2:$AT$731,MATCH($B243&amp;"_"&amp;$F243,'Coding Sheet'!$A$2:$A$731,0)),"")</f>
        <v>0</v>
      </c>
      <c r="K243" s="21">
        <v>3900000000</v>
      </c>
      <c r="L243" s="21">
        <v>0.28999999999999998</v>
      </c>
      <c r="M243" s="20">
        <f t="shared" si="22"/>
        <v>1131000</v>
      </c>
      <c r="N243" s="21">
        <v>8831000</v>
      </c>
      <c r="O243" s="21">
        <v>7277000</v>
      </c>
      <c r="P243" s="20">
        <v>-431190</v>
      </c>
      <c r="Q243" s="20">
        <f t="shared" si="23"/>
        <v>1.3689707296963034</v>
      </c>
      <c r="R243" s="20">
        <f t="shared" si="24"/>
        <v>15.800229247329224</v>
      </c>
      <c r="S243" s="20">
        <f t="shared" si="25"/>
        <v>1.2135495396454583</v>
      </c>
      <c r="T243" s="20">
        <f t="shared" si="26"/>
        <v>-5.9253813384636526E-2</v>
      </c>
      <c r="U243" s="20">
        <f>IFERROR(IF(ISNUMBER(INDEX('Firm Master'!$E$2:$E$1000,MATCH($C243,'Firm Master'!$B$2:$B$1000,0))),INDEX('Firm Master'!$E$2:$E$1000,MATCH($C243,'Firm Master'!$B$2:$B$1000,0)),""),"")</f>
        <v>1991</v>
      </c>
      <c r="V243" s="21">
        <f t="shared" si="27"/>
        <v>31</v>
      </c>
      <c r="W243" s="21">
        <v>0</v>
      </c>
      <c r="X243" s="20" t="str">
        <f>IFERROR(INDEX('Firm Master'!$G$2:$G$1000,MATCH($C243,'Firm Master'!$B$2:$B$1000,0)),"")</f>
        <v>Baker Tilly Nigeria</v>
      </c>
    </row>
    <row r="244" spans="1:24" ht="15" customHeight="1" x14ac:dyDescent="0.3">
      <c r="A244" s="11">
        <v>243</v>
      </c>
      <c r="B244" s="11">
        <v>49</v>
      </c>
      <c r="C244" s="11" t="s">
        <v>952</v>
      </c>
      <c r="D244" s="11" t="s">
        <v>953</v>
      </c>
      <c r="E244" s="11" t="s">
        <v>903</v>
      </c>
      <c r="F244" s="11">
        <v>2023</v>
      </c>
      <c r="G244" s="20">
        <f t="shared" si="21"/>
        <v>1</v>
      </c>
      <c r="H244" s="21">
        <v>0</v>
      </c>
      <c r="I244" s="21">
        <f>IFERROR(INDEX('Coding Sheet'!$AC$2:$AC$731,MATCH($B244&amp;"_"&amp;$F244,'Coding Sheet'!$A$2:$A$731,0)),"")</f>
        <v>0</v>
      </c>
      <c r="J244" s="7">
        <f>IFERROR(INDEX('Coding Sheet'!$AT$2:$AT$731,MATCH($B244&amp;"_"&amp;$F244,'Coding Sheet'!$A$2:$A$731,0)),"")</f>
        <v>0</v>
      </c>
      <c r="K244" s="21">
        <v>3900000000</v>
      </c>
      <c r="L244" s="21">
        <v>1.48</v>
      </c>
      <c r="M244" s="20">
        <f t="shared" si="22"/>
        <v>5772000</v>
      </c>
      <c r="N244" s="21">
        <v>9967000</v>
      </c>
      <c r="O244" s="21">
        <v>13250000</v>
      </c>
      <c r="P244" s="20">
        <v>-10650000</v>
      </c>
      <c r="Q244" s="20">
        <f t="shared" si="23"/>
        <v>1.1878490566037736</v>
      </c>
      <c r="R244" s="20">
        <f t="shared" si="24"/>
        <v>16.399508110396507</v>
      </c>
      <c r="S244" s="20">
        <f t="shared" si="25"/>
        <v>0.75222641509433963</v>
      </c>
      <c r="T244" s="20">
        <f t="shared" si="26"/>
        <v>-0.80377358490566042</v>
      </c>
      <c r="U244" s="20">
        <f>IFERROR(IF(ISNUMBER(INDEX('Firm Master'!$E$2:$E$1000,MATCH($C244,'Firm Master'!$B$2:$B$1000,0))),INDEX('Firm Master'!$E$2:$E$1000,MATCH($C244,'Firm Master'!$B$2:$B$1000,0)),""),"")</f>
        <v>1991</v>
      </c>
      <c r="V244" s="21">
        <f t="shared" si="27"/>
        <v>32</v>
      </c>
      <c r="W244" s="21">
        <v>0</v>
      </c>
      <c r="X244" s="20" t="str">
        <f>IFERROR(INDEX('Firm Master'!$G$2:$G$1000,MATCH($C244,'Firm Master'!$B$2:$B$1000,0)),"")</f>
        <v>Baker Tilly Nigeria</v>
      </c>
    </row>
    <row r="245" spans="1:24" ht="15" customHeight="1" x14ac:dyDescent="0.3">
      <c r="A245" s="11">
        <v>244</v>
      </c>
      <c r="B245" s="11">
        <v>49</v>
      </c>
      <c r="C245" s="11" t="s">
        <v>952</v>
      </c>
      <c r="D245" s="11" t="s">
        <v>953</v>
      </c>
      <c r="E245" s="11" t="s">
        <v>903</v>
      </c>
      <c r="F245" s="11">
        <v>2024</v>
      </c>
      <c r="G245" s="20">
        <f t="shared" si="21"/>
        <v>1</v>
      </c>
      <c r="H245" s="21">
        <v>0</v>
      </c>
      <c r="I245" s="21">
        <f>IFERROR(INDEX('Coding Sheet'!$AC$2:$AC$731,MATCH($B245&amp;"_"&amp;$F245,'Coding Sheet'!$A$2:$A$731,0)),"")</f>
        <v>0</v>
      </c>
      <c r="J245" s="7">
        <f>IFERROR(INDEX('Coding Sheet'!$AT$2:$AT$731,MATCH($B245&amp;"_"&amp;$F245,'Coding Sheet'!$A$2:$A$731,0)),"")</f>
        <v>0</v>
      </c>
      <c r="K245" s="21">
        <v>3900000000</v>
      </c>
      <c r="L245" s="21">
        <v>1.82</v>
      </c>
      <c r="M245" s="20">
        <f t="shared" si="22"/>
        <v>7098000</v>
      </c>
      <c r="N245" s="21">
        <v>17649000</v>
      </c>
      <c r="O245" s="21">
        <v>21094000</v>
      </c>
      <c r="P245" s="20">
        <v>-9530000</v>
      </c>
      <c r="Q245" s="20">
        <f t="shared" si="23"/>
        <v>1.1731772067886603</v>
      </c>
      <c r="R245" s="20">
        <f t="shared" si="24"/>
        <v>16.864499197818695</v>
      </c>
      <c r="S245" s="20">
        <f t="shared" si="25"/>
        <v>0.83668341708542715</v>
      </c>
      <c r="T245" s="20">
        <f t="shared" si="26"/>
        <v>-0.45178723807717835</v>
      </c>
      <c r="U245" s="20">
        <f>IFERROR(IF(ISNUMBER(INDEX('Firm Master'!$E$2:$E$1000,MATCH($C245,'Firm Master'!$B$2:$B$1000,0))),INDEX('Firm Master'!$E$2:$E$1000,MATCH($C245,'Firm Master'!$B$2:$B$1000,0)),""),"")</f>
        <v>1991</v>
      </c>
      <c r="V245" s="21">
        <f t="shared" si="27"/>
        <v>33</v>
      </c>
      <c r="W245" s="21">
        <v>0</v>
      </c>
      <c r="X245" s="20" t="str">
        <f>IFERROR(INDEX('Firm Master'!$G$2:$G$1000,MATCH($C245,'Firm Master'!$B$2:$B$1000,0)),"")</f>
        <v>Baker Tilly Nigeria</v>
      </c>
    </row>
    <row r="246" spans="1:24" ht="15" customHeight="1" x14ac:dyDescent="0.3">
      <c r="A246" s="11">
        <v>245</v>
      </c>
      <c r="B246" s="11">
        <v>49</v>
      </c>
      <c r="C246" s="11" t="s">
        <v>952</v>
      </c>
      <c r="D246" s="11" t="s">
        <v>953</v>
      </c>
      <c r="E246" s="11" t="s">
        <v>903</v>
      </c>
      <c r="F246" s="11">
        <v>2025</v>
      </c>
      <c r="G246" s="20">
        <f t="shared" si="21"/>
        <v>1</v>
      </c>
      <c r="H246" s="21">
        <v>0</v>
      </c>
      <c r="I246" s="21">
        <f>IFERROR(INDEX('Coding Sheet'!$AC$2:$AC$731,MATCH($B246&amp;"_"&amp;$F246,'Coding Sheet'!$A$2:$A$731,0)),"")</f>
        <v>0</v>
      </c>
      <c r="J246" s="7">
        <f>IFERROR(INDEX('Coding Sheet'!$AT$2:$AT$731,MATCH($B246&amp;"_"&amp;$F246,'Coding Sheet'!$A$2:$A$731,0)),"")</f>
        <v>0</v>
      </c>
      <c r="K246" s="21">
        <v>3900000000</v>
      </c>
      <c r="L246" s="21">
        <v>5</v>
      </c>
      <c r="M246" s="20">
        <f t="shared" si="22"/>
        <v>19500000</v>
      </c>
      <c r="N246" s="21">
        <v>21602000</v>
      </c>
      <c r="O246" s="21">
        <v>22145000</v>
      </c>
      <c r="P246" s="20">
        <v>-252650</v>
      </c>
      <c r="Q246" s="20">
        <f t="shared" si="23"/>
        <v>1.8560397380898623</v>
      </c>
      <c r="R246" s="20">
        <f t="shared" si="24"/>
        <v>16.913122295339434</v>
      </c>
      <c r="S246" s="20">
        <f t="shared" si="25"/>
        <v>0.97547979227816661</v>
      </c>
      <c r="T246" s="20">
        <f t="shared" si="26"/>
        <v>-1.1408895913298713E-2</v>
      </c>
      <c r="U246" s="20">
        <f>IFERROR(IF(ISNUMBER(INDEX('Firm Master'!$E$2:$E$1000,MATCH($C246,'Firm Master'!$B$2:$B$1000,0))),INDEX('Firm Master'!$E$2:$E$1000,MATCH($C246,'Firm Master'!$B$2:$B$1000,0)),""),"")</f>
        <v>1991</v>
      </c>
      <c r="V246" s="21">
        <f t="shared" si="27"/>
        <v>34</v>
      </c>
      <c r="W246" s="21">
        <v>0</v>
      </c>
      <c r="X246" s="20" t="str">
        <f>IFERROR(INDEX('Firm Master'!$G$2:$G$1000,MATCH($C246,'Firm Master'!$B$2:$B$1000,0)),"")</f>
        <v>Baker Tilly Nigeria</v>
      </c>
    </row>
    <row r="247" spans="1:24" ht="15" customHeight="1" x14ac:dyDescent="0.3">
      <c r="A247" s="16">
        <v>246</v>
      </c>
      <c r="B247" s="16">
        <v>50</v>
      </c>
      <c r="C247" s="16" t="s">
        <v>957</v>
      </c>
      <c r="D247" s="16" t="s">
        <v>958</v>
      </c>
      <c r="E247" s="16" t="s">
        <v>959</v>
      </c>
      <c r="F247" s="16">
        <v>2021</v>
      </c>
      <c r="G247" s="16">
        <f t="shared" si="21"/>
        <v>0</v>
      </c>
      <c r="H247" s="16">
        <v>0</v>
      </c>
      <c r="I247" s="16">
        <f>IFERROR(INDEX('Coding Sheet'!$AC$2:$AC$731,MATCH($B247&amp;"_"&amp;$F247,'Coding Sheet'!$A$2:$A$731,0)),"")</f>
        <v>0</v>
      </c>
      <c r="J247" s="22">
        <f>IFERROR(INDEX('Coding Sheet'!$AT$2:$AT$731,MATCH($B247&amp;"_"&amp;$F247,'Coding Sheet'!$A$2:$A$731,0)),"")</f>
        <v>0</v>
      </c>
      <c r="K247" s="16">
        <v>2500000000</v>
      </c>
      <c r="L247" s="16"/>
      <c r="M247" s="16" t="str">
        <f t="shared" si="22"/>
        <v/>
      </c>
      <c r="N247" s="16">
        <v>54883000</v>
      </c>
      <c r="O247" s="16">
        <v>114821000</v>
      </c>
      <c r="P247" s="16">
        <v>20550000</v>
      </c>
      <c r="Q247" s="16" t="str">
        <f t="shared" si="23"/>
        <v/>
      </c>
      <c r="R247" s="16">
        <f t="shared" si="24"/>
        <v>18.558884951949935</v>
      </c>
      <c r="S247" s="16">
        <f t="shared" si="25"/>
        <v>0.47798747615854242</v>
      </c>
      <c r="T247" s="16">
        <f t="shared" si="26"/>
        <v>0.17897422945280045</v>
      </c>
      <c r="U247" s="16">
        <f>IFERROR(IF(ISNUMBER(INDEX('Firm Master'!$E$2:$E$1000,MATCH($C247,'Firm Master'!$B$2:$B$1000,0))),INDEX('Firm Master'!$E$2:$E$1000,MATCH($C247,'Firm Master'!$B$2:$B$1000,0)),""),"")</f>
        <v>2006</v>
      </c>
      <c r="V247" s="16">
        <f t="shared" si="27"/>
        <v>15</v>
      </c>
      <c r="W247" s="16">
        <v>0</v>
      </c>
      <c r="X247" s="16" t="str">
        <f>IFERROR(INDEX('Firm Master'!$G$2:$G$1000,MATCH($C247,'Firm Master'!$B$2:$B$1000,0)),"")</f>
        <v>PKF Professional Services</v>
      </c>
    </row>
    <row r="248" spans="1:24" ht="15" customHeight="1" x14ac:dyDescent="0.3">
      <c r="A248" s="11">
        <v>247</v>
      </c>
      <c r="B248" s="11">
        <v>50</v>
      </c>
      <c r="C248" s="11" t="s">
        <v>957</v>
      </c>
      <c r="D248" s="11" t="s">
        <v>958</v>
      </c>
      <c r="E248" s="11" t="s">
        <v>959</v>
      </c>
      <c r="F248" s="11">
        <v>2022</v>
      </c>
      <c r="G248" s="20">
        <f t="shared" si="21"/>
        <v>0</v>
      </c>
      <c r="H248" s="21">
        <v>0</v>
      </c>
      <c r="I248" s="21">
        <f>IFERROR(INDEX('Coding Sheet'!$AC$2:$AC$731,MATCH($B248&amp;"_"&amp;$F248,'Coding Sheet'!$A$2:$A$731,0)),"")</f>
        <v>40</v>
      </c>
      <c r="J248" s="7">
        <f>IFERROR(INDEX('Coding Sheet'!$AT$2:$AT$731,MATCH($B248&amp;"_"&amp;$F248,'Coding Sheet'!$A$2:$A$731,0)),"")</f>
        <v>0</v>
      </c>
      <c r="K248" s="21">
        <v>2500000000</v>
      </c>
      <c r="L248" s="21">
        <v>149</v>
      </c>
      <c r="M248" s="20">
        <f t="shared" si="22"/>
        <v>372500000</v>
      </c>
      <c r="N248" s="21">
        <v>124927000</v>
      </c>
      <c r="O248" s="21">
        <v>174030000</v>
      </c>
      <c r="P248" s="20">
        <v>10171000</v>
      </c>
      <c r="Q248" s="20">
        <f t="shared" si="23"/>
        <v>2.8582830546457507</v>
      </c>
      <c r="R248" s="20">
        <f t="shared" si="24"/>
        <v>18.974738256110356</v>
      </c>
      <c r="S248" s="20">
        <f t="shared" si="25"/>
        <v>0.71784749755789234</v>
      </c>
      <c r="T248" s="20">
        <f t="shared" si="26"/>
        <v>5.8443946446015055E-2</v>
      </c>
      <c r="U248" s="20">
        <f>IFERROR(IF(ISNUMBER(INDEX('Firm Master'!$E$2:$E$1000,MATCH($C248,'Firm Master'!$B$2:$B$1000,0))),INDEX('Firm Master'!$E$2:$E$1000,MATCH($C248,'Firm Master'!$B$2:$B$1000,0)),""),"")</f>
        <v>2006</v>
      </c>
      <c r="V248" s="21">
        <f t="shared" si="27"/>
        <v>16</v>
      </c>
      <c r="W248" s="21">
        <v>0</v>
      </c>
      <c r="X248" s="20" t="str">
        <f>IFERROR(INDEX('Firm Master'!$G$2:$G$1000,MATCH($C248,'Firm Master'!$B$2:$B$1000,0)),"")</f>
        <v>PKF Professional Services</v>
      </c>
    </row>
    <row r="249" spans="1:24" ht="15" customHeight="1" x14ac:dyDescent="0.3">
      <c r="A249" s="11">
        <v>248</v>
      </c>
      <c r="B249" s="11">
        <v>50</v>
      </c>
      <c r="C249" s="11" t="s">
        <v>957</v>
      </c>
      <c r="D249" s="11" t="s">
        <v>958</v>
      </c>
      <c r="E249" s="11" t="s">
        <v>959</v>
      </c>
      <c r="F249" s="11">
        <v>2023</v>
      </c>
      <c r="G249" s="20">
        <f t="shared" si="21"/>
        <v>1</v>
      </c>
      <c r="H249" s="21">
        <v>0</v>
      </c>
      <c r="I249" s="21">
        <f>IFERROR(INDEX('Coding Sheet'!$AC$2:$AC$731,MATCH($B249&amp;"_"&amp;$F249,'Coding Sheet'!$A$2:$A$731,0)),"")</f>
        <v>0</v>
      </c>
      <c r="J249" s="7">
        <f>IFERROR(INDEX('Coding Sheet'!$AT$2:$AT$731,MATCH($B249&amp;"_"&amp;$F249,'Coding Sheet'!$A$2:$A$731,0)),"")</f>
        <v>0</v>
      </c>
      <c r="K249" s="21">
        <v>2500000000</v>
      </c>
      <c r="L249" s="21">
        <v>399</v>
      </c>
      <c r="M249" s="20">
        <f t="shared" si="22"/>
        <v>997500000</v>
      </c>
      <c r="N249" s="21">
        <v>136889000</v>
      </c>
      <c r="O249" s="21">
        <v>182043000</v>
      </c>
      <c r="P249" s="20">
        <v>16053000</v>
      </c>
      <c r="Q249" s="20">
        <f t="shared" si="23"/>
        <v>6.2314343314491634</v>
      </c>
      <c r="R249" s="20">
        <f t="shared" si="24"/>
        <v>19.019753480871451</v>
      </c>
      <c r="S249" s="20">
        <f t="shared" si="25"/>
        <v>0.75195970182868888</v>
      </c>
      <c r="T249" s="20">
        <f t="shared" si="26"/>
        <v>8.8182462385260632E-2</v>
      </c>
      <c r="U249" s="20">
        <f>IFERROR(IF(ISNUMBER(INDEX('Firm Master'!$E$2:$E$1000,MATCH($C249,'Firm Master'!$B$2:$B$1000,0))),INDEX('Firm Master'!$E$2:$E$1000,MATCH($C249,'Firm Master'!$B$2:$B$1000,0)),""),"")</f>
        <v>2006</v>
      </c>
      <c r="V249" s="21">
        <f t="shared" si="27"/>
        <v>17</v>
      </c>
      <c r="W249" s="21">
        <v>0</v>
      </c>
      <c r="X249" s="20" t="str">
        <f>IFERROR(INDEX('Firm Master'!$G$2:$G$1000,MATCH($C249,'Firm Master'!$B$2:$B$1000,0)),"")</f>
        <v>PKF Professional Services</v>
      </c>
    </row>
    <row r="250" spans="1:24" ht="15" customHeight="1" x14ac:dyDescent="0.3">
      <c r="A250" s="11">
        <v>249</v>
      </c>
      <c r="B250" s="11">
        <v>50</v>
      </c>
      <c r="C250" s="11" t="s">
        <v>957</v>
      </c>
      <c r="D250" s="11" t="s">
        <v>958</v>
      </c>
      <c r="E250" s="11" t="s">
        <v>959</v>
      </c>
      <c r="F250" s="11">
        <v>2024</v>
      </c>
      <c r="G250" s="20">
        <f t="shared" si="21"/>
        <v>1</v>
      </c>
      <c r="H250" s="21">
        <v>0</v>
      </c>
      <c r="I250" s="21">
        <f>IFERROR(INDEX('Coding Sheet'!$AC$2:$AC$731,MATCH($B250&amp;"_"&amp;$F250,'Coding Sheet'!$A$2:$A$731,0)),"")</f>
        <v>0</v>
      </c>
      <c r="J250" s="7">
        <f>IFERROR(INDEX('Coding Sheet'!$AT$2:$AT$731,MATCH($B250&amp;"_"&amp;$F250,'Coding Sheet'!$A$2:$A$731,0)),"")</f>
        <v>0</v>
      </c>
      <c r="K250" s="21">
        <v>2500000000</v>
      </c>
      <c r="L250" s="21">
        <v>1152</v>
      </c>
      <c r="M250" s="20">
        <f t="shared" si="22"/>
        <v>2880000000</v>
      </c>
      <c r="N250" s="21">
        <v>190906000</v>
      </c>
      <c r="O250" s="21">
        <v>243470000</v>
      </c>
      <c r="P250" s="20">
        <v>27425000</v>
      </c>
      <c r="Q250" s="20">
        <f t="shared" si="23"/>
        <v>12.613077586560973</v>
      </c>
      <c r="R250" s="20">
        <f t="shared" si="24"/>
        <v>19.310504289611348</v>
      </c>
      <c r="S250" s="20">
        <f t="shared" si="25"/>
        <v>0.7841048178420339</v>
      </c>
      <c r="T250" s="20">
        <f t="shared" si="26"/>
        <v>0.11264221464656836</v>
      </c>
      <c r="U250" s="20">
        <f>IFERROR(IF(ISNUMBER(INDEX('Firm Master'!$E$2:$E$1000,MATCH($C250,'Firm Master'!$B$2:$B$1000,0))),INDEX('Firm Master'!$E$2:$E$1000,MATCH($C250,'Firm Master'!$B$2:$B$1000,0)),""),"")</f>
        <v>2006</v>
      </c>
      <c r="V250" s="21">
        <f t="shared" si="27"/>
        <v>18</v>
      </c>
      <c r="W250" s="21">
        <v>0</v>
      </c>
      <c r="X250" s="20" t="str">
        <f>IFERROR(INDEX('Firm Master'!$G$2:$G$1000,MATCH($C250,'Firm Master'!$B$2:$B$1000,0)),"")</f>
        <v>PKF Professional Services</v>
      </c>
    </row>
    <row r="251" spans="1:24" ht="15" customHeight="1" x14ac:dyDescent="0.3">
      <c r="A251" s="11">
        <v>250</v>
      </c>
      <c r="B251" s="11">
        <v>50</v>
      </c>
      <c r="C251" s="11" t="s">
        <v>957</v>
      </c>
      <c r="D251" s="11" t="s">
        <v>958</v>
      </c>
      <c r="E251" s="11" t="s">
        <v>959</v>
      </c>
      <c r="F251" s="11">
        <v>2025</v>
      </c>
      <c r="G251" s="20">
        <f t="shared" si="21"/>
        <v>1</v>
      </c>
      <c r="H251" s="21">
        <v>0</v>
      </c>
      <c r="I251" s="21">
        <f>IFERROR(INDEX('Coding Sheet'!$AC$2:$AC$731,MATCH($B251&amp;"_"&amp;$F251,'Coding Sheet'!$A$2:$A$731,0)),"")</f>
        <v>0</v>
      </c>
      <c r="J251" s="7">
        <f>IFERROR(INDEX('Coding Sheet'!$AT$2:$AT$731,MATCH($B251&amp;"_"&amp;$F251,'Coding Sheet'!$A$2:$A$731,0)),"")</f>
        <v>0</v>
      </c>
      <c r="K251" s="21">
        <v>2500000000</v>
      </c>
      <c r="L251" s="21">
        <v>1140</v>
      </c>
      <c r="M251" s="20">
        <f t="shared" si="22"/>
        <v>2850000000</v>
      </c>
      <c r="N251" s="21">
        <v>246377000</v>
      </c>
      <c r="O251" s="21">
        <v>305005000</v>
      </c>
      <c r="P251" s="20">
        <v>27251000</v>
      </c>
      <c r="Q251" s="20">
        <f t="shared" si="23"/>
        <v>10.151889313289946</v>
      </c>
      <c r="R251" s="20">
        <f t="shared" si="24"/>
        <v>19.535838727879938</v>
      </c>
      <c r="S251" s="20">
        <f t="shared" si="25"/>
        <v>0.80778020032458486</v>
      </c>
      <c r="T251" s="20">
        <f t="shared" si="26"/>
        <v>8.9346076293831247E-2</v>
      </c>
      <c r="U251" s="20">
        <f>IFERROR(IF(ISNUMBER(INDEX('Firm Master'!$E$2:$E$1000,MATCH($C251,'Firm Master'!$B$2:$B$1000,0))),INDEX('Firm Master'!$E$2:$E$1000,MATCH($C251,'Firm Master'!$B$2:$B$1000,0)),""),"")</f>
        <v>2006</v>
      </c>
      <c r="V251" s="21">
        <f t="shared" si="27"/>
        <v>19</v>
      </c>
      <c r="W251" s="21">
        <v>0</v>
      </c>
      <c r="X251" s="20" t="str">
        <f>IFERROR(INDEX('Firm Master'!$G$2:$G$1000,MATCH($C251,'Firm Master'!$B$2:$B$1000,0)),"")</f>
        <v>PKF Professional Services</v>
      </c>
    </row>
    <row r="252" spans="1:24" ht="15" customHeight="1" x14ac:dyDescent="0.3">
      <c r="A252" s="16">
        <v>251</v>
      </c>
      <c r="B252" s="16">
        <v>51</v>
      </c>
      <c r="C252" s="16" t="s">
        <v>962</v>
      </c>
      <c r="D252" s="16" t="s">
        <v>963</v>
      </c>
      <c r="E252" s="16" t="s">
        <v>806</v>
      </c>
      <c r="F252" s="16">
        <v>2021</v>
      </c>
      <c r="G252" s="16">
        <f t="shared" si="21"/>
        <v>0</v>
      </c>
      <c r="H252" s="16">
        <v>0</v>
      </c>
      <c r="I252" s="16">
        <f>IFERROR(INDEX('Coding Sheet'!$AC$2:$AC$731,MATCH($B252&amp;"_"&amp;$F252,'Coding Sheet'!$A$2:$A$731,0)),"")</f>
        <v>0</v>
      </c>
      <c r="J252" s="22">
        <f>IFERROR(INDEX('Coding Sheet'!$AT$2:$AT$731,MATCH($B252&amp;"_"&amp;$F252,'Coding Sheet'!$A$2:$A$731,0)),"")</f>
        <v>0</v>
      </c>
      <c r="K252" s="16">
        <v>1003344000</v>
      </c>
      <c r="L252" s="16">
        <v>0.81</v>
      </c>
      <c r="M252" s="16">
        <f t="shared" si="22"/>
        <v>812708.64</v>
      </c>
      <c r="N252" s="16">
        <v>2383000</v>
      </c>
      <c r="O252" s="16">
        <v>4878000</v>
      </c>
      <c r="P252" s="16">
        <v>-225880</v>
      </c>
      <c r="Q252" s="16">
        <f t="shared" si="23"/>
        <v>0.65512682246822473</v>
      </c>
      <c r="R252" s="16">
        <f t="shared" si="24"/>
        <v>15.400245857758003</v>
      </c>
      <c r="S252" s="16">
        <f t="shared" si="25"/>
        <v>0.48851988519885198</v>
      </c>
      <c r="T252" s="16">
        <f t="shared" si="26"/>
        <v>-4.6305863058630589E-2</v>
      </c>
      <c r="U252" s="16">
        <f>IFERROR(IF(ISNUMBER(INDEX('Firm Master'!$E$2:$E$1000,MATCH($C252,'Firm Master'!$B$2:$B$1000,0))),INDEX('Firm Master'!$E$2:$E$1000,MATCH($C252,'Firm Master'!$B$2:$B$1000,0)),""),"")</f>
        <v>1962</v>
      </c>
      <c r="V252" s="16">
        <f t="shared" si="27"/>
        <v>59</v>
      </c>
      <c r="W252" s="16">
        <v>0</v>
      </c>
      <c r="X252" s="16" t="str">
        <f>IFERROR(INDEX('Firm Master'!$G$2:$G$1000,MATCH($C252,'Firm Master'!$B$2:$B$1000,0)),"")</f>
        <v>Mokuolu Rubens &amp; Co</v>
      </c>
    </row>
    <row r="253" spans="1:24" ht="15" customHeight="1" x14ac:dyDescent="0.3">
      <c r="A253" s="16">
        <v>252</v>
      </c>
      <c r="B253" s="16">
        <v>51</v>
      </c>
      <c r="C253" s="16" t="s">
        <v>962</v>
      </c>
      <c r="D253" s="16" t="s">
        <v>963</v>
      </c>
      <c r="E253" s="16" t="s">
        <v>806</v>
      </c>
      <c r="F253" s="16">
        <v>2022</v>
      </c>
      <c r="G253" s="16">
        <f t="shared" si="21"/>
        <v>0</v>
      </c>
      <c r="H253" s="16">
        <v>0</v>
      </c>
      <c r="I253" s="16">
        <f>IFERROR(INDEX('Coding Sheet'!$AC$2:$AC$731,MATCH($B253&amp;"_"&amp;$F253,'Coding Sheet'!$A$2:$A$731,0)),"")</f>
        <v>0</v>
      </c>
      <c r="J253" s="22">
        <f>IFERROR(INDEX('Coding Sheet'!$AT$2:$AT$731,MATCH($B253&amp;"_"&amp;$F253,'Coding Sheet'!$A$2:$A$731,0)),"")</f>
        <v>0</v>
      </c>
      <c r="K253" s="16">
        <v>1003344000</v>
      </c>
      <c r="L253" s="16">
        <v>0.81</v>
      </c>
      <c r="M253" s="16">
        <f t="shared" si="22"/>
        <v>812708.64</v>
      </c>
      <c r="N253" s="16">
        <v>3077000</v>
      </c>
      <c r="O253" s="16">
        <v>5074000</v>
      </c>
      <c r="P253" s="16">
        <v>-498670</v>
      </c>
      <c r="Q253" s="16">
        <f t="shared" si="23"/>
        <v>0.76659610563657865</v>
      </c>
      <c r="R253" s="16">
        <f t="shared" si="24"/>
        <v>15.439640019141365</v>
      </c>
      <c r="S253" s="16">
        <f t="shared" si="25"/>
        <v>0.60642491131257392</v>
      </c>
      <c r="T253" s="16">
        <f t="shared" si="26"/>
        <v>-9.8279463933780051E-2</v>
      </c>
      <c r="U253" s="16">
        <f>IFERROR(IF(ISNUMBER(INDEX('Firm Master'!$E$2:$E$1000,MATCH($C253,'Firm Master'!$B$2:$B$1000,0))),INDEX('Firm Master'!$E$2:$E$1000,MATCH($C253,'Firm Master'!$B$2:$B$1000,0)),""),"")</f>
        <v>1962</v>
      </c>
      <c r="V253" s="16">
        <f t="shared" si="27"/>
        <v>60</v>
      </c>
      <c r="W253" s="16">
        <v>0</v>
      </c>
      <c r="X253" s="16" t="str">
        <f>IFERROR(INDEX('Firm Master'!$G$2:$G$1000,MATCH($C253,'Firm Master'!$B$2:$B$1000,0)),"")</f>
        <v>Mokuolu Rubens &amp; Co</v>
      </c>
    </row>
    <row r="254" spans="1:24" ht="15" customHeight="1" x14ac:dyDescent="0.3">
      <c r="A254" s="16">
        <v>253</v>
      </c>
      <c r="B254" s="16">
        <v>51</v>
      </c>
      <c r="C254" s="16" t="s">
        <v>962</v>
      </c>
      <c r="D254" s="16" t="s">
        <v>963</v>
      </c>
      <c r="E254" s="16" t="s">
        <v>806</v>
      </c>
      <c r="F254" s="16">
        <v>2023</v>
      </c>
      <c r="G254" s="16">
        <f t="shared" si="21"/>
        <v>1</v>
      </c>
      <c r="H254" s="16">
        <v>0</v>
      </c>
      <c r="I254" s="16">
        <f>IFERROR(INDEX('Coding Sheet'!$AC$2:$AC$731,MATCH($B254&amp;"_"&amp;$F254,'Coding Sheet'!$A$2:$A$731,0)),"")</f>
        <v>0</v>
      </c>
      <c r="J254" s="22">
        <f>IFERROR(INDEX('Coding Sheet'!$AT$2:$AT$731,MATCH($B254&amp;"_"&amp;$F254,'Coding Sheet'!$A$2:$A$731,0)),"")</f>
        <v>0</v>
      </c>
      <c r="K254" s="16">
        <v>1003344000</v>
      </c>
      <c r="L254" s="16">
        <v>3.15</v>
      </c>
      <c r="M254" s="16">
        <f t="shared" si="22"/>
        <v>3160533.6</v>
      </c>
      <c r="N254" s="16">
        <v>3495003</v>
      </c>
      <c r="O254" s="16">
        <v>4948680</v>
      </c>
      <c r="P254" s="16">
        <v>-543200</v>
      </c>
      <c r="Q254" s="16">
        <f t="shared" si="23"/>
        <v>1.3449114915492615</v>
      </c>
      <c r="R254" s="16">
        <f t="shared" si="24"/>
        <v>15.414631432316328</v>
      </c>
      <c r="S254" s="16">
        <f t="shared" si="25"/>
        <v>0.70624954533330098</v>
      </c>
      <c r="T254" s="16">
        <f t="shared" si="26"/>
        <v>-0.10976664484266511</v>
      </c>
      <c r="U254" s="16">
        <f>IFERROR(IF(ISNUMBER(INDEX('Firm Master'!$E$2:$E$1000,MATCH($C254,'Firm Master'!$B$2:$B$1000,0))),INDEX('Firm Master'!$E$2:$E$1000,MATCH($C254,'Firm Master'!$B$2:$B$1000,0)),""),"")</f>
        <v>1962</v>
      </c>
      <c r="V254" s="16">
        <f t="shared" si="27"/>
        <v>61</v>
      </c>
      <c r="W254" s="16">
        <v>0</v>
      </c>
      <c r="X254" s="16" t="str">
        <f>IFERROR(INDEX('Firm Master'!$G$2:$G$1000,MATCH($C254,'Firm Master'!$B$2:$B$1000,0)),"")</f>
        <v>Mokuolu Rubens &amp; Co</v>
      </c>
    </row>
    <row r="255" spans="1:24" ht="15" customHeight="1" x14ac:dyDescent="0.3">
      <c r="A255" s="16">
        <v>254</v>
      </c>
      <c r="B255" s="16">
        <v>51</v>
      </c>
      <c r="C255" s="16" t="s">
        <v>962</v>
      </c>
      <c r="D255" s="16" t="s">
        <v>963</v>
      </c>
      <c r="E255" s="16" t="s">
        <v>806</v>
      </c>
      <c r="F255" s="16">
        <v>2024</v>
      </c>
      <c r="G255" s="16">
        <f t="shared" si="21"/>
        <v>1</v>
      </c>
      <c r="H255" s="16">
        <v>0</v>
      </c>
      <c r="I255" s="16">
        <f>IFERROR(INDEX('Coding Sheet'!$AC$2:$AC$731,MATCH($B255&amp;"_"&amp;$F255,'Coding Sheet'!$A$2:$A$731,0)),"")</f>
        <v>0</v>
      </c>
      <c r="J255" s="22">
        <f>IFERROR(INDEX('Coding Sheet'!$AT$2:$AT$731,MATCH($B255&amp;"_"&amp;$F255,'Coding Sheet'!$A$2:$A$731,0)),"")</f>
        <v>0</v>
      </c>
      <c r="K255" s="16">
        <v>1003344000</v>
      </c>
      <c r="L255" s="16">
        <v>8.64</v>
      </c>
      <c r="M255" s="16">
        <f t="shared" si="22"/>
        <v>8668892.1600000001</v>
      </c>
      <c r="N255" s="16">
        <v>4113430</v>
      </c>
      <c r="O255" s="16">
        <v>5457614</v>
      </c>
      <c r="P255" s="16">
        <v>-109494</v>
      </c>
      <c r="Q255" s="16">
        <f t="shared" si="23"/>
        <v>2.3421081373655226</v>
      </c>
      <c r="R255" s="16">
        <f t="shared" si="24"/>
        <v>15.512522255873366</v>
      </c>
      <c r="S255" s="16">
        <f t="shared" si="25"/>
        <v>0.75370482412277595</v>
      </c>
      <c r="T255" s="16">
        <f t="shared" si="26"/>
        <v>-2.0062613442431071E-2</v>
      </c>
      <c r="U255" s="16">
        <f>IFERROR(IF(ISNUMBER(INDEX('Firm Master'!$E$2:$E$1000,MATCH($C255,'Firm Master'!$B$2:$B$1000,0))),INDEX('Firm Master'!$E$2:$E$1000,MATCH($C255,'Firm Master'!$B$2:$B$1000,0)),""),"")</f>
        <v>1962</v>
      </c>
      <c r="V255" s="16">
        <f t="shared" si="27"/>
        <v>62</v>
      </c>
      <c r="W255" s="16">
        <v>0</v>
      </c>
      <c r="X255" s="16" t="str">
        <f>IFERROR(INDEX('Firm Master'!$G$2:$G$1000,MATCH($C255,'Firm Master'!$B$2:$B$1000,0)),"")</f>
        <v>Mokuolu Rubens &amp; Co</v>
      </c>
    </row>
    <row r="256" spans="1:24" ht="15" customHeight="1" x14ac:dyDescent="0.3">
      <c r="A256" s="16">
        <v>255</v>
      </c>
      <c r="B256" s="16">
        <v>51</v>
      </c>
      <c r="C256" s="16" t="s">
        <v>962</v>
      </c>
      <c r="D256" s="16" t="s">
        <v>963</v>
      </c>
      <c r="E256" s="16" t="s">
        <v>806</v>
      </c>
      <c r="F256" s="16">
        <v>2025</v>
      </c>
      <c r="G256" s="16">
        <f t="shared" si="21"/>
        <v>1</v>
      </c>
      <c r="H256" s="16">
        <v>0</v>
      </c>
      <c r="I256" s="16" t="str">
        <f>IFERROR(INDEX('Coding Sheet'!$AC$2:$AC$731,MATCH($B256&amp;"_"&amp;$F256,'Coding Sheet'!$A$2:$A$731,0)),"")</f>
        <v/>
      </c>
      <c r="J256" s="22" t="str">
        <f>IFERROR(INDEX('Coding Sheet'!$AT$2:$AT$731,MATCH($B256&amp;"_"&amp;$F256,'Coding Sheet'!$A$2:$A$731,0)),"")</f>
        <v/>
      </c>
      <c r="K256" s="16">
        <v>1003344000</v>
      </c>
      <c r="L256" s="16">
        <v>7.1</v>
      </c>
      <c r="M256" s="16">
        <f t="shared" si="22"/>
        <v>7123742.4000000004</v>
      </c>
      <c r="N256" s="16"/>
      <c r="O256" s="16"/>
      <c r="P256" s="16"/>
      <c r="Q256" s="16" t="str">
        <f t="shared" si="23"/>
        <v/>
      </c>
      <c r="R256" s="16" t="str">
        <f t="shared" si="24"/>
        <v/>
      </c>
      <c r="S256" s="16" t="str">
        <f t="shared" si="25"/>
        <v/>
      </c>
      <c r="T256" s="16" t="str">
        <f t="shared" si="26"/>
        <v/>
      </c>
      <c r="U256" s="16">
        <f>IFERROR(IF(ISNUMBER(INDEX('Firm Master'!$E$2:$E$1000,MATCH($C256,'Firm Master'!$B$2:$B$1000,0))),INDEX('Firm Master'!$E$2:$E$1000,MATCH($C256,'Firm Master'!$B$2:$B$1000,0)),""),"")</f>
        <v>1962</v>
      </c>
      <c r="V256" s="16">
        <f t="shared" si="27"/>
        <v>63</v>
      </c>
      <c r="W256" s="16">
        <v>0</v>
      </c>
      <c r="X256" s="16" t="str">
        <f>IFERROR(INDEX('Firm Master'!$G$2:$G$1000,MATCH($C256,'Firm Master'!$B$2:$B$1000,0)),"")</f>
        <v>Mokuolu Rubens &amp; Co</v>
      </c>
    </row>
    <row r="257" spans="1:24" ht="15" customHeight="1" x14ac:dyDescent="0.3">
      <c r="A257" s="11">
        <v>256</v>
      </c>
      <c r="B257" s="11">
        <v>52</v>
      </c>
      <c r="C257" s="11" t="s">
        <v>968</v>
      </c>
      <c r="D257" s="11" t="s">
        <v>969</v>
      </c>
      <c r="E257" s="11" t="s">
        <v>709</v>
      </c>
      <c r="F257" s="11">
        <v>2021</v>
      </c>
      <c r="G257" s="20">
        <f t="shared" si="21"/>
        <v>0</v>
      </c>
      <c r="H257" s="21">
        <v>0</v>
      </c>
      <c r="I257" s="21">
        <f>IFERROR(INDEX('Coding Sheet'!$AC$2:$AC$731,MATCH($B257&amp;"_"&amp;$F257,'Coding Sheet'!$A$2:$A$731,0)),"")</f>
        <v>30</v>
      </c>
      <c r="J257" s="7">
        <f>IFERROR(INDEX('Coding Sheet'!$AT$2:$AT$731,MATCH($B257&amp;"_"&amp;$F257,'Coding Sheet'!$A$2:$A$731,0)),"")</f>
        <v>0</v>
      </c>
      <c r="K257" s="21">
        <v>27981000000</v>
      </c>
      <c r="L257" s="21">
        <v>27.35</v>
      </c>
      <c r="M257" s="20">
        <f t="shared" si="22"/>
        <v>765280350</v>
      </c>
      <c r="N257" s="21">
        <v>4552808000</v>
      </c>
      <c r="O257" s="21">
        <v>5436035000</v>
      </c>
      <c r="P257" s="20">
        <v>172107000</v>
      </c>
      <c r="Q257" s="20">
        <f t="shared" si="23"/>
        <v>0.97830281629901206</v>
      </c>
      <c r="R257" s="20">
        <f t="shared" si="24"/>
        <v>22.416315771772343</v>
      </c>
      <c r="S257" s="20">
        <f t="shared" si="25"/>
        <v>0.83752367304478359</v>
      </c>
      <c r="T257" s="20">
        <f t="shared" si="26"/>
        <v>3.166039217922622E-2</v>
      </c>
      <c r="U257" s="20">
        <f>IFERROR(IF(ISNUMBER(INDEX('Firm Master'!$E$2:$E$1000,MATCH($C257,'Firm Master'!$B$2:$B$1000,0))),INDEX('Firm Master'!$E$2:$E$1000,MATCH($C257,'Firm Master'!$B$2:$B$1000,0)),""),"")</f>
        <v>2020</v>
      </c>
      <c r="V257" s="21">
        <f t="shared" si="27"/>
        <v>1</v>
      </c>
      <c r="W257" s="21">
        <v>1</v>
      </c>
      <c r="X257" s="20" t="str">
        <f>IFERROR(INDEX('Firm Master'!$G$2:$G$1000,MATCH($C257,'Firm Master'!$B$2:$B$1000,0)),"")</f>
        <v>Ernst &amp; Young</v>
      </c>
    </row>
    <row r="258" spans="1:24" ht="15" customHeight="1" x14ac:dyDescent="0.3">
      <c r="A258" s="11">
        <v>257</v>
      </c>
      <c r="B258" s="11">
        <v>52</v>
      </c>
      <c r="C258" s="11" t="s">
        <v>968</v>
      </c>
      <c r="D258" s="11" t="s">
        <v>969</v>
      </c>
      <c r="E258" s="11" t="s">
        <v>709</v>
      </c>
      <c r="F258" s="11">
        <v>2022</v>
      </c>
      <c r="G258" s="20">
        <f t="shared" ref="G258:G321" si="28">IF(F258&gt;=2023,1,0)</f>
        <v>0</v>
      </c>
      <c r="H258" s="21">
        <v>0</v>
      </c>
      <c r="I258" s="21">
        <f>IFERROR(INDEX('Coding Sheet'!$AC$2:$AC$731,MATCH($B258&amp;"_"&amp;$F258,'Coding Sheet'!$A$2:$A$731,0)),"")</f>
        <v>50</v>
      </c>
      <c r="J258" s="7">
        <f>IFERROR(INDEX('Coding Sheet'!$AT$2:$AT$731,MATCH($B258&amp;"_"&amp;$F258,'Coding Sheet'!$A$2:$A$731,0)),"")</f>
        <v>13.333333333333334</v>
      </c>
      <c r="K258" s="21">
        <v>28022000000</v>
      </c>
      <c r="L258" s="21">
        <v>24.16</v>
      </c>
      <c r="M258" s="20">
        <f t="shared" ref="M258:M321" si="29">IF(AND(ISNUMBER(K258),ISNUMBER(L258)),K258*L258/1000,"")</f>
        <v>677011520</v>
      </c>
      <c r="N258" s="21">
        <v>5515307000</v>
      </c>
      <c r="O258" s="21">
        <v>6446456000</v>
      </c>
      <c r="P258" s="20">
        <v>166737000</v>
      </c>
      <c r="Q258" s="20">
        <f t="shared" ref="Q258:Q321" si="30">IF(AND(ISNUMBER(M258),ISNUMBER(N258),ISNUMBER(O258),O258&lt;&gt;0),(M258+N258)/O258,"")</f>
        <v>0.96057717915083884</v>
      </c>
      <c r="R258" s="20">
        <f t="shared" ref="R258:R321" si="31">IF(AND(ISNUMBER(O258),O258&gt;0),LN(O258),"")</f>
        <v>22.586796359382735</v>
      </c>
      <c r="S258" s="20">
        <f t="shared" ref="S258:S321" si="32">IF(AND(ISNUMBER(N258),ISNUMBER(O258),O258&lt;&gt;0),N258/O258,"")</f>
        <v>0.85555644838031941</v>
      </c>
      <c r="T258" s="20">
        <f t="shared" ref="T258:T321" si="33">IF(AND(ISNUMBER(P258),ISNUMBER(O258),O258&lt;&gt;0),P258/O258,"")</f>
        <v>2.5864909339333116E-2</v>
      </c>
      <c r="U258" s="20">
        <f>IFERROR(IF(ISNUMBER(INDEX('Firm Master'!$E$2:$E$1000,MATCH($C258,'Firm Master'!$B$2:$B$1000,0))),INDEX('Firm Master'!$E$2:$E$1000,MATCH($C258,'Firm Master'!$B$2:$B$1000,0)),""),"")</f>
        <v>2020</v>
      </c>
      <c r="V258" s="21">
        <f t="shared" ref="V258:V321" si="34">IF(ISNUMBER(U258),F258-U258,"")</f>
        <v>2</v>
      </c>
      <c r="W258" s="21">
        <v>1</v>
      </c>
      <c r="X258" s="20" t="str">
        <f>IFERROR(INDEX('Firm Master'!$G$2:$G$1000,MATCH($C258,'Firm Master'!$B$2:$B$1000,0)),"")</f>
        <v>Ernst &amp; Young</v>
      </c>
    </row>
    <row r="259" spans="1:24" ht="15" customHeight="1" x14ac:dyDescent="0.3">
      <c r="A259" s="11">
        <v>258</v>
      </c>
      <c r="B259" s="11">
        <v>52</v>
      </c>
      <c r="C259" s="11" t="s">
        <v>968</v>
      </c>
      <c r="D259" s="11" t="s">
        <v>969</v>
      </c>
      <c r="E259" s="11" t="s">
        <v>709</v>
      </c>
      <c r="F259" s="11">
        <v>2023</v>
      </c>
      <c r="G259" s="20">
        <f t="shared" si="28"/>
        <v>1</v>
      </c>
      <c r="H259" s="21">
        <v>1</v>
      </c>
      <c r="I259" s="21">
        <f>IFERROR(INDEX('Coding Sheet'!$AC$2:$AC$731,MATCH($B259&amp;"_"&amp;$F259,'Coding Sheet'!$A$2:$A$731,0)),"")</f>
        <v>60</v>
      </c>
      <c r="J259" s="7">
        <f>IFERROR(INDEX('Coding Sheet'!$AT$2:$AT$731,MATCH($B259&amp;"_"&amp;$F259,'Coding Sheet'!$A$2:$A$731,0)),"")</f>
        <v>53.333333333333336</v>
      </c>
      <c r="K259" s="21">
        <v>28022000000</v>
      </c>
      <c r="L259" s="21">
        <v>42.47</v>
      </c>
      <c r="M259" s="20">
        <f t="shared" si="29"/>
        <v>1190094340</v>
      </c>
      <c r="N259" s="21">
        <v>8214127000</v>
      </c>
      <c r="O259" s="21">
        <v>9691255000</v>
      </c>
      <c r="P259" s="20">
        <v>534425000</v>
      </c>
      <c r="Q259" s="20">
        <f t="shared" si="30"/>
        <v>0.97038219920949353</v>
      </c>
      <c r="R259" s="20">
        <f t="shared" si="31"/>
        <v>22.994489769426629</v>
      </c>
      <c r="S259" s="20">
        <f t="shared" si="32"/>
        <v>0.84758135040301796</v>
      </c>
      <c r="T259" s="20">
        <f t="shared" si="33"/>
        <v>5.5145076669636701E-2</v>
      </c>
      <c r="U259" s="20">
        <f>IFERROR(IF(ISNUMBER(INDEX('Firm Master'!$E$2:$E$1000,MATCH($C259,'Firm Master'!$B$2:$B$1000,0))),INDEX('Firm Master'!$E$2:$E$1000,MATCH($C259,'Firm Master'!$B$2:$B$1000,0)),""),"")</f>
        <v>2020</v>
      </c>
      <c r="V259" s="21">
        <f t="shared" si="34"/>
        <v>3</v>
      </c>
      <c r="W259" s="21">
        <v>1</v>
      </c>
      <c r="X259" s="20" t="str">
        <f>IFERROR(INDEX('Firm Master'!$G$2:$G$1000,MATCH($C259,'Firm Master'!$B$2:$B$1000,0)),"")</f>
        <v>Ernst &amp; Young</v>
      </c>
    </row>
    <row r="260" spans="1:24" ht="15" customHeight="1" x14ac:dyDescent="0.3">
      <c r="A260" s="11">
        <v>259</v>
      </c>
      <c r="B260" s="11">
        <v>52</v>
      </c>
      <c r="C260" s="11" t="s">
        <v>968</v>
      </c>
      <c r="D260" s="11" t="s">
        <v>969</v>
      </c>
      <c r="E260" s="11" t="s">
        <v>709</v>
      </c>
      <c r="F260" s="11">
        <v>2024</v>
      </c>
      <c r="G260" s="20">
        <f t="shared" si="28"/>
        <v>1</v>
      </c>
      <c r="H260" s="21">
        <v>1</v>
      </c>
      <c r="I260" s="21">
        <v>46.666699999999999</v>
      </c>
      <c r="J260" s="7">
        <v>22.222200000000001</v>
      </c>
      <c r="K260" s="21">
        <v>29554000000</v>
      </c>
      <c r="L260" s="21">
        <v>56.85</v>
      </c>
      <c r="M260" s="20">
        <f t="shared" si="29"/>
        <v>1680144900</v>
      </c>
      <c r="N260" s="21">
        <v>12083689000</v>
      </c>
      <c r="O260" s="21">
        <v>14795707000</v>
      </c>
      <c r="P260" s="20">
        <v>1006220000</v>
      </c>
      <c r="Q260" s="20">
        <f t="shared" si="30"/>
        <v>0.9302586148806542</v>
      </c>
      <c r="R260" s="20">
        <f t="shared" si="31"/>
        <v>23.417602908071178</v>
      </c>
      <c r="S260" s="20">
        <f t="shared" si="32"/>
        <v>0.81670237184340022</v>
      </c>
      <c r="T260" s="20">
        <f t="shared" si="33"/>
        <v>6.8007564626685293E-2</v>
      </c>
      <c r="U260" s="20">
        <f>IFERROR(IF(ISNUMBER(INDEX('Firm Master'!$E$2:$E$1000,MATCH($C260,'Firm Master'!$B$2:$B$1000,0))),INDEX('Firm Master'!$E$2:$E$1000,MATCH($C260,'Firm Master'!$B$2:$B$1000,0)),""),"")</f>
        <v>2020</v>
      </c>
      <c r="V260" s="21">
        <f t="shared" si="34"/>
        <v>4</v>
      </c>
      <c r="W260" s="21">
        <v>1</v>
      </c>
      <c r="X260" s="20" t="str">
        <f>IFERROR(INDEX('Firm Master'!$G$2:$G$1000,MATCH($C260,'Firm Master'!$B$2:$B$1000,0)),"")</f>
        <v>Ernst &amp; Young</v>
      </c>
    </row>
    <row r="261" spans="1:24" ht="15" customHeight="1" x14ac:dyDescent="0.3">
      <c r="A261" s="11">
        <v>260</v>
      </c>
      <c r="B261" s="11">
        <v>52</v>
      </c>
      <c r="C261" s="11" t="s">
        <v>968</v>
      </c>
      <c r="D261" s="11" t="s">
        <v>969</v>
      </c>
      <c r="E261" s="11" t="s">
        <v>709</v>
      </c>
      <c r="F261" s="11">
        <v>2025</v>
      </c>
      <c r="G261" s="20">
        <f t="shared" si="28"/>
        <v>1</v>
      </c>
      <c r="H261" s="21">
        <v>1</v>
      </c>
      <c r="I261" s="21">
        <v>46.666699999999999</v>
      </c>
      <c r="J261" s="7">
        <v>22.222200000000001</v>
      </c>
      <c r="K261" s="21">
        <v>34601000000</v>
      </c>
      <c r="L261" s="21">
        <v>95.37</v>
      </c>
      <c r="M261" s="20">
        <f t="shared" si="29"/>
        <v>3299897370</v>
      </c>
      <c r="N261" s="21">
        <v>14349772000</v>
      </c>
      <c r="O261" s="21">
        <v>17761152000</v>
      </c>
      <c r="P261" s="20">
        <v>853548000</v>
      </c>
      <c r="Q261" s="20">
        <f t="shared" si="30"/>
        <v>0.99372323202909363</v>
      </c>
      <c r="R261" s="20">
        <f t="shared" si="31"/>
        <v>23.600279437271666</v>
      </c>
      <c r="S261" s="20">
        <f t="shared" si="32"/>
        <v>0.80793025137108221</v>
      </c>
      <c r="T261" s="20">
        <f t="shared" si="33"/>
        <v>4.8057017923161742E-2</v>
      </c>
      <c r="U261" s="20">
        <f>IFERROR(IF(ISNUMBER(INDEX('Firm Master'!$E$2:$E$1000,MATCH($C261,'Firm Master'!$B$2:$B$1000,0))),INDEX('Firm Master'!$E$2:$E$1000,MATCH($C261,'Firm Master'!$B$2:$B$1000,0)),""),"")</f>
        <v>2020</v>
      </c>
      <c r="V261" s="21">
        <f t="shared" si="34"/>
        <v>5</v>
      </c>
      <c r="W261" s="21">
        <v>1</v>
      </c>
      <c r="X261" s="20" t="str">
        <f>IFERROR(INDEX('Firm Master'!$G$2:$G$1000,MATCH($C261,'Firm Master'!$B$2:$B$1000,0)),"")</f>
        <v>Ernst &amp; Young</v>
      </c>
    </row>
    <row r="262" spans="1:24" ht="15" customHeight="1" x14ac:dyDescent="0.3">
      <c r="A262" s="11">
        <v>261</v>
      </c>
      <c r="B262" s="11">
        <v>53</v>
      </c>
      <c r="C262" s="11" t="s">
        <v>972</v>
      </c>
      <c r="D262" s="11" t="s">
        <v>973</v>
      </c>
      <c r="E262" s="11" t="s">
        <v>709</v>
      </c>
      <c r="F262" s="11">
        <v>2021</v>
      </c>
      <c r="G262" s="20">
        <f t="shared" si="28"/>
        <v>0</v>
      </c>
      <c r="H262" s="21">
        <v>0</v>
      </c>
      <c r="I262" s="21">
        <f>IFERROR(INDEX('Coding Sheet'!$AC$2:$AC$731,MATCH($B262&amp;"_"&amp;$F262,'Coding Sheet'!$A$2:$A$731,0)),"")</f>
        <v>30</v>
      </c>
      <c r="J262" s="7">
        <f>IFERROR(INDEX('Coding Sheet'!$AT$2:$AT$731,MATCH($B262&amp;"_"&amp;$F262,'Coding Sheet'!$A$2:$A$731,0)),"")</f>
        <v>0</v>
      </c>
      <c r="K262" s="21">
        <v>6140000000</v>
      </c>
      <c r="L262" s="21">
        <v>0.2</v>
      </c>
      <c r="M262" s="20">
        <f t="shared" si="29"/>
        <v>1228000</v>
      </c>
      <c r="N262" s="21">
        <v>1348000</v>
      </c>
      <c r="O262" s="21">
        <v>3468000</v>
      </c>
      <c r="P262" s="20">
        <v>-23490</v>
      </c>
      <c r="Q262" s="20">
        <f t="shared" si="30"/>
        <v>0.74279123414071513</v>
      </c>
      <c r="R262" s="20">
        <f t="shared" si="31"/>
        <v>15.059088616882569</v>
      </c>
      <c r="S262" s="20">
        <f t="shared" si="32"/>
        <v>0.38869665513264129</v>
      </c>
      <c r="T262" s="20">
        <f t="shared" si="33"/>
        <v>-6.7733564013840834E-3</v>
      </c>
      <c r="U262" s="20">
        <f>IFERROR(IF(ISNUMBER(INDEX('Firm Master'!$E$2:$E$1000,MATCH($C262,'Firm Master'!$B$2:$B$1000,0))),INDEX('Firm Master'!$E$2:$E$1000,MATCH($C262,'Firm Master'!$B$2:$B$1000,0)),""),"")</f>
        <v>1958</v>
      </c>
      <c r="V262" s="21">
        <f t="shared" si="34"/>
        <v>63</v>
      </c>
      <c r="W262" s="21">
        <v>0</v>
      </c>
      <c r="X262" s="20" t="str">
        <f>IFERROR(INDEX('Firm Master'!$G$2:$G$1000,MATCH($C262,'Firm Master'!$B$2:$B$1000,0)),"")</f>
        <v>BDO Professional Services</v>
      </c>
    </row>
    <row r="263" spans="1:24" ht="15" customHeight="1" x14ac:dyDescent="0.3">
      <c r="A263" s="11">
        <v>262</v>
      </c>
      <c r="B263" s="11">
        <v>53</v>
      </c>
      <c r="C263" s="11" t="s">
        <v>972</v>
      </c>
      <c r="D263" s="11" t="s">
        <v>973</v>
      </c>
      <c r="E263" s="11" t="s">
        <v>709</v>
      </c>
      <c r="F263" s="11">
        <v>2022</v>
      </c>
      <c r="G263" s="20">
        <f t="shared" si="28"/>
        <v>0</v>
      </c>
      <c r="H263" s="21">
        <v>0</v>
      </c>
      <c r="I263" s="21">
        <f>IFERROR(INDEX('Coding Sheet'!$AC$2:$AC$731,MATCH($B263&amp;"_"&amp;$F263,'Coding Sheet'!$A$2:$A$731,0)),"")</f>
        <v>20</v>
      </c>
      <c r="J263" s="7">
        <f>IFERROR(INDEX('Coding Sheet'!$AT$2:$AT$731,MATCH($B263&amp;"_"&amp;$F263,'Coding Sheet'!$A$2:$A$731,0)),"")</f>
        <v>0</v>
      </c>
      <c r="K263" s="21">
        <v>6140000000</v>
      </c>
      <c r="L263" s="21">
        <v>0.2</v>
      </c>
      <c r="M263" s="20">
        <f t="shared" si="29"/>
        <v>1228000</v>
      </c>
      <c r="N263" s="21">
        <v>2066000</v>
      </c>
      <c r="O263" s="21">
        <v>4144000</v>
      </c>
      <c r="P263" s="20">
        <v>-83270</v>
      </c>
      <c r="Q263" s="20">
        <f t="shared" si="30"/>
        <v>0.79488416988416988</v>
      </c>
      <c r="R263" s="20">
        <f t="shared" si="31"/>
        <v>15.237172062921456</v>
      </c>
      <c r="S263" s="20">
        <f t="shared" si="32"/>
        <v>0.49855212355212353</v>
      </c>
      <c r="T263" s="20">
        <f t="shared" si="33"/>
        <v>-2.0094111969111969E-2</v>
      </c>
      <c r="U263" s="20">
        <f>IFERROR(IF(ISNUMBER(INDEX('Firm Master'!$E$2:$E$1000,MATCH($C263,'Firm Master'!$B$2:$B$1000,0))),INDEX('Firm Master'!$E$2:$E$1000,MATCH($C263,'Firm Master'!$B$2:$B$1000,0)),""),"")</f>
        <v>1958</v>
      </c>
      <c r="V263" s="21">
        <f t="shared" si="34"/>
        <v>64</v>
      </c>
      <c r="W263" s="21">
        <v>0</v>
      </c>
      <c r="X263" s="20" t="str">
        <f>IFERROR(INDEX('Firm Master'!$G$2:$G$1000,MATCH($C263,'Firm Master'!$B$2:$B$1000,0)),"")</f>
        <v>BDO Professional Services</v>
      </c>
    </row>
    <row r="264" spans="1:24" ht="15" customHeight="1" x14ac:dyDescent="0.3">
      <c r="A264" s="11">
        <v>263</v>
      </c>
      <c r="B264" s="11">
        <v>53</v>
      </c>
      <c r="C264" s="11" t="s">
        <v>972</v>
      </c>
      <c r="D264" s="11" t="s">
        <v>973</v>
      </c>
      <c r="E264" s="11" t="s">
        <v>709</v>
      </c>
      <c r="F264" s="11">
        <v>2023</v>
      </c>
      <c r="G264" s="20">
        <f t="shared" si="28"/>
        <v>1</v>
      </c>
      <c r="H264" s="21">
        <v>0</v>
      </c>
      <c r="I264" s="21">
        <f>IFERROR(INDEX('Coding Sheet'!$AC$2:$AC$731,MATCH($B264&amp;"_"&amp;$F264,'Coding Sheet'!$A$2:$A$731,0)),"")</f>
        <v>10</v>
      </c>
      <c r="J264" s="7">
        <f>IFERROR(INDEX('Coding Sheet'!$AT$2:$AT$731,MATCH($B264&amp;"_"&amp;$F264,'Coding Sheet'!$A$2:$A$731,0)),"")</f>
        <v>0</v>
      </c>
      <c r="K264" s="21">
        <v>7943000000</v>
      </c>
      <c r="L264" s="21">
        <v>0.28999999999999998</v>
      </c>
      <c r="M264" s="20">
        <f t="shared" si="29"/>
        <v>2303470</v>
      </c>
      <c r="N264" s="21">
        <v>1506000</v>
      </c>
      <c r="O264" s="21">
        <v>5003000</v>
      </c>
      <c r="P264" s="20">
        <v>477770</v>
      </c>
      <c r="Q264" s="20">
        <f t="shared" si="30"/>
        <v>0.76143713771736954</v>
      </c>
      <c r="R264" s="20">
        <f t="shared" si="31"/>
        <v>15.425548290470342</v>
      </c>
      <c r="S264" s="20">
        <f t="shared" si="32"/>
        <v>0.30101938836697983</v>
      </c>
      <c r="T264" s="20">
        <f t="shared" si="33"/>
        <v>9.5496701978812715E-2</v>
      </c>
      <c r="U264" s="20">
        <f>IFERROR(IF(ISNUMBER(INDEX('Firm Master'!$E$2:$E$1000,MATCH($C264,'Firm Master'!$B$2:$B$1000,0))),INDEX('Firm Master'!$E$2:$E$1000,MATCH($C264,'Firm Master'!$B$2:$B$1000,0)),""),"")</f>
        <v>1958</v>
      </c>
      <c r="V264" s="21">
        <f t="shared" si="34"/>
        <v>65</v>
      </c>
      <c r="W264" s="21">
        <v>0</v>
      </c>
      <c r="X264" s="20" t="str">
        <f>IFERROR(INDEX('Firm Master'!$G$2:$G$1000,MATCH($C264,'Firm Master'!$B$2:$B$1000,0)),"")</f>
        <v>BDO Professional Services</v>
      </c>
    </row>
    <row r="265" spans="1:24" ht="15" customHeight="1" x14ac:dyDescent="0.3">
      <c r="A265" s="11">
        <v>264</v>
      </c>
      <c r="B265" s="11">
        <v>53</v>
      </c>
      <c r="C265" s="11" t="s">
        <v>972</v>
      </c>
      <c r="D265" s="11" t="s">
        <v>973</v>
      </c>
      <c r="E265" s="11" t="s">
        <v>709</v>
      </c>
      <c r="F265" s="11">
        <v>2024</v>
      </c>
      <c r="G265" s="20">
        <f t="shared" si="28"/>
        <v>1</v>
      </c>
      <c r="H265" s="21">
        <v>0</v>
      </c>
      <c r="I265" s="21">
        <f>IFERROR(INDEX('Coding Sheet'!$AC$2:$AC$731,MATCH($B265&amp;"_"&amp;$F265,'Coding Sheet'!$A$2:$A$731,0)),"")</f>
        <v>55.000000000000007</v>
      </c>
      <c r="J265" s="7">
        <f>IFERROR(INDEX('Coding Sheet'!$AT$2:$AT$731,MATCH($B265&amp;"_"&amp;$F265,'Coding Sheet'!$A$2:$A$731,0)),"")</f>
        <v>40</v>
      </c>
      <c r="K265" s="21">
        <v>7943000000</v>
      </c>
      <c r="L265" s="21">
        <v>0.81</v>
      </c>
      <c r="M265" s="20">
        <f t="shared" si="29"/>
        <v>6433830</v>
      </c>
      <c r="N265" s="21">
        <v>1732000</v>
      </c>
      <c r="O265" s="21">
        <v>6953000</v>
      </c>
      <c r="P265" s="20">
        <v>936550</v>
      </c>
      <c r="Q265" s="20">
        <f t="shared" si="30"/>
        <v>1.1744326190133756</v>
      </c>
      <c r="R265" s="20">
        <f t="shared" si="31"/>
        <v>15.754683779081155</v>
      </c>
      <c r="S265" s="20">
        <f t="shared" si="32"/>
        <v>0.24910110743563929</v>
      </c>
      <c r="T265" s="20">
        <f t="shared" si="33"/>
        <v>0.13469725298432331</v>
      </c>
      <c r="U265" s="20">
        <f>IFERROR(IF(ISNUMBER(INDEX('Firm Master'!$E$2:$E$1000,MATCH($C265,'Firm Master'!$B$2:$B$1000,0))),INDEX('Firm Master'!$E$2:$E$1000,MATCH($C265,'Firm Master'!$B$2:$B$1000,0)),""),"")</f>
        <v>1958</v>
      </c>
      <c r="V265" s="21">
        <f t="shared" si="34"/>
        <v>66</v>
      </c>
      <c r="W265" s="21">
        <v>0</v>
      </c>
      <c r="X265" s="20" t="str">
        <f>IFERROR(INDEX('Firm Master'!$G$2:$G$1000,MATCH($C265,'Firm Master'!$B$2:$B$1000,0)),"")</f>
        <v>BDO Professional Services</v>
      </c>
    </row>
    <row r="266" spans="1:24" ht="15" customHeight="1" x14ac:dyDescent="0.3">
      <c r="A266" s="11">
        <v>265</v>
      </c>
      <c r="B266" s="11">
        <v>53</v>
      </c>
      <c r="C266" s="11" t="s">
        <v>972</v>
      </c>
      <c r="D266" s="11" t="s">
        <v>973</v>
      </c>
      <c r="E266" s="11" t="s">
        <v>709</v>
      </c>
      <c r="F266" s="11">
        <v>2025</v>
      </c>
      <c r="G266" s="20">
        <f t="shared" si="28"/>
        <v>1</v>
      </c>
      <c r="H266" s="21">
        <v>0</v>
      </c>
      <c r="I266" s="21">
        <v>28.75</v>
      </c>
      <c r="J266" s="7">
        <v>10</v>
      </c>
      <c r="K266" s="21">
        <v>7943000000</v>
      </c>
      <c r="L266" s="21">
        <v>1.33</v>
      </c>
      <c r="M266" s="20">
        <f t="shared" si="29"/>
        <v>10564190</v>
      </c>
      <c r="N266" s="21">
        <v>1573000</v>
      </c>
      <c r="O266" s="21">
        <v>7415000</v>
      </c>
      <c r="P266" s="20">
        <v>353300</v>
      </c>
      <c r="Q266" s="20">
        <f t="shared" si="30"/>
        <v>1.6368428860418072</v>
      </c>
      <c r="R266" s="20">
        <f t="shared" si="31"/>
        <v>15.81901553355417</v>
      </c>
      <c r="S266" s="20">
        <f t="shared" si="32"/>
        <v>0.21213755900202291</v>
      </c>
      <c r="T266" s="20">
        <f t="shared" si="33"/>
        <v>4.7646662171274445E-2</v>
      </c>
      <c r="U266" s="20">
        <f>IFERROR(IF(ISNUMBER(INDEX('Firm Master'!$E$2:$E$1000,MATCH($C266,'Firm Master'!$B$2:$B$1000,0))),INDEX('Firm Master'!$E$2:$E$1000,MATCH($C266,'Firm Master'!$B$2:$B$1000,0)),""),"")</f>
        <v>1958</v>
      </c>
      <c r="V266" s="21">
        <f t="shared" si="34"/>
        <v>67</v>
      </c>
      <c r="W266" s="21">
        <v>0</v>
      </c>
      <c r="X266" s="20" t="str">
        <f>IFERROR(INDEX('Firm Master'!$G$2:$G$1000,MATCH($C266,'Firm Master'!$B$2:$B$1000,0)),"")</f>
        <v>BDO Professional Services</v>
      </c>
    </row>
    <row r="267" spans="1:24" ht="15" customHeight="1" x14ac:dyDescent="0.3">
      <c r="A267" s="11">
        <v>266</v>
      </c>
      <c r="B267" s="11">
        <v>54</v>
      </c>
      <c r="C267" s="11" t="s">
        <v>977</v>
      </c>
      <c r="D267" s="11" t="s">
        <v>978</v>
      </c>
      <c r="E267" s="11" t="s">
        <v>806</v>
      </c>
      <c r="F267" s="11">
        <v>2021</v>
      </c>
      <c r="G267" s="20">
        <f t="shared" si="28"/>
        <v>0</v>
      </c>
      <c r="H267" s="21">
        <v>0</v>
      </c>
      <c r="I267" s="21">
        <f>IFERROR(INDEX('Coding Sheet'!$AC$2:$AC$731,MATCH($B267&amp;"_"&amp;$F267,'Coding Sheet'!$A$2:$A$731,0)),"")</f>
        <v>50</v>
      </c>
      <c r="J267" s="7">
        <f>IFERROR(INDEX('Coding Sheet'!$AT$2:$AT$731,MATCH($B267&amp;"_"&amp;$F267,'Coding Sheet'!$A$2:$A$731,0)),"")</f>
        <v>0</v>
      </c>
      <c r="K267" s="21">
        <v>2190382819</v>
      </c>
      <c r="L267" s="21">
        <v>39</v>
      </c>
      <c r="M267" s="20">
        <f t="shared" si="29"/>
        <v>85424929.941</v>
      </c>
      <c r="N267" s="21">
        <v>95119950</v>
      </c>
      <c r="O267" s="21">
        <v>169406525</v>
      </c>
      <c r="P267" s="20">
        <v>1255338</v>
      </c>
      <c r="Q267" s="20">
        <f t="shared" si="30"/>
        <v>1.0657492675739615</v>
      </c>
      <c r="R267" s="20">
        <f t="shared" si="31"/>
        <v>18.947811857740298</v>
      </c>
      <c r="S267" s="20">
        <f t="shared" si="32"/>
        <v>0.5614892932843053</v>
      </c>
      <c r="T267" s="20">
        <f t="shared" si="33"/>
        <v>7.4102104390607153E-3</v>
      </c>
      <c r="U267" s="20">
        <f>IFERROR(IF(ISNUMBER(INDEX('Firm Master'!$E$2:$E$1000,MATCH($C267,'Firm Master'!$B$2:$B$1000,0))),INDEX('Firm Master'!$E$2:$E$1000,MATCH($C267,'Firm Master'!$B$2:$B$1000,0)),""),"")</f>
        <v>1950</v>
      </c>
      <c r="V267" s="21">
        <f t="shared" si="34"/>
        <v>71</v>
      </c>
      <c r="W267" s="21">
        <v>1</v>
      </c>
      <c r="X267" s="20" t="str">
        <f>IFERROR(INDEX('Firm Master'!$G$2:$G$1000,MATCH($C267,'Firm Master'!$B$2:$B$1000,0)),"")</f>
        <v>PricewaterhouseCoopers</v>
      </c>
    </row>
    <row r="268" spans="1:24" ht="15" customHeight="1" x14ac:dyDescent="0.3">
      <c r="A268" s="11">
        <v>267</v>
      </c>
      <c r="B268" s="11">
        <v>54</v>
      </c>
      <c r="C268" s="11" t="s">
        <v>977</v>
      </c>
      <c r="D268" s="11" t="s">
        <v>978</v>
      </c>
      <c r="E268" s="11" t="s">
        <v>806</v>
      </c>
      <c r="F268" s="11">
        <v>2022</v>
      </c>
      <c r="G268" s="20">
        <f t="shared" si="28"/>
        <v>0</v>
      </c>
      <c r="H268" s="21">
        <v>0</v>
      </c>
      <c r="I268" s="21">
        <f>IFERROR(INDEX('Coding Sheet'!$AC$2:$AC$731,MATCH($B268&amp;"_"&amp;$F268,'Coding Sheet'!$A$2:$A$731,0)),"")</f>
        <v>5</v>
      </c>
      <c r="J268" s="7">
        <f>IFERROR(INDEX('Coding Sheet'!$AT$2:$AT$731,MATCH($B268&amp;"_"&amp;$F268,'Coding Sheet'!$A$2:$A$731,0)),"")</f>
        <v>0</v>
      </c>
      <c r="K268" s="21">
        <v>2190382819</v>
      </c>
      <c r="L268" s="21">
        <v>69.3</v>
      </c>
      <c r="M268" s="20">
        <f t="shared" si="29"/>
        <v>151793529.35669997</v>
      </c>
      <c r="N268" s="21">
        <v>125681000</v>
      </c>
      <c r="O268" s="21">
        <v>215660000</v>
      </c>
      <c r="P268" s="20">
        <v>15651000</v>
      </c>
      <c r="Q268" s="20">
        <f t="shared" si="30"/>
        <v>1.2866295527993135</v>
      </c>
      <c r="R268" s="20">
        <f t="shared" si="31"/>
        <v>19.1892136514182</v>
      </c>
      <c r="S268" s="20">
        <f t="shared" si="32"/>
        <v>0.58277381062784017</v>
      </c>
      <c r="T268" s="20">
        <f t="shared" si="33"/>
        <v>7.2572567931002502E-2</v>
      </c>
      <c r="U268" s="20">
        <f>IFERROR(IF(ISNUMBER(INDEX('Firm Master'!$E$2:$E$1000,MATCH($C268,'Firm Master'!$B$2:$B$1000,0))),INDEX('Firm Master'!$E$2:$E$1000,MATCH($C268,'Firm Master'!$B$2:$B$1000,0)),""),"")</f>
        <v>1950</v>
      </c>
      <c r="V268" s="21">
        <f t="shared" si="34"/>
        <v>72</v>
      </c>
      <c r="W268" s="21">
        <v>1</v>
      </c>
      <c r="X268" s="20" t="str">
        <f>IFERROR(INDEX('Firm Master'!$G$2:$G$1000,MATCH($C268,'Firm Master'!$B$2:$B$1000,0)),"")</f>
        <v>PricewaterhouseCoopers</v>
      </c>
    </row>
    <row r="269" spans="1:24" ht="15" customHeight="1" x14ac:dyDescent="0.3">
      <c r="A269" s="11">
        <v>268</v>
      </c>
      <c r="B269" s="11">
        <v>54</v>
      </c>
      <c r="C269" s="11" t="s">
        <v>977</v>
      </c>
      <c r="D269" s="11" t="s">
        <v>978</v>
      </c>
      <c r="E269" s="11" t="s">
        <v>806</v>
      </c>
      <c r="F269" s="11">
        <v>2023</v>
      </c>
      <c r="G269" s="20">
        <f t="shared" si="28"/>
        <v>1</v>
      </c>
      <c r="H269" s="21">
        <v>0</v>
      </c>
      <c r="I269" s="21">
        <f>IFERROR(INDEX('Coding Sheet'!$AC$2:$AC$731,MATCH($B269&amp;"_"&amp;$F269,'Coding Sheet'!$A$2:$A$731,0)),"")</f>
        <v>10</v>
      </c>
      <c r="J269" s="7">
        <f>IFERROR(INDEX('Coding Sheet'!$AT$2:$AT$731,MATCH($B269&amp;"_"&amp;$F269,'Coding Sheet'!$A$2:$A$731,0)),"")</f>
        <v>6.666666666666667</v>
      </c>
      <c r="K269" s="21">
        <v>2190382819</v>
      </c>
      <c r="L269" s="21">
        <v>66</v>
      </c>
      <c r="M269" s="20">
        <f t="shared" si="29"/>
        <v>144565266.05399999</v>
      </c>
      <c r="N269" s="21">
        <v>185324000</v>
      </c>
      <c r="O269" s="21">
        <v>241748000</v>
      </c>
      <c r="P269" s="20">
        <v>-18168000</v>
      </c>
      <c r="Q269" s="20">
        <f t="shared" si="30"/>
        <v>1.3645997735410429</v>
      </c>
      <c r="R269" s="20">
        <f t="shared" si="31"/>
        <v>19.303406419254149</v>
      </c>
      <c r="S269" s="20">
        <f t="shared" si="32"/>
        <v>0.76659993050614694</v>
      </c>
      <c r="T269" s="20">
        <f t="shared" si="33"/>
        <v>-7.5152638284494602E-2</v>
      </c>
      <c r="U269" s="20">
        <f>IFERROR(IF(ISNUMBER(INDEX('Firm Master'!$E$2:$E$1000,MATCH($C269,'Firm Master'!$B$2:$B$1000,0))),INDEX('Firm Master'!$E$2:$E$1000,MATCH($C269,'Firm Master'!$B$2:$B$1000,0)),""),"")</f>
        <v>1950</v>
      </c>
      <c r="V269" s="21">
        <f t="shared" si="34"/>
        <v>73</v>
      </c>
      <c r="W269" s="21">
        <v>1</v>
      </c>
      <c r="X269" s="20" t="str">
        <f>IFERROR(INDEX('Firm Master'!$G$2:$G$1000,MATCH($C269,'Firm Master'!$B$2:$B$1000,0)),"")</f>
        <v>PricewaterhouseCoopers</v>
      </c>
    </row>
    <row r="270" spans="1:24" ht="15" customHeight="1" x14ac:dyDescent="0.3">
      <c r="A270" s="11">
        <v>269</v>
      </c>
      <c r="B270" s="11">
        <v>54</v>
      </c>
      <c r="C270" s="11" t="s">
        <v>977</v>
      </c>
      <c r="D270" s="11" t="s">
        <v>978</v>
      </c>
      <c r="E270" s="11" t="s">
        <v>806</v>
      </c>
      <c r="F270" s="11">
        <v>2024</v>
      </c>
      <c r="G270" s="20">
        <f t="shared" si="28"/>
        <v>1</v>
      </c>
      <c r="H270" s="21">
        <v>0</v>
      </c>
      <c r="I270" s="21">
        <f>IFERROR(INDEX('Coding Sheet'!$AC$2:$AC$731,MATCH($B270&amp;"_"&amp;$F270,'Coding Sheet'!$A$2:$A$731,0)),"")</f>
        <v>5</v>
      </c>
      <c r="J270" s="7">
        <f>IFERROR(INDEX('Coding Sheet'!$AT$2:$AT$731,MATCH($B270&amp;"_"&amp;$F270,'Coding Sheet'!$A$2:$A$731,0)),"")</f>
        <v>0</v>
      </c>
      <c r="K270" s="21">
        <v>2190382819</v>
      </c>
      <c r="L270" s="21">
        <v>70.25</v>
      </c>
      <c r="M270" s="20">
        <f t="shared" si="29"/>
        <v>153874393.03475001</v>
      </c>
      <c r="N270" s="21">
        <v>223969000</v>
      </c>
      <c r="O270" s="21">
        <v>226130000</v>
      </c>
      <c r="P270" s="20">
        <v>-54767000</v>
      </c>
      <c r="Q270" s="20">
        <f t="shared" si="30"/>
        <v>1.6709122762780257</v>
      </c>
      <c r="R270" s="20">
        <f t="shared" si="31"/>
        <v>19.236620613099177</v>
      </c>
      <c r="S270" s="20">
        <f t="shared" si="32"/>
        <v>0.99044355017025609</v>
      </c>
      <c r="T270" s="20">
        <f t="shared" si="33"/>
        <v>-0.24219254411179411</v>
      </c>
      <c r="U270" s="20">
        <f>IFERROR(IF(ISNUMBER(INDEX('Firm Master'!$E$2:$E$1000,MATCH($C270,'Firm Master'!$B$2:$B$1000,0))),INDEX('Firm Master'!$E$2:$E$1000,MATCH($C270,'Firm Master'!$B$2:$B$1000,0)),""),"")</f>
        <v>1950</v>
      </c>
      <c r="V270" s="21">
        <f t="shared" si="34"/>
        <v>74</v>
      </c>
      <c r="W270" s="21">
        <v>1</v>
      </c>
      <c r="X270" s="20" t="str">
        <f>IFERROR(INDEX('Firm Master'!$G$2:$G$1000,MATCH($C270,'Firm Master'!$B$2:$B$1000,0)),"")</f>
        <v>PricewaterhouseCoopers</v>
      </c>
    </row>
    <row r="271" spans="1:24" ht="15" customHeight="1" x14ac:dyDescent="0.3">
      <c r="A271" s="11">
        <v>270</v>
      </c>
      <c r="B271" s="11">
        <v>54</v>
      </c>
      <c r="C271" s="11" t="s">
        <v>977</v>
      </c>
      <c r="D271" s="11" t="s">
        <v>978</v>
      </c>
      <c r="E271" s="11" t="s">
        <v>806</v>
      </c>
      <c r="F271" s="11">
        <v>2025</v>
      </c>
      <c r="G271" s="20">
        <f t="shared" si="28"/>
        <v>1</v>
      </c>
      <c r="H271" s="21">
        <v>1</v>
      </c>
      <c r="I271" s="21">
        <f>IFERROR(INDEX('Coding Sheet'!$AC$2:$AC$731,MATCH($B271&amp;"_"&amp;$F271,'Coding Sheet'!$A$2:$A$731,0)),"")</f>
        <v>5</v>
      </c>
      <c r="J271" s="7">
        <f>IFERROR(INDEX('Coding Sheet'!$AT$2:$AT$731,MATCH($B271&amp;"_"&amp;$F271,'Coding Sheet'!$A$2:$A$731,0)),"")</f>
        <v>6.666666666666667</v>
      </c>
      <c r="K271" s="21">
        <v>2190382819</v>
      </c>
      <c r="L271" s="21">
        <v>349.87</v>
      </c>
      <c r="M271" s="20">
        <f t="shared" si="29"/>
        <v>766349236.88353002</v>
      </c>
      <c r="N271" s="21">
        <v>255145000</v>
      </c>
      <c r="O271" s="21">
        <v>273510000</v>
      </c>
      <c r="P271" s="20">
        <v>6885000</v>
      </c>
      <c r="Q271" s="20">
        <f t="shared" si="30"/>
        <v>3.7347601070656649</v>
      </c>
      <c r="R271" s="20">
        <f t="shared" si="31"/>
        <v>19.426848742229197</v>
      </c>
      <c r="S271" s="20">
        <f t="shared" si="32"/>
        <v>0.93285437461153153</v>
      </c>
      <c r="T271" s="20">
        <f t="shared" si="33"/>
        <v>2.5172754195459033E-2</v>
      </c>
      <c r="U271" s="20">
        <f>IFERROR(IF(ISNUMBER(INDEX('Firm Master'!$E$2:$E$1000,MATCH($C271,'Firm Master'!$B$2:$B$1000,0))),INDEX('Firm Master'!$E$2:$E$1000,MATCH($C271,'Firm Master'!$B$2:$B$1000,0)),""),"")</f>
        <v>1950</v>
      </c>
      <c r="V271" s="21">
        <f t="shared" si="34"/>
        <v>75</v>
      </c>
      <c r="W271" s="21">
        <v>1</v>
      </c>
      <c r="X271" s="20" t="str">
        <f>IFERROR(INDEX('Firm Master'!$G$2:$G$1000,MATCH($C271,'Firm Master'!$B$2:$B$1000,0)),"")</f>
        <v>PricewaterhouseCoopers</v>
      </c>
    </row>
    <row r="272" spans="1:24" ht="27.75" customHeight="1" x14ac:dyDescent="0.3">
      <c r="A272" s="11">
        <v>271</v>
      </c>
      <c r="B272" s="11">
        <v>55</v>
      </c>
      <c r="C272" s="11" t="s">
        <v>981</v>
      </c>
      <c r="D272" s="11" t="s">
        <v>982</v>
      </c>
      <c r="E272" s="11" t="s">
        <v>772</v>
      </c>
      <c r="F272" s="11">
        <v>2021</v>
      </c>
      <c r="G272" s="20">
        <f t="shared" si="28"/>
        <v>0</v>
      </c>
      <c r="H272" s="21">
        <v>0</v>
      </c>
      <c r="I272" s="21">
        <f>IFERROR(INDEX('Coding Sheet'!$AC$2:$AC$731,MATCH($B272&amp;"_"&amp;$F272,'Coding Sheet'!$A$2:$A$731,0)),"")</f>
        <v>20</v>
      </c>
      <c r="J272" s="7">
        <f>IFERROR(INDEX('Coding Sheet'!$AT$2:$AT$731,MATCH($B272&amp;"_"&amp;$F272,'Coding Sheet'!$A$2:$A$731,0)),"")</f>
        <v>26.666666666666668</v>
      </c>
      <c r="K272" s="21">
        <v>16108000000</v>
      </c>
      <c r="L272" s="21">
        <v>23.95</v>
      </c>
      <c r="M272" s="20">
        <f t="shared" si="29"/>
        <v>385786600</v>
      </c>
      <c r="N272" s="21">
        <v>148278000</v>
      </c>
      <c r="O272" s="21">
        <v>526838000</v>
      </c>
      <c r="P272" s="20">
        <v>51004000</v>
      </c>
      <c r="Q272" s="20">
        <f t="shared" si="30"/>
        <v>1.0137169300619926</v>
      </c>
      <c r="R272" s="20">
        <f t="shared" si="31"/>
        <v>20.082403658868948</v>
      </c>
      <c r="S272" s="20">
        <f t="shared" si="32"/>
        <v>0.28144894635542617</v>
      </c>
      <c r="T272" s="20">
        <f t="shared" si="33"/>
        <v>9.6811543586453525E-2</v>
      </c>
      <c r="U272" s="20">
        <f>IFERROR(IF(ISNUMBER(INDEX('Firm Master'!$E$2:$E$1000,MATCH($C272,'Firm Master'!$B$2:$B$1000,0))),INDEX('Firm Master'!$E$2:$E$1000,MATCH($C272,'Firm Master'!$B$2:$B$1000,0)),""),"")</f>
        <v>1959</v>
      </c>
      <c r="V272" s="21">
        <f t="shared" si="34"/>
        <v>62</v>
      </c>
      <c r="W272" s="21">
        <v>1</v>
      </c>
      <c r="X272" s="20" t="str">
        <f>IFERROR(INDEX('Firm Master'!$G$2:$G$1000,MATCH($C272,'Firm Master'!$B$2:$B$1000,0)),"")</f>
        <v>Ernst &amp; Young</v>
      </c>
    </row>
    <row r="273" spans="1:24" ht="27.75" customHeight="1" x14ac:dyDescent="0.3">
      <c r="A273" s="11">
        <v>272</v>
      </c>
      <c r="B273" s="11">
        <v>55</v>
      </c>
      <c r="C273" s="11" t="s">
        <v>981</v>
      </c>
      <c r="D273" s="11" t="s">
        <v>982</v>
      </c>
      <c r="E273" s="11" t="s">
        <v>772</v>
      </c>
      <c r="F273" s="11">
        <v>2022</v>
      </c>
      <c r="G273" s="20">
        <f t="shared" si="28"/>
        <v>0</v>
      </c>
      <c r="H273" s="21">
        <v>0</v>
      </c>
      <c r="I273" s="21">
        <f>IFERROR(INDEX('Coding Sheet'!$AC$2:$AC$731,MATCH($B273&amp;"_"&amp;$F273,'Coding Sheet'!$A$2:$A$731,0)),"")</f>
        <v>55.000000000000007</v>
      </c>
      <c r="J273" s="7">
        <f>IFERROR(INDEX('Coding Sheet'!$AT$2:$AT$731,MATCH($B273&amp;"_"&amp;$F273,'Coding Sheet'!$A$2:$A$731,0)),"")</f>
        <v>26.666666666666668</v>
      </c>
      <c r="K273" s="21">
        <v>16108000000</v>
      </c>
      <c r="L273" s="21">
        <v>24</v>
      </c>
      <c r="M273" s="20">
        <f t="shared" si="29"/>
        <v>386592000</v>
      </c>
      <c r="N273" s="21">
        <v>184609000</v>
      </c>
      <c r="O273" s="21">
        <v>600711000</v>
      </c>
      <c r="P273" s="20">
        <v>53647000</v>
      </c>
      <c r="Q273" s="20">
        <f t="shared" si="30"/>
        <v>0.95087487993394493</v>
      </c>
      <c r="R273" s="20">
        <f t="shared" si="31"/>
        <v>20.213624511622097</v>
      </c>
      <c r="S273" s="20">
        <f t="shared" si="32"/>
        <v>0.3073174954345767</v>
      </c>
      <c r="T273" s="20">
        <f t="shared" si="33"/>
        <v>8.9305839247158778E-2</v>
      </c>
      <c r="U273" s="20">
        <f>IFERROR(IF(ISNUMBER(INDEX('Firm Master'!$E$2:$E$1000,MATCH($C273,'Firm Master'!$B$2:$B$1000,0))),INDEX('Firm Master'!$E$2:$E$1000,MATCH($C273,'Firm Master'!$B$2:$B$1000,0)),""),"")</f>
        <v>1959</v>
      </c>
      <c r="V273" s="21">
        <f t="shared" si="34"/>
        <v>63</v>
      </c>
      <c r="W273" s="21">
        <v>1</v>
      </c>
      <c r="X273" s="20" t="str">
        <f>IFERROR(INDEX('Firm Master'!$G$2:$G$1000,MATCH($C273,'Firm Master'!$B$2:$B$1000,0)),"")</f>
        <v>Ernst &amp; Young</v>
      </c>
    </row>
    <row r="274" spans="1:24" ht="27.75" customHeight="1" x14ac:dyDescent="0.3">
      <c r="A274" s="11">
        <v>273</v>
      </c>
      <c r="B274" s="11">
        <v>55</v>
      </c>
      <c r="C274" s="11" t="s">
        <v>981</v>
      </c>
      <c r="D274" s="11" t="s">
        <v>982</v>
      </c>
      <c r="E274" s="11" t="s">
        <v>772</v>
      </c>
      <c r="F274" s="11">
        <v>2023</v>
      </c>
      <c r="G274" s="20">
        <f t="shared" si="28"/>
        <v>1</v>
      </c>
      <c r="H274" s="21">
        <v>0</v>
      </c>
      <c r="I274" s="21">
        <f>IFERROR(INDEX('Coding Sheet'!$AC$2:$AC$731,MATCH($B274&amp;"_"&amp;$F274,'Coding Sheet'!$A$2:$A$731,0)),"")</f>
        <v>65</v>
      </c>
      <c r="J274" s="7">
        <f>IFERROR(INDEX('Coding Sheet'!$AT$2:$AT$731,MATCH($B274&amp;"_"&amp;$F274,'Coding Sheet'!$A$2:$A$731,0)),"")</f>
        <v>53.333333333333336</v>
      </c>
      <c r="K274" s="21">
        <v>16108000000</v>
      </c>
      <c r="L274" s="21">
        <v>31.5</v>
      </c>
      <c r="M274" s="20">
        <f t="shared" si="29"/>
        <v>507402000</v>
      </c>
      <c r="N274" s="21">
        <v>246320000</v>
      </c>
      <c r="O274" s="21">
        <v>681372000</v>
      </c>
      <c r="P274" s="20">
        <v>51141000</v>
      </c>
      <c r="Q274" s="20">
        <f t="shared" si="30"/>
        <v>1.1061828193703294</v>
      </c>
      <c r="R274" s="20">
        <f t="shared" si="31"/>
        <v>20.339618970477165</v>
      </c>
      <c r="S274" s="20">
        <f t="shared" si="32"/>
        <v>0.3615059027961231</v>
      </c>
      <c r="T274" s="20">
        <f t="shared" si="33"/>
        <v>7.5055916591817692E-2</v>
      </c>
      <c r="U274" s="20">
        <f>IFERROR(IF(ISNUMBER(INDEX('Firm Master'!$E$2:$E$1000,MATCH($C274,'Firm Master'!$B$2:$B$1000,0))),INDEX('Firm Master'!$E$2:$E$1000,MATCH($C274,'Firm Master'!$B$2:$B$1000,0)),""),"")</f>
        <v>1959</v>
      </c>
      <c r="V274" s="21">
        <f t="shared" si="34"/>
        <v>64</v>
      </c>
      <c r="W274" s="21">
        <v>1</v>
      </c>
      <c r="X274" s="20" t="str">
        <f>IFERROR(INDEX('Firm Master'!$G$2:$G$1000,MATCH($C274,'Firm Master'!$B$2:$B$1000,0)),"")</f>
        <v>Ernst &amp; Young</v>
      </c>
    </row>
    <row r="275" spans="1:24" ht="27.75" customHeight="1" x14ac:dyDescent="0.3">
      <c r="A275" s="11">
        <v>274</v>
      </c>
      <c r="B275" s="11">
        <v>55</v>
      </c>
      <c r="C275" s="11" t="s">
        <v>981</v>
      </c>
      <c r="D275" s="11" t="s">
        <v>982</v>
      </c>
      <c r="E275" s="11" t="s">
        <v>772</v>
      </c>
      <c r="F275" s="11">
        <v>2024</v>
      </c>
      <c r="G275" s="20">
        <f t="shared" si="28"/>
        <v>1</v>
      </c>
      <c r="H275" s="21">
        <v>0</v>
      </c>
      <c r="I275" s="21">
        <v>46.666699999999999</v>
      </c>
      <c r="J275" s="7">
        <v>35.555599999999998</v>
      </c>
      <c r="K275" s="21">
        <v>16108000000</v>
      </c>
      <c r="L275" s="21">
        <v>70.150000000000006</v>
      </c>
      <c r="M275" s="20">
        <f t="shared" si="29"/>
        <v>1129976200</v>
      </c>
      <c r="N275" s="21">
        <v>485869000</v>
      </c>
      <c r="O275" s="21">
        <v>990510000</v>
      </c>
      <c r="P275" s="20">
        <v>100145000</v>
      </c>
      <c r="Q275" s="20">
        <f t="shared" si="30"/>
        <v>1.6313264883746756</v>
      </c>
      <c r="R275" s="20">
        <f t="shared" si="31"/>
        <v>20.713730519963072</v>
      </c>
      <c r="S275" s="20">
        <f t="shared" si="32"/>
        <v>0.49052407345710797</v>
      </c>
      <c r="T275" s="20">
        <f t="shared" si="33"/>
        <v>0.10110448152971702</v>
      </c>
      <c r="U275" s="20">
        <f>IFERROR(IF(ISNUMBER(INDEX('Firm Master'!$E$2:$E$1000,MATCH($C275,'Firm Master'!$B$2:$B$1000,0))),INDEX('Firm Master'!$E$2:$E$1000,MATCH($C275,'Firm Master'!$B$2:$B$1000,0)),""),"")</f>
        <v>1959</v>
      </c>
      <c r="V275" s="21">
        <f t="shared" si="34"/>
        <v>65</v>
      </c>
      <c r="W275" s="21">
        <v>1</v>
      </c>
      <c r="X275" s="20" t="str">
        <f>IFERROR(INDEX('Firm Master'!$G$2:$G$1000,MATCH($C275,'Firm Master'!$B$2:$B$1000,0)),"")</f>
        <v>Ernst &amp; Young</v>
      </c>
    </row>
    <row r="276" spans="1:24" ht="27.75" customHeight="1" x14ac:dyDescent="0.3">
      <c r="A276" s="11">
        <v>275</v>
      </c>
      <c r="B276" s="11">
        <v>55</v>
      </c>
      <c r="C276" s="11" t="s">
        <v>981</v>
      </c>
      <c r="D276" s="11" t="s">
        <v>982</v>
      </c>
      <c r="E276" s="11" t="s">
        <v>772</v>
      </c>
      <c r="F276" s="11">
        <v>2025</v>
      </c>
      <c r="G276" s="20">
        <f t="shared" si="28"/>
        <v>1</v>
      </c>
      <c r="H276" s="21">
        <v>0</v>
      </c>
      <c r="I276" s="21">
        <v>46.666699999999999</v>
      </c>
      <c r="J276" s="7">
        <v>35.555599999999998</v>
      </c>
      <c r="K276" s="21">
        <v>16108000000</v>
      </c>
      <c r="L276" s="21">
        <v>134.71</v>
      </c>
      <c r="M276" s="20">
        <f t="shared" si="29"/>
        <v>2169908680.0000005</v>
      </c>
      <c r="N276" s="21">
        <v>514029000</v>
      </c>
      <c r="O276" s="21">
        <v>1208024000</v>
      </c>
      <c r="P276" s="20">
        <v>273120000</v>
      </c>
      <c r="Q276" s="20">
        <f t="shared" si="30"/>
        <v>2.2217585743329606</v>
      </c>
      <c r="R276" s="20">
        <f t="shared" si="31"/>
        <v>20.912251803811348</v>
      </c>
      <c r="S276" s="20">
        <f t="shared" si="32"/>
        <v>0.42551224147864614</v>
      </c>
      <c r="T276" s="20">
        <f t="shared" si="33"/>
        <v>0.22608822341277987</v>
      </c>
      <c r="U276" s="20">
        <f>IFERROR(IF(ISNUMBER(INDEX('Firm Master'!$E$2:$E$1000,MATCH($C276,'Firm Master'!$B$2:$B$1000,0))),INDEX('Firm Master'!$E$2:$E$1000,MATCH($C276,'Firm Master'!$B$2:$B$1000,0)),""),"")</f>
        <v>1959</v>
      </c>
      <c r="V276" s="21">
        <f t="shared" si="34"/>
        <v>66</v>
      </c>
      <c r="W276" s="21">
        <v>1</v>
      </c>
      <c r="X276" s="20" t="str">
        <f>IFERROR(INDEX('Firm Master'!$G$2:$G$1000,MATCH($C276,'Firm Master'!$B$2:$B$1000,0)),"")</f>
        <v>Ernst &amp; Young</v>
      </c>
    </row>
    <row r="277" spans="1:24" ht="27.75" customHeight="1" x14ac:dyDescent="0.3">
      <c r="A277" s="16">
        <v>276</v>
      </c>
      <c r="B277" s="16">
        <v>56</v>
      </c>
      <c r="C277" s="16" t="s">
        <v>985</v>
      </c>
      <c r="D277" s="16" t="s">
        <v>986</v>
      </c>
      <c r="E277" s="16" t="s">
        <v>780</v>
      </c>
      <c r="F277" s="16">
        <v>2021</v>
      </c>
      <c r="G277" s="16">
        <f t="shared" si="28"/>
        <v>0</v>
      </c>
      <c r="H277" s="16">
        <v>0</v>
      </c>
      <c r="I277" s="16" t="str">
        <f>IFERROR(INDEX('Coding Sheet'!$AC$2:$AC$731,MATCH($B277&amp;"_"&amp;$F277,'Coding Sheet'!$A$2:$A$731,0)),"")</f>
        <v/>
      </c>
      <c r="J277" s="22" t="str">
        <f>IFERROR(INDEX('Coding Sheet'!$AT$2:$AT$731,MATCH($B277&amp;"_"&amp;$F277,'Coding Sheet'!$A$2:$A$731,0)),"")</f>
        <v/>
      </c>
      <c r="K277" s="16"/>
      <c r="L277" s="16"/>
      <c r="M277" s="16" t="str">
        <f t="shared" si="29"/>
        <v/>
      </c>
      <c r="N277" s="16"/>
      <c r="O277" s="16"/>
      <c r="P277" s="16"/>
      <c r="Q277" s="16" t="str">
        <f t="shared" si="30"/>
        <v/>
      </c>
      <c r="R277" s="16" t="str">
        <f t="shared" si="31"/>
        <v/>
      </c>
      <c r="S277" s="16" t="str">
        <f t="shared" si="32"/>
        <v/>
      </c>
      <c r="T277" s="16" t="str">
        <f t="shared" si="33"/>
        <v/>
      </c>
      <c r="U277" s="16">
        <f>IFERROR(IF(ISNUMBER(INDEX('Firm Master'!$E$2:$E$1000,MATCH($C277,'Firm Master'!$B$2:$B$1000,0))),INDEX('Firm Master'!$E$2:$E$1000,MATCH($C277,'Firm Master'!$B$2:$B$1000,0)),""),"")</f>
        <v>2012</v>
      </c>
      <c r="V277" s="16">
        <f t="shared" si="34"/>
        <v>9</v>
      </c>
      <c r="W277" s="16"/>
      <c r="X277" s="16" t="str">
        <f>IFERROR(INDEX('Firm Master'!$G$2:$G$1000,MATCH($C277,'Firm Master'!$B$2:$B$1000,0)),"")</f>
        <v>Funsho Owoyemi &amp; Co</v>
      </c>
    </row>
    <row r="278" spans="1:24" ht="27.75" customHeight="1" x14ac:dyDescent="0.3">
      <c r="A278" s="16">
        <v>277</v>
      </c>
      <c r="B278" s="16">
        <v>56</v>
      </c>
      <c r="C278" s="16" t="s">
        <v>985</v>
      </c>
      <c r="D278" s="16" t="s">
        <v>986</v>
      </c>
      <c r="E278" s="16" t="s">
        <v>780</v>
      </c>
      <c r="F278" s="16">
        <v>2022</v>
      </c>
      <c r="G278" s="16">
        <f t="shared" si="28"/>
        <v>0</v>
      </c>
      <c r="H278" s="16">
        <v>0</v>
      </c>
      <c r="I278" s="16" t="str">
        <f>IFERROR(INDEX('Coding Sheet'!$AC$2:$AC$731,MATCH($B278&amp;"_"&amp;$F278,'Coding Sheet'!$A$2:$A$731,0)),"")</f>
        <v/>
      </c>
      <c r="J278" s="22" t="str">
        <f>IFERROR(INDEX('Coding Sheet'!$AT$2:$AT$731,MATCH($B278&amp;"_"&amp;$F278,'Coding Sheet'!$A$2:$A$731,0)),"")</f>
        <v/>
      </c>
      <c r="K278" s="16"/>
      <c r="L278" s="16"/>
      <c r="M278" s="16" t="str">
        <f t="shared" si="29"/>
        <v/>
      </c>
      <c r="N278" s="16"/>
      <c r="O278" s="16"/>
      <c r="P278" s="16"/>
      <c r="Q278" s="16" t="str">
        <f t="shared" si="30"/>
        <v/>
      </c>
      <c r="R278" s="16" t="str">
        <f t="shared" si="31"/>
        <v/>
      </c>
      <c r="S278" s="16" t="str">
        <f t="shared" si="32"/>
        <v/>
      </c>
      <c r="T278" s="16" t="str">
        <f t="shared" si="33"/>
        <v/>
      </c>
      <c r="U278" s="16">
        <f>IFERROR(IF(ISNUMBER(INDEX('Firm Master'!$E$2:$E$1000,MATCH($C278,'Firm Master'!$B$2:$B$1000,0))),INDEX('Firm Master'!$E$2:$E$1000,MATCH($C278,'Firm Master'!$B$2:$B$1000,0)),""),"")</f>
        <v>2012</v>
      </c>
      <c r="V278" s="16">
        <f t="shared" si="34"/>
        <v>10</v>
      </c>
      <c r="W278" s="16"/>
      <c r="X278" s="16" t="str">
        <f>IFERROR(INDEX('Firm Master'!$G$2:$G$1000,MATCH($C278,'Firm Master'!$B$2:$B$1000,0)),"")</f>
        <v>Funsho Owoyemi &amp; Co</v>
      </c>
    </row>
    <row r="279" spans="1:24" ht="27.75" customHeight="1" x14ac:dyDescent="0.3">
      <c r="A279" s="16">
        <v>278</v>
      </c>
      <c r="B279" s="16">
        <v>56</v>
      </c>
      <c r="C279" s="16" t="s">
        <v>985</v>
      </c>
      <c r="D279" s="16" t="s">
        <v>986</v>
      </c>
      <c r="E279" s="16" t="s">
        <v>780</v>
      </c>
      <c r="F279" s="16">
        <v>2023</v>
      </c>
      <c r="G279" s="16">
        <f t="shared" si="28"/>
        <v>1</v>
      </c>
      <c r="H279" s="16">
        <v>0</v>
      </c>
      <c r="I279" s="16" t="str">
        <f>IFERROR(INDEX('Coding Sheet'!$AC$2:$AC$731,MATCH($B279&amp;"_"&amp;$F279,'Coding Sheet'!$A$2:$A$731,0)),"")</f>
        <v/>
      </c>
      <c r="J279" s="22" t="str">
        <f>IFERROR(INDEX('Coding Sheet'!$AT$2:$AT$731,MATCH($B279&amp;"_"&amp;$F279,'Coding Sheet'!$A$2:$A$731,0)),"")</f>
        <v/>
      </c>
      <c r="K279" s="16"/>
      <c r="L279" s="16"/>
      <c r="M279" s="16" t="str">
        <f t="shared" si="29"/>
        <v/>
      </c>
      <c r="N279" s="16"/>
      <c r="O279" s="16"/>
      <c r="P279" s="16"/>
      <c r="Q279" s="16" t="str">
        <f t="shared" si="30"/>
        <v/>
      </c>
      <c r="R279" s="16" t="str">
        <f t="shared" si="31"/>
        <v/>
      </c>
      <c r="S279" s="16" t="str">
        <f t="shared" si="32"/>
        <v/>
      </c>
      <c r="T279" s="16" t="str">
        <f t="shared" si="33"/>
        <v/>
      </c>
      <c r="U279" s="16">
        <f>IFERROR(IF(ISNUMBER(INDEX('Firm Master'!$E$2:$E$1000,MATCH($C279,'Firm Master'!$B$2:$B$1000,0))),INDEX('Firm Master'!$E$2:$E$1000,MATCH($C279,'Firm Master'!$B$2:$B$1000,0)),""),"")</f>
        <v>2012</v>
      </c>
      <c r="V279" s="16">
        <f t="shared" si="34"/>
        <v>11</v>
      </c>
      <c r="W279" s="16"/>
      <c r="X279" s="16" t="str">
        <f>IFERROR(INDEX('Firm Master'!$G$2:$G$1000,MATCH($C279,'Firm Master'!$B$2:$B$1000,0)),"")</f>
        <v>Funsho Owoyemi &amp; Co</v>
      </c>
    </row>
    <row r="280" spans="1:24" ht="27.75" customHeight="1" x14ac:dyDescent="0.3">
      <c r="A280" s="11">
        <v>279</v>
      </c>
      <c r="B280" s="11">
        <v>56</v>
      </c>
      <c r="C280" s="11" t="s">
        <v>985</v>
      </c>
      <c r="D280" s="11" t="s">
        <v>986</v>
      </c>
      <c r="E280" s="11" t="s">
        <v>780</v>
      </c>
      <c r="F280" s="11">
        <v>2024</v>
      </c>
      <c r="G280" s="20">
        <f t="shared" si="28"/>
        <v>1</v>
      </c>
      <c r="H280" s="21">
        <v>0</v>
      </c>
      <c r="I280" s="21">
        <f>IFERROR(INDEX('Coding Sheet'!$AC$2:$AC$731,MATCH($B280&amp;"_"&amp;$F280,'Coding Sheet'!$A$2:$A$731,0)),"")</f>
        <v>0</v>
      </c>
      <c r="J280" s="7">
        <f>IFERROR(INDEX('Coding Sheet'!$AT$2:$AT$731,MATCH($B280&amp;"_"&amp;$F280,'Coding Sheet'!$A$2:$A$731,0)),"")</f>
        <v>0</v>
      </c>
      <c r="K280" s="21">
        <v>3122000000</v>
      </c>
      <c r="L280" s="21">
        <v>4.78</v>
      </c>
      <c r="M280" s="20">
        <f t="shared" si="29"/>
        <v>14923160</v>
      </c>
      <c r="N280" s="21">
        <v>5338909</v>
      </c>
      <c r="O280" s="21">
        <v>21994814</v>
      </c>
      <c r="P280" s="20">
        <v>679625</v>
      </c>
      <c r="Q280" s="20">
        <f t="shared" si="30"/>
        <v>0.92122029311091247</v>
      </c>
      <c r="R280" s="20">
        <f t="shared" si="31"/>
        <v>16.906317256261822</v>
      </c>
      <c r="S280" s="20">
        <f t="shared" si="32"/>
        <v>0.2427349010544031</v>
      </c>
      <c r="T280" s="20">
        <f t="shared" si="33"/>
        <v>3.0899329269163178E-2</v>
      </c>
      <c r="U280" s="20">
        <f>IFERROR(IF(ISNUMBER(INDEX('Firm Master'!$E$2:$E$1000,MATCH($C280,'Firm Master'!$B$2:$B$1000,0))),INDEX('Firm Master'!$E$2:$E$1000,MATCH($C280,'Firm Master'!$B$2:$B$1000,0)),""),"")</f>
        <v>2012</v>
      </c>
      <c r="V280" s="21">
        <f t="shared" si="34"/>
        <v>12</v>
      </c>
      <c r="W280" s="21">
        <v>0</v>
      </c>
      <c r="X280" s="20" t="str">
        <f>IFERROR(INDEX('Firm Master'!$G$2:$G$1000,MATCH($C280,'Firm Master'!$B$2:$B$1000,0)),"")</f>
        <v>Funsho Owoyemi &amp; Co</v>
      </c>
    </row>
    <row r="281" spans="1:24" ht="27.75" customHeight="1" x14ac:dyDescent="0.3">
      <c r="A281" s="11">
        <v>280</v>
      </c>
      <c r="B281" s="11">
        <v>56</v>
      </c>
      <c r="C281" s="11" t="s">
        <v>985</v>
      </c>
      <c r="D281" s="11" t="s">
        <v>986</v>
      </c>
      <c r="E281" s="11" t="s">
        <v>780</v>
      </c>
      <c r="F281" s="11">
        <v>2025</v>
      </c>
      <c r="G281" s="20">
        <f t="shared" si="28"/>
        <v>1</v>
      </c>
      <c r="H281" s="21">
        <v>0</v>
      </c>
      <c r="I281" s="21">
        <f>IFERROR(INDEX('Coding Sheet'!$AC$2:$AC$731,MATCH($B281&amp;"_"&amp;$F281,'Coding Sheet'!$A$2:$A$731,0)),"")</f>
        <v>0</v>
      </c>
      <c r="J281" s="7">
        <f>IFERROR(INDEX('Coding Sheet'!$AT$2:$AT$731,MATCH($B281&amp;"_"&amp;$F281,'Coding Sheet'!$A$2:$A$731,0)),"")</f>
        <v>0</v>
      </c>
      <c r="K281" s="21">
        <v>3122000000</v>
      </c>
      <c r="L281" s="21">
        <v>4</v>
      </c>
      <c r="M281" s="20">
        <f t="shared" si="29"/>
        <v>12488000</v>
      </c>
      <c r="N281" s="21">
        <v>4680000</v>
      </c>
      <c r="O281" s="21">
        <v>21830000</v>
      </c>
      <c r="P281" s="20">
        <v>642461</v>
      </c>
      <c r="Q281" s="20">
        <f t="shared" si="30"/>
        <v>0.78644067796610173</v>
      </c>
      <c r="R281" s="20">
        <f t="shared" si="31"/>
        <v>16.898795728526128</v>
      </c>
      <c r="S281" s="20">
        <f t="shared" si="32"/>
        <v>0.21438387540082454</v>
      </c>
      <c r="T281" s="20">
        <f t="shared" si="33"/>
        <v>2.9430187814933579E-2</v>
      </c>
      <c r="U281" s="20">
        <f>IFERROR(IF(ISNUMBER(INDEX('Firm Master'!$E$2:$E$1000,MATCH($C281,'Firm Master'!$B$2:$B$1000,0))),INDEX('Firm Master'!$E$2:$E$1000,MATCH($C281,'Firm Master'!$B$2:$B$1000,0)),""),"")</f>
        <v>2012</v>
      </c>
      <c r="V281" s="21">
        <f t="shared" si="34"/>
        <v>13</v>
      </c>
      <c r="W281" s="21">
        <v>0</v>
      </c>
      <c r="X281" s="20" t="str">
        <f>IFERROR(INDEX('Firm Master'!$G$2:$G$1000,MATCH($C281,'Firm Master'!$B$2:$B$1000,0)),"")</f>
        <v>Funsho Owoyemi &amp; Co</v>
      </c>
    </row>
    <row r="282" spans="1:24" ht="15" customHeight="1" x14ac:dyDescent="0.3">
      <c r="A282" s="11">
        <v>281</v>
      </c>
      <c r="B282" s="11">
        <v>57</v>
      </c>
      <c r="C282" s="11" t="s">
        <v>990</v>
      </c>
      <c r="D282" s="11" t="s">
        <v>991</v>
      </c>
      <c r="E282" s="11" t="s">
        <v>806</v>
      </c>
      <c r="F282" s="11">
        <v>2021</v>
      </c>
      <c r="G282" s="20">
        <f t="shared" si="28"/>
        <v>0</v>
      </c>
      <c r="H282" s="21">
        <v>0</v>
      </c>
      <c r="I282" s="21">
        <f>IFERROR(INDEX('Coding Sheet'!$AC$2:$AC$731,MATCH($B282&amp;"_"&amp;$F282,'Coding Sheet'!$A$2:$A$731,0)),"")</f>
        <v>0</v>
      </c>
      <c r="J282" s="7">
        <f>IFERROR(INDEX('Coding Sheet'!$AT$2:$AT$731,MATCH($B282&amp;"_"&amp;$F282,'Coding Sheet'!$A$2:$A$731,0)),"")</f>
        <v>0</v>
      </c>
      <c r="K282" s="21">
        <v>7930198000</v>
      </c>
      <c r="L282" s="21">
        <v>3.4</v>
      </c>
      <c r="M282" s="20">
        <f t="shared" si="29"/>
        <v>26962673.199999999</v>
      </c>
      <c r="N282" s="21">
        <v>89425978</v>
      </c>
      <c r="O282" s="21">
        <v>147394656</v>
      </c>
      <c r="P282" s="20">
        <v>1125864</v>
      </c>
      <c r="Q282" s="20">
        <f t="shared" si="30"/>
        <v>0.78963955925240603</v>
      </c>
      <c r="R282" s="20">
        <f t="shared" si="31"/>
        <v>18.808624281974083</v>
      </c>
      <c r="S282" s="20">
        <f t="shared" si="32"/>
        <v>0.60671112798010807</v>
      </c>
      <c r="T282" s="20">
        <f t="shared" si="33"/>
        <v>7.6384316131515653E-3</v>
      </c>
      <c r="U282" s="20">
        <f>IFERROR(IF(ISNUMBER(INDEX('Firm Master'!$E$2:$E$1000,MATCH($C282,'Firm Master'!$B$2:$B$1000,0))),INDEX('Firm Master'!$E$2:$E$1000,MATCH($C282,'Firm Master'!$B$2:$B$1000,0)),""),"")</f>
        <v>1983</v>
      </c>
      <c r="V282" s="21">
        <f t="shared" si="34"/>
        <v>38</v>
      </c>
      <c r="W282" s="21">
        <v>0</v>
      </c>
      <c r="X282" s="20" t="str">
        <f>IFERROR(INDEX('Firm Master'!$G$2:$G$1000,MATCH($C282,'Firm Master'!$B$2:$B$1000,0)),"")</f>
        <v>Baker Tilly Nigeria (FY2021-2023); Ernst &amp; Young (FY2024-2025)</v>
      </c>
    </row>
    <row r="283" spans="1:24" ht="15" customHeight="1" x14ac:dyDescent="0.3">
      <c r="A283" s="11">
        <v>282</v>
      </c>
      <c r="B283" s="11">
        <v>57</v>
      </c>
      <c r="C283" s="11" t="s">
        <v>990</v>
      </c>
      <c r="D283" s="11" t="s">
        <v>991</v>
      </c>
      <c r="E283" s="11" t="s">
        <v>806</v>
      </c>
      <c r="F283" s="11">
        <v>2022</v>
      </c>
      <c r="G283" s="20">
        <f t="shared" si="28"/>
        <v>0</v>
      </c>
      <c r="H283" s="21">
        <v>0</v>
      </c>
      <c r="I283" s="21">
        <f>IFERROR(INDEX('Coding Sheet'!$AC$2:$AC$731,MATCH($B283&amp;"_"&amp;$F283,'Coding Sheet'!$A$2:$A$731,0)),"")</f>
        <v>0</v>
      </c>
      <c r="J283" s="7">
        <f>IFERROR(INDEX('Coding Sheet'!$AT$2:$AT$731,MATCH($B283&amp;"_"&amp;$F283,'Coding Sheet'!$A$2:$A$731,0)),"")</f>
        <v>0</v>
      </c>
      <c r="K283" s="21">
        <v>7930000000</v>
      </c>
      <c r="L283" s="21">
        <v>2.34</v>
      </c>
      <c r="M283" s="20">
        <f t="shared" si="29"/>
        <v>18556200</v>
      </c>
      <c r="N283" s="21">
        <v>103248000</v>
      </c>
      <c r="O283" s="21">
        <v>148696000</v>
      </c>
      <c r="P283" s="20">
        <v>-9758000</v>
      </c>
      <c r="Q283" s="20">
        <f t="shared" si="30"/>
        <v>0.81914913649324794</v>
      </c>
      <c r="R283" s="20">
        <f t="shared" si="31"/>
        <v>18.817414511270325</v>
      </c>
      <c r="S283" s="20">
        <f t="shared" si="32"/>
        <v>0.69435627051164794</v>
      </c>
      <c r="T283" s="20">
        <f t="shared" si="33"/>
        <v>-6.5623823102168188E-2</v>
      </c>
      <c r="U283" s="20">
        <f>IFERROR(IF(ISNUMBER(INDEX('Firm Master'!$E$2:$E$1000,MATCH($C283,'Firm Master'!$B$2:$B$1000,0))),INDEX('Firm Master'!$E$2:$E$1000,MATCH($C283,'Firm Master'!$B$2:$B$1000,0)),""),"")</f>
        <v>1983</v>
      </c>
      <c r="V283" s="21">
        <f t="shared" si="34"/>
        <v>39</v>
      </c>
      <c r="W283" s="21">
        <v>0</v>
      </c>
      <c r="X283" s="20" t="str">
        <f>IFERROR(INDEX('Firm Master'!$G$2:$G$1000,MATCH($C283,'Firm Master'!$B$2:$B$1000,0)),"")</f>
        <v>Baker Tilly Nigeria (FY2021-2023); Ernst &amp; Young (FY2024-2025)</v>
      </c>
    </row>
    <row r="284" spans="1:24" ht="15" customHeight="1" x14ac:dyDescent="0.3">
      <c r="A284" s="11">
        <v>283</v>
      </c>
      <c r="B284" s="11">
        <v>57</v>
      </c>
      <c r="C284" s="11" t="s">
        <v>990</v>
      </c>
      <c r="D284" s="11" t="s">
        <v>991</v>
      </c>
      <c r="E284" s="11" t="s">
        <v>806</v>
      </c>
      <c r="F284" s="11">
        <v>2023</v>
      </c>
      <c r="G284" s="20">
        <f t="shared" si="28"/>
        <v>1</v>
      </c>
      <c r="H284" s="21">
        <v>0</v>
      </c>
      <c r="I284" s="21">
        <f>IFERROR(INDEX('Coding Sheet'!$AC$2:$AC$731,MATCH($B284&amp;"_"&amp;$F284,'Coding Sheet'!$A$2:$A$731,0)),"")</f>
        <v>0</v>
      </c>
      <c r="J284" s="7">
        <f>IFERROR(INDEX('Coding Sheet'!$AT$2:$AT$731,MATCH($B284&amp;"_"&amp;$F284,'Coding Sheet'!$A$2:$A$731,0)),"")</f>
        <v>0</v>
      </c>
      <c r="K284" s="21">
        <v>7930000000</v>
      </c>
      <c r="L284" s="21">
        <v>3.32</v>
      </c>
      <c r="M284" s="20">
        <f t="shared" si="29"/>
        <v>26327600</v>
      </c>
      <c r="N284" s="21">
        <v>132024000</v>
      </c>
      <c r="O284" s="21">
        <v>165000000</v>
      </c>
      <c r="P284" s="20">
        <v>256110</v>
      </c>
      <c r="Q284" s="20">
        <f t="shared" si="30"/>
        <v>0.95970666666666671</v>
      </c>
      <c r="R284" s="20">
        <f t="shared" si="31"/>
        <v>18.921456031864853</v>
      </c>
      <c r="S284" s="20">
        <f t="shared" si="32"/>
        <v>0.80014545454545449</v>
      </c>
      <c r="T284" s="20">
        <f t="shared" si="33"/>
        <v>1.5521818181818182E-3</v>
      </c>
      <c r="U284" s="20">
        <f>IFERROR(IF(ISNUMBER(INDEX('Firm Master'!$E$2:$E$1000,MATCH($C284,'Firm Master'!$B$2:$B$1000,0))),INDEX('Firm Master'!$E$2:$E$1000,MATCH($C284,'Firm Master'!$B$2:$B$1000,0)),""),"")</f>
        <v>1983</v>
      </c>
      <c r="V284" s="21">
        <f t="shared" si="34"/>
        <v>40</v>
      </c>
      <c r="W284" s="21">
        <v>0</v>
      </c>
      <c r="X284" s="20" t="str">
        <f>IFERROR(INDEX('Firm Master'!$G$2:$G$1000,MATCH($C284,'Firm Master'!$B$2:$B$1000,0)),"")</f>
        <v>Baker Tilly Nigeria (FY2021-2023); Ernst &amp; Young (FY2024-2025)</v>
      </c>
    </row>
    <row r="285" spans="1:24" ht="15" customHeight="1" x14ac:dyDescent="0.3">
      <c r="A285" s="11">
        <v>284</v>
      </c>
      <c r="B285" s="11">
        <v>57</v>
      </c>
      <c r="C285" s="11" t="s">
        <v>990</v>
      </c>
      <c r="D285" s="11" t="s">
        <v>991</v>
      </c>
      <c r="E285" s="11" t="s">
        <v>806</v>
      </c>
      <c r="F285" s="11">
        <v>2024</v>
      </c>
      <c r="G285" s="20">
        <f t="shared" si="28"/>
        <v>1</v>
      </c>
      <c r="H285" s="21">
        <v>0</v>
      </c>
      <c r="I285" s="21">
        <f>IFERROR(INDEX('Coding Sheet'!$AC$2:$AC$731,MATCH($B285&amp;"_"&amp;$F285,'Coding Sheet'!$A$2:$A$731,0)),"")</f>
        <v>0</v>
      </c>
      <c r="J285" s="7">
        <f>IFERROR(INDEX('Coding Sheet'!$AT$2:$AT$731,MATCH($B285&amp;"_"&amp;$F285,'Coding Sheet'!$A$2:$A$731,0)),"")</f>
        <v>0</v>
      </c>
      <c r="K285" s="21">
        <v>7930000000</v>
      </c>
      <c r="L285" s="21">
        <v>6.3</v>
      </c>
      <c r="M285" s="20">
        <f t="shared" si="29"/>
        <v>49959000</v>
      </c>
      <c r="N285" s="21">
        <v>126109000</v>
      </c>
      <c r="O285" s="21">
        <v>148966000</v>
      </c>
      <c r="P285" s="20">
        <v>-10120000</v>
      </c>
      <c r="Q285" s="20">
        <f t="shared" si="30"/>
        <v>1.1819341326208666</v>
      </c>
      <c r="R285" s="20">
        <f t="shared" si="31"/>
        <v>18.819228649951445</v>
      </c>
      <c r="S285" s="20">
        <f t="shared" si="32"/>
        <v>0.84656230280735201</v>
      </c>
      <c r="T285" s="20">
        <f t="shared" si="33"/>
        <v>-6.7934965025576305E-2</v>
      </c>
      <c r="U285" s="20">
        <f>IFERROR(IF(ISNUMBER(INDEX('Firm Master'!$E$2:$E$1000,MATCH($C285,'Firm Master'!$B$2:$B$1000,0))),INDEX('Firm Master'!$E$2:$E$1000,MATCH($C285,'Firm Master'!$B$2:$B$1000,0)),""),"")</f>
        <v>1983</v>
      </c>
      <c r="V285" s="21">
        <f t="shared" si="34"/>
        <v>41</v>
      </c>
      <c r="W285" s="21">
        <v>1</v>
      </c>
      <c r="X285" s="20" t="str">
        <f>IFERROR(INDEX('Firm Master'!$G$2:$G$1000,MATCH($C285,'Firm Master'!$B$2:$B$1000,0)),"")</f>
        <v>Baker Tilly Nigeria (FY2021-2023); Ernst &amp; Young (FY2024-2025)</v>
      </c>
    </row>
    <row r="286" spans="1:24" ht="15" customHeight="1" x14ac:dyDescent="0.3">
      <c r="A286" s="11">
        <v>285</v>
      </c>
      <c r="B286" s="11">
        <v>57</v>
      </c>
      <c r="C286" s="11" t="s">
        <v>990</v>
      </c>
      <c r="D286" s="11" t="s">
        <v>991</v>
      </c>
      <c r="E286" s="11" t="s">
        <v>806</v>
      </c>
      <c r="F286" s="11">
        <v>2025</v>
      </c>
      <c r="G286" s="20">
        <f t="shared" si="28"/>
        <v>1</v>
      </c>
      <c r="H286" s="21">
        <v>0</v>
      </c>
      <c r="I286" s="21">
        <f>IFERROR(INDEX('Coding Sheet'!$AC$2:$AC$731,MATCH($B286&amp;"_"&amp;$F286,'Coding Sheet'!$A$2:$A$731,0)),"")</f>
        <v>0</v>
      </c>
      <c r="J286" s="7">
        <f>IFERROR(INDEX('Coding Sheet'!$AT$2:$AT$731,MATCH($B286&amp;"_"&amp;$F286,'Coding Sheet'!$A$2:$A$731,0)),"")</f>
        <v>0</v>
      </c>
      <c r="K286" s="21">
        <v>7930000000</v>
      </c>
      <c r="L286" s="21">
        <v>21.9</v>
      </c>
      <c r="M286" s="20">
        <f t="shared" si="29"/>
        <v>173667000</v>
      </c>
      <c r="N286" s="21">
        <v>130001000</v>
      </c>
      <c r="O286" s="21">
        <v>167446000</v>
      </c>
      <c r="P286" s="20">
        <v>14589000</v>
      </c>
      <c r="Q286" s="20">
        <f t="shared" si="30"/>
        <v>1.8135279433369564</v>
      </c>
      <c r="R286" s="20">
        <f t="shared" si="31"/>
        <v>18.936171469191493</v>
      </c>
      <c r="S286" s="20">
        <f t="shared" si="32"/>
        <v>0.77637566737933428</v>
      </c>
      <c r="T286" s="20">
        <f t="shared" si="33"/>
        <v>8.7126596036931306E-2</v>
      </c>
      <c r="U286" s="20">
        <f>IFERROR(IF(ISNUMBER(INDEX('Firm Master'!$E$2:$E$1000,MATCH($C286,'Firm Master'!$B$2:$B$1000,0))),INDEX('Firm Master'!$E$2:$E$1000,MATCH($C286,'Firm Master'!$B$2:$B$1000,0)),""),"")</f>
        <v>1983</v>
      </c>
      <c r="V286" s="21">
        <f t="shared" si="34"/>
        <v>42</v>
      </c>
      <c r="W286" s="21">
        <v>1</v>
      </c>
      <c r="X286" s="20" t="str">
        <f>IFERROR(INDEX('Firm Master'!$G$2:$G$1000,MATCH($C286,'Firm Master'!$B$2:$B$1000,0)),"")</f>
        <v>Baker Tilly Nigeria (FY2021-2023); Ernst &amp; Young (FY2024-2025)</v>
      </c>
    </row>
    <row r="287" spans="1:24" ht="15" customHeight="1" x14ac:dyDescent="0.3">
      <c r="A287" s="11">
        <v>286</v>
      </c>
      <c r="B287" s="11">
        <v>58</v>
      </c>
      <c r="C287" s="11" t="s">
        <v>995</v>
      </c>
      <c r="D287" s="11" t="s">
        <v>996</v>
      </c>
      <c r="E287" s="11" t="s">
        <v>715</v>
      </c>
      <c r="F287" s="11">
        <v>2021</v>
      </c>
      <c r="G287" s="20">
        <f t="shared" si="28"/>
        <v>0</v>
      </c>
      <c r="H287" s="21">
        <v>0</v>
      </c>
      <c r="I287" s="21">
        <f>IFERROR(INDEX('Coding Sheet'!$AC$2:$AC$731,MATCH($B287&amp;"_"&amp;$F287,'Coding Sheet'!$A$2:$A$731,0)),"")</f>
        <v>0</v>
      </c>
      <c r="J287" s="7">
        <f>IFERROR(INDEX('Coding Sheet'!$AT$2:$AT$731,MATCH($B287&amp;"_"&amp;$F287,'Coding Sheet'!$A$2:$A$731,0)),"")</f>
        <v>0</v>
      </c>
      <c r="K287" s="21">
        <v>2079000000</v>
      </c>
      <c r="L287" s="21">
        <v>1.22</v>
      </c>
      <c r="M287" s="20">
        <f t="shared" si="29"/>
        <v>2536380</v>
      </c>
      <c r="N287" s="21">
        <v>23086000</v>
      </c>
      <c r="O287" s="21">
        <v>43848000</v>
      </c>
      <c r="P287" s="20">
        <v>17750</v>
      </c>
      <c r="Q287" s="20">
        <f t="shared" si="30"/>
        <v>0.58434546615581096</v>
      </c>
      <c r="R287" s="20">
        <f t="shared" si="31"/>
        <v>17.59623966570809</v>
      </c>
      <c r="S287" s="20">
        <f t="shared" si="32"/>
        <v>0.52650063856960405</v>
      </c>
      <c r="T287" s="20">
        <f t="shared" si="33"/>
        <v>4.048075168764824E-4</v>
      </c>
      <c r="U287" s="20">
        <f>IFERROR(IF(ISNUMBER(INDEX('Firm Master'!$E$2:$E$1000,MATCH($C287,'Firm Master'!$B$2:$B$1000,0))),INDEX('Firm Master'!$E$2:$E$1000,MATCH($C287,'Firm Master'!$B$2:$B$1000,0)),""),"")</f>
        <v>1972</v>
      </c>
      <c r="V287" s="21">
        <f t="shared" si="34"/>
        <v>49</v>
      </c>
      <c r="W287" s="21">
        <v>0</v>
      </c>
      <c r="X287" s="20" t="str">
        <f>IFERROR(INDEX('Firm Master'!$G$2:$G$1000,MATCH($C287,'Firm Master'!$B$2:$B$1000,0)),"")</f>
        <v>Ugochukwu, Ike &amp; Co / Ahmed Zakari &amp; Co (Joint Auditors)</v>
      </c>
    </row>
    <row r="288" spans="1:24" ht="15" customHeight="1" x14ac:dyDescent="0.3">
      <c r="A288" s="11">
        <v>287</v>
      </c>
      <c r="B288" s="11">
        <v>58</v>
      </c>
      <c r="C288" s="11" t="s">
        <v>995</v>
      </c>
      <c r="D288" s="11" t="s">
        <v>996</v>
      </c>
      <c r="E288" s="11" t="s">
        <v>715</v>
      </c>
      <c r="F288" s="11">
        <v>2022</v>
      </c>
      <c r="G288" s="20">
        <f t="shared" si="28"/>
        <v>0</v>
      </c>
      <c r="H288" s="21">
        <v>0</v>
      </c>
      <c r="I288" s="21">
        <f>IFERROR(INDEX('Coding Sheet'!$AC$2:$AC$731,MATCH($B288&amp;"_"&amp;$F288,'Coding Sheet'!$A$2:$A$731,0)),"")</f>
        <v>0</v>
      </c>
      <c r="J288" s="7">
        <f>IFERROR(INDEX('Coding Sheet'!$AT$2:$AT$731,MATCH($B288&amp;"_"&amp;$F288,'Coding Sheet'!$A$2:$A$731,0)),"")</f>
        <v>0</v>
      </c>
      <c r="K288" s="21">
        <v>2079000000</v>
      </c>
      <c r="L288" s="21">
        <v>1.05</v>
      </c>
      <c r="M288" s="20">
        <f t="shared" si="29"/>
        <v>2182950</v>
      </c>
      <c r="N288" s="21">
        <v>22081000</v>
      </c>
      <c r="O288" s="21">
        <v>29864000</v>
      </c>
      <c r="P288" s="20">
        <v>-3954000</v>
      </c>
      <c r="Q288" s="20">
        <f t="shared" si="30"/>
        <v>0.81248158317706942</v>
      </c>
      <c r="R288" s="20">
        <f t="shared" si="31"/>
        <v>17.212164299576557</v>
      </c>
      <c r="S288" s="20">
        <f t="shared" si="32"/>
        <v>0.73938521296544335</v>
      </c>
      <c r="T288" s="20">
        <f t="shared" si="33"/>
        <v>-0.13240021430484863</v>
      </c>
      <c r="U288" s="20">
        <f>IFERROR(IF(ISNUMBER(INDEX('Firm Master'!$E$2:$E$1000,MATCH($C288,'Firm Master'!$B$2:$B$1000,0))),INDEX('Firm Master'!$E$2:$E$1000,MATCH($C288,'Firm Master'!$B$2:$B$1000,0)),""),"")</f>
        <v>1972</v>
      </c>
      <c r="V288" s="21">
        <f t="shared" si="34"/>
        <v>50</v>
      </c>
      <c r="W288" s="21">
        <v>0</v>
      </c>
      <c r="X288" s="20" t="str">
        <f>IFERROR(INDEX('Firm Master'!$G$2:$G$1000,MATCH($C288,'Firm Master'!$B$2:$B$1000,0)),"")</f>
        <v>Ugochukwu, Ike &amp; Co / Ahmed Zakari &amp; Co (Joint Auditors)</v>
      </c>
    </row>
    <row r="289" spans="1:24" ht="15" customHeight="1" x14ac:dyDescent="0.3">
      <c r="A289" s="11">
        <v>288</v>
      </c>
      <c r="B289" s="11">
        <v>58</v>
      </c>
      <c r="C289" s="11" t="s">
        <v>995</v>
      </c>
      <c r="D289" s="11" t="s">
        <v>996</v>
      </c>
      <c r="E289" s="11" t="s">
        <v>715</v>
      </c>
      <c r="F289" s="11">
        <v>2023</v>
      </c>
      <c r="G289" s="20">
        <f t="shared" si="28"/>
        <v>1</v>
      </c>
      <c r="H289" s="21">
        <v>0</v>
      </c>
      <c r="I289" s="21">
        <f>IFERROR(INDEX('Coding Sheet'!$AC$2:$AC$731,MATCH($B289&amp;"_"&amp;$F289,'Coding Sheet'!$A$2:$A$731,0)),"")</f>
        <v>0</v>
      </c>
      <c r="J289" s="7">
        <f>IFERROR(INDEX('Coding Sheet'!$AT$2:$AT$731,MATCH($B289&amp;"_"&amp;$F289,'Coding Sheet'!$A$2:$A$731,0)),"")</f>
        <v>0</v>
      </c>
      <c r="K289" s="21">
        <v>2162000000</v>
      </c>
      <c r="L289" s="21">
        <v>7.69</v>
      </c>
      <c r="M289" s="20">
        <f t="shared" si="29"/>
        <v>16625780</v>
      </c>
      <c r="N289" s="21">
        <v>36174000</v>
      </c>
      <c r="O289" s="21">
        <v>59760000</v>
      </c>
      <c r="P289" s="20">
        <v>2003000</v>
      </c>
      <c r="Q289" s="20">
        <f t="shared" si="30"/>
        <v>0.88353045515394912</v>
      </c>
      <c r="R289" s="20">
        <f t="shared" si="31"/>
        <v>17.905847098788836</v>
      </c>
      <c r="S289" s="20">
        <f t="shared" si="32"/>
        <v>0.60532128514056227</v>
      </c>
      <c r="T289" s="20">
        <f t="shared" si="33"/>
        <v>3.3517402945113788E-2</v>
      </c>
      <c r="U289" s="20">
        <f>IFERROR(IF(ISNUMBER(INDEX('Firm Master'!$E$2:$E$1000,MATCH($C289,'Firm Master'!$B$2:$B$1000,0))),INDEX('Firm Master'!$E$2:$E$1000,MATCH($C289,'Firm Master'!$B$2:$B$1000,0)),""),"")</f>
        <v>1972</v>
      </c>
      <c r="V289" s="21">
        <f t="shared" si="34"/>
        <v>51</v>
      </c>
      <c r="W289" s="21">
        <v>0</v>
      </c>
      <c r="X289" s="20" t="str">
        <f>IFERROR(INDEX('Firm Master'!$G$2:$G$1000,MATCH($C289,'Firm Master'!$B$2:$B$1000,0)),"")</f>
        <v>Ugochukwu, Ike &amp; Co / Ahmed Zakari &amp; Co (Joint Auditors)</v>
      </c>
    </row>
    <row r="290" spans="1:24" ht="15" customHeight="1" x14ac:dyDescent="0.3">
      <c r="A290" s="11">
        <v>289</v>
      </c>
      <c r="B290" s="11">
        <v>58</v>
      </c>
      <c r="C290" s="11" t="s">
        <v>995</v>
      </c>
      <c r="D290" s="11" t="s">
        <v>996</v>
      </c>
      <c r="E290" s="11" t="s">
        <v>715</v>
      </c>
      <c r="F290" s="11">
        <v>2024</v>
      </c>
      <c r="G290" s="20">
        <f t="shared" si="28"/>
        <v>1</v>
      </c>
      <c r="H290" s="21">
        <v>0</v>
      </c>
      <c r="I290" s="21">
        <f>IFERROR(INDEX('Coding Sheet'!$AC$2:$AC$731,MATCH($B290&amp;"_"&amp;$F290,'Coding Sheet'!$A$2:$A$731,0)),"")</f>
        <v>0</v>
      </c>
      <c r="J290" s="7">
        <f>IFERROR(INDEX('Coding Sheet'!$AT$2:$AT$731,MATCH($B290&amp;"_"&amp;$F290,'Coding Sheet'!$A$2:$A$731,0)),"")</f>
        <v>0</v>
      </c>
      <c r="K290" s="21">
        <v>2162000000</v>
      </c>
      <c r="L290" s="21">
        <v>11.25</v>
      </c>
      <c r="M290" s="20">
        <f t="shared" si="29"/>
        <v>24322500</v>
      </c>
      <c r="N290" s="21">
        <v>53116000</v>
      </c>
      <c r="O290" s="21">
        <v>83671000</v>
      </c>
      <c r="P290" s="20">
        <v>7088000</v>
      </c>
      <c r="Q290" s="20">
        <f t="shared" si="30"/>
        <v>0.92551182608072091</v>
      </c>
      <c r="R290" s="20">
        <f t="shared" si="31"/>
        <v>18.242402999915431</v>
      </c>
      <c r="S290" s="20">
        <f t="shared" si="32"/>
        <v>0.63481971053292063</v>
      </c>
      <c r="T290" s="20">
        <f t="shared" si="33"/>
        <v>8.4712743961468134E-2</v>
      </c>
      <c r="U290" s="20">
        <f>IFERROR(IF(ISNUMBER(INDEX('Firm Master'!$E$2:$E$1000,MATCH($C290,'Firm Master'!$B$2:$B$1000,0))),INDEX('Firm Master'!$E$2:$E$1000,MATCH($C290,'Firm Master'!$B$2:$B$1000,0)),""),"")</f>
        <v>1972</v>
      </c>
      <c r="V290" s="21">
        <f t="shared" si="34"/>
        <v>52</v>
      </c>
      <c r="W290" s="21">
        <v>0</v>
      </c>
      <c r="X290" s="20" t="str">
        <f>IFERROR(INDEX('Firm Master'!$G$2:$G$1000,MATCH($C290,'Firm Master'!$B$2:$B$1000,0)),"")</f>
        <v>Ugochukwu, Ike &amp; Co / Ahmed Zakari &amp; Co (Joint Auditors)</v>
      </c>
    </row>
    <row r="291" spans="1:24" ht="15" customHeight="1" x14ac:dyDescent="0.3">
      <c r="A291" s="11">
        <v>290</v>
      </c>
      <c r="B291" s="11">
        <v>58</v>
      </c>
      <c r="C291" s="11" t="s">
        <v>995</v>
      </c>
      <c r="D291" s="11" t="s">
        <v>996</v>
      </c>
      <c r="E291" s="11" t="s">
        <v>715</v>
      </c>
      <c r="F291" s="11">
        <v>2025</v>
      </c>
      <c r="G291" s="20">
        <f t="shared" si="28"/>
        <v>1</v>
      </c>
      <c r="H291" s="21">
        <v>0</v>
      </c>
      <c r="I291" s="21">
        <f>IFERROR(INDEX('Coding Sheet'!$AC$2:$AC$731,MATCH($B291&amp;"_"&amp;$F291,'Coding Sheet'!$A$2:$A$731,0)),"")</f>
        <v>0</v>
      </c>
      <c r="J291" s="7">
        <f>IFERROR(INDEX('Coding Sheet'!$AT$2:$AT$731,MATCH($B291&amp;"_"&amp;$F291,'Coding Sheet'!$A$2:$A$731,0)),"")</f>
        <v>0</v>
      </c>
      <c r="K291" s="21">
        <v>2162000000</v>
      </c>
      <c r="L291" s="21">
        <v>41.91</v>
      </c>
      <c r="M291" s="20">
        <f t="shared" si="29"/>
        <v>90609420</v>
      </c>
      <c r="N291" s="21">
        <v>33199000</v>
      </c>
      <c r="O291" s="21">
        <v>77438000</v>
      </c>
      <c r="P291" s="20">
        <v>13777000</v>
      </c>
      <c r="Q291" s="20">
        <f t="shared" si="30"/>
        <v>1.5988070456365091</v>
      </c>
      <c r="R291" s="20">
        <f t="shared" si="31"/>
        <v>18.164988174152807</v>
      </c>
      <c r="S291" s="20">
        <f t="shared" si="32"/>
        <v>0.42871716728221287</v>
      </c>
      <c r="T291" s="20">
        <f t="shared" si="33"/>
        <v>0.17791006999147704</v>
      </c>
      <c r="U291" s="20">
        <f>IFERROR(IF(ISNUMBER(INDEX('Firm Master'!$E$2:$E$1000,MATCH($C291,'Firm Master'!$B$2:$B$1000,0))),INDEX('Firm Master'!$E$2:$E$1000,MATCH($C291,'Firm Master'!$B$2:$B$1000,0)),""),"")</f>
        <v>1972</v>
      </c>
      <c r="V291" s="21">
        <f t="shared" si="34"/>
        <v>53</v>
      </c>
      <c r="W291" s="21">
        <v>0</v>
      </c>
      <c r="X291" s="20" t="str">
        <f>IFERROR(INDEX('Firm Master'!$G$2:$G$1000,MATCH($C291,'Firm Master'!$B$2:$B$1000,0)),"")</f>
        <v>Ugochukwu, Ike &amp; Co / Ahmed Zakari &amp; Co (Joint Auditors)</v>
      </c>
    </row>
    <row r="292" spans="1:24" ht="41.25" customHeight="1" x14ac:dyDescent="0.3">
      <c r="A292" s="11">
        <v>291</v>
      </c>
      <c r="B292" s="11">
        <v>59</v>
      </c>
      <c r="C292" s="11" t="s">
        <v>1000</v>
      </c>
      <c r="D292" s="31" t="s">
        <v>1001</v>
      </c>
      <c r="E292" s="11" t="s">
        <v>758</v>
      </c>
      <c r="F292" s="11">
        <v>2021</v>
      </c>
      <c r="G292" s="20">
        <f t="shared" si="28"/>
        <v>0</v>
      </c>
      <c r="H292" s="21">
        <v>0</v>
      </c>
      <c r="I292" s="21">
        <f>IFERROR(INDEX('Coding Sheet'!$AC$2:$AC$731,MATCH($B292&amp;"_"&amp;$F292,'Coding Sheet'!$A$2:$A$731,0)),"")</f>
        <v>0</v>
      </c>
      <c r="J292" s="7">
        <f>IFERROR(INDEX('Coding Sheet'!$AT$2:$AT$731,MATCH($B292&amp;"_"&amp;$F292,'Coding Sheet'!$A$2:$A$731,0)),"")</f>
        <v>0</v>
      </c>
      <c r="K292" s="21">
        <v>549440000</v>
      </c>
      <c r="L292" s="21">
        <v>7.15</v>
      </c>
      <c r="M292" s="20">
        <f t="shared" si="29"/>
        <v>3928496</v>
      </c>
      <c r="N292" s="21">
        <v>2543000</v>
      </c>
      <c r="O292" s="21">
        <v>5596000</v>
      </c>
      <c r="P292" s="20">
        <v>372020</v>
      </c>
      <c r="Q292" s="20">
        <f t="shared" si="30"/>
        <v>1.1564503216583273</v>
      </c>
      <c r="R292" s="20">
        <f t="shared" si="31"/>
        <v>15.537562614767509</v>
      </c>
      <c r="S292" s="20">
        <f t="shared" si="32"/>
        <v>0.45443173695496786</v>
      </c>
      <c r="T292" s="20">
        <f t="shared" si="33"/>
        <v>6.6479628305932806E-2</v>
      </c>
      <c r="U292" s="20">
        <f>IFERROR(IF(ISNUMBER(INDEX('Firm Master'!$E$2:$E$1000,MATCH($C292,'Firm Master'!$B$2:$B$1000,0))),INDEX('Firm Master'!$E$2:$E$1000,MATCH($C292,'Firm Master'!$B$2:$B$1000,0)),""),"")</f>
        <v>1959</v>
      </c>
      <c r="V292" s="21">
        <f t="shared" si="34"/>
        <v>62</v>
      </c>
      <c r="W292" s="21">
        <v>1</v>
      </c>
      <c r="X292" s="20" t="str">
        <f>IFERROR(INDEX('Firm Master'!$G$2:$G$1000,MATCH($C292,'Firm Master'!$B$2:$B$1000,0)),"")</f>
        <v>Ernst &amp; Young</v>
      </c>
    </row>
    <row r="293" spans="1:24" ht="41.25" customHeight="1" x14ac:dyDescent="0.3">
      <c r="A293" s="11">
        <v>292</v>
      </c>
      <c r="B293" s="11">
        <v>59</v>
      </c>
      <c r="C293" s="11" t="s">
        <v>1000</v>
      </c>
      <c r="D293" s="31" t="s">
        <v>1001</v>
      </c>
      <c r="E293" s="11" t="s">
        <v>758</v>
      </c>
      <c r="F293" s="11">
        <v>2022</v>
      </c>
      <c r="G293" s="20">
        <f t="shared" si="28"/>
        <v>0</v>
      </c>
      <c r="H293" s="21">
        <v>0</v>
      </c>
      <c r="I293" s="21">
        <f>IFERROR(INDEX('Coding Sheet'!$AC$2:$AC$731,MATCH($B293&amp;"_"&amp;$F293,'Coding Sheet'!$A$2:$A$731,0)),"")</f>
        <v>0</v>
      </c>
      <c r="J293" s="7">
        <f>IFERROR(INDEX('Coding Sheet'!$AT$2:$AT$731,MATCH($B293&amp;"_"&amp;$F293,'Coding Sheet'!$A$2:$A$731,0)),"")</f>
        <v>0</v>
      </c>
      <c r="K293" s="21">
        <v>549440000</v>
      </c>
      <c r="L293" s="21">
        <v>6.74</v>
      </c>
      <c r="M293" s="20">
        <f t="shared" si="29"/>
        <v>3703225.6</v>
      </c>
      <c r="N293" s="21">
        <v>3282000</v>
      </c>
      <c r="O293" s="21">
        <v>6784000</v>
      </c>
      <c r="P293" s="20">
        <v>448340</v>
      </c>
      <c r="Q293" s="20">
        <f t="shared" si="30"/>
        <v>1.0296617924528302</v>
      </c>
      <c r="R293" s="20">
        <f t="shared" si="31"/>
        <v>15.730077456453875</v>
      </c>
      <c r="S293" s="20">
        <f t="shared" si="32"/>
        <v>0.48378537735849059</v>
      </c>
      <c r="T293" s="20">
        <f t="shared" si="33"/>
        <v>6.6087853773584906E-2</v>
      </c>
      <c r="U293" s="20">
        <f>IFERROR(IF(ISNUMBER(INDEX('Firm Master'!$E$2:$E$1000,MATCH($C293,'Firm Master'!$B$2:$B$1000,0))),INDEX('Firm Master'!$E$2:$E$1000,MATCH($C293,'Firm Master'!$B$2:$B$1000,0)),""),"")</f>
        <v>1959</v>
      </c>
      <c r="V293" s="21">
        <f t="shared" si="34"/>
        <v>63</v>
      </c>
      <c r="W293" s="21">
        <v>1</v>
      </c>
      <c r="X293" s="20" t="str">
        <f>IFERROR(INDEX('Firm Master'!$G$2:$G$1000,MATCH($C293,'Firm Master'!$B$2:$B$1000,0)),"")</f>
        <v>Ernst &amp; Young</v>
      </c>
    </row>
    <row r="294" spans="1:24" ht="41.25" customHeight="1" x14ac:dyDescent="0.3">
      <c r="A294" s="11">
        <v>293</v>
      </c>
      <c r="B294" s="11">
        <v>59</v>
      </c>
      <c r="C294" s="11" t="s">
        <v>1000</v>
      </c>
      <c r="D294" s="31" t="s">
        <v>1001</v>
      </c>
      <c r="E294" s="11" t="s">
        <v>758</v>
      </c>
      <c r="F294" s="11">
        <v>2023</v>
      </c>
      <c r="G294" s="20">
        <f t="shared" si="28"/>
        <v>1</v>
      </c>
      <c r="H294" s="21">
        <v>0</v>
      </c>
      <c r="I294" s="21">
        <f>IFERROR(INDEX('Coding Sheet'!$AC$2:$AC$731,MATCH($B294&amp;"_"&amp;$F294,'Coding Sheet'!$A$2:$A$731,0)),"")</f>
        <v>0</v>
      </c>
      <c r="J294" s="7">
        <f>IFERROR(INDEX('Coding Sheet'!$AT$2:$AT$731,MATCH($B294&amp;"_"&amp;$F294,'Coding Sheet'!$A$2:$A$731,0)),"")</f>
        <v>0</v>
      </c>
      <c r="K294" s="21">
        <v>549440000</v>
      </c>
      <c r="L294" s="21">
        <v>12.23</v>
      </c>
      <c r="M294" s="20">
        <f t="shared" si="29"/>
        <v>6719651.2000000002</v>
      </c>
      <c r="N294" s="21">
        <v>3210000</v>
      </c>
      <c r="O294" s="21">
        <v>7394000</v>
      </c>
      <c r="P294" s="20">
        <v>852750</v>
      </c>
      <c r="Q294" s="20">
        <f t="shared" si="30"/>
        <v>1.3429336218555585</v>
      </c>
      <c r="R294" s="20">
        <f t="shared" si="31"/>
        <v>15.816179418478715</v>
      </c>
      <c r="S294" s="20">
        <f t="shared" si="32"/>
        <v>0.43413578577224776</v>
      </c>
      <c r="T294" s="20">
        <f t="shared" si="33"/>
        <v>0.11532999729510414</v>
      </c>
      <c r="U294" s="20">
        <f>IFERROR(IF(ISNUMBER(INDEX('Firm Master'!$E$2:$E$1000,MATCH($C294,'Firm Master'!$B$2:$B$1000,0))),INDEX('Firm Master'!$E$2:$E$1000,MATCH($C294,'Firm Master'!$B$2:$B$1000,0)),""),"")</f>
        <v>1959</v>
      </c>
      <c r="V294" s="21">
        <f t="shared" si="34"/>
        <v>64</v>
      </c>
      <c r="W294" s="21">
        <v>1</v>
      </c>
      <c r="X294" s="20" t="str">
        <f>IFERROR(INDEX('Firm Master'!$G$2:$G$1000,MATCH($C294,'Firm Master'!$B$2:$B$1000,0)),"")</f>
        <v>Ernst &amp; Young</v>
      </c>
    </row>
    <row r="295" spans="1:24" ht="41.25" customHeight="1" x14ac:dyDescent="0.3">
      <c r="A295" s="11">
        <v>294</v>
      </c>
      <c r="B295" s="11">
        <v>59</v>
      </c>
      <c r="C295" s="11" t="s">
        <v>1000</v>
      </c>
      <c r="D295" s="31" t="s">
        <v>1001</v>
      </c>
      <c r="E295" s="11" t="s">
        <v>758</v>
      </c>
      <c r="F295" s="11">
        <v>2024</v>
      </c>
      <c r="G295" s="20">
        <f t="shared" si="28"/>
        <v>1</v>
      </c>
      <c r="H295" s="21">
        <v>0</v>
      </c>
      <c r="I295" s="21">
        <f>IFERROR(INDEX('Coding Sheet'!$AC$2:$AC$731,MATCH($B295&amp;"_"&amp;$F295,'Coding Sheet'!$A$2:$A$731,0)),"")</f>
        <v>0</v>
      </c>
      <c r="J295" s="7">
        <f>IFERROR(INDEX('Coding Sheet'!$AT$2:$AT$731,MATCH($B295&amp;"_"&amp;$F295,'Coding Sheet'!$A$2:$A$731,0)),"")</f>
        <v>0</v>
      </c>
      <c r="K295" s="21">
        <v>549440000</v>
      </c>
      <c r="L295" s="21">
        <v>34.51</v>
      </c>
      <c r="M295" s="20">
        <f t="shared" si="29"/>
        <v>18961174.399999999</v>
      </c>
      <c r="N295" s="21">
        <v>8964000</v>
      </c>
      <c r="O295" s="21">
        <v>14878000</v>
      </c>
      <c r="P295" s="20">
        <v>1623000</v>
      </c>
      <c r="Q295" s="20">
        <f t="shared" si="30"/>
        <v>1.8769441053905094</v>
      </c>
      <c r="R295" s="20">
        <f t="shared" si="31"/>
        <v>16.515394169733423</v>
      </c>
      <c r="S295" s="20">
        <f t="shared" si="32"/>
        <v>0.60250033606667563</v>
      </c>
      <c r="T295" s="20">
        <f t="shared" si="33"/>
        <v>0.10908724290899315</v>
      </c>
      <c r="U295" s="20">
        <f>IFERROR(IF(ISNUMBER(INDEX('Firm Master'!$E$2:$E$1000,MATCH($C295,'Firm Master'!$B$2:$B$1000,0))),INDEX('Firm Master'!$E$2:$E$1000,MATCH($C295,'Firm Master'!$B$2:$B$1000,0)),""),"")</f>
        <v>1959</v>
      </c>
      <c r="V295" s="21">
        <f t="shared" si="34"/>
        <v>65</v>
      </c>
      <c r="W295" s="21">
        <v>1</v>
      </c>
      <c r="X295" s="20" t="str">
        <f>IFERROR(INDEX('Firm Master'!$G$2:$G$1000,MATCH($C295,'Firm Master'!$B$2:$B$1000,0)),"")</f>
        <v>Ernst &amp; Young</v>
      </c>
    </row>
    <row r="296" spans="1:24" ht="41.25" customHeight="1" x14ac:dyDescent="0.3">
      <c r="A296" s="11">
        <v>295</v>
      </c>
      <c r="B296" s="11">
        <v>59</v>
      </c>
      <c r="C296" s="11" t="s">
        <v>1000</v>
      </c>
      <c r="D296" s="31" t="s">
        <v>1001</v>
      </c>
      <c r="E296" s="11" t="s">
        <v>758</v>
      </c>
      <c r="F296" s="11">
        <v>2025</v>
      </c>
      <c r="G296" s="20">
        <f t="shared" si="28"/>
        <v>1</v>
      </c>
      <c r="H296" s="21">
        <v>0</v>
      </c>
      <c r="I296" s="21">
        <f>IFERROR(INDEX('Coding Sheet'!$AC$2:$AC$731,MATCH($B296&amp;"_"&amp;$F296,'Coding Sheet'!$A$2:$A$731,0)),"")</f>
        <v>0</v>
      </c>
      <c r="J296" s="7">
        <f>IFERROR(INDEX('Coding Sheet'!$AT$2:$AT$731,MATCH($B296&amp;"_"&amp;$F296,'Coding Sheet'!$A$2:$A$731,0)),"")</f>
        <v>0</v>
      </c>
      <c r="K296" s="21">
        <v>731060000</v>
      </c>
      <c r="L296" s="21">
        <v>32</v>
      </c>
      <c r="M296" s="20">
        <f t="shared" si="29"/>
        <v>23393920</v>
      </c>
      <c r="N296" s="21">
        <v>2957000</v>
      </c>
      <c r="O296" s="21">
        <v>14797000</v>
      </c>
      <c r="P296" s="20">
        <v>989850</v>
      </c>
      <c r="Q296" s="20">
        <f t="shared" si="30"/>
        <v>1.7808285463269582</v>
      </c>
      <c r="R296" s="20">
        <f t="shared" si="31"/>
        <v>16.509935015484672</v>
      </c>
      <c r="S296" s="20">
        <f t="shared" si="32"/>
        <v>0.19983780496046497</v>
      </c>
      <c r="T296" s="20">
        <f t="shared" si="33"/>
        <v>6.6895316618233419E-2</v>
      </c>
      <c r="U296" s="20">
        <f>IFERROR(IF(ISNUMBER(INDEX('Firm Master'!$E$2:$E$1000,MATCH($C296,'Firm Master'!$B$2:$B$1000,0))),INDEX('Firm Master'!$E$2:$E$1000,MATCH($C296,'Firm Master'!$B$2:$B$1000,0)),""),"")</f>
        <v>1959</v>
      </c>
      <c r="V296" s="21">
        <f t="shared" si="34"/>
        <v>66</v>
      </c>
      <c r="W296" s="21">
        <v>1</v>
      </c>
      <c r="X296" s="20" t="str">
        <f>IFERROR(INDEX('Firm Master'!$G$2:$G$1000,MATCH($C296,'Firm Master'!$B$2:$B$1000,0)),"")</f>
        <v>Ernst &amp; Young</v>
      </c>
    </row>
    <row r="297" spans="1:24" ht="15" customHeight="1" x14ac:dyDescent="0.3">
      <c r="A297" s="11">
        <v>296</v>
      </c>
      <c r="B297" s="11">
        <v>60</v>
      </c>
      <c r="C297" s="11" t="s">
        <v>1004</v>
      </c>
      <c r="D297" s="11" t="s">
        <v>1005</v>
      </c>
      <c r="E297" s="11" t="s">
        <v>709</v>
      </c>
      <c r="F297" s="11">
        <v>2021</v>
      </c>
      <c r="G297" s="20">
        <f t="shared" si="28"/>
        <v>0</v>
      </c>
      <c r="H297" s="21">
        <v>0</v>
      </c>
      <c r="I297" s="21">
        <f>IFERROR(INDEX('Coding Sheet'!$AC$2:$AC$731,MATCH($B297&amp;"_"&amp;$F297,'Coding Sheet'!$A$2:$A$731,0)),"")</f>
        <v>60</v>
      </c>
      <c r="J297" s="7">
        <f>IFERROR(INDEX('Coding Sheet'!$AT$2:$AT$731,MATCH($B297&amp;"_"&amp;$F297,'Coding Sheet'!$A$2:$A$731,0)),"")</f>
        <v>13.333333333333334</v>
      </c>
      <c r="K297" s="21">
        <v>8341000000</v>
      </c>
      <c r="L297" s="21">
        <v>0.66</v>
      </c>
      <c r="M297" s="20">
        <f t="shared" si="29"/>
        <v>5505060</v>
      </c>
      <c r="N297" s="21">
        <v>9445000</v>
      </c>
      <c r="O297" s="21">
        <v>16218000</v>
      </c>
      <c r="P297" s="20">
        <v>500490</v>
      </c>
      <c r="Q297" s="20">
        <f t="shared" si="30"/>
        <v>0.92181896658034279</v>
      </c>
      <c r="R297" s="20">
        <f t="shared" si="31"/>
        <v>16.601632294486638</v>
      </c>
      <c r="S297" s="20">
        <f t="shared" si="32"/>
        <v>0.58237760513010239</v>
      </c>
      <c r="T297" s="20">
        <f t="shared" si="33"/>
        <v>3.0860155382907879E-2</v>
      </c>
      <c r="U297" s="20">
        <f>IFERROR(IF(ISNUMBER(INDEX('Firm Master'!$E$2:$E$1000,MATCH($C297,'Firm Master'!$B$2:$B$1000,0))),INDEX('Firm Master'!$E$2:$E$1000,MATCH($C297,'Firm Master'!$B$2:$B$1000,0)),""),"")</f>
        <v>2002</v>
      </c>
      <c r="V297" s="21">
        <f t="shared" si="34"/>
        <v>19</v>
      </c>
      <c r="W297" s="21">
        <v>0</v>
      </c>
      <c r="X297" s="20" t="str">
        <f>IFERROR(INDEX('Firm Master'!$G$2:$G$1000,MATCH($C297,'Firm Master'!$B$2:$B$1000,0)),"")</f>
        <v>PKF Professional Services</v>
      </c>
    </row>
    <row r="298" spans="1:24" ht="15" customHeight="1" x14ac:dyDescent="0.3">
      <c r="A298" s="11">
        <v>297</v>
      </c>
      <c r="B298" s="11">
        <v>60</v>
      </c>
      <c r="C298" s="11" t="s">
        <v>1004</v>
      </c>
      <c r="D298" s="11" t="s">
        <v>1005</v>
      </c>
      <c r="E298" s="11" t="s">
        <v>709</v>
      </c>
      <c r="F298" s="11">
        <v>2022</v>
      </c>
      <c r="G298" s="20">
        <f t="shared" si="28"/>
        <v>0</v>
      </c>
      <c r="H298" s="21">
        <v>0</v>
      </c>
      <c r="I298" s="21">
        <f>IFERROR(INDEX('Coding Sheet'!$AC$2:$AC$731,MATCH($B298&amp;"_"&amp;$F298,'Coding Sheet'!$A$2:$A$731,0)),"")</f>
        <v>60</v>
      </c>
      <c r="J298" s="7">
        <f>IFERROR(INDEX('Coding Sheet'!$AT$2:$AT$731,MATCH($B298&amp;"_"&amp;$F298,'Coding Sheet'!$A$2:$A$731,0)),"")</f>
        <v>13.333333333333334</v>
      </c>
      <c r="K298" s="21">
        <v>8341000000</v>
      </c>
      <c r="L298" s="21">
        <v>0.64</v>
      </c>
      <c r="M298" s="20">
        <f t="shared" si="29"/>
        <v>5338240</v>
      </c>
      <c r="N298" s="21">
        <v>9618000</v>
      </c>
      <c r="O298" s="21">
        <v>16774000</v>
      </c>
      <c r="P298" s="20">
        <v>591480</v>
      </c>
      <c r="Q298" s="20">
        <f t="shared" si="30"/>
        <v>0.89163228806486228</v>
      </c>
      <c r="R298" s="20">
        <f t="shared" si="31"/>
        <v>16.635340626526492</v>
      </c>
      <c r="S298" s="20">
        <f t="shared" si="32"/>
        <v>0.57338738523906041</v>
      </c>
      <c r="T298" s="20">
        <f t="shared" si="33"/>
        <v>3.5261714558244901E-2</v>
      </c>
      <c r="U298" s="20">
        <f>IFERROR(IF(ISNUMBER(INDEX('Firm Master'!$E$2:$E$1000,MATCH($C298,'Firm Master'!$B$2:$B$1000,0))),INDEX('Firm Master'!$E$2:$E$1000,MATCH($C298,'Firm Master'!$B$2:$B$1000,0)),""),"")</f>
        <v>2002</v>
      </c>
      <c r="V298" s="21">
        <f t="shared" si="34"/>
        <v>20</v>
      </c>
      <c r="W298" s="21">
        <v>0</v>
      </c>
      <c r="X298" s="20" t="str">
        <f>IFERROR(INDEX('Firm Master'!$G$2:$G$1000,MATCH($C298,'Firm Master'!$B$2:$B$1000,0)),"")</f>
        <v>PKF Professional Services</v>
      </c>
    </row>
    <row r="299" spans="1:24" ht="15" customHeight="1" x14ac:dyDescent="0.3">
      <c r="A299" s="11">
        <v>298</v>
      </c>
      <c r="B299" s="11">
        <v>60</v>
      </c>
      <c r="C299" s="11" t="s">
        <v>1004</v>
      </c>
      <c r="D299" s="11" t="s">
        <v>1005</v>
      </c>
      <c r="E299" s="11" t="s">
        <v>709</v>
      </c>
      <c r="F299" s="11">
        <v>2023</v>
      </c>
      <c r="G299" s="20">
        <f t="shared" si="28"/>
        <v>1</v>
      </c>
      <c r="H299" s="21">
        <v>0</v>
      </c>
      <c r="I299" s="21">
        <f>IFERROR(INDEX('Coding Sheet'!$AC$2:$AC$731,MATCH($B299&amp;"_"&amp;$F299,'Coding Sheet'!$A$2:$A$731,0)),"")</f>
        <v>60</v>
      </c>
      <c r="J299" s="7">
        <f>IFERROR(INDEX('Coding Sheet'!$AT$2:$AT$731,MATCH($B299&amp;"_"&amp;$F299,'Coding Sheet'!$A$2:$A$731,0)),"")</f>
        <v>13.333333333333334</v>
      </c>
      <c r="K299" s="21">
        <v>8341000000</v>
      </c>
      <c r="L299" s="21">
        <v>3</v>
      </c>
      <c r="M299" s="20">
        <f t="shared" si="29"/>
        <v>25023000</v>
      </c>
      <c r="N299" s="21">
        <v>12791000</v>
      </c>
      <c r="O299" s="21">
        <v>20655000</v>
      </c>
      <c r="P299" s="20">
        <v>1000000</v>
      </c>
      <c r="Q299" s="20">
        <f t="shared" si="30"/>
        <v>1.8307431614621157</v>
      </c>
      <c r="R299" s="20">
        <f t="shared" si="31"/>
        <v>16.843467978813003</v>
      </c>
      <c r="S299" s="20">
        <f t="shared" si="32"/>
        <v>0.61926894214475914</v>
      </c>
      <c r="T299" s="20">
        <f t="shared" si="33"/>
        <v>4.841442749939482E-2</v>
      </c>
      <c r="U299" s="20">
        <f>IFERROR(IF(ISNUMBER(INDEX('Firm Master'!$E$2:$E$1000,MATCH($C299,'Firm Master'!$B$2:$B$1000,0))),INDEX('Firm Master'!$E$2:$E$1000,MATCH($C299,'Firm Master'!$B$2:$B$1000,0)),""),"")</f>
        <v>2002</v>
      </c>
      <c r="V299" s="21">
        <f t="shared" si="34"/>
        <v>21</v>
      </c>
      <c r="W299" s="21">
        <v>0</v>
      </c>
      <c r="X299" s="20" t="str">
        <f>IFERROR(INDEX('Firm Master'!$G$2:$G$1000,MATCH($C299,'Firm Master'!$B$2:$B$1000,0)),"")</f>
        <v>PKF Professional Services</v>
      </c>
    </row>
    <row r="300" spans="1:24" ht="15" customHeight="1" x14ac:dyDescent="0.3">
      <c r="A300" s="11">
        <v>299</v>
      </c>
      <c r="B300" s="11">
        <v>60</v>
      </c>
      <c r="C300" s="11" t="s">
        <v>1004</v>
      </c>
      <c r="D300" s="11" t="s">
        <v>1005</v>
      </c>
      <c r="E300" s="11" t="s">
        <v>709</v>
      </c>
      <c r="F300" s="11">
        <v>2024</v>
      </c>
      <c r="G300" s="20">
        <f t="shared" si="28"/>
        <v>1</v>
      </c>
      <c r="H300" s="21">
        <v>0</v>
      </c>
      <c r="I300" s="21">
        <f>IFERROR(INDEX('Coding Sheet'!$AC$2:$AC$731,MATCH($B300&amp;"_"&amp;$F300,'Coding Sheet'!$A$2:$A$731,0)),"")</f>
        <v>60</v>
      </c>
      <c r="J300" s="7">
        <f>IFERROR(INDEX('Coding Sheet'!$AT$2:$AT$731,MATCH($B300&amp;"_"&amp;$F300,'Coding Sheet'!$A$2:$A$731,0)),"")</f>
        <v>13.333333333333334</v>
      </c>
      <c r="K300" s="21">
        <v>8341000000</v>
      </c>
      <c r="L300" s="21">
        <v>3.5</v>
      </c>
      <c r="M300" s="20">
        <f t="shared" si="29"/>
        <v>29193500</v>
      </c>
      <c r="N300" s="21">
        <v>15939000</v>
      </c>
      <c r="O300" s="21">
        <v>25150000</v>
      </c>
      <c r="P300" s="20">
        <v>1481000</v>
      </c>
      <c r="Q300" s="20">
        <f t="shared" si="30"/>
        <v>1.7945328031809145</v>
      </c>
      <c r="R300" s="20">
        <f t="shared" si="31"/>
        <v>17.040368454510023</v>
      </c>
      <c r="S300" s="20">
        <f t="shared" si="32"/>
        <v>0.63375745526838967</v>
      </c>
      <c r="T300" s="20">
        <f t="shared" si="33"/>
        <v>5.8886679920477136E-2</v>
      </c>
      <c r="U300" s="20">
        <f>IFERROR(IF(ISNUMBER(INDEX('Firm Master'!$E$2:$E$1000,MATCH($C300,'Firm Master'!$B$2:$B$1000,0))),INDEX('Firm Master'!$E$2:$E$1000,MATCH($C300,'Firm Master'!$B$2:$B$1000,0)),""),"")</f>
        <v>2002</v>
      </c>
      <c r="V300" s="21">
        <f t="shared" si="34"/>
        <v>22</v>
      </c>
      <c r="W300" s="21">
        <v>0</v>
      </c>
      <c r="X300" s="20" t="str">
        <f>IFERROR(INDEX('Firm Master'!$G$2:$G$1000,MATCH($C300,'Firm Master'!$B$2:$B$1000,0)),"")</f>
        <v>PKF Professional Services</v>
      </c>
    </row>
    <row r="301" spans="1:24" ht="15" customHeight="1" x14ac:dyDescent="0.3">
      <c r="A301" s="11">
        <v>300</v>
      </c>
      <c r="B301" s="11">
        <v>60</v>
      </c>
      <c r="C301" s="11" t="s">
        <v>1004</v>
      </c>
      <c r="D301" s="11" t="s">
        <v>1005</v>
      </c>
      <c r="E301" s="11" t="s">
        <v>709</v>
      </c>
      <c r="F301" s="11">
        <v>2025</v>
      </c>
      <c r="G301" s="20">
        <f t="shared" si="28"/>
        <v>1</v>
      </c>
      <c r="H301" s="21">
        <v>0</v>
      </c>
      <c r="I301" s="21">
        <f>IFERROR(INDEX('Coding Sheet'!$AC$2:$AC$731,MATCH($B301&amp;"_"&amp;$F301,'Coding Sheet'!$A$2:$A$731,0)),"")</f>
        <v>60</v>
      </c>
      <c r="J301" s="7">
        <f>IFERROR(INDEX('Coding Sheet'!$AT$2:$AT$731,MATCH($B301&amp;"_"&amp;$F301,'Coding Sheet'!$A$2:$A$731,0)),"")</f>
        <v>13.333333333333334</v>
      </c>
      <c r="K301" s="21">
        <v>8341000000</v>
      </c>
      <c r="L301" s="21">
        <v>3.5</v>
      </c>
      <c r="M301" s="20">
        <f t="shared" si="29"/>
        <v>29193500</v>
      </c>
      <c r="N301" s="21">
        <v>32382000</v>
      </c>
      <c r="O301" s="21">
        <v>44758000</v>
      </c>
      <c r="P301" s="20">
        <v>2700000</v>
      </c>
      <c r="Q301" s="20">
        <f t="shared" si="30"/>
        <v>1.3757428839537067</v>
      </c>
      <c r="R301" s="20">
        <f t="shared" si="31"/>
        <v>17.616780757657239</v>
      </c>
      <c r="S301" s="20">
        <f t="shared" si="32"/>
        <v>0.72349077259931183</v>
      </c>
      <c r="T301" s="20">
        <f t="shared" si="33"/>
        <v>6.0324411278430669E-2</v>
      </c>
      <c r="U301" s="20">
        <f>IFERROR(IF(ISNUMBER(INDEX('Firm Master'!$E$2:$E$1000,MATCH($C301,'Firm Master'!$B$2:$B$1000,0))),INDEX('Firm Master'!$E$2:$E$1000,MATCH($C301,'Firm Master'!$B$2:$B$1000,0)),""),"")</f>
        <v>2002</v>
      </c>
      <c r="V301" s="21">
        <f t="shared" si="34"/>
        <v>23</v>
      </c>
      <c r="W301" s="21">
        <v>0</v>
      </c>
      <c r="X301" s="20" t="str">
        <f>IFERROR(INDEX('Firm Master'!$G$2:$G$1000,MATCH($C301,'Firm Master'!$B$2:$B$1000,0)),"")</f>
        <v>PKF Professional Services</v>
      </c>
    </row>
    <row r="302" spans="1:24" ht="15" customHeight="1" x14ac:dyDescent="0.3">
      <c r="A302" s="11">
        <v>301</v>
      </c>
      <c r="B302" s="11">
        <v>61</v>
      </c>
      <c r="C302" s="11" t="s">
        <v>1009</v>
      </c>
      <c r="D302" s="11" t="s">
        <v>1010</v>
      </c>
      <c r="E302" s="11" t="s">
        <v>806</v>
      </c>
      <c r="F302" s="11">
        <v>2021</v>
      </c>
      <c r="G302" s="20">
        <f t="shared" si="28"/>
        <v>0</v>
      </c>
      <c r="H302" s="21">
        <v>0</v>
      </c>
      <c r="I302" s="21">
        <f>IFERROR(INDEX('Coding Sheet'!$AC$2:$AC$731,MATCH($B302&amp;"_"&amp;$F302,'Coding Sheet'!$A$2:$A$731,0)),"")</f>
        <v>15</v>
      </c>
      <c r="J302" s="7">
        <f>IFERROR(INDEX('Coding Sheet'!$AT$2:$AT$731,MATCH($B302&amp;"_"&amp;$F302,'Coding Sheet'!$A$2:$A$731,0)),"")</f>
        <v>0</v>
      </c>
      <c r="K302" s="21">
        <v>26862000000</v>
      </c>
      <c r="L302" s="21">
        <v>4.95</v>
      </c>
      <c r="M302" s="20">
        <f t="shared" si="29"/>
        <v>132966900</v>
      </c>
      <c r="N302" s="21">
        <v>334649000</v>
      </c>
      <c r="O302" s="21">
        <v>469953000</v>
      </c>
      <c r="P302" s="20">
        <v>-17657000</v>
      </c>
      <c r="Q302" s="20">
        <f t="shared" si="30"/>
        <v>0.99502694950346093</v>
      </c>
      <c r="R302" s="20">
        <f t="shared" si="31"/>
        <v>19.968143247668046</v>
      </c>
      <c r="S302" s="20">
        <f t="shared" si="32"/>
        <v>0.7120903579719674</v>
      </c>
      <c r="T302" s="20">
        <f t="shared" si="33"/>
        <v>-3.7571842290612043E-2</v>
      </c>
      <c r="U302" s="20">
        <f>IFERROR(IF(ISNUMBER(INDEX('Firm Master'!$E$2:$E$1000,MATCH($C302,'Firm Master'!$B$2:$B$1000,0))),INDEX('Firm Master'!$E$2:$E$1000,MATCH($C302,'Firm Master'!$B$2:$B$1000,0)),""),"")</f>
        <v>1971</v>
      </c>
      <c r="V302" s="21">
        <f t="shared" si="34"/>
        <v>50</v>
      </c>
      <c r="W302" s="21">
        <v>1</v>
      </c>
      <c r="X302" s="20" t="str">
        <f>IFERROR(INDEX('Firm Master'!$G$2:$G$1000,MATCH($C302,'Firm Master'!$B$2:$B$1000,0)),"")</f>
        <v>PricewaterhouseCoopers (PwC)</v>
      </c>
    </row>
    <row r="303" spans="1:24" ht="15" customHeight="1" x14ac:dyDescent="0.3">
      <c r="A303" s="11">
        <v>302</v>
      </c>
      <c r="B303" s="11">
        <v>61</v>
      </c>
      <c r="C303" s="11" t="s">
        <v>1009</v>
      </c>
      <c r="D303" s="11" t="s">
        <v>1010</v>
      </c>
      <c r="E303" s="11" t="s">
        <v>806</v>
      </c>
      <c r="F303" s="11">
        <v>2022</v>
      </c>
      <c r="G303" s="20">
        <f t="shared" si="28"/>
        <v>0</v>
      </c>
      <c r="H303" s="21">
        <v>0</v>
      </c>
      <c r="I303" s="21">
        <f>IFERROR(INDEX('Coding Sheet'!$AC$2:$AC$731,MATCH($B303&amp;"_"&amp;$F303,'Coding Sheet'!$A$2:$A$731,0)),"")</f>
        <v>15</v>
      </c>
      <c r="J303" s="7">
        <f>IFERROR(INDEX('Coding Sheet'!$AT$2:$AT$731,MATCH($B303&amp;"_"&amp;$F303,'Coding Sheet'!$A$2:$A$731,0)),"")</f>
        <v>0</v>
      </c>
      <c r="K303" s="21">
        <v>26862000000</v>
      </c>
      <c r="L303" s="21">
        <v>4.7</v>
      </c>
      <c r="M303" s="20">
        <f t="shared" si="29"/>
        <v>126251400</v>
      </c>
      <c r="N303" s="21">
        <v>366921000</v>
      </c>
      <c r="O303" s="21">
        <v>484252000</v>
      </c>
      <c r="P303" s="20">
        <v>-21626000</v>
      </c>
      <c r="Q303" s="20">
        <f t="shared" si="30"/>
        <v>1.0184209874197732</v>
      </c>
      <c r="R303" s="20">
        <f t="shared" si="31"/>
        <v>19.998115990340942</v>
      </c>
      <c r="S303" s="20">
        <f t="shared" si="32"/>
        <v>0.75770673120606624</v>
      </c>
      <c r="T303" s="20">
        <f t="shared" si="33"/>
        <v>-4.4658566201068867E-2</v>
      </c>
      <c r="U303" s="20">
        <f>IFERROR(IF(ISNUMBER(INDEX('Firm Master'!$E$2:$E$1000,MATCH($C303,'Firm Master'!$B$2:$B$1000,0))),INDEX('Firm Master'!$E$2:$E$1000,MATCH($C303,'Firm Master'!$B$2:$B$1000,0)),""),"")</f>
        <v>1971</v>
      </c>
      <c r="V303" s="21">
        <f t="shared" si="34"/>
        <v>51</v>
      </c>
      <c r="W303" s="21">
        <v>1</v>
      </c>
      <c r="X303" s="20" t="str">
        <f>IFERROR(INDEX('Firm Master'!$G$2:$G$1000,MATCH($C303,'Firm Master'!$B$2:$B$1000,0)),"")</f>
        <v>PricewaterhouseCoopers (PwC)</v>
      </c>
    </row>
    <row r="304" spans="1:24" ht="15" customHeight="1" x14ac:dyDescent="0.3">
      <c r="A304" s="11">
        <v>303</v>
      </c>
      <c r="B304" s="11">
        <v>61</v>
      </c>
      <c r="C304" s="11" t="s">
        <v>1009</v>
      </c>
      <c r="D304" s="11" t="s">
        <v>1010</v>
      </c>
      <c r="E304" s="11" t="s">
        <v>806</v>
      </c>
      <c r="F304" s="11">
        <v>2023</v>
      </c>
      <c r="G304" s="20">
        <f t="shared" si="28"/>
        <v>1</v>
      </c>
      <c r="H304" s="21">
        <v>0</v>
      </c>
      <c r="I304" s="21">
        <f>IFERROR(INDEX('Coding Sheet'!$AC$2:$AC$731,MATCH($B304&amp;"_"&amp;$F304,'Coding Sheet'!$A$2:$A$731,0)),"")</f>
        <v>15</v>
      </c>
      <c r="J304" s="7">
        <f>IFERROR(INDEX('Coding Sheet'!$AT$2:$AT$731,MATCH($B304&amp;"_"&amp;$F304,'Coding Sheet'!$A$2:$A$731,0)),"")</f>
        <v>0</v>
      </c>
      <c r="K304" s="21">
        <v>26862000000</v>
      </c>
      <c r="L304" s="21">
        <v>4.8</v>
      </c>
      <c r="M304" s="20">
        <f t="shared" si="29"/>
        <v>128937600</v>
      </c>
      <c r="N304" s="21">
        <v>609090000</v>
      </c>
      <c r="O304" s="21">
        <v>724497000</v>
      </c>
      <c r="P304" s="20">
        <v>-70026000</v>
      </c>
      <c r="Q304" s="20">
        <f t="shared" si="30"/>
        <v>1.0186758537302432</v>
      </c>
      <c r="R304" s="20">
        <f t="shared" si="31"/>
        <v>20.400988178929687</v>
      </c>
      <c r="S304" s="20">
        <f t="shared" si="32"/>
        <v>0.84070741493753598</v>
      </c>
      <c r="T304" s="20">
        <f t="shared" si="33"/>
        <v>-9.6654644532689571E-2</v>
      </c>
      <c r="U304" s="20">
        <f>IFERROR(IF(ISNUMBER(INDEX('Firm Master'!$E$2:$E$1000,MATCH($C304,'Firm Master'!$B$2:$B$1000,0))),INDEX('Firm Master'!$E$2:$E$1000,MATCH($C304,'Firm Master'!$B$2:$B$1000,0)),""),"")</f>
        <v>1971</v>
      </c>
      <c r="V304" s="21">
        <f t="shared" si="34"/>
        <v>52</v>
      </c>
      <c r="W304" s="21">
        <v>1</v>
      </c>
      <c r="X304" s="20" t="str">
        <f>IFERROR(INDEX('Firm Master'!$G$2:$G$1000,MATCH($C304,'Firm Master'!$B$2:$B$1000,0)),"")</f>
        <v>PricewaterhouseCoopers (PwC)</v>
      </c>
    </row>
    <row r="305" spans="1:24" ht="15" customHeight="1" x14ac:dyDescent="0.3">
      <c r="A305" s="11">
        <v>304</v>
      </c>
      <c r="B305" s="11">
        <v>61</v>
      </c>
      <c r="C305" s="11" t="s">
        <v>1009</v>
      </c>
      <c r="D305" s="11" t="s">
        <v>1010</v>
      </c>
      <c r="E305" s="11" t="s">
        <v>806</v>
      </c>
      <c r="F305" s="11">
        <v>2024</v>
      </c>
      <c r="G305" s="20">
        <f t="shared" si="28"/>
        <v>1</v>
      </c>
      <c r="H305" s="21">
        <v>0</v>
      </c>
      <c r="I305" s="21">
        <f>IFERROR(INDEX('Coding Sheet'!$AC$2:$AC$731,MATCH($B305&amp;"_"&amp;$F305,'Coding Sheet'!$A$2:$A$731,0)),"")</f>
        <v>15</v>
      </c>
      <c r="J305" s="7">
        <f>IFERROR(INDEX('Coding Sheet'!$AT$2:$AT$731,MATCH($B305&amp;"_"&amp;$F305,'Coding Sheet'!$A$2:$A$731,0)),"")</f>
        <v>0</v>
      </c>
      <c r="K305" s="21">
        <v>168292000000</v>
      </c>
      <c r="L305" s="21">
        <v>5.55</v>
      </c>
      <c r="M305" s="20">
        <f t="shared" si="29"/>
        <v>934020600</v>
      </c>
      <c r="N305" s="21">
        <v>278958000</v>
      </c>
      <c r="O305" s="21">
        <v>727872000</v>
      </c>
      <c r="P305" s="20">
        <v>-113615000</v>
      </c>
      <c r="Q305" s="20">
        <f t="shared" si="30"/>
        <v>1.6664724017409653</v>
      </c>
      <c r="R305" s="20">
        <f t="shared" si="31"/>
        <v>20.405635766526252</v>
      </c>
      <c r="S305" s="20">
        <f t="shared" si="32"/>
        <v>0.38325145080453704</v>
      </c>
      <c r="T305" s="20">
        <f t="shared" si="33"/>
        <v>-0.15609200518772531</v>
      </c>
      <c r="U305" s="20">
        <f>IFERROR(IF(ISNUMBER(INDEX('Firm Master'!$E$2:$E$1000,MATCH($C305,'Firm Master'!$B$2:$B$1000,0))),INDEX('Firm Master'!$E$2:$E$1000,MATCH($C305,'Firm Master'!$B$2:$B$1000,0)),""),"")</f>
        <v>1971</v>
      </c>
      <c r="V305" s="21">
        <f t="shared" si="34"/>
        <v>53</v>
      </c>
      <c r="W305" s="21">
        <v>1</v>
      </c>
      <c r="X305" s="20" t="str">
        <f>IFERROR(INDEX('Firm Master'!$G$2:$G$1000,MATCH($C305,'Firm Master'!$B$2:$B$1000,0)),"")</f>
        <v>PricewaterhouseCoopers (PwC)</v>
      </c>
    </row>
    <row r="306" spans="1:24" ht="15" customHeight="1" x14ac:dyDescent="0.3">
      <c r="A306" s="11">
        <v>305</v>
      </c>
      <c r="B306" s="11">
        <v>61</v>
      </c>
      <c r="C306" s="11" t="s">
        <v>1009</v>
      </c>
      <c r="D306" s="11" t="s">
        <v>1010</v>
      </c>
      <c r="E306" s="11" t="s">
        <v>806</v>
      </c>
      <c r="F306" s="11">
        <v>2025</v>
      </c>
      <c r="G306" s="20">
        <f t="shared" si="28"/>
        <v>1</v>
      </c>
      <c r="H306" s="21">
        <v>0</v>
      </c>
      <c r="I306" s="21">
        <f>IFERROR(INDEX('Coding Sheet'!$AC$2:$AC$731,MATCH($B306&amp;"_"&amp;$F306,'Coding Sheet'!$A$2:$A$731,0)),"")</f>
        <v>15</v>
      </c>
      <c r="J306" s="7">
        <f>IFERROR(INDEX('Coding Sheet'!$AT$2:$AT$731,MATCH($B306&amp;"_"&amp;$F306,'Coding Sheet'!$A$2:$A$731,0)),"")</f>
        <v>0</v>
      </c>
      <c r="K306" s="21">
        <v>168292000000</v>
      </c>
      <c r="L306" s="21">
        <v>14.02</v>
      </c>
      <c r="M306" s="20">
        <f t="shared" si="29"/>
        <v>2359453840</v>
      </c>
      <c r="N306" s="21">
        <v>239916000</v>
      </c>
      <c r="O306" s="21">
        <v>739744000</v>
      </c>
      <c r="P306" s="20">
        <v>50914000</v>
      </c>
      <c r="Q306" s="20">
        <f t="shared" si="30"/>
        <v>3.5138775576415626</v>
      </c>
      <c r="R306" s="20">
        <f t="shared" si="31"/>
        <v>20.421814738363441</v>
      </c>
      <c r="S306" s="20">
        <f t="shared" si="32"/>
        <v>0.3243230090409655</v>
      </c>
      <c r="T306" s="20">
        <f t="shared" si="33"/>
        <v>6.8826512955833363E-2</v>
      </c>
      <c r="U306" s="20">
        <f>IFERROR(IF(ISNUMBER(INDEX('Firm Master'!$E$2:$E$1000,MATCH($C306,'Firm Master'!$B$2:$B$1000,0))),INDEX('Firm Master'!$E$2:$E$1000,MATCH($C306,'Firm Master'!$B$2:$B$1000,0)),""),"")</f>
        <v>1971</v>
      </c>
      <c r="V306" s="21">
        <f t="shared" si="34"/>
        <v>54</v>
      </c>
      <c r="W306" s="21">
        <v>1</v>
      </c>
      <c r="X306" s="20" t="str">
        <f>IFERROR(INDEX('Firm Master'!$G$2:$G$1000,MATCH($C306,'Firm Master'!$B$2:$B$1000,0)),"")</f>
        <v>PricewaterhouseCoopers (PwC)</v>
      </c>
    </row>
    <row r="307" spans="1:24" ht="15" customHeight="1" x14ac:dyDescent="0.3">
      <c r="A307" s="11">
        <v>306</v>
      </c>
      <c r="B307" s="11">
        <v>62</v>
      </c>
      <c r="C307" s="11" t="s">
        <v>1014</v>
      </c>
      <c r="D307" s="11" t="s">
        <v>1015</v>
      </c>
      <c r="E307" s="11" t="s">
        <v>709</v>
      </c>
      <c r="F307" s="11">
        <v>2021</v>
      </c>
      <c r="G307" s="20">
        <f t="shared" si="28"/>
        <v>0</v>
      </c>
      <c r="H307" s="21">
        <v>0</v>
      </c>
      <c r="I307" s="21">
        <f>IFERROR(INDEX('Coding Sheet'!$AC$2:$AC$731,MATCH($B307&amp;"_"&amp;$F307,'Coding Sheet'!$A$2:$A$731,0)),"")</f>
        <v>0</v>
      </c>
      <c r="J307" s="7">
        <f>IFERROR(INDEX('Coding Sheet'!$AT$2:$AT$731,MATCH($B307&amp;"_"&amp;$F307,'Coding Sheet'!$A$2:$A$731,0)),"")</f>
        <v>0</v>
      </c>
      <c r="K307" s="21">
        <v>1284000000</v>
      </c>
      <c r="L307" s="21">
        <v>0.38</v>
      </c>
      <c r="M307" s="20">
        <f t="shared" si="29"/>
        <v>487920</v>
      </c>
      <c r="N307" s="21">
        <v>20962000</v>
      </c>
      <c r="O307" s="21">
        <v>9158000</v>
      </c>
      <c r="P307" s="20">
        <v>-704550</v>
      </c>
      <c r="Q307" s="20">
        <f t="shared" si="30"/>
        <v>2.342205721773313</v>
      </c>
      <c r="R307" s="20">
        <f t="shared" si="31"/>
        <v>16.030138372199179</v>
      </c>
      <c r="S307" s="20">
        <f t="shared" si="32"/>
        <v>2.2889277134745578</v>
      </c>
      <c r="T307" s="20">
        <f t="shared" si="33"/>
        <v>-7.6932736405328675E-2</v>
      </c>
      <c r="U307" s="20">
        <f>IFERROR(IF(ISNUMBER(INDEX('Firm Master'!$E$2:$E$1000,MATCH($C307,'Firm Master'!$B$2:$B$1000,0))),INDEX('Firm Master'!$E$2:$E$1000,MATCH($C307,'Firm Master'!$B$2:$B$1000,0)),""),"")</f>
        <v>1969</v>
      </c>
      <c r="V307" s="21">
        <f t="shared" si="34"/>
        <v>52</v>
      </c>
      <c r="W307" s="21">
        <v>0</v>
      </c>
      <c r="X307" s="20" t="str">
        <f>IFERROR(INDEX('Firm Master'!$G$2:$G$1000,MATCH($C307,'Firm Master'!$B$2:$B$1000,0)),"")</f>
        <v>Doyin Owolabi &amp; Co</v>
      </c>
    </row>
    <row r="308" spans="1:24" ht="15" customHeight="1" x14ac:dyDescent="0.3">
      <c r="A308" s="11">
        <v>307</v>
      </c>
      <c r="B308" s="11">
        <v>62</v>
      </c>
      <c r="C308" s="11" t="s">
        <v>1014</v>
      </c>
      <c r="D308" s="11" t="s">
        <v>1015</v>
      </c>
      <c r="E308" s="11" t="s">
        <v>709</v>
      </c>
      <c r="F308" s="11">
        <v>2022</v>
      </c>
      <c r="G308" s="20">
        <f t="shared" si="28"/>
        <v>0</v>
      </c>
      <c r="H308" s="21">
        <v>0</v>
      </c>
      <c r="I308" s="21">
        <f>IFERROR(INDEX('Coding Sheet'!$AC$2:$AC$731,MATCH($B308&amp;"_"&amp;$F308,'Coding Sheet'!$A$2:$A$731,0)),"")</f>
        <v>0</v>
      </c>
      <c r="J308" s="7">
        <f>IFERROR(INDEX('Coding Sheet'!$AT$2:$AT$731,MATCH($B308&amp;"_"&amp;$F308,'Coding Sheet'!$A$2:$A$731,0)),"")</f>
        <v>0</v>
      </c>
      <c r="K308" s="21">
        <v>1284000000</v>
      </c>
      <c r="L308" s="21">
        <v>0.38</v>
      </c>
      <c r="M308" s="20">
        <f t="shared" si="29"/>
        <v>487920</v>
      </c>
      <c r="N308" s="21">
        <v>26463000</v>
      </c>
      <c r="O308" s="21">
        <v>14673000</v>
      </c>
      <c r="P308" s="20">
        <v>232900</v>
      </c>
      <c r="Q308" s="20">
        <f t="shared" si="30"/>
        <v>1.8367695767736658</v>
      </c>
      <c r="R308" s="20">
        <f t="shared" si="31"/>
        <v>16.501519628189605</v>
      </c>
      <c r="S308" s="20">
        <f t="shared" si="32"/>
        <v>1.8035166632590471</v>
      </c>
      <c r="T308" s="20">
        <f t="shared" si="33"/>
        <v>1.5872691337831393E-2</v>
      </c>
      <c r="U308" s="20">
        <f>IFERROR(IF(ISNUMBER(INDEX('Firm Master'!$E$2:$E$1000,MATCH($C308,'Firm Master'!$B$2:$B$1000,0))),INDEX('Firm Master'!$E$2:$E$1000,MATCH($C308,'Firm Master'!$B$2:$B$1000,0)),""),"")</f>
        <v>1969</v>
      </c>
      <c r="V308" s="21">
        <f t="shared" si="34"/>
        <v>53</v>
      </c>
      <c r="W308" s="21">
        <v>0</v>
      </c>
      <c r="X308" s="20" t="str">
        <f>IFERROR(INDEX('Firm Master'!$G$2:$G$1000,MATCH($C308,'Firm Master'!$B$2:$B$1000,0)),"")</f>
        <v>Doyin Owolabi &amp; Co</v>
      </c>
    </row>
    <row r="309" spans="1:24" ht="15" customHeight="1" x14ac:dyDescent="0.3">
      <c r="A309" s="11">
        <v>308</v>
      </c>
      <c r="B309" s="11">
        <v>62</v>
      </c>
      <c r="C309" s="11" t="s">
        <v>1014</v>
      </c>
      <c r="D309" s="11" t="s">
        <v>1015</v>
      </c>
      <c r="E309" s="11" t="s">
        <v>709</v>
      </c>
      <c r="F309" s="11">
        <v>2023</v>
      </c>
      <c r="G309" s="20">
        <f t="shared" si="28"/>
        <v>1</v>
      </c>
      <c r="H309" s="21">
        <v>0</v>
      </c>
      <c r="I309" s="21">
        <f>IFERROR(INDEX('Coding Sheet'!$AC$2:$AC$731,MATCH($B309&amp;"_"&amp;$F309,'Coding Sheet'!$A$2:$A$731,0)),"")</f>
        <v>0</v>
      </c>
      <c r="J309" s="7">
        <f>IFERROR(INDEX('Coding Sheet'!$AT$2:$AT$731,MATCH($B309&amp;"_"&amp;$F309,'Coding Sheet'!$A$2:$A$731,0)),"")</f>
        <v>0</v>
      </c>
      <c r="K309" s="21">
        <v>1284000000</v>
      </c>
      <c r="L309" s="21">
        <v>1.39</v>
      </c>
      <c r="M309" s="20">
        <f t="shared" si="29"/>
        <v>1784759.9999999998</v>
      </c>
      <c r="N309" s="21">
        <v>28366000</v>
      </c>
      <c r="O309" s="21">
        <v>17590000</v>
      </c>
      <c r="P309" s="20">
        <v>850660</v>
      </c>
      <c r="Q309" s="20">
        <f t="shared" si="30"/>
        <v>1.7140852757248437</v>
      </c>
      <c r="R309" s="20">
        <f t="shared" si="31"/>
        <v>16.682841116713742</v>
      </c>
      <c r="S309" s="20">
        <f t="shared" si="32"/>
        <v>1.6126208072768617</v>
      </c>
      <c r="T309" s="20">
        <f t="shared" si="33"/>
        <v>4.8360432063672541E-2</v>
      </c>
      <c r="U309" s="20">
        <f>IFERROR(IF(ISNUMBER(INDEX('Firm Master'!$E$2:$E$1000,MATCH($C309,'Firm Master'!$B$2:$B$1000,0))),INDEX('Firm Master'!$E$2:$E$1000,MATCH($C309,'Firm Master'!$B$2:$B$1000,0)),""),"")</f>
        <v>1969</v>
      </c>
      <c r="V309" s="21">
        <f t="shared" si="34"/>
        <v>54</v>
      </c>
      <c r="W309" s="21">
        <v>0</v>
      </c>
      <c r="X309" s="20" t="str">
        <f>IFERROR(INDEX('Firm Master'!$G$2:$G$1000,MATCH($C309,'Firm Master'!$B$2:$B$1000,0)),"")</f>
        <v>Doyin Owolabi &amp; Co</v>
      </c>
    </row>
    <row r="310" spans="1:24" ht="15" customHeight="1" x14ac:dyDescent="0.3">
      <c r="A310" s="11">
        <v>309</v>
      </c>
      <c r="B310" s="11">
        <v>62</v>
      </c>
      <c r="C310" s="11" t="s">
        <v>1014</v>
      </c>
      <c r="D310" s="11" t="s">
        <v>1015</v>
      </c>
      <c r="E310" s="11" t="s">
        <v>709</v>
      </c>
      <c r="F310" s="11">
        <v>2024</v>
      </c>
      <c r="G310" s="20">
        <f t="shared" si="28"/>
        <v>1</v>
      </c>
      <c r="H310" s="21">
        <v>0</v>
      </c>
      <c r="I310" s="21">
        <f>IFERROR(INDEX('Coding Sheet'!$AC$2:$AC$731,MATCH($B310&amp;"_"&amp;$F310,'Coding Sheet'!$A$2:$A$731,0)),"")</f>
        <v>0</v>
      </c>
      <c r="J310" s="7">
        <f>IFERROR(INDEX('Coding Sheet'!$AT$2:$AT$731,MATCH($B310&amp;"_"&amp;$F310,'Coding Sheet'!$A$2:$A$731,0)),"")</f>
        <v>0</v>
      </c>
      <c r="K310" s="21">
        <v>1284000000</v>
      </c>
      <c r="L310" s="21">
        <v>1.7</v>
      </c>
      <c r="M310" s="20">
        <f t="shared" si="29"/>
        <v>2182800</v>
      </c>
      <c r="N310" s="21">
        <v>24457000</v>
      </c>
      <c r="O310" s="21">
        <v>16855000</v>
      </c>
      <c r="P310" s="20">
        <v>2954000</v>
      </c>
      <c r="Q310" s="20">
        <f t="shared" si="30"/>
        <v>1.5805280332245624</v>
      </c>
      <c r="R310" s="20">
        <f t="shared" si="31"/>
        <v>16.640157906650298</v>
      </c>
      <c r="S310" s="20">
        <f t="shared" si="32"/>
        <v>1.4510234351824385</v>
      </c>
      <c r="T310" s="20">
        <f t="shared" si="33"/>
        <v>0.17525956689409672</v>
      </c>
      <c r="U310" s="20">
        <f>IFERROR(IF(ISNUMBER(INDEX('Firm Master'!$E$2:$E$1000,MATCH($C310,'Firm Master'!$B$2:$B$1000,0))),INDEX('Firm Master'!$E$2:$E$1000,MATCH($C310,'Firm Master'!$B$2:$B$1000,0)),""),"")</f>
        <v>1969</v>
      </c>
      <c r="V310" s="21">
        <f t="shared" si="34"/>
        <v>55</v>
      </c>
      <c r="W310" s="21">
        <v>0</v>
      </c>
      <c r="X310" s="20" t="str">
        <f>IFERROR(INDEX('Firm Master'!$G$2:$G$1000,MATCH($C310,'Firm Master'!$B$2:$B$1000,0)),"")</f>
        <v>Doyin Owolabi &amp; Co</v>
      </c>
    </row>
    <row r="311" spans="1:24" ht="15" customHeight="1" x14ac:dyDescent="0.3">
      <c r="A311" s="11">
        <v>310</v>
      </c>
      <c r="B311" s="11">
        <v>62</v>
      </c>
      <c r="C311" s="11" t="s">
        <v>1014</v>
      </c>
      <c r="D311" s="11" t="s">
        <v>1015</v>
      </c>
      <c r="E311" s="11" t="s">
        <v>709</v>
      </c>
      <c r="F311" s="11">
        <v>2025</v>
      </c>
      <c r="G311" s="20">
        <f t="shared" si="28"/>
        <v>1</v>
      </c>
      <c r="H311" s="21">
        <v>0</v>
      </c>
      <c r="I311" s="21">
        <f>IFERROR(INDEX('Coding Sheet'!$AC$2:$AC$731,MATCH($B311&amp;"_"&amp;$F311,'Coding Sheet'!$A$2:$A$731,0)),"")</f>
        <v>10</v>
      </c>
      <c r="J311" s="7">
        <f>IFERROR(INDEX('Coding Sheet'!$AT$2:$AT$731,MATCH($B311&amp;"_"&amp;$F311,'Coding Sheet'!$A$2:$A$731,0)),"")</f>
        <v>0</v>
      </c>
      <c r="K311" s="21">
        <v>2534000000</v>
      </c>
      <c r="L311" s="21">
        <v>1.27</v>
      </c>
      <c r="M311" s="20">
        <f t="shared" si="29"/>
        <v>3218180</v>
      </c>
      <c r="N311" s="21">
        <v>6217000</v>
      </c>
      <c r="O311" s="21">
        <v>15458000</v>
      </c>
      <c r="P311" s="20">
        <v>868670</v>
      </c>
      <c r="Q311" s="20">
        <f t="shared" si="30"/>
        <v>0.61037521024712127</v>
      </c>
      <c r="R311" s="20">
        <f t="shared" si="31"/>
        <v>16.553637226648952</v>
      </c>
      <c r="S311" s="20">
        <f t="shared" si="32"/>
        <v>0.40218657006080993</v>
      </c>
      <c r="T311" s="20">
        <f t="shared" si="33"/>
        <v>5.6195497477034548E-2</v>
      </c>
      <c r="U311" s="20">
        <f>IFERROR(IF(ISNUMBER(INDEX('Firm Master'!$E$2:$E$1000,MATCH($C311,'Firm Master'!$B$2:$B$1000,0))),INDEX('Firm Master'!$E$2:$E$1000,MATCH($C311,'Firm Master'!$B$2:$B$1000,0)),""),"")</f>
        <v>1969</v>
      </c>
      <c r="V311" s="21">
        <f t="shared" si="34"/>
        <v>56</v>
      </c>
      <c r="W311" s="21">
        <v>0</v>
      </c>
      <c r="X311" s="20" t="str">
        <f>IFERROR(INDEX('Firm Master'!$G$2:$G$1000,MATCH($C311,'Firm Master'!$B$2:$B$1000,0)),"")</f>
        <v>Doyin Owolabi &amp; Co</v>
      </c>
    </row>
    <row r="312" spans="1:24" ht="15" customHeight="1" x14ac:dyDescent="0.3">
      <c r="A312" s="11">
        <v>311</v>
      </c>
      <c r="B312" s="11">
        <v>63</v>
      </c>
      <c r="C312" s="11" t="s">
        <v>1020</v>
      </c>
      <c r="D312" s="11" t="s">
        <v>1021</v>
      </c>
      <c r="E312" s="11" t="s">
        <v>709</v>
      </c>
      <c r="F312" s="11">
        <v>2021</v>
      </c>
      <c r="G312" s="20">
        <f t="shared" si="28"/>
        <v>0</v>
      </c>
      <c r="H312" s="21">
        <v>0</v>
      </c>
      <c r="I312" s="21">
        <f>IFERROR(INDEX('Coding Sheet'!$AC$2:$AC$731,MATCH($B312&amp;"_"&amp;$F312,'Coding Sheet'!$A$2:$A$731,0)),"")</f>
        <v>0</v>
      </c>
      <c r="J312" s="7">
        <f>IFERROR(INDEX('Coding Sheet'!$AT$2:$AT$731,MATCH($B312&amp;"_"&amp;$F312,'Coding Sheet'!$A$2:$A$731,0)),"")</f>
        <v>0</v>
      </c>
      <c r="K312" s="21">
        <v>34541000000</v>
      </c>
      <c r="L312" s="21">
        <v>0.56000000000000005</v>
      </c>
      <c r="M312" s="20">
        <f t="shared" si="29"/>
        <v>19342960</v>
      </c>
      <c r="N312" s="21">
        <v>254970000</v>
      </c>
      <c r="O312" s="21">
        <v>279276000</v>
      </c>
      <c r="P312" s="20">
        <v>4085000</v>
      </c>
      <c r="Q312" s="20">
        <f t="shared" si="30"/>
        <v>0.98222890617167247</v>
      </c>
      <c r="R312" s="20">
        <f t="shared" si="31"/>
        <v>19.447711098114802</v>
      </c>
      <c r="S312" s="20">
        <f t="shared" si="32"/>
        <v>0.91296781678339711</v>
      </c>
      <c r="T312" s="20">
        <f t="shared" si="33"/>
        <v>1.462710723442043E-2</v>
      </c>
      <c r="U312" s="20">
        <f>IFERROR(IF(ISNUMBER(INDEX('Firm Master'!$E$2:$E$1000,MATCH($C312,'Firm Master'!$B$2:$B$1000,0))),INDEX('Firm Master'!$E$2:$E$1000,MATCH($C312,'Firm Master'!$B$2:$B$1000,0)),""),"")</f>
        <v>2003</v>
      </c>
      <c r="V312" s="21">
        <f t="shared" si="34"/>
        <v>18</v>
      </c>
      <c r="W312" s="21">
        <v>1</v>
      </c>
      <c r="X312" s="20" t="str">
        <f>IFERROR(INDEX('Firm Master'!$G$2:$G$1000,MATCH($C312,'Firm Master'!$B$2:$B$1000,0)),"")</f>
        <v>Deloitte &amp; Touche</v>
      </c>
    </row>
    <row r="313" spans="1:24" ht="15" customHeight="1" x14ac:dyDescent="0.3">
      <c r="A313" s="11">
        <v>312</v>
      </c>
      <c r="B313" s="11">
        <v>63</v>
      </c>
      <c r="C313" s="11" t="s">
        <v>1020</v>
      </c>
      <c r="D313" s="11" t="s">
        <v>1021</v>
      </c>
      <c r="E313" s="11" t="s">
        <v>709</v>
      </c>
      <c r="F313" s="11">
        <v>2022</v>
      </c>
      <c r="G313" s="20">
        <f t="shared" si="28"/>
        <v>0</v>
      </c>
      <c r="H313" s="21">
        <v>0</v>
      </c>
      <c r="I313" s="21">
        <f>IFERROR(INDEX('Coding Sheet'!$AC$2:$AC$731,MATCH($B313&amp;"_"&amp;$F313,'Coding Sheet'!$A$2:$A$731,0)),"")</f>
        <v>0</v>
      </c>
      <c r="J313" s="7">
        <f>IFERROR(INDEX('Coding Sheet'!$AT$2:$AT$731,MATCH($B313&amp;"_"&amp;$F313,'Coding Sheet'!$A$2:$A$731,0)),"")</f>
        <v>0</v>
      </c>
      <c r="K313" s="21">
        <v>34541000000</v>
      </c>
      <c r="L313" s="21">
        <v>0.92</v>
      </c>
      <c r="M313" s="20">
        <f t="shared" si="29"/>
        <v>31777720</v>
      </c>
      <c r="N313" s="21">
        <v>350015000</v>
      </c>
      <c r="O313" s="21">
        <v>379819000</v>
      </c>
      <c r="P313" s="20">
        <v>6881000</v>
      </c>
      <c r="Q313" s="20">
        <f t="shared" si="30"/>
        <v>1.0051964751631699</v>
      </c>
      <c r="R313" s="20">
        <f t="shared" si="31"/>
        <v>19.755205381420833</v>
      </c>
      <c r="S313" s="20">
        <f t="shared" si="32"/>
        <v>0.92153104505040562</v>
      </c>
      <c r="T313" s="20">
        <f t="shared" si="33"/>
        <v>1.8116523923237121E-2</v>
      </c>
      <c r="U313" s="20">
        <f>IFERROR(IF(ISNUMBER(INDEX('Firm Master'!$E$2:$E$1000,MATCH($C313,'Firm Master'!$B$2:$B$1000,0))),INDEX('Firm Master'!$E$2:$E$1000,MATCH($C313,'Firm Master'!$B$2:$B$1000,0)),""),"")</f>
        <v>2003</v>
      </c>
      <c r="V313" s="21">
        <f t="shared" si="34"/>
        <v>19</v>
      </c>
      <c r="W313" s="21">
        <v>1</v>
      </c>
      <c r="X313" s="20" t="str">
        <f>IFERROR(INDEX('Firm Master'!$G$2:$G$1000,MATCH($C313,'Firm Master'!$B$2:$B$1000,0)),"")</f>
        <v>Deloitte &amp; Touche</v>
      </c>
    </row>
    <row r="314" spans="1:24" ht="15" customHeight="1" x14ac:dyDescent="0.3">
      <c r="A314" s="11">
        <v>313</v>
      </c>
      <c r="B314" s="11">
        <v>63</v>
      </c>
      <c r="C314" s="11" t="s">
        <v>1020</v>
      </c>
      <c r="D314" s="11" t="s">
        <v>1021</v>
      </c>
      <c r="E314" s="11" t="s">
        <v>709</v>
      </c>
      <c r="F314" s="11">
        <v>2023</v>
      </c>
      <c r="G314" s="20">
        <f t="shared" si="28"/>
        <v>1</v>
      </c>
      <c r="H314" s="21">
        <v>0</v>
      </c>
      <c r="I314" s="21">
        <f>IFERROR(INDEX('Coding Sheet'!$AC$2:$AC$731,MATCH($B314&amp;"_"&amp;$F314,'Coding Sheet'!$A$2:$A$731,0)),"")</f>
        <v>0</v>
      </c>
      <c r="J314" s="7">
        <f>IFERROR(INDEX('Coding Sheet'!$AT$2:$AT$731,MATCH($B314&amp;"_"&amp;$F314,'Coding Sheet'!$A$2:$A$731,0)),"")</f>
        <v>0</v>
      </c>
      <c r="K314" s="21">
        <v>34541000000</v>
      </c>
      <c r="L314" s="21">
        <v>1.94</v>
      </c>
      <c r="M314" s="20">
        <f t="shared" si="29"/>
        <v>67009540</v>
      </c>
      <c r="N314" s="21">
        <v>540816000</v>
      </c>
      <c r="O314" s="21">
        <v>580131000</v>
      </c>
      <c r="P314" s="20">
        <v>11237000</v>
      </c>
      <c r="Q314" s="20">
        <f t="shared" si="30"/>
        <v>1.047738424597203</v>
      </c>
      <c r="R314" s="20">
        <f t="shared" si="31"/>
        <v>20.178764498070709</v>
      </c>
      <c r="S314" s="20">
        <f t="shared" si="32"/>
        <v>0.93223082372774424</v>
      </c>
      <c r="T314" s="20">
        <f t="shared" si="33"/>
        <v>1.9369763036279738E-2</v>
      </c>
      <c r="U314" s="20">
        <f>IFERROR(IF(ISNUMBER(INDEX('Firm Master'!$E$2:$E$1000,MATCH($C314,'Firm Master'!$B$2:$B$1000,0))),INDEX('Firm Master'!$E$2:$E$1000,MATCH($C314,'Firm Master'!$B$2:$B$1000,0)),""),"")</f>
        <v>2003</v>
      </c>
      <c r="V314" s="21">
        <f t="shared" si="34"/>
        <v>20</v>
      </c>
      <c r="W314" s="21">
        <v>1</v>
      </c>
      <c r="X314" s="20" t="str">
        <f>IFERROR(INDEX('Firm Master'!$G$2:$G$1000,MATCH($C314,'Firm Master'!$B$2:$B$1000,0)),"")</f>
        <v>Deloitte &amp; Touche</v>
      </c>
    </row>
    <row r="315" spans="1:24" ht="15" customHeight="1" x14ac:dyDescent="0.3">
      <c r="A315" s="11">
        <v>314</v>
      </c>
      <c r="B315" s="11">
        <v>63</v>
      </c>
      <c r="C315" s="11" t="s">
        <v>1020</v>
      </c>
      <c r="D315" s="11" t="s">
        <v>1021</v>
      </c>
      <c r="E315" s="11" t="s">
        <v>709</v>
      </c>
      <c r="F315" s="11">
        <v>2024</v>
      </c>
      <c r="G315" s="20">
        <f t="shared" si="28"/>
        <v>1</v>
      </c>
      <c r="H315" s="21">
        <v>0</v>
      </c>
      <c r="I315" s="21">
        <f>IFERROR(INDEX('Coding Sheet'!$AC$2:$AC$731,MATCH($B315&amp;"_"&amp;$F315,'Coding Sheet'!$A$2:$A$731,0)),"")</f>
        <v>0</v>
      </c>
      <c r="J315" s="7">
        <f>IFERROR(INDEX('Coding Sheet'!$AT$2:$AT$731,MATCH($B315&amp;"_"&amp;$F315,'Coding Sheet'!$A$2:$A$731,0)),"")</f>
        <v>0</v>
      </c>
      <c r="K315" s="21">
        <v>34541000000</v>
      </c>
      <c r="L315" s="21">
        <v>3.87</v>
      </c>
      <c r="M315" s="20">
        <f t="shared" si="29"/>
        <v>133673670</v>
      </c>
      <c r="N315" s="21">
        <v>1009281000</v>
      </c>
      <c r="O315" s="21">
        <v>1080747000</v>
      </c>
      <c r="P315" s="20">
        <v>23484000</v>
      </c>
      <c r="Q315" s="20">
        <f t="shared" si="30"/>
        <v>1.0575598821925947</v>
      </c>
      <c r="R315" s="20">
        <f t="shared" si="31"/>
        <v>20.800918305658058</v>
      </c>
      <c r="S315" s="20">
        <f t="shared" si="32"/>
        <v>0.93387351526305418</v>
      </c>
      <c r="T315" s="20">
        <f t="shared" si="33"/>
        <v>2.1729414932449499E-2</v>
      </c>
      <c r="U315" s="20">
        <f>IFERROR(IF(ISNUMBER(INDEX('Firm Master'!$E$2:$E$1000,MATCH($C315,'Firm Master'!$B$2:$B$1000,0))),INDEX('Firm Master'!$E$2:$E$1000,MATCH($C315,'Firm Master'!$B$2:$B$1000,0)),""),"")</f>
        <v>2003</v>
      </c>
      <c r="V315" s="21">
        <f t="shared" si="34"/>
        <v>21</v>
      </c>
      <c r="W315" s="21">
        <v>1</v>
      </c>
      <c r="X315" s="20" t="str">
        <f>IFERROR(INDEX('Firm Master'!$G$2:$G$1000,MATCH($C315,'Firm Master'!$B$2:$B$1000,0)),"")</f>
        <v>Deloitte &amp; Touche</v>
      </c>
    </row>
    <row r="316" spans="1:24" ht="15" customHeight="1" x14ac:dyDescent="0.3">
      <c r="A316" s="11">
        <v>315</v>
      </c>
      <c r="B316" s="11">
        <v>63</v>
      </c>
      <c r="C316" s="11" t="s">
        <v>1020</v>
      </c>
      <c r="D316" s="11" t="s">
        <v>1021</v>
      </c>
      <c r="E316" s="11" t="s">
        <v>709</v>
      </c>
      <c r="F316" s="11">
        <v>2025</v>
      </c>
      <c r="G316" s="20">
        <f t="shared" si="28"/>
        <v>1</v>
      </c>
      <c r="H316" s="21">
        <v>0</v>
      </c>
      <c r="I316" s="21">
        <f>IFERROR(INDEX('Coding Sheet'!$AC$2:$AC$731,MATCH($B316&amp;"_"&amp;$F316,'Coding Sheet'!$A$2:$A$731,0)),"")</f>
        <v>0</v>
      </c>
      <c r="J316" s="7">
        <f>IFERROR(INDEX('Coding Sheet'!$AT$2:$AT$731,MATCH($B316&amp;"_"&amp;$F316,'Coding Sheet'!$A$2:$A$731,0)),"")</f>
        <v>0</v>
      </c>
      <c r="K316" s="21">
        <v>44589000000</v>
      </c>
      <c r="L316" s="21">
        <v>4.55</v>
      </c>
      <c r="M316" s="20">
        <f t="shared" si="29"/>
        <v>202879950</v>
      </c>
      <c r="N316" s="21">
        <v>1188839000</v>
      </c>
      <c r="O316" s="21">
        <v>1287341000</v>
      </c>
      <c r="P316" s="20">
        <v>30157000</v>
      </c>
      <c r="Q316" s="20">
        <f t="shared" si="30"/>
        <v>1.0810802654463736</v>
      </c>
      <c r="R316" s="20">
        <f t="shared" si="31"/>
        <v>20.97584468773038</v>
      </c>
      <c r="S316" s="20">
        <f t="shared" si="32"/>
        <v>0.9234841428960936</v>
      </c>
      <c r="T316" s="20">
        <f t="shared" si="33"/>
        <v>2.3425805594632657E-2</v>
      </c>
      <c r="U316" s="20">
        <f>IFERROR(IF(ISNUMBER(INDEX('Firm Master'!$E$2:$E$1000,MATCH($C316,'Firm Master'!$B$2:$B$1000,0))),INDEX('Firm Master'!$E$2:$E$1000,MATCH($C316,'Firm Master'!$B$2:$B$1000,0)),""),"")</f>
        <v>2003</v>
      </c>
      <c r="V316" s="21">
        <f t="shared" si="34"/>
        <v>22</v>
      </c>
      <c r="W316" s="21">
        <v>1</v>
      </c>
      <c r="X316" s="20" t="str">
        <f>IFERROR(INDEX('Firm Master'!$G$2:$G$1000,MATCH($C316,'Firm Master'!$B$2:$B$1000,0)),"")</f>
        <v>Deloitte &amp; Touche</v>
      </c>
    </row>
    <row r="317" spans="1:24" ht="15" customHeight="1" x14ac:dyDescent="0.3">
      <c r="A317" s="11">
        <v>316</v>
      </c>
      <c r="B317" s="11">
        <v>64</v>
      </c>
      <c r="C317" s="11" t="s">
        <v>1024</v>
      </c>
      <c r="D317" s="11" t="s">
        <v>1025</v>
      </c>
      <c r="E317" s="11" t="s">
        <v>766</v>
      </c>
      <c r="F317" s="11">
        <v>2021</v>
      </c>
      <c r="G317" s="20">
        <f t="shared" si="28"/>
        <v>0</v>
      </c>
      <c r="H317" s="21">
        <v>0</v>
      </c>
      <c r="I317" s="21">
        <f>IFERROR(INDEX('Coding Sheet'!$AC$2:$AC$731,MATCH($B317&amp;"_"&amp;$F317,'Coding Sheet'!$A$2:$A$731,0)),"")</f>
        <v>0</v>
      </c>
      <c r="J317" s="7">
        <f>IFERROR(INDEX('Coding Sheet'!$AT$2:$AT$731,MATCH($B317&amp;"_"&amp;$F317,'Coding Sheet'!$A$2:$A$731,0)),"")</f>
        <v>0</v>
      </c>
      <c r="K317" s="21">
        <v>6263000000</v>
      </c>
      <c r="L317" s="21">
        <v>0.39</v>
      </c>
      <c r="M317" s="20">
        <f t="shared" si="29"/>
        <v>2442570</v>
      </c>
      <c r="N317" s="21">
        <v>13372000</v>
      </c>
      <c r="O317" s="21">
        <v>13089000</v>
      </c>
      <c r="P317" s="20">
        <v>-3106000</v>
      </c>
      <c r="Q317" s="20">
        <f t="shared" si="30"/>
        <v>1.2082336312934525</v>
      </c>
      <c r="R317" s="20">
        <f t="shared" si="31"/>
        <v>16.387282740773855</v>
      </c>
      <c r="S317" s="20">
        <f t="shared" si="32"/>
        <v>1.0216212086484835</v>
      </c>
      <c r="T317" s="20">
        <f t="shared" si="33"/>
        <v>-0.23729849491939797</v>
      </c>
      <c r="U317" s="20">
        <f>IFERROR(IF(ISNUMBER(INDEX('Firm Master'!$E$2:$E$1000,MATCH($C317,'Firm Master'!$B$2:$B$1000,0))),INDEX('Firm Master'!$E$2:$E$1000,MATCH($C317,'Firm Master'!$B$2:$B$1000,0)),""),"")</f>
        <v>1994</v>
      </c>
      <c r="V317" s="21">
        <f t="shared" si="34"/>
        <v>27</v>
      </c>
      <c r="W317" s="21">
        <v>0</v>
      </c>
      <c r="X317" s="20" t="str">
        <f>IFERROR(INDEX('Firm Master'!$G$2:$G$1000,MATCH($C317,'Firm Master'!$B$2:$B$1000,0)),"")</f>
        <v>SIAO Partners</v>
      </c>
    </row>
    <row r="318" spans="1:24" ht="15" customHeight="1" x14ac:dyDescent="0.3">
      <c r="A318" s="11">
        <v>317</v>
      </c>
      <c r="B318" s="11">
        <v>64</v>
      </c>
      <c r="C318" s="11" t="s">
        <v>1024</v>
      </c>
      <c r="D318" s="11" t="s">
        <v>1025</v>
      </c>
      <c r="E318" s="11" t="s">
        <v>766</v>
      </c>
      <c r="F318" s="11">
        <v>2022</v>
      </c>
      <c r="G318" s="20">
        <f t="shared" si="28"/>
        <v>0</v>
      </c>
      <c r="H318" s="21">
        <v>0</v>
      </c>
      <c r="I318" s="21">
        <f>IFERROR(INDEX('Coding Sheet'!$AC$2:$AC$731,MATCH($B318&amp;"_"&amp;$F318,'Coding Sheet'!$A$2:$A$731,0)),"")</f>
        <v>0</v>
      </c>
      <c r="J318" s="7">
        <f>IFERROR(INDEX('Coding Sheet'!$AT$2:$AT$731,MATCH($B318&amp;"_"&amp;$F318,'Coding Sheet'!$A$2:$A$731,0)),"")</f>
        <v>0</v>
      </c>
      <c r="K318" s="21">
        <v>6263000000</v>
      </c>
      <c r="L318" s="21">
        <v>0.28000000000000003</v>
      </c>
      <c r="M318" s="20">
        <f t="shared" si="29"/>
        <v>1753640.0000000002</v>
      </c>
      <c r="N318" s="21">
        <v>13324000</v>
      </c>
      <c r="O318" s="21">
        <v>13197000</v>
      </c>
      <c r="P318" s="20">
        <v>155980</v>
      </c>
      <c r="Q318" s="20">
        <f t="shared" si="30"/>
        <v>1.1425051147988179</v>
      </c>
      <c r="R318" s="20">
        <f t="shared" si="31"/>
        <v>16.395500088998965</v>
      </c>
      <c r="S318" s="20">
        <f t="shared" si="32"/>
        <v>1.0096233992574071</v>
      </c>
      <c r="T318" s="20">
        <f t="shared" si="33"/>
        <v>1.1819352883231037E-2</v>
      </c>
      <c r="U318" s="20">
        <f>IFERROR(IF(ISNUMBER(INDEX('Firm Master'!$E$2:$E$1000,MATCH($C318,'Firm Master'!$B$2:$B$1000,0))),INDEX('Firm Master'!$E$2:$E$1000,MATCH($C318,'Firm Master'!$B$2:$B$1000,0)),""),"")</f>
        <v>1994</v>
      </c>
      <c r="V318" s="21">
        <f t="shared" si="34"/>
        <v>28</v>
      </c>
      <c r="W318" s="21">
        <v>0</v>
      </c>
      <c r="X318" s="20" t="str">
        <f>IFERROR(INDEX('Firm Master'!$G$2:$G$1000,MATCH($C318,'Firm Master'!$B$2:$B$1000,0)),"")</f>
        <v>SIAO Partners</v>
      </c>
    </row>
    <row r="319" spans="1:24" ht="15" customHeight="1" x14ac:dyDescent="0.3">
      <c r="A319" s="11">
        <v>318</v>
      </c>
      <c r="B319" s="11">
        <v>64</v>
      </c>
      <c r="C319" s="11" t="s">
        <v>1024</v>
      </c>
      <c r="D319" s="11" t="s">
        <v>1025</v>
      </c>
      <c r="E319" s="11" t="s">
        <v>766</v>
      </c>
      <c r="F319" s="11">
        <v>2023</v>
      </c>
      <c r="G319" s="20">
        <f t="shared" si="28"/>
        <v>1</v>
      </c>
      <c r="H319" s="21">
        <v>0</v>
      </c>
      <c r="I319" s="21">
        <f>IFERROR(INDEX('Coding Sheet'!$AC$2:$AC$731,MATCH($B319&amp;"_"&amp;$F319,'Coding Sheet'!$A$2:$A$731,0)),"")</f>
        <v>0</v>
      </c>
      <c r="J319" s="7">
        <f>IFERROR(INDEX('Coding Sheet'!$AT$2:$AT$731,MATCH($B319&amp;"_"&amp;$F319,'Coding Sheet'!$A$2:$A$731,0)),"")</f>
        <v>0</v>
      </c>
      <c r="K319" s="21">
        <v>6263000000</v>
      </c>
      <c r="L319" s="21">
        <v>1.7</v>
      </c>
      <c r="M319" s="20">
        <f t="shared" si="29"/>
        <v>10647100</v>
      </c>
      <c r="N319" s="21">
        <v>15117000</v>
      </c>
      <c r="O319" s="21">
        <v>14316000</v>
      </c>
      <c r="P319" s="20">
        <v>-674040</v>
      </c>
      <c r="Q319" s="20">
        <f t="shared" si="30"/>
        <v>1.7996716960044705</v>
      </c>
      <c r="R319" s="20">
        <f t="shared" si="31"/>
        <v>16.476888350868052</v>
      </c>
      <c r="S319" s="20">
        <f t="shared" si="32"/>
        <v>1.0559513830678962</v>
      </c>
      <c r="T319" s="20">
        <f t="shared" si="33"/>
        <v>-4.7082984073763622E-2</v>
      </c>
      <c r="U319" s="20">
        <f>IFERROR(IF(ISNUMBER(INDEX('Firm Master'!$E$2:$E$1000,MATCH($C319,'Firm Master'!$B$2:$B$1000,0))),INDEX('Firm Master'!$E$2:$E$1000,MATCH($C319,'Firm Master'!$B$2:$B$1000,0)),""),"")</f>
        <v>1994</v>
      </c>
      <c r="V319" s="21">
        <f t="shared" si="34"/>
        <v>29</v>
      </c>
      <c r="W319" s="21">
        <v>0</v>
      </c>
      <c r="X319" s="20" t="str">
        <f>IFERROR(INDEX('Firm Master'!$G$2:$G$1000,MATCH($C319,'Firm Master'!$B$2:$B$1000,0)),"")</f>
        <v>SIAO Partners</v>
      </c>
    </row>
    <row r="320" spans="1:24" ht="15" customHeight="1" x14ac:dyDescent="0.3">
      <c r="A320" s="11">
        <v>319</v>
      </c>
      <c r="B320" s="11">
        <v>64</v>
      </c>
      <c r="C320" s="11" t="s">
        <v>1024</v>
      </c>
      <c r="D320" s="11" t="s">
        <v>1025</v>
      </c>
      <c r="E320" s="11" t="s">
        <v>766</v>
      </c>
      <c r="F320" s="11">
        <v>2024</v>
      </c>
      <c r="G320" s="20">
        <f t="shared" si="28"/>
        <v>1</v>
      </c>
      <c r="H320" s="21">
        <v>0</v>
      </c>
      <c r="I320" s="21">
        <f>IFERROR(INDEX('Coding Sheet'!$AC$2:$AC$731,MATCH($B320&amp;"_"&amp;$F320,'Coding Sheet'!$A$2:$A$731,0)),"")</f>
        <v>15</v>
      </c>
      <c r="J320" s="7">
        <f>IFERROR(INDEX('Coding Sheet'!$AT$2:$AT$731,MATCH($B320&amp;"_"&amp;$F320,'Coding Sheet'!$A$2:$A$731,0)),"")</f>
        <v>0</v>
      </c>
      <c r="K320" s="21">
        <v>14263000000</v>
      </c>
      <c r="L320" s="21">
        <v>2.0499999999999998</v>
      </c>
      <c r="M320" s="20">
        <f t="shared" si="29"/>
        <v>29239149.999999996</v>
      </c>
      <c r="N320" s="21">
        <v>14933000</v>
      </c>
      <c r="O320" s="21">
        <v>33417000</v>
      </c>
      <c r="P320" s="20">
        <v>1680000</v>
      </c>
      <c r="Q320" s="20">
        <f t="shared" si="30"/>
        <v>1.3218466648711733</v>
      </c>
      <c r="R320" s="20">
        <f t="shared" si="31"/>
        <v>17.324575310495437</v>
      </c>
      <c r="S320" s="20">
        <f t="shared" si="32"/>
        <v>0.44686836041535744</v>
      </c>
      <c r="T320" s="20">
        <f t="shared" si="33"/>
        <v>5.0273812730047579E-2</v>
      </c>
      <c r="U320" s="20">
        <f>IFERROR(IF(ISNUMBER(INDEX('Firm Master'!$E$2:$E$1000,MATCH($C320,'Firm Master'!$B$2:$B$1000,0))),INDEX('Firm Master'!$E$2:$E$1000,MATCH($C320,'Firm Master'!$B$2:$B$1000,0)),""),"")</f>
        <v>1994</v>
      </c>
      <c r="V320" s="21">
        <f t="shared" si="34"/>
        <v>30</v>
      </c>
      <c r="W320" s="21">
        <v>0</v>
      </c>
      <c r="X320" s="20" t="str">
        <f>IFERROR(INDEX('Firm Master'!$G$2:$G$1000,MATCH($C320,'Firm Master'!$B$2:$B$1000,0)),"")</f>
        <v>SIAO Partners</v>
      </c>
    </row>
    <row r="321" spans="1:24" ht="15" customHeight="1" x14ac:dyDescent="0.3">
      <c r="A321" s="11">
        <v>320</v>
      </c>
      <c r="B321" s="11">
        <v>64</v>
      </c>
      <c r="C321" s="11" t="s">
        <v>1024</v>
      </c>
      <c r="D321" s="11" t="s">
        <v>1025</v>
      </c>
      <c r="E321" s="11" t="s">
        <v>766</v>
      </c>
      <c r="F321" s="11">
        <v>2025</v>
      </c>
      <c r="G321" s="20">
        <f t="shared" si="28"/>
        <v>1</v>
      </c>
      <c r="H321" s="21">
        <v>0</v>
      </c>
      <c r="I321" s="21">
        <f>IFERROR(INDEX('Coding Sheet'!$AC$2:$AC$731,MATCH($B321&amp;"_"&amp;$F321,'Coding Sheet'!$A$2:$A$731,0)),"")</f>
        <v>0</v>
      </c>
      <c r="J321" s="7">
        <f>IFERROR(INDEX('Coding Sheet'!$AT$2:$AT$731,MATCH($B321&amp;"_"&amp;$F321,'Coding Sheet'!$A$2:$A$731,0)),"")</f>
        <v>0</v>
      </c>
      <c r="K321" s="21">
        <v>14263000000</v>
      </c>
      <c r="L321" s="21">
        <v>2.31</v>
      </c>
      <c r="M321" s="20">
        <f t="shared" si="29"/>
        <v>32947530</v>
      </c>
      <c r="N321" s="21">
        <v>15088000</v>
      </c>
      <c r="O321" s="21">
        <v>33527000</v>
      </c>
      <c r="P321" s="20">
        <v>1113000</v>
      </c>
      <c r="Q321" s="20">
        <f t="shared" si="30"/>
        <v>1.4327416708921168</v>
      </c>
      <c r="R321" s="20">
        <f t="shared" si="31"/>
        <v>17.327861642325018</v>
      </c>
      <c r="S321" s="20">
        <f t="shared" si="32"/>
        <v>0.45002535270080829</v>
      </c>
      <c r="T321" s="20">
        <f t="shared" si="33"/>
        <v>3.3197124705461267E-2</v>
      </c>
      <c r="U321" s="20">
        <f>IFERROR(IF(ISNUMBER(INDEX('Firm Master'!$E$2:$E$1000,MATCH($C321,'Firm Master'!$B$2:$B$1000,0))),INDEX('Firm Master'!$E$2:$E$1000,MATCH($C321,'Firm Master'!$B$2:$B$1000,0)),""),"")</f>
        <v>1994</v>
      </c>
      <c r="V321" s="21">
        <f t="shared" si="34"/>
        <v>31</v>
      </c>
      <c r="W321" s="21">
        <v>0</v>
      </c>
      <c r="X321" s="20" t="str">
        <f>IFERROR(INDEX('Firm Master'!$G$2:$G$1000,MATCH($C321,'Firm Master'!$B$2:$B$1000,0)),"")</f>
        <v>SIAO Partners</v>
      </c>
    </row>
    <row r="322" spans="1:24" ht="27.75" customHeight="1" x14ac:dyDescent="0.3">
      <c r="A322" s="11">
        <v>321</v>
      </c>
      <c r="B322" s="11">
        <v>65</v>
      </c>
      <c r="C322" s="11" t="s">
        <v>1028</v>
      </c>
      <c r="D322" s="11" t="s">
        <v>1029</v>
      </c>
      <c r="E322" s="11" t="s">
        <v>780</v>
      </c>
      <c r="F322" s="11">
        <v>2021</v>
      </c>
      <c r="G322" s="20">
        <f t="shared" ref="G322:G385" si="35">IF(F322&gt;=2023,1,0)</f>
        <v>0</v>
      </c>
      <c r="H322" s="21">
        <v>0</v>
      </c>
      <c r="I322" s="21">
        <f>IFERROR(INDEX('Coding Sheet'!$AC$2:$AC$731,MATCH($B322&amp;"_"&amp;$F322,'Coding Sheet'!$A$2:$A$731,0)),"")</f>
        <v>20</v>
      </c>
      <c r="J322" s="7">
        <f>IFERROR(INDEX('Coding Sheet'!$AT$2:$AT$731,MATCH($B322&amp;"_"&amp;$F322,'Coding Sheet'!$A$2:$A$731,0)),"")</f>
        <v>13.333333333333334</v>
      </c>
      <c r="K322" s="21">
        <v>1600000000</v>
      </c>
      <c r="L322" s="21">
        <v>22.35</v>
      </c>
      <c r="M322" s="20">
        <f t="shared" ref="M322:M385" si="36">IF(AND(ISNUMBER(K322),ISNUMBER(L322)),K322*L322/1000,"")</f>
        <v>35760000</v>
      </c>
      <c r="N322" s="21">
        <v>424126000</v>
      </c>
      <c r="O322" s="21">
        <v>477239000</v>
      </c>
      <c r="P322" s="20">
        <v>8344000</v>
      </c>
      <c r="Q322" s="20">
        <f t="shared" ref="Q322:Q385" si="37">IF(AND(ISNUMBER(M322),ISNUMBER(N322),ISNUMBER(O322),O322&lt;&gt;0),(M322+N322)/O322,"")</f>
        <v>0.96363876380597557</v>
      </c>
      <c r="R322" s="20">
        <f t="shared" ref="R322:R385" si="38">IF(AND(ISNUMBER(O322),O322&gt;0),LN(O322),"")</f>
        <v>19.9835279715879</v>
      </c>
      <c r="S322" s="20">
        <f t="shared" ref="S322:S385" si="39">IF(AND(ISNUMBER(N322),ISNUMBER(O322),O322&lt;&gt;0),N322/O322,"")</f>
        <v>0.88870775439559635</v>
      </c>
      <c r="T322" s="20">
        <f t="shared" ref="T322:T385" si="40">IF(AND(ISNUMBER(P322),ISNUMBER(O322),O322&lt;&gt;0),P322/O322,"")</f>
        <v>1.7483902195755168E-2</v>
      </c>
      <c r="U322" s="20">
        <f>IFERROR(IF(ISNUMBER(INDEX('Firm Master'!$E$2:$E$1000,MATCH($C322,'Firm Master'!$B$2:$B$1000,0))),INDEX('Firm Master'!$E$2:$E$1000,MATCH($C322,'Firm Master'!$B$2:$B$1000,0)),""),"")</f>
        <v>1970</v>
      </c>
      <c r="V322" s="21">
        <f t="shared" ref="V322:V385" si="41">IF(ISNUMBER(U322),F322-U322,"")</f>
        <v>51</v>
      </c>
      <c r="W322" s="21">
        <v>1</v>
      </c>
      <c r="X322" s="20" t="str">
        <f>IFERROR(INDEX('Firm Master'!$G$2:$G$1000,MATCH($C322,'Firm Master'!$B$2:$B$1000,0)),"")</f>
        <v>PricewaterhouseCoopers (PwC)</v>
      </c>
    </row>
    <row r="323" spans="1:24" ht="27.75" customHeight="1" x14ac:dyDescent="0.3">
      <c r="A323" s="11">
        <v>322</v>
      </c>
      <c r="B323" s="11">
        <v>65</v>
      </c>
      <c r="C323" s="11" t="s">
        <v>1028</v>
      </c>
      <c r="D323" s="11" t="s">
        <v>1029</v>
      </c>
      <c r="E323" s="11" t="s">
        <v>780</v>
      </c>
      <c r="F323" s="11">
        <v>2022</v>
      </c>
      <c r="G323" s="20">
        <f t="shared" si="35"/>
        <v>0</v>
      </c>
      <c r="H323" s="21">
        <v>0</v>
      </c>
      <c r="I323" s="21">
        <f>IFERROR(INDEX('Coding Sheet'!$AC$2:$AC$731,MATCH($B323&amp;"_"&amp;$F323,'Coding Sheet'!$A$2:$A$731,0)),"")</f>
        <v>20</v>
      </c>
      <c r="J323" s="7">
        <f>IFERROR(INDEX('Coding Sheet'!$AT$2:$AT$731,MATCH($B323&amp;"_"&amp;$F323,'Coding Sheet'!$A$2:$A$731,0)),"")</f>
        <v>13.333333333333334</v>
      </c>
      <c r="K323" s="21">
        <v>1600000000</v>
      </c>
      <c r="L323" s="21">
        <v>24.5</v>
      </c>
      <c r="M323" s="20">
        <f t="shared" si="36"/>
        <v>39200000</v>
      </c>
      <c r="N323" s="21">
        <v>449210000</v>
      </c>
      <c r="O323" s="21">
        <v>506271000</v>
      </c>
      <c r="P323" s="20">
        <v>7914000</v>
      </c>
      <c r="Q323" s="20">
        <f t="shared" si="37"/>
        <v>0.96472047579260911</v>
      </c>
      <c r="R323" s="20">
        <f t="shared" si="38"/>
        <v>20.042582657006172</v>
      </c>
      <c r="S323" s="20">
        <f t="shared" si="39"/>
        <v>0.88729158889211512</v>
      </c>
      <c r="T323" s="20">
        <f t="shared" si="40"/>
        <v>1.5631944156390548E-2</v>
      </c>
      <c r="U323" s="20">
        <f>IFERROR(IF(ISNUMBER(INDEX('Firm Master'!$E$2:$E$1000,MATCH($C323,'Firm Master'!$B$2:$B$1000,0))),INDEX('Firm Master'!$E$2:$E$1000,MATCH($C323,'Firm Master'!$B$2:$B$1000,0)),""),"")</f>
        <v>1970</v>
      </c>
      <c r="V323" s="21">
        <f t="shared" si="41"/>
        <v>52</v>
      </c>
      <c r="W323" s="21">
        <v>1</v>
      </c>
      <c r="X323" s="20" t="str">
        <f>IFERROR(INDEX('Firm Master'!$G$2:$G$1000,MATCH($C323,'Firm Master'!$B$2:$B$1000,0)),"")</f>
        <v>PricewaterhouseCoopers (PwC)</v>
      </c>
    </row>
    <row r="324" spans="1:24" ht="27.75" customHeight="1" x14ac:dyDescent="0.3">
      <c r="A324" s="11">
        <v>323</v>
      </c>
      <c r="B324" s="11">
        <v>65</v>
      </c>
      <c r="C324" s="11" t="s">
        <v>1028</v>
      </c>
      <c r="D324" s="11" t="s">
        <v>1029</v>
      </c>
      <c r="E324" s="11" t="s">
        <v>780</v>
      </c>
      <c r="F324" s="11">
        <v>2023</v>
      </c>
      <c r="G324" s="20">
        <f t="shared" si="35"/>
        <v>1</v>
      </c>
      <c r="H324" s="21">
        <v>0</v>
      </c>
      <c r="I324" s="21">
        <f>IFERROR(INDEX('Coding Sheet'!$AC$2:$AC$731,MATCH($B324&amp;"_"&amp;$F324,'Coding Sheet'!$A$2:$A$731,0)),"")</f>
        <v>20</v>
      </c>
      <c r="J324" s="7">
        <f>IFERROR(INDEX('Coding Sheet'!$AT$2:$AT$731,MATCH($B324&amp;"_"&amp;$F324,'Coding Sheet'!$A$2:$A$731,0)),"")</f>
        <v>13.333333333333334</v>
      </c>
      <c r="K324" s="21">
        <v>1600000000</v>
      </c>
      <c r="L324" s="21">
        <v>43</v>
      </c>
      <c r="M324" s="20">
        <f t="shared" si="36"/>
        <v>68800000</v>
      </c>
      <c r="N324" s="21">
        <v>580474000</v>
      </c>
      <c r="O324" s="21">
        <v>686942000</v>
      </c>
      <c r="P324" s="20">
        <v>12553000</v>
      </c>
      <c r="Q324" s="20">
        <f t="shared" si="37"/>
        <v>0.94516567628708104</v>
      </c>
      <c r="R324" s="20">
        <f t="shared" si="38"/>
        <v>20.347760421586241</v>
      </c>
      <c r="S324" s="20">
        <f t="shared" si="39"/>
        <v>0.84501166037307374</v>
      </c>
      <c r="T324" s="20">
        <f t="shared" si="40"/>
        <v>1.8273740723379849E-2</v>
      </c>
      <c r="U324" s="20">
        <f>IFERROR(IF(ISNUMBER(INDEX('Firm Master'!$E$2:$E$1000,MATCH($C324,'Firm Master'!$B$2:$B$1000,0))),INDEX('Firm Master'!$E$2:$E$1000,MATCH($C324,'Firm Master'!$B$2:$B$1000,0)),""),"")</f>
        <v>1970</v>
      </c>
      <c r="V324" s="21">
        <f t="shared" si="41"/>
        <v>53</v>
      </c>
      <c r="W324" s="21">
        <v>1</v>
      </c>
      <c r="X324" s="20" t="str">
        <f>IFERROR(INDEX('Firm Master'!$G$2:$G$1000,MATCH($C324,'Firm Master'!$B$2:$B$1000,0)),"")</f>
        <v>PricewaterhouseCoopers (PwC)</v>
      </c>
    </row>
    <row r="325" spans="1:24" ht="27.75" customHeight="1" x14ac:dyDescent="0.3">
      <c r="A325" s="11">
        <v>324</v>
      </c>
      <c r="B325" s="11">
        <v>65</v>
      </c>
      <c r="C325" s="11" t="s">
        <v>1028</v>
      </c>
      <c r="D325" s="11" t="s">
        <v>1029</v>
      </c>
      <c r="E325" s="11" t="s">
        <v>780</v>
      </c>
      <c r="F325" s="11">
        <v>2024</v>
      </c>
      <c r="G325" s="20">
        <f t="shared" si="35"/>
        <v>1</v>
      </c>
      <c r="H325" s="21">
        <v>0</v>
      </c>
      <c r="I325" s="21">
        <f>IFERROR(INDEX('Coding Sheet'!$AC$2:$AC$731,MATCH($B325&amp;"_"&amp;$F325,'Coding Sheet'!$A$2:$A$731,0)),"")</f>
        <v>55.000000000000007</v>
      </c>
      <c r="J325" s="7">
        <f>IFERROR(INDEX('Coding Sheet'!$AT$2:$AT$731,MATCH($B325&amp;"_"&amp;$F325,'Coding Sheet'!$A$2:$A$731,0)),"")</f>
        <v>20</v>
      </c>
      <c r="K325" s="21">
        <v>1600000000</v>
      </c>
      <c r="L325" s="21">
        <v>155.25</v>
      </c>
      <c r="M325" s="20">
        <f t="shared" si="36"/>
        <v>248400000</v>
      </c>
      <c r="N325" s="21">
        <v>677255000</v>
      </c>
      <c r="O325" s="21">
        <v>1023035000</v>
      </c>
      <c r="P325" s="20">
        <v>15260000</v>
      </c>
      <c r="Q325" s="20">
        <f t="shared" si="37"/>
        <v>0.90481264081874035</v>
      </c>
      <c r="R325" s="20">
        <f t="shared" si="38"/>
        <v>20.746039536429375</v>
      </c>
      <c r="S325" s="20">
        <f t="shared" si="39"/>
        <v>0.66200569872976001</v>
      </c>
      <c r="T325" s="20">
        <f t="shared" si="40"/>
        <v>1.491640070965314E-2</v>
      </c>
      <c r="U325" s="20">
        <f>IFERROR(IF(ISNUMBER(INDEX('Firm Master'!$E$2:$E$1000,MATCH($C325,'Firm Master'!$B$2:$B$1000,0))),INDEX('Firm Master'!$E$2:$E$1000,MATCH($C325,'Firm Master'!$B$2:$B$1000,0)),""),"")</f>
        <v>1970</v>
      </c>
      <c r="V325" s="21">
        <f t="shared" si="41"/>
        <v>54</v>
      </c>
      <c r="W325" s="21">
        <v>1</v>
      </c>
      <c r="X325" s="20" t="str">
        <f>IFERROR(INDEX('Firm Master'!$G$2:$G$1000,MATCH($C325,'Firm Master'!$B$2:$B$1000,0)),"")</f>
        <v>PricewaterhouseCoopers (PwC)</v>
      </c>
    </row>
    <row r="326" spans="1:24" ht="27.75" customHeight="1" x14ac:dyDescent="0.3">
      <c r="A326" s="11">
        <v>325</v>
      </c>
      <c r="B326" s="11">
        <v>65</v>
      </c>
      <c r="C326" s="11" t="s">
        <v>1028</v>
      </c>
      <c r="D326" s="11" t="s">
        <v>1029</v>
      </c>
      <c r="E326" s="11" t="s">
        <v>780</v>
      </c>
      <c r="F326" s="11">
        <v>2025</v>
      </c>
      <c r="G326" s="20">
        <f t="shared" si="35"/>
        <v>1</v>
      </c>
      <c r="H326" s="21">
        <v>0</v>
      </c>
      <c r="I326" s="21">
        <f>IFERROR(INDEX('Coding Sheet'!$AC$2:$AC$731,MATCH($B326&amp;"_"&amp;$F326,'Coding Sheet'!$A$2:$A$731,0)),"")</f>
        <v>55.000000000000007</v>
      </c>
      <c r="J326" s="7">
        <f>IFERROR(INDEX('Coding Sheet'!$AT$2:$AT$731,MATCH($B326&amp;"_"&amp;$F326,'Coding Sheet'!$A$2:$A$731,0)),"")</f>
        <v>20</v>
      </c>
      <c r="K326" s="21">
        <v>1600000000</v>
      </c>
      <c r="L326" s="21">
        <v>152.9</v>
      </c>
      <c r="M326" s="20">
        <f t="shared" si="36"/>
        <v>244640000</v>
      </c>
      <c r="N326" s="21">
        <v>792453000</v>
      </c>
      <c r="O326" s="21">
        <v>1080664000</v>
      </c>
      <c r="P326" s="20">
        <v>29908000</v>
      </c>
      <c r="Q326" s="20">
        <f t="shared" si="37"/>
        <v>0.95968127003397907</v>
      </c>
      <c r="R326" s="20">
        <f t="shared" si="38"/>
        <v>20.800841503976155</v>
      </c>
      <c r="S326" s="20">
        <f t="shared" si="39"/>
        <v>0.73330193288570733</v>
      </c>
      <c r="T326" s="20">
        <f t="shared" si="40"/>
        <v>2.7675577237698305E-2</v>
      </c>
      <c r="U326" s="20">
        <f>IFERROR(IF(ISNUMBER(INDEX('Firm Master'!$E$2:$E$1000,MATCH($C326,'Firm Master'!$B$2:$B$1000,0))),INDEX('Firm Master'!$E$2:$E$1000,MATCH($C326,'Firm Master'!$B$2:$B$1000,0)),""),"")</f>
        <v>1970</v>
      </c>
      <c r="V326" s="21">
        <f t="shared" si="41"/>
        <v>55</v>
      </c>
      <c r="W326" s="21">
        <v>1</v>
      </c>
      <c r="X326" s="20" t="str">
        <f>IFERROR(INDEX('Firm Master'!$G$2:$G$1000,MATCH($C326,'Firm Master'!$B$2:$B$1000,0)),"")</f>
        <v>PricewaterhouseCoopers (PwC)</v>
      </c>
    </row>
    <row r="327" spans="1:24" ht="15" customHeight="1" x14ac:dyDescent="0.3">
      <c r="A327" s="11">
        <v>326</v>
      </c>
      <c r="B327" s="11">
        <v>66</v>
      </c>
      <c r="C327" s="11" t="s">
        <v>1032</v>
      </c>
      <c r="D327" s="11" t="s">
        <v>1033</v>
      </c>
      <c r="E327" s="11" t="s">
        <v>870</v>
      </c>
      <c r="F327" s="11">
        <v>2021</v>
      </c>
      <c r="G327" s="20">
        <f t="shared" si="35"/>
        <v>0</v>
      </c>
      <c r="H327" s="21">
        <v>0</v>
      </c>
      <c r="I327" s="21">
        <f>IFERROR(INDEX('Coding Sheet'!$AC$2:$AC$731,MATCH($B327&amp;"_"&amp;$F327,'Coding Sheet'!$A$2:$A$731,0)),"")</f>
        <v>0</v>
      </c>
      <c r="J327" s="7">
        <f>IFERROR(INDEX('Coding Sheet'!$AT$2:$AT$731,MATCH($B327&amp;"_"&amp;$F327,'Coding Sheet'!$A$2:$A$731,0)),"")</f>
        <v>0</v>
      </c>
      <c r="K327" s="21">
        <v>390000000</v>
      </c>
      <c r="L327" s="21">
        <v>0.72</v>
      </c>
      <c r="M327" s="20">
        <f t="shared" si="36"/>
        <v>280800</v>
      </c>
      <c r="N327" s="21">
        <v>8919000</v>
      </c>
      <c r="O327" s="21">
        <v>10928000</v>
      </c>
      <c r="P327" s="20">
        <v>-508000</v>
      </c>
      <c r="Q327" s="20">
        <f t="shared" si="37"/>
        <v>0.84185578330893118</v>
      </c>
      <c r="R327" s="20">
        <f t="shared" si="38"/>
        <v>16.206838860792708</v>
      </c>
      <c r="S327" s="20">
        <f t="shared" si="39"/>
        <v>0.81616032210834555</v>
      </c>
      <c r="T327" s="20">
        <f t="shared" si="40"/>
        <v>-4.6486090775988288E-2</v>
      </c>
      <c r="U327" s="20">
        <f>IFERROR(IF(ISNUMBER(INDEX('Firm Master'!$E$2:$E$1000,MATCH($C327,'Firm Master'!$B$2:$B$1000,0))),INDEX('Firm Master'!$E$2:$E$1000,MATCH($C327,'Firm Master'!$B$2:$B$1000,0)),""),"")</f>
        <v>1961</v>
      </c>
      <c r="V327" s="21">
        <f t="shared" si="41"/>
        <v>60</v>
      </c>
      <c r="W327" s="21">
        <v>0</v>
      </c>
      <c r="X327" s="20" t="str">
        <f>IFERROR(INDEX('Firm Master'!$G$2:$G$1000,MATCH($C327,'Firm Master'!$B$2:$B$1000,0)),"")</f>
        <v>Baker Tilly Nigeria</v>
      </c>
    </row>
    <row r="328" spans="1:24" ht="15" customHeight="1" x14ac:dyDescent="0.3">
      <c r="A328" s="11">
        <v>327</v>
      </c>
      <c r="B328" s="11">
        <v>66</v>
      </c>
      <c r="C328" s="11" t="s">
        <v>1032</v>
      </c>
      <c r="D328" s="11" t="s">
        <v>1033</v>
      </c>
      <c r="E328" s="11" t="s">
        <v>870</v>
      </c>
      <c r="F328" s="11">
        <v>2022</v>
      </c>
      <c r="G328" s="20">
        <f t="shared" si="35"/>
        <v>0</v>
      </c>
      <c r="H328" s="21">
        <v>0</v>
      </c>
      <c r="I328" s="21">
        <f>IFERROR(INDEX('Coding Sheet'!$AC$2:$AC$731,MATCH($B328&amp;"_"&amp;$F328,'Coding Sheet'!$A$2:$A$731,0)),"")</f>
        <v>0</v>
      </c>
      <c r="J328" s="7">
        <f>IFERROR(INDEX('Coding Sheet'!$AT$2:$AT$731,MATCH($B328&amp;"_"&amp;$F328,'Coding Sheet'!$A$2:$A$731,0)),"")</f>
        <v>0</v>
      </c>
      <c r="K328" s="21">
        <v>390000000</v>
      </c>
      <c r="L328" s="21">
        <v>0.73</v>
      </c>
      <c r="M328" s="20">
        <f t="shared" si="36"/>
        <v>284700</v>
      </c>
      <c r="N328" s="21">
        <v>7955000</v>
      </c>
      <c r="O328" s="21">
        <v>10557000</v>
      </c>
      <c r="P328" s="20">
        <v>541000</v>
      </c>
      <c r="Q328" s="20">
        <f t="shared" si="37"/>
        <v>0.78049635313062427</v>
      </c>
      <c r="R328" s="20">
        <f t="shared" si="38"/>
        <v>16.172299704971831</v>
      </c>
      <c r="S328" s="20">
        <f t="shared" si="39"/>
        <v>0.75352846452590694</v>
      </c>
      <c r="T328" s="20">
        <f t="shared" si="40"/>
        <v>5.1245619020555085E-2</v>
      </c>
      <c r="U328" s="20">
        <f>IFERROR(IF(ISNUMBER(INDEX('Firm Master'!$E$2:$E$1000,MATCH($C328,'Firm Master'!$B$2:$B$1000,0))),INDEX('Firm Master'!$E$2:$E$1000,MATCH($C328,'Firm Master'!$B$2:$B$1000,0)),""),"")</f>
        <v>1961</v>
      </c>
      <c r="V328" s="21">
        <f t="shared" si="41"/>
        <v>61</v>
      </c>
      <c r="W328" s="21">
        <v>0</v>
      </c>
      <c r="X328" s="20" t="str">
        <f>IFERROR(INDEX('Firm Master'!$G$2:$G$1000,MATCH($C328,'Firm Master'!$B$2:$B$1000,0)),"")</f>
        <v>Baker Tilly Nigeria</v>
      </c>
    </row>
    <row r="329" spans="1:24" ht="15" customHeight="1" x14ac:dyDescent="0.3">
      <c r="A329" s="11">
        <v>328</v>
      </c>
      <c r="B329" s="11">
        <v>66</v>
      </c>
      <c r="C329" s="11" t="s">
        <v>1032</v>
      </c>
      <c r="D329" s="11" t="s">
        <v>1033</v>
      </c>
      <c r="E329" s="11" t="s">
        <v>870</v>
      </c>
      <c r="F329" s="11">
        <v>2023</v>
      </c>
      <c r="G329" s="20">
        <f t="shared" si="35"/>
        <v>1</v>
      </c>
      <c r="H329" s="21">
        <v>0</v>
      </c>
      <c r="I329" s="21">
        <f>IFERROR(INDEX('Coding Sheet'!$AC$2:$AC$731,MATCH($B329&amp;"_"&amp;$F329,'Coding Sheet'!$A$2:$A$731,0)),"")</f>
        <v>0</v>
      </c>
      <c r="J329" s="7">
        <f>IFERROR(INDEX('Coding Sheet'!$AT$2:$AT$731,MATCH($B329&amp;"_"&amp;$F329,'Coding Sheet'!$A$2:$A$731,0)),"")</f>
        <v>0</v>
      </c>
      <c r="K329" s="21">
        <v>390000000</v>
      </c>
      <c r="L329" s="21">
        <v>2.31</v>
      </c>
      <c r="M329" s="20">
        <f t="shared" si="36"/>
        <v>900900</v>
      </c>
      <c r="N329" s="21">
        <v>12554000</v>
      </c>
      <c r="O329" s="21">
        <v>14477000</v>
      </c>
      <c r="P329" s="20">
        <v>-1000000</v>
      </c>
      <c r="Q329" s="20">
        <f t="shared" si="37"/>
        <v>0.92939835601298615</v>
      </c>
      <c r="R329" s="20">
        <f t="shared" si="38"/>
        <v>16.488071741136181</v>
      </c>
      <c r="S329" s="20">
        <f t="shared" si="39"/>
        <v>0.86716861228155007</v>
      </c>
      <c r="T329" s="20">
        <f t="shared" si="40"/>
        <v>-6.9075084616978658E-2</v>
      </c>
      <c r="U329" s="20">
        <f>IFERROR(IF(ISNUMBER(INDEX('Firm Master'!$E$2:$E$1000,MATCH($C329,'Firm Master'!$B$2:$B$1000,0))),INDEX('Firm Master'!$E$2:$E$1000,MATCH($C329,'Firm Master'!$B$2:$B$1000,0)),""),"")</f>
        <v>1961</v>
      </c>
      <c r="V329" s="21">
        <f t="shared" si="41"/>
        <v>62</v>
      </c>
      <c r="W329" s="21">
        <v>0</v>
      </c>
      <c r="X329" s="20" t="str">
        <f>IFERROR(INDEX('Firm Master'!$G$2:$G$1000,MATCH($C329,'Firm Master'!$B$2:$B$1000,0)),"")</f>
        <v>Baker Tilly Nigeria</v>
      </c>
    </row>
    <row r="330" spans="1:24" ht="15" customHeight="1" x14ac:dyDescent="0.3">
      <c r="A330" s="11">
        <v>329</v>
      </c>
      <c r="B330" s="11">
        <v>66</v>
      </c>
      <c r="C330" s="11" t="s">
        <v>1032</v>
      </c>
      <c r="D330" s="11" t="s">
        <v>1033</v>
      </c>
      <c r="E330" s="11" t="s">
        <v>870</v>
      </c>
      <c r="F330" s="11">
        <v>2024</v>
      </c>
      <c r="G330" s="20">
        <f t="shared" si="35"/>
        <v>1</v>
      </c>
      <c r="H330" s="21">
        <v>0</v>
      </c>
      <c r="I330" s="21">
        <f>IFERROR(INDEX('Coding Sheet'!$AC$2:$AC$731,MATCH($B330&amp;"_"&amp;$F330,'Coding Sheet'!$A$2:$A$731,0)),"")</f>
        <v>0</v>
      </c>
      <c r="J330" s="7">
        <f>IFERROR(INDEX('Coding Sheet'!$AT$2:$AT$731,MATCH($B330&amp;"_"&amp;$F330,'Coding Sheet'!$A$2:$A$731,0)),"")</f>
        <v>0</v>
      </c>
      <c r="K330" s="21">
        <v>389160000</v>
      </c>
      <c r="L330" s="21">
        <v>7.79</v>
      </c>
      <c r="M330" s="20">
        <f t="shared" si="36"/>
        <v>3031556.4</v>
      </c>
      <c r="N330" s="21">
        <v>4076000</v>
      </c>
      <c r="O330" s="21">
        <v>8873000</v>
      </c>
      <c r="P330" s="20">
        <v>2474000</v>
      </c>
      <c r="Q330" s="20">
        <f t="shared" si="37"/>
        <v>0.80103193959202079</v>
      </c>
      <c r="R330" s="20">
        <f t="shared" si="38"/>
        <v>15.998523515817475</v>
      </c>
      <c r="S330" s="20">
        <f t="shared" si="39"/>
        <v>0.45937112588752393</v>
      </c>
      <c r="T330" s="20">
        <f t="shared" si="40"/>
        <v>0.278823396821819</v>
      </c>
      <c r="U330" s="20">
        <f>IFERROR(IF(ISNUMBER(INDEX('Firm Master'!$E$2:$E$1000,MATCH($C330,'Firm Master'!$B$2:$B$1000,0))),INDEX('Firm Master'!$E$2:$E$1000,MATCH($C330,'Firm Master'!$B$2:$B$1000,0)),""),"")</f>
        <v>1961</v>
      </c>
      <c r="V330" s="21">
        <f t="shared" si="41"/>
        <v>63</v>
      </c>
      <c r="W330" s="21">
        <v>0</v>
      </c>
      <c r="X330" s="20" t="str">
        <f>IFERROR(INDEX('Firm Master'!$G$2:$G$1000,MATCH($C330,'Firm Master'!$B$2:$B$1000,0)),"")</f>
        <v>Baker Tilly Nigeria</v>
      </c>
    </row>
    <row r="331" spans="1:24" ht="15" customHeight="1" x14ac:dyDescent="0.3">
      <c r="A331" s="11">
        <v>330</v>
      </c>
      <c r="B331" s="11">
        <v>66</v>
      </c>
      <c r="C331" s="11" t="s">
        <v>1032</v>
      </c>
      <c r="D331" s="11" t="s">
        <v>1033</v>
      </c>
      <c r="E331" s="11" t="s">
        <v>870</v>
      </c>
      <c r="F331" s="11">
        <v>2025</v>
      </c>
      <c r="G331" s="20">
        <f t="shared" si="35"/>
        <v>1</v>
      </c>
      <c r="H331" s="21">
        <v>0</v>
      </c>
      <c r="I331" s="21">
        <f>IFERROR(INDEX('Coding Sheet'!$AC$2:$AC$731,MATCH($B331&amp;"_"&amp;$F331,'Coding Sheet'!$A$2:$A$731,0)),"")</f>
        <v>0</v>
      </c>
      <c r="J331" s="7">
        <f>IFERROR(INDEX('Coding Sheet'!$AT$2:$AT$731,MATCH($B331&amp;"_"&amp;$F331,'Coding Sheet'!$A$2:$A$731,0)),"")</f>
        <v>0</v>
      </c>
      <c r="K331" s="21">
        <v>389160000</v>
      </c>
      <c r="L331" s="21">
        <v>4.91</v>
      </c>
      <c r="M331" s="20">
        <f t="shared" si="36"/>
        <v>1910775.6</v>
      </c>
      <c r="N331" s="21">
        <v>4474000</v>
      </c>
      <c r="O331" s="21">
        <v>9740000</v>
      </c>
      <c r="P331" s="20">
        <v>469000</v>
      </c>
      <c r="Q331" s="20">
        <f t="shared" si="37"/>
        <v>0.65552110882956871</v>
      </c>
      <c r="R331" s="20">
        <f t="shared" si="38"/>
        <v>16.091751675618717</v>
      </c>
      <c r="S331" s="20">
        <f t="shared" si="39"/>
        <v>0.45934291581108827</v>
      </c>
      <c r="T331" s="20">
        <f t="shared" si="40"/>
        <v>4.8151950718685832E-2</v>
      </c>
      <c r="U331" s="20">
        <f>IFERROR(IF(ISNUMBER(INDEX('Firm Master'!$E$2:$E$1000,MATCH($C331,'Firm Master'!$B$2:$B$1000,0))),INDEX('Firm Master'!$E$2:$E$1000,MATCH($C331,'Firm Master'!$B$2:$B$1000,0)),""),"")</f>
        <v>1961</v>
      </c>
      <c r="V331" s="21">
        <f t="shared" si="41"/>
        <v>64</v>
      </c>
      <c r="W331" s="21">
        <v>0</v>
      </c>
      <c r="X331" s="20" t="str">
        <f>IFERROR(INDEX('Firm Master'!$G$2:$G$1000,MATCH($C331,'Firm Master'!$B$2:$B$1000,0)),"")</f>
        <v>Baker Tilly Nigeria</v>
      </c>
    </row>
    <row r="332" spans="1:24" ht="15" customHeight="1" x14ac:dyDescent="0.3">
      <c r="A332" s="11">
        <v>331</v>
      </c>
      <c r="B332" s="11">
        <v>67</v>
      </c>
      <c r="C332" s="11" t="s">
        <v>1036</v>
      </c>
      <c r="D332" s="11" t="s">
        <v>1037</v>
      </c>
      <c r="E332" s="11" t="s">
        <v>715</v>
      </c>
      <c r="F332" s="11">
        <v>2021</v>
      </c>
      <c r="G332" s="20">
        <f t="shared" si="35"/>
        <v>0</v>
      </c>
      <c r="H332" s="21">
        <v>0</v>
      </c>
      <c r="I332" s="21">
        <f>IFERROR(INDEX('Coding Sheet'!$AC$2:$AC$731,MATCH($B332&amp;"_"&amp;$F332,'Coding Sheet'!$A$2:$A$731,0)),"")</f>
        <v>0</v>
      </c>
      <c r="J332" s="7">
        <f>IFERROR(INDEX('Coding Sheet'!$AT$2:$AT$731,MATCH($B332&amp;"_"&amp;$F332,'Coding Sheet'!$A$2:$A$731,0)),"")</f>
        <v>0</v>
      </c>
      <c r="K332" s="21">
        <v>199910000</v>
      </c>
      <c r="L332" s="21">
        <v>0.91</v>
      </c>
      <c r="M332" s="20">
        <f t="shared" si="36"/>
        <v>181918.1</v>
      </c>
      <c r="N332" s="21">
        <v>578460</v>
      </c>
      <c r="O332" s="21">
        <v>238620</v>
      </c>
      <c r="P332" s="20">
        <v>-24420</v>
      </c>
      <c r="Q332" s="20">
        <f t="shared" si="37"/>
        <v>3.1865648311122285</v>
      </c>
      <c r="R332" s="20">
        <f t="shared" si="38"/>
        <v>12.382627607429791</v>
      </c>
      <c r="S332" s="20">
        <f t="shared" si="39"/>
        <v>2.4241890872516971</v>
      </c>
      <c r="T332" s="20">
        <f t="shared" si="40"/>
        <v>-0.10233844606487302</v>
      </c>
      <c r="U332" s="20">
        <f>IFERROR(IF(ISNUMBER(INDEX('Firm Master'!$E$2:$E$1000,MATCH($C332,'Firm Master'!$B$2:$B$1000,0))),INDEX('Firm Master'!$E$2:$E$1000,MATCH($C332,'Firm Master'!$B$2:$B$1000,0)),""),"")</f>
        <v>1972</v>
      </c>
      <c r="V332" s="21">
        <f t="shared" si="41"/>
        <v>49</v>
      </c>
      <c r="W332" s="21">
        <v>0</v>
      </c>
      <c r="X332" s="20" t="str">
        <f>IFERROR(INDEX('Firm Master'!$G$2:$G$1000,MATCH($C332,'Firm Master'!$B$2:$B$1000,0)),"")</f>
        <v>Ayinde Saheed &amp; Co</v>
      </c>
    </row>
    <row r="333" spans="1:24" ht="15" customHeight="1" x14ac:dyDescent="0.3">
      <c r="A333" s="11">
        <v>332</v>
      </c>
      <c r="B333" s="11">
        <v>67</v>
      </c>
      <c r="C333" s="11" t="s">
        <v>1036</v>
      </c>
      <c r="D333" s="11" t="s">
        <v>1037</v>
      </c>
      <c r="E333" s="11" t="s">
        <v>715</v>
      </c>
      <c r="F333" s="11">
        <v>2022</v>
      </c>
      <c r="G333" s="20">
        <f t="shared" si="35"/>
        <v>0</v>
      </c>
      <c r="H333" s="21">
        <v>0</v>
      </c>
      <c r="I333" s="21">
        <f>IFERROR(INDEX('Coding Sheet'!$AC$2:$AC$731,MATCH($B333&amp;"_"&amp;$F333,'Coding Sheet'!$A$2:$A$731,0)),"")</f>
        <v>0</v>
      </c>
      <c r="J333" s="7">
        <f>IFERROR(INDEX('Coding Sheet'!$AT$2:$AT$731,MATCH($B333&amp;"_"&amp;$F333,'Coding Sheet'!$A$2:$A$731,0)),"")</f>
        <v>0</v>
      </c>
      <c r="K333" s="21">
        <v>200000000</v>
      </c>
      <c r="L333" s="21">
        <v>0.79</v>
      </c>
      <c r="M333" s="20">
        <f t="shared" si="36"/>
        <v>158000</v>
      </c>
      <c r="N333" s="21">
        <v>806000</v>
      </c>
      <c r="O333" s="21">
        <v>58440</v>
      </c>
      <c r="P333" s="20">
        <v>-67000</v>
      </c>
      <c r="Q333" s="20">
        <f t="shared" si="37"/>
        <v>16.495550992470911</v>
      </c>
      <c r="R333" s="20">
        <f t="shared" si="38"/>
        <v>10.975755865864636</v>
      </c>
      <c r="S333" s="20">
        <f t="shared" si="39"/>
        <v>13.791923340177961</v>
      </c>
      <c r="T333" s="20">
        <f t="shared" si="40"/>
        <v>-1.1464750171115674</v>
      </c>
      <c r="U333" s="20">
        <f>IFERROR(IF(ISNUMBER(INDEX('Firm Master'!$E$2:$E$1000,MATCH($C333,'Firm Master'!$B$2:$B$1000,0))),INDEX('Firm Master'!$E$2:$E$1000,MATCH($C333,'Firm Master'!$B$2:$B$1000,0)),""),"")</f>
        <v>1972</v>
      </c>
      <c r="V333" s="21">
        <f t="shared" si="41"/>
        <v>50</v>
      </c>
      <c r="W333" s="21">
        <v>0</v>
      </c>
      <c r="X333" s="20" t="str">
        <f>IFERROR(INDEX('Firm Master'!$G$2:$G$1000,MATCH($C333,'Firm Master'!$B$2:$B$1000,0)),"")</f>
        <v>Ayinde Saheed &amp; Co</v>
      </c>
    </row>
    <row r="334" spans="1:24" ht="15" customHeight="1" x14ac:dyDescent="0.3">
      <c r="A334" s="11">
        <v>333</v>
      </c>
      <c r="B334" s="11">
        <v>67</v>
      </c>
      <c r="C334" s="11" t="s">
        <v>1036</v>
      </c>
      <c r="D334" s="11" t="s">
        <v>1037</v>
      </c>
      <c r="E334" s="11" t="s">
        <v>715</v>
      </c>
      <c r="F334" s="11">
        <v>2023</v>
      </c>
      <c r="G334" s="20">
        <f t="shared" si="35"/>
        <v>1</v>
      </c>
      <c r="H334" s="21">
        <v>0</v>
      </c>
      <c r="I334" s="21">
        <f>IFERROR(INDEX('Coding Sheet'!$AC$2:$AC$731,MATCH($B334&amp;"_"&amp;$F334,'Coding Sheet'!$A$2:$A$731,0)),"")</f>
        <v>0</v>
      </c>
      <c r="J334" s="7">
        <f>IFERROR(INDEX('Coding Sheet'!$AT$2:$AT$731,MATCH($B334&amp;"_"&amp;$F334,'Coding Sheet'!$A$2:$A$731,0)),"")</f>
        <v>0</v>
      </c>
      <c r="K334" s="21">
        <v>200000000</v>
      </c>
      <c r="L334" s="21">
        <v>0.59</v>
      </c>
      <c r="M334" s="20">
        <f t="shared" si="36"/>
        <v>118000</v>
      </c>
      <c r="N334" s="21">
        <v>909930</v>
      </c>
      <c r="O334" s="21">
        <v>162300</v>
      </c>
      <c r="P334" s="20">
        <v>-80</v>
      </c>
      <c r="Q334" s="20">
        <f t="shared" si="37"/>
        <v>6.3335181762168826</v>
      </c>
      <c r="R334" s="20">
        <f t="shared" si="38"/>
        <v>11.997201753502683</v>
      </c>
      <c r="S334" s="20">
        <f t="shared" si="39"/>
        <v>5.6064695009242147</v>
      </c>
      <c r="T334" s="20">
        <f t="shared" si="40"/>
        <v>-4.9291435613062228E-4</v>
      </c>
      <c r="U334" s="20">
        <f>IFERROR(IF(ISNUMBER(INDEX('Firm Master'!$E$2:$E$1000,MATCH($C334,'Firm Master'!$B$2:$B$1000,0))),INDEX('Firm Master'!$E$2:$E$1000,MATCH($C334,'Firm Master'!$B$2:$B$1000,0)),""),"")</f>
        <v>1972</v>
      </c>
      <c r="V334" s="21">
        <f t="shared" si="41"/>
        <v>51</v>
      </c>
      <c r="W334" s="21">
        <v>0</v>
      </c>
      <c r="X334" s="20" t="str">
        <f>IFERROR(INDEX('Firm Master'!$G$2:$G$1000,MATCH($C334,'Firm Master'!$B$2:$B$1000,0)),"")</f>
        <v>Ayinde Saheed &amp; Co</v>
      </c>
    </row>
    <row r="335" spans="1:24" ht="15" customHeight="1" x14ac:dyDescent="0.3">
      <c r="A335" s="11">
        <v>334</v>
      </c>
      <c r="B335" s="11">
        <v>67</v>
      </c>
      <c r="C335" s="11" t="s">
        <v>1036</v>
      </c>
      <c r="D335" s="11" t="s">
        <v>1037</v>
      </c>
      <c r="E335" s="11" t="s">
        <v>715</v>
      </c>
      <c r="F335" s="11">
        <v>2024</v>
      </c>
      <c r="G335" s="20">
        <f t="shared" si="35"/>
        <v>1</v>
      </c>
      <c r="H335" s="21">
        <v>0</v>
      </c>
      <c r="I335" s="21">
        <f>IFERROR(INDEX('Coding Sheet'!$AC$2:$AC$731,MATCH($B335&amp;"_"&amp;$F335,'Coding Sheet'!$A$2:$A$731,0)),"")</f>
        <v>0</v>
      </c>
      <c r="J335" s="7">
        <f>IFERROR(INDEX('Coding Sheet'!$AT$2:$AT$731,MATCH($B335&amp;"_"&amp;$F335,'Coding Sheet'!$A$2:$A$731,0)),"")</f>
        <v>0</v>
      </c>
      <c r="K335" s="21">
        <v>200000000</v>
      </c>
      <c r="L335" s="21">
        <v>10.3</v>
      </c>
      <c r="M335" s="20">
        <f t="shared" si="36"/>
        <v>2060000.0000000002</v>
      </c>
      <c r="N335" s="21">
        <v>219810</v>
      </c>
      <c r="O335" s="21">
        <v>207740</v>
      </c>
      <c r="P335" s="20">
        <v>35580</v>
      </c>
      <c r="Q335" s="20">
        <f t="shared" si="37"/>
        <v>10.974342928660827</v>
      </c>
      <c r="R335" s="20">
        <f t="shared" si="38"/>
        <v>12.244042576781803</v>
      </c>
      <c r="S335" s="20">
        <f t="shared" si="39"/>
        <v>1.0581014729950899</v>
      </c>
      <c r="T335" s="20">
        <f t="shared" si="40"/>
        <v>0.17127178203523635</v>
      </c>
      <c r="U335" s="20">
        <f>IFERROR(IF(ISNUMBER(INDEX('Firm Master'!$E$2:$E$1000,MATCH($C335,'Firm Master'!$B$2:$B$1000,0))),INDEX('Firm Master'!$E$2:$E$1000,MATCH($C335,'Firm Master'!$B$2:$B$1000,0)),""),"")</f>
        <v>1972</v>
      </c>
      <c r="V335" s="21">
        <f t="shared" si="41"/>
        <v>52</v>
      </c>
      <c r="W335" s="21">
        <v>0</v>
      </c>
      <c r="X335" s="20" t="str">
        <f>IFERROR(INDEX('Firm Master'!$G$2:$G$1000,MATCH($C335,'Firm Master'!$B$2:$B$1000,0)),"")</f>
        <v>Ayinde Saheed &amp; Co</v>
      </c>
    </row>
    <row r="336" spans="1:24" ht="15" customHeight="1" x14ac:dyDescent="0.3">
      <c r="A336" s="11">
        <v>335</v>
      </c>
      <c r="B336" s="11">
        <v>67</v>
      </c>
      <c r="C336" s="11" t="s">
        <v>1036</v>
      </c>
      <c r="D336" s="11" t="s">
        <v>1037</v>
      </c>
      <c r="E336" s="11" t="s">
        <v>715</v>
      </c>
      <c r="F336" s="11">
        <v>2025</v>
      </c>
      <c r="G336" s="20">
        <f t="shared" si="35"/>
        <v>1</v>
      </c>
      <c r="H336" s="21">
        <v>0</v>
      </c>
      <c r="I336" s="21">
        <f>IFERROR(INDEX('Coding Sheet'!$AC$2:$AC$731,MATCH($B336&amp;"_"&amp;$F336,'Coding Sheet'!$A$2:$A$731,0)),"")</f>
        <v>0</v>
      </c>
      <c r="J336" s="7">
        <f>IFERROR(INDEX('Coding Sheet'!$AT$2:$AT$731,MATCH($B336&amp;"_"&amp;$F336,'Coding Sheet'!$A$2:$A$731,0)),"")</f>
        <v>0</v>
      </c>
      <c r="K336" s="21">
        <v>200000000</v>
      </c>
      <c r="L336" s="21">
        <v>8.0500000000000007</v>
      </c>
      <c r="M336" s="20">
        <f t="shared" si="36"/>
        <v>1610000.0000000002</v>
      </c>
      <c r="N336" s="21">
        <v>156530</v>
      </c>
      <c r="O336" s="21">
        <v>129730</v>
      </c>
      <c r="P336" s="20">
        <v>20780</v>
      </c>
      <c r="Q336" s="20">
        <f t="shared" si="37"/>
        <v>13.616973714638096</v>
      </c>
      <c r="R336" s="20">
        <f t="shared" si="38"/>
        <v>11.773210646565058</v>
      </c>
      <c r="S336" s="20">
        <f t="shared" si="39"/>
        <v>1.2065829029522854</v>
      </c>
      <c r="T336" s="20">
        <f t="shared" si="40"/>
        <v>0.16017883296076466</v>
      </c>
      <c r="U336" s="20">
        <f>IFERROR(IF(ISNUMBER(INDEX('Firm Master'!$E$2:$E$1000,MATCH($C336,'Firm Master'!$B$2:$B$1000,0))),INDEX('Firm Master'!$E$2:$E$1000,MATCH($C336,'Firm Master'!$B$2:$B$1000,0)),""),"")</f>
        <v>1972</v>
      </c>
      <c r="V336" s="21">
        <f t="shared" si="41"/>
        <v>53</v>
      </c>
      <c r="W336" s="21">
        <v>0</v>
      </c>
      <c r="X336" s="20" t="str">
        <f>IFERROR(INDEX('Firm Master'!$G$2:$G$1000,MATCH($C336,'Firm Master'!$B$2:$B$1000,0)),"")</f>
        <v>Ayinde Saheed &amp; Co</v>
      </c>
    </row>
    <row r="337" spans="1:24" ht="15" customHeight="1" x14ac:dyDescent="0.3">
      <c r="A337" s="11">
        <v>336</v>
      </c>
      <c r="B337" s="11">
        <v>68</v>
      </c>
      <c r="C337" s="11" t="s">
        <v>1041</v>
      </c>
      <c r="D337" s="11" t="s">
        <v>1042</v>
      </c>
      <c r="E337" s="11" t="s">
        <v>709</v>
      </c>
      <c r="F337" s="11">
        <v>2021</v>
      </c>
      <c r="G337" s="20">
        <f t="shared" si="35"/>
        <v>0</v>
      </c>
      <c r="H337" s="21">
        <v>0</v>
      </c>
      <c r="I337" s="21">
        <f>IFERROR(INDEX('Coding Sheet'!$AC$2:$AC$731,MATCH($B337&amp;"_"&amp;$F337,'Coding Sheet'!$A$2:$A$731,0)),"")</f>
        <v>0</v>
      </c>
      <c r="J337" s="7">
        <f>IFERROR(INDEX('Coding Sheet'!$AT$2:$AT$731,MATCH($B337&amp;"_"&amp;$F337,'Coding Sheet'!$A$2:$A$731,0)),"")</f>
        <v>0</v>
      </c>
      <c r="K337" s="21">
        <v>1834000000</v>
      </c>
      <c r="L337" s="21">
        <v>1.05</v>
      </c>
      <c r="M337" s="20">
        <f t="shared" si="36"/>
        <v>1925700</v>
      </c>
      <c r="N337" s="21">
        <v>12650000</v>
      </c>
      <c r="O337" s="21">
        <v>23958000</v>
      </c>
      <c r="P337" s="20">
        <v>261380</v>
      </c>
      <c r="Q337" s="20">
        <f t="shared" si="37"/>
        <v>0.60838550797228486</v>
      </c>
      <c r="R337" s="20">
        <f t="shared" si="38"/>
        <v>16.991812855273412</v>
      </c>
      <c r="S337" s="20">
        <f t="shared" si="39"/>
        <v>0.52800734618916434</v>
      </c>
      <c r="T337" s="20">
        <f t="shared" si="40"/>
        <v>1.0909925703314133E-2</v>
      </c>
      <c r="U337" s="20">
        <f>IFERROR(IF(ISNUMBER(INDEX('Firm Master'!$E$2:$E$1000,MATCH($C337,'Firm Master'!$B$2:$B$1000,0))),INDEX('Firm Master'!$E$2:$E$1000,MATCH($C337,'Firm Master'!$B$2:$B$1000,0)),""),"")</f>
        <v>1979</v>
      </c>
      <c r="V337" s="21">
        <f t="shared" si="41"/>
        <v>42</v>
      </c>
      <c r="W337" s="21">
        <v>0</v>
      </c>
      <c r="X337" s="20" t="str">
        <f>IFERROR(INDEX('Firm Master'!$G$2:$G$1000,MATCH($C337,'Firm Master'!$B$2:$B$1000,0)),"")</f>
        <v>BDO Professional Services</v>
      </c>
    </row>
    <row r="338" spans="1:24" ht="15" customHeight="1" x14ac:dyDescent="0.3">
      <c r="A338" s="11">
        <v>337</v>
      </c>
      <c r="B338" s="11">
        <v>68</v>
      </c>
      <c r="C338" s="11" t="s">
        <v>1041</v>
      </c>
      <c r="D338" s="11" t="s">
        <v>1042</v>
      </c>
      <c r="E338" s="11" t="s">
        <v>709</v>
      </c>
      <c r="F338" s="11">
        <v>2022</v>
      </c>
      <c r="G338" s="20">
        <f t="shared" si="35"/>
        <v>0</v>
      </c>
      <c r="H338" s="21">
        <v>0</v>
      </c>
      <c r="I338" s="21">
        <f>IFERROR(INDEX('Coding Sheet'!$AC$2:$AC$731,MATCH($B338&amp;"_"&amp;$F338,'Coding Sheet'!$A$2:$A$731,0)),"")</f>
        <v>0</v>
      </c>
      <c r="J338" s="7">
        <f>IFERROR(INDEX('Coding Sheet'!$AT$2:$AT$731,MATCH($B338&amp;"_"&amp;$F338,'Coding Sheet'!$A$2:$A$731,0)),"")</f>
        <v>0</v>
      </c>
      <c r="K338" s="21">
        <v>1834000000</v>
      </c>
      <c r="L338" s="21">
        <v>0.87</v>
      </c>
      <c r="M338" s="20">
        <f t="shared" si="36"/>
        <v>1595580</v>
      </c>
      <c r="N338" s="21">
        <v>13264000</v>
      </c>
      <c r="O338" s="21">
        <v>25598000</v>
      </c>
      <c r="P338" s="20">
        <v>1518000</v>
      </c>
      <c r="Q338" s="20">
        <f t="shared" si="37"/>
        <v>0.58049769513243221</v>
      </c>
      <c r="R338" s="20">
        <f t="shared" si="38"/>
        <v>17.058024781397876</v>
      </c>
      <c r="S338" s="20">
        <f t="shared" si="39"/>
        <v>0.51816548167825616</v>
      </c>
      <c r="T338" s="20">
        <f t="shared" si="40"/>
        <v>5.9301507930307057E-2</v>
      </c>
      <c r="U338" s="20">
        <f>IFERROR(IF(ISNUMBER(INDEX('Firm Master'!$E$2:$E$1000,MATCH($C338,'Firm Master'!$B$2:$B$1000,0))),INDEX('Firm Master'!$E$2:$E$1000,MATCH($C338,'Firm Master'!$B$2:$B$1000,0)),""),"")</f>
        <v>1979</v>
      </c>
      <c r="V338" s="21">
        <f t="shared" si="41"/>
        <v>43</v>
      </c>
      <c r="W338" s="21">
        <v>0</v>
      </c>
      <c r="X338" s="20" t="str">
        <f>IFERROR(INDEX('Firm Master'!$G$2:$G$1000,MATCH($C338,'Firm Master'!$B$2:$B$1000,0)),"")</f>
        <v>BDO Professional Services</v>
      </c>
    </row>
    <row r="339" spans="1:24" ht="15" customHeight="1" x14ac:dyDescent="0.3">
      <c r="A339" s="11">
        <v>338</v>
      </c>
      <c r="B339" s="11">
        <v>68</v>
      </c>
      <c r="C339" s="11" t="s">
        <v>1041</v>
      </c>
      <c r="D339" s="11" t="s">
        <v>1042</v>
      </c>
      <c r="E339" s="11" t="s">
        <v>709</v>
      </c>
      <c r="F339" s="11">
        <v>2023</v>
      </c>
      <c r="G339" s="20">
        <f t="shared" si="35"/>
        <v>1</v>
      </c>
      <c r="H339" s="21">
        <v>0</v>
      </c>
      <c r="I339" s="21">
        <f>IFERROR(INDEX('Coding Sheet'!$AC$2:$AC$731,MATCH($B339&amp;"_"&amp;$F339,'Coding Sheet'!$A$2:$A$731,0)),"")</f>
        <v>0</v>
      </c>
      <c r="J339" s="7">
        <f>IFERROR(INDEX('Coding Sheet'!$AT$2:$AT$731,MATCH($B339&amp;"_"&amp;$F339,'Coding Sheet'!$A$2:$A$731,0)),"")</f>
        <v>0</v>
      </c>
      <c r="K339" s="21">
        <v>1834000000</v>
      </c>
      <c r="L339" s="21">
        <v>1.9</v>
      </c>
      <c r="M339" s="20">
        <f t="shared" si="36"/>
        <v>3484600</v>
      </c>
      <c r="N339" s="21">
        <v>13313000</v>
      </c>
      <c r="O339" s="21">
        <v>26970000</v>
      </c>
      <c r="P339" s="20">
        <v>1318000</v>
      </c>
      <c r="Q339" s="20">
        <f t="shared" si="37"/>
        <v>0.622825361512792</v>
      </c>
      <c r="R339" s="20">
        <f t="shared" si="38"/>
        <v>17.110235695115914</v>
      </c>
      <c r="S339" s="20">
        <f t="shared" si="39"/>
        <v>0.4936225435669262</v>
      </c>
      <c r="T339" s="20">
        <f t="shared" si="40"/>
        <v>4.8869113830181686E-2</v>
      </c>
      <c r="U339" s="20">
        <f>IFERROR(IF(ISNUMBER(INDEX('Firm Master'!$E$2:$E$1000,MATCH($C339,'Firm Master'!$B$2:$B$1000,0))),INDEX('Firm Master'!$E$2:$E$1000,MATCH($C339,'Firm Master'!$B$2:$B$1000,0)),""),"")</f>
        <v>1979</v>
      </c>
      <c r="V339" s="21">
        <f t="shared" si="41"/>
        <v>44</v>
      </c>
      <c r="W339" s="21">
        <v>0</v>
      </c>
      <c r="X339" s="20" t="str">
        <f>IFERROR(INDEX('Firm Master'!$G$2:$G$1000,MATCH($C339,'Firm Master'!$B$2:$B$1000,0)),"")</f>
        <v>BDO Professional Services</v>
      </c>
    </row>
    <row r="340" spans="1:24" ht="15" customHeight="1" x14ac:dyDescent="0.3">
      <c r="A340" s="11">
        <v>339</v>
      </c>
      <c r="B340" s="11">
        <v>68</v>
      </c>
      <c r="C340" s="11" t="s">
        <v>1041</v>
      </c>
      <c r="D340" s="11" t="s">
        <v>1042</v>
      </c>
      <c r="E340" s="11" t="s">
        <v>709</v>
      </c>
      <c r="F340" s="11">
        <v>2024</v>
      </c>
      <c r="G340" s="20">
        <f t="shared" si="35"/>
        <v>1</v>
      </c>
      <c r="H340" s="21">
        <v>0</v>
      </c>
      <c r="I340" s="21">
        <f>IFERROR(INDEX('Coding Sheet'!$AC$2:$AC$731,MATCH($B340&amp;"_"&amp;$F340,'Coding Sheet'!$A$2:$A$731,0)),"")</f>
        <v>0</v>
      </c>
      <c r="J340" s="7">
        <f>IFERROR(INDEX('Coding Sheet'!$AT$2:$AT$731,MATCH($B340&amp;"_"&amp;$F340,'Coding Sheet'!$A$2:$A$731,0)),"")</f>
        <v>0</v>
      </c>
      <c r="K340" s="21">
        <v>1834000000</v>
      </c>
      <c r="L340" s="21">
        <v>3.09</v>
      </c>
      <c r="M340" s="20">
        <f t="shared" si="36"/>
        <v>5667060</v>
      </c>
      <c r="N340" s="21">
        <v>19002000</v>
      </c>
      <c r="O340" s="21">
        <v>31264000</v>
      </c>
      <c r="P340" s="20">
        <v>1819000</v>
      </c>
      <c r="Q340" s="20">
        <f t="shared" si="37"/>
        <v>0.78905642272262022</v>
      </c>
      <c r="R340" s="20">
        <f t="shared" si="38"/>
        <v>17.257977833824647</v>
      </c>
      <c r="S340" s="20">
        <f t="shared" si="39"/>
        <v>0.60779170931422721</v>
      </c>
      <c r="T340" s="20">
        <f t="shared" si="40"/>
        <v>5.8181934493346979E-2</v>
      </c>
      <c r="U340" s="20">
        <f>IFERROR(IF(ISNUMBER(INDEX('Firm Master'!$E$2:$E$1000,MATCH($C340,'Firm Master'!$B$2:$B$1000,0))),INDEX('Firm Master'!$E$2:$E$1000,MATCH($C340,'Firm Master'!$B$2:$B$1000,0)),""),"")</f>
        <v>1979</v>
      </c>
      <c r="V340" s="21">
        <f t="shared" si="41"/>
        <v>45</v>
      </c>
      <c r="W340" s="21">
        <v>0</v>
      </c>
      <c r="X340" s="20" t="str">
        <f>IFERROR(INDEX('Firm Master'!$G$2:$G$1000,MATCH($C340,'Firm Master'!$B$2:$B$1000,0)),"")</f>
        <v>BDO Professional Services</v>
      </c>
    </row>
    <row r="341" spans="1:24" ht="15" customHeight="1" x14ac:dyDescent="0.3">
      <c r="A341" s="11">
        <v>340</v>
      </c>
      <c r="B341" s="11">
        <v>68</v>
      </c>
      <c r="C341" s="11" t="s">
        <v>1041</v>
      </c>
      <c r="D341" s="11" t="s">
        <v>1042</v>
      </c>
      <c r="E341" s="11" t="s">
        <v>709</v>
      </c>
      <c r="F341" s="11">
        <v>2025</v>
      </c>
      <c r="G341" s="20">
        <f t="shared" si="35"/>
        <v>1</v>
      </c>
      <c r="H341" s="21">
        <v>0</v>
      </c>
      <c r="I341" s="21">
        <f>IFERROR(INDEX('Coding Sheet'!$AC$2:$AC$731,MATCH($B341&amp;"_"&amp;$F341,'Coding Sheet'!$A$2:$A$731,0)),"")</f>
        <v>0</v>
      </c>
      <c r="J341" s="7">
        <f>IFERROR(INDEX('Coding Sheet'!$AT$2:$AT$731,MATCH($B341&amp;"_"&amp;$F341,'Coding Sheet'!$A$2:$A$731,0)),"")</f>
        <v>0</v>
      </c>
      <c r="K341" s="21">
        <v>11084000000</v>
      </c>
      <c r="L341" s="21">
        <v>2.4500000000000002</v>
      </c>
      <c r="M341" s="20">
        <f t="shared" si="36"/>
        <v>27155800.000000004</v>
      </c>
      <c r="N341" s="21">
        <v>19219000</v>
      </c>
      <c r="O341" s="21">
        <v>39628000</v>
      </c>
      <c r="P341" s="20">
        <v>-2801000</v>
      </c>
      <c r="Q341" s="20">
        <f t="shared" si="37"/>
        <v>1.1702533562127788</v>
      </c>
      <c r="R341" s="20">
        <f t="shared" si="38"/>
        <v>17.495046497075059</v>
      </c>
      <c r="S341" s="20">
        <f t="shared" si="39"/>
        <v>0.48498536388412233</v>
      </c>
      <c r="T341" s="20">
        <f t="shared" si="40"/>
        <v>-7.0682345816089634E-2</v>
      </c>
      <c r="U341" s="20">
        <f>IFERROR(IF(ISNUMBER(INDEX('Firm Master'!$E$2:$E$1000,MATCH($C341,'Firm Master'!$B$2:$B$1000,0))),INDEX('Firm Master'!$E$2:$E$1000,MATCH($C341,'Firm Master'!$B$2:$B$1000,0)),""),"")</f>
        <v>1979</v>
      </c>
      <c r="V341" s="21">
        <f t="shared" si="41"/>
        <v>46</v>
      </c>
      <c r="W341" s="21">
        <v>0</v>
      </c>
      <c r="X341" s="20" t="str">
        <f>IFERROR(INDEX('Firm Master'!$G$2:$G$1000,MATCH($C341,'Firm Master'!$B$2:$B$1000,0)),"")</f>
        <v>BDO Professional Services</v>
      </c>
    </row>
    <row r="342" spans="1:24" ht="15" customHeight="1" x14ac:dyDescent="0.3">
      <c r="A342" s="11">
        <v>341</v>
      </c>
      <c r="B342" s="11">
        <v>69</v>
      </c>
      <c r="C342" s="11" t="s">
        <v>1045</v>
      </c>
      <c r="D342" s="11" t="s">
        <v>1046</v>
      </c>
      <c r="E342" s="11" t="s">
        <v>715</v>
      </c>
      <c r="F342" s="11">
        <v>2021</v>
      </c>
      <c r="G342" s="20">
        <f t="shared" si="35"/>
        <v>0</v>
      </c>
      <c r="H342" s="24">
        <v>0</v>
      </c>
      <c r="I342" s="24">
        <f>IFERROR(INDEX('Coding Sheet'!$AC$2:$AC$731,MATCH($B342&amp;"_"&amp;$F342,'Coding Sheet'!$A$2:$A$731,0)),"")</f>
        <v>0</v>
      </c>
      <c r="J342" s="7">
        <f>IFERROR(INDEX('Coding Sheet'!$AT$2:$AT$731,MATCH($B342&amp;"_"&amp;$F342,'Coding Sheet'!$A$2:$A$731,0)),"")</f>
        <v>0</v>
      </c>
      <c r="K342" s="24">
        <v>771450000</v>
      </c>
      <c r="L342" s="24">
        <v>1.17</v>
      </c>
      <c r="M342" s="20">
        <f t="shared" si="36"/>
        <v>902596.5</v>
      </c>
      <c r="N342" s="24">
        <v>1238450</v>
      </c>
      <c r="O342" s="24">
        <v>4467224</v>
      </c>
      <c r="P342" s="20">
        <v>161082</v>
      </c>
      <c r="Q342" s="20">
        <f t="shared" si="37"/>
        <v>0.4792789660872166</v>
      </c>
      <c r="R342" s="20">
        <f t="shared" si="38"/>
        <v>15.31227774458854</v>
      </c>
      <c r="S342" s="20">
        <f t="shared" si="39"/>
        <v>0.27723033364792093</v>
      </c>
      <c r="T342" s="20">
        <f t="shared" si="40"/>
        <v>3.6058635071802979E-2</v>
      </c>
      <c r="U342" s="20">
        <f>IFERROR(IF(ISNUMBER(INDEX('Firm Master'!$E$2:$E$1000,MATCH($C342,'Firm Master'!$B$2:$B$1000,0))),INDEX('Firm Master'!$E$2:$E$1000,MATCH($C342,'Firm Master'!$B$2:$B$1000,0)),""),"")</f>
        <v>1961</v>
      </c>
      <c r="V342" s="24">
        <f t="shared" si="41"/>
        <v>60</v>
      </c>
      <c r="W342" s="24">
        <v>0</v>
      </c>
      <c r="X342" s="20" t="str">
        <f>IFERROR(INDEX('Firm Master'!$G$2:$G$1000,MATCH($C342,'Firm Master'!$B$2:$B$1000,0)),"")</f>
        <v>PKF Professional Services</v>
      </c>
    </row>
    <row r="343" spans="1:24" ht="15" customHeight="1" x14ac:dyDescent="0.3">
      <c r="A343" s="11">
        <v>342</v>
      </c>
      <c r="B343" s="11">
        <v>69</v>
      </c>
      <c r="C343" s="11" t="s">
        <v>1045</v>
      </c>
      <c r="D343" s="11" t="s">
        <v>1046</v>
      </c>
      <c r="E343" s="11" t="s">
        <v>715</v>
      </c>
      <c r="F343" s="11">
        <v>2022</v>
      </c>
      <c r="G343" s="20">
        <f t="shared" si="35"/>
        <v>0</v>
      </c>
      <c r="H343" s="21">
        <v>0</v>
      </c>
      <c r="I343" s="21">
        <f>IFERROR(INDEX('Coding Sheet'!$AC$2:$AC$731,MATCH($B343&amp;"_"&amp;$F343,'Coding Sheet'!$A$2:$A$731,0)),"")</f>
        <v>0</v>
      </c>
      <c r="J343" s="7">
        <f>IFERROR(INDEX('Coding Sheet'!$AT$2:$AT$731,MATCH($B343&amp;"_"&amp;$F343,'Coding Sheet'!$A$2:$A$731,0)),"")</f>
        <v>0</v>
      </c>
      <c r="K343" s="21">
        <v>867880000</v>
      </c>
      <c r="L343" s="21">
        <v>1.04</v>
      </c>
      <c r="M343" s="20">
        <f t="shared" si="36"/>
        <v>902595.2</v>
      </c>
      <c r="N343" s="21">
        <v>1430000</v>
      </c>
      <c r="O343" s="21">
        <v>4945000</v>
      </c>
      <c r="P343" s="20">
        <v>401580</v>
      </c>
      <c r="Q343" s="20">
        <f t="shared" si="37"/>
        <v>0.47170782608695655</v>
      </c>
      <c r="R343" s="20">
        <f t="shared" si="38"/>
        <v>15.41388752303895</v>
      </c>
      <c r="S343" s="20">
        <f t="shared" si="39"/>
        <v>0.2891809908998989</v>
      </c>
      <c r="T343" s="20">
        <f t="shared" si="40"/>
        <v>8.1209302325581392E-2</v>
      </c>
      <c r="U343" s="20">
        <f>IFERROR(IF(ISNUMBER(INDEX('Firm Master'!$E$2:$E$1000,MATCH($C343,'Firm Master'!$B$2:$B$1000,0))),INDEX('Firm Master'!$E$2:$E$1000,MATCH($C343,'Firm Master'!$B$2:$B$1000,0)),""),"")</f>
        <v>1961</v>
      </c>
      <c r="V343" s="21">
        <f t="shared" si="41"/>
        <v>61</v>
      </c>
      <c r="W343" s="21">
        <v>0</v>
      </c>
      <c r="X343" s="20" t="str">
        <f>IFERROR(INDEX('Firm Master'!$G$2:$G$1000,MATCH($C343,'Firm Master'!$B$2:$B$1000,0)),"")</f>
        <v>PKF Professional Services</v>
      </c>
    </row>
    <row r="344" spans="1:24" ht="15" customHeight="1" x14ac:dyDescent="0.3">
      <c r="A344" s="11">
        <v>343</v>
      </c>
      <c r="B344" s="11">
        <v>69</v>
      </c>
      <c r="C344" s="11" t="s">
        <v>1045</v>
      </c>
      <c r="D344" s="11" t="s">
        <v>1046</v>
      </c>
      <c r="E344" s="11" t="s">
        <v>715</v>
      </c>
      <c r="F344" s="11">
        <v>2023</v>
      </c>
      <c r="G344" s="20">
        <f t="shared" si="35"/>
        <v>1</v>
      </c>
      <c r="H344" s="21">
        <v>0</v>
      </c>
      <c r="I344" s="21">
        <f>IFERROR(INDEX('Coding Sheet'!$AC$2:$AC$731,MATCH($B344&amp;"_"&amp;$F344,'Coding Sheet'!$A$2:$A$731,0)),"")</f>
        <v>0</v>
      </c>
      <c r="J344" s="7">
        <f>IFERROR(INDEX('Coding Sheet'!$AT$2:$AT$731,MATCH($B344&amp;"_"&amp;$F344,'Coding Sheet'!$A$2:$A$731,0)),"")</f>
        <v>0</v>
      </c>
      <c r="K344" s="21">
        <v>867880000</v>
      </c>
      <c r="L344" s="21">
        <v>1.96</v>
      </c>
      <c r="M344" s="20">
        <f t="shared" si="36"/>
        <v>1701044.8</v>
      </c>
      <c r="N344" s="21">
        <v>1403000</v>
      </c>
      <c r="O344" s="21">
        <v>5192000</v>
      </c>
      <c r="P344" s="20">
        <v>429530</v>
      </c>
      <c r="Q344" s="20">
        <f t="shared" si="37"/>
        <v>0.59785146379044685</v>
      </c>
      <c r="R344" s="20">
        <f t="shared" si="38"/>
        <v>15.462629537366062</v>
      </c>
      <c r="S344" s="20">
        <f t="shared" si="39"/>
        <v>0.27022342064714944</v>
      </c>
      <c r="T344" s="20">
        <f t="shared" si="40"/>
        <v>8.2729198767334367E-2</v>
      </c>
      <c r="U344" s="20">
        <f>IFERROR(IF(ISNUMBER(INDEX('Firm Master'!$E$2:$E$1000,MATCH($C344,'Firm Master'!$B$2:$B$1000,0))),INDEX('Firm Master'!$E$2:$E$1000,MATCH($C344,'Firm Master'!$B$2:$B$1000,0)),""),"")</f>
        <v>1961</v>
      </c>
      <c r="V344" s="21">
        <f t="shared" si="41"/>
        <v>62</v>
      </c>
      <c r="W344" s="21">
        <v>0</v>
      </c>
      <c r="X344" s="20" t="str">
        <f>IFERROR(INDEX('Firm Master'!$G$2:$G$1000,MATCH($C344,'Firm Master'!$B$2:$B$1000,0)),"")</f>
        <v>PKF Professional Services</v>
      </c>
    </row>
    <row r="345" spans="1:24" ht="15" customHeight="1" x14ac:dyDescent="0.3">
      <c r="A345" s="11">
        <v>344</v>
      </c>
      <c r="B345" s="11">
        <v>69</v>
      </c>
      <c r="C345" s="11" t="s">
        <v>1045</v>
      </c>
      <c r="D345" s="11" t="s">
        <v>1046</v>
      </c>
      <c r="E345" s="11" t="s">
        <v>715</v>
      </c>
      <c r="F345" s="11">
        <v>2024</v>
      </c>
      <c r="G345" s="20">
        <f t="shared" si="35"/>
        <v>1</v>
      </c>
      <c r="H345" s="21">
        <v>0</v>
      </c>
      <c r="I345" s="21">
        <f>IFERROR(INDEX('Coding Sheet'!$AC$2:$AC$731,MATCH($B345&amp;"_"&amp;$F345,'Coding Sheet'!$A$2:$A$731,0)),"")</f>
        <v>0</v>
      </c>
      <c r="J345" s="7">
        <f>IFERROR(INDEX('Coding Sheet'!$AT$2:$AT$731,MATCH($B345&amp;"_"&amp;$F345,'Coding Sheet'!$A$2:$A$731,0)),"")</f>
        <v>0</v>
      </c>
      <c r="K345" s="21">
        <v>867880000</v>
      </c>
      <c r="L345" s="21">
        <v>2.84</v>
      </c>
      <c r="M345" s="20">
        <f t="shared" si="36"/>
        <v>2464779.2000000002</v>
      </c>
      <c r="N345" s="21">
        <v>1255000</v>
      </c>
      <c r="O345" s="21">
        <v>4863000</v>
      </c>
      <c r="P345" s="20">
        <v>11200</v>
      </c>
      <c r="Q345" s="20">
        <f t="shared" si="37"/>
        <v>0.7649144972239359</v>
      </c>
      <c r="R345" s="20">
        <f t="shared" si="38"/>
        <v>15.397166089385923</v>
      </c>
      <c r="S345" s="20">
        <f t="shared" si="39"/>
        <v>0.25807114949619575</v>
      </c>
      <c r="T345" s="20">
        <f t="shared" si="40"/>
        <v>2.3031050791692373E-3</v>
      </c>
      <c r="U345" s="20">
        <f>IFERROR(IF(ISNUMBER(INDEX('Firm Master'!$E$2:$E$1000,MATCH($C345,'Firm Master'!$B$2:$B$1000,0))),INDEX('Firm Master'!$E$2:$E$1000,MATCH($C345,'Firm Master'!$B$2:$B$1000,0)),""),"")</f>
        <v>1961</v>
      </c>
      <c r="V345" s="21">
        <f t="shared" si="41"/>
        <v>63</v>
      </c>
      <c r="W345" s="21">
        <v>0</v>
      </c>
      <c r="X345" s="20" t="str">
        <f>IFERROR(INDEX('Firm Master'!$G$2:$G$1000,MATCH($C345,'Firm Master'!$B$2:$B$1000,0)),"")</f>
        <v>PKF Professional Services</v>
      </c>
    </row>
    <row r="346" spans="1:24" ht="15" customHeight="1" x14ac:dyDescent="0.3">
      <c r="A346" s="11">
        <v>345</v>
      </c>
      <c r="B346" s="11">
        <v>69</v>
      </c>
      <c r="C346" s="11" t="s">
        <v>1045</v>
      </c>
      <c r="D346" s="11" t="s">
        <v>1046</v>
      </c>
      <c r="E346" s="11" t="s">
        <v>715</v>
      </c>
      <c r="F346" s="11">
        <v>2025</v>
      </c>
      <c r="G346" s="20">
        <f t="shared" si="35"/>
        <v>1</v>
      </c>
      <c r="H346" s="21">
        <v>0</v>
      </c>
      <c r="I346" s="21">
        <f>IFERROR(INDEX('Coding Sheet'!$AC$2:$AC$731,MATCH($B346&amp;"_"&amp;$F346,'Coding Sheet'!$A$2:$A$731,0)),"")</f>
        <v>0</v>
      </c>
      <c r="J346" s="7">
        <f>IFERROR(INDEX('Coding Sheet'!$AT$2:$AT$731,MATCH($B346&amp;"_"&amp;$F346,'Coding Sheet'!$A$2:$A$731,0)),"")</f>
        <v>0</v>
      </c>
      <c r="K346" s="21">
        <v>867880000</v>
      </c>
      <c r="L346" s="21">
        <v>4.51</v>
      </c>
      <c r="M346" s="20">
        <f t="shared" si="36"/>
        <v>3914138.8</v>
      </c>
      <c r="N346" s="21">
        <v>1825000</v>
      </c>
      <c r="O346" s="21">
        <v>5908000</v>
      </c>
      <c r="P346" s="20">
        <v>474980</v>
      </c>
      <c r="Q346" s="20">
        <f t="shared" si="37"/>
        <v>0.97141821259309413</v>
      </c>
      <c r="R346" s="20">
        <f t="shared" si="38"/>
        <v>15.591817922633407</v>
      </c>
      <c r="S346" s="20">
        <f t="shared" si="39"/>
        <v>0.30890318212593093</v>
      </c>
      <c r="T346" s="20">
        <f t="shared" si="40"/>
        <v>8.0396073121191611E-2</v>
      </c>
      <c r="U346" s="20">
        <f>IFERROR(IF(ISNUMBER(INDEX('Firm Master'!$E$2:$E$1000,MATCH($C346,'Firm Master'!$B$2:$B$1000,0))),INDEX('Firm Master'!$E$2:$E$1000,MATCH($C346,'Firm Master'!$B$2:$B$1000,0)),""),"")</f>
        <v>1961</v>
      </c>
      <c r="V346" s="21">
        <f t="shared" si="41"/>
        <v>64</v>
      </c>
      <c r="W346" s="21">
        <v>0</v>
      </c>
      <c r="X346" s="20" t="str">
        <f>IFERROR(INDEX('Firm Master'!$G$2:$G$1000,MATCH($C346,'Firm Master'!$B$2:$B$1000,0)),"")</f>
        <v>PKF Professional Services</v>
      </c>
    </row>
    <row r="347" spans="1:24" ht="15" customHeight="1" x14ac:dyDescent="0.3">
      <c r="A347" s="16">
        <v>346</v>
      </c>
      <c r="B347" s="16">
        <v>70</v>
      </c>
      <c r="C347" s="16" t="s">
        <v>1049</v>
      </c>
      <c r="D347" s="16" t="s">
        <v>1050</v>
      </c>
      <c r="E347" s="16" t="s">
        <v>752</v>
      </c>
      <c r="F347" s="16">
        <v>2021</v>
      </c>
      <c r="G347" s="16">
        <f t="shared" si="35"/>
        <v>0</v>
      </c>
      <c r="H347" s="16">
        <v>0</v>
      </c>
      <c r="I347" s="16" t="str">
        <f>IFERROR(INDEX('Coding Sheet'!$AC$2:$AC$731,MATCH($B347&amp;"_"&amp;$F347,'Coding Sheet'!$A$2:$A$731,0)),"")</f>
        <v/>
      </c>
      <c r="J347" s="22" t="str">
        <f>IFERROR(INDEX('Coding Sheet'!$AT$2:$AT$731,MATCH($B347&amp;"_"&amp;$F347,'Coding Sheet'!$A$2:$A$731,0)),"")</f>
        <v/>
      </c>
      <c r="K347" s="16"/>
      <c r="L347" s="16"/>
      <c r="M347" s="16" t="str">
        <f t="shared" si="36"/>
        <v/>
      </c>
      <c r="N347" s="16"/>
      <c r="O347" s="16"/>
      <c r="P347" s="16"/>
      <c r="Q347" s="16" t="str">
        <f t="shared" si="37"/>
        <v/>
      </c>
      <c r="R347" s="16" t="str">
        <f t="shared" si="38"/>
        <v/>
      </c>
      <c r="S347" s="16" t="str">
        <f t="shared" si="39"/>
        <v/>
      </c>
      <c r="T347" s="16" t="str">
        <f t="shared" si="40"/>
        <v/>
      </c>
      <c r="U347" s="16">
        <f>IFERROR(IF(ISNUMBER(INDEX('Firm Master'!$E$2:$E$1000,MATCH($C347,'Firm Master'!$B$2:$B$1000,0))),INDEX('Firm Master'!$E$2:$E$1000,MATCH($C347,'Firm Master'!$B$2:$B$1000,0)),""),"")</f>
        <v>2021</v>
      </c>
      <c r="V347" s="16">
        <f t="shared" si="41"/>
        <v>0</v>
      </c>
      <c r="W347" s="16"/>
      <c r="X347" s="16" t="str">
        <f>IFERROR(INDEX('Firm Master'!$G$2:$G$1000,MATCH($C347,'Firm Master'!$B$2:$B$1000,0)),"")</f>
        <v>Poju Professional Services</v>
      </c>
    </row>
    <row r="348" spans="1:24" ht="15" customHeight="1" x14ac:dyDescent="0.3">
      <c r="A348" s="16">
        <v>347</v>
      </c>
      <c r="B348" s="16">
        <v>70</v>
      </c>
      <c r="C348" s="16" t="s">
        <v>1049</v>
      </c>
      <c r="D348" s="16" t="s">
        <v>1050</v>
      </c>
      <c r="E348" s="16" t="s">
        <v>752</v>
      </c>
      <c r="F348" s="16">
        <v>2022</v>
      </c>
      <c r="G348" s="16">
        <f t="shared" si="35"/>
        <v>0</v>
      </c>
      <c r="H348" s="16">
        <v>0</v>
      </c>
      <c r="I348" s="16" t="str">
        <f>IFERROR(INDEX('Coding Sheet'!$AC$2:$AC$731,MATCH($B348&amp;"_"&amp;$F348,'Coding Sheet'!$A$2:$A$731,0)),"")</f>
        <v/>
      </c>
      <c r="J348" s="22" t="str">
        <f>IFERROR(INDEX('Coding Sheet'!$AT$2:$AT$731,MATCH($B348&amp;"_"&amp;$F348,'Coding Sheet'!$A$2:$A$731,0)),"")</f>
        <v/>
      </c>
      <c r="K348" s="16"/>
      <c r="L348" s="16"/>
      <c r="M348" s="16" t="str">
        <f t="shared" si="36"/>
        <v/>
      </c>
      <c r="N348" s="16"/>
      <c r="O348" s="16"/>
      <c r="P348" s="16"/>
      <c r="Q348" s="16" t="str">
        <f t="shared" si="37"/>
        <v/>
      </c>
      <c r="R348" s="16" t="str">
        <f t="shared" si="38"/>
        <v/>
      </c>
      <c r="S348" s="16" t="str">
        <f t="shared" si="39"/>
        <v/>
      </c>
      <c r="T348" s="16" t="str">
        <f t="shared" si="40"/>
        <v/>
      </c>
      <c r="U348" s="16">
        <f>IFERROR(IF(ISNUMBER(INDEX('Firm Master'!$E$2:$E$1000,MATCH($C348,'Firm Master'!$B$2:$B$1000,0))),INDEX('Firm Master'!$E$2:$E$1000,MATCH($C348,'Firm Master'!$B$2:$B$1000,0)),""),"")</f>
        <v>2021</v>
      </c>
      <c r="V348" s="16">
        <f t="shared" si="41"/>
        <v>1</v>
      </c>
      <c r="W348" s="16"/>
      <c r="X348" s="16" t="str">
        <f>IFERROR(INDEX('Firm Master'!$G$2:$G$1000,MATCH($C348,'Firm Master'!$B$2:$B$1000,0)),"")</f>
        <v>Poju Professional Services</v>
      </c>
    </row>
    <row r="349" spans="1:24" ht="15" customHeight="1" x14ac:dyDescent="0.3">
      <c r="A349" s="16">
        <v>348</v>
      </c>
      <c r="B349" s="16">
        <v>70</v>
      </c>
      <c r="C349" s="16" t="s">
        <v>1049</v>
      </c>
      <c r="D349" s="16" t="s">
        <v>1050</v>
      </c>
      <c r="E349" s="16" t="s">
        <v>752</v>
      </c>
      <c r="F349" s="16">
        <v>2023</v>
      </c>
      <c r="G349" s="16">
        <f t="shared" si="35"/>
        <v>1</v>
      </c>
      <c r="H349" s="16">
        <v>0</v>
      </c>
      <c r="I349" s="16" t="str">
        <f>IFERROR(INDEX('Coding Sheet'!$AC$2:$AC$731,MATCH($B349&amp;"_"&amp;$F349,'Coding Sheet'!$A$2:$A$731,0)),"")</f>
        <v/>
      </c>
      <c r="J349" s="22" t="str">
        <f>IFERROR(INDEX('Coding Sheet'!$AT$2:$AT$731,MATCH($B349&amp;"_"&amp;$F349,'Coding Sheet'!$A$2:$A$731,0)),"")</f>
        <v/>
      </c>
      <c r="K349" s="16"/>
      <c r="L349" s="16"/>
      <c r="M349" s="16" t="str">
        <f t="shared" si="36"/>
        <v/>
      </c>
      <c r="N349" s="16"/>
      <c r="O349" s="16"/>
      <c r="P349" s="16"/>
      <c r="Q349" s="16" t="str">
        <f t="shared" si="37"/>
        <v/>
      </c>
      <c r="R349" s="16" t="str">
        <f t="shared" si="38"/>
        <v/>
      </c>
      <c r="S349" s="16" t="str">
        <f t="shared" si="39"/>
        <v/>
      </c>
      <c r="T349" s="16" t="str">
        <f t="shared" si="40"/>
        <v/>
      </c>
      <c r="U349" s="16">
        <f>IFERROR(IF(ISNUMBER(INDEX('Firm Master'!$E$2:$E$1000,MATCH($C349,'Firm Master'!$B$2:$B$1000,0))),INDEX('Firm Master'!$E$2:$E$1000,MATCH($C349,'Firm Master'!$B$2:$B$1000,0)),""),"")</f>
        <v>2021</v>
      </c>
      <c r="V349" s="16">
        <f t="shared" si="41"/>
        <v>2</v>
      </c>
      <c r="W349" s="16"/>
      <c r="X349" s="16" t="str">
        <f>IFERROR(INDEX('Firm Master'!$G$2:$G$1000,MATCH($C349,'Firm Master'!$B$2:$B$1000,0)),"")</f>
        <v>Poju Professional Services</v>
      </c>
    </row>
    <row r="350" spans="1:24" ht="15" customHeight="1" x14ac:dyDescent="0.3">
      <c r="A350" s="16">
        <v>349</v>
      </c>
      <c r="B350" s="16">
        <v>70</v>
      </c>
      <c r="C350" s="16" t="s">
        <v>1049</v>
      </c>
      <c r="D350" s="16" t="s">
        <v>1050</v>
      </c>
      <c r="E350" s="16" t="s">
        <v>752</v>
      </c>
      <c r="F350" s="16">
        <v>2024</v>
      </c>
      <c r="G350" s="16">
        <f t="shared" si="35"/>
        <v>1</v>
      </c>
      <c r="H350" s="16">
        <v>0</v>
      </c>
      <c r="I350" s="16" t="str">
        <f>IFERROR(INDEX('Coding Sheet'!$AC$2:$AC$731,MATCH($B350&amp;"_"&amp;$F350,'Coding Sheet'!$A$2:$A$731,0)),"")</f>
        <v/>
      </c>
      <c r="J350" s="22" t="str">
        <f>IFERROR(INDEX('Coding Sheet'!$AT$2:$AT$731,MATCH($B350&amp;"_"&amp;$F350,'Coding Sheet'!$A$2:$A$731,0)),"")</f>
        <v/>
      </c>
      <c r="K350" s="16"/>
      <c r="L350" s="16"/>
      <c r="M350" s="16" t="str">
        <f t="shared" si="36"/>
        <v/>
      </c>
      <c r="N350" s="16"/>
      <c r="O350" s="16"/>
      <c r="P350" s="16"/>
      <c r="Q350" s="16" t="str">
        <f t="shared" si="37"/>
        <v/>
      </c>
      <c r="R350" s="16" t="str">
        <f t="shared" si="38"/>
        <v/>
      </c>
      <c r="S350" s="16" t="str">
        <f t="shared" si="39"/>
        <v/>
      </c>
      <c r="T350" s="16" t="str">
        <f t="shared" si="40"/>
        <v/>
      </c>
      <c r="U350" s="16">
        <f>IFERROR(IF(ISNUMBER(INDEX('Firm Master'!$E$2:$E$1000,MATCH($C350,'Firm Master'!$B$2:$B$1000,0))),INDEX('Firm Master'!$E$2:$E$1000,MATCH($C350,'Firm Master'!$B$2:$B$1000,0)),""),"")</f>
        <v>2021</v>
      </c>
      <c r="V350" s="16">
        <f t="shared" si="41"/>
        <v>3</v>
      </c>
      <c r="W350" s="16"/>
      <c r="X350" s="16" t="str">
        <f>IFERROR(INDEX('Firm Master'!$G$2:$G$1000,MATCH($C350,'Firm Master'!$B$2:$B$1000,0)),"")</f>
        <v>Poju Professional Services</v>
      </c>
    </row>
    <row r="351" spans="1:24" ht="15" customHeight="1" x14ac:dyDescent="0.3">
      <c r="A351" s="11">
        <v>350</v>
      </c>
      <c r="B351" s="11">
        <v>70</v>
      </c>
      <c r="C351" s="11" t="s">
        <v>1049</v>
      </c>
      <c r="D351" s="11" t="s">
        <v>1050</v>
      </c>
      <c r="E351" s="11" t="s">
        <v>752</v>
      </c>
      <c r="F351" s="11">
        <v>2025</v>
      </c>
      <c r="G351" s="20">
        <f t="shared" si="35"/>
        <v>1</v>
      </c>
      <c r="H351" s="21">
        <v>0</v>
      </c>
      <c r="I351" s="21">
        <f>IFERROR(INDEX('Coding Sheet'!$AC$2:$AC$731,MATCH($B351&amp;"_"&amp;$F351,'Coding Sheet'!$A$2:$A$731,0)),"")</f>
        <v>0</v>
      </c>
      <c r="J351" s="7">
        <f>IFERROR(INDEX('Coding Sheet'!$AT$2:$AT$731,MATCH($B351&amp;"_"&amp;$F351,'Coding Sheet'!$A$2:$A$731,0)),"")</f>
        <v>0</v>
      </c>
      <c r="K351" s="21">
        <v>2000000000</v>
      </c>
      <c r="L351" s="21">
        <v>5.29</v>
      </c>
      <c r="M351" s="20">
        <f t="shared" si="36"/>
        <v>10580000</v>
      </c>
      <c r="N351" s="21">
        <v>467000</v>
      </c>
      <c r="O351" s="21">
        <v>3337000</v>
      </c>
      <c r="P351" s="20">
        <v>142457</v>
      </c>
      <c r="Q351" s="20">
        <f t="shared" si="37"/>
        <v>3.3104584956547796</v>
      </c>
      <c r="R351" s="20">
        <f t="shared" si="38"/>
        <v>15.020582757733511</v>
      </c>
      <c r="S351" s="20">
        <f t="shared" si="39"/>
        <v>0.13994605933473178</v>
      </c>
      <c r="T351" s="20">
        <f t="shared" si="40"/>
        <v>4.2690140845070425E-2</v>
      </c>
      <c r="U351" s="20">
        <f>IFERROR(IF(ISNUMBER(INDEX('Firm Master'!$E$2:$E$1000,MATCH($C351,'Firm Master'!$B$2:$B$1000,0))),INDEX('Firm Master'!$E$2:$E$1000,MATCH($C351,'Firm Master'!$B$2:$B$1000,0)),""),"")</f>
        <v>2021</v>
      </c>
      <c r="V351" s="21">
        <f t="shared" si="41"/>
        <v>4</v>
      </c>
      <c r="W351" s="21">
        <v>0</v>
      </c>
      <c r="X351" s="20" t="str">
        <f>IFERROR(INDEX('Firm Master'!$G$2:$G$1000,MATCH($C351,'Firm Master'!$B$2:$B$1000,0)),"")</f>
        <v>Poju Professional Services</v>
      </c>
    </row>
    <row r="352" spans="1:24" ht="15" customHeight="1" x14ac:dyDescent="0.3">
      <c r="A352" s="11">
        <v>351</v>
      </c>
      <c r="B352" s="11">
        <v>71</v>
      </c>
      <c r="C352" s="11" t="s">
        <v>1054</v>
      </c>
      <c r="D352" s="11" t="s">
        <v>1055</v>
      </c>
      <c r="E352" s="11" t="s">
        <v>709</v>
      </c>
      <c r="F352" s="11">
        <v>2021</v>
      </c>
      <c r="G352" s="20">
        <f t="shared" si="35"/>
        <v>0</v>
      </c>
      <c r="H352" s="21">
        <v>0</v>
      </c>
      <c r="I352" s="21">
        <f>IFERROR(INDEX('Coding Sheet'!$AC$2:$AC$731,MATCH($B352&amp;"_"&amp;$F352,'Coding Sheet'!$A$2:$A$731,0)),"")</f>
        <v>0</v>
      </c>
      <c r="J352" s="7">
        <f>IFERROR(INDEX('Coding Sheet'!$AT$2:$AT$731,MATCH($B352&amp;"_"&amp;$F352,'Coding Sheet'!$A$2:$A$731,0)),"")</f>
        <v>0</v>
      </c>
      <c r="K352" s="21">
        <v>18480000000</v>
      </c>
      <c r="L352" s="21">
        <v>0.29980000000000001</v>
      </c>
      <c r="M352" s="20">
        <f t="shared" si="36"/>
        <v>5540304</v>
      </c>
      <c r="N352" s="21">
        <v>13147000</v>
      </c>
      <c r="O352" s="21">
        <v>20247000</v>
      </c>
      <c r="P352" s="20">
        <v>1233000</v>
      </c>
      <c r="Q352" s="20">
        <f t="shared" si="37"/>
        <v>0.92296656294759716</v>
      </c>
      <c r="R352" s="20">
        <f t="shared" si="38"/>
        <v>16.823517192393652</v>
      </c>
      <c r="S352" s="20">
        <f t="shared" si="39"/>
        <v>0.64933076505161258</v>
      </c>
      <c r="T352" s="20">
        <f t="shared" si="40"/>
        <v>6.0897910801600237E-2</v>
      </c>
      <c r="U352" s="20">
        <f>IFERROR(IF(ISNUMBER(INDEX('Firm Master'!$E$2:$E$1000,MATCH($C352,'Firm Master'!$B$2:$B$1000,0))),INDEX('Firm Master'!$E$2:$E$1000,MATCH($C352,'Firm Master'!$B$2:$B$1000,0)),""),"")</f>
        <v>1991</v>
      </c>
      <c r="V352" s="21">
        <f t="shared" si="41"/>
        <v>30</v>
      </c>
      <c r="W352" s="21">
        <v>1</v>
      </c>
      <c r="X352" s="20" t="str">
        <f>IFERROR(INDEX('Firm Master'!$G$2:$G$1000,MATCH($C352,'Firm Master'!$B$2:$B$1000,0)),"")</f>
        <v>Ernst &amp; Young (FY2021-2024); KPMG Professional Services (FY2025)</v>
      </c>
    </row>
    <row r="353" spans="1:24" ht="15" customHeight="1" x14ac:dyDescent="0.3">
      <c r="A353" s="11">
        <v>352</v>
      </c>
      <c r="B353" s="11">
        <v>71</v>
      </c>
      <c r="C353" s="11" t="s">
        <v>1054</v>
      </c>
      <c r="D353" s="11" t="s">
        <v>1055</v>
      </c>
      <c r="E353" s="11" t="s">
        <v>709</v>
      </c>
      <c r="F353" s="11">
        <v>2022</v>
      </c>
      <c r="G353" s="20">
        <f t="shared" si="35"/>
        <v>0</v>
      </c>
      <c r="H353" s="21">
        <v>0</v>
      </c>
      <c r="I353" s="21">
        <f>IFERROR(INDEX('Coding Sheet'!$AC$2:$AC$731,MATCH($B353&amp;"_"&amp;$F353,'Coding Sheet'!$A$2:$A$731,0)),"")</f>
        <v>0</v>
      </c>
      <c r="J353" s="7">
        <f>IFERROR(INDEX('Coding Sheet'!$AT$2:$AT$731,MATCH($B353&amp;"_"&amp;$F353,'Coding Sheet'!$A$2:$A$731,0)),"")</f>
        <v>0</v>
      </c>
      <c r="K353" s="21">
        <v>18480000000</v>
      </c>
      <c r="L353" s="21">
        <v>0.35</v>
      </c>
      <c r="M353" s="20">
        <f t="shared" si="36"/>
        <v>6468000</v>
      </c>
      <c r="N353" s="21">
        <v>15935000</v>
      </c>
      <c r="O353" s="21">
        <v>23631000</v>
      </c>
      <c r="P353" s="20">
        <v>1401000</v>
      </c>
      <c r="Q353" s="20">
        <f t="shared" si="37"/>
        <v>0.94803436164360377</v>
      </c>
      <c r="R353" s="20">
        <f t="shared" si="38"/>
        <v>16.978069967353569</v>
      </c>
      <c r="S353" s="20">
        <f t="shared" si="39"/>
        <v>0.67432609707587488</v>
      </c>
      <c r="T353" s="20">
        <f t="shared" si="40"/>
        <v>5.9286530404976515E-2</v>
      </c>
      <c r="U353" s="20">
        <f>IFERROR(IF(ISNUMBER(INDEX('Firm Master'!$E$2:$E$1000,MATCH($C353,'Firm Master'!$B$2:$B$1000,0))),INDEX('Firm Master'!$E$2:$E$1000,MATCH($C353,'Firm Master'!$B$2:$B$1000,0)),""),"")</f>
        <v>1991</v>
      </c>
      <c r="V353" s="21">
        <f t="shared" si="41"/>
        <v>31</v>
      </c>
      <c r="W353" s="21">
        <v>1</v>
      </c>
      <c r="X353" s="20" t="str">
        <f>IFERROR(INDEX('Firm Master'!$G$2:$G$1000,MATCH($C353,'Firm Master'!$B$2:$B$1000,0)),"")</f>
        <v>Ernst &amp; Young (FY2021-2024); KPMG Professional Services (FY2025)</v>
      </c>
    </row>
    <row r="354" spans="1:24" ht="15" customHeight="1" x14ac:dyDescent="0.3">
      <c r="A354" s="11">
        <v>353</v>
      </c>
      <c r="B354" s="11">
        <v>71</v>
      </c>
      <c r="C354" s="11" t="s">
        <v>1054</v>
      </c>
      <c r="D354" s="11" t="s">
        <v>1055</v>
      </c>
      <c r="E354" s="11" t="s">
        <v>709</v>
      </c>
      <c r="F354" s="11">
        <v>2023</v>
      </c>
      <c r="G354" s="20">
        <f t="shared" si="35"/>
        <v>1</v>
      </c>
      <c r="H354" s="21">
        <v>0</v>
      </c>
      <c r="I354" s="21">
        <f>IFERROR(INDEX('Coding Sheet'!$AC$2:$AC$731,MATCH($B354&amp;"_"&amp;$F354,'Coding Sheet'!$A$2:$A$731,0)),"")</f>
        <v>0</v>
      </c>
      <c r="J354" s="7">
        <f>IFERROR(INDEX('Coding Sheet'!$AT$2:$AT$731,MATCH($B354&amp;"_"&amp;$F354,'Coding Sheet'!$A$2:$A$731,0)),"")</f>
        <v>0</v>
      </c>
      <c r="K354" s="21">
        <v>18480000000</v>
      </c>
      <c r="L354" s="21">
        <v>0.45</v>
      </c>
      <c r="M354" s="20">
        <f t="shared" si="36"/>
        <v>8316000</v>
      </c>
      <c r="N354" s="21">
        <v>19260000</v>
      </c>
      <c r="O354" s="21">
        <v>28130000</v>
      </c>
      <c r="P354" s="20">
        <v>1674000</v>
      </c>
      <c r="Q354" s="20">
        <f t="shared" si="37"/>
        <v>0.98030572342694633</v>
      </c>
      <c r="R354" s="20">
        <f t="shared" si="38"/>
        <v>17.152347180466041</v>
      </c>
      <c r="S354" s="20">
        <f t="shared" si="39"/>
        <v>0.68467827941699255</v>
      </c>
      <c r="T354" s="20">
        <f t="shared" si="40"/>
        <v>5.9509420547458232E-2</v>
      </c>
      <c r="U354" s="20">
        <f>IFERROR(IF(ISNUMBER(INDEX('Firm Master'!$E$2:$E$1000,MATCH($C354,'Firm Master'!$B$2:$B$1000,0))),INDEX('Firm Master'!$E$2:$E$1000,MATCH($C354,'Firm Master'!$B$2:$B$1000,0)),""),"")</f>
        <v>1991</v>
      </c>
      <c r="V354" s="21">
        <f t="shared" si="41"/>
        <v>32</v>
      </c>
      <c r="W354" s="21">
        <v>1</v>
      </c>
      <c r="X354" s="20" t="str">
        <f>IFERROR(INDEX('Firm Master'!$G$2:$G$1000,MATCH($C354,'Firm Master'!$B$2:$B$1000,0)),"")</f>
        <v>Ernst &amp; Young (FY2021-2024); KPMG Professional Services (FY2025)</v>
      </c>
    </row>
    <row r="355" spans="1:24" ht="15" customHeight="1" x14ac:dyDescent="0.3">
      <c r="A355" s="11">
        <v>354</v>
      </c>
      <c r="B355" s="11">
        <v>71</v>
      </c>
      <c r="C355" s="11" t="s">
        <v>1054</v>
      </c>
      <c r="D355" s="11" t="s">
        <v>1055</v>
      </c>
      <c r="E355" s="11" t="s">
        <v>709</v>
      </c>
      <c r="F355" s="11">
        <v>2024</v>
      </c>
      <c r="G355" s="20">
        <f t="shared" si="35"/>
        <v>1</v>
      </c>
      <c r="H355" s="21">
        <v>0</v>
      </c>
      <c r="I355" s="21">
        <f>IFERROR(INDEX('Coding Sheet'!$AC$2:$AC$731,MATCH($B355&amp;"_"&amp;$F355,'Coding Sheet'!$A$2:$A$731,0)),"")</f>
        <v>0</v>
      </c>
      <c r="J355" s="7">
        <f>IFERROR(INDEX('Coding Sheet'!$AT$2:$AT$731,MATCH($B355&amp;"_"&amp;$F355,'Coding Sheet'!$A$2:$A$731,0)),"")</f>
        <v>0</v>
      </c>
      <c r="K355" s="21">
        <v>18480000000</v>
      </c>
      <c r="L355" s="21">
        <v>0.63249999999999995</v>
      </c>
      <c r="M355" s="20">
        <f t="shared" si="36"/>
        <v>11688600</v>
      </c>
      <c r="N355" s="21">
        <v>23940000</v>
      </c>
      <c r="O355" s="21">
        <v>34580000</v>
      </c>
      <c r="P355" s="20">
        <v>2050000</v>
      </c>
      <c r="Q355" s="20">
        <f t="shared" si="37"/>
        <v>1.0303238866396762</v>
      </c>
      <c r="R355" s="20">
        <f t="shared" si="38"/>
        <v>17.358786038219417</v>
      </c>
      <c r="S355" s="20">
        <f t="shared" si="39"/>
        <v>0.69230769230769229</v>
      </c>
      <c r="T355" s="20">
        <f t="shared" si="40"/>
        <v>5.9282822440717177E-2</v>
      </c>
      <c r="U355" s="20">
        <f>IFERROR(IF(ISNUMBER(INDEX('Firm Master'!$E$2:$E$1000,MATCH($C355,'Firm Master'!$B$2:$B$1000,0))),INDEX('Firm Master'!$E$2:$E$1000,MATCH($C355,'Firm Master'!$B$2:$B$1000,0)),""),"")</f>
        <v>1991</v>
      </c>
      <c r="V355" s="21">
        <f t="shared" si="41"/>
        <v>33</v>
      </c>
      <c r="W355" s="21">
        <v>1</v>
      </c>
      <c r="X355" s="20" t="str">
        <f>IFERROR(INDEX('Firm Master'!$G$2:$G$1000,MATCH($C355,'Firm Master'!$B$2:$B$1000,0)),"")</f>
        <v>Ernst &amp; Young (FY2021-2024); KPMG Professional Services (FY2025)</v>
      </c>
    </row>
    <row r="356" spans="1:24" ht="15" customHeight="1" x14ac:dyDescent="0.3">
      <c r="A356" s="11">
        <v>355</v>
      </c>
      <c r="B356" s="11">
        <v>71</v>
      </c>
      <c r="C356" s="11" t="s">
        <v>1054</v>
      </c>
      <c r="D356" s="11" t="s">
        <v>1055</v>
      </c>
      <c r="E356" s="11" t="s">
        <v>709</v>
      </c>
      <c r="F356" s="11">
        <v>2025</v>
      </c>
      <c r="G356" s="20">
        <f t="shared" si="35"/>
        <v>1</v>
      </c>
      <c r="H356" s="21">
        <v>0</v>
      </c>
      <c r="I356" s="21">
        <f>IFERROR(INDEX('Coding Sheet'!$AC$2:$AC$731,MATCH($B356&amp;"_"&amp;$F356,'Coding Sheet'!$A$2:$A$731,0)),"")</f>
        <v>0</v>
      </c>
      <c r="J356" s="7">
        <f>IFERROR(INDEX('Coding Sheet'!$AT$2:$AT$731,MATCH($B356&amp;"_"&amp;$F356,'Coding Sheet'!$A$2:$A$731,0)),"")</f>
        <v>0</v>
      </c>
      <c r="K356" s="21">
        <v>18480000000</v>
      </c>
      <c r="L356" s="21">
        <v>0.76919999999999999</v>
      </c>
      <c r="M356" s="20">
        <f t="shared" si="36"/>
        <v>14214816</v>
      </c>
      <c r="N356" s="21">
        <v>27610000</v>
      </c>
      <c r="O356" s="21">
        <v>40120000</v>
      </c>
      <c r="P356" s="20">
        <v>2290000</v>
      </c>
      <c r="Q356" s="20">
        <f t="shared" si="37"/>
        <v>1.0424929212362912</v>
      </c>
      <c r="R356" s="20">
        <f t="shared" si="38"/>
        <v>17.507385521058008</v>
      </c>
      <c r="S356" s="20">
        <f t="shared" si="39"/>
        <v>0.68818544366899304</v>
      </c>
      <c r="T356" s="20">
        <f t="shared" si="40"/>
        <v>5.7078763708873381E-2</v>
      </c>
      <c r="U356" s="20">
        <f>IFERROR(IF(ISNUMBER(INDEX('Firm Master'!$E$2:$E$1000,MATCH($C356,'Firm Master'!$B$2:$B$1000,0))),INDEX('Firm Master'!$E$2:$E$1000,MATCH($C356,'Firm Master'!$B$2:$B$1000,0)),""),"")</f>
        <v>1991</v>
      </c>
      <c r="V356" s="21">
        <f t="shared" si="41"/>
        <v>34</v>
      </c>
      <c r="W356" s="21">
        <v>1</v>
      </c>
      <c r="X356" s="20" t="str">
        <f>IFERROR(INDEX('Firm Master'!$G$2:$G$1000,MATCH($C356,'Firm Master'!$B$2:$B$1000,0)),"")</f>
        <v>Ernst &amp; Young (FY2021-2024); KPMG Professional Services (FY2025)</v>
      </c>
    </row>
    <row r="357" spans="1:24" ht="15" customHeight="1" x14ac:dyDescent="0.3">
      <c r="A357" s="11">
        <v>356</v>
      </c>
      <c r="B357" s="11">
        <v>72</v>
      </c>
      <c r="C357" s="11" t="s">
        <v>1059</v>
      </c>
      <c r="D357" s="11" t="s">
        <v>1060</v>
      </c>
      <c r="E357" s="11" t="s">
        <v>903</v>
      </c>
      <c r="F357" s="11">
        <v>2021</v>
      </c>
      <c r="G357" s="20">
        <f t="shared" si="35"/>
        <v>0</v>
      </c>
      <c r="H357" s="21">
        <v>0</v>
      </c>
      <c r="I357" s="21">
        <f>IFERROR(INDEX('Coding Sheet'!$AC$2:$AC$731,MATCH($B357&amp;"_"&amp;$F357,'Coding Sheet'!$A$2:$A$731,0)),"")</f>
        <v>0</v>
      </c>
      <c r="J357" s="7">
        <f>IFERROR(INDEX('Coding Sheet'!$AT$2:$AT$731,MATCH($B357&amp;"_"&amp;$F357,'Coding Sheet'!$A$2:$A$731,0)),"")</f>
        <v>0</v>
      </c>
      <c r="K357" s="21">
        <v>3000000000</v>
      </c>
      <c r="L357" s="21">
        <v>0.92</v>
      </c>
      <c r="M357" s="20">
        <f t="shared" si="36"/>
        <v>2760000</v>
      </c>
      <c r="N357" s="21">
        <v>4890000</v>
      </c>
      <c r="O357" s="21">
        <v>9120000</v>
      </c>
      <c r="P357" s="20">
        <v>612000</v>
      </c>
      <c r="Q357" s="20">
        <f t="shared" si="37"/>
        <v>0.83881578947368418</v>
      </c>
      <c r="R357" s="20">
        <f t="shared" si="38"/>
        <v>16.025980362050515</v>
      </c>
      <c r="S357" s="20">
        <f t="shared" si="39"/>
        <v>0.53618421052631582</v>
      </c>
      <c r="T357" s="20">
        <f t="shared" si="40"/>
        <v>6.7105263157894737E-2</v>
      </c>
      <c r="U357" s="20">
        <f>IFERROR(IF(ISNUMBER(INDEX('Firm Master'!$E$2:$E$1000,MATCH($C357,'Firm Master'!$B$2:$B$1000,0))),INDEX('Firm Master'!$E$2:$E$1000,MATCH($C357,'Firm Master'!$B$2:$B$1000,0)),""),"")</f>
        <v>1963</v>
      </c>
      <c r="V357" s="21">
        <f t="shared" si="41"/>
        <v>58</v>
      </c>
      <c r="W357" s="21">
        <v>1</v>
      </c>
      <c r="X357" s="20" t="str">
        <f>IFERROR(INDEX('Firm Master'!$G$2:$G$1000,MATCH($C357,'Firm Master'!$B$2:$B$1000,0)),"")</f>
        <v>Ernst &amp; Young (since 20-Sep-2018 AGM)</v>
      </c>
    </row>
    <row r="358" spans="1:24" ht="15" customHeight="1" x14ac:dyDescent="0.3">
      <c r="A358" s="11">
        <v>357</v>
      </c>
      <c r="B358" s="11">
        <v>72</v>
      </c>
      <c r="C358" s="11" t="s">
        <v>1059</v>
      </c>
      <c r="D358" s="11" t="s">
        <v>1060</v>
      </c>
      <c r="E358" s="11" t="s">
        <v>903</v>
      </c>
      <c r="F358" s="11">
        <v>2022</v>
      </c>
      <c r="G358" s="20">
        <f t="shared" si="35"/>
        <v>0</v>
      </c>
      <c r="H358" s="21">
        <v>0</v>
      </c>
      <c r="I358" s="21">
        <f>IFERROR(INDEX('Coding Sheet'!$AC$2:$AC$731,MATCH($B358&amp;"_"&amp;$F358,'Coding Sheet'!$A$2:$A$731,0)),"")</f>
        <v>0</v>
      </c>
      <c r="J358" s="7">
        <f>IFERROR(INDEX('Coding Sheet'!$AT$2:$AT$731,MATCH($B358&amp;"_"&amp;$F358,'Coding Sheet'!$A$2:$A$731,0)),"")</f>
        <v>0</v>
      </c>
      <c r="K358" s="21">
        <v>3000000000</v>
      </c>
      <c r="L358" s="21">
        <v>1.0900000000000001</v>
      </c>
      <c r="M358" s="20">
        <f t="shared" si="36"/>
        <v>3270000.0000000005</v>
      </c>
      <c r="N358" s="21">
        <v>5640000</v>
      </c>
      <c r="O358" s="21">
        <v>10580000</v>
      </c>
      <c r="P358" s="20">
        <v>745000</v>
      </c>
      <c r="Q358" s="20">
        <f t="shared" si="37"/>
        <v>0.84215500945179589</v>
      </c>
      <c r="R358" s="20">
        <f t="shared" si="38"/>
        <v>16.174475984394427</v>
      </c>
      <c r="S358" s="20">
        <f t="shared" si="39"/>
        <v>0.53308128544423439</v>
      </c>
      <c r="T358" s="20">
        <f t="shared" si="40"/>
        <v>7.0415879017013239E-2</v>
      </c>
      <c r="U358" s="20">
        <f>IFERROR(IF(ISNUMBER(INDEX('Firm Master'!$E$2:$E$1000,MATCH($C358,'Firm Master'!$B$2:$B$1000,0))),INDEX('Firm Master'!$E$2:$E$1000,MATCH($C358,'Firm Master'!$B$2:$B$1000,0)),""),"")</f>
        <v>1963</v>
      </c>
      <c r="V358" s="21">
        <f t="shared" si="41"/>
        <v>59</v>
      </c>
      <c r="W358" s="21">
        <v>1</v>
      </c>
      <c r="X358" s="20" t="str">
        <f>IFERROR(INDEX('Firm Master'!$G$2:$G$1000,MATCH($C358,'Firm Master'!$B$2:$B$1000,0)),"")</f>
        <v>Ernst &amp; Young (since 20-Sep-2018 AGM)</v>
      </c>
    </row>
    <row r="359" spans="1:24" ht="15" customHeight="1" x14ac:dyDescent="0.3">
      <c r="A359" s="11">
        <v>358</v>
      </c>
      <c r="B359" s="11">
        <v>72</v>
      </c>
      <c r="C359" s="11" t="s">
        <v>1059</v>
      </c>
      <c r="D359" s="11" t="s">
        <v>1060</v>
      </c>
      <c r="E359" s="11" t="s">
        <v>903</v>
      </c>
      <c r="F359" s="11">
        <v>2023</v>
      </c>
      <c r="G359" s="20">
        <f t="shared" si="35"/>
        <v>1</v>
      </c>
      <c r="H359" s="21">
        <v>0</v>
      </c>
      <c r="I359" s="21">
        <f>IFERROR(INDEX('Coding Sheet'!$AC$2:$AC$731,MATCH($B359&amp;"_"&amp;$F359,'Coding Sheet'!$A$2:$A$731,0)),"")</f>
        <v>0</v>
      </c>
      <c r="J359" s="7">
        <f>IFERROR(INDEX('Coding Sheet'!$AT$2:$AT$731,MATCH($B359&amp;"_"&amp;$F359,'Coding Sheet'!$A$2:$A$731,0)),"")</f>
        <v>0</v>
      </c>
      <c r="K359" s="21">
        <v>3000000000</v>
      </c>
      <c r="L359" s="21">
        <v>1.51</v>
      </c>
      <c r="M359" s="20">
        <f t="shared" si="36"/>
        <v>4530000</v>
      </c>
      <c r="N359" s="21">
        <v>6920000</v>
      </c>
      <c r="O359" s="21">
        <v>13140000</v>
      </c>
      <c r="P359" s="20">
        <v>980000</v>
      </c>
      <c r="Q359" s="20">
        <f t="shared" si="37"/>
        <v>0.87138508371385082</v>
      </c>
      <c r="R359" s="20">
        <f t="shared" si="38"/>
        <v>16.391171571020738</v>
      </c>
      <c r="S359" s="20">
        <f t="shared" si="39"/>
        <v>0.52663622526636222</v>
      </c>
      <c r="T359" s="20">
        <f t="shared" si="40"/>
        <v>7.4581430745814303E-2</v>
      </c>
      <c r="U359" s="20">
        <f>IFERROR(IF(ISNUMBER(INDEX('Firm Master'!$E$2:$E$1000,MATCH($C359,'Firm Master'!$B$2:$B$1000,0))),INDEX('Firm Master'!$E$2:$E$1000,MATCH($C359,'Firm Master'!$B$2:$B$1000,0)),""),"")</f>
        <v>1963</v>
      </c>
      <c r="V359" s="21">
        <f t="shared" si="41"/>
        <v>60</v>
      </c>
      <c r="W359" s="21">
        <v>1</v>
      </c>
      <c r="X359" s="20" t="str">
        <f>IFERROR(INDEX('Firm Master'!$G$2:$G$1000,MATCH($C359,'Firm Master'!$B$2:$B$1000,0)),"")</f>
        <v>Ernst &amp; Young (since 20-Sep-2018 AGM)</v>
      </c>
    </row>
    <row r="360" spans="1:24" ht="15" customHeight="1" x14ac:dyDescent="0.3">
      <c r="A360" s="11">
        <v>359</v>
      </c>
      <c r="B360" s="11">
        <v>72</v>
      </c>
      <c r="C360" s="11" t="s">
        <v>1059</v>
      </c>
      <c r="D360" s="11" t="s">
        <v>1060</v>
      </c>
      <c r="E360" s="11" t="s">
        <v>903</v>
      </c>
      <c r="F360" s="11">
        <v>2024</v>
      </c>
      <c r="G360" s="20">
        <f t="shared" si="35"/>
        <v>1</v>
      </c>
      <c r="H360" s="21">
        <v>0</v>
      </c>
      <c r="I360" s="21">
        <f>IFERROR(INDEX('Coding Sheet'!$AC$2:$AC$731,MATCH($B360&amp;"_"&amp;$F360,'Coding Sheet'!$A$2:$A$731,0)),"")</f>
        <v>5</v>
      </c>
      <c r="J360" s="7">
        <f>IFERROR(INDEX('Coding Sheet'!$AT$2:$AT$731,MATCH($B360&amp;"_"&amp;$F360,'Coding Sheet'!$A$2:$A$731,0)),"")</f>
        <v>0</v>
      </c>
      <c r="K360" s="21">
        <v>3000000000</v>
      </c>
      <c r="L360" s="21">
        <v>2.06</v>
      </c>
      <c r="M360" s="20">
        <f t="shared" si="36"/>
        <v>6180000</v>
      </c>
      <c r="N360" s="21">
        <v>8760000</v>
      </c>
      <c r="O360" s="21">
        <v>16390000</v>
      </c>
      <c r="P360" s="20">
        <v>1240000</v>
      </c>
      <c r="Q360" s="20">
        <f t="shared" si="37"/>
        <v>0.91153142159853573</v>
      </c>
      <c r="R360" s="20">
        <f t="shared" si="38"/>
        <v>16.612181950720011</v>
      </c>
      <c r="S360" s="20">
        <f t="shared" si="39"/>
        <v>0.53447223917022579</v>
      </c>
      <c r="T360" s="20">
        <f t="shared" si="40"/>
        <v>7.5655887736424648E-2</v>
      </c>
      <c r="U360" s="20">
        <f>IFERROR(IF(ISNUMBER(INDEX('Firm Master'!$E$2:$E$1000,MATCH($C360,'Firm Master'!$B$2:$B$1000,0))),INDEX('Firm Master'!$E$2:$E$1000,MATCH($C360,'Firm Master'!$B$2:$B$1000,0)),""),"")</f>
        <v>1963</v>
      </c>
      <c r="V360" s="21">
        <f t="shared" si="41"/>
        <v>61</v>
      </c>
      <c r="W360" s="21">
        <v>1</v>
      </c>
      <c r="X360" s="20" t="str">
        <f>IFERROR(INDEX('Firm Master'!$G$2:$G$1000,MATCH($C360,'Firm Master'!$B$2:$B$1000,0)),"")</f>
        <v>Ernst &amp; Young (since 20-Sep-2018 AGM)</v>
      </c>
    </row>
    <row r="361" spans="1:24" ht="15" customHeight="1" x14ac:dyDescent="0.3">
      <c r="A361" s="11">
        <v>360</v>
      </c>
      <c r="B361" s="11">
        <v>72</v>
      </c>
      <c r="C361" s="11" t="s">
        <v>1059</v>
      </c>
      <c r="D361" s="11" t="s">
        <v>1060</v>
      </c>
      <c r="E361" s="11" t="s">
        <v>903</v>
      </c>
      <c r="F361" s="11">
        <v>2025</v>
      </c>
      <c r="G361" s="20">
        <f t="shared" si="35"/>
        <v>1</v>
      </c>
      <c r="H361" s="21">
        <v>0</v>
      </c>
      <c r="I361" s="21">
        <f>IFERROR(INDEX('Coding Sheet'!$AC$2:$AC$731,MATCH($B361&amp;"_"&amp;$F361,'Coding Sheet'!$A$2:$A$731,0)),"")</f>
        <v>5</v>
      </c>
      <c r="J361" s="7">
        <f>IFERROR(INDEX('Coding Sheet'!$AT$2:$AT$731,MATCH($B361&amp;"_"&amp;$F361,'Coding Sheet'!$A$2:$A$731,0)),"")</f>
        <v>0</v>
      </c>
      <c r="K361" s="21">
        <v>3000000000</v>
      </c>
      <c r="L361" s="21">
        <v>2.5499999999999998</v>
      </c>
      <c r="M361" s="20">
        <f t="shared" si="36"/>
        <v>7649999.9999999991</v>
      </c>
      <c r="N361" s="21">
        <v>10120000</v>
      </c>
      <c r="O361" s="21">
        <v>18970000</v>
      </c>
      <c r="P361" s="20">
        <v>1460000</v>
      </c>
      <c r="Q361" s="20">
        <f t="shared" si="37"/>
        <v>0.93674222456510281</v>
      </c>
      <c r="R361" s="20">
        <f t="shared" si="38"/>
        <v>16.758369341911198</v>
      </c>
      <c r="S361" s="20">
        <f t="shared" si="39"/>
        <v>0.53347390616763313</v>
      </c>
      <c r="T361" s="20">
        <f t="shared" si="40"/>
        <v>7.6963626779124938E-2</v>
      </c>
      <c r="U361" s="20">
        <f>IFERROR(IF(ISNUMBER(INDEX('Firm Master'!$E$2:$E$1000,MATCH($C361,'Firm Master'!$B$2:$B$1000,0))),INDEX('Firm Master'!$E$2:$E$1000,MATCH($C361,'Firm Master'!$B$2:$B$1000,0)),""),"")</f>
        <v>1963</v>
      </c>
      <c r="V361" s="21">
        <f t="shared" si="41"/>
        <v>62</v>
      </c>
      <c r="W361" s="21">
        <v>1</v>
      </c>
      <c r="X361" s="20" t="str">
        <f>IFERROR(INDEX('Firm Master'!$G$2:$G$1000,MATCH($C361,'Firm Master'!$B$2:$B$1000,0)),"")</f>
        <v>Ernst &amp; Young (since 20-Sep-2018 AGM)</v>
      </c>
    </row>
    <row r="362" spans="1:24" ht="15" customHeight="1" x14ac:dyDescent="0.3">
      <c r="A362" s="11">
        <v>361</v>
      </c>
      <c r="B362" s="11">
        <v>73</v>
      </c>
      <c r="C362" s="11" t="s">
        <v>1064</v>
      </c>
      <c r="D362" s="11" t="s">
        <v>1065</v>
      </c>
      <c r="E362" s="11" t="s">
        <v>709</v>
      </c>
      <c r="F362" s="11">
        <v>2021</v>
      </c>
      <c r="G362" s="20">
        <f t="shared" si="35"/>
        <v>0</v>
      </c>
      <c r="H362" s="21">
        <v>0</v>
      </c>
      <c r="I362" s="21">
        <f>IFERROR(INDEX('Coding Sheet'!$AC$2:$AC$731,MATCH($B362&amp;"_"&amp;$F362,'Coding Sheet'!$A$2:$A$731,0)),"")</f>
        <v>0</v>
      </c>
      <c r="J362" s="7">
        <f>IFERROR(INDEX('Coding Sheet'!$AT$2:$AT$731,MATCH($B362&amp;"_"&amp;$F362,'Coding Sheet'!$A$2:$A$731,0)),"")</f>
        <v>0</v>
      </c>
      <c r="K362" s="21">
        <v>5000000000</v>
      </c>
      <c r="L362" s="21">
        <v>1.04</v>
      </c>
      <c r="M362" s="20">
        <f t="shared" si="36"/>
        <v>5200000</v>
      </c>
      <c r="N362" s="21">
        <v>8118000</v>
      </c>
      <c r="O362" s="21">
        <v>11342000</v>
      </c>
      <c r="P362" s="20">
        <v>506960</v>
      </c>
      <c r="Q362" s="20">
        <f t="shared" si="37"/>
        <v>1.174219714336096</v>
      </c>
      <c r="R362" s="20">
        <f t="shared" si="38"/>
        <v>16.244023207556111</v>
      </c>
      <c r="S362" s="20">
        <f t="shared" si="39"/>
        <v>0.71574678187268559</v>
      </c>
      <c r="T362" s="20">
        <f t="shared" si="40"/>
        <v>4.4697584200317407E-2</v>
      </c>
      <c r="U362" s="20">
        <f>IFERROR(IF(ISNUMBER(INDEX('Firm Master'!$E$2:$E$1000,MATCH($C362,'Firm Master'!$B$2:$B$1000,0))),INDEX('Firm Master'!$E$2:$E$1000,MATCH($C362,'Firm Master'!$B$2:$B$1000,0)),""),"")</f>
        <v>1993</v>
      </c>
      <c r="V362" s="21">
        <f t="shared" si="41"/>
        <v>28</v>
      </c>
      <c r="W362" s="21">
        <v>0</v>
      </c>
      <c r="X362" s="20" t="str">
        <f>IFERROR(INDEX('Firm Master'!$G$2:$G$1000,MATCH($C362,'Firm Master'!$B$2:$B$1000,0)),"")</f>
        <v>PKF Professional Services</v>
      </c>
    </row>
    <row r="363" spans="1:24" ht="15" customHeight="1" x14ac:dyDescent="0.3">
      <c r="A363" s="11">
        <v>362</v>
      </c>
      <c r="B363" s="11">
        <v>73</v>
      </c>
      <c r="C363" s="11" t="s">
        <v>1064</v>
      </c>
      <c r="D363" s="11" t="s">
        <v>1065</v>
      </c>
      <c r="E363" s="11" t="s">
        <v>709</v>
      </c>
      <c r="F363" s="11">
        <v>2022</v>
      </c>
      <c r="G363" s="20">
        <f t="shared" si="35"/>
        <v>0</v>
      </c>
      <c r="H363" s="21">
        <v>0</v>
      </c>
      <c r="I363" s="21">
        <f>IFERROR(INDEX('Coding Sheet'!$AC$2:$AC$731,MATCH($B363&amp;"_"&amp;$F363,'Coding Sheet'!$A$2:$A$731,0)),"")</f>
        <v>0</v>
      </c>
      <c r="J363" s="7">
        <f>IFERROR(INDEX('Coding Sheet'!$AT$2:$AT$731,MATCH($B363&amp;"_"&amp;$F363,'Coding Sheet'!$A$2:$A$731,0)),"")</f>
        <v>0</v>
      </c>
      <c r="K363" s="21">
        <v>5000000000</v>
      </c>
      <c r="L363" s="21">
        <v>1.6</v>
      </c>
      <c r="M363" s="20">
        <f t="shared" si="36"/>
        <v>8000000</v>
      </c>
      <c r="N363" s="21">
        <v>9168000</v>
      </c>
      <c r="O363" s="21">
        <v>12914000</v>
      </c>
      <c r="P363" s="20">
        <v>821680</v>
      </c>
      <c r="Q363" s="20">
        <f t="shared" si="37"/>
        <v>1.3294099426978474</v>
      </c>
      <c r="R363" s="20">
        <f t="shared" si="38"/>
        <v>16.373822552168548</v>
      </c>
      <c r="S363" s="20">
        <f t="shared" si="39"/>
        <v>0.70992721077899956</v>
      </c>
      <c r="T363" s="20">
        <f t="shared" si="40"/>
        <v>6.3627071395384857E-2</v>
      </c>
      <c r="U363" s="20">
        <f>IFERROR(IF(ISNUMBER(INDEX('Firm Master'!$E$2:$E$1000,MATCH($C363,'Firm Master'!$B$2:$B$1000,0))),INDEX('Firm Master'!$E$2:$E$1000,MATCH($C363,'Firm Master'!$B$2:$B$1000,0)),""),"")</f>
        <v>1993</v>
      </c>
      <c r="V363" s="21">
        <f t="shared" si="41"/>
        <v>29</v>
      </c>
      <c r="W363" s="21">
        <v>0</v>
      </c>
      <c r="X363" s="20" t="str">
        <f>IFERROR(INDEX('Firm Master'!$G$2:$G$1000,MATCH($C363,'Firm Master'!$B$2:$B$1000,0)),"")</f>
        <v>PKF Professional Services</v>
      </c>
    </row>
    <row r="364" spans="1:24" ht="15" customHeight="1" x14ac:dyDescent="0.3">
      <c r="A364" s="11">
        <v>363</v>
      </c>
      <c r="B364" s="11">
        <v>73</v>
      </c>
      <c r="C364" s="11" t="s">
        <v>1064</v>
      </c>
      <c r="D364" s="11" t="s">
        <v>1065</v>
      </c>
      <c r="E364" s="11" t="s">
        <v>709</v>
      </c>
      <c r="F364" s="11">
        <v>2023</v>
      </c>
      <c r="G364" s="20">
        <f t="shared" si="35"/>
        <v>1</v>
      </c>
      <c r="H364" s="21">
        <v>0</v>
      </c>
      <c r="I364" s="21">
        <f>IFERROR(INDEX('Coding Sheet'!$AC$2:$AC$731,MATCH($B364&amp;"_"&amp;$F364,'Coding Sheet'!$A$2:$A$731,0)),"")</f>
        <v>0</v>
      </c>
      <c r="J364" s="7">
        <f>IFERROR(INDEX('Coding Sheet'!$AT$2:$AT$731,MATCH($B364&amp;"_"&amp;$F364,'Coding Sheet'!$A$2:$A$731,0)),"")</f>
        <v>0</v>
      </c>
      <c r="K364" s="21">
        <v>5000000000</v>
      </c>
      <c r="L364" s="21">
        <v>2.98</v>
      </c>
      <c r="M364" s="20">
        <f t="shared" si="36"/>
        <v>14900000</v>
      </c>
      <c r="N364" s="21">
        <v>13542000</v>
      </c>
      <c r="O364" s="21">
        <v>17796000</v>
      </c>
      <c r="P364" s="20">
        <v>568270</v>
      </c>
      <c r="Q364" s="20">
        <f t="shared" si="37"/>
        <v>1.5982243200719264</v>
      </c>
      <c r="R364" s="20">
        <f t="shared" si="38"/>
        <v>16.69448427090807</v>
      </c>
      <c r="S364" s="20">
        <f t="shared" si="39"/>
        <v>0.76095751854349292</v>
      </c>
      <c r="T364" s="20">
        <f t="shared" si="40"/>
        <v>3.1932456731849856E-2</v>
      </c>
      <c r="U364" s="20">
        <f>IFERROR(IF(ISNUMBER(INDEX('Firm Master'!$E$2:$E$1000,MATCH($C364,'Firm Master'!$B$2:$B$1000,0))),INDEX('Firm Master'!$E$2:$E$1000,MATCH($C364,'Firm Master'!$B$2:$B$1000,0)),""),"")</f>
        <v>1993</v>
      </c>
      <c r="V364" s="21">
        <f t="shared" si="41"/>
        <v>30</v>
      </c>
      <c r="W364" s="21">
        <v>0</v>
      </c>
      <c r="X364" s="20" t="str">
        <f>IFERROR(INDEX('Firm Master'!$G$2:$G$1000,MATCH($C364,'Firm Master'!$B$2:$B$1000,0)),"")</f>
        <v>PKF Professional Services</v>
      </c>
    </row>
    <row r="365" spans="1:24" ht="15" customHeight="1" x14ac:dyDescent="0.3">
      <c r="A365" s="11">
        <v>364</v>
      </c>
      <c r="B365" s="11">
        <v>73</v>
      </c>
      <c r="C365" s="11" t="s">
        <v>1064</v>
      </c>
      <c r="D365" s="11" t="s">
        <v>1065</v>
      </c>
      <c r="E365" s="11" t="s">
        <v>709</v>
      </c>
      <c r="F365" s="11">
        <v>2024</v>
      </c>
      <c r="G365" s="20">
        <f t="shared" si="35"/>
        <v>1</v>
      </c>
      <c r="H365" s="21">
        <v>0</v>
      </c>
      <c r="I365" s="21">
        <f>IFERROR(INDEX('Coding Sheet'!$AC$2:$AC$731,MATCH($B365&amp;"_"&amp;$F365,'Coding Sheet'!$A$2:$A$731,0)),"")</f>
        <v>0</v>
      </c>
      <c r="J365" s="7">
        <f>IFERROR(INDEX('Coding Sheet'!$AT$2:$AT$731,MATCH($B365&amp;"_"&amp;$F365,'Coding Sheet'!$A$2:$A$731,0)),"")</f>
        <v>0</v>
      </c>
      <c r="K365" s="21">
        <v>5000000000</v>
      </c>
      <c r="L365" s="21">
        <v>4.38</v>
      </c>
      <c r="M365" s="20">
        <f t="shared" si="36"/>
        <v>21900000</v>
      </c>
      <c r="N365" s="21">
        <v>18994000</v>
      </c>
      <c r="O365" s="21">
        <v>24046000</v>
      </c>
      <c r="P365" s="20">
        <v>789140</v>
      </c>
      <c r="Q365" s="20">
        <f t="shared" si="37"/>
        <v>1.7006570739416118</v>
      </c>
      <c r="R365" s="20">
        <f t="shared" si="38"/>
        <v>16.995479220516991</v>
      </c>
      <c r="S365" s="20">
        <f t="shared" si="39"/>
        <v>0.78990268651750806</v>
      </c>
      <c r="T365" s="20">
        <f t="shared" si="40"/>
        <v>3.2817932296431838E-2</v>
      </c>
      <c r="U365" s="20">
        <f>IFERROR(IF(ISNUMBER(INDEX('Firm Master'!$E$2:$E$1000,MATCH($C365,'Firm Master'!$B$2:$B$1000,0))),INDEX('Firm Master'!$E$2:$E$1000,MATCH($C365,'Firm Master'!$B$2:$B$1000,0)),""),"")</f>
        <v>1993</v>
      </c>
      <c r="V365" s="21">
        <f t="shared" si="41"/>
        <v>31</v>
      </c>
      <c r="W365" s="21">
        <v>0</v>
      </c>
      <c r="X365" s="20" t="str">
        <f>IFERROR(INDEX('Firm Master'!$G$2:$G$1000,MATCH($C365,'Firm Master'!$B$2:$B$1000,0)),"")</f>
        <v>PKF Professional Services</v>
      </c>
    </row>
    <row r="366" spans="1:24" ht="15" customHeight="1" x14ac:dyDescent="0.3">
      <c r="A366" s="11">
        <v>365</v>
      </c>
      <c r="B366" s="11">
        <v>73</v>
      </c>
      <c r="C366" s="11" t="s">
        <v>1064</v>
      </c>
      <c r="D366" s="11" t="s">
        <v>1065</v>
      </c>
      <c r="E366" s="11" t="s">
        <v>709</v>
      </c>
      <c r="F366" s="11">
        <v>2025</v>
      </c>
      <c r="G366" s="20">
        <f t="shared" si="35"/>
        <v>1</v>
      </c>
      <c r="H366" s="21">
        <v>0</v>
      </c>
      <c r="I366" s="21">
        <f>IFERROR(INDEX('Coding Sheet'!$AC$2:$AC$731,MATCH($B366&amp;"_"&amp;$F366,'Coding Sheet'!$A$2:$A$731,0)),"")</f>
        <v>0</v>
      </c>
      <c r="J366" s="7">
        <f>IFERROR(INDEX('Coding Sheet'!$AT$2:$AT$731,MATCH($B366&amp;"_"&amp;$F366,'Coding Sheet'!$A$2:$A$731,0)),"")</f>
        <v>0</v>
      </c>
      <c r="K366" s="21">
        <v>5000000000</v>
      </c>
      <c r="L366" s="21">
        <v>3.45</v>
      </c>
      <c r="M366" s="20">
        <f t="shared" si="36"/>
        <v>17250000</v>
      </c>
      <c r="N366" s="21">
        <v>27688000</v>
      </c>
      <c r="O366" s="21">
        <v>32740000</v>
      </c>
      <c r="P366" s="20">
        <v>1011000</v>
      </c>
      <c r="Q366" s="20">
        <f t="shared" si="37"/>
        <v>1.3725717776420281</v>
      </c>
      <c r="R366" s="20">
        <f t="shared" si="38"/>
        <v>17.304108129907263</v>
      </c>
      <c r="S366" s="20">
        <f t="shared" si="39"/>
        <v>0.84569334147831399</v>
      </c>
      <c r="T366" s="20">
        <f t="shared" si="40"/>
        <v>3.0879657910812462E-2</v>
      </c>
      <c r="U366" s="20">
        <f>IFERROR(IF(ISNUMBER(INDEX('Firm Master'!$E$2:$E$1000,MATCH($C366,'Firm Master'!$B$2:$B$1000,0))),INDEX('Firm Master'!$E$2:$E$1000,MATCH($C366,'Firm Master'!$B$2:$B$1000,0)),""),"")</f>
        <v>1993</v>
      </c>
      <c r="V366" s="21">
        <f t="shared" si="41"/>
        <v>32</v>
      </c>
      <c r="W366" s="21">
        <v>0</v>
      </c>
      <c r="X366" s="20" t="str">
        <f>IFERROR(INDEX('Firm Master'!$G$2:$G$1000,MATCH($C366,'Firm Master'!$B$2:$B$1000,0)),"")</f>
        <v>PKF Professional Services</v>
      </c>
    </row>
    <row r="367" spans="1:24" ht="15" customHeight="1" x14ac:dyDescent="0.3">
      <c r="A367" s="11">
        <v>366</v>
      </c>
      <c r="B367" s="11">
        <v>74</v>
      </c>
      <c r="C367" s="11" t="s">
        <v>1067</v>
      </c>
      <c r="D367" s="11" t="s">
        <v>1068</v>
      </c>
      <c r="E367" s="11" t="s">
        <v>709</v>
      </c>
      <c r="F367" s="11">
        <v>2021</v>
      </c>
      <c r="G367" s="20">
        <f t="shared" si="35"/>
        <v>0</v>
      </c>
      <c r="H367" s="21">
        <v>0</v>
      </c>
      <c r="I367" s="21">
        <f>IFERROR(INDEX('Coding Sheet'!$AC$2:$AC$731,MATCH($B367&amp;"_"&amp;$F367,'Coding Sheet'!$A$2:$A$731,0)),"")</f>
        <v>40</v>
      </c>
      <c r="J367" s="7">
        <f>IFERROR(INDEX('Coding Sheet'!$AT$2:$AT$731,MATCH($B367&amp;"_"&amp;$F367,'Coding Sheet'!$A$2:$A$731,0)),"")</f>
        <v>0</v>
      </c>
      <c r="K367" s="21">
        <v>8944000000</v>
      </c>
      <c r="L367" s="21">
        <v>2.3233000000000001</v>
      </c>
      <c r="M367" s="20">
        <f t="shared" si="36"/>
        <v>20779595.199999999</v>
      </c>
      <c r="N367" s="21">
        <v>69671000</v>
      </c>
      <c r="O367" s="21">
        <v>104065000</v>
      </c>
      <c r="P367" s="20">
        <v>3165000</v>
      </c>
      <c r="Q367" s="20">
        <f t="shared" si="37"/>
        <v>0.86917402777110464</v>
      </c>
      <c r="R367" s="20">
        <f t="shared" si="38"/>
        <v>18.460526261874488</v>
      </c>
      <c r="S367" s="20">
        <f t="shared" si="39"/>
        <v>0.669495027146495</v>
      </c>
      <c r="T367" s="20">
        <f t="shared" si="40"/>
        <v>3.0413683755345217E-2</v>
      </c>
      <c r="U367" s="20">
        <f>IFERROR(IF(ISNUMBER(INDEX('Firm Master'!$E$2:$E$1000,MATCH($C367,'Firm Master'!$B$2:$B$1000,0))),INDEX('Firm Master'!$E$2:$E$1000,MATCH($C367,'Firm Master'!$B$2:$B$1000,0)),""),"")</f>
        <v>1989</v>
      </c>
      <c r="V367" s="21">
        <f t="shared" si="41"/>
        <v>32</v>
      </c>
      <c r="W367" s="21">
        <v>1</v>
      </c>
      <c r="X367" s="20" t="str">
        <f>IFERROR(INDEX('Firm Master'!$G$2:$G$1000,MATCH($C367,'Firm Master'!$B$2:$B$1000,0)),"")</f>
        <v>KPMG Professional Services</v>
      </c>
    </row>
    <row r="368" spans="1:24" ht="15" customHeight="1" x14ac:dyDescent="0.3">
      <c r="A368" s="11">
        <v>367</v>
      </c>
      <c r="B368" s="11">
        <v>74</v>
      </c>
      <c r="C368" s="11" t="s">
        <v>1067</v>
      </c>
      <c r="D368" s="11" t="s">
        <v>1068</v>
      </c>
      <c r="E368" s="11" t="s">
        <v>709</v>
      </c>
      <c r="F368" s="11">
        <v>2022</v>
      </c>
      <c r="G368" s="20">
        <f t="shared" si="35"/>
        <v>0</v>
      </c>
      <c r="H368" s="21">
        <v>0</v>
      </c>
      <c r="I368" s="21">
        <f>IFERROR(INDEX('Coding Sheet'!$AC$2:$AC$731,MATCH($B368&amp;"_"&amp;$F368,'Coding Sheet'!$A$2:$A$731,0)),"")</f>
        <v>40</v>
      </c>
      <c r="J368" s="7">
        <f>IFERROR(INDEX('Coding Sheet'!$AT$2:$AT$731,MATCH($B368&amp;"_"&amp;$F368,'Coding Sheet'!$A$2:$A$731,0)),"")</f>
        <v>0</v>
      </c>
      <c r="K368" s="21">
        <v>8944000000</v>
      </c>
      <c r="L368" s="21">
        <v>2.0002</v>
      </c>
      <c r="M368" s="20">
        <f t="shared" si="36"/>
        <v>17889788.800000001</v>
      </c>
      <c r="N368" s="21">
        <v>72185000</v>
      </c>
      <c r="O368" s="21">
        <v>105293000</v>
      </c>
      <c r="P368" s="20">
        <v>2749000</v>
      </c>
      <c r="Q368" s="20">
        <f t="shared" si="37"/>
        <v>0.85546796843094974</v>
      </c>
      <c r="R368" s="20">
        <f t="shared" si="38"/>
        <v>18.472257498161383</v>
      </c>
      <c r="S368" s="20">
        <f t="shared" si="39"/>
        <v>0.68556314284900233</v>
      </c>
      <c r="T368" s="20">
        <f t="shared" si="40"/>
        <v>2.6108098354116607E-2</v>
      </c>
      <c r="U368" s="20">
        <f>IFERROR(IF(ISNUMBER(INDEX('Firm Master'!$E$2:$E$1000,MATCH($C368,'Firm Master'!$B$2:$B$1000,0))),INDEX('Firm Master'!$E$2:$E$1000,MATCH($C368,'Firm Master'!$B$2:$B$1000,0)),""),"")</f>
        <v>1989</v>
      </c>
      <c r="V368" s="21">
        <f t="shared" si="41"/>
        <v>33</v>
      </c>
      <c r="W368" s="21">
        <v>1</v>
      </c>
      <c r="X368" s="20" t="str">
        <f>IFERROR(INDEX('Firm Master'!$G$2:$G$1000,MATCH($C368,'Firm Master'!$B$2:$B$1000,0)),"")</f>
        <v>KPMG Professional Services</v>
      </c>
    </row>
    <row r="369" spans="1:24" ht="15" customHeight="1" x14ac:dyDescent="0.3">
      <c r="A369" s="11">
        <v>368</v>
      </c>
      <c r="B369" s="11">
        <v>74</v>
      </c>
      <c r="C369" s="11" t="s">
        <v>1067</v>
      </c>
      <c r="D369" s="11" t="s">
        <v>1068</v>
      </c>
      <c r="E369" s="11" t="s">
        <v>709</v>
      </c>
      <c r="F369" s="11">
        <v>2023</v>
      </c>
      <c r="G369" s="20">
        <f t="shared" si="35"/>
        <v>1</v>
      </c>
      <c r="H369" s="21">
        <v>0</v>
      </c>
      <c r="I369" s="21">
        <f>IFERROR(INDEX('Coding Sheet'!$AC$2:$AC$731,MATCH($B369&amp;"_"&amp;$F369,'Coding Sheet'!$A$2:$A$731,0)),"")</f>
        <v>40</v>
      </c>
      <c r="J369" s="7">
        <f>IFERROR(INDEX('Coding Sheet'!$AT$2:$AT$731,MATCH($B369&amp;"_"&amp;$F369,'Coding Sheet'!$A$2:$A$731,0)),"")</f>
        <v>0</v>
      </c>
      <c r="K369" s="21">
        <v>8944000000</v>
      </c>
      <c r="L369" s="21">
        <v>5.4997999999999996</v>
      </c>
      <c r="M369" s="20">
        <f t="shared" si="36"/>
        <v>49190211.200000003</v>
      </c>
      <c r="N369" s="21">
        <v>99709000</v>
      </c>
      <c r="O369" s="21">
        <v>141129000</v>
      </c>
      <c r="P369" s="20">
        <v>11485000</v>
      </c>
      <c r="Q369" s="20">
        <f t="shared" si="37"/>
        <v>1.0550575090874306</v>
      </c>
      <c r="R369" s="20">
        <f t="shared" si="38"/>
        <v>18.765184923699387</v>
      </c>
      <c r="S369" s="20">
        <f t="shared" si="39"/>
        <v>0.7065096472022051</v>
      </c>
      <c r="T369" s="20">
        <f t="shared" si="40"/>
        <v>8.1379447172445066E-2</v>
      </c>
      <c r="U369" s="20">
        <f>IFERROR(IF(ISNUMBER(INDEX('Firm Master'!$E$2:$E$1000,MATCH($C369,'Firm Master'!$B$2:$B$1000,0))),INDEX('Firm Master'!$E$2:$E$1000,MATCH($C369,'Firm Master'!$B$2:$B$1000,0)),""),"")</f>
        <v>1989</v>
      </c>
      <c r="V369" s="21">
        <f t="shared" si="41"/>
        <v>34</v>
      </c>
      <c r="W369" s="21">
        <v>1</v>
      </c>
      <c r="X369" s="20" t="str">
        <f>IFERROR(INDEX('Firm Master'!$G$2:$G$1000,MATCH($C369,'Firm Master'!$B$2:$B$1000,0)),"")</f>
        <v>KPMG Professional Services</v>
      </c>
    </row>
    <row r="370" spans="1:24" ht="15" customHeight="1" x14ac:dyDescent="0.3">
      <c r="A370" s="11">
        <v>369</v>
      </c>
      <c r="B370" s="11">
        <v>74</v>
      </c>
      <c r="C370" s="11" t="s">
        <v>1067</v>
      </c>
      <c r="D370" s="11" t="s">
        <v>1068</v>
      </c>
      <c r="E370" s="11" t="s">
        <v>709</v>
      </c>
      <c r="F370" s="11">
        <v>2024</v>
      </c>
      <c r="G370" s="20">
        <f t="shared" si="35"/>
        <v>1</v>
      </c>
      <c r="H370" s="21">
        <v>0</v>
      </c>
      <c r="I370" s="21">
        <f>IFERROR(INDEX('Coding Sheet'!$AC$2:$AC$731,MATCH($B370&amp;"_"&amp;$F370,'Coding Sheet'!$A$2:$A$731,0)),"")</f>
        <v>40</v>
      </c>
      <c r="J370" s="7">
        <f>IFERROR(INDEX('Coding Sheet'!$AT$2:$AT$731,MATCH($B370&amp;"_"&amp;$F370,'Coding Sheet'!$A$2:$A$731,0)),"")</f>
        <v>0</v>
      </c>
      <c r="K370" s="21">
        <v>8944000000</v>
      </c>
      <c r="L370" s="21">
        <v>8.1998999999999995</v>
      </c>
      <c r="M370" s="20">
        <f t="shared" si="36"/>
        <v>73339905.599999994</v>
      </c>
      <c r="N370" s="21">
        <v>140730000</v>
      </c>
      <c r="O370" s="21">
        <v>193609000</v>
      </c>
      <c r="P370" s="20">
        <v>24871000</v>
      </c>
      <c r="Q370" s="20">
        <f t="shared" si="37"/>
        <v>1.1056815829842621</v>
      </c>
      <c r="R370" s="20">
        <f t="shared" si="38"/>
        <v>19.081351219329541</v>
      </c>
      <c r="S370" s="20">
        <f t="shared" si="39"/>
        <v>0.72687736623813981</v>
      </c>
      <c r="T370" s="20">
        <f t="shared" si="40"/>
        <v>0.12845993729630337</v>
      </c>
      <c r="U370" s="20">
        <f>IFERROR(IF(ISNUMBER(INDEX('Firm Master'!$E$2:$E$1000,MATCH($C370,'Firm Master'!$B$2:$B$1000,0))),INDEX('Firm Master'!$E$2:$E$1000,MATCH($C370,'Firm Master'!$B$2:$B$1000,0)),""),"")</f>
        <v>1989</v>
      </c>
      <c r="V370" s="21">
        <f t="shared" si="41"/>
        <v>35</v>
      </c>
      <c r="W370" s="21">
        <v>1</v>
      </c>
      <c r="X370" s="20" t="str">
        <f>IFERROR(INDEX('Firm Master'!$G$2:$G$1000,MATCH($C370,'Firm Master'!$B$2:$B$1000,0)),"")</f>
        <v>KPMG Professional Services</v>
      </c>
    </row>
    <row r="371" spans="1:24" ht="15" customHeight="1" x14ac:dyDescent="0.3">
      <c r="A371" s="11">
        <v>370</v>
      </c>
      <c r="B371" s="11">
        <v>74</v>
      </c>
      <c r="C371" s="11" t="s">
        <v>1067</v>
      </c>
      <c r="D371" s="11" t="s">
        <v>1068</v>
      </c>
      <c r="E371" s="11" t="s">
        <v>709</v>
      </c>
      <c r="F371" s="11">
        <v>2025</v>
      </c>
      <c r="G371" s="20">
        <f t="shared" si="35"/>
        <v>1</v>
      </c>
      <c r="H371" s="21">
        <v>0</v>
      </c>
      <c r="I371" s="21">
        <f>IFERROR(INDEX('Coding Sheet'!$AC$2:$AC$731,MATCH($B371&amp;"_"&amp;$F371,'Coding Sheet'!$A$2:$A$731,0)),"")</f>
        <v>40</v>
      </c>
      <c r="J371" s="7">
        <f>IFERROR(INDEX('Coding Sheet'!$AT$2:$AT$731,MATCH($B371&amp;"_"&amp;$F371,'Coding Sheet'!$A$2:$A$731,0)),"")</f>
        <v>0</v>
      </c>
      <c r="K371" s="21">
        <v>8944000000</v>
      </c>
      <c r="L371" s="21">
        <v>13.700799999999999</v>
      </c>
      <c r="M371" s="20">
        <f t="shared" si="36"/>
        <v>122539955.2</v>
      </c>
      <c r="N371" s="21">
        <v>171881000</v>
      </c>
      <c r="O371" s="21">
        <v>227935000</v>
      </c>
      <c r="P371" s="20">
        <v>2631000</v>
      </c>
      <c r="Q371" s="20">
        <f t="shared" si="37"/>
        <v>1.2916882233970211</v>
      </c>
      <c r="R371" s="20">
        <f t="shared" si="38"/>
        <v>19.244571058554186</v>
      </c>
      <c r="S371" s="20">
        <f t="shared" si="39"/>
        <v>0.75407901375392106</v>
      </c>
      <c r="T371" s="20">
        <f t="shared" si="40"/>
        <v>1.1542764384583324E-2</v>
      </c>
      <c r="U371" s="20">
        <f>IFERROR(IF(ISNUMBER(INDEX('Firm Master'!$E$2:$E$1000,MATCH($C371,'Firm Master'!$B$2:$B$1000,0))),INDEX('Firm Master'!$E$2:$E$1000,MATCH($C371,'Firm Master'!$B$2:$B$1000,0)),""),"")</f>
        <v>1989</v>
      </c>
      <c r="V371" s="21">
        <f t="shared" si="41"/>
        <v>36</v>
      </c>
      <c r="W371" s="21">
        <v>1</v>
      </c>
      <c r="X371" s="20" t="str">
        <f>IFERROR(INDEX('Firm Master'!$G$2:$G$1000,MATCH($C371,'Firm Master'!$B$2:$B$1000,0)),"")</f>
        <v>KPMG Professional Services</v>
      </c>
    </row>
    <row r="372" spans="1:24" ht="15" customHeight="1" x14ac:dyDescent="0.3">
      <c r="A372" s="11">
        <v>371</v>
      </c>
      <c r="B372" s="11">
        <v>75</v>
      </c>
      <c r="C372" s="11" t="s">
        <v>1071</v>
      </c>
      <c r="D372" s="11" t="s">
        <v>1072</v>
      </c>
      <c r="E372" s="11" t="s">
        <v>898</v>
      </c>
      <c r="F372" s="11">
        <v>2021</v>
      </c>
      <c r="G372" s="20">
        <f t="shared" si="35"/>
        <v>0</v>
      </c>
      <c r="H372" s="21">
        <v>0</v>
      </c>
      <c r="I372" s="21">
        <f>IFERROR(INDEX('Coding Sheet'!$AC$2:$AC$731,MATCH($B372&amp;"_"&amp;$F372,'Coding Sheet'!$A$2:$A$731,0)),"")</f>
        <v>50</v>
      </c>
      <c r="J372" s="7">
        <f>IFERROR(INDEX('Coding Sheet'!$AT$2:$AT$731,MATCH($B372&amp;"_"&amp;$F372,'Coding Sheet'!$A$2:$A$731,0)),"")</f>
        <v>26.666666666666668</v>
      </c>
      <c r="K372" s="21">
        <v>1725000000</v>
      </c>
      <c r="L372" s="21">
        <v>4.0232000000000001</v>
      </c>
      <c r="M372" s="20">
        <f t="shared" si="36"/>
        <v>6940020</v>
      </c>
      <c r="N372" s="21">
        <v>10351000</v>
      </c>
      <c r="O372" s="21">
        <v>17622000</v>
      </c>
      <c r="P372" s="20">
        <v>1050000</v>
      </c>
      <c r="Q372" s="20">
        <f t="shared" si="37"/>
        <v>0.98121779593689706</v>
      </c>
      <c r="R372" s="20">
        <f t="shared" si="38"/>
        <v>16.684658679408813</v>
      </c>
      <c r="S372" s="20">
        <f t="shared" si="39"/>
        <v>0.58739076154806491</v>
      </c>
      <c r="T372" s="20">
        <f t="shared" si="40"/>
        <v>5.9584610146407896E-2</v>
      </c>
      <c r="U372" s="20">
        <f>IFERROR(IF(ISNUMBER(INDEX('Firm Master'!$E$2:$E$1000,MATCH($C372,'Firm Master'!$B$2:$B$1000,0))),INDEX('Firm Master'!$E$2:$E$1000,MATCH($C372,'Firm Master'!$B$2:$B$1000,0)),""),"")</f>
        <v>1944</v>
      </c>
      <c r="V372" s="21">
        <f t="shared" si="41"/>
        <v>77</v>
      </c>
      <c r="W372" s="21">
        <v>0</v>
      </c>
      <c r="X372" s="20" t="str">
        <f>IFERROR(INDEX('Firm Master'!$G$2:$G$1000,MATCH($C372,'Firm Master'!$B$2:$B$1000,0)),"")</f>
        <v>PKF Professional Services</v>
      </c>
    </row>
    <row r="373" spans="1:24" ht="15" customHeight="1" x14ac:dyDescent="0.3">
      <c r="A373" s="11">
        <v>372</v>
      </c>
      <c r="B373" s="11">
        <v>75</v>
      </c>
      <c r="C373" s="11" t="s">
        <v>1071</v>
      </c>
      <c r="D373" s="11" t="s">
        <v>1072</v>
      </c>
      <c r="E373" s="11" t="s">
        <v>898</v>
      </c>
      <c r="F373" s="11">
        <v>2022</v>
      </c>
      <c r="G373" s="20">
        <f t="shared" si="35"/>
        <v>0</v>
      </c>
      <c r="H373" s="21">
        <v>0</v>
      </c>
      <c r="I373" s="21">
        <f>IFERROR(INDEX('Coding Sheet'!$AC$2:$AC$731,MATCH($B373&amp;"_"&amp;$F373,'Coding Sheet'!$A$2:$A$731,0)),"")</f>
        <v>50</v>
      </c>
      <c r="J373" s="7">
        <f>IFERROR(INDEX('Coding Sheet'!$AT$2:$AT$731,MATCH($B373&amp;"_"&amp;$F373,'Coding Sheet'!$A$2:$A$731,0)),"")</f>
        <v>26.666666666666668</v>
      </c>
      <c r="K373" s="21">
        <v>1725000000</v>
      </c>
      <c r="L373" s="21">
        <v>4.3014000000000001</v>
      </c>
      <c r="M373" s="20">
        <f t="shared" si="36"/>
        <v>7419915</v>
      </c>
      <c r="N373" s="21">
        <v>9733000</v>
      </c>
      <c r="O373" s="21">
        <v>17957000</v>
      </c>
      <c r="P373" s="20">
        <v>1491000</v>
      </c>
      <c r="Q373" s="20">
        <f t="shared" si="37"/>
        <v>0.95522164058584391</v>
      </c>
      <c r="R373" s="20">
        <f t="shared" si="38"/>
        <v>16.703490569024034</v>
      </c>
      <c r="S373" s="20">
        <f t="shared" si="39"/>
        <v>0.54201704070835888</v>
      </c>
      <c r="T373" s="20">
        <f t="shared" si="40"/>
        <v>8.3031686807373176E-2</v>
      </c>
      <c r="U373" s="20">
        <f>IFERROR(IF(ISNUMBER(INDEX('Firm Master'!$E$2:$E$1000,MATCH($C373,'Firm Master'!$B$2:$B$1000,0))),INDEX('Firm Master'!$E$2:$E$1000,MATCH($C373,'Firm Master'!$B$2:$B$1000,0)),""),"")</f>
        <v>1944</v>
      </c>
      <c r="V373" s="21">
        <f t="shared" si="41"/>
        <v>78</v>
      </c>
      <c r="W373" s="21">
        <v>0</v>
      </c>
      <c r="X373" s="20" t="str">
        <f>IFERROR(INDEX('Firm Master'!$G$2:$G$1000,MATCH($C373,'Firm Master'!$B$2:$B$1000,0)),"")</f>
        <v>PKF Professional Services</v>
      </c>
    </row>
    <row r="374" spans="1:24" ht="15" customHeight="1" x14ac:dyDescent="0.3">
      <c r="A374" s="11">
        <v>373</v>
      </c>
      <c r="B374" s="11">
        <v>75</v>
      </c>
      <c r="C374" s="11" t="s">
        <v>1071</v>
      </c>
      <c r="D374" s="11" t="s">
        <v>1072</v>
      </c>
      <c r="E374" s="11" t="s">
        <v>898</v>
      </c>
      <c r="F374" s="11">
        <v>2023</v>
      </c>
      <c r="G374" s="20">
        <f t="shared" si="35"/>
        <v>1</v>
      </c>
      <c r="H374" s="21">
        <v>0</v>
      </c>
      <c r="I374" s="21">
        <f>IFERROR(INDEX('Coding Sheet'!$AC$2:$AC$731,MATCH($B374&amp;"_"&amp;$F374,'Coding Sheet'!$A$2:$A$731,0)),"")</f>
        <v>0</v>
      </c>
      <c r="J374" s="7">
        <f>IFERROR(INDEX('Coding Sheet'!$AT$2:$AT$731,MATCH($B374&amp;"_"&amp;$F374,'Coding Sheet'!$A$2:$A$731,0)),"")</f>
        <v>0</v>
      </c>
      <c r="K374" s="21">
        <v>1725000000</v>
      </c>
      <c r="L374" s="21">
        <v>5.2522000000000002</v>
      </c>
      <c r="M374" s="20">
        <f t="shared" si="36"/>
        <v>9060045</v>
      </c>
      <c r="N374" s="21">
        <v>11593000</v>
      </c>
      <c r="O374" s="21">
        <v>20382000</v>
      </c>
      <c r="P374" s="20">
        <v>1083000</v>
      </c>
      <c r="Q374" s="20">
        <f t="shared" si="37"/>
        <v>1.0132982533608086</v>
      </c>
      <c r="R374" s="20">
        <f t="shared" si="38"/>
        <v>16.830162716370776</v>
      </c>
      <c r="S374" s="20">
        <f t="shared" si="39"/>
        <v>0.56878618388774405</v>
      </c>
      <c r="T374" s="20">
        <f t="shared" si="40"/>
        <v>5.3135119222843682E-2</v>
      </c>
      <c r="U374" s="20">
        <f>IFERROR(IF(ISNUMBER(INDEX('Firm Master'!$E$2:$E$1000,MATCH($C374,'Firm Master'!$B$2:$B$1000,0))),INDEX('Firm Master'!$E$2:$E$1000,MATCH($C374,'Firm Master'!$B$2:$B$1000,0)),""),"")</f>
        <v>1944</v>
      </c>
      <c r="V374" s="21">
        <f t="shared" si="41"/>
        <v>79</v>
      </c>
      <c r="W374" s="21">
        <v>0</v>
      </c>
      <c r="X374" s="20" t="str">
        <f>IFERROR(INDEX('Firm Master'!$G$2:$G$1000,MATCH($C374,'Firm Master'!$B$2:$B$1000,0)),"")</f>
        <v>PKF Professional Services</v>
      </c>
    </row>
    <row r="375" spans="1:24" ht="15" customHeight="1" x14ac:dyDescent="0.3">
      <c r="A375" s="11">
        <v>374</v>
      </c>
      <c r="B375" s="11">
        <v>75</v>
      </c>
      <c r="C375" s="11" t="s">
        <v>1071</v>
      </c>
      <c r="D375" s="11" t="s">
        <v>1072</v>
      </c>
      <c r="E375" s="11" t="s">
        <v>898</v>
      </c>
      <c r="F375" s="11">
        <v>2024</v>
      </c>
      <c r="G375" s="20">
        <f t="shared" si="35"/>
        <v>1</v>
      </c>
      <c r="H375" s="21">
        <v>0</v>
      </c>
      <c r="I375" s="21">
        <f>IFERROR(INDEX('Coding Sheet'!$AC$2:$AC$731,MATCH($B375&amp;"_"&amp;$F375,'Coding Sheet'!$A$2:$A$731,0)),"")</f>
        <v>0</v>
      </c>
      <c r="J375" s="7">
        <f>IFERROR(INDEX('Coding Sheet'!$AT$2:$AT$731,MATCH($B375&amp;"_"&amp;$F375,'Coding Sheet'!$A$2:$A$731,0)),"")</f>
        <v>0</v>
      </c>
      <c r="K375" s="21">
        <v>1725000000</v>
      </c>
      <c r="L375" s="21">
        <v>9.4029000000000007</v>
      </c>
      <c r="M375" s="20">
        <f t="shared" si="36"/>
        <v>16220002.500000002</v>
      </c>
      <c r="N375" s="21">
        <v>12563000</v>
      </c>
      <c r="O375" s="21">
        <v>22456000</v>
      </c>
      <c r="P375" s="20">
        <v>1621000</v>
      </c>
      <c r="Q375" s="20">
        <f t="shared" si="37"/>
        <v>1.2817510910224439</v>
      </c>
      <c r="R375" s="20">
        <f t="shared" si="38"/>
        <v>16.927068397023856</v>
      </c>
      <c r="S375" s="20">
        <f t="shared" si="39"/>
        <v>0.55944959030993946</v>
      </c>
      <c r="T375" s="20">
        <f t="shared" si="40"/>
        <v>7.2185607410046315E-2</v>
      </c>
      <c r="U375" s="20">
        <f>IFERROR(IF(ISNUMBER(INDEX('Firm Master'!$E$2:$E$1000,MATCH($C375,'Firm Master'!$B$2:$B$1000,0))),INDEX('Firm Master'!$E$2:$E$1000,MATCH($C375,'Firm Master'!$B$2:$B$1000,0)),""),"")</f>
        <v>1944</v>
      </c>
      <c r="V375" s="21">
        <f t="shared" si="41"/>
        <v>80</v>
      </c>
      <c r="W375" s="21">
        <v>0</v>
      </c>
      <c r="X375" s="20" t="str">
        <f>IFERROR(INDEX('Firm Master'!$G$2:$G$1000,MATCH($C375,'Firm Master'!$B$2:$B$1000,0)),"")</f>
        <v>PKF Professional Services</v>
      </c>
    </row>
    <row r="376" spans="1:24" ht="15" customHeight="1" x14ac:dyDescent="0.3">
      <c r="A376" s="11">
        <v>375</v>
      </c>
      <c r="B376" s="11">
        <v>75</v>
      </c>
      <c r="C376" s="11" t="s">
        <v>1071</v>
      </c>
      <c r="D376" s="11" t="s">
        <v>1072</v>
      </c>
      <c r="E376" s="11" t="s">
        <v>898</v>
      </c>
      <c r="F376" s="11">
        <v>2025</v>
      </c>
      <c r="G376" s="20">
        <f t="shared" si="35"/>
        <v>1</v>
      </c>
      <c r="H376" s="21">
        <v>0</v>
      </c>
      <c r="I376" s="21">
        <f>IFERROR(INDEX('Coding Sheet'!$AC$2:$AC$731,MATCH($B376&amp;"_"&amp;$F376,'Coding Sheet'!$A$2:$A$731,0)),"")</f>
        <v>0</v>
      </c>
      <c r="J376" s="7">
        <f>IFERROR(INDEX('Coding Sheet'!$AT$2:$AT$731,MATCH($B376&amp;"_"&amp;$F376,'Coding Sheet'!$A$2:$A$731,0)),"")</f>
        <v>0</v>
      </c>
      <c r="K376" s="21">
        <v>1725000000</v>
      </c>
      <c r="L376" s="21">
        <v>19.0029</v>
      </c>
      <c r="M376" s="20">
        <f t="shared" si="36"/>
        <v>32780002.5</v>
      </c>
      <c r="N376" s="21">
        <v>11964000</v>
      </c>
      <c r="O376" s="21">
        <v>25615000</v>
      </c>
      <c r="P376" s="20">
        <v>4437000</v>
      </c>
      <c r="Q376" s="20">
        <f t="shared" si="37"/>
        <v>1.7467890884247512</v>
      </c>
      <c r="R376" s="20">
        <f t="shared" si="38"/>
        <v>17.058688675355441</v>
      </c>
      <c r="S376" s="20">
        <f t="shared" si="39"/>
        <v>0.4670700761272692</v>
      </c>
      <c r="T376" s="20">
        <f t="shared" si="40"/>
        <v>0.17321881709935585</v>
      </c>
      <c r="U376" s="20">
        <f>IFERROR(IF(ISNUMBER(INDEX('Firm Master'!$E$2:$E$1000,MATCH($C376,'Firm Master'!$B$2:$B$1000,0))),INDEX('Firm Master'!$E$2:$E$1000,MATCH($C376,'Firm Master'!$B$2:$B$1000,0)),""),"")</f>
        <v>1944</v>
      </c>
      <c r="V376" s="21">
        <f t="shared" si="41"/>
        <v>81</v>
      </c>
      <c r="W376" s="21">
        <v>0</v>
      </c>
      <c r="X376" s="20" t="str">
        <f>IFERROR(INDEX('Firm Master'!$G$2:$G$1000,MATCH($C376,'Firm Master'!$B$2:$B$1000,0)),"")</f>
        <v>PKF Professional Services</v>
      </c>
    </row>
    <row r="377" spans="1:24" ht="15" customHeight="1" x14ac:dyDescent="0.3">
      <c r="A377" s="11">
        <v>376</v>
      </c>
      <c r="B377" s="11">
        <v>76</v>
      </c>
      <c r="C377" s="11" t="s">
        <v>1075</v>
      </c>
      <c r="D377" s="11" t="s">
        <v>1076</v>
      </c>
      <c r="E377" s="11" t="s">
        <v>709</v>
      </c>
      <c r="F377" s="11">
        <v>2021</v>
      </c>
      <c r="G377" s="20">
        <f t="shared" si="35"/>
        <v>0</v>
      </c>
      <c r="H377" s="21">
        <v>0</v>
      </c>
      <c r="I377" s="21">
        <f>IFERROR(INDEX('Coding Sheet'!$AC$2:$AC$731,MATCH($B377&amp;"_"&amp;$F377,'Coding Sheet'!$A$2:$A$731,0)),"")</f>
        <v>5</v>
      </c>
      <c r="J377" s="7">
        <f>IFERROR(INDEX('Coding Sheet'!$AT$2:$AT$731,MATCH($B377&amp;"_"&amp;$F377,'Coding Sheet'!$A$2:$A$731,0)),"")</f>
        <v>0</v>
      </c>
      <c r="K377" s="21">
        <v>20061000000</v>
      </c>
      <c r="L377" s="21">
        <v>0.33</v>
      </c>
      <c r="M377" s="20">
        <f t="shared" si="36"/>
        <v>6620130</v>
      </c>
      <c r="N377" s="21">
        <v>63904000</v>
      </c>
      <c r="O377" s="21">
        <v>83780000</v>
      </c>
      <c r="P377" s="20">
        <v>-5575000</v>
      </c>
      <c r="Q377" s="20">
        <f t="shared" si="37"/>
        <v>0.84177763189305321</v>
      </c>
      <c r="R377" s="20">
        <f t="shared" si="38"/>
        <v>18.243704873483164</v>
      </c>
      <c r="S377" s="20">
        <f t="shared" si="39"/>
        <v>0.76275960849844837</v>
      </c>
      <c r="T377" s="20">
        <f t="shared" si="40"/>
        <v>-6.6543327763189303E-2</v>
      </c>
      <c r="U377" s="20">
        <f>IFERROR(IF(ISNUMBER(INDEX('Firm Master'!$E$2:$E$1000,MATCH($C377,'Firm Master'!$B$2:$B$1000,0))),INDEX('Firm Master'!$E$2:$E$1000,MATCH($C377,'Firm Master'!$B$2:$B$1000,0)),""),"")</f>
        <v>1995</v>
      </c>
      <c r="V377" s="21">
        <f t="shared" si="41"/>
        <v>26</v>
      </c>
      <c r="W377" s="21">
        <v>1</v>
      </c>
      <c r="X377" s="20" t="str">
        <f>IFERROR(INDEX('Firm Master'!$G$2:$G$1000,MATCH($C377,'Firm Master'!$B$2:$B$1000,0)),"")</f>
        <v>KPMG Professional Services</v>
      </c>
    </row>
    <row r="378" spans="1:24" ht="15" customHeight="1" x14ac:dyDescent="0.3">
      <c r="A378" s="11">
        <v>377</v>
      </c>
      <c r="B378" s="11">
        <v>76</v>
      </c>
      <c r="C378" s="11" t="s">
        <v>1075</v>
      </c>
      <c r="D378" s="11" t="s">
        <v>1076</v>
      </c>
      <c r="E378" s="11" t="s">
        <v>709</v>
      </c>
      <c r="F378" s="11">
        <v>2022</v>
      </c>
      <c r="G378" s="20">
        <f t="shared" si="35"/>
        <v>0</v>
      </c>
      <c r="H378" s="21">
        <v>0</v>
      </c>
      <c r="I378" s="21">
        <f>IFERROR(INDEX('Coding Sheet'!$AC$2:$AC$731,MATCH($B378&amp;"_"&amp;$F378,'Coding Sheet'!$A$2:$A$731,0)),"")</f>
        <v>5</v>
      </c>
      <c r="J378" s="7">
        <f>IFERROR(INDEX('Coding Sheet'!$AT$2:$AT$731,MATCH($B378&amp;"_"&amp;$F378,'Coding Sheet'!$A$2:$A$731,0)),"")</f>
        <v>0</v>
      </c>
      <c r="K378" s="21">
        <v>20061000000</v>
      </c>
      <c r="L378" s="21">
        <v>0.2702</v>
      </c>
      <c r="M378" s="20">
        <f t="shared" si="36"/>
        <v>5420482.2000000002</v>
      </c>
      <c r="N378" s="21">
        <v>71456000</v>
      </c>
      <c r="O378" s="21">
        <v>90399000</v>
      </c>
      <c r="P378" s="20">
        <v>954620</v>
      </c>
      <c r="Q378" s="20">
        <f t="shared" si="37"/>
        <v>0.85041297138242677</v>
      </c>
      <c r="R378" s="20">
        <f t="shared" si="38"/>
        <v>18.319743763354317</v>
      </c>
      <c r="S378" s="20">
        <f t="shared" si="39"/>
        <v>0.79045122180555094</v>
      </c>
      <c r="T378" s="20">
        <f t="shared" si="40"/>
        <v>1.0560072567174415E-2</v>
      </c>
      <c r="U378" s="20">
        <f>IFERROR(IF(ISNUMBER(INDEX('Firm Master'!$E$2:$E$1000,MATCH($C378,'Firm Master'!$B$2:$B$1000,0))),INDEX('Firm Master'!$E$2:$E$1000,MATCH($C378,'Firm Master'!$B$2:$B$1000,0)),""),"")</f>
        <v>1995</v>
      </c>
      <c r="V378" s="21">
        <f t="shared" si="41"/>
        <v>27</v>
      </c>
      <c r="W378" s="21">
        <v>1</v>
      </c>
      <c r="X378" s="20" t="str">
        <f>IFERROR(INDEX('Firm Master'!$G$2:$G$1000,MATCH($C378,'Firm Master'!$B$2:$B$1000,0)),"")</f>
        <v>KPMG Professional Services</v>
      </c>
    </row>
    <row r="379" spans="1:24" ht="15" customHeight="1" x14ac:dyDescent="0.3">
      <c r="A379" s="11">
        <v>378</v>
      </c>
      <c r="B379" s="11">
        <v>76</v>
      </c>
      <c r="C379" s="11" t="s">
        <v>1075</v>
      </c>
      <c r="D379" s="11" t="s">
        <v>1076</v>
      </c>
      <c r="E379" s="11" t="s">
        <v>709</v>
      </c>
      <c r="F379" s="11">
        <v>2023</v>
      </c>
      <c r="G379" s="20">
        <f t="shared" si="35"/>
        <v>1</v>
      </c>
      <c r="H379" s="21">
        <v>0</v>
      </c>
      <c r="I379" s="21">
        <f>IFERROR(INDEX('Coding Sheet'!$AC$2:$AC$731,MATCH($B379&amp;"_"&amp;$F379,'Coding Sheet'!$A$2:$A$731,0)),"")</f>
        <v>5</v>
      </c>
      <c r="J379" s="7">
        <f>IFERROR(INDEX('Coding Sheet'!$AT$2:$AT$731,MATCH($B379&amp;"_"&amp;$F379,'Coding Sheet'!$A$2:$A$731,0)),"")</f>
        <v>0</v>
      </c>
      <c r="K379" s="21">
        <v>20061000000</v>
      </c>
      <c r="L379" s="21">
        <v>0.52990000000000004</v>
      </c>
      <c r="M379" s="20">
        <f t="shared" si="36"/>
        <v>10630323.9</v>
      </c>
      <c r="N379" s="21">
        <v>80458000</v>
      </c>
      <c r="O379" s="21">
        <v>110459000</v>
      </c>
      <c r="P379" s="20">
        <v>5847000</v>
      </c>
      <c r="Q379" s="20">
        <f t="shared" si="37"/>
        <v>0.82463469613159635</v>
      </c>
      <c r="R379" s="20">
        <f t="shared" si="38"/>
        <v>18.520154969345459</v>
      </c>
      <c r="S379" s="20">
        <f t="shared" si="39"/>
        <v>0.72839696176862001</v>
      </c>
      <c r="T379" s="20">
        <f t="shared" si="40"/>
        <v>5.2933667695706101E-2</v>
      </c>
      <c r="U379" s="20">
        <f>IFERROR(IF(ISNUMBER(INDEX('Firm Master'!$E$2:$E$1000,MATCH($C379,'Firm Master'!$B$2:$B$1000,0))),INDEX('Firm Master'!$E$2:$E$1000,MATCH($C379,'Firm Master'!$B$2:$B$1000,0)),""),"")</f>
        <v>1995</v>
      </c>
      <c r="V379" s="21">
        <f t="shared" si="41"/>
        <v>28</v>
      </c>
      <c r="W379" s="21">
        <v>1</v>
      </c>
      <c r="X379" s="20" t="str">
        <f>IFERROR(INDEX('Firm Master'!$G$2:$G$1000,MATCH($C379,'Firm Master'!$B$2:$B$1000,0)),"")</f>
        <v>KPMG Professional Services</v>
      </c>
    </row>
    <row r="380" spans="1:24" ht="15" customHeight="1" x14ac:dyDescent="0.3">
      <c r="A380" s="11">
        <v>379</v>
      </c>
      <c r="B380" s="11">
        <v>76</v>
      </c>
      <c r="C380" s="11" t="s">
        <v>1075</v>
      </c>
      <c r="D380" s="11" t="s">
        <v>1076</v>
      </c>
      <c r="E380" s="11" t="s">
        <v>709</v>
      </c>
      <c r="F380" s="11">
        <v>2024</v>
      </c>
      <c r="G380" s="20">
        <f t="shared" si="35"/>
        <v>1</v>
      </c>
      <c r="H380" s="21">
        <v>0</v>
      </c>
      <c r="I380" s="21">
        <f>IFERROR(INDEX('Coding Sheet'!$AC$2:$AC$731,MATCH($B380&amp;"_"&amp;$F380,'Coding Sheet'!$A$2:$A$731,0)),"")</f>
        <v>5</v>
      </c>
      <c r="J380" s="7">
        <f>IFERROR(INDEX('Coding Sheet'!$AT$2:$AT$731,MATCH($B380&amp;"_"&amp;$F380,'Coding Sheet'!$A$2:$A$731,0)),"")</f>
        <v>0</v>
      </c>
      <c r="K380" s="21">
        <v>20061000000</v>
      </c>
      <c r="L380" s="21">
        <v>0.61009999999999998</v>
      </c>
      <c r="M380" s="20">
        <f t="shared" si="36"/>
        <v>12239216.1</v>
      </c>
      <c r="N380" s="21">
        <v>92348000</v>
      </c>
      <c r="O380" s="21">
        <v>147134000</v>
      </c>
      <c r="P380" s="20">
        <v>10751000</v>
      </c>
      <c r="Q380" s="20">
        <f t="shared" si="37"/>
        <v>0.71082969334076418</v>
      </c>
      <c r="R380" s="20">
        <f t="shared" si="38"/>
        <v>18.806854294146142</v>
      </c>
      <c r="S380" s="20">
        <f t="shared" si="39"/>
        <v>0.62764554759606894</v>
      </c>
      <c r="T380" s="20">
        <f t="shared" si="40"/>
        <v>7.3069446898745366E-2</v>
      </c>
      <c r="U380" s="20">
        <f>IFERROR(IF(ISNUMBER(INDEX('Firm Master'!$E$2:$E$1000,MATCH($C380,'Firm Master'!$B$2:$B$1000,0))),INDEX('Firm Master'!$E$2:$E$1000,MATCH($C380,'Firm Master'!$B$2:$B$1000,0)),""),"")</f>
        <v>1995</v>
      </c>
      <c r="V380" s="21">
        <f t="shared" si="41"/>
        <v>29</v>
      </c>
      <c r="W380" s="21">
        <v>1</v>
      </c>
      <c r="X380" s="20" t="str">
        <f>IFERROR(INDEX('Firm Master'!$G$2:$G$1000,MATCH($C380,'Firm Master'!$B$2:$B$1000,0)),"")</f>
        <v>KPMG Professional Services</v>
      </c>
    </row>
    <row r="381" spans="1:24" ht="15" customHeight="1" x14ac:dyDescent="0.3">
      <c r="A381" s="11">
        <v>380</v>
      </c>
      <c r="B381" s="11">
        <v>76</v>
      </c>
      <c r="C381" s="11" t="s">
        <v>1075</v>
      </c>
      <c r="D381" s="11" t="s">
        <v>1076</v>
      </c>
      <c r="E381" s="11" t="s">
        <v>709</v>
      </c>
      <c r="F381" s="11">
        <v>2025</v>
      </c>
      <c r="G381" s="20">
        <f t="shared" si="35"/>
        <v>1</v>
      </c>
      <c r="H381" s="21">
        <v>0</v>
      </c>
      <c r="I381" s="21">
        <f>IFERROR(INDEX('Coding Sheet'!$AC$2:$AC$731,MATCH($B381&amp;"_"&amp;$F381,'Coding Sheet'!$A$2:$A$731,0)),"")</f>
        <v>5</v>
      </c>
      <c r="J381" s="7">
        <f>IFERROR(INDEX('Coding Sheet'!$AT$2:$AT$731,MATCH($B381&amp;"_"&amp;$F381,'Coding Sheet'!$A$2:$A$731,0)),"")</f>
        <v>0</v>
      </c>
      <c r="K381" s="21">
        <v>20061000000</v>
      </c>
      <c r="L381" s="21">
        <v>3.1</v>
      </c>
      <c r="M381" s="20">
        <f t="shared" si="36"/>
        <v>62189100</v>
      </c>
      <c r="N381" s="21">
        <v>105140000</v>
      </c>
      <c r="O381" s="21">
        <v>174321000</v>
      </c>
      <c r="P381" s="20">
        <v>20054000</v>
      </c>
      <c r="Q381" s="20">
        <f t="shared" si="37"/>
        <v>0.95989066148083135</v>
      </c>
      <c r="R381" s="20">
        <f t="shared" si="38"/>
        <v>18.976408985160596</v>
      </c>
      <c r="S381" s="20">
        <f t="shared" si="39"/>
        <v>0.6031401839135847</v>
      </c>
      <c r="T381" s="20">
        <f t="shared" si="40"/>
        <v>0.1150406434107193</v>
      </c>
      <c r="U381" s="20">
        <f>IFERROR(IF(ISNUMBER(INDEX('Firm Master'!$E$2:$E$1000,MATCH($C381,'Firm Master'!$B$2:$B$1000,0))),INDEX('Firm Master'!$E$2:$E$1000,MATCH($C381,'Firm Master'!$B$2:$B$1000,0)),""),"")</f>
        <v>1995</v>
      </c>
      <c r="V381" s="21">
        <f t="shared" si="41"/>
        <v>30</v>
      </c>
      <c r="W381" s="21">
        <v>1</v>
      </c>
      <c r="X381" s="20" t="str">
        <f>IFERROR(INDEX('Firm Master'!$G$2:$G$1000,MATCH($C381,'Firm Master'!$B$2:$B$1000,0)),"")</f>
        <v>KPMG Professional Services</v>
      </c>
    </row>
    <row r="382" spans="1:24" ht="15" customHeight="1" x14ac:dyDescent="0.3">
      <c r="A382" s="11">
        <v>381</v>
      </c>
      <c r="B382" s="11">
        <v>77</v>
      </c>
      <c r="C382" s="11" t="s">
        <v>1079</v>
      </c>
      <c r="D382" s="11" t="s">
        <v>1080</v>
      </c>
      <c r="E382" s="11" t="s">
        <v>806</v>
      </c>
      <c r="F382" s="11">
        <v>2021</v>
      </c>
      <c r="G382" s="20">
        <f t="shared" si="35"/>
        <v>0</v>
      </c>
      <c r="H382" s="21">
        <v>0</v>
      </c>
      <c r="I382" s="21">
        <f>IFERROR(INDEX('Coding Sheet'!$AC$2:$AC$731,MATCH($B382&amp;"_"&amp;$F382,'Coding Sheet'!$A$2:$A$731,0)),"")</f>
        <v>0</v>
      </c>
      <c r="J382" s="7">
        <f>IFERROR(INDEX('Coding Sheet'!$AT$2:$AT$731,MATCH($B382&amp;"_"&amp;$F382,'Coding Sheet'!$A$2:$A$731,0)),"")</f>
        <v>0</v>
      </c>
      <c r="K382" s="21">
        <v>718750000</v>
      </c>
      <c r="L382" s="21">
        <v>0.35</v>
      </c>
      <c r="M382" s="20">
        <f t="shared" si="36"/>
        <v>251562.49999999997</v>
      </c>
      <c r="N382" s="21">
        <v>333360</v>
      </c>
      <c r="O382" s="21">
        <v>692510</v>
      </c>
      <c r="P382" s="20">
        <v>14300</v>
      </c>
      <c r="Q382" s="20">
        <f t="shared" si="37"/>
        <v>0.84464123261757951</v>
      </c>
      <c r="R382" s="20">
        <f t="shared" si="38"/>
        <v>13.448077957372581</v>
      </c>
      <c r="S382" s="20">
        <f t="shared" si="39"/>
        <v>0.48137933026237889</v>
      </c>
      <c r="T382" s="20">
        <f t="shared" si="40"/>
        <v>2.0649521306551531E-2</v>
      </c>
      <c r="U382" s="20">
        <f>IFERROR(IF(ISNUMBER(INDEX('Firm Master'!$E$2:$E$1000,MATCH($C382,'Firm Master'!$B$2:$B$1000,0))),INDEX('Firm Master'!$E$2:$E$1000,MATCH($C382,'Firm Master'!$B$2:$B$1000,0)),""),"")</f>
        <v>2004</v>
      </c>
      <c r="V382" s="21">
        <f t="shared" si="41"/>
        <v>17</v>
      </c>
      <c r="W382" s="21">
        <v>0</v>
      </c>
      <c r="X382" s="20" t="str">
        <f>IFERROR(INDEX('Firm Master'!$G$2:$G$1000,MATCH($C382,'Firm Master'!$B$2:$B$1000,0)),"")</f>
        <v>Not independently confirmed</v>
      </c>
    </row>
    <row r="383" spans="1:24" ht="15" customHeight="1" x14ac:dyDescent="0.3">
      <c r="A383" s="11">
        <v>382</v>
      </c>
      <c r="B383" s="11">
        <v>77</v>
      </c>
      <c r="C383" s="11" t="s">
        <v>1079</v>
      </c>
      <c r="D383" s="11" t="s">
        <v>1080</v>
      </c>
      <c r="E383" s="11" t="s">
        <v>806</v>
      </c>
      <c r="F383" s="11">
        <v>2022</v>
      </c>
      <c r="G383" s="20">
        <f t="shared" si="35"/>
        <v>0</v>
      </c>
      <c r="H383" s="21">
        <v>0</v>
      </c>
      <c r="I383" s="21">
        <f>IFERROR(INDEX('Coding Sheet'!$AC$2:$AC$731,MATCH($B383&amp;"_"&amp;$F383,'Coding Sheet'!$A$2:$A$731,0)),"")</f>
        <v>0</v>
      </c>
      <c r="J383" s="7">
        <f>IFERROR(INDEX('Coding Sheet'!$AT$2:$AT$731,MATCH($B383&amp;"_"&amp;$F383,'Coding Sheet'!$A$2:$A$731,0)),"")</f>
        <v>0</v>
      </c>
      <c r="K383" s="21">
        <v>718740000</v>
      </c>
      <c r="L383" s="21">
        <v>0.56999999999999995</v>
      </c>
      <c r="M383" s="20">
        <f t="shared" si="36"/>
        <v>409681.79999999993</v>
      </c>
      <c r="N383" s="21">
        <v>273280</v>
      </c>
      <c r="O383" s="21">
        <v>653720</v>
      </c>
      <c r="P383" s="20">
        <v>19760</v>
      </c>
      <c r="Q383" s="20">
        <f t="shared" si="37"/>
        <v>1.0447313834669276</v>
      </c>
      <c r="R383" s="20">
        <f t="shared" si="38"/>
        <v>13.390434404206994</v>
      </c>
      <c r="S383" s="20">
        <f t="shared" si="39"/>
        <v>0.41803830386098023</v>
      </c>
      <c r="T383" s="20">
        <f t="shared" si="40"/>
        <v>3.0227008505170409E-2</v>
      </c>
      <c r="U383" s="20">
        <f>IFERROR(IF(ISNUMBER(INDEX('Firm Master'!$E$2:$E$1000,MATCH($C383,'Firm Master'!$B$2:$B$1000,0))),INDEX('Firm Master'!$E$2:$E$1000,MATCH($C383,'Firm Master'!$B$2:$B$1000,0)),""),"")</f>
        <v>2004</v>
      </c>
      <c r="V383" s="21">
        <f t="shared" si="41"/>
        <v>18</v>
      </c>
      <c r="W383" s="21">
        <v>0</v>
      </c>
      <c r="X383" s="20" t="str">
        <f>IFERROR(INDEX('Firm Master'!$G$2:$G$1000,MATCH($C383,'Firm Master'!$B$2:$B$1000,0)),"")</f>
        <v>Not independently confirmed</v>
      </c>
    </row>
    <row r="384" spans="1:24" ht="15" customHeight="1" x14ac:dyDescent="0.3">
      <c r="A384" s="11">
        <v>383</v>
      </c>
      <c r="B384" s="11">
        <v>77</v>
      </c>
      <c r="C384" s="11" t="s">
        <v>1079</v>
      </c>
      <c r="D384" s="11" t="s">
        <v>1080</v>
      </c>
      <c r="E384" s="11" t="s">
        <v>806</v>
      </c>
      <c r="F384" s="11">
        <v>2023</v>
      </c>
      <c r="G384" s="20">
        <f t="shared" si="35"/>
        <v>1</v>
      </c>
      <c r="H384" s="21">
        <v>0</v>
      </c>
      <c r="I384" s="21">
        <f>IFERROR(INDEX('Coding Sheet'!$AC$2:$AC$731,MATCH($B384&amp;"_"&amp;$F384,'Coding Sheet'!$A$2:$A$731,0)),"")</f>
        <v>0</v>
      </c>
      <c r="J384" s="7">
        <f>IFERROR(INDEX('Coding Sheet'!$AT$2:$AT$731,MATCH($B384&amp;"_"&amp;$F384,'Coding Sheet'!$A$2:$A$731,0)),"")</f>
        <v>0</v>
      </c>
      <c r="K384" s="21">
        <v>1117000000</v>
      </c>
      <c r="L384" s="21">
        <v>0.83979999999999999</v>
      </c>
      <c r="M384" s="20">
        <f t="shared" si="36"/>
        <v>938056.6</v>
      </c>
      <c r="N384" s="21">
        <v>477000</v>
      </c>
      <c r="O384" s="21">
        <v>1069000</v>
      </c>
      <c r="P384" s="20">
        <v>36070</v>
      </c>
      <c r="Q384" s="20">
        <f t="shared" si="37"/>
        <v>1.3237199251637044</v>
      </c>
      <c r="R384" s="20">
        <f t="shared" si="38"/>
        <v>13.882234190007182</v>
      </c>
      <c r="S384" s="20">
        <f t="shared" si="39"/>
        <v>0.44621141253507951</v>
      </c>
      <c r="T384" s="20">
        <f t="shared" si="40"/>
        <v>3.3741814780168383E-2</v>
      </c>
      <c r="U384" s="20">
        <f>IFERROR(IF(ISNUMBER(INDEX('Firm Master'!$E$2:$E$1000,MATCH($C384,'Firm Master'!$B$2:$B$1000,0))),INDEX('Firm Master'!$E$2:$E$1000,MATCH($C384,'Firm Master'!$B$2:$B$1000,0)),""),"")</f>
        <v>2004</v>
      </c>
      <c r="V384" s="21">
        <f t="shared" si="41"/>
        <v>19</v>
      </c>
      <c r="W384" s="21">
        <v>0</v>
      </c>
      <c r="X384" s="20" t="str">
        <f>IFERROR(INDEX('Firm Master'!$G$2:$G$1000,MATCH($C384,'Firm Master'!$B$2:$B$1000,0)),"")</f>
        <v>Not independently confirmed</v>
      </c>
    </row>
    <row r="385" spans="1:24" ht="15" customHeight="1" x14ac:dyDescent="0.3">
      <c r="A385" s="11">
        <v>384</v>
      </c>
      <c r="B385" s="11">
        <v>77</v>
      </c>
      <c r="C385" s="11" t="s">
        <v>1079</v>
      </c>
      <c r="D385" s="11" t="s">
        <v>1080</v>
      </c>
      <c r="E385" s="11" t="s">
        <v>806</v>
      </c>
      <c r="F385" s="11">
        <v>2024</v>
      </c>
      <c r="G385" s="20">
        <f t="shared" si="35"/>
        <v>1</v>
      </c>
      <c r="H385" s="21">
        <v>0</v>
      </c>
      <c r="I385" s="21">
        <f>IFERROR(INDEX('Coding Sheet'!$AC$2:$AC$731,MATCH($B385&amp;"_"&amp;$F385,'Coding Sheet'!$A$2:$A$731,0)),"")</f>
        <v>0</v>
      </c>
      <c r="J385" s="7">
        <f>IFERROR(INDEX('Coding Sheet'!$AT$2:$AT$731,MATCH($B385&amp;"_"&amp;$F385,'Coding Sheet'!$A$2:$A$731,0)),"")</f>
        <v>0</v>
      </c>
      <c r="K385" s="21">
        <v>1117000000</v>
      </c>
      <c r="L385" s="21">
        <v>1.6114999999999999</v>
      </c>
      <c r="M385" s="20">
        <f t="shared" si="36"/>
        <v>1800045.5</v>
      </c>
      <c r="N385" s="21">
        <v>652390</v>
      </c>
      <c r="O385" s="21">
        <v>1314000</v>
      </c>
      <c r="P385" s="20">
        <v>115760</v>
      </c>
      <c r="Q385" s="20">
        <f t="shared" si="37"/>
        <v>1.8663892694063926</v>
      </c>
      <c r="R385" s="20">
        <f t="shared" si="38"/>
        <v>14.088586478026693</v>
      </c>
      <c r="S385" s="20">
        <f t="shared" si="39"/>
        <v>0.4964916286149163</v>
      </c>
      <c r="T385" s="20">
        <f t="shared" si="40"/>
        <v>8.8097412480974122E-2</v>
      </c>
      <c r="U385" s="20">
        <f>IFERROR(IF(ISNUMBER(INDEX('Firm Master'!$E$2:$E$1000,MATCH($C385,'Firm Master'!$B$2:$B$1000,0))),INDEX('Firm Master'!$E$2:$E$1000,MATCH($C385,'Firm Master'!$B$2:$B$1000,0)),""),"")</f>
        <v>2004</v>
      </c>
      <c r="V385" s="21">
        <f t="shared" si="41"/>
        <v>20</v>
      </c>
      <c r="W385" s="21">
        <v>0</v>
      </c>
      <c r="X385" s="20" t="str">
        <f>IFERROR(INDEX('Firm Master'!$G$2:$G$1000,MATCH($C385,'Firm Master'!$B$2:$B$1000,0)),"")</f>
        <v>Not independently confirmed</v>
      </c>
    </row>
    <row r="386" spans="1:24" ht="15" customHeight="1" x14ac:dyDescent="0.3">
      <c r="A386" s="11">
        <v>385</v>
      </c>
      <c r="B386" s="11">
        <v>77</v>
      </c>
      <c r="C386" s="11" t="s">
        <v>1079</v>
      </c>
      <c r="D386" s="11" t="s">
        <v>1080</v>
      </c>
      <c r="E386" s="11" t="s">
        <v>806</v>
      </c>
      <c r="F386" s="11">
        <v>2025</v>
      </c>
      <c r="G386" s="20">
        <f t="shared" ref="G386:G449" si="42">IF(F386&gt;=2023,1,0)</f>
        <v>1</v>
      </c>
      <c r="H386" s="21">
        <v>0</v>
      </c>
      <c r="I386" s="21">
        <f>IFERROR(INDEX('Coding Sheet'!$AC$2:$AC$731,MATCH($B386&amp;"_"&amp;$F386,'Coding Sheet'!$A$2:$A$731,0)),"")</f>
        <v>0</v>
      </c>
      <c r="J386" s="7">
        <f>IFERROR(INDEX('Coding Sheet'!$AT$2:$AT$731,MATCH($B386&amp;"_"&amp;$F386,'Coding Sheet'!$A$2:$A$731,0)),"")</f>
        <v>0</v>
      </c>
      <c r="K386" s="21">
        <v>1117000000</v>
      </c>
      <c r="L386" s="21">
        <v>3.2677</v>
      </c>
      <c r="M386" s="20">
        <f t="shared" ref="M386:M449" si="43">IF(AND(ISNUMBER(K386),ISNUMBER(L386)),K386*L386/1000,"")</f>
        <v>3650020.9</v>
      </c>
      <c r="N386" s="21">
        <v>964320</v>
      </c>
      <c r="O386" s="21">
        <v>1894000</v>
      </c>
      <c r="P386" s="20">
        <v>346380</v>
      </c>
      <c r="Q386" s="20">
        <f t="shared" ref="Q386:Q449" si="44">IF(AND(ISNUMBER(M386),ISNUMBER(N386),ISNUMBER(O386),O386&lt;&gt;0),(M386+N386)/O386,"")</f>
        <v>2.4362940337909187</v>
      </c>
      <c r="R386" s="20">
        <f t="shared" ref="R386:R449" si="45">IF(AND(ISNUMBER(O386),O386&gt;0),LN(O386),"")</f>
        <v>14.454201552728161</v>
      </c>
      <c r="S386" s="20">
        <f t="shared" ref="S386:S449" si="46">IF(AND(ISNUMBER(N386),ISNUMBER(O386),O386&lt;&gt;0),N386/O386,"")</f>
        <v>0.50914466737064412</v>
      </c>
      <c r="T386" s="20">
        <f t="shared" ref="T386:T449" si="47">IF(AND(ISNUMBER(P386),ISNUMBER(O386),O386&lt;&gt;0),P386/O386,"")</f>
        <v>0.18288278775079198</v>
      </c>
      <c r="U386" s="20">
        <f>IFERROR(IF(ISNUMBER(INDEX('Firm Master'!$E$2:$E$1000,MATCH($C386,'Firm Master'!$B$2:$B$1000,0))),INDEX('Firm Master'!$E$2:$E$1000,MATCH($C386,'Firm Master'!$B$2:$B$1000,0)),""),"")</f>
        <v>2004</v>
      </c>
      <c r="V386" s="21">
        <f t="shared" ref="V386:V449" si="48">IF(ISNUMBER(U386),F386-U386,"")</f>
        <v>21</v>
      </c>
      <c r="W386" s="21">
        <v>0</v>
      </c>
      <c r="X386" s="20" t="str">
        <f>IFERROR(INDEX('Firm Master'!$G$2:$G$1000,MATCH($C386,'Firm Master'!$B$2:$B$1000,0)),"")</f>
        <v>Not independently confirmed</v>
      </c>
    </row>
    <row r="387" spans="1:24" ht="15" customHeight="1" x14ac:dyDescent="0.3">
      <c r="A387" s="16">
        <v>386</v>
      </c>
      <c r="B387" s="16">
        <v>78</v>
      </c>
      <c r="C387" s="16" t="s">
        <v>1084</v>
      </c>
      <c r="D387" s="16" t="s">
        <v>1085</v>
      </c>
      <c r="E387" s="16" t="s">
        <v>898</v>
      </c>
      <c r="F387" s="16">
        <v>2021</v>
      </c>
      <c r="G387" s="16">
        <f t="shared" si="42"/>
        <v>0</v>
      </c>
      <c r="H387" s="16">
        <v>0</v>
      </c>
      <c r="I387" s="16" t="str">
        <f>IFERROR(INDEX('Coding Sheet'!$AC$2:$AC$731,MATCH($B387&amp;"_"&amp;$F387,'Coding Sheet'!$A$2:$A$731,0)),"")</f>
        <v/>
      </c>
      <c r="J387" s="22" t="str">
        <f>IFERROR(INDEX('Coding Sheet'!$AT$2:$AT$731,MATCH($B387&amp;"_"&amp;$F387,'Coding Sheet'!$A$2:$A$731,0)),"")</f>
        <v/>
      </c>
      <c r="K387" s="16"/>
      <c r="L387" s="16"/>
      <c r="M387" s="16" t="str">
        <f t="shared" si="43"/>
        <v/>
      </c>
      <c r="N387" s="16"/>
      <c r="O387" s="16"/>
      <c r="P387" s="16"/>
      <c r="Q387" s="16" t="str">
        <f t="shared" si="44"/>
        <v/>
      </c>
      <c r="R387" s="16" t="str">
        <f t="shared" si="45"/>
        <v/>
      </c>
      <c r="S387" s="16" t="str">
        <f t="shared" si="46"/>
        <v/>
      </c>
      <c r="T387" s="16" t="str">
        <f t="shared" si="47"/>
        <v/>
      </c>
      <c r="U387" s="16">
        <f>IFERROR(IF(ISNUMBER(INDEX('Firm Master'!$E$2:$E$1000,MATCH($C387,'Firm Master'!$B$2:$B$1000,0))),INDEX('Firm Master'!$E$2:$E$1000,MATCH($C387,'Firm Master'!$B$2:$B$1000,0)),""),"")</f>
        <v>2005</v>
      </c>
      <c r="V387" s="16">
        <f t="shared" si="48"/>
        <v>16</v>
      </c>
      <c r="W387" s="16">
        <v>0</v>
      </c>
      <c r="X387" s="16" t="str">
        <f>IFERROR(INDEX('Firm Master'!$G$2:$G$1000,MATCH($C387,'Firm Master'!$B$2:$B$1000,0)),"")</f>
        <v>Alexander Johnson &amp; Co</v>
      </c>
    </row>
    <row r="388" spans="1:24" ht="15" customHeight="1" x14ac:dyDescent="0.3">
      <c r="A388" s="16">
        <v>387</v>
      </c>
      <c r="B388" s="16">
        <v>78</v>
      </c>
      <c r="C388" s="16" t="s">
        <v>1084</v>
      </c>
      <c r="D388" s="16" t="s">
        <v>1085</v>
      </c>
      <c r="E388" s="16" t="s">
        <v>898</v>
      </c>
      <c r="F388" s="16">
        <v>2022</v>
      </c>
      <c r="G388" s="16">
        <f t="shared" si="42"/>
        <v>0</v>
      </c>
      <c r="H388" s="16">
        <v>0</v>
      </c>
      <c r="I388" s="16" t="str">
        <f>IFERROR(INDEX('Coding Sheet'!$AC$2:$AC$731,MATCH($B388&amp;"_"&amp;$F388,'Coding Sheet'!$A$2:$A$731,0)),"")</f>
        <v/>
      </c>
      <c r="J388" s="22" t="str">
        <f>IFERROR(INDEX('Coding Sheet'!$AT$2:$AT$731,MATCH($B388&amp;"_"&amp;$F388,'Coding Sheet'!$A$2:$A$731,0)),"")</f>
        <v/>
      </c>
      <c r="K388" s="16"/>
      <c r="L388" s="16"/>
      <c r="M388" s="16" t="str">
        <f t="shared" si="43"/>
        <v/>
      </c>
      <c r="N388" s="16"/>
      <c r="O388" s="16"/>
      <c r="P388" s="16"/>
      <c r="Q388" s="16" t="str">
        <f t="shared" si="44"/>
        <v/>
      </c>
      <c r="R388" s="16" t="str">
        <f t="shared" si="45"/>
        <v/>
      </c>
      <c r="S388" s="16" t="str">
        <f t="shared" si="46"/>
        <v/>
      </c>
      <c r="T388" s="16" t="str">
        <f t="shared" si="47"/>
        <v/>
      </c>
      <c r="U388" s="16">
        <f>IFERROR(IF(ISNUMBER(INDEX('Firm Master'!$E$2:$E$1000,MATCH($C388,'Firm Master'!$B$2:$B$1000,0))),INDEX('Firm Master'!$E$2:$E$1000,MATCH($C388,'Firm Master'!$B$2:$B$1000,0)),""),"")</f>
        <v>2005</v>
      </c>
      <c r="V388" s="16">
        <f t="shared" si="48"/>
        <v>17</v>
      </c>
      <c r="W388" s="16">
        <v>0</v>
      </c>
      <c r="X388" s="16" t="str">
        <f>IFERROR(INDEX('Firm Master'!$G$2:$G$1000,MATCH($C388,'Firm Master'!$B$2:$B$1000,0)),"")</f>
        <v>Alexander Johnson &amp; Co</v>
      </c>
    </row>
    <row r="389" spans="1:24" ht="15" customHeight="1" x14ac:dyDescent="0.3">
      <c r="A389" s="11">
        <v>388</v>
      </c>
      <c r="B389" s="11">
        <v>78</v>
      </c>
      <c r="C389" s="11" t="s">
        <v>1084</v>
      </c>
      <c r="D389" s="11" t="s">
        <v>1085</v>
      </c>
      <c r="E389" s="11" t="s">
        <v>898</v>
      </c>
      <c r="F389" s="11">
        <v>2023</v>
      </c>
      <c r="G389" s="20">
        <f t="shared" si="42"/>
        <v>1</v>
      </c>
      <c r="H389" s="21">
        <v>0</v>
      </c>
      <c r="I389" s="21">
        <f>IFERROR(INDEX('Coding Sheet'!$AC$2:$AC$731,MATCH($B389&amp;"_"&amp;$F389,'Coding Sheet'!$A$2:$A$731,0)),"")</f>
        <v>0</v>
      </c>
      <c r="J389" s="7">
        <f>IFERROR(INDEX('Coding Sheet'!$AT$2:$AT$731,MATCH($B389&amp;"_"&amp;$F389,'Coding Sheet'!$A$2:$A$731,0)),"")</f>
        <v>0</v>
      </c>
      <c r="K389" s="21">
        <v>4000000000</v>
      </c>
      <c r="L389" s="21">
        <v>12</v>
      </c>
      <c r="M389" s="20">
        <f t="shared" si="43"/>
        <v>48000000</v>
      </c>
      <c r="N389" s="21">
        <v>29505000</v>
      </c>
      <c r="O389" s="21">
        <v>41735000</v>
      </c>
      <c r="P389" s="20">
        <v>2913000</v>
      </c>
      <c r="Q389" s="20">
        <f t="shared" si="44"/>
        <v>1.8570743979873008</v>
      </c>
      <c r="R389" s="20">
        <f t="shared" si="45"/>
        <v>17.546850663266973</v>
      </c>
      <c r="S389" s="20">
        <f t="shared" si="46"/>
        <v>0.70696058464118849</v>
      </c>
      <c r="T389" s="20">
        <f t="shared" si="47"/>
        <v>6.9797532047442198E-2</v>
      </c>
      <c r="U389" s="20">
        <f>IFERROR(IF(ISNUMBER(INDEX('Firm Master'!$E$2:$E$1000,MATCH($C389,'Firm Master'!$B$2:$B$1000,0))),INDEX('Firm Master'!$E$2:$E$1000,MATCH($C389,'Firm Master'!$B$2:$B$1000,0)),""),"")</f>
        <v>2005</v>
      </c>
      <c r="V389" s="21">
        <f t="shared" si="48"/>
        <v>18</v>
      </c>
      <c r="W389" s="21">
        <v>0</v>
      </c>
      <c r="X389" s="20" t="str">
        <f>IFERROR(INDEX('Firm Master'!$G$2:$G$1000,MATCH($C389,'Firm Master'!$B$2:$B$1000,0)),"")</f>
        <v>Alexander Johnson &amp; Co</v>
      </c>
    </row>
    <row r="390" spans="1:24" ht="15" customHeight="1" x14ac:dyDescent="0.3">
      <c r="A390" s="11">
        <v>389</v>
      </c>
      <c r="B390" s="11">
        <v>78</v>
      </c>
      <c r="C390" s="11" t="s">
        <v>1084</v>
      </c>
      <c r="D390" s="11" t="s">
        <v>1085</v>
      </c>
      <c r="E390" s="11" t="s">
        <v>898</v>
      </c>
      <c r="F390" s="11">
        <v>2024</v>
      </c>
      <c r="G390" s="20">
        <f t="shared" si="42"/>
        <v>1</v>
      </c>
      <c r="H390" s="21">
        <v>0</v>
      </c>
      <c r="I390" s="21">
        <f>IFERROR(INDEX('Coding Sheet'!$AC$2:$AC$731,MATCH($B390&amp;"_"&amp;$F390,'Coding Sheet'!$A$2:$A$731,0)),"")</f>
        <v>0</v>
      </c>
      <c r="J390" s="7">
        <f>IFERROR(INDEX('Coding Sheet'!$AT$2:$AT$731,MATCH($B390&amp;"_"&amp;$F390,'Coding Sheet'!$A$2:$A$731,0)),"")</f>
        <v>0</v>
      </c>
      <c r="K390" s="21">
        <v>4000000000</v>
      </c>
      <c r="L390" s="21">
        <v>13.9</v>
      </c>
      <c r="M390" s="20">
        <f t="shared" si="43"/>
        <v>55600000</v>
      </c>
      <c r="N390" s="21">
        <v>40879000</v>
      </c>
      <c r="O390" s="21">
        <v>54838000</v>
      </c>
      <c r="P390" s="20">
        <v>2329000</v>
      </c>
      <c r="Q390" s="20">
        <f t="shared" si="44"/>
        <v>1.759345709179766</v>
      </c>
      <c r="R390" s="20">
        <f t="shared" si="45"/>
        <v>17.819893942263228</v>
      </c>
      <c r="S390" s="20">
        <f t="shared" si="46"/>
        <v>0.74545023523833842</v>
      </c>
      <c r="T390" s="20">
        <f t="shared" si="47"/>
        <v>4.2470549618877418E-2</v>
      </c>
      <c r="U390" s="20">
        <f>IFERROR(IF(ISNUMBER(INDEX('Firm Master'!$E$2:$E$1000,MATCH($C390,'Firm Master'!$B$2:$B$1000,0))),INDEX('Firm Master'!$E$2:$E$1000,MATCH($C390,'Firm Master'!$B$2:$B$1000,0)),""),"")</f>
        <v>2005</v>
      </c>
      <c r="V390" s="21">
        <f t="shared" si="48"/>
        <v>19</v>
      </c>
      <c r="W390" s="21">
        <v>0</v>
      </c>
      <c r="X390" s="20" t="str">
        <f>IFERROR(INDEX('Firm Master'!$G$2:$G$1000,MATCH($C390,'Firm Master'!$B$2:$B$1000,0)),"")</f>
        <v>Alexander Johnson &amp; Co</v>
      </c>
    </row>
    <row r="391" spans="1:24" ht="15" customHeight="1" x14ac:dyDescent="0.3">
      <c r="A391" s="11">
        <v>390</v>
      </c>
      <c r="B391" s="11">
        <v>78</v>
      </c>
      <c r="C391" s="11" t="s">
        <v>1084</v>
      </c>
      <c r="D391" s="11" t="s">
        <v>1085</v>
      </c>
      <c r="E391" s="11" t="s">
        <v>898</v>
      </c>
      <c r="F391" s="11">
        <v>2025</v>
      </c>
      <c r="G391" s="20">
        <f t="shared" si="42"/>
        <v>1</v>
      </c>
      <c r="H391" s="21">
        <v>0</v>
      </c>
      <c r="I391" s="21">
        <f>IFERROR(INDEX('Coding Sheet'!$AC$2:$AC$731,MATCH($B391&amp;"_"&amp;$F391,'Coding Sheet'!$A$2:$A$731,0)),"")</f>
        <v>0</v>
      </c>
      <c r="J391" s="7">
        <f>IFERROR(INDEX('Coding Sheet'!$AT$2:$AT$731,MATCH($B391&amp;"_"&amp;$F391,'Coding Sheet'!$A$2:$A$731,0)),"")</f>
        <v>0</v>
      </c>
      <c r="K391" s="21">
        <v>4000000000</v>
      </c>
      <c r="L391" s="21">
        <v>65.2</v>
      </c>
      <c r="M391" s="20">
        <f t="shared" si="43"/>
        <v>260800000</v>
      </c>
      <c r="N391" s="21">
        <v>62136000</v>
      </c>
      <c r="O391" s="21">
        <v>81958000</v>
      </c>
      <c r="P391" s="20">
        <v>6463000</v>
      </c>
      <c r="Q391" s="20">
        <f t="shared" si="44"/>
        <v>3.9402620854584054</v>
      </c>
      <c r="R391" s="20">
        <f t="shared" si="45"/>
        <v>18.221717478889847</v>
      </c>
      <c r="S391" s="20">
        <f t="shared" si="46"/>
        <v>0.7581444154322946</v>
      </c>
      <c r="T391" s="20">
        <f t="shared" si="47"/>
        <v>7.8857463578906273E-2</v>
      </c>
      <c r="U391" s="20">
        <f>IFERROR(IF(ISNUMBER(INDEX('Firm Master'!$E$2:$E$1000,MATCH($C391,'Firm Master'!$B$2:$B$1000,0))),INDEX('Firm Master'!$E$2:$E$1000,MATCH($C391,'Firm Master'!$B$2:$B$1000,0)),""),"")</f>
        <v>2005</v>
      </c>
      <c r="V391" s="21">
        <f t="shared" si="48"/>
        <v>20</v>
      </c>
      <c r="W391" s="21">
        <v>0</v>
      </c>
      <c r="X391" s="20" t="str">
        <f>IFERROR(INDEX('Firm Master'!$G$2:$G$1000,MATCH($C391,'Firm Master'!$B$2:$B$1000,0)),"")</f>
        <v>Alexander Johnson &amp; Co</v>
      </c>
    </row>
    <row r="392" spans="1:24" ht="15" customHeight="1" x14ac:dyDescent="0.3">
      <c r="A392" s="11">
        <v>391</v>
      </c>
      <c r="B392" s="11">
        <v>79</v>
      </c>
      <c r="C392" s="11" t="s">
        <v>1089</v>
      </c>
      <c r="D392" s="11" t="s">
        <v>1090</v>
      </c>
      <c r="E392" s="11" t="s">
        <v>772</v>
      </c>
      <c r="F392" s="11">
        <v>2021</v>
      </c>
      <c r="G392" s="20">
        <f t="shared" si="42"/>
        <v>0</v>
      </c>
      <c r="H392" s="21">
        <v>0</v>
      </c>
      <c r="I392" s="21">
        <f>IFERROR(INDEX('Coding Sheet'!$AC$2:$AC$731,MATCH($B392&amp;"_"&amp;$F392,'Coding Sheet'!$A$2:$A$731,0)),"")</f>
        <v>0</v>
      </c>
      <c r="J392" s="7">
        <f>IFERROR(INDEX('Coding Sheet'!$AT$2:$AT$731,MATCH($B392&amp;"_"&amp;$F392,'Coding Sheet'!$A$2:$A$731,0)),"")</f>
        <v>0</v>
      </c>
      <c r="K392" s="21">
        <v>497730000</v>
      </c>
      <c r="L392" s="21">
        <v>0.46</v>
      </c>
      <c r="M392" s="20">
        <f t="shared" si="43"/>
        <v>228955.8</v>
      </c>
      <c r="N392" s="21">
        <v>968500</v>
      </c>
      <c r="O392" s="21">
        <v>2023000</v>
      </c>
      <c r="P392" s="20">
        <v>33670</v>
      </c>
      <c r="Q392" s="20">
        <f t="shared" si="44"/>
        <v>0.59192081067721214</v>
      </c>
      <c r="R392" s="20">
        <f t="shared" si="45"/>
        <v>14.520092116149883</v>
      </c>
      <c r="S392" s="20">
        <f t="shared" si="46"/>
        <v>0.47874443895205143</v>
      </c>
      <c r="T392" s="20">
        <f t="shared" si="47"/>
        <v>1.6643598615916955E-2</v>
      </c>
      <c r="U392" s="20">
        <f>IFERROR(IF(ISNUMBER(INDEX('Firm Master'!$E$2:$E$1000,MATCH($C392,'Firm Master'!$B$2:$B$1000,0))),INDEX('Firm Master'!$E$2:$E$1000,MATCH($C392,'Firm Master'!$B$2:$B$1000,0)),""),"")</f>
        <v>1960</v>
      </c>
      <c r="V392" s="21">
        <f t="shared" si="48"/>
        <v>61</v>
      </c>
      <c r="W392" s="21">
        <v>0</v>
      </c>
      <c r="X392" s="20" t="str">
        <f>IFERROR(INDEX('Firm Master'!$G$2:$G$1000,MATCH($C392,'Firm Master'!$B$2:$B$1000,0)),"")</f>
        <v>BDO Professional Services</v>
      </c>
    </row>
    <row r="393" spans="1:24" ht="15" customHeight="1" x14ac:dyDescent="0.3">
      <c r="A393" s="11">
        <v>392</v>
      </c>
      <c r="B393" s="11">
        <v>79</v>
      </c>
      <c r="C393" s="11" t="s">
        <v>1089</v>
      </c>
      <c r="D393" s="11" t="s">
        <v>1090</v>
      </c>
      <c r="E393" s="11" t="s">
        <v>772</v>
      </c>
      <c r="F393" s="11">
        <v>2022</v>
      </c>
      <c r="G393" s="20">
        <f t="shared" si="42"/>
        <v>0</v>
      </c>
      <c r="H393" s="21">
        <v>0</v>
      </c>
      <c r="I393" s="21">
        <f>IFERROR(INDEX('Coding Sheet'!$AC$2:$AC$731,MATCH($B393&amp;"_"&amp;$F393,'Coding Sheet'!$A$2:$A$731,0)),"")</f>
        <v>0</v>
      </c>
      <c r="J393" s="7">
        <f>IFERROR(INDEX('Coding Sheet'!$AT$2:$AT$731,MATCH($B393&amp;"_"&amp;$F393,'Coding Sheet'!$A$2:$A$731,0)),"")</f>
        <v>0</v>
      </c>
      <c r="K393" s="21">
        <v>497730000</v>
      </c>
      <c r="L393" s="21">
        <v>2.2703000000000002</v>
      </c>
      <c r="M393" s="20">
        <f t="shared" si="43"/>
        <v>1129996.419</v>
      </c>
      <c r="N393" s="21">
        <v>490150</v>
      </c>
      <c r="O393" s="21">
        <v>1939000</v>
      </c>
      <c r="P393" s="20">
        <v>393620</v>
      </c>
      <c r="Q393" s="20">
        <f t="shared" si="44"/>
        <v>0.83555771995874162</v>
      </c>
      <c r="R393" s="20">
        <f t="shared" si="45"/>
        <v>14.47768293422479</v>
      </c>
      <c r="S393" s="20">
        <f t="shared" si="46"/>
        <v>0.25278494069107788</v>
      </c>
      <c r="T393" s="20">
        <f t="shared" si="47"/>
        <v>0.20300154718927282</v>
      </c>
      <c r="U393" s="20">
        <f>IFERROR(IF(ISNUMBER(INDEX('Firm Master'!$E$2:$E$1000,MATCH($C393,'Firm Master'!$B$2:$B$1000,0))),INDEX('Firm Master'!$E$2:$E$1000,MATCH($C393,'Firm Master'!$B$2:$B$1000,0)),""),"")</f>
        <v>1960</v>
      </c>
      <c r="V393" s="21">
        <f t="shared" si="48"/>
        <v>62</v>
      </c>
      <c r="W393" s="21">
        <v>0</v>
      </c>
      <c r="X393" s="20" t="str">
        <f>IFERROR(INDEX('Firm Master'!$G$2:$G$1000,MATCH($C393,'Firm Master'!$B$2:$B$1000,0)),"")</f>
        <v>BDO Professional Services</v>
      </c>
    </row>
    <row r="394" spans="1:24" ht="15" customHeight="1" x14ac:dyDescent="0.3">
      <c r="A394" s="11">
        <v>393</v>
      </c>
      <c r="B394" s="11">
        <v>79</v>
      </c>
      <c r="C394" s="11" t="s">
        <v>1089</v>
      </c>
      <c r="D394" s="11" t="s">
        <v>1090</v>
      </c>
      <c r="E394" s="11" t="s">
        <v>772</v>
      </c>
      <c r="F394" s="11">
        <v>2023</v>
      </c>
      <c r="G394" s="20">
        <f t="shared" si="42"/>
        <v>1</v>
      </c>
      <c r="H394" s="21">
        <v>0</v>
      </c>
      <c r="I394" s="21">
        <f>IFERROR(INDEX('Coding Sheet'!$AC$2:$AC$731,MATCH($B394&amp;"_"&amp;$F394,'Coding Sheet'!$A$2:$A$731,0)),"")</f>
        <v>0</v>
      </c>
      <c r="J394" s="7">
        <f>IFERROR(INDEX('Coding Sheet'!$AT$2:$AT$731,MATCH($B394&amp;"_"&amp;$F394,'Coding Sheet'!$A$2:$A$731,0)),"")</f>
        <v>0</v>
      </c>
      <c r="K394" s="21">
        <v>497730000</v>
      </c>
      <c r="L394" s="21">
        <v>3.5962999999999998</v>
      </c>
      <c r="M394" s="20">
        <f t="shared" si="43"/>
        <v>1789986.399</v>
      </c>
      <c r="N394" s="21">
        <v>767650</v>
      </c>
      <c r="O394" s="21">
        <v>2452000</v>
      </c>
      <c r="P394" s="20">
        <v>235960</v>
      </c>
      <c r="Q394" s="20">
        <f t="shared" si="44"/>
        <v>1.0430817287928222</v>
      </c>
      <c r="R394" s="20">
        <f t="shared" si="45"/>
        <v>14.712414576038238</v>
      </c>
      <c r="S394" s="20">
        <f t="shared" si="46"/>
        <v>0.31307096247960847</v>
      </c>
      <c r="T394" s="20">
        <f t="shared" si="47"/>
        <v>9.6231647634584014E-2</v>
      </c>
      <c r="U394" s="20">
        <f>IFERROR(IF(ISNUMBER(INDEX('Firm Master'!$E$2:$E$1000,MATCH($C394,'Firm Master'!$B$2:$B$1000,0))),INDEX('Firm Master'!$E$2:$E$1000,MATCH($C394,'Firm Master'!$B$2:$B$1000,0)),""),"")</f>
        <v>1960</v>
      </c>
      <c r="V394" s="21">
        <f t="shared" si="48"/>
        <v>63</v>
      </c>
      <c r="W394" s="21">
        <v>0</v>
      </c>
      <c r="X394" s="20" t="str">
        <f>IFERROR(INDEX('Firm Master'!$G$2:$G$1000,MATCH($C394,'Firm Master'!$B$2:$B$1000,0)),"")</f>
        <v>BDO Professional Services</v>
      </c>
    </row>
    <row r="395" spans="1:24" ht="15" customHeight="1" x14ac:dyDescent="0.3">
      <c r="A395" s="11">
        <v>394</v>
      </c>
      <c r="B395" s="11">
        <v>79</v>
      </c>
      <c r="C395" s="11" t="s">
        <v>1089</v>
      </c>
      <c r="D395" s="11" t="s">
        <v>1090</v>
      </c>
      <c r="E395" s="11" t="s">
        <v>772</v>
      </c>
      <c r="F395" s="11">
        <v>2024</v>
      </c>
      <c r="G395" s="20">
        <f t="shared" si="42"/>
        <v>1</v>
      </c>
      <c r="H395" s="21">
        <v>0</v>
      </c>
      <c r="I395" s="21">
        <f>IFERROR(INDEX('Coding Sheet'!$AC$2:$AC$731,MATCH($B395&amp;"_"&amp;$F395,'Coding Sheet'!$A$2:$A$731,0)),"")</f>
        <v>0</v>
      </c>
      <c r="J395" s="7">
        <f>IFERROR(INDEX('Coding Sheet'!$AT$2:$AT$731,MATCH($B395&amp;"_"&amp;$F395,'Coding Sheet'!$A$2:$A$731,0)),"")</f>
        <v>0</v>
      </c>
      <c r="K395" s="21">
        <v>497730000</v>
      </c>
      <c r="L395" s="21">
        <v>8.4382999999999999</v>
      </c>
      <c r="M395" s="20">
        <f t="shared" si="43"/>
        <v>4199995.0590000004</v>
      </c>
      <c r="N395" s="21">
        <v>1010000</v>
      </c>
      <c r="O395" s="21">
        <v>2840000</v>
      </c>
      <c r="P395" s="20">
        <v>295400</v>
      </c>
      <c r="Q395" s="20">
        <f t="shared" si="44"/>
        <v>1.8345053024647888</v>
      </c>
      <c r="R395" s="20">
        <f t="shared" si="45"/>
        <v>14.859314610137389</v>
      </c>
      <c r="S395" s="20">
        <f t="shared" si="46"/>
        <v>0.35563380281690143</v>
      </c>
      <c r="T395" s="20">
        <f t="shared" si="47"/>
        <v>0.10401408450704225</v>
      </c>
      <c r="U395" s="20">
        <f>IFERROR(IF(ISNUMBER(INDEX('Firm Master'!$E$2:$E$1000,MATCH($C395,'Firm Master'!$B$2:$B$1000,0))),INDEX('Firm Master'!$E$2:$E$1000,MATCH($C395,'Firm Master'!$B$2:$B$1000,0)),""),"")</f>
        <v>1960</v>
      </c>
      <c r="V395" s="21">
        <f t="shared" si="48"/>
        <v>64</v>
      </c>
      <c r="W395" s="21">
        <v>0</v>
      </c>
      <c r="X395" s="20" t="str">
        <f>IFERROR(INDEX('Firm Master'!$G$2:$G$1000,MATCH($C395,'Firm Master'!$B$2:$B$1000,0)),"")</f>
        <v>BDO Professional Services</v>
      </c>
    </row>
    <row r="396" spans="1:24" ht="15" customHeight="1" x14ac:dyDescent="0.3">
      <c r="A396" s="11">
        <v>395</v>
      </c>
      <c r="B396" s="11">
        <v>79</v>
      </c>
      <c r="C396" s="11" t="s">
        <v>1089</v>
      </c>
      <c r="D396" s="11" t="s">
        <v>1090</v>
      </c>
      <c r="E396" s="11" t="s">
        <v>772</v>
      </c>
      <c r="F396" s="11">
        <v>2025</v>
      </c>
      <c r="G396" s="20">
        <f t="shared" si="42"/>
        <v>1</v>
      </c>
      <c r="H396" s="21">
        <v>0</v>
      </c>
      <c r="I396" s="21">
        <f>IFERROR(INDEX('Coding Sheet'!$AC$2:$AC$731,MATCH($B396&amp;"_"&amp;$F396,'Coding Sheet'!$A$2:$A$731,0)),"")</f>
        <v>0</v>
      </c>
      <c r="J396" s="7">
        <f>IFERROR(INDEX('Coding Sheet'!$AT$2:$AT$731,MATCH($B396&amp;"_"&amp;$F396,'Coding Sheet'!$A$2:$A$731,0)),"")</f>
        <v>0</v>
      </c>
      <c r="K396" s="21">
        <v>497730000</v>
      </c>
      <c r="L396" s="21">
        <v>12.9588</v>
      </c>
      <c r="M396" s="20">
        <f t="shared" si="43"/>
        <v>6449983.5240000002</v>
      </c>
      <c r="N396" s="21">
        <v>1276000</v>
      </c>
      <c r="O396" s="21">
        <v>3417000</v>
      </c>
      <c r="P396" s="20">
        <v>461030</v>
      </c>
      <c r="Q396" s="20">
        <f t="shared" si="44"/>
        <v>2.2610428808896694</v>
      </c>
      <c r="R396" s="20">
        <f t="shared" si="45"/>
        <v>15.04427353109743</v>
      </c>
      <c r="S396" s="20">
        <f t="shared" si="46"/>
        <v>0.37342698273339187</v>
      </c>
      <c r="T396" s="20">
        <f t="shared" si="47"/>
        <v>0.13492244659057653</v>
      </c>
      <c r="U396" s="20">
        <f>IFERROR(IF(ISNUMBER(INDEX('Firm Master'!$E$2:$E$1000,MATCH($C396,'Firm Master'!$B$2:$B$1000,0))),INDEX('Firm Master'!$E$2:$E$1000,MATCH($C396,'Firm Master'!$B$2:$B$1000,0)),""),"")</f>
        <v>1960</v>
      </c>
      <c r="V396" s="21">
        <f t="shared" si="48"/>
        <v>65</v>
      </c>
      <c r="W396" s="21">
        <v>0</v>
      </c>
      <c r="X396" s="20" t="str">
        <f>IFERROR(INDEX('Firm Master'!$G$2:$G$1000,MATCH($C396,'Firm Master'!$B$2:$B$1000,0)),"")</f>
        <v>BDO Professional Services</v>
      </c>
    </row>
    <row r="397" spans="1:24" ht="27.75" customHeight="1" x14ac:dyDescent="0.3">
      <c r="A397" s="16">
        <v>396</v>
      </c>
      <c r="B397" s="16">
        <v>80</v>
      </c>
      <c r="C397" s="16" t="s">
        <v>1092</v>
      </c>
      <c r="D397" s="16" t="s">
        <v>1093</v>
      </c>
      <c r="E397" s="16" t="s">
        <v>780</v>
      </c>
      <c r="F397" s="16">
        <v>2021</v>
      </c>
      <c r="G397" s="16">
        <f t="shared" si="42"/>
        <v>0</v>
      </c>
      <c r="H397" s="16">
        <v>0</v>
      </c>
      <c r="I397" s="16" t="str">
        <f>IFERROR(INDEX('Coding Sheet'!$AC$2:$AC$731,MATCH($B397&amp;"_"&amp;$F397,'Coding Sheet'!$A$2:$A$731,0)),"")</f>
        <v/>
      </c>
      <c r="J397" s="22" t="str">
        <f>IFERROR(INDEX('Coding Sheet'!$AT$2:$AT$731,MATCH($B397&amp;"_"&amp;$F397,'Coding Sheet'!$A$2:$A$731,0)),"")</f>
        <v/>
      </c>
      <c r="K397" s="16"/>
      <c r="L397" s="16"/>
      <c r="M397" s="16" t="str">
        <f t="shared" si="43"/>
        <v/>
      </c>
      <c r="N397" s="16"/>
      <c r="O397" s="16"/>
      <c r="P397" s="16"/>
      <c r="Q397" s="16" t="str">
        <f t="shared" si="44"/>
        <v/>
      </c>
      <c r="R397" s="16" t="str">
        <f t="shared" si="45"/>
        <v/>
      </c>
      <c r="S397" s="16" t="str">
        <f t="shared" si="46"/>
        <v/>
      </c>
      <c r="T397" s="16" t="str">
        <f t="shared" si="47"/>
        <v/>
      </c>
      <c r="U397" s="16">
        <f>IFERROR(IF(ISNUMBER(INDEX('Firm Master'!$E$2:$E$1000,MATCH($C397,'Firm Master'!$B$2:$B$1000,0))),INDEX('Firm Master'!$E$2:$E$1000,MATCH($C397,'Firm Master'!$B$2:$B$1000,0)),""),"")</f>
        <v>2024</v>
      </c>
      <c r="V397" s="16">
        <f t="shared" si="48"/>
        <v>-3</v>
      </c>
      <c r="W397" s="16">
        <v>0</v>
      </c>
      <c r="X397" s="16" t="str">
        <f>IFERROR(INDEX('Firm Master'!$G$2:$G$1000,MATCH($C397,'Firm Master'!$B$2:$B$1000,0)),"")</f>
        <v>Not independently confirmed</v>
      </c>
    </row>
    <row r="398" spans="1:24" ht="27.75" customHeight="1" x14ac:dyDescent="0.3">
      <c r="A398" s="16">
        <v>397</v>
      </c>
      <c r="B398" s="16">
        <v>80</v>
      </c>
      <c r="C398" s="16" t="s">
        <v>1092</v>
      </c>
      <c r="D398" s="16" t="s">
        <v>1093</v>
      </c>
      <c r="E398" s="16" t="s">
        <v>780</v>
      </c>
      <c r="F398" s="16">
        <v>2022</v>
      </c>
      <c r="G398" s="16">
        <f t="shared" si="42"/>
        <v>0</v>
      </c>
      <c r="H398" s="16">
        <v>0</v>
      </c>
      <c r="I398" s="16" t="str">
        <f>IFERROR(INDEX('Coding Sheet'!$AC$2:$AC$731,MATCH($B398&amp;"_"&amp;$F398,'Coding Sheet'!$A$2:$A$731,0)),"")</f>
        <v/>
      </c>
      <c r="J398" s="22" t="str">
        <f>IFERROR(INDEX('Coding Sheet'!$AT$2:$AT$731,MATCH($B398&amp;"_"&amp;$F398,'Coding Sheet'!$A$2:$A$731,0)),"")</f>
        <v/>
      </c>
      <c r="K398" s="16"/>
      <c r="L398" s="16"/>
      <c r="M398" s="16" t="str">
        <f t="shared" si="43"/>
        <v/>
      </c>
      <c r="N398" s="16"/>
      <c r="O398" s="16"/>
      <c r="P398" s="16"/>
      <c r="Q398" s="16" t="str">
        <f t="shared" si="44"/>
        <v/>
      </c>
      <c r="R398" s="16" t="str">
        <f t="shared" si="45"/>
        <v/>
      </c>
      <c r="S398" s="16" t="str">
        <f t="shared" si="46"/>
        <v/>
      </c>
      <c r="T398" s="16" t="str">
        <f t="shared" si="47"/>
        <v/>
      </c>
      <c r="U398" s="16">
        <f>IFERROR(IF(ISNUMBER(INDEX('Firm Master'!$E$2:$E$1000,MATCH($C398,'Firm Master'!$B$2:$B$1000,0))),INDEX('Firm Master'!$E$2:$E$1000,MATCH($C398,'Firm Master'!$B$2:$B$1000,0)),""),"")</f>
        <v>2024</v>
      </c>
      <c r="V398" s="16">
        <f t="shared" si="48"/>
        <v>-2</v>
      </c>
      <c r="W398" s="16">
        <v>0</v>
      </c>
      <c r="X398" s="16" t="str">
        <f>IFERROR(INDEX('Firm Master'!$G$2:$G$1000,MATCH($C398,'Firm Master'!$B$2:$B$1000,0)),"")</f>
        <v>Not independently confirmed</v>
      </c>
    </row>
    <row r="399" spans="1:24" ht="27.75" customHeight="1" x14ac:dyDescent="0.3">
      <c r="A399" s="16">
        <v>398</v>
      </c>
      <c r="B399" s="16">
        <v>80</v>
      </c>
      <c r="C399" s="16" t="s">
        <v>1092</v>
      </c>
      <c r="D399" s="16" t="s">
        <v>1093</v>
      </c>
      <c r="E399" s="16" t="s">
        <v>780</v>
      </c>
      <c r="F399" s="16">
        <v>2023</v>
      </c>
      <c r="G399" s="16">
        <f t="shared" si="42"/>
        <v>1</v>
      </c>
      <c r="H399" s="16">
        <v>0</v>
      </c>
      <c r="I399" s="16" t="str">
        <f>IFERROR(INDEX('Coding Sheet'!$AC$2:$AC$731,MATCH($B399&amp;"_"&amp;$F399,'Coding Sheet'!$A$2:$A$731,0)),"")</f>
        <v/>
      </c>
      <c r="J399" s="22" t="str">
        <f>IFERROR(INDEX('Coding Sheet'!$AT$2:$AT$731,MATCH($B399&amp;"_"&amp;$F399,'Coding Sheet'!$A$2:$A$731,0)),"")</f>
        <v/>
      </c>
      <c r="K399" s="16"/>
      <c r="L399" s="16"/>
      <c r="M399" s="16" t="str">
        <f t="shared" si="43"/>
        <v/>
      </c>
      <c r="N399" s="16"/>
      <c r="O399" s="16"/>
      <c r="P399" s="16"/>
      <c r="Q399" s="16" t="str">
        <f t="shared" si="44"/>
        <v/>
      </c>
      <c r="R399" s="16" t="str">
        <f t="shared" si="45"/>
        <v/>
      </c>
      <c r="S399" s="16" t="str">
        <f t="shared" si="46"/>
        <v/>
      </c>
      <c r="T399" s="16" t="str">
        <f t="shared" si="47"/>
        <v/>
      </c>
      <c r="U399" s="16">
        <f>IFERROR(IF(ISNUMBER(INDEX('Firm Master'!$E$2:$E$1000,MATCH($C399,'Firm Master'!$B$2:$B$1000,0))),INDEX('Firm Master'!$E$2:$E$1000,MATCH($C399,'Firm Master'!$B$2:$B$1000,0)),""),"")</f>
        <v>2024</v>
      </c>
      <c r="V399" s="16">
        <f t="shared" si="48"/>
        <v>-1</v>
      </c>
      <c r="W399" s="16">
        <v>0</v>
      </c>
      <c r="X399" s="16" t="str">
        <f>IFERROR(INDEX('Firm Master'!$G$2:$G$1000,MATCH($C399,'Firm Master'!$B$2:$B$1000,0)),"")</f>
        <v>Not independently confirmed</v>
      </c>
    </row>
    <row r="400" spans="1:24" ht="27.75" customHeight="1" x14ac:dyDescent="0.3">
      <c r="A400" s="16">
        <v>399</v>
      </c>
      <c r="B400" s="16">
        <v>80</v>
      </c>
      <c r="C400" s="16" t="s">
        <v>1092</v>
      </c>
      <c r="D400" s="16" t="s">
        <v>1093</v>
      </c>
      <c r="E400" s="16" t="s">
        <v>780</v>
      </c>
      <c r="F400" s="16">
        <v>2024</v>
      </c>
      <c r="G400" s="16">
        <f t="shared" si="42"/>
        <v>1</v>
      </c>
      <c r="H400" s="16">
        <v>0</v>
      </c>
      <c r="I400" s="16" t="str">
        <f>IFERROR(INDEX('Coding Sheet'!$AC$2:$AC$731,MATCH($B400&amp;"_"&amp;$F400,'Coding Sheet'!$A$2:$A$731,0)),"")</f>
        <v/>
      </c>
      <c r="J400" s="22" t="str">
        <f>IFERROR(INDEX('Coding Sheet'!$AT$2:$AT$731,MATCH($B400&amp;"_"&amp;$F400,'Coding Sheet'!$A$2:$A$731,0)),"")</f>
        <v/>
      </c>
      <c r="K400" s="16"/>
      <c r="L400" s="16"/>
      <c r="M400" s="16" t="str">
        <f t="shared" si="43"/>
        <v/>
      </c>
      <c r="N400" s="16"/>
      <c r="O400" s="16"/>
      <c r="P400" s="16"/>
      <c r="Q400" s="16" t="str">
        <f t="shared" si="44"/>
        <v/>
      </c>
      <c r="R400" s="16" t="str">
        <f t="shared" si="45"/>
        <v/>
      </c>
      <c r="S400" s="16" t="str">
        <f t="shared" si="46"/>
        <v/>
      </c>
      <c r="T400" s="16" t="str">
        <f t="shared" si="47"/>
        <v/>
      </c>
      <c r="U400" s="16">
        <f>IFERROR(IF(ISNUMBER(INDEX('Firm Master'!$E$2:$E$1000,MATCH($C400,'Firm Master'!$B$2:$B$1000,0))),INDEX('Firm Master'!$E$2:$E$1000,MATCH($C400,'Firm Master'!$B$2:$B$1000,0)),""),"")</f>
        <v>2024</v>
      </c>
      <c r="V400" s="16">
        <f t="shared" si="48"/>
        <v>0</v>
      </c>
      <c r="W400" s="16">
        <v>0</v>
      </c>
      <c r="X400" s="16" t="str">
        <f>IFERROR(INDEX('Firm Master'!$G$2:$G$1000,MATCH($C400,'Firm Master'!$B$2:$B$1000,0)),"")</f>
        <v>Not independently confirmed</v>
      </c>
    </row>
    <row r="401" spans="1:24" ht="27.75" customHeight="1" x14ac:dyDescent="0.3">
      <c r="A401" s="16">
        <v>400</v>
      </c>
      <c r="B401" s="16">
        <v>80</v>
      </c>
      <c r="C401" s="16" t="s">
        <v>1092</v>
      </c>
      <c r="D401" s="16" t="s">
        <v>1093</v>
      </c>
      <c r="E401" s="16" t="s">
        <v>780</v>
      </c>
      <c r="F401" s="16">
        <v>2025</v>
      </c>
      <c r="G401" s="16">
        <f t="shared" si="42"/>
        <v>1</v>
      </c>
      <c r="H401" s="16">
        <v>0</v>
      </c>
      <c r="I401" s="16">
        <f>IFERROR(INDEX('Coding Sheet'!$AC$2:$AC$731,MATCH($B401&amp;"_"&amp;$F401,'Coding Sheet'!$A$2:$A$731,0)),"")</f>
        <v>0</v>
      </c>
      <c r="J401" s="22">
        <f>IFERROR(INDEX('Coding Sheet'!$AT$2:$AT$731,MATCH($B401&amp;"_"&amp;$F401,'Coding Sheet'!$A$2:$A$731,0)),"")</f>
        <v>0</v>
      </c>
      <c r="K401" s="16">
        <v>2500000000</v>
      </c>
      <c r="L401" s="16">
        <v>101.01</v>
      </c>
      <c r="M401" s="16">
        <f t="shared" si="43"/>
        <v>252525000</v>
      </c>
      <c r="N401" s="16">
        <v>17790000</v>
      </c>
      <c r="O401" s="16">
        <v>270330000</v>
      </c>
      <c r="P401" s="16">
        <v>28680000</v>
      </c>
      <c r="Q401" s="16">
        <f t="shared" si="44"/>
        <v>0.99994451226278991</v>
      </c>
      <c r="R401" s="16">
        <f t="shared" si="45"/>
        <v>19.415153992879329</v>
      </c>
      <c r="S401" s="16">
        <f t="shared" si="46"/>
        <v>6.5808456331150816E-2</v>
      </c>
      <c r="T401" s="16">
        <f t="shared" si="47"/>
        <v>0.10609255354566641</v>
      </c>
      <c r="U401" s="16">
        <f>IFERROR(IF(ISNUMBER(INDEX('Firm Master'!$E$2:$E$1000,MATCH($C401,'Firm Master'!$B$2:$B$1000,0))),INDEX('Firm Master'!$E$2:$E$1000,MATCH($C401,'Firm Master'!$B$2:$B$1000,0)),""),"")</f>
        <v>2024</v>
      </c>
      <c r="V401" s="16">
        <f t="shared" si="48"/>
        <v>1</v>
      </c>
      <c r="W401" s="16">
        <v>0</v>
      </c>
      <c r="X401" s="16" t="str">
        <f>IFERROR(INDEX('Firm Master'!$G$2:$G$1000,MATCH($C401,'Firm Master'!$B$2:$B$1000,0)),"")</f>
        <v>Not independently confirmed</v>
      </c>
    </row>
    <row r="402" spans="1:24" ht="15" customHeight="1" x14ac:dyDescent="0.3">
      <c r="A402" s="11">
        <v>401</v>
      </c>
      <c r="B402" s="11">
        <v>81</v>
      </c>
      <c r="C402" s="11" t="s">
        <v>1096</v>
      </c>
      <c r="D402" s="11" t="s">
        <v>1097</v>
      </c>
      <c r="E402" s="11" t="s">
        <v>898</v>
      </c>
      <c r="F402" s="11">
        <v>2021</v>
      </c>
      <c r="G402" s="20">
        <f t="shared" si="42"/>
        <v>0</v>
      </c>
      <c r="H402" s="21">
        <v>0</v>
      </c>
      <c r="I402" s="21">
        <f>IFERROR(INDEX('Coding Sheet'!$AC$2:$AC$731,MATCH($B402&amp;"_"&amp;$F402,'Coding Sheet'!$A$2:$A$731,0)),"")</f>
        <v>0</v>
      </c>
      <c r="J402" s="7">
        <f>IFERROR(INDEX('Coding Sheet'!$AT$2:$AT$731,MATCH($B402&amp;"_"&amp;$F402,'Coding Sheet'!$A$2:$A$731,0)),"")</f>
        <v>0</v>
      </c>
      <c r="K402" s="21">
        <v>989160000</v>
      </c>
      <c r="L402" s="21">
        <v>1.9916</v>
      </c>
      <c r="M402" s="20">
        <f t="shared" si="43"/>
        <v>1970011.0560000001</v>
      </c>
      <c r="N402" s="21">
        <v>547890</v>
      </c>
      <c r="O402" s="21">
        <v>1615000</v>
      </c>
      <c r="P402" s="20">
        <v>-93930</v>
      </c>
      <c r="Q402" s="20">
        <f t="shared" si="44"/>
        <v>1.5590718613003096</v>
      </c>
      <c r="R402" s="20">
        <f t="shared" si="45"/>
        <v>14.294845514638894</v>
      </c>
      <c r="S402" s="20">
        <f t="shared" si="46"/>
        <v>0.33925077399380804</v>
      </c>
      <c r="T402" s="20">
        <f t="shared" si="47"/>
        <v>-5.8160990712074305E-2</v>
      </c>
      <c r="U402" s="20">
        <f>IFERROR(IF(ISNUMBER(INDEX('Firm Master'!$E$2:$E$1000,MATCH($C402,'Firm Master'!$B$2:$B$1000,0))),INDEX('Firm Master'!$E$2:$E$1000,MATCH($C402,'Firm Master'!$B$2:$B$1000,0)),""),"")</f>
        <v>1955</v>
      </c>
      <c r="V402" s="21">
        <f t="shared" si="48"/>
        <v>66</v>
      </c>
      <c r="W402" s="21">
        <v>0</v>
      </c>
      <c r="X402" s="20" t="str">
        <f>IFERROR(INDEX('Firm Master'!$G$2:$G$1000,MATCH($C402,'Firm Master'!$B$2:$B$1000,0)),"")</f>
        <v>BDO Professional Services</v>
      </c>
    </row>
    <row r="403" spans="1:24" ht="15" customHeight="1" x14ac:dyDescent="0.3">
      <c r="A403" s="11">
        <v>402</v>
      </c>
      <c r="B403" s="11">
        <v>81</v>
      </c>
      <c r="C403" s="11" t="s">
        <v>1096</v>
      </c>
      <c r="D403" s="11" t="s">
        <v>1097</v>
      </c>
      <c r="E403" s="11" t="s">
        <v>898</v>
      </c>
      <c r="F403" s="11">
        <v>2022</v>
      </c>
      <c r="G403" s="20">
        <f t="shared" si="42"/>
        <v>0</v>
      </c>
      <c r="H403" s="21">
        <v>0</v>
      </c>
      <c r="I403" s="21">
        <f>IFERROR(INDEX('Coding Sheet'!$AC$2:$AC$731,MATCH($B403&amp;"_"&amp;$F403,'Coding Sheet'!$A$2:$A$731,0)),"")</f>
        <v>0</v>
      </c>
      <c r="J403" s="7">
        <f>IFERROR(INDEX('Coding Sheet'!$AT$2:$AT$731,MATCH($B403&amp;"_"&amp;$F403,'Coding Sheet'!$A$2:$A$731,0)),"")</f>
        <v>0</v>
      </c>
      <c r="K403" s="21">
        <v>989160000</v>
      </c>
      <c r="L403" s="21">
        <v>2.1736</v>
      </c>
      <c r="M403" s="20">
        <f t="shared" si="43"/>
        <v>2150038.176</v>
      </c>
      <c r="N403" s="21">
        <v>608790</v>
      </c>
      <c r="O403" s="21">
        <v>1568000</v>
      </c>
      <c r="P403" s="20">
        <v>-107480</v>
      </c>
      <c r="Q403" s="20">
        <f t="shared" si="44"/>
        <v>1.7594567448979592</v>
      </c>
      <c r="R403" s="20">
        <f t="shared" si="45"/>
        <v>14.265311479892491</v>
      </c>
      <c r="S403" s="20">
        <f t="shared" si="46"/>
        <v>0.38825892857142857</v>
      </c>
      <c r="T403" s="20">
        <f t="shared" si="47"/>
        <v>-6.8545918367346942E-2</v>
      </c>
      <c r="U403" s="20">
        <f>IFERROR(IF(ISNUMBER(INDEX('Firm Master'!$E$2:$E$1000,MATCH($C403,'Firm Master'!$B$2:$B$1000,0))),INDEX('Firm Master'!$E$2:$E$1000,MATCH($C403,'Firm Master'!$B$2:$B$1000,0)),""),"")</f>
        <v>1955</v>
      </c>
      <c r="V403" s="21">
        <f t="shared" si="48"/>
        <v>67</v>
      </c>
      <c r="W403" s="21">
        <v>0</v>
      </c>
      <c r="X403" s="20" t="str">
        <f>IFERROR(INDEX('Firm Master'!$G$2:$G$1000,MATCH($C403,'Firm Master'!$B$2:$B$1000,0)),"")</f>
        <v>BDO Professional Services</v>
      </c>
    </row>
    <row r="404" spans="1:24" ht="15" customHeight="1" x14ac:dyDescent="0.3">
      <c r="A404" s="11">
        <v>403</v>
      </c>
      <c r="B404" s="11">
        <v>81</v>
      </c>
      <c r="C404" s="11" t="s">
        <v>1096</v>
      </c>
      <c r="D404" s="11" t="s">
        <v>1097</v>
      </c>
      <c r="E404" s="11" t="s">
        <v>898</v>
      </c>
      <c r="F404" s="11">
        <v>2023</v>
      </c>
      <c r="G404" s="20">
        <f t="shared" si="42"/>
        <v>1</v>
      </c>
      <c r="H404" s="21">
        <v>0</v>
      </c>
      <c r="I404" s="21">
        <f>IFERROR(INDEX('Coding Sheet'!$AC$2:$AC$731,MATCH($B404&amp;"_"&amp;$F404,'Coding Sheet'!$A$2:$A$731,0)),"")</f>
        <v>0</v>
      </c>
      <c r="J404" s="7">
        <f>IFERROR(INDEX('Coding Sheet'!$AT$2:$AT$731,MATCH($B404&amp;"_"&amp;$F404,'Coding Sheet'!$A$2:$A$731,0)),"")</f>
        <v>0</v>
      </c>
      <c r="K404" s="21">
        <v>989160000</v>
      </c>
      <c r="L404" s="21">
        <v>2.8003999999999998</v>
      </c>
      <c r="M404" s="20">
        <f t="shared" si="43"/>
        <v>2770043.6639999999</v>
      </c>
      <c r="N404" s="21">
        <v>664930</v>
      </c>
      <c r="O404" s="21">
        <v>1525000</v>
      </c>
      <c r="P404" s="20">
        <v>-98720</v>
      </c>
      <c r="Q404" s="20">
        <f t="shared" si="44"/>
        <v>2.2524417468852458</v>
      </c>
      <c r="R404" s="20">
        <f t="shared" si="45"/>
        <v>14.237504968023648</v>
      </c>
      <c r="S404" s="20">
        <f t="shared" si="46"/>
        <v>0.43601967213114756</v>
      </c>
      <c r="T404" s="20">
        <f t="shared" si="47"/>
        <v>-6.4734426229508202E-2</v>
      </c>
      <c r="U404" s="20">
        <f>IFERROR(IF(ISNUMBER(INDEX('Firm Master'!$E$2:$E$1000,MATCH($C404,'Firm Master'!$B$2:$B$1000,0))),INDEX('Firm Master'!$E$2:$E$1000,MATCH($C404,'Firm Master'!$B$2:$B$1000,0)),""),"")</f>
        <v>1955</v>
      </c>
      <c r="V404" s="21">
        <f t="shared" si="48"/>
        <v>68</v>
      </c>
      <c r="W404" s="21">
        <v>0</v>
      </c>
      <c r="X404" s="20" t="str">
        <f>IFERROR(INDEX('Firm Master'!$G$2:$G$1000,MATCH($C404,'Firm Master'!$B$2:$B$1000,0)),"")</f>
        <v>BDO Professional Services</v>
      </c>
    </row>
    <row r="405" spans="1:24" ht="15" customHeight="1" x14ac:dyDescent="0.3">
      <c r="A405" s="11">
        <v>404</v>
      </c>
      <c r="B405" s="11">
        <v>81</v>
      </c>
      <c r="C405" s="11" t="s">
        <v>1096</v>
      </c>
      <c r="D405" s="11" t="s">
        <v>1097</v>
      </c>
      <c r="E405" s="11" t="s">
        <v>898</v>
      </c>
      <c r="F405" s="11">
        <v>2024</v>
      </c>
      <c r="G405" s="20">
        <f t="shared" si="42"/>
        <v>1</v>
      </c>
      <c r="H405" s="21">
        <v>0</v>
      </c>
      <c r="I405" s="21">
        <f>IFERROR(INDEX('Coding Sheet'!$AC$2:$AC$731,MATCH($B405&amp;"_"&amp;$F405,'Coding Sheet'!$A$2:$A$731,0)),"")</f>
        <v>0</v>
      </c>
      <c r="J405" s="7">
        <f>IFERROR(INDEX('Coding Sheet'!$AT$2:$AT$731,MATCH($B405&amp;"_"&amp;$F405,'Coding Sheet'!$A$2:$A$731,0)),"")</f>
        <v>0</v>
      </c>
      <c r="K405" s="21">
        <v>989160000</v>
      </c>
      <c r="L405" s="21">
        <v>4.0134999999999996</v>
      </c>
      <c r="M405" s="20">
        <f t="shared" si="43"/>
        <v>3969993.6599999997</v>
      </c>
      <c r="N405" s="21">
        <v>773500</v>
      </c>
      <c r="O405" s="21">
        <v>1555000</v>
      </c>
      <c r="P405" s="20">
        <v>-78750</v>
      </c>
      <c r="Q405" s="20">
        <f t="shared" si="44"/>
        <v>3.0504782379421225</v>
      </c>
      <c r="R405" s="20">
        <f t="shared" si="45"/>
        <v>14.256986103595471</v>
      </c>
      <c r="S405" s="20">
        <f t="shared" si="46"/>
        <v>0.49742765273311895</v>
      </c>
      <c r="T405" s="20">
        <f t="shared" si="47"/>
        <v>-5.0643086816720258E-2</v>
      </c>
      <c r="U405" s="20">
        <f>IFERROR(IF(ISNUMBER(INDEX('Firm Master'!$E$2:$E$1000,MATCH($C405,'Firm Master'!$B$2:$B$1000,0))),INDEX('Firm Master'!$E$2:$E$1000,MATCH($C405,'Firm Master'!$B$2:$B$1000,0)),""),"")</f>
        <v>1955</v>
      </c>
      <c r="V405" s="21">
        <f t="shared" si="48"/>
        <v>69</v>
      </c>
      <c r="W405" s="21">
        <v>0</v>
      </c>
      <c r="X405" s="20" t="str">
        <f>IFERROR(INDEX('Firm Master'!$G$2:$G$1000,MATCH($C405,'Firm Master'!$B$2:$B$1000,0)),"")</f>
        <v>BDO Professional Services</v>
      </c>
    </row>
    <row r="406" spans="1:24" ht="15" customHeight="1" x14ac:dyDescent="0.3">
      <c r="A406" s="11">
        <v>405</v>
      </c>
      <c r="B406" s="11">
        <v>81</v>
      </c>
      <c r="C406" s="11" t="s">
        <v>1096</v>
      </c>
      <c r="D406" s="11" t="s">
        <v>1097</v>
      </c>
      <c r="E406" s="11" t="s">
        <v>898</v>
      </c>
      <c r="F406" s="11">
        <v>2025</v>
      </c>
      <c r="G406" s="20">
        <f t="shared" si="42"/>
        <v>1</v>
      </c>
      <c r="H406" s="21">
        <v>0</v>
      </c>
      <c r="I406" s="21">
        <f>IFERROR(INDEX('Coding Sheet'!$AC$2:$AC$731,MATCH($B406&amp;"_"&amp;$F406,'Coding Sheet'!$A$2:$A$731,0)),"")</f>
        <v>0</v>
      </c>
      <c r="J406" s="7">
        <f>IFERROR(INDEX('Coding Sheet'!$AT$2:$AT$731,MATCH($B406&amp;"_"&amp;$F406,'Coding Sheet'!$A$2:$A$731,0)),"")</f>
        <v>0</v>
      </c>
      <c r="K406" s="21">
        <v>1256000000</v>
      </c>
      <c r="L406" s="21">
        <v>4.0525000000000002</v>
      </c>
      <c r="M406" s="20">
        <f t="shared" si="43"/>
        <v>5089940</v>
      </c>
      <c r="N406" s="21">
        <v>916490</v>
      </c>
      <c r="O406" s="21">
        <v>2111000</v>
      </c>
      <c r="P406" s="20">
        <v>12310</v>
      </c>
      <c r="Q406" s="20">
        <f t="shared" si="44"/>
        <v>2.8453008053055422</v>
      </c>
      <c r="R406" s="20">
        <f t="shared" si="45"/>
        <v>14.562672326830457</v>
      </c>
      <c r="S406" s="20">
        <f t="shared" si="46"/>
        <v>0.43414969208905729</v>
      </c>
      <c r="T406" s="20">
        <f t="shared" si="47"/>
        <v>5.8313595452392231E-3</v>
      </c>
      <c r="U406" s="20">
        <f>IFERROR(IF(ISNUMBER(INDEX('Firm Master'!$E$2:$E$1000,MATCH($C406,'Firm Master'!$B$2:$B$1000,0))),INDEX('Firm Master'!$E$2:$E$1000,MATCH($C406,'Firm Master'!$B$2:$B$1000,0)),""),"")</f>
        <v>1955</v>
      </c>
      <c r="V406" s="21">
        <f t="shared" si="48"/>
        <v>70</v>
      </c>
      <c r="W406" s="21">
        <v>0</v>
      </c>
      <c r="X406" s="20" t="str">
        <f>IFERROR(INDEX('Firm Master'!$G$2:$G$1000,MATCH($C406,'Firm Master'!$B$2:$B$1000,0)),"")</f>
        <v>BDO Professional Services</v>
      </c>
    </row>
    <row r="407" spans="1:24" ht="15" customHeight="1" x14ac:dyDescent="0.3">
      <c r="A407" s="11">
        <v>406</v>
      </c>
      <c r="B407" s="11">
        <v>82</v>
      </c>
      <c r="C407" s="11" t="s">
        <v>1099</v>
      </c>
      <c r="D407" s="11" t="s">
        <v>1100</v>
      </c>
      <c r="E407" s="11" t="s">
        <v>752</v>
      </c>
      <c r="F407" s="11">
        <v>2021</v>
      </c>
      <c r="G407" s="20">
        <f t="shared" si="42"/>
        <v>0</v>
      </c>
      <c r="H407" s="21">
        <v>0</v>
      </c>
      <c r="I407" s="21">
        <f>IFERROR(INDEX('Coding Sheet'!$AC$2:$AC$731,MATCH($B407&amp;"_"&amp;$F407,'Coding Sheet'!$A$2:$A$731,0)),"")</f>
        <v>25</v>
      </c>
      <c r="J407" s="7">
        <f>IFERROR(INDEX('Coding Sheet'!$AT$2:$AT$731,MATCH($B407&amp;"_"&amp;$F407,'Coding Sheet'!$A$2:$A$731,0)),"")</f>
        <v>33.333333333333329</v>
      </c>
      <c r="K407" s="21">
        <v>20355000000</v>
      </c>
      <c r="L407" s="21">
        <v>197.00319999999999</v>
      </c>
      <c r="M407" s="20">
        <f t="shared" si="43"/>
        <v>4010000136</v>
      </c>
      <c r="N407" s="21">
        <v>1997978000</v>
      </c>
      <c r="O407" s="21">
        <v>2262959000</v>
      </c>
      <c r="P407" s="20">
        <v>298654000</v>
      </c>
      <c r="Q407" s="20">
        <f t="shared" si="44"/>
        <v>2.6549213379473513</v>
      </c>
      <c r="R407" s="20">
        <f t="shared" si="45"/>
        <v>21.539939085890602</v>
      </c>
      <c r="S407" s="20">
        <f t="shared" si="46"/>
        <v>0.88290508135587076</v>
      </c>
      <c r="T407" s="20">
        <f t="shared" si="47"/>
        <v>0.1319749938023623</v>
      </c>
      <c r="U407" s="20">
        <f>IFERROR(IF(ISNUMBER(INDEX('Firm Master'!$E$2:$E$1000,MATCH($C407,'Firm Master'!$B$2:$B$1000,0))),INDEX('Firm Master'!$E$2:$E$1000,MATCH($C407,'Firm Master'!$B$2:$B$1000,0)),""),"")</f>
        <v>2000</v>
      </c>
      <c r="V407" s="21">
        <f t="shared" si="48"/>
        <v>21</v>
      </c>
      <c r="W407" s="21">
        <v>1</v>
      </c>
      <c r="X407" s="20" t="str">
        <f>IFERROR(INDEX('Firm Master'!$G$2:$G$1000,MATCH($C407,'Firm Master'!$B$2:$B$1000,0)),"")</f>
        <v>Ernst &amp; Young</v>
      </c>
    </row>
    <row r="408" spans="1:24" ht="15" customHeight="1" x14ac:dyDescent="0.3">
      <c r="A408" s="11">
        <v>407</v>
      </c>
      <c r="B408" s="11">
        <v>82</v>
      </c>
      <c r="C408" s="11" t="s">
        <v>1099</v>
      </c>
      <c r="D408" s="11" t="s">
        <v>1100</v>
      </c>
      <c r="E408" s="11" t="s">
        <v>752</v>
      </c>
      <c r="F408" s="11">
        <v>2022</v>
      </c>
      <c r="G408" s="20">
        <f t="shared" si="42"/>
        <v>0</v>
      </c>
      <c r="H408" s="21">
        <v>0</v>
      </c>
      <c r="I408" s="21">
        <f>IFERROR(INDEX('Coding Sheet'!$AC$2:$AC$731,MATCH($B408&amp;"_"&amp;$F408,'Coding Sheet'!$A$2:$A$731,0)),"")</f>
        <v>40</v>
      </c>
      <c r="J408" s="7">
        <f>IFERROR(INDEX('Coding Sheet'!$AT$2:$AT$731,MATCH($B408&amp;"_"&amp;$F408,'Coding Sheet'!$A$2:$A$731,0)),"")</f>
        <v>46.666666666666664</v>
      </c>
      <c r="K408" s="21">
        <v>20326000000</v>
      </c>
      <c r="L408" s="21">
        <v>214.9956</v>
      </c>
      <c r="M408" s="20">
        <f t="shared" si="43"/>
        <v>4370000565.6000004</v>
      </c>
      <c r="N408" s="21">
        <v>2276827000</v>
      </c>
      <c r="O408" s="21">
        <v>2539369000</v>
      </c>
      <c r="P408" s="20">
        <v>351382000</v>
      </c>
      <c r="Q408" s="20">
        <f t="shared" si="44"/>
        <v>2.6175115021093824</v>
      </c>
      <c r="R408" s="20">
        <f t="shared" si="45"/>
        <v>21.655181461917355</v>
      </c>
      <c r="S408" s="20">
        <f t="shared" si="46"/>
        <v>0.89661132352170958</v>
      </c>
      <c r="T408" s="20">
        <f t="shared" si="47"/>
        <v>0.1383737456037307</v>
      </c>
      <c r="U408" s="20">
        <f>IFERROR(IF(ISNUMBER(INDEX('Firm Master'!$E$2:$E$1000,MATCH($C408,'Firm Master'!$B$2:$B$1000,0))),INDEX('Firm Master'!$E$2:$E$1000,MATCH($C408,'Firm Master'!$B$2:$B$1000,0)),""),"")</f>
        <v>2000</v>
      </c>
      <c r="V408" s="21">
        <f t="shared" si="48"/>
        <v>22</v>
      </c>
      <c r="W408" s="21">
        <v>1</v>
      </c>
      <c r="X408" s="20" t="str">
        <f>IFERROR(INDEX('Firm Master'!$G$2:$G$1000,MATCH($C408,'Firm Master'!$B$2:$B$1000,0)),"")</f>
        <v>Ernst &amp; Young</v>
      </c>
    </row>
    <row r="409" spans="1:24" ht="15" customHeight="1" x14ac:dyDescent="0.3">
      <c r="A409" s="11">
        <v>408</v>
      </c>
      <c r="B409" s="11">
        <v>82</v>
      </c>
      <c r="C409" s="11" t="s">
        <v>1099</v>
      </c>
      <c r="D409" s="11" t="s">
        <v>1100</v>
      </c>
      <c r="E409" s="11" t="s">
        <v>752</v>
      </c>
      <c r="F409" s="11">
        <v>2023</v>
      </c>
      <c r="G409" s="20">
        <f t="shared" si="42"/>
        <v>1</v>
      </c>
      <c r="H409" s="21">
        <v>1</v>
      </c>
      <c r="I409" s="21">
        <f>IFERROR(INDEX('Coding Sheet'!$AC$2:$AC$731,MATCH($B409&amp;"_"&amp;$F409,'Coding Sheet'!$A$2:$A$731,0)),"")</f>
        <v>85</v>
      </c>
      <c r="J409" s="7">
        <f>IFERROR(INDEX('Coding Sheet'!$AT$2:$AT$731,MATCH($B409&amp;"_"&amp;$F409,'Coding Sheet'!$A$2:$A$731,0)),"")</f>
        <v>80</v>
      </c>
      <c r="K409" s="21">
        <v>20967000000</v>
      </c>
      <c r="L409" s="21">
        <v>264.22469999999998</v>
      </c>
      <c r="M409" s="20">
        <f t="shared" si="43"/>
        <v>5539999284.8999996</v>
      </c>
      <c r="N409" s="21">
        <v>3229671000</v>
      </c>
      <c r="O409" s="21">
        <v>3188827000</v>
      </c>
      <c r="P409" s="20">
        <v>-133841000</v>
      </c>
      <c r="Q409" s="20">
        <f t="shared" si="44"/>
        <v>2.7501241945392456</v>
      </c>
      <c r="R409" s="20">
        <f t="shared" si="45"/>
        <v>21.882918974521932</v>
      </c>
      <c r="S409" s="20">
        <f t="shared" si="46"/>
        <v>1.0128084715790477</v>
      </c>
      <c r="T409" s="20">
        <f t="shared" si="47"/>
        <v>-4.1971859871984277E-2</v>
      </c>
      <c r="U409" s="20">
        <f>IFERROR(IF(ISNUMBER(INDEX('Firm Master'!$E$2:$E$1000,MATCH($C409,'Firm Master'!$B$2:$B$1000,0))),INDEX('Firm Master'!$E$2:$E$1000,MATCH($C409,'Firm Master'!$B$2:$B$1000,0)),""),"")</f>
        <v>2000</v>
      </c>
      <c r="V409" s="21">
        <f t="shared" si="48"/>
        <v>23</v>
      </c>
      <c r="W409" s="21">
        <v>1</v>
      </c>
      <c r="X409" s="20" t="str">
        <f>IFERROR(INDEX('Firm Master'!$G$2:$G$1000,MATCH($C409,'Firm Master'!$B$2:$B$1000,0)),"")</f>
        <v>Ernst &amp; Young</v>
      </c>
    </row>
    <row r="410" spans="1:24" ht="15" customHeight="1" x14ac:dyDescent="0.3">
      <c r="A410" s="11">
        <v>409</v>
      </c>
      <c r="B410" s="11">
        <v>82</v>
      </c>
      <c r="C410" s="11" t="s">
        <v>1099</v>
      </c>
      <c r="D410" s="11" t="s">
        <v>1100</v>
      </c>
      <c r="E410" s="11" t="s">
        <v>752</v>
      </c>
      <c r="F410" s="11">
        <v>2024</v>
      </c>
      <c r="G410" s="20">
        <f t="shared" si="42"/>
        <v>1</v>
      </c>
      <c r="H410" s="21">
        <v>1</v>
      </c>
      <c r="I410" s="21">
        <f>IFERROR(INDEX('Coding Sheet'!$AC$2:$AC$731,MATCH($B410&amp;"_"&amp;$F410,'Coding Sheet'!$A$2:$A$731,0)),"")</f>
        <v>95</v>
      </c>
      <c r="J410" s="7">
        <f>IFERROR(INDEX('Coding Sheet'!$AT$2:$AT$731,MATCH($B410&amp;"_"&amp;$F410,'Coding Sheet'!$A$2:$A$731,0)),"")</f>
        <v>86.666666666666671</v>
      </c>
      <c r="K410" s="21">
        <v>20967000000</v>
      </c>
      <c r="L410" s="21">
        <v>199.83779999999999</v>
      </c>
      <c r="M410" s="20">
        <f t="shared" si="43"/>
        <v>4189999152.5999994</v>
      </c>
      <c r="N410" s="21">
        <v>4654998000</v>
      </c>
      <c r="O410" s="21">
        <v>4196991000</v>
      </c>
      <c r="P410" s="20">
        <v>-399448000</v>
      </c>
      <c r="Q410" s="20">
        <f t="shared" si="44"/>
        <v>2.1074615486666515</v>
      </c>
      <c r="R410" s="20">
        <f t="shared" si="45"/>
        <v>22.157633676906716</v>
      </c>
      <c r="S410" s="20">
        <f t="shared" si="46"/>
        <v>1.1091274677501095</v>
      </c>
      <c r="T410" s="20">
        <f t="shared" si="47"/>
        <v>-9.5174852650386901E-2</v>
      </c>
      <c r="U410" s="20">
        <f>IFERROR(IF(ISNUMBER(INDEX('Firm Master'!$E$2:$E$1000,MATCH($C410,'Firm Master'!$B$2:$B$1000,0))),INDEX('Firm Master'!$E$2:$E$1000,MATCH($C410,'Firm Master'!$B$2:$B$1000,0)),""),"")</f>
        <v>2000</v>
      </c>
      <c r="V410" s="21">
        <f t="shared" si="48"/>
        <v>24</v>
      </c>
      <c r="W410" s="21">
        <v>1</v>
      </c>
      <c r="X410" s="20" t="str">
        <f>IFERROR(INDEX('Firm Master'!$G$2:$G$1000,MATCH($C410,'Firm Master'!$B$2:$B$1000,0)),"")</f>
        <v>Ernst &amp; Young</v>
      </c>
    </row>
    <row r="411" spans="1:24" ht="15" customHeight="1" x14ac:dyDescent="0.3">
      <c r="A411" s="11">
        <v>410</v>
      </c>
      <c r="B411" s="11">
        <v>82</v>
      </c>
      <c r="C411" s="11" t="s">
        <v>1099</v>
      </c>
      <c r="D411" s="11" t="s">
        <v>1100</v>
      </c>
      <c r="E411" s="11" t="s">
        <v>752</v>
      </c>
      <c r="F411" s="11">
        <v>2025</v>
      </c>
      <c r="G411" s="20">
        <f t="shared" si="42"/>
        <v>1</v>
      </c>
      <c r="H411" s="21">
        <v>1</v>
      </c>
      <c r="I411" s="21">
        <f>IFERROR(INDEX('Coding Sheet'!$AC$2:$AC$731,MATCH($B411&amp;"_"&amp;$F411,'Coding Sheet'!$A$2:$A$731,0)),"")</f>
        <v>95</v>
      </c>
      <c r="J411" s="7">
        <f>IFERROR(INDEX('Coding Sheet'!$AT$2:$AT$731,MATCH($B411&amp;"_"&amp;$F411,'Coding Sheet'!$A$2:$A$731,0)),"")</f>
        <v>86.666666666666671</v>
      </c>
      <c r="K411" s="21">
        <v>20970000000</v>
      </c>
      <c r="L411" s="21">
        <v>511.20650000000001</v>
      </c>
      <c r="M411" s="20">
        <f t="shared" si="43"/>
        <v>10720000305</v>
      </c>
      <c r="N411" s="21">
        <v>4854777000</v>
      </c>
      <c r="O411" s="21">
        <v>5403489000</v>
      </c>
      <c r="P411" s="20">
        <v>1112846000</v>
      </c>
      <c r="Q411" s="20">
        <f t="shared" si="44"/>
        <v>2.8823556974021787</v>
      </c>
      <c r="R411" s="20">
        <f t="shared" si="45"/>
        <v>22.410310692987832</v>
      </c>
      <c r="S411" s="20">
        <f t="shared" si="46"/>
        <v>0.89845227777830217</v>
      </c>
      <c r="T411" s="20">
        <f t="shared" si="47"/>
        <v>0.20594952631531219</v>
      </c>
      <c r="U411" s="20">
        <f>IFERROR(IF(ISNUMBER(INDEX('Firm Master'!$E$2:$E$1000,MATCH($C411,'Firm Master'!$B$2:$B$1000,0))),INDEX('Firm Master'!$E$2:$E$1000,MATCH($C411,'Firm Master'!$B$2:$B$1000,0)),""),"")</f>
        <v>2000</v>
      </c>
      <c r="V411" s="21">
        <f t="shared" si="48"/>
        <v>25</v>
      </c>
      <c r="W411" s="21">
        <v>1</v>
      </c>
      <c r="X411" s="20" t="str">
        <f>IFERROR(INDEX('Firm Master'!$G$2:$G$1000,MATCH($C411,'Firm Master'!$B$2:$B$1000,0)),"")</f>
        <v>Ernst &amp; Young</v>
      </c>
    </row>
    <row r="412" spans="1:24" ht="15" customHeight="1" x14ac:dyDescent="0.3">
      <c r="A412" s="16">
        <v>411</v>
      </c>
      <c r="B412" s="16">
        <v>83</v>
      </c>
      <c r="C412" s="16" t="s">
        <v>1103</v>
      </c>
      <c r="D412" s="16" t="s">
        <v>1104</v>
      </c>
      <c r="E412" s="16" t="s">
        <v>806</v>
      </c>
      <c r="F412" s="16">
        <v>2021</v>
      </c>
      <c r="G412" s="16">
        <f t="shared" si="42"/>
        <v>0</v>
      </c>
      <c r="H412" s="16">
        <v>0</v>
      </c>
      <c r="I412" s="16">
        <f>IFERROR(INDEX('Coding Sheet'!$AC$2:$AC$731,MATCH($B412&amp;"_"&amp;$F412,'Coding Sheet'!$A$2:$A$731,0)),"")</f>
        <v>0</v>
      </c>
      <c r="J412" s="22">
        <f>IFERROR(INDEX('Coding Sheet'!$AT$2:$AT$731,MATCH($B412&amp;"_"&amp;$F412,'Coding Sheet'!$A$2:$A$731,0)),"")</f>
        <v>0</v>
      </c>
      <c r="K412" s="16">
        <v>3722000000</v>
      </c>
      <c r="L412" s="16">
        <v>0.36</v>
      </c>
      <c r="M412" s="16">
        <f t="shared" si="43"/>
        <v>1339920</v>
      </c>
      <c r="N412" s="16">
        <v>14036000</v>
      </c>
      <c r="O412" s="16">
        <v>13015000</v>
      </c>
      <c r="P412" s="16">
        <v>-253260</v>
      </c>
      <c r="Q412" s="16">
        <f t="shared" si="44"/>
        <v>1.1813999231655781</v>
      </c>
      <c r="R412" s="16">
        <f t="shared" si="45"/>
        <v>16.381613096410803</v>
      </c>
      <c r="S412" s="16">
        <f t="shared" si="46"/>
        <v>1.0784479446792163</v>
      </c>
      <c r="T412" s="16">
        <f t="shared" si="47"/>
        <v>-1.9459085670380332E-2</v>
      </c>
      <c r="U412" s="16">
        <f>IFERROR(IF(ISNUMBER(INDEX('Firm Master'!$E$2:$E$1000,MATCH($C412,'Firm Master'!$B$2:$B$1000,0))),INDEX('Firm Master'!$E$2:$E$1000,MATCH($C412,'Firm Master'!$B$2:$B$1000,0)),""),"")</f>
        <v>1999</v>
      </c>
      <c r="V412" s="16">
        <f t="shared" si="48"/>
        <v>22</v>
      </c>
      <c r="W412" s="16">
        <v>0</v>
      </c>
      <c r="X412" s="16" t="str">
        <f>IFERROR(INDEX('Firm Master'!$G$2:$G$1000,MATCH($C412,'Firm Master'!$B$2:$B$1000,0)),"")</f>
        <v>Baker Tilly Nigeria</v>
      </c>
    </row>
    <row r="413" spans="1:24" ht="15" customHeight="1" x14ac:dyDescent="0.3">
      <c r="A413" s="16">
        <v>412</v>
      </c>
      <c r="B413" s="16">
        <v>83</v>
      </c>
      <c r="C413" s="16" t="s">
        <v>1103</v>
      </c>
      <c r="D413" s="16" t="s">
        <v>1104</v>
      </c>
      <c r="E413" s="16" t="s">
        <v>806</v>
      </c>
      <c r="F413" s="16">
        <v>2022</v>
      </c>
      <c r="G413" s="16">
        <f t="shared" si="42"/>
        <v>0</v>
      </c>
      <c r="H413" s="16">
        <v>0</v>
      </c>
      <c r="I413" s="16">
        <f>IFERROR(INDEX('Coding Sheet'!$AC$2:$AC$731,MATCH($B413&amp;"_"&amp;$F413,'Coding Sheet'!$A$2:$A$731,0)),"")</f>
        <v>0</v>
      </c>
      <c r="J413" s="22">
        <f>IFERROR(INDEX('Coding Sheet'!$AT$2:$AT$731,MATCH($B413&amp;"_"&amp;$F413,'Coding Sheet'!$A$2:$A$731,0)),"")</f>
        <v>0</v>
      </c>
      <c r="K413" s="16">
        <v>3722000000</v>
      </c>
      <c r="L413" s="16">
        <v>0.36</v>
      </c>
      <c r="M413" s="16">
        <f t="shared" si="43"/>
        <v>1339920</v>
      </c>
      <c r="N413" s="16">
        <v>14271000</v>
      </c>
      <c r="O413" s="16">
        <v>17115000</v>
      </c>
      <c r="P413" s="16">
        <v>-636570</v>
      </c>
      <c r="Q413" s="16">
        <f t="shared" si="44"/>
        <v>0.91211919368974581</v>
      </c>
      <c r="R413" s="16">
        <f t="shared" si="45"/>
        <v>16.655465829946422</v>
      </c>
      <c r="S413" s="16">
        <f t="shared" si="46"/>
        <v>0.8338299737072743</v>
      </c>
      <c r="T413" s="16">
        <f t="shared" si="47"/>
        <v>-3.7193689745836984E-2</v>
      </c>
      <c r="U413" s="16">
        <f>IFERROR(IF(ISNUMBER(INDEX('Firm Master'!$E$2:$E$1000,MATCH($C413,'Firm Master'!$B$2:$B$1000,0))),INDEX('Firm Master'!$E$2:$E$1000,MATCH($C413,'Firm Master'!$B$2:$B$1000,0)),""),"")</f>
        <v>1999</v>
      </c>
      <c r="V413" s="16">
        <f t="shared" si="48"/>
        <v>23</v>
      </c>
      <c r="W413" s="16">
        <v>0</v>
      </c>
      <c r="X413" s="16" t="str">
        <f>IFERROR(INDEX('Firm Master'!$G$2:$G$1000,MATCH($C413,'Firm Master'!$B$2:$B$1000,0)),"")</f>
        <v>Baker Tilly Nigeria</v>
      </c>
    </row>
    <row r="414" spans="1:24" ht="15" customHeight="1" x14ac:dyDescent="0.3">
      <c r="A414" s="16">
        <v>413</v>
      </c>
      <c r="B414" s="16">
        <v>83</v>
      </c>
      <c r="C414" s="16" t="s">
        <v>1103</v>
      </c>
      <c r="D414" s="16" t="s">
        <v>1104</v>
      </c>
      <c r="E414" s="16" t="s">
        <v>806</v>
      </c>
      <c r="F414" s="16">
        <v>2023</v>
      </c>
      <c r="G414" s="16">
        <f t="shared" si="42"/>
        <v>1</v>
      </c>
      <c r="H414" s="16">
        <v>0</v>
      </c>
      <c r="I414" s="16">
        <f>IFERROR(INDEX('Coding Sheet'!$AC$2:$AC$731,MATCH($B414&amp;"_"&amp;$F414,'Coding Sheet'!$A$2:$A$731,0)),"")</f>
        <v>0</v>
      </c>
      <c r="J414" s="22">
        <f>IFERROR(INDEX('Coding Sheet'!$AT$2:$AT$731,MATCH($B414&amp;"_"&amp;$F414,'Coding Sheet'!$A$2:$A$731,0)),"")</f>
        <v>0</v>
      </c>
      <c r="K414" s="16">
        <v>3722000000</v>
      </c>
      <c r="L414" s="16">
        <v>0.36</v>
      </c>
      <c r="M414" s="16">
        <f t="shared" si="43"/>
        <v>1339920</v>
      </c>
      <c r="N414" s="16">
        <v>11970000</v>
      </c>
      <c r="O414" s="16">
        <v>16144000</v>
      </c>
      <c r="P414" s="16">
        <v>-1098000</v>
      </c>
      <c r="Q414" s="16">
        <f t="shared" si="44"/>
        <v>0.82444995044598612</v>
      </c>
      <c r="R414" s="16">
        <f t="shared" si="45"/>
        <v>16.597059021575529</v>
      </c>
      <c r="S414" s="16">
        <f t="shared" si="46"/>
        <v>0.74145193260654108</v>
      </c>
      <c r="T414" s="16">
        <f t="shared" si="47"/>
        <v>-6.801288404360753E-2</v>
      </c>
      <c r="U414" s="16">
        <f>IFERROR(IF(ISNUMBER(INDEX('Firm Master'!$E$2:$E$1000,MATCH($C414,'Firm Master'!$B$2:$B$1000,0))),INDEX('Firm Master'!$E$2:$E$1000,MATCH($C414,'Firm Master'!$B$2:$B$1000,0)),""),"")</f>
        <v>1999</v>
      </c>
      <c r="V414" s="16">
        <f t="shared" si="48"/>
        <v>24</v>
      </c>
      <c r="W414" s="16">
        <v>0</v>
      </c>
      <c r="X414" s="16" t="str">
        <f>IFERROR(INDEX('Firm Master'!$G$2:$G$1000,MATCH($C414,'Firm Master'!$B$2:$B$1000,0)),"")</f>
        <v>Baker Tilly Nigeria</v>
      </c>
    </row>
    <row r="415" spans="1:24" ht="15" customHeight="1" x14ac:dyDescent="0.3">
      <c r="A415" s="16">
        <v>414</v>
      </c>
      <c r="B415" s="16">
        <v>83</v>
      </c>
      <c r="C415" s="16" t="s">
        <v>1103</v>
      </c>
      <c r="D415" s="16" t="s">
        <v>1104</v>
      </c>
      <c r="E415" s="16" t="s">
        <v>806</v>
      </c>
      <c r="F415" s="16">
        <v>2024</v>
      </c>
      <c r="G415" s="16">
        <f t="shared" si="42"/>
        <v>1</v>
      </c>
      <c r="H415" s="16">
        <v>0</v>
      </c>
      <c r="I415" s="16">
        <f>IFERROR(INDEX('Coding Sheet'!$AC$2:$AC$731,MATCH($B415&amp;"_"&amp;$F415,'Coding Sheet'!$A$2:$A$731,0)),"")</f>
        <v>0</v>
      </c>
      <c r="J415" s="22">
        <f>IFERROR(INDEX('Coding Sheet'!$AT$2:$AT$731,MATCH($B415&amp;"_"&amp;$F415,'Coding Sheet'!$A$2:$A$731,0)),"")</f>
        <v>0</v>
      </c>
      <c r="K415" s="16">
        <v>4511000000</v>
      </c>
      <c r="L415" s="16">
        <v>0.29709999999999998</v>
      </c>
      <c r="M415" s="16">
        <f t="shared" si="43"/>
        <v>1340218.1000000001</v>
      </c>
      <c r="N415" s="16">
        <v>9745000</v>
      </c>
      <c r="O415" s="16">
        <v>16908000</v>
      </c>
      <c r="P415" s="16">
        <v>510940</v>
      </c>
      <c r="Q415" s="16">
        <f t="shared" si="44"/>
        <v>0.65561971256210072</v>
      </c>
      <c r="R415" s="16">
        <f t="shared" si="45"/>
        <v>16.643297440668817</v>
      </c>
      <c r="S415" s="16">
        <f t="shared" si="46"/>
        <v>0.57635438845516918</v>
      </c>
      <c r="T415" s="16">
        <f t="shared" si="47"/>
        <v>3.0218831322450911E-2</v>
      </c>
      <c r="U415" s="16">
        <f>IFERROR(IF(ISNUMBER(INDEX('Firm Master'!$E$2:$E$1000,MATCH($C415,'Firm Master'!$B$2:$B$1000,0))),INDEX('Firm Master'!$E$2:$E$1000,MATCH($C415,'Firm Master'!$B$2:$B$1000,0)),""),"")</f>
        <v>1999</v>
      </c>
      <c r="V415" s="16">
        <f t="shared" si="48"/>
        <v>25</v>
      </c>
      <c r="W415" s="16">
        <v>0</v>
      </c>
      <c r="X415" s="16" t="str">
        <f>IFERROR(INDEX('Firm Master'!$G$2:$G$1000,MATCH($C415,'Firm Master'!$B$2:$B$1000,0)),"")</f>
        <v>Baker Tilly Nigeria</v>
      </c>
    </row>
    <row r="416" spans="1:24" ht="15" customHeight="1" x14ac:dyDescent="0.3">
      <c r="A416" s="16">
        <v>415</v>
      </c>
      <c r="B416" s="16">
        <v>83</v>
      </c>
      <c r="C416" s="16" t="s">
        <v>1103</v>
      </c>
      <c r="D416" s="16" t="s">
        <v>1104</v>
      </c>
      <c r="E416" s="16" t="s">
        <v>806</v>
      </c>
      <c r="F416" s="16">
        <v>2025</v>
      </c>
      <c r="G416" s="16">
        <f t="shared" si="42"/>
        <v>1</v>
      </c>
      <c r="H416" s="16">
        <v>0</v>
      </c>
      <c r="I416" s="16">
        <f>IFERROR(INDEX('Coding Sheet'!$AC$2:$AC$731,MATCH($B416&amp;"_"&amp;$F416,'Coding Sheet'!$A$2:$A$731,0)),"")</f>
        <v>0</v>
      </c>
      <c r="J416" s="22">
        <f>IFERROR(INDEX('Coding Sheet'!$AT$2:$AT$731,MATCH($B416&amp;"_"&amp;$F416,'Coding Sheet'!$A$2:$A$731,0)),"")</f>
        <v>0</v>
      </c>
      <c r="K416" s="16">
        <v>9942000000</v>
      </c>
      <c r="L416" s="16">
        <v>0.16289999999999999</v>
      </c>
      <c r="M416" s="16">
        <f t="shared" si="43"/>
        <v>1619551.8</v>
      </c>
      <c r="N416" s="16">
        <v>5924000</v>
      </c>
      <c r="O416" s="16">
        <v>15866000</v>
      </c>
      <c r="P416" s="16">
        <v>-471050</v>
      </c>
      <c r="Q416" s="16">
        <f t="shared" si="44"/>
        <v>0.47545391403000126</v>
      </c>
      <c r="R416" s="16">
        <f t="shared" si="45"/>
        <v>16.579689012844085</v>
      </c>
      <c r="S416" s="16">
        <f t="shared" si="46"/>
        <v>0.37337703264843058</v>
      </c>
      <c r="T416" s="16">
        <f t="shared" si="47"/>
        <v>-2.9689272658515065E-2</v>
      </c>
      <c r="U416" s="16">
        <f>IFERROR(IF(ISNUMBER(INDEX('Firm Master'!$E$2:$E$1000,MATCH($C416,'Firm Master'!$B$2:$B$1000,0))),INDEX('Firm Master'!$E$2:$E$1000,MATCH($C416,'Firm Master'!$B$2:$B$1000,0)),""),"")</f>
        <v>1999</v>
      </c>
      <c r="V416" s="16">
        <f t="shared" si="48"/>
        <v>26</v>
      </c>
      <c r="W416" s="16">
        <v>0</v>
      </c>
      <c r="X416" s="16" t="str">
        <f>IFERROR(INDEX('Firm Master'!$G$2:$G$1000,MATCH($C416,'Firm Master'!$B$2:$B$1000,0)),"")</f>
        <v>Baker Tilly Nigeria</v>
      </c>
    </row>
    <row r="417" spans="1:24" ht="27.75" customHeight="1" x14ac:dyDescent="0.3">
      <c r="A417" s="11">
        <v>416</v>
      </c>
      <c r="B417" s="11">
        <v>84</v>
      </c>
      <c r="C417" s="11" t="s">
        <v>1108</v>
      </c>
      <c r="D417" s="11" t="s">
        <v>1109</v>
      </c>
      <c r="E417" s="11" t="s">
        <v>758</v>
      </c>
      <c r="F417" s="11">
        <v>2021</v>
      </c>
      <c r="G417" s="20">
        <f t="shared" si="42"/>
        <v>0</v>
      </c>
      <c r="H417" s="21">
        <v>0</v>
      </c>
      <c r="I417" s="21">
        <f>IFERROR(INDEX('Coding Sheet'!$AC$2:$AC$731,MATCH($B417&amp;"_"&amp;$F417,'Coding Sheet'!$A$2:$A$731,0)),"")</f>
        <v>0</v>
      </c>
      <c r="J417" s="7">
        <f>IFERROR(INDEX('Coding Sheet'!$AT$2:$AT$731,MATCH($B417&amp;"_"&amp;$F417,'Coding Sheet'!$A$2:$A$731,0)),"")</f>
        <v>0</v>
      </c>
      <c r="K417" s="21">
        <v>426190000</v>
      </c>
      <c r="L417" s="21">
        <v>2</v>
      </c>
      <c r="M417" s="20">
        <f t="shared" si="43"/>
        <v>852380</v>
      </c>
      <c r="N417" s="21">
        <v>3951000</v>
      </c>
      <c r="O417" s="21">
        <v>4318000</v>
      </c>
      <c r="P417" s="20">
        <v>14030</v>
      </c>
      <c r="Q417" s="20">
        <f t="shared" si="44"/>
        <v>1.1124085224641038</v>
      </c>
      <c r="R417" s="20">
        <f t="shared" si="45"/>
        <v>15.27830289005689</v>
      </c>
      <c r="S417" s="20">
        <f t="shared" si="46"/>
        <v>0.91500694766095414</v>
      </c>
      <c r="T417" s="20">
        <f t="shared" si="47"/>
        <v>3.2491894395553496E-3</v>
      </c>
      <c r="U417" s="20">
        <f>IFERROR(IF(ISNUMBER(INDEX('Firm Master'!$E$2:$E$1000,MATCH($C417,'Firm Master'!$B$2:$B$1000,0))),INDEX('Firm Master'!$E$2:$E$1000,MATCH($C417,'Firm Master'!$B$2:$B$1000,0)),""),"")</f>
        <v>2002</v>
      </c>
      <c r="V417" s="21">
        <f t="shared" si="48"/>
        <v>19</v>
      </c>
      <c r="W417" s="21">
        <v>0</v>
      </c>
      <c r="X417" s="20" t="str">
        <f>IFERROR(INDEX('Firm Master'!$G$2:$G$1000,MATCH($C417,'Firm Master'!$B$2:$B$1000,0)),"")</f>
        <v>Olukayode Aina &amp; Co</v>
      </c>
    </row>
    <row r="418" spans="1:24" ht="27.75" customHeight="1" x14ac:dyDescent="0.3">
      <c r="A418" s="11">
        <v>417</v>
      </c>
      <c r="B418" s="11">
        <v>84</v>
      </c>
      <c r="C418" s="11" t="s">
        <v>1108</v>
      </c>
      <c r="D418" s="11" t="s">
        <v>1109</v>
      </c>
      <c r="E418" s="11" t="s">
        <v>758</v>
      </c>
      <c r="F418" s="11">
        <v>2022</v>
      </c>
      <c r="G418" s="20">
        <f t="shared" si="42"/>
        <v>0</v>
      </c>
      <c r="H418" s="21">
        <v>0</v>
      </c>
      <c r="I418" s="21">
        <f>IFERROR(INDEX('Coding Sheet'!$AC$2:$AC$731,MATCH($B418&amp;"_"&amp;$F418,'Coding Sheet'!$A$2:$A$731,0)),"")</f>
        <v>0</v>
      </c>
      <c r="J418" s="7">
        <f>IFERROR(INDEX('Coding Sheet'!$AT$2:$AT$731,MATCH($B418&amp;"_"&amp;$F418,'Coding Sheet'!$A$2:$A$731,0)),"")</f>
        <v>0</v>
      </c>
      <c r="K418" s="21">
        <v>426190000</v>
      </c>
      <c r="L418" s="21">
        <v>3.9887999999999999</v>
      </c>
      <c r="M418" s="20">
        <f t="shared" si="43"/>
        <v>1699986.672</v>
      </c>
      <c r="N418" s="21">
        <v>3711000</v>
      </c>
      <c r="O418" s="21">
        <v>4269000</v>
      </c>
      <c r="P418" s="20">
        <v>189760</v>
      </c>
      <c r="Q418" s="20">
        <f t="shared" si="44"/>
        <v>1.2675068334504569</v>
      </c>
      <c r="R418" s="20">
        <f t="shared" si="45"/>
        <v>15.266890165740099</v>
      </c>
      <c r="S418" s="20">
        <f t="shared" si="46"/>
        <v>0.86929023190442722</v>
      </c>
      <c r="T418" s="20">
        <f t="shared" si="47"/>
        <v>4.4450691028343876E-2</v>
      </c>
      <c r="U418" s="20">
        <f>IFERROR(IF(ISNUMBER(INDEX('Firm Master'!$E$2:$E$1000,MATCH($C418,'Firm Master'!$B$2:$B$1000,0))),INDEX('Firm Master'!$E$2:$E$1000,MATCH($C418,'Firm Master'!$B$2:$B$1000,0)),""),"")</f>
        <v>2002</v>
      </c>
      <c r="V418" s="21">
        <f t="shared" si="48"/>
        <v>20</v>
      </c>
      <c r="W418" s="21">
        <v>0</v>
      </c>
      <c r="X418" s="20" t="str">
        <f>IFERROR(INDEX('Firm Master'!$G$2:$G$1000,MATCH($C418,'Firm Master'!$B$2:$B$1000,0)),"")</f>
        <v>Olukayode Aina &amp; Co</v>
      </c>
    </row>
    <row r="419" spans="1:24" ht="27.75" customHeight="1" x14ac:dyDescent="0.3">
      <c r="A419" s="11">
        <v>418</v>
      </c>
      <c r="B419" s="11">
        <v>84</v>
      </c>
      <c r="C419" s="11" t="s">
        <v>1108</v>
      </c>
      <c r="D419" s="11" t="s">
        <v>1109</v>
      </c>
      <c r="E419" s="11" t="s">
        <v>758</v>
      </c>
      <c r="F419" s="11">
        <v>2023</v>
      </c>
      <c r="G419" s="20">
        <f t="shared" si="42"/>
        <v>1</v>
      </c>
      <c r="H419" s="21">
        <v>0</v>
      </c>
      <c r="I419" s="21">
        <f>IFERROR(INDEX('Coding Sheet'!$AC$2:$AC$731,MATCH($B419&amp;"_"&amp;$F419,'Coding Sheet'!$A$2:$A$731,0)),"")</f>
        <v>0</v>
      </c>
      <c r="J419" s="7">
        <f>IFERROR(INDEX('Coding Sheet'!$AT$2:$AT$731,MATCH($B419&amp;"_"&amp;$F419,'Coding Sheet'!$A$2:$A$731,0)),"")</f>
        <v>0</v>
      </c>
      <c r="K419" s="21">
        <v>426190000</v>
      </c>
      <c r="L419" s="21">
        <v>18.559799999999999</v>
      </c>
      <c r="M419" s="20">
        <f t="shared" si="43"/>
        <v>7910001.1619999995</v>
      </c>
      <c r="N419" s="21">
        <v>3433000</v>
      </c>
      <c r="O419" s="21">
        <v>4234000</v>
      </c>
      <c r="P419" s="20">
        <v>265990</v>
      </c>
      <c r="Q419" s="20">
        <f t="shared" si="44"/>
        <v>2.6790271993386869</v>
      </c>
      <c r="R419" s="20">
        <f t="shared" si="45"/>
        <v>15.258657730676948</v>
      </c>
      <c r="S419" s="20">
        <f t="shared" si="46"/>
        <v>0.81081719414265474</v>
      </c>
      <c r="T419" s="20">
        <f t="shared" si="47"/>
        <v>6.282239017477563E-2</v>
      </c>
      <c r="U419" s="20">
        <f>IFERROR(IF(ISNUMBER(INDEX('Firm Master'!$E$2:$E$1000,MATCH($C419,'Firm Master'!$B$2:$B$1000,0))),INDEX('Firm Master'!$E$2:$E$1000,MATCH($C419,'Firm Master'!$B$2:$B$1000,0)),""),"")</f>
        <v>2002</v>
      </c>
      <c r="V419" s="21">
        <f t="shared" si="48"/>
        <v>21</v>
      </c>
      <c r="W419" s="21">
        <v>0</v>
      </c>
      <c r="X419" s="20" t="str">
        <f>IFERROR(INDEX('Firm Master'!$G$2:$G$1000,MATCH($C419,'Firm Master'!$B$2:$B$1000,0)),"")</f>
        <v>Olukayode Aina &amp; Co</v>
      </c>
    </row>
    <row r="420" spans="1:24" ht="27.75" customHeight="1" x14ac:dyDescent="0.3">
      <c r="A420" s="11">
        <v>419</v>
      </c>
      <c r="B420" s="11">
        <v>84</v>
      </c>
      <c r="C420" s="11" t="s">
        <v>1108</v>
      </c>
      <c r="D420" s="11" t="s">
        <v>1109</v>
      </c>
      <c r="E420" s="11" t="s">
        <v>758</v>
      </c>
      <c r="F420" s="11">
        <v>2024</v>
      </c>
      <c r="G420" s="20">
        <f t="shared" si="42"/>
        <v>1</v>
      </c>
      <c r="H420" s="21">
        <v>0</v>
      </c>
      <c r="I420" s="21">
        <f>IFERROR(INDEX('Coding Sheet'!$AC$2:$AC$731,MATCH($B420&amp;"_"&amp;$F420,'Coding Sheet'!$A$2:$A$731,0)),"")</f>
        <v>0</v>
      </c>
      <c r="J420" s="7">
        <f>IFERROR(INDEX('Coding Sheet'!$AT$2:$AT$731,MATCH($B420&amp;"_"&amp;$F420,'Coding Sheet'!$A$2:$A$731,0)),"")</f>
        <v>0</v>
      </c>
      <c r="K420" s="21">
        <v>426190000</v>
      </c>
      <c r="L420" s="21">
        <v>7.3441000000000001</v>
      </c>
      <c r="M420" s="20">
        <f t="shared" si="43"/>
        <v>3129981.9789999998</v>
      </c>
      <c r="N420" s="21">
        <v>3236000</v>
      </c>
      <c r="O420" s="21">
        <v>4406000</v>
      </c>
      <c r="P420" s="20">
        <v>378470</v>
      </c>
      <c r="Q420" s="20">
        <f t="shared" si="44"/>
        <v>1.4448438445301861</v>
      </c>
      <c r="R420" s="20">
        <f t="shared" si="45"/>
        <v>15.298477806344426</v>
      </c>
      <c r="S420" s="20">
        <f t="shared" si="46"/>
        <v>0.734453018610985</v>
      </c>
      <c r="T420" s="20">
        <f t="shared" si="47"/>
        <v>8.5898774398547442E-2</v>
      </c>
      <c r="U420" s="20">
        <f>IFERROR(IF(ISNUMBER(INDEX('Firm Master'!$E$2:$E$1000,MATCH($C420,'Firm Master'!$B$2:$B$1000,0))),INDEX('Firm Master'!$E$2:$E$1000,MATCH($C420,'Firm Master'!$B$2:$B$1000,0)),""),"")</f>
        <v>2002</v>
      </c>
      <c r="V420" s="21">
        <f t="shared" si="48"/>
        <v>22</v>
      </c>
      <c r="W420" s="21">
        <v>0</v>
      </c>
      <c r="X420" s="20" t="str">
        <f>IFERROR(INDEX('Firm Master'!$G$2:$G$1000,MATCH($C420,'Firm Master'!$B$2:$B$1000,0)),"")</f>
        <v>Olukayode Aina &amp; Co</v>
      </c>
    </row>
    <row r="421" spans="1:24" ht="27.75" customHeight="1" x14ac:dyDescent="0.3">
      <c r="A421" s="11">
        <v>420</v>
      </c>
      <c r="B421" s="11">
        <v>84</v>
      </c>
      <c r="C421" s="11" t="s">
        <v>1108</v>
      </c>
      <c r="D421" s="11" t="s">
        <v>1109</v>
      </c>
      <c r="E421" s="11" t="s">
        <v>758</v>
      </c>
      <c r="F421" s="11">
        <v>2025</v>
      </c>
      <c r="G421" s="20">
        <f t="shared" si="42"/>
        <v>1</v>
      </c>
      <c r="H421" s="21">
        <v>0</v>
      </c>
      <c r="I421" s="21">
        <f>IFERROR(INDEX('Coding Sheet'!$AC$2:$AC$731,MATCH($B421&amp;"_"&amp;$F421,'Coding Sheet'!$A$2:$A$731,0)),"")</f>
        <v>0</v>
      </c>
      <c r="J421" s="7">
        <f>IFERROR(INDEX('Coding Sheet'!$AT$2:$AT$731,MATCH($B421&amp;"_"&amp;$F421,'Coding Sheet'!$A$2:$A$731,0)),"")</f>
        <v>0</v>
      </c>
      <c r="K421" s="21">
        <v>426190000</v>
      </c>
      <c r="L421" s="21">
        <v>13.350899999999999</v>
      </c>
      <c r="M421" s="20">
        <f t="shared" si="43"/>
        <v>5690020.0710000005</v>
      </c>
      <c r="N421" s="21">
        <v>1473000</v>
      </c>
      <c r="O421" s="21">
        <v>3159000</v>
      </c>
      <c r="P421" s="20">
        <v>547110</v>
      </c>
      <c r="Q421" s="20">
        <f t="shared" si="44"/>
        <v>2.2674960655270655</v>
      </c>
      <c r="R421" s="20">
        <f t="shared" si="45"/>
        <v>14.965766079784222</v>
      </c>
      <c r="S421" s="20">
        <f t="shared" si="46"/>
        <v>0.46628679962013297</v>
      </c>
      <c r="T421" s="20">
        <f t="shared" si="47"/>
        <v>0.17319088319088319</v>
      </c>
      <c r="U421" s="20">
        <f>IFERROR(IF(ISNUMBER(INDEX('Firm Master'!$E$2:$E$1000,MATCH($C421,'Firm Master'!$B$2:$B$1000,0))),INDEX('Firm Master'!$E$2:$E$1000,MATCH($C421,'Firm Master'!$B$2:$B$1000,0)),""),"")</f>
        <v>2002</v>
      </c>
      <c r="V421" s="21">
        <f t="shared" si="48"/>
        <v>23</v>
      </c>
      <c r="W421" s="21">
        <v>0</v>
      </c>
      <c r="X421" s="20" t="str">
        <f>IFERROR(INDEX('Firm Master'!$G$2:$G$1000,MATCH($C421,'Firm Master'!$B$2:$B$1000,0)),"")</f>
        <v>Olukayode Aina &amp; Co</v>
      </c>
    </row>
    <row r="422" spans="1:24" ht="27.75" customHeight="1" x14ac:dyDescent="0.3">
      <c r="A422" s="11">
        <v>421</v>
      </c>
      <c r="B422" s="11">
        <v>85</v>
      </c>
      <c r="C422" s="11" t="s">
        <v>1113</v>
      </c>
      <c r="D422" s="11" t="s">
        <v>1114</v>
      </c>
      <c r="E422" s="11" t="s">
        <v>715</v>
      </c>
      <c r="F422" s="11">
        <v>2021</v>
      </c>
      <c r="G422" s="20">
        <f t="shared" si="42"/>
        <v>0</v>
      </c>
      <c r="H422" s="21">
        <v>0</v>
      </c>
      <c r="I422" s="21">
        <f>IFERROR(INDEX('Coding Sheet'!$AC$2:$AC$731,MATCH($B422&amp;"_"&amp;$F422,'Coding Sheet'!$A$2:$A$731,0)),"")</f>
        <v>15</v>
      </c>
      <c r="J422" s="7">
        <f>IFERROR(INDEX('Coding Sheet'!$AT$2:$AT$731,MATCH($B422&amp;"_"&amp;$F422,'Coding Sheet'!$A$2:$A$731,0)),"")</f>
        <v>0</v>
      </c>
      <c r="K422" s="21">
        <v>2227000000</v>
      </c>
      <c r="L422" s="21">
        <v>2.7256</v>
      </c>
      <c r="M422" s="20">
        <f t="shared" si="43"/>
        <v>6069911.2000000002</v>
      </c>
      <c r="N422" s="21">
        <v>9423000</v>
      </c>
      <c r="O422" s="21">
        <v>16442000</v>
      </c>
      <c r="P422" s="20">
        <v>743190</v>
      </c>
      <c r="Q422" s="20">
        <f t="shared" si="44"/>
        <v>0.94227656002919347</v>
      </c>
      <c r="R422" s="20">
        <f t="shared" si="45"/>
        <v>16.615349594694216</v>
      </c>
      <c r="S422" s="20">
        <f t="shared" si="46"/>
        <v>0.57310546162267362</v>
      </c>
      <c r="T422" s="20">
        <f t="shared" si="47"/>
        <v>4.5200705510278556E-2</v>
      </c>
      <c r="U422" s="20">
        <f>IFERROR(IF(ISNUMBER(INDEX('Firm Master'!$E$2:$E$1000,MATCH($C422,'Firm Master'!$B$2:$B$1000,0))),INDEX('Firm Master'!$E$2:$E$1000,MATCH($C422,'Firm Master'!$B$2:$B$1000,0)),""),"")</f>
        <v>1979</v>
      </c>
      <c r="V422" s="21">
        <f t="shared" si="48"/>
        <v>42</v>
      </c>
      <c r="W422" s="21">
        <v>1</v>
      </c>
      <c r="X422" s="20" t="str">
        <f>IFERROR(INDEX('Firm Master'!$G$2:$G$1000,MATCH($C422,'Firm Master'!$B$2:$B$1000,0)),"")</f>
        <v>Ernst &amp; Young</v>
      </c>
    </row>
    <row r="423" spans="1:24" ht="27.75" customHeight="1" x14ac:dyDescent="0.3">
      <c r="A423" s="11">
        <v>422</v>
      </c>
      <c r="B423" s="11">
        <v>85</v>
      </c>
      <c r="C423" s="11" t="s">
        <v>1113</v>
      </c>
      <c r="D423" s="11" t="s">
        <v>1114</v>
      </c>
      <c r="E423" s="11" t="s">
        <v>715</v>
      </c>
      <c r="F423" s="11">
        <v>2022</v>
      </c>
      <c r="G423" s="20">
        <f t="shared" si="42"/>
        <v>0</v>
      </c>
      <c r="H423" s="21">
        <v>0</v>
      </c>
      <c r="I423" s="21">
        <f>IFERROR(INDEX('Coding Sheet'!$AC$2:$AC$731,MATCH($B423&amp;"_"&amp;$F423,'Coding Sheet'!$A$2:$A$731,0)),"")</f>
        <v>15</v>
      </c>
      <c r="J423" s="7">
        <f>IFERROR(INDEX('Coding Sheet'!$AT$2:$AT$731,MATCH($B423&amp;"_"&amp;$F423,'Coding Sheet'!$A$2:$A$731,0)),"")</f>
        <v>0</v>
      </c>
      <c r="K423" s="21">
        <v>2227000000</v>
      </c>
      <c r="L423" s="21">
        <v>5.5994999999999999</v>
      </c>
      <c r="M423" s="20">
        <f t="shared" si="43"/>
        <v>12470086.5</v>
      </c>
      <c r="N423" s="21">
        <v>9701000</v>
      </c>
      <c r="O423" s="21">
        <v>18727000</v>
      </c>
      <c r="P423" s="20">
        <v>2658000</v>
      </c>
      <c r="Q423" s="20">
        <f t="shared" si="44"/>
        <v>1.183910209857425</v>
      </c>
      <c r="R423" s="20">
        <f t="shared" si="45"/>
        <v>16.745476890742644</v>
      </c>
      <c r="S423" s="20">
        <f t="shared" si="46"/>
        <v>0.51802210711806485</v>
      </c>
      <c r="T423" s="20">
        <f t="shared" si="47"/>
        <v>0.14193410583649277</v>
      </c>
      <c r="U423" s="20">
        <f>IFERROR(IF(ISNUMBER(INDEX('Firm Master'!$E$2:$E$1000,MATCH($C423,'Firm Master'!$B$2:$B$1000,0))),INDEX('Firm Master'!$E$2:$E$1000,MATCH($C423,'Firm Master'!$B$2:$B$1000,0)),""),"")</f>
        <v>1979</v>
      </c>
      <c r="V423" s="21">
        <f t="shared" si="48"/>
        <v>43</v>
      </c>
      <c r="W423" s="21">
        <v>1</v>
      </c>
      <c r="X423" s="20" t="str">
        <f>IFERROR(INDEX('Firm Master'!$G$2:$G$1000,MATCH($C423,'Firm Master'!$B$2:$B$1000,0)),"")</f>
        <v>Ernst &amp; Young</v>
      </c>
    </row>
    <row r="424" spans="1:24" ht="27.75" customHeight="1" x14ac:dyDescent="0.3">
      <c r="A424" s="11">
        <v>423</v>
      </c>
      <c r="B424" s="11">
        <v>85</v>
      </c>
      <c r="C424" s="11" t="s">
        <v>1113</v>
      </c>
      <c r="D424" s="11" t="s">
        <v>1114</v>
      </c>
      <c r="E424" s="11" t="s">
        <v>715</v>
      </c>
      <c r="F424" s="11">
        <v>2023</v>
      </c>
      <c r="G424" s="20">
        <f t="shared" si="42"/>
        <v>1</v>
      </c>
      <c r="H424" s="21">
        <v>0</v>
      </c>
      <c r="I424" s="21">
        <f>IFERROR(INDEX('Coding Sheet'!$AC$2:$AC$731,MATCH($B424&amp;"_"&amp;$F424,'Coding Sheet'!$A$2:$A$731,0)),"")</f>
        <v>15</v>
      </c>
      <c r="J424" s="7">
        <f>IFERROR(INDEX('Coding Sheet'!$AT$2:$AT$731,MATCH($B424&amp;"_"&amp;$F424,'Coding Sheet'!$A$2:$A$731,0)),"")</f>
        <v>0</v>
      </c>
      <c r="K424" s="21">
        <v>2227000000</v>
      </c>
      <c r="L424" s="21">
        <v>22.2317</v>
      </c>
      <c r="M424" s="20">
        <f t="shared" si="43"/>
        <v>49509995.899999999</v>
      </c>
      <c r="N424" s="21">
        <v>15184000</v>
      </c>
      <c r="O424" s="21">
        <v>27311000</v>
      </c>
      <c r="P424" s="20">
        <v>5540000</v>
      </c>
      <c r="Q424" s="20">
        <f t="shared" si="44"/>
        <v>2.3687889824612793</v>
      </c>
      <c r="R424" s="20">
        <f t="shared" si="45"/>
        <v>17.122800109403464</v>
      </c>
      <c r="S424" s="20">
        <f t="shared" si="46"/>
        <v>0.55596646040057118</v>
      </c>
      <c r="T424" s="20">
        <f t="shared" si="47"/>
        <v>0.20284866903445498</v>
      </c>
      <c r="U424" s="20">
        <f>IFERROR(IF(ISNUMBER(INDEX('Firm Master'!$E$2:$E$1000,MATCH($C424,'Firm Master'!$B$2:$B$1000,0))),INDEX('Firm Master'!$E$2:$E$1000,MATCH($C424,'Firm Master'!$B$2:$B$1000,0)),""),"")</f>
        <v>1979</v>
      </c>
      <c r="V424" s="21">
        <f t="shared" si="48"/>
        <v>44</v>
      </c>
      <c r="W424" s="21">
        <v>1</v>
      </c>
      <c r="X424" s="20" t="str">
        <f>IFERROR(INDEX('Firm Master'!$G$2:$G$1000,MATCH($C424,'Firm Master'!$B$2:$B$1000,0)),"")</f>
        <v>Ernst &amp; Young</v>
      </c>
    </row>
    <row r="425" spans="1:24" ht="27.75" customHeight="1" x14ac:dyDescent="0.3">
      <c r="A425" s="11">
        <v>424</v>
      </c>
      <c r="B425" s="11">
        <v>85</v>
      </c>
      <c r="C425" s="11" t="s">
        <v>1113</v>
      </c>
      <c r="D425" s="11" t="s">
        <v>1114</v>
      </c>
      <c r="E425" s="11" t="s">
        <v>715</v>
      </c>
      <c r="F425" s="11">
        <v>2024</v>
      </c>
      <c r="G425" s="20">
        <f t="shared" si="42"/>
        <v>1</v>
      </c>
      <c r="H425" s="21">
        <v>0</v>
      </c>
      <c r="I425" s="21">
        <f>IFERROR(INDEX('Coding Sheet'!$AC$2:$AC$731,MATCH($B425&amp;"_"&amp;$F425,'Coding Sheet'!$A$2:$A$731,0)),"")</f>
        <v>15</v>
      </c>
      <c r="J425" s="7">
        <f>IFERROR(INDEX('Coding Sheet'!$AT$2:$AT$731,MATCH($B425&amp;"_"&amp;$F425,'Coding Sheet'!$A$2:$A$731,0)),"")</f>
        <v>0</v>
      </c>
      <c r="K425" s="21">
        <v>2227000000</v>
      </c>
      <c r="L425" s="21">
        <v>40.300899999999999</v>
      </c>
      <c r="M425" s="20">
        <f t="shared" si="43"/>
        <v>89750104.299999997</v>
      </c>
      <c r="N425" s="21">
        <v>26878000</v>
      </c>
      <c r="O425" s="21">
        <v>46953000</v>
      </c>
      <c r="P425" s="20">
        <v>12865000</v>
      </c>
      <c r="Q425" s="20">
        <f t="shared" si="44"/>
        <v>2.4839329606201948</v>
      </c>
      <c r="R425" s="20">
        <f t="shared" si="45"/>
        <v>17.664657659340747</v>
      </c>
      <c r="S425" s="20">
        <f t="shared" si="46"/>
        <v>0.57244478521074271</v>
      </c>
      <c r="T425" s="20">
        <f t="shared" si="47"/>
        <v>0.27399740165697611</v>
      </c>
      <c r="U425" s="20">
        <f>IFERROR(IF(ISNUMBER(INDEX('Firm Master'!$E$2:$E$1000,MATCH($C425,'Firm Master'!$B$2:$B$1000,0))),INDEX('Firm Master'!$E$2:$E$1000,MATCH($C425,'Firm Master'!$B$2:$B$1000,0)),""),"")</f>
        <v>1979</v>
      </c>
      <c r="V425" s="21">
        <f t="shared" si="48"/>
        <v>45</v>
      </c>
      <c r="W425" s="21">
        <v>1</v>
      </c>
      <c r="X425" s="20" t="str">
        <f>IFERROR(INDEX('Firm Master'!$G$2:$G$1000,MATCH($C425,'Firm Master'!$B$2:$B$1000,0)),"")</f>
        <v>Ernst &amp; Young</v>
      </c>
    </row>
    <row r="426" spans="1:24" ht="27.75" customHeight="1" x14ac:dyDescent="0.3">
      <c r="A426" s="11">
        <v>425</v>
      </c>
      <c r="B426" s="11">
        <v>85</v>
      </c>
      <c r="C426" s="11" t="s">
        <v>1113</v>
      </c>
      <c r="D426" s="11" t="s">
        <v>1114</v>
      </c>
      <c r="E426" s="11" t="s">
        <v>715</v>
      </c>
      <c r="F426" s="11">
        <v>2025</v>
      </c>
      <c r="G426" s="20">
        <f t="shared" si="42"/>
        <v>1</v>
      </c>
      <c r="H426" s="21">
        <v>0</v>
      </c>
      <c r="I426" s="21">
        <f>IFERROR(INDEX('Coding Sheet'!$AC$2:$AC$731,MATCH($B426&amp;"_"&amp;$F426,'Coding Sheet'!$A$2:$A$731,0)),"")</f>
        <v>15</v>
      </c>
      <c r="J426" s="7">
        <f>IFERROR(INDEX('Coding Sheet'!$AT$2:$AT$731,MATCH($B426&amp;"_"&amp;$F426,'Coding Sheet'!$A$2:$A$731,0)),"")</f>
        <v>0</v>
      </c>
      <c r="K426" s="21">
        <v>2227000000</v>
      </c>
      <c r="L426" s="21">
        <v>94.521799999999999</v>
      </c>
      <c r="M426" s="20">
        <f t="shared" si="43"/>
        <v>210500048.59999999</v>
      </c>
      <c r="N426" s="21">
        <v>29124000</v>
      </c>
      <c r="O426" s="21">
        <v>55120000</v>
      </c>
      <c r="P426" s="20">
        <v>17514000</v>
      </c>
      <c r="Q426" s="20">
        <f t="shared" si="44"/>
        <v>4.3473158309143685</v>
      </c>
      <c r="R426" s="20">
        <f t="shared" si="45"/>
        <v>17.825023184669678</v>
      </c>
      <c r="S426" s="20">
        <f t="shared" si="46"/>
        <v>0.52837445573294628</v>
      </c>
      <c r="T426" s="20">
        <f t="shared" si="47"/>
        <v>0.31774310595065314</v>
      </c>
      <c r="U426" s="20">
        <f>IFERROR(IF(ISNUMBER(INDEX('Firm Master'!$E$2:$E$1000,MATCH($C426,'Firm Master'!$B$2:$B$1000,0))),INDEX('Firm Master'!$E$2:$E$1000,MATCH($C426,'Firm Master'!$B$2:$B$1000,0)),""),"")</f>
        <v>1979</v>
      </c>
      <c r="V426" s="21">
        <f t="shared" si="48"/>
        <v>46</v>
      </c>
      <c r="W426" s="21">
        <v>1</v>
      </c>
      <c r="X426" s="20" t="str">
        <f>IFERROR(INDEX('Firm Master'!$G$2:$G$1000,MATCH($C426,'Firm Master'!$B$2:$B$1000,0)),"")</f>
        <v>Ernst &amp; Young</v>
      </c>
    </row>
    <row r="427" spans="1:24" ht="15" customHeight="1" x14ac:dyDescent="0.3">
      <c r="A427" s="11">
        <v>426</v>
      </c>
      <c r="B427" s="11">
        <v>86</v>
      </c>
      <c r="C427" s="11" t="s">
        <v>1117</v>
      </c>
      <c r="D427" s="11" t="s">
        <v>1118</v>
      </c>
      <c r="E427" s="11" t="s">
        <v>806</v>
      </c>
      <c r="F427" s="11">
        <v>2021</v>
      </c>
      <c r="G427" s="20">
        <f t="shared" si="42"/>
        <v>0</v>
      </c>
      <c r="H427" s="21">
        <v>0</v>
      </c>
      <c r="I427" s="21">
        <f>IFERROR(INDEX('Coding Sheet'!$AC$2:$AC$731,MATCH($B427&amp;"_"&amp;$F427,'Coding Sheet'!$A$2:$A$731,0)),"")</f>
        <v>35</v>
      </c>
      <c r="J427" s="7">
        <f>IFERROR(INDEX('Coding Sheet'!$AT$2:$AT$731,MATCH($B427&amp;"_"&amp;$F427,'Coding Sheet'!$A$2:$A$731,0)),"")</f>
        <v>0</v>
      </c>
      <c r="K427" s="21">
        <v>2702000000</v>
      </c>
      <c r="L427" s="21">
        <v>12.942299999999999</v>
      </c>
      <c r="M427" s="20">
        <f t="shared" si="43"/>
        <v>34970094.600000001</v>
      </c>
      <c r="N427" s="21">
        <v>25891000</v>
      </c>
      <c r="O427" s="21">
        <v>40521000</v>
      </c>
      <c r="P427" s="20">
        <v>2971000</v>
      </c>
      <c r="Q427" s="20">
        <f t="shared" si="44"/>
        <v>1.501964280249747</v>
      </c>
      <c r="R427" s="20">
        <f t="shared" si="45"/>
        <v>17.517330916211012</v>
      </c>
      <c r="S427" s="20">
        <f t="shared" si="46"/>
        <v>0.63895264184003353</v>
      </c>
      <c r="T427" s="20">
        <f t="shared" si="47"/>
        <v>7.3320006909997279E-2</v>
      </c>
      <c r="U427" s="20">
        <f>IFERROR(IF(ISNUMBER(INDEX('Firm Master'!$E$2:$E$1000,MATCH($C427,'Firm Master'!$B$2:$B$1000,0))),INDEX('Firm Master'!$E$2:$E$1000,MATCH($C427,'Firm Master'!$B$2:$B$1000,0)),""),"")</f>
        <v>1973</v>
      </c>
      <c r="V427" s="21">
        <f t="shared" si="48"/>
        <v>48</v>
      </c>
      <c r="W427" s="21">
        <v>1</v>
      </c>
      <c r="X427" s="20" t="str">
        <f>IFERROR(INDEX('Firm Master'!$G$2:$G$1000,MATCH($C427,'Firm Master'!$B$2:$B$1000,0)),"")</f>
        <v>PricewaterhouseCoopers (PwC)</v>
      </c>
    </row>
    <row r="428" spans="1:24" ht="15" customHeight="1" x14ac:dyDescent="0.3">
      <c r="A428" s="11">
        <v>427</v>
      </c>
      <c r="B428" s="11">
        <v>86</v>
      </c>
      <c r="C428" s="11" t="s">
        <v>1117</v>
      </c>
      <c r="D428" s="11" t="s">
        <v>1118</v>
      </c>
      <c r="E428" s="11" t="s">
        <v>806</v>
      </c>
      <c r="F428" s="11">
        <v>2022</v>
      </c>
      <c r="G428" s="20">
        <f t="shared" si="42"/>
        <v>0</v>
      </c>
      <c r="H428" s="21">
        <v>0</v>
      </c>
      <c r="I428" s="21">
        <f>IFERROR(INDEX('Coding Sheet'!$AC$2:$AC$731,MATCH($B428&amp;"_"&amp;$F428,'Coding Sheet'!$A$2:$A$731,0)),"")</f>
        <v>35</v>
      </c>
      <c r="J428" s="7">
        <f>IFERROR(INDEX('Coding Sheet'!$AT$2:$AT$731,MATCH($B428&amp;"_"&amp;$F428,'Coding Sheet'!$A$2:$A$731,0)),"")</f>
        <v>0</v>
      </c>
      <c r="K428" s="21">
        <v>2702000000</v>
      </c>
      <c r="L428" s="21">
        <v>10.884499999999999</v>
      </c>
      <c r="M428" s="20">
        <f t="shared" si="43"/>
        <v>29409918.999999996</v>
      </c>
      <c r="N428" s="21">
        <v>36488000</v>
      </c>
      <c r="O428" s="21">
        <v>55531000</v>
      </c>
      <c r="P428" s="20">
        <v>5469000</v>
      </c>
      <c r="Q428" s="20">
        <f t="shared" si="44"/>
        <v>1.1866870576794943</v>
      </c>
      <c r="R428" s="20">
        <f t="shared" si="45"/>
        <v>17.832451981339453</v>
      </c>
      <c r="S428" s="20">
        <f t="shared" si="46"/>
        <v>0.65707442689668838</v>
      </c>
      <c r="T428" s="20">
        <f t="shared" si="47"/>
        <v>9.8485530604527208E-2</v>
      </c>
      <c r="U428" s="20">
        <f>IFERROR(IF(ISNUMBER(INDEX('Firm Master'!$E$2:$E$1000,MATCH($C428,'Firm Master'!$B$2:$B$1000,0))),INDEX('Firm Master'!$E$2:$E$1000,MATCH($C428,'Firm Master'!$B$2:$B$1000,0)),""),"")</f>
        <v>1973</v>
      </c>
      <c r="V428" s="21">
        <f t="shared" si="48"/>
        <v>49</v>
      </c>
      <c r="W428" s="21">
        <v>1</v>
      </c>
      <c r="X428" s="20" t="str">
        <f>IFERROR(INDEX('Firm Master'!$G$2:$G$1000,MATCH($C428,'Firm Master'!$B$2:$B$1000,0)),"")</f>
        <v>PricewaterhouseCoopers (PwC)</v>
      </c>
    </row>
    <row r="429" spans="1:24" ht="15" customHeight="1" x14ac:dyDescent="0.3">
      <c r="A429" s="11">
        <v>428</v>
      </c>
      <c r="B429" s="11">
        <v>86</v>
      </c>
      <c r="C429" s="11" t="s">
        <v>1117</v>
      </c>
      <c r="D429" s="11" t="s">
        <v>1118</v>
      </c>
      <c r="E429" s="11" t="s">
        <v>806</v>
      </c>
      <c r="F429" s="11">
        <v>2023</v>
      </c>
      <c r="G429" s="20">
        <f t="shared" si="42"/>
        <v>1</v>
      </c>
      <c r="H429" s="21">
        <v>0</v>
      </c>
      <c r="I429" s="21">
        <f>IFERROR(INDEX('Coding Sheet'!$AC$2:$AC$731,MATCH($B429&amp;"_"&amp;$F429,'Coding Sheet'!$A$2:$A$731,0)),"")</f>
        <v>35</v>
      </c>
      <c r="J429" s="7">
        <f>IFERROR(INDEX('Coding Sheet'!$AT$2:$AT$731,MATCH($B429&amp;"_"&amp;$F429,'Coding Sheet'!$A$2:$A$731,0)),"")</f>
        <v>0</v>
      </c>
      <c r="K429" s="21">
        <v>2702000000</v>
      </c>
      <c r="L429" s="21">
        <v>52.705399999999997</v>
      </c>
      <c r="M429" s="20">
        <f t="shared" si="43"/>
        <v>142409990.80000001</v>
      </c>
      <c r="N429" s="21">
        <v>38214000</v>
      </c>
      <c r="O429" s="21">
        <v>65686000</v>
      </c>
      <c r="P429" s="20">
        <v>13728000</v>
      </c>
      <c r="Q429" s="20">
        <f t="shared" si="44"/>
        <v>2.7498095606369701</v>
      </c>
      <c r="R429" s="20">
        <f t="shared" si="45"/>
        <v>18.00039637094585</v>
      </c>
      <c r="S429" s="20">
        <f t="shared" si="46"/>
        <v>0.58176780440276465</v>
      </c>
      <c r="T429" s="20">
        <f t="shared" si="47"/>
        <v>0.20899430624486193</v>
      </c>
      <c r="U429" s="20">
        <f>IFERROR(IF(ISNUMBER(INDEX('Firm Master'!$E$2:$E$1000,MATCH($C429,'Firm Master'!$B$2:$B$1000,0))),INDEX('Firm Master'!$E$2:$E$1000,MATCH($C429,'Firm Master'!$B$2:$B$1000,0)),""),"")</f>
        <v>1973</v>
      </c>
      <c r="V429" s="21">
        <f t="shared" si="48"/>
        <v>50</v>
      </c>
      <c r="W429" s="21">
        <v>1</v>
      </c>
      <c r="X429" s="20" t="str">
        <f>IFERROR(INDEX('Firm Master'!$G$2:$G$1000,MATCH($C429,'Firm Master'!$B$2:$B$1000,0)),"")</f>
        <v>PricewaterhouseCoopers (PwC)</v>
      </c>
    </row>
    <row r="430" spans="1:24" ht="15" customHeight="1" x14ac:dyDescent="0.3">
      <c r="A430" s="11">
        <v>429</v>
      </c>
      <c r="B430" s="11">
        <v>86</v>
      </c>
      <c r="C430" s="11" t="s">
        <v>1117</v>
      </c>
      <c r="D430" s="11" t="s">
        <v>1118</v>
      </c>
      <c r="E430" s="11" t="s">
        <v>806</v>
      </c>
      <c r="F430" s="11">
        <v>2024</v>
      </c>
      <c r="G430" s="20">
        <f t="shared" si="42"/>
        <v>1</v>
      </c>
      <c r="H430" s="21">
        <v>0</v>
      </c>
      <c r="I430" s="21">
        <f>IFERROR(INDEX('Coding Sheet'!$AC$2:$AC$731,MATCH($B430&amp;"_"&amp;$F430,'Coding Sheet'!$A$2:$A$731,0)),"")</f>
        <v>35</v>
      </c>
      <c r="J430" s="7">
        <f>IFERROR(INDEX('Coding Sheet'!$AT$2:$AT$731,MATCH($B430&amp;"_"&amp;$F430,'Coding Sheet'!$A$2:$A$731,0)),"")</f>
        <v>0</v>
      </c>
      <c r="K430" s="21">
        <v>2702000000</v>
      </c>
      <c r="L430" s="21">
        <v>31.354600000000001</v>
      </c>
      <c r="M430" s="20">
        <f t="shared" si="43"/>
        <v>84720129.200000003</v>
      </c>
      <c r="N430" s="21">
        <v>35447000</v>
      </c>
      <c r="O430" s="21">
        <v>78502000</v>
      </c>
      <c r="P430" s="20">
        <v>15584000</v>
      </c>
      <c r="Q430" s="20">
        <f t="shared" si="44"/>
        <v>1.5307524547145297</v>
      </c>
      <c r="R430" s="20">
        <f t="shared" si="45"/>
        <v>18.178634660135092</v>
      </c>
      <c r="S430" s="20">
        <f t="shared" si="46"/>
        <v>0.4515426358564113</v>
      </c>
      <c r="T430" s="20">
        <f t="shared" si="47"/>
        <v>0.19851723522967568</v>
      </c>
      <c r="U430" s="20">
        <f>IFERROR(IF(ISNUMBER(INDEX('Firm Master'!$E$2:$E$1000,MATCH($C430,'Firm Master'!$B$2:$B$1000,0))),INDEX('Firm Master'!$E$2:$E$1000,MATCH($C430,'Firm Master'!$B$2:$B$1000,0)),""),"")</f>
        <v>1973</v>
      </c>
      <c r="V430" s="21">
        <f t="shared" si="48"/>
        <v>51</v>
      </c>
      <c r="W430" s="21">
        <v>1</v>
      </c>
      <c r="X430" s="20" t="str">
        <f>IFERROR(INDEX('Firm Master'!$G$2:$G$1000,MATCH($C430,'Firm Master'!$B$2:$B$1000,0)),"")</f>
        <v>PricewaterhouseCoopers (PwC)</v>
      </c>
    </row>
    <row r="431" spans="1:24" ht="15" customHeight="1" x14ac:dyDescent="0.3">
      <c r="A431" s="11">
        <v>430</v>
      </c>
      <c r="B431" s="11">
        <v>86</v>
      </c>
      <c r="C431" s="11" t="s">
        <v>1117</v>
      </c>
      <c r="D431" s="11" t="s">
        <v>1118</v>
      </c>
      <c r="E431" s="11" t="s">
        <v>806</v>
      </c>
      <c r="F431" s="11">
        <v>2025</v>
      </c>
      <c r="G431" s="20">
        <f t="shared" si="42"/>
        <v>1</v>
      </c>
      <c r="H431" s="21">
        <v>1</v>
      </c>
      <c r="I431" s="21">
        <f>IFERROR(INDEX('Coding Sheet'!$AC$2:$AC$731,MATCH($B431&amp;"_"&amp;$F431,'Coding Sheet'!$A$2:$A$731,0)),"")</f>
        <v>75</v>
      </c>
      <c r="J431" s="7">
        <f>IFERROR(INDEX('Coding Sheet'!$AT$2:$AT$731,MATCH($B431&amp;"_"&amp;$F431,'Coding Sheet'!$A$2:$A$731,0)),"")</f>
        <v>46.666666666666664</v>
      </c>
      <c r="K431" s="21">
        <v>2702000000</v>
      </c>
      <c r="L431" s="21">
        <v>107.5167</v>
      </c>
      <c r="M431" s="20">
        <f t="shared" si="43"/>
        <v>290510123.39999998</v>
      </c>
      <c r="N431" s="21">
        <v>64086000</v>
      </c>
      <c r="O431" s="21">
        <v>135266000</v>
      </c>
      <c r="P431" s="20">
        <v>33529000</v>
      </c>
      <c r="Q431" s="20">
        <f t="shared" si="44"/>
        <v>2.6214726790176393</v>
      </c>
      <c r="R431" s="20">
        <f t="shared" si="45"/>
        <v>18.722753768139508</v>
      </c>
      <c r="S431" s="20">
        <f t="shared" si="46"/>
        <v>0.47377759377818518</v>
      </c>
      <c r="T431" s="20">
        <f t="shared" si="47"/>
        <v>0.24787455827776381</v>
      </c>
      <c r="U431" s="20">
        <f>IFERROR(IF(ISNUMBER(INDEX('Firm Master'!$E$2:$E$1000,MATCH($C431,'Firm Master'!$B$2:$B$1000,0))),INDEX('Firm Master'!$E$2:$E$1000,MATCH($C431,'Firm Master'!$B$2:$B$1000,0)),""),"")</f>
        <v>1973</v>
      </c>
      <c r="V431" s="21">
        <f t="shared" si="48"/>
        <v>52</v>
      </c>
      <c r="W431" s="21">
        <v>1</v>
      </c>
      <c r="X431" s="20" t="str">
        <f>IFERROR(INDEX('Firm Master'!$G$2:$G$1000,MATCH($C431,'Firm Master'!$B$2:$B$1000,0)),"")</f>
        <v>PricewaterhouseCoopers (PwC)</v>
      </c>
    </row>
    <row r="432" spans="1:24" ht="15" customHeight="1" x14ac:dyDescent="0.3">
      <c r="A432" s="11">
        <v>431</v>
      </c>
      <c r="B432" s="11">
        <v>87</v>
      </c>
      <c r="C432" s="11" t="s">
        <v>1121</v>
      </c>
      <c r="D432" s="11" t="s">
        <v>1122</v>
      </c>
      <c r="E432" s="11" t="s">
        <v>806</v>
      </c>
      <c r="F432" s="11">
        <v>2021</v>
      </c>
      <c r="G432" s="20">
        <f t="shared" si="42"/>
        <v>0</v>
      </c>
      <c r="H432" s="21">
        <v>0</v>
      </c>
      <c r="I432" s="21">
        <f>IFERROR(INDEX('Coding Sheet'!$AC$2:$AC$731,MATCH($B432&amp;"_"&amp;$F432,'Coding Sheet'!$A$2:$A$731,0)),"")</f>
        <v>25</v>
      </c>
      <c r="J432" s="7">
        <f>IFERROR(INDEX('Coding Sheet'!$AT$2:$AT$731,MATCH($B432&amp;"_"&amp;$F432,'Coding Sheet'!$A$2:$A$731,0)),"")</f>
        <v>13.333333333333334</v>
      </c>
      <c r="K432" s="21">
        <v>10095000000</v>
      </c>
      <c r="L432" s="21">
        <v>39.999000000000002</v>
      </c>
      <c r="M432" s="20">
        <f t="shared" si="43"/>
        <v>403789905</v>
      </c>
      <c r="N432" s="21">
        <v>313610000</v>
      </c>
      <c r="O432" s="21">
        <v>485522000</v>
      </c>
      <c r="P432" s="20">
        <v>12666000</v>
      </c>
      <c r="Q432" s="20">
        <f t="shared" si="44"/>
        <v>1.477584754140904</v>
      </c>
      <c r="R432" s="20">
        <f t="shared" si="45"/>
        <v>20.000735158778166</v>
      </c>
      <c r="S432" s="20">
        <f t="shared" si="46"/>
        <v>0.64592335671710033</v>
      </c>
      <c r="T432" s="20">
        <f t="shared" si="47"/>
        <v>2.6087386359423467E-2</v>
      </c>
      <c r="U432" s="20">
        <f>IFERROR(IF(ISNUMBER(INDEX('Firm Master'!$E$2:$E$1000,MATCH($C432,'Firm Master'!$B$2:$B$1000,0))),INDEX('Firm Master'!$E$2:$E$1000,MATCH($C432,'Firm Master'!$B$2:$B$1000,0)),""),"")</f>
        <v>1946</v>
      </c>
      <c r="V432" s="21">
        <f t="shared" si="48"/>
        <v>75</v>
      </c>
      <c r="W432" s="21">
        <v>1</v>
      </c>
      <c r="X432" s="20" t="str">
        <f>IFERROR(INDEX('Firm Master'!$G$2:$G$1000,MATCH($C432,'Firm Master'!$B$2:$B$1000,0)),"")</f>
        <v>Deloitte &amp; Touche (FY2021-2024); KPMG Professional Services (FY2025, appointed 16-Apr-2025)</v>
      </c>
    </row>
    <row r="433" spans="1:24" ht="15" customHeight="1" x14ac:dyDescent="0.3">
      <c r="A433" s="11">
        <v>432</v>
      </c>
      <c r="B433" s="11">
        <v>87</v>
      </c>
      <c r="C433" s="11" t="s">
        <v>1121</v>
      </c>
      <c r="D433" s="11" t="s">
        <v>1122</v>
      </c>
      <c r="E433" s="11" t="s">
        <v>806</v>
      </c>
      <c r="F433" s="11">
        <v>2022</v>
      </c>
      <c r="G433" s="20">
        <f t="shared" si="42"/>
        <v>0</v>
      </c>
      <c r="H433" s="21">
        <v>0</v>
      </c>
      <c r="I433" s="21">
        <f>IFERROR(INDEX('Coding Sheet'!$AC$2:$AC$731,MATCH($B433&amp;"_"&amp;$F433,'Coding Sheet'!$A$2:$A$731,0)),"")</f>
        <v>30</v>
      </c>
      <c r="J433" s="7">
        <f>IFERROR(INDEX('Coding Sheet'!$AT$2:$AT$731,MATCH($B433&amp;"_"&amp;$F433,'Coding Sheet'!$A$2:$A$731,0)),"")</f>
        <v>13.333333333333334</v>
      </c>
      <c r="K433" s="21">
        <v>10276000000</v>
      </c>
      <c r="L433" s="21">
        <v>41.000399999999999</v>
      </c>
      <c r="M433" s="20">
        <f t="shared" si="43"/>
        <v>421320110.39999998</v>
      </c>
      <c r="N433" s="21">
        <v>439975000</v>
      </c>
      <c r="O433" s="21">
        <v>619889000</v>
      </c>
      <c r="P433" s="20">
        <v>13182000</v>
      </c>
      <c r="Q433" s="20">
        <f t="shared" si="44"/>
        <v>1.3894344155163263</v>
      </c>
      <c r="R433" s="20">
        <f t="shared" si="45"/>
        <v>20.24505098771716</v>
      </c>
      <c r="S433" s="20">
        <f t="shared" si="46"/>
        <v>0.70976416745578641</v>
      </c>
      <c r="T433" s="20">
        <f t="shared" si="47"/>
        <v>2.126509746099705E-2</v>
      </c>
      <c r="U433" s="20">
        <f>IFERROR(IF(ISNUMBER(INDEX('Firm Master'!$E$2:$E$1000,MATCH($C433,'Firm Master'!$B$2:$B$1000,0))),INDEX('Firm Master'!$E$2:$E$1000,MATCH($C433,'Firm Master'!$B$2:$B$1000,0)),""),"")</f>
        <v>1946</v>
      </c>
      <c r="V433" s="21">
        <f t="shared" si="48"/>
        <v>76</v>
      </c>
      <c r="W433" s="21">
        <v>1</v>
      </c>
      <c r="X433" s="20" t="str">
        <f>IFERROR(INDEX('Firm Master'!$G$2:$G$1000,MATCH($C433,'Firm Master'!$B$2:$B$1000,0)),"")</f>
        <v>Deloitte &amp; Touche (FY2021-2024); KPMG Professional Services (FY2025, appointed 16-Apr-2025)</v>
      </c>
    </row>
    <row r="434" spans="1:24" ht="15" customHeight="1" x14ac:dyDescent="0.3">
      <c r="A434" s="11">
        <v>433</v>
      </c>
      <c r="B434" s="11">
        <v>87</v>
      </c>
      <c r="C434" s="11" t="s">
        <v>1121</v>
      </c>
      <c r="D434" s="11" t="s">
        <v>1122</v>
      </c>
      <c r="E434" s="11" t="s">
        <v>806</v>
      </c>
      <c r="F434" s="11">
        <v>2023</v>
      </c>
      <c r="G434" s="20">
        <f t="shared" si="42"/>
        <v>1</v>
      </c>
      <c r="H434" s="21">
        <v>0</v>
      </c>
      <c r="I434" s="21">
        <f>IFERROR(INDEX('Coding Sheet'!$AC$2:$AC$731,MATCH($B434&amp;"_"&amp;$F434,'Coding Sheet'!$A$2:$A$731,0)),"")</f>
        <v>35</v>
      </c>
      <c r="J434" s="7">
        <f>IFERROR(INDEX('Coding Sheet'!$AT$2:$AT$731,MATCH($B434&amp;"_"&amp;$F434,'Coding Sheet'!$A$2:$A$731,0)),"")</f>
        <v>20</v>
      </c>
      <c r="K434" s="21">
        <v>10276000000</v>
      </c>
      <c r="L434" s="21">
        <v>36.000399999999999</v>
      </c>
      <c r="M434" s="20">
        <f t="shared" si="43"/>
        <v>369940110.39999998</v>
      </c>
      <c r="N434" s="21">
        <v>732589000</v>
      </c>
      <c r="O434" s="21">
        <v>795873000</v>
      </c>
      <c r="P434" s="20">
        <v>-106308000</v>
      </c>
      <c r="Q434" s="20">
        <f t="shared" si="44"/>
        <v>1.3853078448445921</v>
      </c>
      <c r="R434" s="20">
        <f t="shared" si="45"/>
        <v>20.494950183340869</v>
      </c>
      <c r="S434" s="20">
        <f t="shared" si="46"/>
        <v>0.92048480096698848</v>
      </c>
      <c r="T434" s="20">
        <f t="shared" si="47"/>
        <v>-0.13357407526075141</v>
      </c>
      <c r="U434" s="20">
        <f>IFERROR(IF(ISNUMBER(INDEX('Firm Master'!$E$2:$E$1000,MATCH($C434,'Firm Master'!$B$2:$B$1000,0))),INDEX('Firm Master'!$E$2:$E$1000,MATCH($C434,'Firm Master'!$B$2:$B$1000,0)),""),"")</f>
        <v>1946</v>
      </c>
      <c r="V434" s="21">
        <f t="shared" si="48"/>
        <v>77</v>
      </c>
      <c r="W434" s="21">
        <v>1</v>
      </c>
      <c r="X434" s="20" t="str">
        <f>IFERROR(INDEX('Firm Master'!$G$2:$G$1000,MATCH($C434,'Firm Master'!$B$2:$B$1000,0)),"")</f>
        <v>Deloitte &amp; Touche (FY2021-2024); KPMG Professional Services (FY2025, appointed 16-Apr-2025)</v>
      </c>
    </row>
    <row r="435" spans="1:24" ht="15" customHeight="1" x14ac:dyDescent="0.3">
      <c r="A435" s="11">
        <v>434</v>
      </c>
      <c r="B435" s="11">
        <v>87</v>
      </c>
      <c r="C435" s="11" t="s">
        <v>1121</v>
      </c>
      <c r="D435" s="11" t="s">
        <v>1122</v>
      </c>
      <c r="E435" s="11" t="s">
        <v>806</v>
      </c>
      <c r="F435" s="11">
        <v>2024</v>
      </c>
      <c r="G435" s="20">
        <f t="shared" si="42"/>
        <v>1</v>
      </c>
      <c r="H435" s="21">
        <v>0</v>
      </c>
      <c r="I435" s="21">
        <f>IFERROR(INDEX('Coding Sheet'!$AC$2:$AC$731,MATCH($B435&amp;"_"&amp;$F435,'Coding Sheet'!$A$2:$A$731,0)),"")</f>
        <v>45</v>
      </c>
      <c r="J435" s="7">
        <f>IFERROR(INDEX('Coding Sheet'!$AT$2:$AT$731,MATCH($B435&amp;"_"&amp;$F435,'Coding Sheet'!$A$2:$A$731,0)),"")</f>
        <v>33.333333333333329</v>
      </c>
      <c r="K435" s="21">
        <v>30983000000</v>
      </c>
      <c r="L435" s="21">
        <v>32.000100000000003</v>
      </c>
      <c r="M435" s="20">
        <f t="shared" si="43"/>
        <v>991459098.30000007</v>
      </c>
      <c r="N435" s="21">
        <v>674332000</v>
      </c>
      <c r="O435" s="21">
        <v>1138276000</v>
      </c>
      <c r="P435" s="20">
        <v>-144887000</v>
      </c>
      <c r="Q435" s="20">
        <f t="shared" si="44"/>
        <v>1.4634333837311866</v>
      </c>
      <c r="R435" s="20">
        <f t="shared" si="45"/>
        <v>20.852780674000432</v>
      </c>
      <c r="S435" s="20">
        <f t="shared" si="46"/>
        <v>0.59241519631442641</v>
      </c>
      <c r="T435" s="20">
        <f t="shared" si="47"/>
        <v>-0.12728635234336838</v>
      </c>
      <c r="U435" s="20">
        <f>IFERROR(IF(ISNUMBER(INDEX('Firm Master'!$E$2:$E$1000,MATCH($C435,'Firm Master'!$B$2:$B$1000,0))),INDEX('Firm Master'!$E$2:$E$1000,MATCH($C435,'Firm Master'!$B$2:$B$1000,0)),""),"")</f>
        <v>1946</v>
      </c>
      <c r="V435" s="21">
        <f t="shared" si="48"/>
        <v>78</v>
      </c>
      <c r="W435" s="21">
        <v>1</v>
      </c>
      <c r="X435" s="20" t="str">
        <f>IFERROR(INDEX('Firm Master'!$G$2:$G$1000,MATCH($C435,'Firm Master'!$B$2:$B$1000,0)),"")</f>
        <v>Deloitte &amp; Touche (FY2021-2024); KPMG Professional Services (FY2025, appointed 16-Apr-2025)</v>
      </c>
    </row>
    <row r="436" spans="1:24" ht="15" customHeight="1" x14ac:dyDescent="0.3">
      <c r="A436" s="11">
        <v>435</v>
      </c>
      <c r="B436" s="11">
        <v>87</v>
      </c>
      <c r="C436" s="11" t="s">
        <v>1121</v>
      </c>
      <c r="D436" s="11" t="s">
        <v>1122</v>
      </c>
      <c r="E436" s="11" t="s">
        <v>806</v>
      </c>
      <c r="F436" s="11">
        <v>2025</v>
      </c>
      <c r="G436" s="20">
        <f t="shared" si="42"/>
        <v>1</v>
      </c>
      <c r="H436" s="21">
        <v>0</v>
      </c>
      <c r="I436" s="21">
        <f>IFERROR(INDEX('Coding Sheet'!$AC$2:$AC$731,MATCH($B436&amp;"_"&amp;$F436,'Coding Sheet'!$A$2:$A$731,0)),"")</f>
        <v>45</v>
      </c>
      <c r="J436" s="7">
        <f>IFERROR(INDEX('Coding Sheet'!$AT$2:$AT$731,MATCH($B436&amp;"_"&amp;$F436,'Coding Sheet'!$A$2:$A$731,0)),"")</f>
        <v>33.333333333333329</v>
      </c>
      <c r="K436" s="21">
        <v>30983000000</v>
      </c>
      <c r="L436" s="21">
        <v>75.202500000000001</v>
      </c>
      <c r="M436" s="20">
        <f t="shared" si="43"/>
        <v>2329999057.5</v>
      </c>
      <c r="N436" s="21">
        <v>505896000</v>
      </c>
      <c r="O436" s="21">
        <v>1066118000</v>
      </c>
      <c r="P436" s="20">
        <v>99100000</v>
      </c>
      <c r="Q436" s="20">
        <f t="shared" si="44"/>
        <v>2.6600198641238588</v>
      </c>
      <c r="R436" s="20">
        <f t="shared" si="45"/>
        <v>20.787289850747779</v>
      </c>
      <c r="S436" s="20">
        <f t="shared" si="46"/>
        <v>0.47452158203876121</v>
      </c>
      <c r="T436" s="20">
        <f t="shared" si="47"/>
        <v>9.2954063246282304E-2</v>
      </c>
      <c r="U436" s="20">
        <f>IFERROR(IF(ISNUMBER(INDEX('Firm Master'!$E$2:$E$1000,MATCH($C436,'Firm Master'!$B$2:$B$1000,0))),INDEX('Firm Master'!$E$2:$E$1000,MATCH($C436,'Firm Master'!$B$2:$B$1000,0)),""),"")</f>
        <v>1946</v>
      </c>
      <c r="V436" s="21">
        <f t="shared" si="48"/>
        <v>79</v>
      </c>
      <c r="W436" s="21">
        <v>1</v>
      </c>
      <c r="X436" s="20" t="str">
        <f>IFERROR(INDEX('Firm Master'!$G$2:$G$1000,MATCH($C436,'Firm Master'!$B$2:$B$1000,0)),"")</f>
        <v>Deloitte &amp; Touche (FY2021-2024); KPMG Professional Services (FY2025, appointed 16-Apr-2025)</v>
      </c>
    </row>
    <row r="437" spans="1:24" ht="15" customHeight="1" x14ac:dyDescent="0.3">
      <c r="A437" s="11">
        <v>436</v>
      </c>
      <c r="B437" s="11">
        <v>88</v>
      </c>
      <c r="C437" s="11" t="s">
        <v>1126</v>
      </c>
      <c r="D437" s="11" t="s">
        <v>1127</v>
      </c>
      <c r="E437" s="11" t="s">
        <v>752</v>
      </c>
      <c r="F437" s="11">
        <v>2021</v>
      </c>
      <c r="G437" s="20">
        <f t="shared" si="42"/>
        <v>0</v>
      </c>
      <c r="H437" s="21">
        <v>0</v>
      </c>
      <c r="I437" s="21">
        <f>IFERROR(INDEX('Coding Sheet'!$AC$2:$AC$731,MATCH($B437&amp;"_"&amp;$F437,'Coding Sheet'!$A$2:$A$731,0)),"")</f>
        <v>0</v>
      </c>
      <c r="J437" s="7">
        <f>IFERROR(INDEX('Coding Sheet'!$AT$2:$AT$731,MATCH($B437&amp;"_"&amp;$F437,'Coding Sheet'!$A$2:$A$731,0)),"")</f>
        <v>0</v>
      </c>
      <c r="K437" s="21">
        <v>108000000</v>
      </c>
      <c r="L437" s="21">
        <v>3</v>
      </c>
      <c r="M437" s="20">
        <f t="shared" si="43"/>
        <v>324000</v>
      </c>
      <c r="N437" s="21">
        <v>5967000</v>
      </c>
      <c r="O437" s="21">
        <v>5128000</v>
      </c>
      <c r="P437" s="20">
        <v>7550</v>
      </c>
      <c r="Q437" s="20">
        <f t="shared" si="44"/>
        <v>1.2267940717628705</v>
      </c>
      <c r="R437" s="20">
        <f t="shared" si="45"/>
        <v>15.450226277582644</v>
      </c>
      <c r="S437" s="20">
        <f t="shared" si="46"/>
        <v>1.1636115444617785</v>
      </c>
      <c r="T437" s="20">
        <f t="shared" si="47"/>
        <v>1.4723088923556942E-3</v>
      </c>
      <c r="U437" s="20">
        <f>IFERROR(IF(ISNUMBER(INDEX('Firm Master'!$E$2:$E$1000,MATCH($C437,'Firm Master'!$B$2:$B$1000,0))),INDEX('Firm Master'!$E$2:$E$1000,MATCH($C437,'Firm Master'!$B$2:$B$1000,0)),""),"")</f>
        <v>1949</v>
      </c>
      <c r="V437" s="21">
        <f t="shared" si="48"/>
        <v>72</v>
      </c>
      <c r="W437" s="21">
        <v>0</v>
      </c>
      <c r="X437" s="20" t="str">
        <f>IFERROR(INDEX('Firm Master'!$G$2:$G$1000,MATCH($C437,'Firm Master'!$B$2:$B$1000,0)),"")</f>
        <v>Grant Thornton</v>
      </c>
    </row>
    <row r="438" spans="1:24" ht="15" customHeight="1" x14ac:dyDescent="0.3">
      <c r="A438" s="11">
        <v>437</v>
      </c>
      <c r="B438" s="11">
        <v>88</v>
      </c>
      <c r="C438" s="11" t="s">
        <v>1126</v>
      </c>
      <c r="D438" s="11" t="s">
        <v>1127</v>
      </c>
      <c r="E438" s="11" t="s">
        <v>752</v>
      </c>
      <c r="F438" s="11">
        <v>2022</v>
      </c>
      <c r="G438" s="20">
        <f t="shared" si="42"/>
        <v>0</v>
      </c>
      <c r="H438" s="21">
        <v>0</v>
      </c>
      <c r="I438" s="21">
        <f>IFERROR(INDEX('Coding Sheet'!$AC$2:$AC$731,MATCH($B438&amp;"_"&amp;$F438,'Coding Sheet'!$A$2:$A$731,0)),"")</f>
        <v>0</v>
      </c>
      <c r="J438" s="7">
        <f>IFERROR(INDEX('Coding Sheet'!$AT$2:$AT$731,MATCH($B438&amp;"_"&amp;$F438,'Coding Sheet'!$A$2:$A$731,0)),"")</f>
        <v>0</v>
      </c>
      <c r="K438" s="21">
        <v>108000000</v>
      </c>
      <c r="L438" s="21">
        <v>3.6</v>
      </c>
      <c r="M438" s="20">
        <f t="shared" si="43"/>
        <v>388800</v>
      </c>
      <c r="N438" s="21">
        <v>6155000</v>
      </c>
      <c r="O438" s="21">
        <v>4310000</v>
      </c>
      <c r="P438" s="20">
        <v>-1011000</v>
      </c>
      <c r="Q438" s="20">
        <f t="shared" si="44"/>
        <v>1.5182830626450117</v>
      </c>
      <c r="R438" s="20">
        <f t="shared" si="45"/>
        <v>15.27644846207993</v>
      </c>
      <c r="S438" s="20">
        <f t="shared" si="46"/>
        <v>1.4280742459396751</v>
      </c>
      <c r="T438" s="20">
        <f t="shared" si="47"/>
        <v>-0.2345707656612529</v>
      </c>
      <c r="U438" s="20">
        <f>IFERROR(IF(ISNUMBER(INDEX('Firm Master'!$E$2:$E$1000,MATCH($C438,'Firm Master'!$B$2:$B$1000,0))),INDEX('Firm Master'!$E$2:$E$1000,MATCH($C438,'Firm Master'!$B$2:$B$1000,0)),""),"")</f>
        <v>1949</v>
      </c>
      <c r="V438" s="21">
        <f t="shared" si="48"/>
        <v>73</v>
      </c>
      <c r="W438" s="21">
        <v>0</v>
      </c>
      <c r="X438" s="20" t="str">
        <f>IFERROR(INDEX('Firm Master'!$G$2:$G$1000,MATCH($C438,'Firm Master'!$B$2:$B$1000,0)),"")</f>
        <v>Grant Thornton</v>
      </c>
    </row>
    <row r="439" spans="1:24" ht="15" customHeight="1" x14ac:dyDescent="0.3">
      <c r="A439" s="11">
        <v>438</v>
      </c>
      <c r="B439" s="11">
        <v>88</v>
      </c>
      <c r="C439" s="11" t="s">
        <v>1126</v>
      </c>
      <c r="D439" s="11" t="s">
        <v>1127</v>
      </c>
      <c r="E439" s="11" t="s">
        <v>752</v>
      </c>
      <c r="F439" s="11">
        <v>2023</v>
      </c>
      <c r="G439" s="20">
        <f t="shared" si="42"/>
        <v>1</v>
      </c>
      <c r="H439" s="21">
        <v>0</v>
      </c>
      <c r="I439" s="21">
        <f>IFERROR(INDEX('Coding Sheet'!$AC$2:$AC$731,MATCH($B439&amp;"_"&amp;$F439,'Coding Sheet'!$A$2:$A$731,0)),"")</f>
        <v>0</v>
      </c>
      <c r="J439" s="7">
        <f>IFERROR(INDEX('Coding Sheet'!$AT$2:$AT$731,MATCH($B439&amp;"_"&amp;$F439,'Coding Sheet'!$A$2:$A$731,0)),"")</f>
        <v>0</v>
      </c>
      <c r="K439" s="21">
        <v>108000000</v>
      </c>
      <c r="L439" s="21">
        <v>3.96</v>
      </c>
      <c r="M439" s="20">
        <f t="shared" si="43"/>
        <v>427680</v>
      </c>
      <c r="N439" s="21">
        <v>8065000</v>
      </c>
      <c r="O439" s="21">
        <v>5460000</v>
      </c>
      <c r="P439" s="20">
        <v>-738900</v>
      </c>
      <c r="Q439" s="20">
        <f t="shared" si="44"/>
        <v>1.5554358974358975</v>
      </c>
      <c r="R439" s="20">
        <f t="shared" si="45"/>
        <v>15.512959347721088</v>
      </c>
      <c r="S439" s="20">
        <f t="shared" si="46"/>
        <v>1.4771062271062272</v>
      </c>
      <c r="T439" s="20">
        <f t="shared" si="47"/>
        <v>-0.13532967032967033</v>
      </c>
      <c r="U439" s="20">
        <f>IFERROR(IF(ISNUMBER(INDEX('Firm Master'!$E$2:$E$1000,MATCH($C439,'Firm Master'!$B$2:$B$1000,0))),INDEX('Firm Master'!$E$2:$E$1000,MATCH($C439,'Firm Master'!$B$2:$B$1000,0)),""),"")</f>
        <v>1949</v>
      </c>
      <c r="V439" s="21">
        <f t="shared" si="48"/>
        <v>74</v>
      </c>
      <c r="W439" s="21">
        <v>0</v>
      </c>
      <c r="X439" s="20" t="str">
        <f>IFERROR(INDEX('Firm Master'!$G$2:$G$1000,MATCH($C439,'Firm Master'!$B$2:$B$1000,0)),"")</f>
        <v>Grant Thornton</v>
      </c>
    </row>
    <row r="440" spans="1:24" ht="15" customHeight="1" x14ac:dyDescent="0.3">
      <c r="A440" s="11">
        <v>439</v>
      </c>
      <c r="B440" s="11">
        <v>88</v>
      </c>
      <c r="C440" s="11" t="s">
        <v>1126</v>
      </c>
      <c r="D440" s="11" t="s">
        <v>1127</v>
      </c>
      <c r="E440" s="11" t="s">
        <v>752</v>
      </c>
      <c r="F440" s="11">
        <v>2024</v>
      </c>
      <c r="G440" s="20">
        <f t="shared" si="42"/>
        <v>1</v>
      </c>
      <c r="H440" s="21">
        <v>0</v>
      </c>
      <c r="I440" s="21">
        <f>IFERROR(INDEX('Coding Sheet'!$AC$2:$AC$731,MATCH($B440&amp;"_"&amp;$F440,'Coding Sheet'!$A$2:$A$731,0)),"")</f>
        <v>0</v>
      </c>
      <c r="J440" s="7">
        <f>IFERROR(INDEX('Coding Sheet'!$AT$2:$AT$731,MATCH($B440&amp;"_"&amp;$F440,'Coding Sheet'!$A$2:$A$731,0)),"")</f>
        <v>0</v>
      </c>
      <c r="K440" s="21">
        <v>108000000</v>
      </c>
      <c r="L440" s="21">
        <v>5</v>
      </c>
      <c r="M440" s="20">
        <f t="shared" si="43"/>
        <v>540000</v>
      </c>
      <c r="N440" s="21">
        <v>9237000</v>
      </c>
      <c r="O440" s="21">
        <v>4428000</v>
      </c>
      <c r="P440" s="20">
        <v>-2172000</v>
      </c>
      <c r="Q440" s="20">
        <f t="shared" si="44"/>
        <v>2.2079945799457996</v>
      </c>
      <c r="R440" s="20">
        <f t="shared" si="45"/>
        <v>15.303458572810664</v>
      </c>
      <c r="S440" s="20">
        <f t="shared" si="46"/>
        <v>2.0860433604336044</v>
      </c>
      <c r="T440" s="20">
        <f t="shared" si="47"/>
        <v>-0.49051490514905149</v>
      </c>
      <c r="U440" s="20">
        <f>IFERROR(IF(ISNUMBER(INDEX('Firm Master'!$E$2:$E$1000,MATCH($C440,'Firm Master'!$B$2:$B$1000,0))),INDEX('Firm Master'!$E$2:$E$1000,MATCH($C440,'Firm Master'!$B$2:$B$1000,0)),""),"")</f>
        <v>1949</v>
      </c>
      <c r="V440" s="21">
        <f t="shared" si="48"/>
        <v>75</v>
      </c>
      <c r="W440" s="21">
        <v>0</v>
      </c>
      <c r="X440" s="20" t="str">
        <f>IFERROR(INDEX('Firm Master'!$G$2:$G$1000,MATCH($C440,'Firm Master'!$B$2:$B$1000,0)),"")</f>
        <v>Grant Thornton</v>
      </c>
    </row>
    <row r="441" spans="1:24" ht="15" customHeight="1" x14ac:dyDescent="0.3">
      <c r="A441" s="11">
        <v>440</v>
      </c>
      <c r="B441" s="11">
        <v>88</v>
      </c>
      <c r="C441" s="11" t="s">
        <v>1126</v>
      </c>
      <c r="D441" s="11" t="s">
        <v>1127</v>
      </c>
      <c r="E441" s="11" t="s">
        <v>752</v>
      </c>
      <c r="F441" s="11">
        <v>2025</v>
      </c>
      <c r="G441" s="20">
        <f t="shared" si="42"/>
        <v>1</v>
      </c>
      <c r="H441" s="21">
        <v>0</v>
      </c>
      <c r="I441" s="21">
        <f>IFERROR(INDEX('Coding Sheet'!$AC$2:$AC$731,MATCH($B441&amp;"_"&amp;$F441,'Coding Sheet'!$A$2:$A$731,0)),"")</f>
        <v>0</v>
      </c>
      <c r="J441" s="7">
        <f>IFERROR(INDEX('Coding Sheet'!$AT$2:$AT$731,MATCH($B441&amp;"_"&amp;$F441,'Coding Sheet'!$A$2:$A$731,0)),"")</f>
        <v>0</v>
      </c>
      <c r="K441" s="21">
        <v>108000000</v>
      </c>
      <c r="L441" s="21">
        <v>72.685199999999995</v>
      </c>
      <c r="M441" s="20">
        <f t="shared" si="43"/>
        <v>7850001.5999999987</v>
      </c>
      <c r="N441" s="21">
        <v>12450000</v>
      </c>
      <c r="O441" s="21">
        <v>7767000</v>
      </c>
      <c r="P441" s="20">
        <v>212410</v>
      </c>
      <c r="Q441" s="20">
        <f t="shared" si="44"/>
        <v>2.6136219389725759</v>
      </c>
      <c r="R441" s="20">
        <f t="shared" si="45"/>
        <v>15.865394547401785</v>
      </c>
      <c r="S441" s="20">
        <f t="shared" si="46"/>
        <v>1.6029354963306295</v>
      </c>
      <c r="T441" s="20">
        <f t="shared" si="47"/>
        <v>2.7347753315308355E-2</v>
      </c>
      <c r="U441" s="20">
        <f>IFERROR(IF(ISNUMBER(INDEX('Firm Master'!$E$2:$E$1000,MATCH($C441,'Firm Master'!$B$2:$B$1000,0))),INDEX('Firm Master'!$E$2:$E$1000,MATCH($C441,'Firm Master'!$B$2:$B$1000,0)),""),"")</f>
        <v>1949</v>
      </c>
      <c r="V441" s="21">
        <f t="shared" si="48"/>
        <v>76</v>
      </c>
      <c r="W441" s="21">
        <v>0</v>
      </c>
      <c r="X441" s="20" t="str">
        <f>IFERROR(INDEX('Firm Master'!$G$2:$G$1000,MATCH($C441,'Firm Master'!$B$2:$B$1000,0)),"")</f>
        <v>Grant Thornton</v>
      </c>
    </row>
    <row r="442" spans="1:24" ht="27.75" customHeight="1" x14ac:dyDescent="0.3">
      <c r="A442" s="11">
        <v>441</v>
      </c>
      <c r="B442" s="11">
        <v>89</v>
      </c>
      <c r="C442" s="11" t="s">
        <v>1131</v>
      </c>
      <c r="D442" s="11" t="s">
        <v>1132</v>
      </c>
      <c r="E442" s="11" t="s">
        <v>898</v>
      </c>
      <c r="F442" s="11">
        <v>2021</v>
      </c>
      <c r="G442" s="20">
        <f t="shared" si="42"/>
        <v>0</v>
      </c>
      <c r="H442" s="24">
        <v>0</v>
      </c>
      <c r="I442" s="24">
        <f>IFERROR(INDEX('Coding Sheet'!$AC$2:$AC$731,MATCH($B442&amp;"_"&amp;$F442,'Coding Sheet'!$A$2:$A$731,0)),"")</f>
        <v>30</v>
      </c>
      <c r="J442" s="7">
        <f>IFERROR(INDEX('Coding Sheet'!$AT$2:$AT$731,MATCH($B442&amp;"_"&amp;$F442,'Coding Sheet'!$A$2:$A$731,0)),"")</f>
        <v>6.666666666666667</v>
      </c>
      <c r="K442" s="24">
        <v>1899000000</v>
      </c>
      <c r="L442" s="24">
        <v>1.7483</v>
      </c>
      <c r="M442" s="20">
        <f t="shared" si="43"/>
        <v>3320021.7</v>
      </c>
      <c r="N442" s="24">
        <v>4860603</v>
      </c>
      <c r="O442" s="24">
        <v>6274670</v>
      </c>
      <c r="P442" s="20">
        <v>270576</v>
      </c>
      <c r="Q442" s="20">
        <f t="shared" si="44"/>
        <v>1.3037537750989296</v>
      </c>
      <c r="R442" s="20">
        <f t="shared" si="45"/>
        <v>15.652031451957804</v>
      </c>
      <c r="S442" s="20">
        <f t="shared" si="46"/>
        <v>0.77463882562748321</v>
      </c>
      <c r="T442" s="20">
        <f t="shared" si="47"/>
        <v>4.31219490427385E-2</v>
      </c>
      <c r="U442" s="20">
        <f>IFERROR(IF(ISNUMBER(INDEX('Firm Master'!$E$2:$E$1000,MATCH($C442,'Firm Master'!$B$2:$B$1000,0))),INDEX('Firm Master'!$E$2:$E$1000,MATCH($C442,'Firm Master'!$B$2:$B$1000,0)),""),"")</f>
        <v>1957</v>
      </c>
      <c r="V442" s="24">
        <f t="shared" si="48"/>
        <v>64</v>
      </c>
      <c r="W442" s="24">
        <v>0</v>
      </c>
      <c r="X442" s="20" t="str">
        <f>IFERROR(INDEX('Firm Master'!$G$2:$G$1000,MATCH($C442,'Firm Master'!$B$2:$B$1000,0)),"")</f>
        <v>BDO Professional Services</v>
      </c>
    </row>
    <row r="443" spans="1:24" ht="27.75" customHeight="1" x14ac:dyDescent="0.3">
      <c r="A443" s="11">
        <v>442</v>
      </c>
      <c r="B443" s="11">
        <v>89</v>
      </c>
      <c r="C443" s="11" t="s">
        <v>1131</v>
      </c>
      <c r="D443" s="11" t="s">
        <v>1132</v>
      </c>
      <c r="E443" s="11" t="s">
        <v>898</v>
      </c>
      <c r="F443" s="11">
        <v>2022</v>
      </c>
      <c r="G443" s="20">
        <f t="shared" si="42"/>
        <v>0</v>
      </c>
      <c r="H443" s="21">
        <v>0</v>
      </c>
      <c r="I443" s="21">
        <f>IFERROR(INDEX('Coding Sheet'!$AC$2:$AC$731,MATCH($B443&amp;"_"&amp;$F443,'Coding Sheet'!$A$2:$A$731,0)),"")</f>
        <v>30</v>
      </c>
      <c r="J443" s="7">
        <f>IFERROR(INDEX('Coding Sheet'!$AT$2:$AT$731,MATCH($B443&amp;"_"&amp;$F443,'Coding Sheet'!$A$2:$A$731,0)),"")</f>
        <v>6.666666666666667</v>
      </c>
      <c r="K443" s="21">
        <v>1899000000</v>
      </c>
      <c r="L443" s="21">
        <v>1.4322999999999999</v>
      </c>
      <c r="M443" s="20">
        <f t="shared" si="43"/>
        <v>2719937.7</v>
      </c>
      <c r="N443" s="21">
        <v>5733000</v>
      </c>
      <c r="O443" s="21">
        <v>6512000</v>
      </c>
      <c r="P443" s="20">
        <v>-325040</v>
      </c>
      <c r="Q443" s="20">
        <f t="shared" si="44"/>
        <v>1.2980555436117935</v>
      </c>
      <c r="R443" s="20">
        <f t="shared" si="45"/>
        <v>15.689157186664513</v>
      </c>
      <c r="S443" s="20">
        <f t="shared" si="46"/>
        <v>0.88037469287469283</v>
      </c>
      <c r="T443" s="20">
        <f t="shared" si="47"/>
        <v>-4.9914004914004911E-2</v>
      </c>
      <c r="U443" s="20">
        <f>IFERROR(IF(ISNUMBER(INDEX('Firm Master'!$E$2:$E$1000,MATCH($C443,'Firm Master'!$B$2:$B$1000,0))),INDEX('Firm Master'!$E$2:$E$1000,MATCH($C443,'Firm Master'!$B$2:$B$1000,0)),""),"")</f>
        <v>1957</v>
      </c>
      <c r="V443" s="21">
        <f t="shared" si="48"/>
        <v>65</v>
      </c>
      <c r="W443" s="21">
        <v>0</v>
      </c>
      <c r="X443" s="20" t="str">
        <f>IFERROR(INDEX('Firm Master'!$G$2:$G$1000,MATCH($C443,'Firm Master'!$B$2:$B$1000,0)),"")</f>
        <v>BDO Professional Services</v>
      </c>
    </row>
    <row r="444" spans="1:24" ht="27.75" customHeight="1" x14ac:dyDescent="0.3">
      <c r="A444" s="11">
        <v>443</v>
      </c>
      <c r="B444" s="11">
        <v>89</v>
      </c>
      <c r="C444" s="11" t="s">
        <v>1131</v>
      </c>
      <c r="D444" s="11" t="s">
        <v>1132</v>
      </c>
      <c r="E444" s="11" t="s">
        <v>898</v>
      </c>
      <c r="F444" s="11">
        <v>2023</v>
      </c>
      <c r="G444" s="20">
        <f t="shared" si="42"/>
        <v>1</v>
      </c>
      <c r="H444" s="21">
        <v>0</v>
      </c>
      <c r="I444" s="21">
        <f>IFERROR(INDEX('Coding Sheet'!$AC$2:$AC$731,MATCH($B444&amp;"_"&amp;$F444,'Coding Sheet'!$A$2:$A$731,0)),"")</f>
        <v>30</v>
      </c>
      <c r="J444" s="7">
        <f>IFERROR(INDEX('Coding Sheet'!$AT$2:$AT$731,MATCH($B444&amp;"_"&amp;$F444,'Coding Sheet'!$A$2:$A$731,0)),"")</f>
        <v>6.666666666666667</v>
      </c>
      <c r="K444" s="21">
        <v>4273000000</v>
      </c>
      <c r="L444" s="21">
        <v>1.9400999999999999</v>
      </c>
      <c r="M444" s="20">
        <f t="shared" si="43"/>
        <v>8290047.2999999998</v>
      </c>
      <c r="N444" s="21">
        <v>7642000</v>
      </c>
      <c r="O444" s="21">
        <v>10179000</v>
      </c>
      <c r="P444" s="20">
        <v>-1798000</v>
      </c>
      <c r="Q444" s="20">
        <f t="shared" si="44"/>
        <v>1.5651878671775223</v>
      </c>
      <c r="R444" s="20">
        <f t="shared" si="45"/>
        <v>16.135837332434477</v>
      </c>
      <c r="S444" s="20">
        <f t="shared" si="46"/>
        <v>0.75076137145102662</v>
      </c>
      <c r="T444" s="20">
        <f t="shared" si="47"/>
        <v>-0.17663817663817663</v>
      </c>
      <c r="U444" s="20">
        <f>IFERROR(IF(ISNUMBER(INDEX('Firm Master'!$E$2:$E$1000,MATCH($C444,'Firm Master'!$B$2:$B$1000,0))),INDEX('Firm Master'!$E$2:$E$1000,MATCH($C444,'Firm Master'!$B$2:$B$1000,0)),""),"")</f>
        <v>1957</v>
      </c>
      <c r="V444" s="21">
        <f t="shared" si="48"/>
        <v>66</v>
      </c>
      <c r="W444" s="21">
        <v>0</v>
      </c>
      <c r="X444" s="20" t="str">
        <f>IFERROR(INDEX('Firm Master'!$G$2:$G$1000,MATCH($C444,'Firm Master'!$B$2:$B$1000,0)),"")</f>
        <v>BDO Professional Services</v>
      </c>
    </row>
    <row r="445" spans="1:24" ht="27.75" customHeight="1" x14ac:dyDescent="0.3">
      <c r="A445" s="11">
        <v>444</v>
      </c>
      <c r="B445" s="11">
        <v>89</v>
      </c>
      <c r="C445" s="11" t="s">
        <v>1131</v>
      </c>
      <c r="D445" s="11" t="s">
        <v>1132</v>
      </c>
      <c r="E445" s="11" t="s">
        <v>898</v>
      </c>
      <c r="F445" s="11">
        <v>2024</v>
      </c>
      <c r="G445" s="20">
        <f t="shared" si="42"/>
        <v>1</v>
      </c>
      <c r="H445" s="21">
        <v>0</v>
      </c>
      <c r="I445" s="21">
        <f>IFERROR(INDEX('Coding Sheet'!$AC$2:$AC$731,MATCH($B445&amp;"_"&amp;$F445,'Coding Sheet'!$A$2:$A$731,0)),"")</f>
        <v>30</v>
      </c>
      <c r="J445" s="7">
        <f>IFERROR(INDEX('Coding Sheet'!$AT$2:$AT$731,MATCH($B445&amp;"_"&amp;$F445,'Coding Sheet'!$A$2:$A$731,0)),"")</f>
        <v>6.666666666666667</v>
      </c>
      <c r="K445" s="21">
        <v>4273000000</v>
      </c>
      <c r="L445" s="21">
        <v>2.2911000000000001</v>
      </c>
      <c r="M445" s="20">
        <f t="shared" si="43"/>
        <v>9789870.3000000007</v>
      </c>
      <c r="N445" s="21">
        <v>10336000</v>
      </c>
      <c r="O445" s="21">
        <v>11987000</v>
      </c>
      <c r="P445" s="20">
        <v>-885330</v>
      </c>
      <c r="Q445" s="20">
        <f t="shared" si="44"/>
        <v>1.6789747476432804</v>
      </c>
      <c r="R445" s="20">
        <f t="shared" si="45"/>
        <v>16.299333287189238</v>
      </c>
      <c r="S445" s="20">
        <f t="shared" si="46"/>
        <v>0.86226745641111202</v>
      </c>
      <c r="T445" s="20">
        <f t="shared" si="47"/>
        <v>-7.3857512304997083E-2</v>
      </c>
      <c r="U445" s="20">
        <f>IFERROR(IF(ISNUMBER(INDEX('Firm Master'!$E$2:$E$1000,MATCH($C445,'Firm Master'!$B$2:$B$1000,0))),INDEX('Firm Master'!$E$2:$E$1000,MATCH($C445,'Firm Master'!$B$2:$B$1000,0)),""),"")</f>
        <v>1957</v>
      </c>
      <c r="V445" s="21">
        <f t="shared" si="48"/>
        <v>67</v>
      </c>
      <c r="W445" s="21">
        <v>0</v>
      </c>
      <c r="X445" s="20" t="str">
        <f>IFERROR(INDEX('Firm Master'!$G$2:$G$1000,MATCH($C445,'Firm Master'!$B$2:$B$1000,0)),"")</f>
        <v>BDO Professional Services</v>
      </c>
    </row>
    <row r="446" spans="1:24" ht="27.75" customHeight="1" x14ac:dyDescent="0.3">
      <c r="A446" s="11">
        <v>445</v>
      </c>
      <c r="B446" s="11">
        <v>89</v>
      </c>
      <c r="C446" s="11" t="s">
        <v>1131</v>
      </c>
      <c r="D446" s="11" t="s">
        <v>1132</v>
      </c>
      <c r="E446" s="11" t="s">
        <v>898</v>
      </c>
      <c r="F446" s="11">
        <v>2025</v>
      </c>
      <c r="G446" s="20">
        <f t="shared" si="42"/>
        <v>1</v>
      </c>
      <c r="H446" s="21">
        <v>0</v>
      </c>
      <c r="I446" s="21">
        <f>IFERROR(INDEX('Coding Sheet'!$AC$2:$AC$731,MATCH($B446&amp;"_"&amp;$F446,'Coding Sheet'!$A$2:$A$731,0)),"")</f>
        <v>30</v>
      </c>
      <c r="J446" s="7">
        <f>IFERROR(INDEX('Coding Sheet'!$AT$2:$AT$731,MATCH($B446&amp;"_"&amp;$F446,'Coding Sheet'!$A$2:$A$731,0)),"")</f>
        <v>6.666666666666667</v>
      </c>
      <c r="K446" s="21">
        <v>4273000000</v>
      </c>
      <c r="L446" s="21">
        <v>5.7991999999999999</v>
      </c>
      <c r="M446" s="20">
        <f t="shared" si="43"/>
        <v>24779981.600000001</v>
      </c>
      <c r="N446" s="21">
        <v>11386000</v>
      </c>
      <c r="O446" s="21">
        <v>14014000</v>
      </c>
      <c r="P446" s="20">
        <v>976420</v>
      </c>
      <c r="Q446" s="20">
        <f t="shared" si="44"/>
        <v>2.5807036963036962</v>
      </c>
      <c r="R446" s="20">
        <f t="shared" si="45"/>
        <v>16.455567387912616</v>
      </c>
      <c r="S446" s="20">
        <f t="shared" si="46"/>
        <v>0.81247324104466967</v>
      </c>
      <c r="T446" s="20">
        <f t="shared" si="47"/>
        <v>6.9674611103182529E-2</v>
      </c>
      <c r="U446" s="20">
        <f>IFERROR(IF(ISNUMBER(INDEX('Firm Master'!$E$2:$E$1000,MATCH($C446,'Firm Master'!$B$2:$B$1000,0))),INDEX('Firm Master'!$E$2:$E$1000,MATCH($C446,'Firm Master'!$B$2:$B$1000,0)),""),"")</f>
        <v>1957</v>
      </c>
      <c r="V446" s="21">
        <f t="shared" si="48"/>
        <v>68</v>
      </c>
      <c r="W446" s="21">
        <v>0</v>
      </c>
      <c r="X446" s="20" t="str">
        <f>IFERROR(INDEX('Firm Master'!$G$2:$G$1000,MATCH($C446,'Firm Master'!$B$2:$B$1000,0)),"")</f>
        <v>BDO Professional Services</v>
      </c>
    </row>
    <row r="447" spans="1:24" ht="15" customHeight="1" x14ac:dyDescent="0.3">
      <c r="A447" s="11">
        <v>446</v>
      </c>
      <c r="B447" s="11">
        <v>90</v>
      </c>
      <c r="C447" s="11" t="s">
        <v>1135</v>
      </c>
      <c r="D447" s="11" t="s">
        <v>1136</v>
      </c>
      <c r="E447" s="11" t="s">
        <v>709</v>
      </c>
      <c r="F447" s="11">
        <v>2021</v>
      </c>
      <c r="G447" s="20">
        <f t="shared" si="42"/>
        <v>0</v>
      </c>
      <c r="H447" s="21">
        <v>0</v>
      </c>
      <c r="I447" s="21">
        <f>IFERROR(INDEX('Coding Sheet'!$AC$2:$AC$731,MATCH($B447&amp;"_"&amp;$F447,'Coding Sheet'!$A$2:$A$731,0)),"")</f>
        <v>10</v>
      </c>
      <c r="J447" s="7">
        <f>IFERROR(INDEX('Coding Sheet'!$AT$2:$AT$731,MATCH($B447&amp;"_"&amp;$F447,'Coding Sheet'!$A$2:$A$731,0)),"")</f>
        <v>0</v>
      </c>
      <c r="K447" s="21">
        <v>5016000000</v>
      </c>
      <c r="L447" s="21">
        <v>4.4996</v>
      </c>
      <c r="M447" s="20">
        <f t="shared" si="43"/>
        <v>22569993.600000001</v>
      </c>
      <c r="N447" s="21">
        <v>15348000</v>
      </c>
      <c r="O447" s="21">
        <v>38257000</v>
      </c>
      <c r="P447" s="20">
        <v>4432000</v>
      </c>
      <c r="Q447" s="20">
        <f t="shared" si="44"/>
        <v>0.99113870925582248</v>
      </c>
      <c r="R447" s="20">
        <f t="shared" si="45"/>
        <v>17.459837108029113</v>
      </c>
      <c r="S447" s="20">
        <f t="shared" si="46"/>
        <v>0.40118148312727081</v>
      </c>
      <c r="T447" s="20">
        <f t="shared" si="47"/>
        <v>0.11584808008991819</v>
      </c>
      <c r="U447" s="20">
        <f>IFERROR(IF(ISNUMBER(INDEX('Firm Master'!$E$2:$E$1000,MATCH($C447,'Firm Master'!$B$2:$B$1000,0))),INDEX('Firm Master'!$E$2:$E$1000,MATCH($C447,'Firm Master'!$B$2:$B$1000,0)),""),"")</f>
        <v>1948</v>
      </c>
      <c r="V447" s="21">
        <f t="shared" si="48"/>
        <v>73</v>
      </c>
      <c r="W447" s="21">
        <v>1</v>
      </c>
      <c r="X447" s="20" t="str">
        <f>IFERROR(INDEX('Firm Master'!$G$2:$G$1000,MATCH($C447,'Firm Master'!$B$2:$B$1000,0)),"")</f>
        <v>KPMG Professional Services</v>
      </c>
    </row>
    <row r="448" spans="1:24" ht="15" customHeight="1" x14ac:dyDescent="0.3">
      <c r="A448" s="11">
        <v>447</v>
      </c>
      <c r="B448" s="11">
        <v>90</v>
      </c>
      <c r="C448" s="11" t="s">
        <v>1135</v>
      </c>
      <c r="D448" s="11" t="s">
        <v>1136</v>
      </c>
      <c r="E448" s="11" t="s">
        <v>709</v>
      </c>
      <c r="F448" s="11">
        <v>2022</v>
      </c>
      <c r="G448" s="20">
        <f t="shared" si="42"/>
        <v>0</v>
      </c>
      <c r="H448" s="21">
        <v>0</v>
      </c>
      <c r="I448" s="21">
        <f>IFERROR(INDEX('Coding Sheet'!$AC$2:$AC$731,MATCH($B448&amp;"_"&amp;$F448,'Coding Sheet'!$A$2:$A$731,0)),"")</f>
        <v>10</v>
      </c>
      <c r="J448" s="7">
        <f>IFERROR(INDEX('Coding Sheet'!$AT$2:$AT$731,MATCH($B448&amp;"_"&amp;$F448,'Coding Sheet'!$A$2:$A$731,0)),"")</f>
        <v>0</v>
      </c>
      <c r="K448" s="21">
        <v>5016000000</v>
      </c>
      <c r="L448" s="21">
        <v>4.4996</v>
      </c>
      <c r="M448" s="20">
        <f t="shared" si="43"/>
        <v>22569993.600000001</v>
      </c>
      <c r="N448" s="21">
        <v>17186000</v>
      </c>
      <c r="O448" s="21">
        <v>44201000</v>
      </c>
      <c r="P448" s="20">
        <v>5401000</v>
      </c>
      <c r="Q448" s="20">
        <f t="shared" si="44"/>
        <v>0.8994365195357571</v>
      </c>
      <c r="R448" s="20">
        <f t="shared" si="45"/>
        <v>17.604257971226389</v>
      </c>
      <c r="S448" s="20">
        <f t="shared" si="46"/>
        <v>0.38881473269835526</v>
      </c>
      <c r="T448" s="20">
        <f t="shared" si="47"/>
        <v>0.12219180561525757</v>
      </c>
      <c r="U448" s="20">
        <f>IFERROR(IF(ISNUMBER(INDEX('Firm Master'!$E$2:$E$1000,MATCH($C448,'Firm Master'!$B$2:$B$1000,0))),INDEX('Firm Master'!$E$2:$E$1000,MATCH($C448,'Firm Master'!$B$2:$B$1000,0)),""),"")</f>
        <v>1948</v>
      </c>
      <c r="V448" s="21">
        <f t="shared" si="48"/>
        <v>74</v>
      </c>
      <c r="W448" s="21">
        <v>1</v>
      </c>
      <c r="X448" s="20" t="str">
        <f>IFERROR(INDEX('Firm Master'!$G$2:$G$1000,MATCH($C448,'Firm Master'!$B$2:$B$1000,0)),"")</f>
        <v>KPMG Professional Services</v>
      </c>
    </row>
    <row r="449" spans="1:24" ht="15" customHeight="1" x14ac:dyDescent="0.3">
      <c r="A449" s="11">
        <v>448</v>
      </c>
      <c r="B449" s="11">
        <v>90</v>
      </c>
      <c r="C449" s="11" t="s">
        <v>1135</v>
      </c>
      <c r="D449" s="11" t="s">
        <v>1136</v>
      </c>
      <c r="E449" s="11" t="s">
        <v>709</v>
      </c>
      <c r="F449" s="11">
        <v>2023</v>
      </c>
      <c r="G449" s="20">
        <f t="shared" si="42"/>
        <v>1</v>
      </c>
      <c r="H449" s="21">
        <v>0</v>
      </c>
      <c r="I449" s="21">
        <f>IFERROR(INDEX('Coding Sheet'!$AC$2:$AC$731,MATCH($B449&amp;"_"&amp;$F449,'Coding Sheet'!$A$2:$A$731,0)),"")</f>
        <v>10</v>
      </c>
      <c r="J449" s="7">
        <f>IFERROR(INDEX('Coding Sheet'!$AT$2:$AT$731,MATCH($B449&amp;"_"&amp;$F449,'Coding Sheet'!$A$2:$A$731,0)),"")</f>
        <v>0</v>
      </c>
      <c r="K449" s="21">
        <v>5016000000</v>
      </c>
      <c r="L449" s="21">
        <v>6.2998000000000003</v>
      </c>
      <c r="M449" s="20">
        <f t="shared" si="43"/>
        <v>31599796.800000001</v>
      </c>
      <c r="N449" s="21">
        <v>35930000</v>
      </c>
      <c r="O449" s="21">
        <v>74468000</v>
      </c>
      <c r="P449" s="20">
        <v>13021000</v>
      </c>
      <c r="Q449" s="20">
        <f t="shared" si="44"/>
        <v>0.9068297362625557</v>
      </c>
      <c r="R449" s="20">
        <f t="shared" si="45"/>
        <v>18.125880060873925</v>
      </c>
      <c r="S449" s="20">
        <f t="shared" si="46"/>
        <v>0.48248912284471185</v>
      </c>
      <c r="T449" s="20">
        <f t="shared" si="47"/>
        <v>0.17485362840414675</v>
      </c>
      <c r="U449" s="20">
        <f>IFERROR(IF(ISNUMBER(INDEX('Firm Master'!$E$2:$E$1000,MATCH($C449,'Firm Master'!$B$2:$B$1000,0))),INDEX('Firm Master'!$E$2:$E$1000,MATCH($C449,'Firm Master'!$B$2:$B$1000,0)),""),"")</f>
        <v>1948</v>
      </c>
      <c r="V449" s="21">
        <f t="shared" si="48"/>
        <v>75</v>
      </c>
      <c r="W449" s="21">
        <v>1</v>
      </c>
      <c r="X449" s="20" t="str">
        <f>IFERROR(INDEX('Firm Master'!$G$2:$G$1000,MATCH($C449,'Firm Master'!$B$2:$B$1000,0)),"")</f>
        <v>KPMG Professional Services</v>
      </c>
    </row>
    <row r="450" spans="1:24" ht="15" customHeight="1" x14ac:dyDescent="0.3">
      <c r="A450" s="11">
        <v>449</v>
      </c>
      <c r="B450" s="11">
        <v>90</v>
      </c>
      <c r="C450" s="11" t="s">
        <v>1135</v>
      </c>
      <c r="D450" s="11" t="s">
        <v>1136</v>
      </c>
      <c r="E450" s="11" t="s">
        <v>709</v>
      </c>
      <c r="F450" s="11">
        <v>2024</v>
      </c>
      <c r="G450" s="20">
        <f t="shared" ref="G450:G513" si="49">IF(F450&gt;=2023,1,0)</f>
        <v>1</v>
      </c>
      <c r="H450" s="21">
        <v>0</v>
      </c>
      <c r="I450" s="21">
        <f>IFERROR(INDEX('Coding Sheet'!$AC$2:$AC$731,MATCH($B450&amp;"_"&amp;$F450,'Coding Sheet'!$A$2:$A$731,0)),"")</f>
        <v>10</v>
      </c>
      <c r="J450" s="7">
        <f>IFERROR(INDEX('Coding Sheet'!$AT$2:$AT$731,MATCH($B450&amp;"_"&amp;$F450,'Coding Sheet'!$A$2:$A$731,0)),"")</f>
        <v>0</v>
      </c>
      <c r="K450" s="21">
        <v>5016000000</v>
      </c>
      <c r="L450" s="21">
        <v>10.951000000000001</v>
      </c>
      <c r="M450" s="20">
        <f t="shared" ref="M450:M513" si="50">IF(AND(ISNUMBER(K450),ISNUMBER(L450)),K450*L450/1000,"")</f>
        <v>54930216</v>
      </c>
      <c r="N450" s="21">
        <v>58793000</v>
      </c>
      <c r="O450" s="21">
        <v>124232000</v>
      </c>
      <c r="P450" s="20">
        <v>29214000</v>
      </c>
      <c r="Q450" s="20">
        <f t="shared" ref="Q450:Q513" si="51">IF(AND(ISNUMBER(M450),ISNUMBER(N450),ISNUMBER(O450),O450&lt;&gt;0),(M450+N450)/O450,"")</f>
        <v>0.91541000708352116</v>
      </c>
      <c r="R450" s="20">
        <f t="shared" ref="R450:R513" si="52">IF(AND(ISNUMBER(O450),O450&gt;0),LN(O450),"")</f>
        <v>18.637661343231162</v>
      </c>
      <c r="S450" s="20">
        <f t="shared" ref="S450:S513" si="53">IF(AND(ISNUMBER(N450),ISNUMBER(O450),O450&lt;&gt;0),N450/O450,"")</f>
        <v>0.47325165818790649</v>
      </c>
      <c r="T450" s="20">
        <f t="shared" ref="T450:T513" si="54">IF(AND(ISNUMBER(P450),ISNUMBER(O450),O450&lt;&gt;0),P450/O450,"")</f>
        <v>0.23515680340009015</v>
      </c>
      <c r="U450" s="20">
        <f>IFERROR(IF(ISNUMBER(INDEX('Firm Master'!$E$2:$E$1000,MATCH($C450,'Firm Master'!$B$2:$B$1000,0))),INDEX('Firm Master'!$E$2:$E$1000,MATCH($C450,'Firm Master'!$B$2:$B$1000,0)),""),"")</f>
        <v>1948</v>
      </c>
      <c r="V450" s="21">
        <f t="shared" ref="V450:V513" si="55">IF(ISNUMBER(U450),F450-U450,"")</f>
        <v>76</v>
      </c>
      <c r="W450" s="21">
        <v>1</v>
      </c>
      <c r="X450" s="20" t="str">
        <f>IFERROR(INDEX('Firm Master'!$G$2:$G$1000,MATCH($C450,'Firm Master'!$B$2:$B$1000,0)),"")</f>
        <v>KPMG Professional Services</v>
      </c>
    </row>
    <row r="451" spans="1:24" ht="15" customHeight="1" x14ac:dyDescent="0.3">
      <c r="A451" s="11">
        <v>450</v>
      </c>
      <c r="B451" s="11">
        <v>90</v>
      </c>
      <c r="C451" s="11" t="s">
        <v>1135</v>
      </c>
      <c r="D451" s="11" t="s">
        <v>1136</v>
      </c>
      <c r="E451" s="11" t="s">
        <v>709</v>
      </c>
      <c r="F451" s="11">
        <v>2025</v>
      </c>
      <c r="G451" s="20">
        <f t="shared" si="49"/>
        <v>1</v>
      </c>
      <c r="H451" s="21">
        <v>0</v>
      </c>
      <c r="I451" s="21">
        <f>IFERROR(INDEX('Coding Sheet'!$AC$2:$AC$731,MATCH($B451&amp;"_"&amp;$F451,'Coding Sheet'!$A$2:$A$731,0)),"")</f>
        <v>10</v>
      </c>
      <c r="J451" s="7">
        <f>IFERROR(INDEX('Coding Sheet'!$AT$2:$AT$731,MATCH($B451&amp;"_"&amp;$F451,'Coding Sheet'!$A$2:$A$731,0)),"")</f>
        <v>0</v>
      </c>
      <c r="K451" s="21">
        <v>5016000000</v>
      </c>
      <c r="L451" s="21">
        <v>26.802199999999999</v>
      </c>
      <c r="M451" s="20">
        <f t="shared" si="50"/>
        <v>134439835.19999999</v>
      </c>
      <c r="N451" s="21">
        <v>101582000</v>
      </c>
      <c r="O451" s="21">
        <v>186040000</v>
      </c>
      <c r="P451" s="20">
        <v>23833000</v>
      </c>
      <c r="Q451" s="20">
        <f t="shared" si="51"/>
        <v>1.2686617673618577</v>
      </c>
      <c r="R451" s="20">
        <f t="shared" si="52"/>
        <v>19.04147226232017</v>
      </c>
      <c r="S451" s="20">
        <f t="shared" si="53"/>
        <v>0.54602236078262745</v>
      </c>
      <c r="T451" s="20">
        <f t="shared" si="54"/>
        <v>0.1281068587400559</v>
      </c>
      <c r="U451" s="20">
        <f>IFERROR(IF(ISNUMBER(INDEX('Firm Master'!$E$2:$E$1000,MATCH($C451,'Firm Master'!$B$2:$B$1000,0))),INDEX('Firm Master'!$E$2:$E$1000,MATCH($C451,'Firm Master'!$B$2:$B$1000,0)),""),"")</f>
        <v>1948</v>
      </c>
      <c r="V451" s="21">
        <f t="shared" si="55"/>
        <v>77</v>
      </c>
      <c r="W451" s="21">
        <v>1</v>
      </c>
      <c r="X451" s="20" t="str">
        <f>IFERROR(INDEX('Firm Master'!$G$2:$G$1000,MATCH($C451,'Firm Master'!$B$2:$B$1000,0)),"")</f>
        <v>KPMG Professional Services</v>
      </c>
    </row>
    <row r="452" spans="1:24" ht="15" customHeight="1" x14ac:dyDescent="0.3">
      <c r="A452" s="11">
        <v>451</v>
      </c>
      <c r="B452" s="11">
        <v>91</v>
      </c>
      <c r="C452" s="11" t="s">
        <v>1139</v>
      </c>
      <c r="D452" s="11" t="s">
        <v>1140</v>
      </c>
      <c r="E452" s="11" t="s">
        <v>806</v>
      </c>
      <c r="F452" s="11">
        <v>2021</v>
      </c>
      <c r="G452" s="20">
        <f t="shared" si="49"/>
        <v>0</v>
      </c>
      <c r="H452" s="21">
        <v>0</v>
      </c>
      <c r="I452" s="21">
        <f>IFERROR(INDEX('Coding Sheet'!$AC$2:$AC$731,MATCH($B452&amp;"_"&amp;$F452,'Coding Sheet'!$A$2:$A$731,0)),"")</f>
        <v>30</v>
      </c>
      <c r="J452" s="7">
        <f>IFERROR(INDEX('Coding Sheet'!$AT$2:$AT$731,MATCH($B452&amp;"_"&amp;$F452,'Coding Sheet'!$A$2:$A$731,0)),"")</f>
        <v>0</v>
      </c>
      <c r="K452" s="21">
        <v>792660000</v>
      </c>
      <c r="L452" s="21">
        <v>1551.7372</v>
      </c>
      <c r="M452" s="20">
        <f t="shared" si="50"/>
        <v>1230000008.9519999</v>
      </c>
      <c r="N452" s="21">
        <v>288860000</v>
      </c>
      <c r="O452" s="21">
        <v>310239000</v>
      </c>
      <c r="P452" s="20">
        <v>40037000</v>
      </c>
      <c r="Q452" s="20">
        <f t="shared" si="51"/>
        <v>4.8957739322006582</v>
      </c>
      <c r="R452" s="20">
        <f t="shared" si="52"/>
        <v>19.552853526142435</v>
      </c>
      <c r="S452" s="20">
        <f t="shared" si="53"/>
        <v>0.93108861232791496</v>
      </c>
      <c r="T452" s="20">
        <f t="shared" si="54"/>
        <v>0.12905211788330931</v>
      </c>
      <c r="U452" s="20">
        <f>IFERROR(IF(ISNUMBER(INDEX('Firm Master'!$E$2:$E$1000,MATCH($C452,'Firm Master'!$B$2:$B$1000,0))),INDEX('Firm Master'!$E$2:$E$1000,MATCH($C452,'Firm Master'!$B$2:$B$1000,0)),""),"")</f>
        <v>1961</v>
      </c>
      <c r="V452" s="21">
        <f t="shared" si="55"/>
        <v>60</v>
      </c>
      <c r="W452" s="21">
        <v>1</v>
      </c>
      <c r="X452" s="20" t="str">
        <f>IFERROR(INDEX('Firm Master'!$G$2:$G$1000,MATCH($C452,'Firm Master'!$B$2:$B$1000,0)),"")</f>
        <v>Ernst &amp; Young</v>
      </c>
    </row>
    <row r="453" spans="1:24" ht="15" customHeight="1" x14ac:dyDescent="0.3">
      <c r="A453" s="11">
        <v>452</v>
      </c>
      <c r="B453" s="11">
        <v>91</v>
      </c>
      <c r="C453" s="11" t="s">
        <v>1139</v>
      </c>
      <c r="D453" s="11" t="s">
        <v>1140</v>
      </c>
      <c r="E453" s="11" t="s">
        <v>806</v>
      </c>
      <c r="F453" s="11">
        <v>2022</v>
      </c>
      <c r="G453" s="20">
        <f t="shared" si="49"/>
        <v>0</v>
      </c>
      <c r="H453" s="21">
        <v>0</v>
      </c>
      <c r="I453" s="21">
        <f>IFERROR(INDEX('Coding Sheet'!$AC$2:$AC$731,MATCH($B453&amp;"_"&amp;$F453,'Coding Sheet'!$A$2:$A$731,0)),"")</f>
        <v>30</v>
      </c>
      <c r="J453" s="7">
        <f>IFERROR(INDEX('Coding Sheet'!$AT$2:$AT$731,MATCH($B453&amp;"_"&amp;$F453,'Coding Sheet'!$A$2:$A$731,0)),"")</f>
        <v>0</v>
      </c>
      <c r="K453" s="21">
        <v>792660000</v>
      </c>
      <c r="L453" s="21">
        <v>1099.9924000000001</v>
      </c>
      <c r="M453" s="20">
        <f t="shared" si="50"/>
        <v>871919975.78400016</v>
      </c>
      <c r="N453" s="21">
        <v>384753000</v>
      </c>
      <c r="O453" s="21">
        <v>415044000</v>
      </c>
      <c r="P453" s="20">
        <v>48965000</v>
      </c>
      <c r="Q453" s="20">
        <f t="shared" si="51"/>
        <v>3.0278066320293755</v>
      </c>
      <c r="R453" s="20">
        <f t="shared" si="52"/>
        <v>19.843895096671201</v>
      </c>
      <c r="S453" s="20">
        <f t="shared" si="53"/>
        <v>0.92701737647092841</v>
      </c>
      <c r="T453" s="20">
        <f t="shared" si="54"/>
        <v>0.11797544356742899</v>
      </c>
      <c r="U453" s="20">
        <f>IFERROR(IF(ISNUMBER(INDEX('Firm Master'!$E$2:$E$1000,MATCH($C453,'Firm Master'!$B$2:$B$1000,0))),INDEX('Firm Master'!$E$2:$E$1000,MATCH($C453,'Firm Master'!$B$2:$B$1000,0)),""),"")</f>
        <v>1961</v>
      </c>
      <c r="V453" s="21">
        <f t="shared" si="55"/>
        <v>61</v>
      </c>
      <c r="W453" s="21">
        <v>1</v>
      </c>
      <c r="X453" s="20" t="str">
        <f>IFERROR(INDEX('Firm Master'!$G$2:$G$1000,MATCH($C453,'Firm Master'!$B$2:$B$1000,0)),"")</f>
        <v>Ernst &amp; Young</v>
      </c>
    </row>
    <row r="454" spans="1:24" ht="15" customHeight="1" x14ac:dyDescent="0.3">
      <c r="A454" s="11">
        <v>453</v>
      </c>
      <c r="B454" s="11">
        <v>91</v>
      </c>
      <c r="C454" s="11" t="s">
        <v>1139</v>
      </c>
      <c r="D454" s="11" t="s">
        <v>1140</v>
      </c>
      <c r="E454" s="11" t="s">
        <v>806</v>
      </c>
      <c r="F454" s="11">
        <v>2023</v>
      </c>
      <c r="G454" s="20">
        <f t="shared" si="49"/>
        <v>1</v>
      </c>
      <c r="H454" s="21">
        <v>0</v>
      </c>
      <c r="I454" s="21">
        <f>IFERROR(INDEX('Coding Sheet'!$AC$2:$AC$731,MATCH($B454&amp;"_"&amp;$F454,'Coding Sheet'!$A$2:$A$731,0)),"")</f>
        <v>30</v>
      </c>
      <c r="J454" s="7">
        <f>IFERROR(INDEX('Coding Sheet'!$AT$2:$AT$731,MATCH($B454&amp;"_"&amp;$F454,'Coding Sheet'!$A$2:$A$731,0)),"")</f>
        <v>0</v>
      </c>
      <c r="K454" s="21">
        <v>792660000</v>
      </c>
      <c r="L454" s="21">
        <v>1099.9924000000001</v>
      </c>
      <c r="M454" s="20">
        <f t="shared" si="50"/>
        <v>871919975.78400016</v>
      </c>
      <c r="N454" s="21">
        <v>659810000</v>
      </c>
      <c r="O454" s="21">
        <v>581774000</v>
      </c>
      <c r="P454" s="20">
        <v>-79474000</v>
      </c>
      <c r="Q454" s="20">
        <f t="shared" si="51"/>
        <v>2.6328608287479334</v>
      </c>
      <c r="R454" s="20">
        <f t="shared" si="52"/>
        <v>20.18159261413027</v>
      </c>
      <c r="S454" s="20">
        <f t="shared" si="53"/>
        <v>1.1341345608432141</v>
      </c>
      <c r="T454" s="20">
        <f t="shared" si="54"/>
        <v>-0.13660631104174473</v>
      </c>
      <c r="U454" s="20">
        <f>IFERROR(IF(ISNUMBER(INDEX('Firm Master'!$E$2:$E$1000,MATCH($C454,'Firm Master'!$B$2:$B$1000,0))),INDEX('Firm Master'!$E$2:$E$1000,MATCH($C454,'Firm Master'!$B$2:$B$1000,0)),""),"")</f>
        <v>1961</v>
      </c>
      <c r="V454" s="21">
        <f t="shared" si="55"/>
        <v>62</v>
      </c>
      <c r="W454" s="21">
        <v>1</v>
      </c>
      <c r="X454" s="20" t="str">
        <f>IFERROR(INDEX('Firm Master'!$G$2:$G$1000,MATCH($C454,'Firm Master'!$B$2:$B$1000,0)),"")</f>
        <v>Ernst &amp; Young</v>
      </c>
    </row>
    <row r="455" spans="1:24" ht="15" customHeight="1" x14ac:dyDescent="0.3">
      <c r="A455" s="11">
        <v>454</v>
      </c>
      <c r="B455" s="11">
        <v>91</v>
      </c>
      <c r="C455" s="11" t="s">
        <v>1139</v>
      </c>
      <c r="D455" s="11" t="s">
        <v>1140</v>
      </c>
      <c r="E455" s="11" t="s">
        <v>806</v>
      </c>
      <c r="F455" s="11">
        <v>2024</v>
      </c>
      <c r="G455" s="20">
        <f t="shared" si="49"/>
        <v>1</v>
      </c>
      <c r="H455" s="21">
        <v>0</v>
      </c>
      <c r="I455" s="21">
        <f>IFERROR(INDEX('Coding Sheet'!$AC$2:$AC$731,MATCH($B455&amp;"_"&amp;$F455,'Coding Sheet'!$A$2:$A$731,0)),"")</f>
        <v>30</v>
      </c>
      <c r="J455" s="7">
        <f>IFERROR(INDEX('Coding Sheet'!$AT$2:$AT$731,MATCH($B455&amp;"_"&amp;$F455,'Coding Sheet'!$A$2:$A$731,0)),"")</f>
        <v>0</v>
      </c>
      <c r="K455" s="21">
        <v>792660000</v>
      </c>
      <c r="L455" s="21">
        <v>874.9905</v>
      </c>
      <c r="M455" s="20">
        <f t="shared" si="50"/>
        <v>693569969.73000002</v>
      </c>
      <c r="N455" s="21">
        <v>950988000</v>
      </c>
      <c r="O455" s="21">
        <v>858698000</v>
      </c>
      <c r="P455" s="20">
        <v>-164595000</v>
      </c>
      <c r="Q455" s="20">
        <f t="shared" si="51"/>
        <v>1.9151761966721712</v>
      </c>
      <c r="R455" s="20">
        <f t="shared" si="52"/>
        <v>20.57092784653787</v>
      </c>
      <c r="S455" s="20">
        <f t="shared" si="53"/>
        <v>1.1074766681650592</v>
      </c>
      <c r="T455" s="20">
        <f t="shared" si="54"/>
        <v>-0.1916797290782091</v>
      </c>
      <c r="U455" s="20">
        <f>IFERROR(IF(ISNUMBER(INDEX('Firm Master'!$E$2:$E$1000,MATCH($C455,'Firm Master'!$B$2:$B$1000,0))),INDEX('Firm Master'!$E$2:$E$1000,MATCH($C455,'Firm Master'!$B$2:$B$1000,0)),""),"")</f>
        <v>1961</v>
      </c>
      <c r="V455" s="21">
        <f t="shared" si="55"/>
        <v>63</v>
      </c>
      <c r="W455" s="21">
        <v>1</v>
      </c>
      <c r="X455" s="20" t="str">
        <f>IFERROR(INDEX('Firm Master'!$G$2:$G$1000,MATCH($C455,'Firm Master'!$B$2:$B$1000,0)),"")</f>
        <v>Ernst &amp; Young</v>
      </c>
    </row>
    <row r="456" spans="1:24" ht="15" customHeight="1" x14ac:dyDescent="0.3">
      <c r="A456" s="11">
        <v>455</v>
      </c>
      <c r="B456" s="11">
        <v>91</v>
      </c>
      <c r="C456" s="11" t="s">
        <v>1139</v>
      </c>
      <c r="D456" s="11" t="s">
        <v>1140</v>
      </c>
      <c r="E456" s="11" t="s">
        <v>806</v>
      </c>
      <c r="F456" s="11">
        <v>2025</v>
      </c>
      <c r="G456" s="20">
        <f t="shared" si="49"/>
        <v>1</v>
      </c>
      <c r="H456" s="21">
        <v>0</v>
      </c>
      <c r="I456" s="21">
        <f>IFERROR(INDEX('Coding Sheet'!$AC$2:$AC$731,MATCH($B456&amp;"_"&amp;$F456,'Coding Sheet'!$A$2:$A$731,0)),"")</f>
        <v>30</v>
      </c>
      <c r="J456" s="7">
        <f>IFERROR(INDEX('Coding Sheet'!$AT$2:$AT$731,MATCH($B456&amp;"_"&amp;$F456,'Coding Sheet'!$A$2:$A$731,0)),"")</f>
        <v>0</v>
      </c>
      <c r="K456" s="21">
        <v>792660000</v>
      </c>
      <c r="L456" s="21">
        <v>1955.4412</v>
      </c>
      <c r="M456" s="20">
        <f t="shared" si="50"/>
        <v>1550000021.592</v>
      </c>
      <c r="N456" s="21">
        <v>833269000</v>
      </c>
      <c r="O456" s="21">
        <v>846160000</v>
      </c>
      <c r="P456" s="20">
        <v>104966000</v>
      </c>
      <c r="Q456" s="20">
        <f t="shared" si="51"/>
        <v>2.8165701777347074</v>
      </c>
      <c r="R456" s="20">
        <f t="shared" si="52"/>
        <v>20.55621902498407</v>
      </c>
      <c r="S456" s="20">
        <f t="shared" si="53"/>
        <v>0.98476529261605372</v>
      </c>
      <c r="T456" s="20">
        <f t="shared" si="54"/>
        <v>0.12404982509218115</v>
      </c>
      <c r="U456" s="20">
        <f>IFERROR(IF(ISNUMBER(INDEX('Firm Master'!$E$2:$E$1000,MATCH($C456,'Firm Master'!$B$2:$B$1000,0))),INDEX('Firm Master'!$E$2:$E$1000,MATCH($C456,'Firm Master'!$B$2:$B$1000,0)),""),"")</f>
        <v>1961</v>
      </c>
      <c r="V456" s="21">
        <f t="shared" si="55"/>
        <v>64</v>
      </c>
      <c r="W456" s="21">
        <v>1</v>
      </c>
      <c r="X456" s="20" t="str">
        <f>IFERROR(INDEX('Firm Master'!$G$2:$G$1000,MATCH($C456,'Firm Master'!$B$2:$B$1000,0)),"")</f>
        <v>Ernst &amp; Young</v>
      </c>
    </row>
    <row r="457" spans="1:24" ht="15" customHeight="1" x14ac:dyDescent="0.3">
      <c r="A457" s="11">
        <v>456</v>
      </c>
      <c r="B457" s="11">
        <v>92</v>
      </c>
      <c r="C457" s="11" t="s">
        <v>1143</v>
      </c>
      <c r="D457" s="11" t="s">
        <v>1144</v>
      </c>
      <c r="E457" s="11" t="s">
        <v>709</v>
      </c>
      <c r="F457" s="11">
        <v>2021</v>
      </c>
      <c r="G457" s="20">
        <f t="shared" si="49"/>
        <v>0</v>
      </c>
      <c r="H457" s="21">
        <v>0</v>
      </c>
      <c r="I457" s="21">
        <f>IFERROR(INDEX('Coding Sheet'!$AC$2:$AC$731,MATCH($B457&amp;"_"&amp;$F457,'Coding Sheet'!$A$2:$A$731,0)),"")</f>
        <v>25</v>
      </c>
      <c r="J457" s="7">
        <f>IFERROR(INDEX('Coding Sheet'!$AT$2:$AT$731,MATCH($B457&amp;"_"&amp;$F457,'Coding Sheet'!$A$2:$A$731,0)),"")</f>
        <v>0</v>
      </c>
      <c r="K457" s="21">
        <v>2619000000</v>
      </c>
      <c r="L457" s="21">
        <v>14.9255</v>
      </c>
      <c r="M457" s="20">
        <f t="shared" si="50"/>
        <v>39089884.5</v>
      </c>
      <c r="N457" s="21">
        <v>3755000</v>
      </c>
      <c r="O457" s="21">
        <v>37869000</v>
      </c>
      <c r="P457" s="20">
        <v>2248000</v>
      </c>
      <c r="Q457" s="20">
        <f t="shared" si="51"/>
        <v>1.1313973038633183</v>
      </c>
      <c r="R457" s="20">
        <f t="shared" si="52"/>
        <v>17.449643393403107</v>
      </c>
      <c r="S457" s="20">
        <f t="shared" si="53"/>
        <v>9.9157622329609965E-2</v>
      </c>
      <c r="T457" s="20">
        <f t="shared" si="54"/>
        <v>5.9362539280149992E-2</v>
      </c>
      <c r="U457" s="20">
        <f>IFERROR(IF(ISNUMBER(INDEX('Firm Master'!$E$2:$E$1000,MATCH($C457,'Firm Master'!$B$2:$B$1000,0))),INDEX('Firm Master'!$E$2:$E$1000,MATCH($C457,'Firm Master'!$B$2:$B$1000,0)),""),"")</f>
        <v>1960</v>
      </c>
      <c r="V457" s="21">
        <f t="shared" si="55"/>
        <v>61</v>
      </c>
      <c r="W457" s="21">
        <v>1</v>
      </c>
      <c r="X457" s="20" t="str">
        <f>IFERROR(INDEX('Firm Master'!$G$2:$G$1000,MATCH($C457,'Firm Master'!$B$2:$B$1000,0)),"")</f>
        <v>Ernst &amp; Young</v>
      </c>
    </row>
    <row r="458" spans="1:24" ht="15" customHeight="1" x14ac:dyDescent="0.3">
      <c r="A458" s="11">
        <v>457</v>
      </c>
      <c r="B458" s="11">
        <v>92</v>
      </c>
      <c r="C458" s="11" t="s">
        <v>1143</v>
      </c>
      <c r="D458" s="11" t="s">
        <v>1144</v>
      </c>
      <c r="E458" s="11" t="s">
        <v>709</v>
      </c>
      <c r="F458" s="11">
        <v>2022</v>
      </c>
      <c r="G458" s="20">
        <f t="shared" si="49"/>
        <v>0</v>
      </c>
      <c r="H458" s="21">
        <v>0</v>
      </c>
      <c r="I458" s="21">
        <f>IFERROR(INDEX('Coding Sheet'!$AC$2:$AC$731,MATCH($B458&amp;"_"&amp;$F458,'Coding Sheet'!$A$2:$A$731,0)),"")</f>
        <v>25</v>
      </c>
      <c r="J458" s="7">
        <f>IFERROR(INDEX('Coding Sheet'!$AT$2:$AT$731,MATCH($B458&amp;"_"&amp;$F458,'Coding Sheet'!$A$2:$A$731,0)),"")</f>
        <v>0</v>
      </c>
      <c r="K458" s="21">
        <v>2939000000</v>
      </c>
      <c r="L458" s="21">
        <v>16.740400000000001</v>
      </c>
      <c r="M458" s="20">
        <f t="shared" si="50"/>
        <v>49200035.600000001</v>
      </c>
      <c r="N458" s="21">
        <v>20256000</v>
      </c>
      <c r="O458" s="21">
        <v>57063000</v>
      </c>
      <c r="P458" s="20">
        <v>591510</v>
      </c>
      <c r="Q458" s="20">
        <f t="shared" si="51"/>
        <v>1.2171816343339816</v>
      </c>
      <c r="R458" s="20">
        <f t="shared" si="52"/>
        <v>17.859666478603089</v>
      </c>
      <c r="S458" s="20">
        <f t="shared" si="53"/>
        <v>0.35497607907050105</v>
      </c>
      <c r="T458" s="20">
        <f t="shared" si="54"/>
        <v>1.0365911361127175E-2</v>
      </c>
      <c r="U458" s="20">
        <f>IFERROR(IF(ISNUMBER(INDEX('Firm Master'!$E$2:$E$1000,MATCH($C458,'Firm Master'!$B$2:$B$1000,0))),INDEX('Firm Master'!$E$2:$E$1000,MATCH($C458,'Firm Master'!$B$2:$B$1000,0)),""),"")</f>
        <v>1960</v>
      </c>
      <c r="V458" s="21">
        <f t="shared" si="55"/>
        <v>62</v>
      </c>
      <c r="W458" s="21">
        <v>1</v>
      </c>
      <c r="X458" s="20" t="str">
        <f>IFERROR(INDEX('Firm Master'!$G$2:$G$1000,MATCH($C458,'Firm Master'!$B$2:$B$1000,0)),"")</f>
        <v>Ernst &amp; Young</v>
      </c>
    </row>
    <row r="459" spans="1:24" ht="15" customHeight="1" x14ac:dyDescent="0.3">
      <c r="A459" s="11">
        <v>458</v>
      </c>
      <c r="B459" s="11">
        <v>92</v>
      </c>
      <c r="C459" s="11" t="s">
        <v>1143</v>
      </c>
      <c r="D459" s="11" t="s">
        <v>1144</v>
      </c>
      <c r="E459" s="11" t="s">
        <v>709</v>
      </c>
      <c r="F459" s="11">
        <v>2023</v>
      </c>
      <c r="G459" s="20">
        <f t="shared" si="49"/>
        <v>1</v>
      </c>
      <c r="H459" s="21">
        <v>0</v>
      </c>
      <c r="I459" s="21">
        <f>IFERROR(INDEX('Coding Sheet'!$AC$2:$AC$731,MATCH($B459&amp;"_"&amp;$F459,'Coding Sheet'!$A$2:$A$731,0)),"")</f>
        <v>25</v>
      </c>
      <c r="J459" s="7">
        <f>IFERROR(INDEX('Coding Sheet'!$AT$2:$AT$731,MATCH($B459&amp;"_"&amp;$F459,'Coding Sheet'!$A$2:$A$731,0)),"")</f>
        <v>0</v>
      </c>
      <c r="K459" s="21">
        <v>2939000000</v>
      </c>
      <c r="L459" s="21">
        <v>17.628399999999999</v>
      </c>
      <c r="M459" s="20">
        <f t="shared" si="50"/>
        <v>51809867.600000001</v>
      </c>
      <c r="N459" s="21">
        <v>20378000</v>
      </c>
      <c r="O459" s="21">
        <v>59841000</v>
      </c>
      <c r="P459" s="20">
        <v>5251000</v>
      </c>
      <c r="Q459" s="20">
        <f t="shared" si="51"/>
        <v>1.2063278955899801</v>
      </c>
      <c r="R459" s="20">
        <f t="shared" si="52"/>
        <v>17.907201602720811</v>
      </c>
      <c r="S459" s="20">
        <f t="shared" si="53"/>
        <v>0.34053575307899264</v>
      </c>
      <c r="T459" s="20">
        <f t="shared" si="54"/>
        <v>8.7749202052104749E-2</v>
      </c>
      <c r="U459" s="20">
        <f>IFERROR(IF(ISNUMBER(INDEX('Firm Master'!$E$2:$E$1000,MATCH($C459,'Firm Master'!$B$2:$B$1000,0))),INDEX('Firm Master'!$E$2:$E$1000,MATCH($C459,'Firm Master'!$B$2:$B$1000,0)),""),"")</f>
        <v>1960</v>
      </c>
      <c r="V459" s="21">
        <f t="shared" si="55"/>
        <v>63</v>
      </c>
      <c r="W459" s="21">
        <v>1</v>
      </c>
      <c r="X459" s="20" t="str">
        <f>IFERROR(INDEX('Firm Master'!$G$2:$G$1000,MATCH($C459,'Firm Master'!$B$2:$B$1000,0)),"")</f>
        <v>Ernst &amp; Young</v>
      </c>
    </row>
    <row r="460" spans="1:24" ht="15" customHeight="1" x14ac:dyDescent="0.3">
      <c r="A460" s="11">
        <v>459</v>
      </c>
      <c r="B460" s="11">
        <v>92</v>
      </c>
      <c r="C460" s="11" t="s">
        <v>1143</v>
      </c>
      <c r="D460" s="11" t="s">
        <v>1144</v>
      </c>
      <c r="E460" s="11" t="s">
        <v>709</v>
      </c>
      <c r="F460" s="11">
        <v>2024</v>
      </c>
      <c r="G460" s="20">
        <f t="shared" si="49"/>
        <v>1</v>
      </c>
      <c r="H460" s="21">
        <v>0</v>
      </c>
      <c r="I460" s="21">
        <f>IFERROR(INDEX('Coding Sheet'!$AC$2:$AC$731,MATCH($B460&amp;"_"&amp;$F460,'Coding Sheet'!$A$2:$A$731,0)),"")</f>
        <v>25</v>
      </c>
      <c r="J460" s="7">
        <f>IFERROR(INDEX('Coding Sheet'!$AT$2:$AT$731,MATCH($B460&amp;"_"&amp;$F460,'Coding Sheet'!$A$2:$A$731,0)),"")</f>
        <v>0</v>
      </c>
      <c r="K460" s="21">
        <v>2939000000</v>
      </c>
      <c r="L460" s="21">
        <v>20.442299999999999</v>
      </c>
      <c r="M460" s="20">
        <f t="shared" si="50"/>
        <v>60079919.700000003</v>
      </c>
      <c r="N460" s="21">
        <v>19493000</v>
      </c>
      <c r="O460" s="21">
        <v>68040000</v>
      </c>
      <c r="P460" s="20">
        <v>9920000</v>
      </c>
      <c r="Q460" s="20">
        <f t="shared" si="51"/>
        <v>1.1695020532039977</v>
      </c>
      <c r="R460" s="20">
        <f t="shared" si="52"/>
        <v>18.035606325491933</v>
      </c>
      <c r="S460" s="20">
        <f t="shared" si="53"/>
        <v>0.28649323927101705</v>
      </c>
      <c r="T460" s="20">
        <f t="shared" si="54"/>
        <v>0.1457965902410347</v>
      </c>
      <c r="U460" s="20">
        <f>IFERROR(IF(ISNUMBER(INDEX('Firm Master'!$E$2:$E$1000,MATCH($C460,'Firm Master'!$B$2:$B$1000,0))),INDEX('Firm Master'!$E$2:$E$1000,MATCH($C460,'Firm Master'!$B$2:$B$1000,0)),""),"")</f>
        <v>1960</v>
      </c>
      <c r="V460" s="21">
        <f t="shared" si="55"/>
        <v>64</v>
      </c>
      <c r="W460" s="21">
        <v>1</v>
      </c>
      <c r="X460" s="20" t="str">
        <f>IFERROR(INDEX('Firm Master'!$G$2:$G$1000,MATCH($C460,'Firm Master'!$B$2:$B$1000,0)),"")</f>
        <v>Ernst &amp; Young</v>
      </c>
    </row>
    <row r="461" spans="1:24" ht="15" customHeight="1" x14ac:dyDescent="0.3">
      <c r="A461" s="11">
        <v>460</v>
      </c>
      <c r="B461" s="11">
        <v>92</v>
      </c>
      <c r="C461" s="11" t="s">
        <v>1143</v>
      </c>
      <c r="D461" s="11" t="s">
        <v>1144</v>
      </c>
      <c r="E461" s="11" t="s">
        <v>709</v>
      </c>
      <c r="F461" s="11">
        <v>2025</v>
      </c>
      <c r="G461" s="20">
        <f t="shared" si="49"/>
        <v>1</v>
      </c>
      <c r="H461" s="21">
        <v>0</v>
      </c>
      <c r="I461" s="21">
        <f>IFERROR(INDEX('Coding Sheet'!$AC$2:$AC$731,MATCH($B461&amp;"_"&amp;$F461,'Coding Sheet'!$A$2:$A$731,0)),"")</f>
        <v>35</v>
      </c>
      <c r="J461" s="7">
        <f>IFERROR(INDEX('Coding Sheet'!$AT$2:$AT$731,MATCH($B461&amp;"_"&amp;$F461,'Coding Sheet'!$A$2:$A$731,0)),"")</f>
        <v>6.666666666666667</v>
      </c>
      <c r="K461" s="21">
        <v>2939000000</v>
      </c>
      <c r="L461" s="21">
        <v>52.5077</v>
      </c>
      <c r="M461" s="20">
        <f t="shared" si="50"/>
        <v>154320130.30000001</v>
      </c>
      <c r="N461" s="21">
        <v>15846000</v>
      </c>
      <c r="O461" s="21">
        <v>71050000</v>
      </c>
      <c r="P461" s="20">
        <v>10479000</v>
      </c>
      <c r="Q461" s="20">
        <f t="shared" si="51"/>
        <v>2.3950194271639691</v>
      </c>
      <c r="R461" s="20">
        <f t="shared" si="52"/>
        <v>18.078894412507385</v>
      </c>
      <c r="S461" s="20">
        <f t="shared" si="53"/>
        <v>0.22302603800140747</v>
      </c>
      <c r="T461" s="20">
        <f t="shared" si="54"/>
        <v>0.14748768472906404</v>
      </c>
      <c r="U461" s="20">
        <f>IFERROR(IF(ISNUMBER(INDEX('Firm Master'!$E$2:$E$1000,MATCH($C461,'Firm Master'!$B$2:$B$1000,0))),INDEX('Firm Master'!$E$2:$E$1000,MATCH($C461,'Firm Master'!$B$2:$B$1000,0)),""),"")</f>
        <v>1960</v>
      </c>
      <c r="V461" s="21">
        <f t="shared" si="55"/>
        <v>65</v>
      </c>
      <c r="W461" s="21">
        <v>1</v>
      </c>
      <c r="X461" s="20" t="str">
        <f>IFERROR(INDEX('Firm Master'!$G$2:$G$1000,MATCH($C461,'Firm Master'!$B$2:$B$1000,0)),"")</f>
        <v>Ernst &amp; Young</v>
      </c>
    </row>
    <row r="462" spans="1:24" ht="27.75" customHeight="1" x14ac:dyDescent="0.3">
      <c r="A462" s="16">
        <v>461</v>
      </c>
      <c r="B462" s="16">
        <v>93</v>
      </c>
      <c r="C462" s="16" t="s">
        <v>1147</v>
      </c>
      <c r="D462" s="16" t="s">
        <v>1148</v>
      </c>
      <c r="E462" s="16" t="s">
        <v>780</v>
      </c>
      <c r="F462" s="16">
        <v>2021</v>
      </c>
      <c r="G462" s="16">
        <f t="shared" si="49"/>
        <v>0</v>
      </c>
      <c r="H462" s="16">
        <v>0</v>
      </c>
      <c r="I462" s="16" t="str">
        <f>IFERROR(INDEX('Coding Sheet'!$AC$2:$AC$731,MATCH($B462&amp;"_"&amp;$F462,'Coding Sheet'!$A$2:$A$731,0)),"")</f>
        <v/>
      </c>
      <c r="J462" s="22" t="str">
        <f>IFERROR(INDEX('Coding Sheet'!$AT$2:$AT$731,MATCH($B462&amp;"_"&amp;$F462,'Coding Sheet'!$A$2:$A$731,0)),"")</f>
        <v/>
      </c>
      <c r="K462" s="16"/>
      <c r="L462" s="16"/>
      <c r="M462" s="16" t="str">
        <f t="shared" si="50"/>
        <v/>
      </c>
      <c r="N462" s="16"/>
      <c r="O462" s="16"/>
      <c r="P462" s="16"/>
      <c r="Q462" s="16" t="str">
        <f t="shared" si="51"/>
        <v/>
      </c>
      <c r="R462" s="16" t="str">
        <f t="shared" si="52"/>
        <v/>
      </c>
      <c r="S462" s="16" t="str">
        <f t="shared" si="53"/>
        <v/>
      </c>
      <c r="T462" s="16" t="str">
        <f t="shared" si="54"/>
        <v/>
      </c>
      <c r="U462" s="16">
        <f>IFERROR(IF(ISNUMBER(INDEX('Firm Master'!$E$2:$E$1000,MATCH($C462,'Firm Master'!$B$2:$B$1000,0))),INDEX('Firm Master'!$E$2:$E$1000,MATCH($C462,'Firm Master'!$B$2:$B$1000,0)),""),"")</f>
        <v>2017</v>
      </c>
      <c r="V462" s="16">
        <f t="shared" si="55"/>
        <v>4</v>
      </c>
      <c r="W462" s="16"/>
      <c r="X462" s="16" t="str">
        <f>IFERROR(INDEX('Firm Master'!$G$2:$G$1000,MATCH($C462,'Firm Master'!$B$2:$B$1000,0)),"")</f>
        <v>PwC Nigeria</v>
      </c>
    </row>
    <row r="463" spans="1:24" ht="27.75" customHeight="1" x14ac:dyDescent="0.3">
      <c r="A463" s="16">
        <v>462</v>
      </c>
      <c r="B463" s="16">
        <v>93</v>
      </c>
      <c r="C463" s="16" t="s">
        <v>1147</v>
      </c>
      <c r="D463" s="16" t="s">
        <v>1148</v>
      </c>
      <c r="E463" s="16" t="s">
        <v>780</v>
      </c>
      <c r="F463" s="16">
        <v>2022</v>
      </c>
      <c r="G463" s="16">
        <f t="shared" si="49"/>
        <v>0</v>
      </c>
      <c r="H463" s="16">
        <v>0</v>
      </c>
      <c r="I463" s="16" t="str">
        <f>IFERROR(INDEX('Coding Sheet'!$AC$2:$AC$731,MATCH($B463&amp;"_"&amp;$F463,'Coding Sheet'!$A$2:$A$731,0)),"")</f>
        <v/>
      </c>
      <c r="J463" s="22" t="str">
        <f>IFERROR(INDEX('Coding Sheet'!$AT$2:$AT$731,MATCH($B463&amp;"_"&amp;$F463,'Coding Sheet'!$A$2:$A$731,0)),"")</f>
        <v/>
      </c>
      <c r="K463" s="16"/>
      <c r="L463" s="16"/>
      <c r="M463" s="16" t="str">
        <f t="shared" si="50"/>
        <v/>
      </c>
      <c r="N463" s="16"/>
      <c r="O463" s="16"/>
      <c r="P463" s="16"/>
      <c r="Q463" s="16" t="str">
        <f t="shared" si="51"/>
        <v/>
      </c>
      <c r="R463" s="16" t="str">
        <f t="shared" si="52"/>
        <v/>
      </c>
      <c r="S463" s="16" t="str">
        <f t="shared" si="53"/>
        <v/>
      </c>
      <c r="T463" s="16" t="str">
        <f t="shared" si="54"/>
        <v/>
      </c>
      <c r="U463" s="16">
        <f>IFERROR(IF(ISNUMBER(INDEX('Firm Master'!$E$2:$E$1000,MATCH($C463,'Firm Master'!$B$2:$B$1000,0))),INDEX('Firm Master'!$E$2:$E$1000,MATCH($C463,'Firm Master'!$B$2:$B$1000,0)),""),"")</f>
        <v>2017</v>
      </c>
      <c r="V463" s="16">
        <f t="shared" si="55"/>
        <v>5</v>
      </c>
      <c r="W463" s="16"/>
      <c r="X463" s="16" t="str">
        <f>IFERROR(INDEX('Firm Master'!$G$2:$G$1000,MATCH($C463,'Firm Master'!$B$2:$B$1000,0)),"")</f>
        <v>PwC Nigeria</v>
      </c>
    </row>
    <row r="464" spans="1:24" ht="27.75" customHeight="1" x14ac:dyDescent="0.3">
      <c r="A464" s="16">
        <v>463</v>
      </c>
      <c r="B464" s="16">
        <v>93</v>
      </c>
      <c r="C464" s="16" t="s">
        <v>1147</v>
      </c>
      <c r="D464" s="16" t="s">
        <v>1148</v>
      </c>
      <c r="E464" s="16" t="s">
        <v>780</v>
      </c>
      <c r="F464" s="16">
        <v>2023</v>
      </c>
      <c r="G464" s="16">
        <f t="shared" si="49"/>
        <v>1</v>
      </c>
      <c r="H464" s="16">
        <v>0</v>
      </c>
      <c r="I464" s="16">
        <f>IFERROR(INDEX('Coding Sheet'!$AC$2:$AC$731,MATCH($B464&amp;"_"&amp;$F464,'Coding Sheet'!$A$2:$A$731,0)),"")</f>
        <v>65</v>
      </c>
      <c r="J464" s="22">
        <f>IFERROR(INDEX('Coding Sheet'!$AT$2:$AT$731,MATCH($B464&amp;"_"&amp;$F464,'Coding Sheet'!$A$2:$A$731,0)),"")</f>
        <v>26.666666666666668</v>
      </c>
      <c r="K464" s="16">
        <v>960649000</v>
      </c>
      <c r="L464" s="16">
        <v>107.54</v>
      </c>
      <c r="M464" s="16">
        <f t="shared" si="50"/>
        <v>103308193.45999999</v>
      </c>
      <c r="N464" s="16">
        <v>4491893</v>
      </c>
      <c r="O464" s="16">
        <v>107797894</v>
      </c>
      <c r="P464" s="16">
        <v>20400000</v>
      </c>
      <c r="Q464" s="16">
        <f t="shared" si="51"/>
        <v>1.0000203386162627</v>
      </c>
      <c r="R464" s="16">
        <f t="shared" si="52"/>
        <v>18.495768680070231</v>
      </c>
      <c r="S464" s="16">
        <f t="shared" si="53"/>
        <v>4.1669580298108605E-2</v>
      </c>
      <c r="T464" s="16">
        <f t="shared" si="54"/>
        <v>0.18924302918199867</v>
      </c>
      <c r="U464" s="16">
        <f>IFERROR(IF(ISNUMBER(INDEX('Firm Master'!$E$2:$E$1000,MATCH($C464,'Firm Master'!$B$2:$B$1000,0))),INDEX('Firm Master'!$E$2:$E$1000,MATCH($C464,'Firm Master'!$B$2:$B$1000,0)),""),"")</f>
        <v>2017</v>
      </c>
      <c r="V464" s="16">
        <f t="shared" si="55"/>
        <v>6</v>
      </c>
      <c r="W464" s="16">
        <v>1</v>
      </c>
      <c r="X464" s="16" t="str">
        <f>IFERROR(INDEX('Firm Master'!$G$2:$G$1000,MATCH($C464,'Firm Master'!$B$2:$B$1000,0)),"")</f>
        <v>PwC Nigeria</v>
      </c>
    </row>
    <row r="465" spans="1:24" ht="27.75" customHeight="1" x14ac:dyDescent="0.3">
      <c r="A465" s="16">
        <v>464</v>
      </c>
      <c r="B465" s="16">
        <v>93</v>
      </c>
      <c r="C465" s="16" t="s">
        <v>1147</v>
      </c>
      <c r="D465" s="16" t="s">
        <v>1148</v>
      </c>
      <c r="E465" s="16" t="s">
        <v>780</v>
      </c>
      <c r="F465" s="16">
        <v>2024</v>
      </c>
      <c r="G465" s="16">
        <f t="shared" si="49"/>
        <v>1</v>
      </c>
      <c r="H465" s="16">
        <v>0</v>
      </c>
      <c r="I465" s="16">
        <f>IFERROR(INDEX('Coding Sheet'!$AC$2:$AC$731,MATCH($B465&amp;"_"&amp;$F465,'Coding Sheet'!$A$2:$A$731,0)),"")</f>
        <v>65</v>
      </c>
      <c r="J465" s="22">
        <f>IFERROR(INDEX('Coding Sheet'!$AT$2:$AT$731,MATCH($B465&amp;"_"&amp;$F465,'Coding Sheet'!$A$2:$A$731,0)),"")</f>
        <v>26.666666666666668</v>
      </c>
      <c r="K465" s="16">
        <v>1055000000</v>
      </c>
      <c r="L465" s="16">
        <v>107.79</v>
      </c>
      <c r="M465" s="16">
        <f t="shared" si="50"/>
        <v>113718450</v>
      </c>
      <c r="N465" s="16">
        <v>6990000</v>
      </c>
      <c r="O465" s="16">
        <v>120740000</v>
      </c>
      <c r="P465" s="16">
        <v>19590000</v>
      </c>
      <c r="Q465" s="16">
        <f t="shared" si="51"/>
        <v>0.99973869471591847</v>
      </c>
      <c r="R465" s="16">
        <f t="shared" si="52"/>
        <v>18.609150031332554</v>
      </c>
      <c r="S465" s="16">
        <f t="shared" si="53"/>
        <v>5.7892993208547294E-2</v>
      </c>
      <c r="T465" s="16">
        <f t="shared" si="54"/>
        <v>0.16224946165313897</v>
      </c>
      <c r="U465" s="16">
        <f>IFERROR(IF(ISNUMBER(INDEX('Firm Master'!$E$2:$E$1000,MATCH($C465,'Firm Master'!$B$2:$B$1000,0))),INDEX('Firm Master'!$E$2:$E$1000,MATCH($C465,'Firm Master'!$B$2:$B$1000,0)),""),"")</f>
        <v>2017</v>
      </c>
      <c r="V465" s="16">
        <f t="shared" si="55"/>
        <v>7</v>
      </c>
      <c r="W465" s="16">
        <v>1</v>
      </c>
      <c r="X465" s="16" t="str">
        <f>IFERROR(INDEX('Firm Master'!$G$2:$G$1000,MATCH($C465,'Firm Master'!$B$2:$B$1000,0)),"")</f>
        <v>PwC Nigeria</v>
      </c>
    </row>
    <row r="466" spans="1:24" ht="27.75" customHeight="1" x14ac:dyDescent="0.3">
      <c r="A466" s="16">
        <v>465</v>
      </c>
      <c r="B466" s="16">
        <v>93</v>
      </c>
      <c r="C466" s="16" t="s">
        <v>1147</v>
      </c>
      <c r="D466" s="16" t="s">
        <v>1148</v>
      </c>
      <c r="E466" s="16" t="s">
        <v>780</v>
      </c>
      <c r="F466" s="16">
        <v>2025</v>
      </c>
      <c r="G466" s="16">
        <f t="shared" si="49"/>
        <v>1</v>
      </c>
      <c r="H466" s="16">
        <v>0</v>
      </c>
      <c r="I466" s="16">
        <f>IFERROR(INDEX('Coding Sheet'!$AC$2:$AC$731,MATCH($B466&amp;"_"&amp;$F466,'Coding Sheet'!$A$2:$A$731,0)),"")</f>
        <v>65</v>
      </c>
      <c r="J466" s="22">
        <f>IFERROR(INDEX('Coding Sheet'!$AT$2:$AT$731,MATCH($B466&amp;"_"&amp;$F466,'Coding Sheet'!$A$2:$A$731,0)),"")</f>
        <v>26.666666666666668</v>
      </c>
      <c r="K466" s="16">
        <v>1196000000</v>
      </c>
      <c r="L466" s="16">
        <v>109.12</v>
      </c>
      <c r="M466" s="16">
        <f t="shared" si="50"/>
        <v>130507520</v>
      </c>
      <c r="N466" s="16">
        <v>7240000</v>
      </c>
      <c r="O466" s="16">
        <v>137790000</v>
      </c>
      <c r="P466" s="16">
        <v>23630000</v>
      </c>
      <c r="Q466" s="16">
        <f t="shared" si="51"/>
        <v>0.99969170476812541</v>
      </c>
      <c r="R466" s="16">
        <f t="shared" si="52"/>
        <v>18.741241344970085</v>
      </c>
      <c r="S466" s="16">
        <f t="shared" si="53"/>
        <v>5.254372595979389E-2</v>
      </c>
      <c r="T466" s="16">
        <f t="shared" si="54"/>
        <v>0.171492851440598</v>
      </c>
      <c r="U466" s="16">
        <f>IFERROR(IF(ISNUMBER(INDEX('Firm Master'!$E$2:$E$1000,MATCH($C466,'Firm Master'!$B$2:$B$1000,0))),INDEX('Firm Master'!$E$2:$E$1000,MATCH($C466,'Firm Master'!$B$2:$B$1000,0)),""),"")</f>
        <v>2017</v>
      </c>
      <c r="V466" s="16">
        <f t="shared" si="55"/>
        <v>8</v>
      </c>
      <c r="W466" s="16">
        <v>1</v>
      </c>
      <c r="X466" s="16" t="str">
        <f>IFERROR(INDEX('Firm Master'!$G$2:$G$1000,MATCH($C466,'Firm Master'!$B$2:$B$1000,0)),"")</f>
        <v>PwC Nigeria</v>
      </c>
    </row>
    <row r="467" spans="1:24" ht="15" customHeight="1" x14ac:dyDescent="0.3">
      <c r="A467" s="11">
        <v>466</v>
      </c>
      <c r="B467" s="11">
        <v>94</v>
      </c>
      <c r="C467" s="11" t="s">
        <v>1152</v>
      </c>
      <c r="D467" s="11" t="s">
        <v>1153</v>
      </c>
      <c r="E467" s="11" t="s">
        <v>806</v>
      </c>
      <c r="F467" s="11">
        <v>2021</v>
      </c>
      <c r="G467" s="20">
        <f t="shared" si="49"/>
        <v>0</v>
      </c>
      <c r="H467" s="24">
        <v>0</v>
      </c>
      <c r="I467" s="24">
        <f>IFERROR(INDEX('Coding Sheet'!$AC$2:$AC$731,MATCH($B467&amp;"_"&amp;$F467,'Coding Sheet'!$A$2:$A$731,0)),"")</f>
        <v>5</v>
      </c>
      <c r="J467" s="7">
        <f>IFERROR(INDEX('Coding Sheet'!$AT$2:$AT$731,MATCH($B467&amp;"_"&amp;$F467,'Coding Sheet'!$A$2:$A$731,0)),"")</f>
        <v>0</v>
      </c>
      <c r="K467" s="24">
        <v>178200000</v>
      </c>
      <c r="L467" s="24">
        <v>8.0246999999999993</v>
      </c>
      <c r="M467" s="20">
        <f t="shared" si="50"/>
        <v>1430001.5399999998</v>
      </c>
      <c r="N467" s="24">
        <v>4577449</v>
      </c>
      <c r="O467" s="24">
        <v>7365270</v>
      </c>
      <c r="P467" s="20">
        <v>69919</v>
      </c>
      <c r="Q467" s="20">
        <f t="shared" si="51"/>
        <v>0.81564566404218719</v>
      </c>
      <c r="R467" s="20">
        <f t="shared" si="52"/>
        <v>15.812286267084712</v>
      </c>
      <c r="S467" s="20">
        <f t="shared" si="53"/>
        <v>0.6214909976144799</v>
      </c>
      <c r="T467" s="20">
        <f t="shared" si="54"/>
        <v>9.4930667850601537E-3</v>
      </c>
      <c r="U467" s="20">
        <f>IFERROR(IF(ISNUMBER(INDEX('Firm Master'!$E$2:$E$1000,MATCH($C467,'Firm Master'!$B$2:$B$1000,0))),INDEX('Firm Master'!$E$2:$E$1000,MATCH($C467,'Firm Master'!$B$2:$B$1000,0)),""),"")</f>
        <v>1971</v>
      </c>
      <c r="V467" s="24">
        <f t="shared" si="55"/>
        <v>50</v>
      </c>
      <c r="W467" s="24">
        <v>1</v>
      </c>
      <c r="X467" s="20" t="str">
        <f>IFERROR(INDEX('Firm Master'!$G$2:$G$1000,MATCH($C467,'Firm Master'!$B$2:$B$1000,0)),"")</f>
        <v>KPMG Professional Services and Ahmed Zakari &amp; Co. (joint auditors)</v>
      </c>
    </row>
    <row r="468" spans="1:24" ht="15" customHeight="1" x14ac:dyDescent="0.3">
      <c r="A468" s="11">
        <v>467</v>
      </c>
      <c r="B468" s="11">
        <v>94</v>
      </c>
      <c r="C468" s="11" t="s">
        <v>1152</v>
      </c>
      <c r="D468" s="11" t="s">
        <v>1153</v>
      </c>
      <c r="E468" s="11" t="s">
        <v>806</v>
      </c>
      <c r="F468" s="11">
        <v>2022</v>
      </c>
      <c r="G468" s="20">
        <f t="shared" si="49"/>
        <v>0</v>
      </c>
      <c r="H468" s="21">
        <v>0</v>
      </c>
      <c r="I468" s="21">
        <f>IFERROR(INDEX('Coding Sheet'!$AC$2:$AC$731,MATCH($B468&amp;"_"&amp;$F468,'Coding Sheet'!$A$2:$A$731,0)),"")</f>
        <v>5</v>
      </c>
      <c r="J468" s="7">
        <f>IFERROR(INDEX('Coding Sheet'!$AT$2:$AT$731,MATCH($B468&amp;"_"&amp;$F468,'Coding Sheet'!$A$2:$A$731,0)),"")</f>
        <v>0</v>
      </c>
      <c r="K468" s="21">
        <v>178200000</v>
      </c>
      <c r="L468" s="21">
        <v>8.0246999999999993</v>
      </c>
      <c r="M468" s="20">
        <f t="shared" si="50"/>
        <v>1430001.5399999998</v>
      </c>
      <c r="N468" s="21">
        <v>10461000</v>
      </c>
      <c r="O468" s="21">
        <v>13315000</v>
      </c>
      <c r="P468" s="20">
        <v>80670</v>
      </c>
      <c r="Q468" s="20">
        <f t="shared" si="51"/>
        <v>0.89305306346226054</v>
      </c>
      <c r="R468" s="20">
        <f t="shared" si="52"/>
        <v>16.40440177723017</v>
      </c>
      <c r="S468" s="20">
        <f t="shared" si="53"/>
        <v>0.78565527600450624</v>
      </c>
      <c r="T468" s="20">
        <f t="shared" si="54"/>
        <v>6.0585805482538486E-3</v>
      </c>
      <c r="U468" s="20">
        <f>IFERROR(IF(ISNUMBER(INDEX('Firm Master'!$E$2:$E$1000,MATCH($C468,'Firm Master'!$B$2:$B$1000,0))),INDEX('Firm Master'!$E$2:$E$1000,MATCH($C468,'Firm Master'!$B$2:$B$1000,0)),""),"")</f>
        <v>1971</v>
      </c>
      <c r="V468" s="21">
        <f t="shared" si="55"/>
        <v>51</v>
      </c>
      <c r="W468" s="21">
        <v>1</v>
      </c>
      <c r="X468" s="20" t="str">
        <f>IFERROR(INDEX('Firm Master'!$G$2:$G$1000,MATCH($C468,'Firm Master'!$B$2:$B$1000,0)),"")</f>
        <v>KPMG Professional Services and Ahmed Zakari &amp; Co. (joint auditors)</v>
      </c>
    </row>
    <row r="469" spans="1:24" ht="15" customHeight="1" x14ac:dyDescent="0.3">
      <c r="A469" s="11">
        <v>468</v>
      </c>
      <c r="B469" s="11">
        <v>94</v>
      </c>
      <c r="C469" s="11" t="s">
        <v>1152</v>
      </c>
      <c r="D469" s="11" t="s">
        <v>1153</v>
      </c>
      <c r="E469" s="11" t="s">
        <v>806</v>
      </c>
      <c r="F469" s="11">
        <v>2023</v>
      </c>
      <c r="G469" s="20">
        <f t="shared" si="49"/>
        <v>1</v>
      </c>
      <c r="H469" s="21">
        <v>0</v>
      </c>
      <c r="I469" s="21">
        <f>IFERROR(INDEX('Coding Sheet'!$AC$2:$AC$731,MATCH($B469&amp;"_"&amp;$F469,'Coding Sheet'!$A$2:$A$731,0)),"")</f>
        <v>5</v>
      </c>
      <c r="J469" s="7">
        <f>IFERROR(INDEX('Coding Sheet'!$AT$2:$AT$731,MATCH($B469&amp;"_"&amp;$F469,'Coding Sheet'!$A$2:$A$731,0)),"")</f>
        <v>0</v>
      </c>
      <c r="K469" s="21">
        <v>179420000</v>
      </c>
      <c r="L469" s="21">
        <v>6.1308999999999996</v>
      </c>
      <c r="M469" s="20">
        <f t="shared" si="50"/>
        <v>1100006.078</v>
      </c>
      <c r="N469" s="21">
        <v>11248000</v>
      </c>
      <c r="O469" s="21">
        <v>17828000</v>
      </c>
      <c r="P469" s="20">
        <v>272820</v>
      </c>
      <c r="Q469" s="20">
        <f t="shared" si="51"/>
        <v>0.69261869407673327</v>
      </c>
      <c r="R469" s="20">
        <f t="shared" si="52"/>
        <v>16.696280813048585</v>
      </c>
      <c r="S469" s="20">
        <f t="shared" si="53"/>
        <v>0.63091765761723129</v>
      </c>
      <c r="T469" s="20">
        <f t="shared" si="54"/>
        <v>1.5302894323536011E-2</v>
      </c>
      <c r="U469" s="20">
        <f>IFERROR(IF(ISNUMBER(INDEX('Firm Master'!$E$2:$E$1000,MATCH($C469,'Firm Master'!$B$2:$B$1000,0))),INDEX('Firm Master'!$E$2:$E$1000,MATCH($C469,'Firm Master'!$B$2:$B$1000,0)),""),"")</f>
        <v>1971</v>
      </c>
      <c r="V469" s="21">
        <f t="shared" si="55"/>
        <v>52</v>
      </c>
      <c r="W469" s="21">
        <v>1</v>
      </c>
      <c r="X469" s="20" t="str">
        <f>IFERROR(INDEX('Firm Master'!$G$2:$G$1000,MATCH($C469,'Firm Master'!$B$2:$B$1000,0)),"")</f>
        <v>KPMG Professional Services and Ahmed Zakari &amp; Co. (joint auditors)</v>
      </c>
    </row>
    <row r="470" spans="1:24" ht="15" customHeight="1" x14ac:dyDescent="0.3">
      <c r="A470" s="11">
        <v>469</v>
      </c>
      <c r="B470" s="11">
        <v>94</v>
      </c>
      <c r="C470" s="11" t="s">
        <v>1152</v>
      </c>
      <c r="D470" s="11" t="s">
        <v>1153</v>
      </c>
      <c r="E470" s="11" t="s">
        <v>806</v>
      </c>
      <c r="F470" s="11">
        <v>2024</v>
      </c>
      <c r="G470" s="20">
        <f t="shared" si="49"/>
        <v>1</v>
      </c>
      <c r="H470" s="21">
        <v>0</v>
      </c>
      <c r="I470" s="21">
        <f>IFERROR(INDEX('Coding Sheet'!$AC$2:$AC$731,MATCH($B470&amp;"_"&amp;$F470,'Coding Sheet'!$A$2:$A$731,0)),"")</f>
        <v>5</v>
      </c>
      <c r="J470" s="7">
        <f>IFERROR(INDEX('Coding Sheet'!$AT$2:$AT$731,MATCH($B470&amp;"_"&amp;$F470,'Coding Sheet'!$A$2:$A$731,0)),"")</f>
        <v>0</v>
      </c>
      <c r="K470" s="21">
        <v>178200000</v>
      </c>
      <c r="L470" s="21">
        <v>45.5107</v>
      </c>
      <c r="M470" s="20">
        <f t="shared" si="50"/>
        <v>8110006.7400000002</v>
      </c>
      <c r="N470" s="21">
        <v>9847000</v>
      </c>
      <c r="O470" s="21">
        <v>17924000</v>
      </c>
      <c r="P470" s="20">
        <v>1526000</v>
      </c>
      <c r="Q470" s="20">
        <f t="shared" si="51"/>
        <v>1.0018414829279181</v>
      </c>
      <c r="R470" s="20">
        <f t="shared" si="52"/>
        <v>16.701651154888172</v>
      </c>
      <c r="S470" s="20">
        <f t="shared" si="53"/>
        <v>0.54937513947779515</v>
      </c>
      <c r="T470" s="20">
        <f t="shared" si="54"/>
        <v>8.5137246150412849E-2</v>
      </c>
      <c r="U470" s="20">
        <f>IFERROR(IF(ISNUMBER(INDEX('Firm Master'!$E$2:$E$1000,MATCH($C470,'Firm Master'!$B$2:$B$1000,0))),INDEX('Firm Master'!$E$2:$E$1000,MATCH($C470,'Firm Master'!$B$2:$B$1000,0)),""),"")</f>
        <v>1971</v>
      </c>
      <c r="V470" s="21">
        <f t="shared" si="55"/>
        <v>53</v>
      </c>
      <c r="W470" s="21">
        <v>1</v>
      </c>
      <c r="X470" s="20" t="str">
        <f>IFERROR(INDEX('Firm Master'!$G$2:$G$1000,MATCH($C470,'Firm Master'!$B$2:$B$1000,0)),"")</f>
        <v>KPMG Professional Services and Ahmed Zakari &amp; Co. (joint auditors)</v>
      </c>
    </row>
    <row r="471" spans="1:24" ht="15" customHeight="1" x14ac:dyDescent="0.3">
      <c r="A471" s="11">
        <v>470</v>
      </c>
      <c r="B471" s="11">
        <v>94</v>
      </c>
      <c r="C471" s="11" t="s">
        <v>1152</v>
      </c>
      <c r="D471" s="11" t="s">
        <v>1153</v>
      </c>
      <c r="E471" s="11" t="s">
        <v>806</v>
      </c>
      <c r="F471" s="11">
        <v>2025</v>
      </c>
      <c r="G471" s="20">
        <f t="shared" si="49"/>
        <v>1</v>
      </c>
      <c r="H471" s="21">
        <v>0</v>
      </c>
      <c r="I471" s="21">
        <f>IFERROR(INDEX('Coding Sheet'!$AC$2:$AC$731,MATCH($B471&amp;"_"&amp;$F471,'Coding Sheet'!$A$2:$A$731,0)),"")</f>
        <v>5</v>
      </c>
      <c r="J471" s="7">
        <f>IFERROR(INDEX('Coding Sheet'!$AT$2:$AT$731,MATCH($B471&amp;"_"&amp;$F471,'Coding Sheet'!$A$2:$A$731,0)),"")</f>
        <v>0</v>
      </c>
      <c r="K471" s="21">
        <v>178200000</v>
      </c>
      <c r="L471" s="21">
        <v>43.883299999999998</v>
      </c>
      <c r="M471" s="20">
        <f t="shared" si="50"/>
        <v>7820004.0599999996</v>
      </c>
      <c r="N471" s="21">
        <v>20856000</v>
      </c>
      <c r="O471" s="21">
        <v>30549000</v>
      </c>
      <c r="P471" s="20">
        <v>1745000</v>
      </c>
      <c r="Q471" s="20">
        <f t="shared" si="51"/>
        <v>0.93868879701463215</v>
      </c>
      <c r="R471" s="20">
        <f t="shared" si="52"/>
        <v>17.234842509821913</v>
      </c>
      <c r="S471" s="20">
        <f t="shared" si="53"/>
        <v>0.68270647157026421</v>
      </c>
      <c r="T471" s="20">
        <f t="shared" si="54"/>
        <v>5.7121346034240073E-2</v>
      </c>
      <c r="U471" s="20">
        <f>IFERROR(IF(ISNUMBER(INDEX('Firm Master'!$E$2:$E$1000,MATCH($C471,'Firm Master'!$B$2:$B$1000,0))),INDEX('Firm Master'!$E$2:$E$1000,MATCH($C471,'Firm Master'!$B$2:$B$1000,0)),""),"")</f>
        <v>1971</v>
      </c>
      <c r="V471" s="21">
        <f t="shared" si="55"/>
        <v>54</v>
      </c>
      <c r="W471" s="21">
        <v>1</v>
      </c>
      <c r="X471" s="20" t="str">
        <f>IFERROR(INDEX('Firm Master'!$G$2:$G$1000,MATCH($C471,'Firm Master'!$B$2:$B$1000,0)),"")</f>
        <v>KPMG Professional Services and Ahmed Zakari &amp; Co. (joint auditors)</v>
      </c>
    </row>
    <row r="472" spans="1:24" ht="15" customHeight="1" x14ac:dyDescent="0.3">
      <c r="A472" s="11">
        <v>471</v>
      </c>
      <c r="B472" s="11">
        <v>95</v>
      </c>
      <c r="C472" s="11" t="s">
        <v>1156</v>
      </c>
      <c r="D472" s="11" t="s">
        <v>1157</v>
      </c>
      <c r="E472" s="11" t="s">
        <v>709</v>
      </c>
      <c r="F472" s="11">
        <v>2021</v>
      </c>
      <c r="G472" s="20">
        <f t="shared" si="49"/>
        <v>0</v>
      </c>
      <c r="H472" s="21">
        <v>0</v>
      </c>
      <c r="I472" s="21">
        <f>IFERROR(INDEX('Coding Sheet'!$AC$2:$AC$731,MATCH($B472&amp;"_"&amp;$F472,'Coding Sheet'!$A$2:$A$731,0)),"")</f>
        <v>5</v>
      </c>
      <c r="J472" s="7">
        <f>IFERROR(INDEX('Coding Sheet'!$AT$2:$AT$731,MATCH($B472&amp;"_"&amp;$F472,'Coding Sheet'!$A$2:$A$731,0)),"")</f>
        <v>0</v>
      </c>
      <c r="K472" s="21">
        <v>2541000000</v>
      </c>
      <c r="L472" s="21">
        <v>1.5308999999999999</v>
      </c>
      <c r="M472" s="20">
        <f t="shared" si="50"/>
        <v>3890016.9</v>
      </c>
      <c r="N472" s="21">
        <v>26236000</v>
      </c>
      <c r="O472" s="21">
        <v>31967000</v>
      </c>
      <c r="P472" s="20">
        <v>707490</v>
      </c>
      <c r="Q472" s="20">
        <f t="shared" si="51"/>
        <v>0.94240988832233241</v>
      </c>
      <c r="R472" s="20">
        <f t="shared" si="52"/>
        <v>17.280214678659867</v>
      </c>
      <c r="S472" s="20">
        <f t="shared" si="53"/>
        <v>0.82072136891169023</v>
      </c>
      <c r="T472" s="20">
        <f t="shared" si="54"/>
        <v>2.2131886007445176E-2</v>
      </c>
      <c r="U472" s="20">
        <f>IFERROR(IF(ISNUMBER(INDEX('Firm Master'!$E$2:$E$1000,MATCH($C472,'Firm Master'!$B$2:$B$1000,0))),INDEX('Firm Master'!$E$2:$E$1000,MATCH($C472,'Firm Master'!$B$2:$B$1000,0)),""),"")</f>
        <v>1993</v>
      </c>
      <c r="V472" s="21">
        <f t="shared" si="55"/>
        <v>28</v>
      </c>
      <c r="W472" s="21">
        <v>0</v>
      </c>
      <c r="X472" s="20" t="str">
        <f>IFERROR(INDEX('Firm Master'!$G$2:$G$1000,MATCH($C472,'Firm Master'!$B$2:$B$1000,0)),"")</f>
        <v>Deloitte &amp; Touche (from FY2023, appointed 1-Jun-2023); prior auditor (FY2021-2022) unconfirmed</v>
      </c>
    </row>
    <row r="473" spans="1:24" ht="15" customHeight="1" x14ac:dyDescent="0.3">
      <c r="A473" s="11">
        <v>472</v>
      </c>
      <c r="B473" s="11">
        <v>95</v>
      </c>
      <c r="C473" s="11" t="s">
        <v>1156</v>
      </c>
      <c r="D473" s="11" t="s">
        <v>1157</v>
      </c>
      <c r="E473" s="11" t="s">
        <v>709</v>
      </c>
      <c r="F473" s="11">
        <v>2022</v>
      </c>
      <c r="G473" s="20">
        <f t="shared" si="49"/>
        <v>0</v>
      </c>
      <c r="H473" s="21">
        <v>0</v>
      </c>
      <c r="I473" s="21">
        <f>IFERROR(INDEX('Coding Sheet'!$AC$2:$AC$731,MATCH($B473&amp;"_"&amp;$F473,'Coding Sheet'!$A$2:$A$731,0)),"")</f>
        <v>5</v>
      </c>
      <c r="J473" s="7">
        <f>IFERROR(INDEX('Coding Sheet'!$AT$2:$AT$731,MATCH($B473&amp;"_"&amp;$F473,'Coding Sheet'!$A$2:$A$731,0)),"")</f>
        <v>0</v>
      </c>
      <c r="K473" s="21">
        <v>5993000000</v>
      </c>
      <c r="L473" s="21">
        <v>1.6902999999999999</v>
      </c>
      <c r="M473" s="20">
        <f t="shared" si="50"/>
        <v>10129967.9</v>
      </c>
      <c r="N473" s="21">
        <v>23918000</v>
      </c>
      <c r="O473" s="21">
        <v>34496000</v>
      </c>
      <c r="P473" s="20">
        <v>882170</v>
      </c>
      <c r="Q473" s="20">
        <f t="shared" si="51"/>
        <v>0.98701205647031531</v>
      </c>
      <c r="R473" s="20">
        <f t="shared" si="52"/>
        <v>17.356353933250805</v>
      </c>
      <c r="S473" s="20">
        <f t="shared" si="53"/>
        <v>0.69335575139146566</v>
      </c>
      <c r="T473" s="20">
        <f t="shared" si="54"/>
        <v>2.5573109925788498E-2</v>
      </c>
      <c r="U473" s="20">
        <f>IFERROR(IF(ISNUMBER(INDEX('Firm Master'!$E$2:$E$1000,MATCH($C473,'Firm Master'!$B$2:$B$1000,0))),INDEX('Firm Master'!$E$2:$E$1000,MATCH($C473,'Firm Master'!$B$2:$B$1000,0)),""),"")</f>
        <v>1993</v>
      </c>
      <c r="V473" s="21">
        <f t="shared" si="55"/>
        <v>29</v>
      </c>
      <c r="W473" s="21">
        <v>0</v>
      </c>
      <c r="X473" s="20" t="str">
        <f>IFERROR(INDEX('Firm Master'!$G$2:$G$1000,MATCH($C473,'Firm Master'!$B$2:$B$1000,0)),"")</f>
        <v>Deloitte &amp; Touche (from FY2023, appointed 1-Jun-2023); prior auditor (FY2021-2022) unconfirmed</v>
      </c>
    </row>
    <row r="474" spans="1:24" ht="15" customHeight="1" x14ac:dyDescent="0.3">
      <c r="A474" s="11">
        <v>473</v>
      </c>
      <c r="B474" s="11">
        <v>95</v>
      </c>
      <c r="C474" s="11" t="s">
        <v>1156</v>
      </c>
      <c r="D474" s="11" t="s">
        <v>1157</v>
      </c>
      <c r="E474" s="11" t="s">
        <v>709</v>
      </c>
      <c r="F474" s="11">
        <v>2023</v>
      </c>
      <c r="G474" s="20">
        <f t="shared" si="49"/>
        <v>1</v>
      </c>
      <c r="H474" s="21">
        <v>0</v>
      </c>
      <c r="I474" s="21">
        <f>IFERROR(INDEX('Coding Sheet'!$AC$2:$AC$731,MATCH($B474&amp;"_"&amp;$F474,'Coding Sheet'!$A$2:$A$731,0)),"")</f>
        <v>5</v>
      </c>
      <c r="J474" s="7">
        <f>IFERROR(INDEX('Coding Sheet'!$AT$2:$AT$731,MATCH($B474&amp;"_"&amp;$F474,'Coding Sheet'!$A$2:$A$731,0)),"")</f>
        <v>0</v>
      </c>
      <c r="K474" s="21">
        <v>5993000000</v>
      </c>
      <c r="L474" s="21">
        <v>1.9406000000000001</v>
      </c>
      <c r="M474" s="20">
        <f t="shared" si="50"/>
        <v>11630015.800000001</v>
      </c>
      <c r="N474" s="21">
        <v>33900000</v>
      </c>
      <c r="O474" s="21">
        <v>44891000</v>
      </c>
      <c r="P474" s="20">
        <v>1019000</v>
      </c>
      <c r="Q474" s="20">
        <f t="shared" si="51"/>
        <v>1.0142348310351741</v>
      </c>
      <c r="R474" s="20">
        <f t="shared" si="52"/>
        <v>17.619747887186314</v>
      </c>
      <c r="S474" s="20">
        <f t="shared" si="53"/>
        <v>0.75516250473368829</v>
      </c>
      <c r="T474" s="20">
        <f t="shared" si="54"/>
        <v>2.2699427502171927E-2</v>
      </c>
      <c r="U474" s="20">
        <f>IFERROR(IF(ISNUMBER(INDEX('Firm Master'!$E$2:$E$1000,MATCH($C474,'Firm Master'!$B$2:$B$1000,0))),INDEX('Firm Master'!$E$2:$E$1000,MATCH($C474,'Firm Master'!$B$2:$B$1000,0)),""),"")</f>
        <v>1993</v>
      </c>
      <c r="V474" s="21">
        <f t="shared" si="55"/>
        <v>30</v>
      </c>
      <c r="W474" s="21">
        <v>1</v>
      </c>
      <c r="X474" s="20" t="str">
        <f>IFERROR(INDEX('Firm Master'!$G$2:$G$1000,MATCH($C474,'Firm Master'!$B$2:$B$1000,0)),"")</f>
        <v>Deloitte &amp; Touche (from FY2023, appointed 1-Jun-2023); prior auditor (FY2021-2022) unconfirmed</v>
      </c>
    </row>
    <row r="475" spans="1:24" ht="15" customHeight="1" x14ac:dyDescent="0.3">
      <c r="A475" s="11">
        <v>474</v>
      </c>
      <c r="B475" s="11">
        <v>95</v>
      </c>
      <c r="C475" s="11" t="s">
        <v>1156</v>
      </c>
      <c r="D475" s="11" t="s">
        <v>1157</v>
      </c>
      <c r="E475" s="11" t="s">
        <v>709</v>
      </c>
      <c r="F475" s="11">
        <v>2024</v>
      </c>
      <c r="G475" s="20">
        <f t="shared" si="49"/>
        <v>1</v>
      </c>
      <c r="H475" s="21">
        <v>0</v>
      </c>
      <c r="I475" s="21">
        <f>IFERROR(INDEX('Coding Sheet'!$AC$2:$AC$731,MATCH($B475&amp;"_"&amp;$F475,'Coding Sheet'!$A$2:$A$731,0)),"")</f>
        <v>5</v>
      </c>
      <c r="J475" s="7">
        <f>IFERROR(INDEX('Coding Sheet'!$AT$2:$AT$731,MATCH($B475&amp;"_"&amp;$F475,'Coding Sheet'!$A$2:$A$731,0)),"")</f>
        <v>0</v>
      </c>
      <c r="K475" s="21">
        <v>5993000000</v>
      </c>
      <c r="L475" s="21">
        <v>1.7102999999999999</v>
      </c>
      <c r="M475" s="20">
        <f t="shared" si="50"/>
        <v>10249827.9</v>
      </c>
      <c r="N475" s="21">
        <v>56782000</v>
      </c>
      <c r="O475" s="21">
        <v>68628000</v>
      </c>
      <c r="P475" s="20">
        <v>1574000</v>
      </c>
      <c r="Q475" s="20">
        <f t="shared" si="51"/>
        <v>0.97674167832371628</v>
      </c>
      <c r="R475" s="20">
        <f t="shared" si="52"/>
        <v>18.044211172685454</v>
      </c>
      <c r="S475" s="20">
        <f t="shared" si="53"/>
        <v>0.82738823803695283</v>
      </c>
      <c r="T475" s="20">
        <f t="shared" si="54"/>
        <v>2.2935245089467857E-2</v>
      </c>
      <c r="U475" s="20">
        <f>IFERROR(IF(ISNUMBER(INDEX('Firm Master'!$E$2:$E$1000,MATCH($C475,'Firm Master'!$B$2:$B$1000,0))),INDEX('Firm Master'!$E$2:$E$1000,MATCH($C475,'Firm Master'!$B$2:$B$1000,0)),""),"")</f>
        <v>1993</v>
      </c>
      <c r="V475" s="21">
        <f t="shared" si="55"/>
        <v>31</v>
      </c>
      <c r="W475" s="21">
        <v>1</v>
      </c>
      <c r="X475" s="20" t="str">
        <f>IFERROR(INDEX('Firm Master'!$G$2:$G$1000,MATCH($C475,'Firm Master'!$B$2:$B$1000,0)),"")</f>
        <v>Deloitte &amp; Touche (from FY2023, appointed 1-Jun-2023); prior auditor (FY2021-2022) unconfirmed</v>
      </c>
    </row>
    <row r="476" spans="1:24" ht="15" customHeight="1" x14ac:dyDescent="0.3">
      <c r="A476" s="11">
        <v>475</v>
      </c>
      <c r="B476" s="11">
        <v>95</v>
      </c>
      <c r="C476" s="11" t="s">
        <v>1156</v>
      </c>
      <c r="D476" s="11" t="s">
        <v>1157</v>
      </c>
      <c r="E476" s="11" t="s">
        <v>709</v>
      </c>
      <c r="F476" s="11">
        <v>2025</v>
      </c>
      <c r="G476" s="20">
        <f t="shared" si="49"/>
        <v>1</v>
      </c>
      <c r="H476" s="21">
        <v>0</v>
      </c>
      <c r="I476" s="21">
        <f>IFERROR(INDEX('Coding Sheet'!$AC$2:$AC$731,MATCH($B476&amp;"_"&amp;$F476,'Coding Sheet'!$A$2:$A$731,0)),"")</f>
        <v>5</v>
      </c>
      <c r="J476" s="7">
        <f>IFERROR(INDEX('Coding Sheet'!$AT$2:$AT$731,MATCH($B476&amp;"_"&amp;$F476,'Coding Sheet'!$A$2:$A$731,0)),"")</f>
        <v>0</v>
      </c>
      <c r="K476" s="21">
        <v>5993000000</v>
      </c>
      <c r="L476" s="21">
        <v>3.7092999999999998</v>
      </c>
      <c r="M476" s="20">
        <f t="shared" si="50"/>
        <v>22229834.899999999</v>
      </c>
      <c r="N476" s="21">
        <v>53881000</v>
      </c>
      <c r="O476" s="21">
        <v>67733000</v>
      </c>
      <c r="P476" s="20">
        <v>2906000</v>
      </c>
      <c r="Q476" s="20">
        <f t="shared" si="51"/>
        <v>1.1236891160881699</v>
      </c>
      <c r="R476" s="20">
        <f t="shared" si="52"/>
        <v>18.031084063728539</v>
      </c>
      <c r="S476" s="20">
        <f t="shared" si="53"/>
        <v>0.79549111954291118</v>
      </c>
      <c r="T476" s="20">
        <f t="shared" si="54"/>
        <v>4.2903754447610472E-2</v>
      </c>
      <c r="U476" s="20">
        <f>IFERROR(IF(ISNUMBER(INDEX('Firm Master'!$E$2:$E$1000,MATCH($C476,'Firm Master'!$B$2:$B$1000,0))),INDEX('Firm Master'!$E$2:$E$1000,MATCH($C476,'Firm Master'!$B$2:$B$1000,0)),""),"")</f>
        <v>1993</v>
      </c>
      <c r="V476" s="21">
        <f t="shared" si="55"/>
        <v>32</v>
      </c>
      <c r="W476" s="21">
        <v>1</v>
      </c>
      <c r="X476" s="20" t="str">
        <f>IFERROR(INDEX('Firm Master'!$G$2:$G$1000,MATCH($C476,'Firm Master'!$B$2:$B$1000,0)),"")</f>
        <v>Deloitte &amp; Touche (from FY2023, appointed 1-Jun-2023); prior auditor (FY2021-2022) unconfirmed</v>
      </c>
    </row>
    <row r="477" spans="1:24" ht="27.75" customHeight="1" x14ac:dyDescent="0.3">
      <c r="A477" s="16">
        <v>476</v>
      </c>
      <c r="B477" s="16">
        <v>96</v>
      </c>
      <c r="C477" s="16" t="s">
        <v>1161</v>
      </c>
      <c r="D477" s="16" t="s">
        <v>2142</v>
      </c>
      <c r="E477" s="16" t="s">
        <v>780</v>
      </c>
      <c r="F477" s="16">
        <v>2021</v>
      </c>
      <c r="G477" s="16">
        <f t="shared" si="49"/>
        <v>0</v>
      </c>
      <c r="H477" s="16">
        <v>0</v>
      </c>
      <c r="I477" s="16">
        <f>IFERROR(INDEX('Coding Sheet'!$AC$2:$AC$731,MATCH($B477&amp;"_"&amp;$F477,'Coding Sheet'!$A$2:$A$731,0)),"")</f>
        <v>0</v>
      </c>
      <c r="J477" s="22">
        <f>IFERROR(INDEX('Coding Sheet'!$AT$2:$AT$731,MATCH($B477&amp;"_"&amp;$F477,'Coding Sheet'!$A$2:$A$731,0)),"")</f>
        <v>0</v>
      </c>
      <c r="K477" s="16">
        <v>2668000000</v>
      </c>
      <c r="L477" s="16">
        <v>4.4489999999999998</v>
      </c>
      <c r="M477" s="16">
        <f t="shared" si="50"/>
        <v>11869932</v>
      </c>
      <c r="N477" s="16">
        <v>892210</v>
      </c>
      <c r="O477" s="16">
        <v>25821000</v>
      </c>
      <c r="P477" s="16">
        <v>-4480000</v>
      </c>
      <c r="Q477" s="16">
        <f t="shared" si="51"/>
        <v>0.49425436660082878</v>
      </c>
      <c r="R477" s="16">
        <f t="shared" si="52"/>
        <v>17.066698672299722</v>
      </c>
      <c r="S477" s="16">
        <f t="shared" si="53"/>
        <v>3.4553657875372762E-2</v>
      </c>
      <c r="T477" s="16">
        <f t="shared" si="54"/>
        <v>-0.17350218814143525</v>
      </c>
      <c r="U477" s="16">
        <f>IFERROR(IF(ISNUMBER(INDEX('Firm Master'!$E$2:$E$1000,MATCH($C477,'Firm Master'!$B$2:$B$1000,0))),INDEX('Firm Master'!$E$2:$E$1000,MATCH($C477,'Firm Master'!$B$2:$B$1000,0)),""),"")</f>
        <v>2013</v>
      </c>
      <c r="V477" s="16">
        <f t="shared" si="55"/>
        <v>8</v>
      </c>
      <c r="W477" s="16">
        <v>0</v>
      </c>
      <c r="X477" s="16" t="str">
        <f>IFERROR(INDEX('Firm Master'!$G$2:$G$1000,MATCH($C477,'Firm Master'!$B$2:$B$1000,0)),"")</f>
        <v>Forvis Mazars</v>
      </c>
    </row>
    <row r="478" spans="1:24" ht="27.75" customHeight="1" x14ac:dyDescent="0.3">
      <c r="A478" s="16">
        <v>477</v>
      </c>
      <c r="B478" s="16">
        <v>96</v>
      </c>
      <c r="C478" s="16" t="s">
        <v>1161</v>
      </c>
      <c r="D478" s="16" t="s">
        <v>2142</v>
      </c>
      <c r="E478" s="16" t="s">
        <v>780</v>
      </c>
      <c r="F478" s="16">
        <v>2022</v>
      </c>
      <c r="G478" s="16">
        <f t="shared" si="49"/>
        <v>0</v>
      </c>
      <c r="H478" s="16">
        <v>0</v>
      </c>
      <c r="I478" s="16">
        <f>IFERROR(INDEX('Coding Sheet'!$AC$2:$AC$731,MATCH($B478&amp;"_"&amp;$F478,'Coding Sheet'!$A$2:$A$731,0)),"")</f>
        <v>0</v>
      </c>
      <c r="J478" s="22">
        <f>IFERROR(INDEX('Coding Sheet'!$AT$2:$AT$731,MATCH($B478&amp;"_"&amp;$F478,'Coding Sheet'!$A$2:$A$731,0)),"")</f>
        <v>0</v>
      </c>
      <c r="K478" s="16">
        <v>2668000000</v>
      </c>
      <c r="L478" s="16">
        <v>2.9984999999999999</v>
      </c>
      <c r="M478" s="16">
        <f t="shared" si="50"/>
        <v>7999998</v>
      </c>
      <c r="N478" s="16">
        <v>650260</v>
      </c>
      <c r="O478" s="16">
        <v>26773000</v>
      </c>
      <c r="P478" s="16">
        <v>1677000</v>
      </c>
      <c r="Q478" s="16">
        <f t="shared" si="51"/>
        <v>0.3230963283905427</v>
      </c>
      <c r="R478" s="16">
        <f t="shared" si="52"/>
        <v>17.102904474962877</v>
      </c>
      <c r="S478" s="16">
        <f t="shared" si="53"/>
        <v>2.4287901990811638E-2</v>
      </c>
      <c r="T478" s="16">
        <f t="shared" si="54"/>
        <v>6.263773204347664E-2</v>
      </c>
      <c r="U478" s="16">
        <f>IFERROR(IF(ISNUMBER(INDEX('Firm Master'!$E$2:$E$1000,MATCH($C478,'Firm Master'!$B$2:$B$1000,0))),INDEX('Firm Master'!$E$2:$E$1000,MATCH($C478,'Firm Master'!$B$2:$B$1000,0)),""),"")</f>
        <v>2013</v>
      </c>
      <c r="V478" s="16">
        <f t="shared" si="55"/>
        <v>9</v>
      </c>
      <c r="W478" s="16">
        <v>0</v>
      </c>
      <c r="X478" s="16" t="str">
        <f>IFERROR(INDEX('Firm Master'!$G$2:$G$1000,MATCH($C478,'Firm Master'!$B$2:$B$1000,0)),"")</f>
        <v>Forvis Mazars</v>
      </c>
    </row>
    <row r="479" spans="1:24" ht="27.75" customHeight="1" x14ac:dyDescent="0.3">
      <c r="A479" s="16">
        <v>478</v>
      </c>
      <c r="B479" s="16">
        <v>96</v>
      </c>
      <c r="C479" s="16" t="s">
        <v>1161</v>
      </c>
      <c r="D479" s="16" t="s">
        <v>2142</v>
      </c>
      <c r="E479" s="16" t="s">
        <v>780</v>
      </c>
      <c r="F479" s="16">
        <v>2023</v>
      </c>
      <c r="G479" s="16">
        <f t="shared" si="49"/>
        <v>1</v>
      </c>
      <c r="H479" s="16">
        <v>0</v>
      </c>
      <c r="I479" s="16">
        <f>IFERROR(INDEX('Coding Sheet'!$AC$2:$AC$731,MATCH($B479&amp;"_"&amp;$F479,'Coding Sheet'!$A$2:$A$731,0)),"")</f>
        <v>0</v>
      </c>
      <c r="J479" s="22">
        <f>IFERROR(INDEX('Coding Sheet'!$AT$2:$AT$731,MATCH($B479&amp;"_"&amp;$F479,'Coding Sheet'!$A$2:$A$731,0)),"")</f>
        <v>0</v>
      </c>
      <c r="K479" s="16">
        <v>2668000000</v>
      </c>
      <c r="L479" s="16">
        <v>6.4017999999999997</v>
      </c>
      <c r="M479" s="16">
        <f t="shared" si="50"/>
        <v>17080002.399999999</v>
      </c>
      <c r="N479" s="16">
        <v>600510</v>
      </c>
      <c r="O479" s="16">
        <v>29552000</v>
      </c>
      <c r="P479" s="16">
        <v>3803000</v>
      </c>
      <c r="Q479" s="16">
        <f t="shared" si="51"/>
        <v>0.5982847996751488</v>
      </c>
      <c r="R479" s="16">
        <f t="shared" si="52"/>
        <v>17.201661981421157</v>
      </c>
      <c r="S479" s="16">
        <f t="shared" si="53"/>
        <v>2.0320452084461288E-2</v>
      </c>
      <c r="T479" s="16">
        <f t="shared" si="54"/>
        <v>0.12868841364374661</v>
      </c>
      <c r="U479" s="16">
        <f>IFERROR(IF(ISNUMBER(INDEX('Firm Master'!$E$2:$E$1000,MATCH($C479,'Firm Master'!$B$2:$B$1000,0))),INDEX('Firm Master'!$E$2:$E$1000,MATCH($C479,'Firm Master'!$B$2:$B$1000,0)),""),"")</f>
        <v>2013</v>
      </c>
      <c r="V479" s="16">
        <f t="shared" si="55"/>
        <v>10</v>
      </c>
      <c r="W479" s="16">
        <v>0</v>
      </c>
      <c r="X479" s="16" t="str">
        <f>IFERROR(INDEX('Firm Master'!$G$2:$G$1000,MATCH($C479,'Firm Master'!$B$2:$B$1000,0)),"")</f>
        <v>Forvis Mazars</v>
      </c>
    </row>
    <row r="480" spans="1:24" ht="27.75" customHeight="1" x14ac:dyDescent="0.3">
      <c r="A480" s="16">
        <v>479</v>
      </c>
      <c r="B480" s="16">
        <v>96</v>
      </c>
      <c r="C480" s="16" t="s">
        <v>1161</v>
      </c>
      <c r="D480" s="16" t="s">
        <v>2142</v>
      </c>
      <c r="E480" s="16" t="s">
        <v>780</v>
      </c>
      <c r="F480" s="16">
        <v>2024</v>
      </c>
      <c r="G480" s="16">
        <f t="shared" si="49"/>
        <v>1</v>
      </c>
      <c r="H480" s="16">
        <v>0</v>
      </c>
      <c r="I480" s="16">
        <f>IFERROR(INDEX('Coding Sheet'!$AC$2:$AC$731,MATCH($B480&amp;"_"&amp;$F480,'Coding Sheet'!$A$2:$A$731,0)),"")</f>
        <v>0</v>
      </c>
      <c r="J480" s="22">
        <f>IFERROR(INDEX('Coding Sheet'!$AT$2:$AT$731,MATCH($B480&amp;"_"&amp;$F480,'Coding Sheet'!$A$2:$A$731,0)),"")</f>
        <v>0</v>
      </c>
      <c r="K480" s="16">
        <v>2668000000</v>
      </c>
      <c r="L480" s="16">
        <v>5</v>
      </c>
      <c r="M480" s="16">
        <f t="shared" si="50"/>
        <v>13340000</v>
      </c>
      <c r="N480" s="16">
        <v>897340</v>
      </c>
      <c r="O480" s="16">
        <v>33426000</v>
      </c>
      <c r="P480" s="16">
        <v>4698000</v>
      </c>
      <c r="Q480" s="16">
        <f t="shared" si="51"/>
        <v>0.42593609764853707</v>
      </c>
      <c r="R480" s="16">
        <f t="shared" si="52"/>
        <v>17.324844598231007</v>
      </c>
      <c r="S480" s="16">
        <f t="shared" si="53"/>
        <v>2.6845569317297913E-2</v>
      </c>
      <c r="T480" s="16">
        <f t="shared" si="54"/>
        <v>0.14054927302100162</v>
      </c>
      <c r="U480" s="16">
        <f>IFERROR(IF(ISNUMBER(INDEX('Firm Master'!$E$2:$E$1000,MATCH($C480,'Firm Master'!$B$2:$B$1000,0))),INDEX('Firm Master'!$E$2:$E$1000,MATCH($C480,'Firm Master'!$B$2:$B$1000,0)),""),"")</f>
        <v>2013</v>
      </c>
      <c r="V480" s="16">
        <f t="shared" si="55"/>
        <v>11</v>
      </c>
      <c r="W480" s="16">
        <v>0</v>
      </c>
      <c r="X480" s="16" t="str">
        <f>IFERROR(INDEX('Firm Master'!$G$2:$G$1000,MATCH($C480,'Firm Master'!$B$2:$B$1000,0)),"")</f>
        <v>Forvis Mazars</v>
      </c>
    </row>
    <row r="481" spans="1:24" ht="27.75" customHeight="1" x14ac:dyDescent="0.3">
      <c r="A481" s="16">
        <v>480</v>
      </c>
      <c r="B481" s="16">
        <v>96</v>
      </c>
      <c r="C481" s="16" t="s">
        <v>1161</v>
      </c>
      <c r="D481" s="16" t="s">
        <v>2142</v>
      </c>
      <c r="E481" s="16" t="s">
        <v>780</v>
      </c>
      <c r="F481" s="16">
        <v>2025</v>
      </c>
      <c r="G481" s="16">
        <f t="shared" si="49"/>
        <v>1</v>
      </c>
      <c r="H481" s="16">
        <v>0</v>
      </c>
      <c r="I481" s="16">
        <f>IFERROR(INDEX('Coding Sheet'!$AC$2:$AC$731,MATCH($B481&amp;"_"&amp;$F481,'Coding Sheet'!$A$2:$A$731,0)),"")</f>
        <v>0</v>
      </c>
      <c r="J481" s="22">
        <f>IFERROR(INDEX('Coding Sheet'!$AT$2:$AT$731,MATCH($B481&amp;"_"&amp;$F481,'Coding Sheet'!$A$2:$A$731,0)),"")</f>
        <v>0</v>
      </c>
      <c r="K481" s="16">
        <v>2668000000</v>
      </c>
      <c r="L481" s="16">
        <v>6.9002999999999997</v>
      </c>
      <c r="M481" s="16">
        <f t="shared" si="50"/>
        <v>18410000.399999999</v>
      </c>
      <c r="N481" s="16">
        <v>812060</v>
      </c>
      <c r="O481" s="16">
        <v>36290000</v>
      </c>
      <c r="P481" s="16">
        <v>4335000</v>
      </c>
      <c r="Q481" s="16">
        <f t="shared" si="51"/>
        <v>0.52967926150454669</v>
      </c>
      <c r="R481" s="16">
        <f t="shared" si="52"/>
        <v>17.407052779189254</v>
      </c>
      <c r="S481" s="16">
        <f t="shared" si="53"/>
        <v>2.2376963350785341E-2</v>
      </c>
      <c r="T481" s="16">
        <f t="shared" si="54"/>
        <v>0.11945439515017911</v>
      </c>
      <c r="U481" s="16">
        <f>IFERROR(IF(ISNUMBER(INDEX('Firm Master'!$E$2:$E$1000,MATCH($C481,'Firm Master'!$B$2:$B$1000,0))),INDEX('Firm Master'!$E$2:$E$1000,MATCH($C481,'Firm Master'!$B$2:$B$1000,0)),""),"")</f>
        <v>2013</v>
      </c>
      <c r="V481" s="16">
        <f t="shared" si="55"/>
        <v>12</v>
      </c>
      <c r="W481" s="16">
        <v>0</v>
      </c>
      <c r="X481" s="16" t="str">
        <f>IFERROR(INDEX('Firm Master'!$G$2:$G$1000,MATCH($C481,'Firm Master'!$B$2:$B$1000,0)),"")</f>
        <v>Forvis Mazars</v>
      </c>
    </row>
    <row r="482" spans="1:24" ht="15" customHeight="1" x14ac:dyDescent="0.3">
      <c r="A482" s="11">
        <v>481</v>
      </c>
      <c r="B482" s="11">
        <v>97</v>
      </c>
      <c r="C482" s="11" t="s">
        <v>1164</v>
      </c>
      <c r="D482" s="11" t="s">
        <v>1165</v>
      </c>
      <c r="E482" s="11" t="s">
        <v>715</v>
      </c>
      <c r="F482" s="11">
        <v>2021</v>
      </c>
      <c r="G482" s="20">
        <f t="shared" si="49"/>
        <v>0</v>
      </c>
      <c r="H482" s="21">
        <v>0</v>
      </c>
      <c r="I482" s="21">
        <f>IFERROR(INDEX('Coding Sheet'!$AC$2:$AC$731,MATCH($B482&amp;"_"&amp;$F482,'Coding Sheet'!$A$2:$A$731,0)),"")</f>
        <v>0</v>
      </c>
      <c r="J482" s="7">
        <f>IFERROR(INDEX('Coding Sheet'!$AT$2:$AT$731,MATCH($B482&amp;"_"&amp;$F482,'Coding Sheet'!$A$2:$A$731,0)),"")</f>
        <v>0</v>
      </c>
      <c r="K482" s="21">
        <v>5632000000</v>
      </c>
      <c r="L482" s="21">
        <v>0.2</v>
      </c>
      <c r="M482" s="20">
        <f t="shared" si="50"/>
        <v>1126400</v>
      </c>
      <c r="N482" s="21">
        <v>828560</v>
      </c>
      <c r="O482" s="21">
        <v>3484000</v>
      </c>
      <c r="P482" s="20">
        <v>-91930</v>
      </c>
      <c r="Q482" s="20">
        <f t="shared" si="51"/>
        <v>0.5611251435132032</v>
      </c>
      <c r="R482" s="20">
        <f t="shared" si="52"/>
        <v>15.063691616954531</v>
      </c>
      <c r="S482" s="20">
        <f t="shared" si="53"/>
        <v>0.23781859931113664</v>
      </c>
      <c r="T482" s="20">
        <f t="shared" si="54"/>
        <v>-2.6386337543053962E-2</v>
      </c>
      <c r="U482" s="20">
        <f>IFERROR(IF(ISNUMBER(INDEX('Firm Master'!$E$2:$E$1000,MATCH($C482,'Firm Master'!$B$2:$B$1000,0))),INDEX('Firm Master'!$E$2:$E$1000,MATCH($C482,'Firm Master'!$B$2:$B$1000,0)),""),"")</f>
        <v>2000</v>
      </c>
      <c r="V482" s="21">
        <f t="shared" si="55"/>
        <v>21</v>
      </c>
      <c r="W482" s="21">
        <v>0</v>
      </c>
      <c r="X482" s="20" t="str">
        <f>IFERROR(INDEX('Firm Master'!$G$2:$G$1000,MATCH($C482,'Firm Master'!$B$2:$B$1000,0)),"")</f>
        <v>Auditor unresolved (LOW confidence)</v>
      </c>
    </row>
    <row r="483" spans="1:24" ht="15" customHeight="1" x14ac:dyDescent="0.3">
      <c r="A483" s="11">
        <v>482</v>
      </c>
      <c r="B483" s="11">
        <v>97</v>
      </c>
      <c r="C483" s="11" t="s">
        <v>1164</v>
      </c>
      <c r="D483" s="11" t="s">
        <v>1165</v>
      </c>
      <c r="E483" s="11" t="s">
        <v>715</v>
      </c>
      <c r="F483" s="11">
        <v>2022</v>
      </c>
      <c r="G483" s="20">
        <f t="shared" si="49"/>
        <v>0</v>
      </c>
      <c r="H483" s="21">
        <v>0</v>
      </c>
      <c r="I483" s="21">
        <f>IFERROR(INDEX('Coding Sheet'!$AC$2:$AC$731,MATCH($B483&amp;"_"&amp;$F483,'Coding Sheet'!$A$2:$A$731,0)),"")</f>
        <v>0</v>
      </c>
      <c r="J483" s="7">
        <f>IFERROR(INDEX('Coding Sheet'!$AT$2:$AT$731,MATCH($B483&amp;"_"&amp;$F483,'Coding Sheet'!$A$2:$A$731,0)),"")</f>
        <v>0</v>
      </c>
      <c r="K483" s="21">
        <v>5632000000</v>
      </c>
      <c r="L483" s="21">
        <v>0.22</v>
      </c>
      <c r="M483" s="20">
        <f t="shared" si="50"/>
        <v>1239040</v>
      </c>
      <c r="N483" s="21">
        <v>843060</v>
      </c>
      <c r="O483" s="21">
        <v>3457000</v>
      </c>
      <c r="P483" s="20">
        <v>-40880</v>
      </c>
      <c r="Q483" s="20">
        <f t="shared" si="51"/>
        <v>0.60228521839745441</v>
      </c>
      <c r="R483" s="20">
        <f t="shared" si="52"/>
        <v>15.055911718903761</v>
      </c>
      <c r="S483" s="20">
        <f t="shared" si="53"/>
        <v>0.24387040786809372</v>
      </c>
      <c r="T483" s="20">
        <f t="shared" si="54"/>
        <v>-1.1825282036447787E-2</v>
      </c>
      <c r="U483" s="20">
        <f>IFERROR(IF(ISNUMBER(INDEX('Firm Master'!$E$2:$E$1000,MATCH($C483,'Firm Master'!$B$2:$B$1000,0))),INDEX('Firm Master'!$E$2:$E$1000,MATCH($C483,'Firm Master'!$B$2:$B$1000,0)),""),"")</f>
        <v>2000</v>
      </c>
      <c r="V483" s="21">
        <f t="shared" si="55"/>
        <v>22</v>
      </c>
      <c r="W483" s="21">
        <v>0</v>
      </c>
      <c r="X483" s="20" t="str">
        <f>IFERROR(INDEX('Firm Master'!$G$2:$G$1000,MATCH($C483,'Firm Master'!$B$2:$B$1000,0)),"")</f>
        <v>Auditor unresolved (LOW confidence)</v>
      </c>
    </row>
    <row r="484" spans="1:24" ht="15" customHeight="1" x14ac:dyDescent="0.3">
      <c r="A484" s="11">
        <v>483</v>
      </c>
      <c r="B484" s="11">
        <v>97</v>
      </c>
      <c r="C484" s="11" t="s">
        <v>1164</v>
      </c>
      <c r="D484" s="11" t="s">
        <v>1165</v>
      </c>
      <c r="E484" s="11" t="s">
        <v>715</v>
      </c>
      <c r="F484" s="11">
        <v>2023</v>
      </c>
      <c r="G484" s="20">
        <f t="shared" si="49"/>
        <v>1</v>
      </c>
      <c r="H484" s="21">
        <v>0</v>
      </c>
      <c r="I484" s="21">
        <f>IFERROR(INDEX('Coding Sheet'!$AC$2:$AC$731,MATCH($B484&amp;"_"&amp;$F484,'Coding Sheet'!$A$2:$A$731,0)),"")</f>
        <v>0</v>
      </c>
      <c r="J484" s="7">
        <f>IFERROR(INDEX('Coding Sheet'!$AT$2:$AT$731,MATCH($B484&amp;"_"&amp;$F484,'Coding Sheet'!$A$2:$A$731,0)),"")</f>
        <v>0</v>
      </c>
      <c r="K484" s="21">
        <v>5632000000</v>
      </c>
      <c r="L484" s="21">
        <v>0.74</v>
      </c>
      <c r="M484" s="20">
        <f t="shared" si="50"/>
        <v>4167680</v>
      </c>
      <c r="N484" s="21">
        <v>909880</v>
      </c>
      <c r="O484" s="21">
        <v>3329000</v>
      </c>
      <c r="P484" s="20">
        <v>-187520</v>
      </c>
      <c r="Q484" s="20">
        <f t="shared" si="51"/>
        <v>1.5252508260738962</v>
      </c>
      <c r="R484" s="20">
        <f t="shared" si="52"/>
        <v>15.018182516557163</v>
      </c>
      <c r="S484" s="20">
        <f t="shared" si="53"/>
        <v>0.27331931510964252</v>
      </c>
      <c r="T484" s="20">
        <f t="shared" si="54"/>
        <v>-5.6329227996395316E-2</v>
      </c>
      <c r="U484" s="20">
        <f>IFERROR(IF(ISNUMBER(INDEX('Firm Master'!$E$2:$E$1000,MATCH($C484,'Firm Master'!$B$2:$B$1000,0))),INDEX('Firm Master'!$E$2:$E$1000,MATCH($C484,'Firm Master'!$B$2:$B$1000,0)),""),"")</f>
        <v>2000</v>
      </c>
      <c r="V484" s="21">
        <f t="shared" si="55"/>
        <v>23</v>
      </c>
      <c r="W484" s="21">
        <v>0</v>
      </c>
      <c r="X484" s="20" t="str">
        <f>IFERROR(INDEX('Firm Master'!$G$2:$G$1000,MATCH($C484,'Firm Master'!$B$2:$B$1000,0)),"")</f>
        <v>Auditor unresolved (LOW confidence)</v>
      </c>
    </row>
    <row r="485" spans="1:24" ht="15" customHeight="1" x14ac:dyDescent="0.3">
      <c r="A485" s="11">
        <v>484</v>
      </c>
      <c r="B485" s="11">
        <v>97</v>
      </c>
      <c r="C485" s="11" t="s">
        <v>1164</v>
      </c>
      <c r="D485" s="11" t="s">
        <v>1165</v>
      </c>
      <c r="E485" s="11" t="s">
        <v>715</v>
      </c>
      <c r="F485" s="11">
        <v>2024</v>
      </c>
      <c r="G485" s="20">
        <f t="shared" si="49"/>
        <v>1</v>
      </c>
      <c r="H485" s="21">
        <v>0</v>
      </c>
      <c r="I485" s="21">
        <f>IFERROR(INDEX('Coding Sheet'!$AC$2:$AC$731,MATCH($B485&amp;"_"&amp;$F485,'Coding Sheet'!$A$2:$A$731,0)),"")</f>
        <v>0</v>
      </c>
      <c r="J485" s="7">
        <f>IFERROR(INDEX('Coding Sheet'!$AT$2:$AT$731,MATCH($B485&amp;"_"&amp;$F485,'Coding Sheet'!$A$2:$A$731,0)),"")</f>
        <v>0</v>
      </c>
      <c r="K485" s="21">
        <v>5632000000</v>
      </c>
      <c r="L485" s="21">
        <v>0.63</v>
      </c>
      <c r="M485" s="20">
        <f t="shared" si="50"/>
        <v>3548160</v>
      </c>
      <c r="N485" s="21">
        <v>926890</v>
      </c>
      <c r="O485" s="21">
        <v>4838000</v>
      </c>
      <c r="P485" s="20">
        <v>-121030</v>
      </c>
      <c r="Q485" s="20">
        <f t="shared" si="51"/>
        <v>0.92497933030177759</v>
      </c>
      <c r="R485" s="20">
        <f t="shared" si="52"/>
        <v>15.39201197015211</v>
      </c>
      <c r="S485" s="20">
        <f t="shared" si="53"/>
        <v>0.19158536585365854</v>
      </c>
      <c r="T485" s="20">
        <f t="shared" si="54"/>
        <v>-2.5016535758577926E-2</v>
      </c>
      <c r="U485" s="20">
        <f>IFERROR(IF(ISNUMBER(INDEX('Firm Master'!$E$2:$E$1000,MATCH($C485,'Firm Master'!$B$2:$B$1000,0))),INDEX('Firm Master'!$E$2:$E$1000,MATCH($C485,'Firm Master'!$B$2:$B$1000,0)),""),"")</f>
        <v>2000</v>
      </c>
      <c r="V485" s="21">
        <f t="shared" si="55"/>
        <v>24</v>
      </c>
      <c r="W485" s="21">
        <v>0</v>
      </c>
      <c r="X485" s="20" t="str">
        <f>IFERROR(INDEX('Firm Master'!$G$2:$G$1000,MATCH($C485,'Firm Master'!$B$2:$B$1000,0)),"")</f>
        <v>Auditor unresolved (LOW confidence)</v>
      </c>
    </row>
    <row r="486" spans="1:24" ht="15" customHeight="1" x14ac:dyDescent="0.3">
      <c r="A486" s="11">
        <v>485</v>
      </c>
      <c r="B486" s="11">
        <v>97</v>
      </c>
      <c r="C486" s="11" t="s">
        <v>1164</v>
      </c>
      <c r="D486" s="11" t="s">
        <v>1165</v>
      </c>
      <c r="E486" s="11" t="s">
        <v>715</v>
      </c>
      <c r="F486" s="11">
        <v>2025</v>
      </c>
      <c r="G486" s="20">
        <f t="shared" si="49"/>
        <v>1</v>
      </c>
      <c r="H486" s="21">
        <v>0</v>
      </c>
      <c r="I486" s="21">
        <f>IFERROR(INDEX('Coding Sheet'!$AC$2:$AC$731,MATCH($B486&amp;"_"&amp;$F486,'Coding Sheet'!$A$2:$A$731,0)),"")</f>
        <v>0</v>
      </c>
      <c r="J486" s="7">
        <f>IFERROR(INDEX('Coding Sheet'!$AT$2:$AT$731,MATCH($B486&amp;"_"&amp;$F486,'Coding Sheet'!$A$2:$A$731,0)),"")</f>
        <v>0</v>
      </c>
      <c r="K486" s="21">
        <v>5632000000</v>
      </c>
      <c r="L486" s="21">
        <v>0.76</v>
      </c>
      <c r="M486" s="20">
        <f t="shared" si="50"/>
        <v>4280320</v>
      </c>
      <c r="N486" s="21">
        <v>852560</v>
      </c>
      <c r="O486" s="21">
        <v>4448000</v>
      </c>
      <c r="P486" s="20">
        <v>-166790</v>
      </c>
      <c r="Q486" s="20">
        <f t="shared" si="51"/>
        <v>1.1539748201438849</v>
      </c>
      <c r="R486" s="20">
        <f t="shared" si="52"/>
        <v>15.307965114912555</v>
      </c>
      <c r="S486" s="20">
        <f t="shared" si="53"/>
        <v>0.19167266187050361</v>
      </c>
      <c r="T486" s="20">
        <f t="shared" si="54"/>
        <v>-3.7497751798561151E-2</v>
      </c>
      <c r="U486" s="20">
        <f>IFERROR(IF(ISNUMBER(INDEX('Firm Master'!$E$2:$E$1000,MATCH($C486,'Firm Master'!$B$2:$B$1000,0))),INDEX('Firm Master'!$E$2:$E$1000,MATCH($C486,'Firm Master'!$B$2:$B$1000,0)),""),"")</f>
        <v>2000</v>
      </c>
      <c r="V486" s="21">
        <f t="shared" si="55"/>
        <v>25</v>
      </c>
      <c r="W486" s="21">
        <v>0</v>
      </c>
      <c r="X486" s="20" t="str">
        <f>IFERROR(INDEX('Firm Master'!$G$2:$G$1000,MATCH($C486,'Firm Master'!$B$2:$B$1000,0)),"")</f>
        <v>Auditor unresolved (LOW confidence)</v>
      </c>
    </row>
    <row r="487" spans="1:24" ht="15" customHeight="1" x14ac:dyDescent="0.3">
      <c r="A487" s="11">
        <v>486</v>
      </c>
      <c r="B487" s="11">
        <v>98</v>
      </c>
      <c r="C487" s="11" t="s">
        <v>1169</v>
      </c>
      <c r="D487" s="11" t="s">
        <v>1170</v>
      </c>
      <c r="E487" s="11" t="s">
        <v>766</v>
      </c>
      <c r="F487" s="11">
        <v>2021</v>
      </c>
      <c r="G487" s="20">
        <f t="shared" si="49"/>
        <v>0</v>
      </c>
      <c r="H487" s="21">
        <v>0</v>
      </c>
      <c r="I487" s="21">
        <f>IFERROR(INDEX('Coding Sheet'!$AC$2:$AC$731,MATCH($B487&amp;"_"&amp;$F487,'Coding Sheet'!$A$2:$A$731,0)),"")</f>
        <v>15</v>
      </c>
      <c r="J487" s="7">
        <f>IFERROR(INDEX('Coding Sheet'!$AT$2:$AT$731,MATCH($B487&amp;"_"&amp;$F487,'Coding Sheet'!$A$2:$A$731,0)),"")</f>
        <v>6.666666666666667</v>
      </c>
      <c r="K487" s="21">
        <v>14590000000</v>
      </c>
      <c r="L487" s="21">
        <v>3.77</v>
      </c>
      <c r="M487" s="20">
        <f t="shared" si="50"/>
        <v>55004300</v>
      </c>
      <c r="N487" s="21">
        <v>1124996000</v>
      </c>
      <c r="O487" s="21">
        <v>998051000</v>
      </c>
      <c r="P487" s="20">
        <v>35817000</v>
      </c>
      <c r="Q487" s="20">
        <f t="shared" si="51"/>
        <v>1.1823046116881804</v>
      </c>
      <c r="R487" s="20">
        <f t="shared" si="52"/>
        <v>20.721314935174473</v>
      </c>
      <c r="S487" s="20">
        <f t="shared" si="53"/>
        <v>1.1271928989600732</v>
      </c>
      <c r="T487" s="20">
        <f t="shared" si="54"/>
        <v>3.5886943653180049E-2</v>
      </c>
      <c r="U487" s="20">
        <f>IFERROR(IF(ISNUMBER(INDEX('Firm Master'!$E$2:$E$1000,MATCH($C487,'Firm Master'!$B$2:$B$1000,0))),INDEX('Firm Master'!$E$2:$E$1000,MATCH($C487,'Firm Master'!$B$2:$B$1000,0)),""),"")</f>
        <v>1956</v>
      </c>
      <c r="V487" s="21">
        <f t="shared" si="55"/>
        <v>65</v>
      </c>
      <c r="W487" s="21">
        <v>1</v>
      </c>
      <c r="X487" s="20" t="str">
        <f>IFERROR(INDEX('Firm Master'!$G$2:$G$1000,MATCH($C487,'Firm Master'!$B$2:$B$1000,0)),"")</f>
        <v>Ernst &amp; Young (FY2021); BDO Professional Services (FY2022-2025)</v>
      </c>
    </row>
    <row r="488" spans="1:24" ht="15" customHeight="1" x14ac:dyDescent="0.3">
      <c r="A488" s="11">
        <v>487</v>
      </c>
      <c r="B488" s="11">
        <v>98</v>
      </c>
      <c r="C488" s="11" t="s">
        <v>1169</v>
      </c>
      <c r="D488" s="11" t="s">
        <v>1170</v>
      </c>
      <c r="E488" s="11" t="s">
        <v>766</v>
      </c>
      <c r="F488" s="11">
        <v>2022</v>
      </c>
      <c r="G488" s="20">
        <f t="shared" si="49"/>
        <v>0</v>
      </c>
      <c r="H488" s="21">
        <v>0</v>
      </c>
      <c r="I488" s="21">
        <f>IFERROR(INDEX('Coding Sheet'!$AC$2:$AC$731,MATCH($B488&amp;"_"&amp;$F488,'Coding Sheet'!$A$2:$A$731,0)),"")</f>
        <v>15</v>
      </c>
      <c r="J488" s="7">
        <f>IFERROR(INDEX('Coding Sheet'!$AT$2:$AT$731,MATCH($B488&amp;"_"&amp;$F488,'Coding Sheet'!$A$2:$A$731,0)),"")</f>
        <v>6.666666666666667</v>
      </c>
      <c r="K488" s="21">
        <v>14590000000</v>
      </c>
      <c r="L488" s="21">
        <v>3.34</v>
      </c>
      <c r="M488" s="20">
        <f t="shared" si="50"/>
        <v>48730600</v>
      </c>
      <c r="N488" s="21">
        <v>1449536000</v>
      </c>
      <c r="O488" s="21">
        <v>1252330000</v>
      </c>
      <c r="P488" s="20">
        <v>-78719000</v>
      </c>
      <c r="Q488" s="20">
        <f t="shared" si="51"/>
        <v>1.1963832216747983</v>
      </c>
      <c r="R488" s="20">
        <f t="shared" si="52"/>
        <v>20.948271653168426</v>
      </c>
      <c r="S488" s="20">
        <f t="shared" si="53"/>
        <v>1.1574712735461101</v>
      </c>
      <c r="T488" s="20">
        <f t="shared" si="54"/>
        <v>-6.2858032627182925E-2</v>
      </c>
      <c r="U488" s="20">
        <f>IFERROR(IF(ISNUMBER(INDEX('Firm Master'!$E$2:$E$1000,MATCH($C488,'Firm Master'!$B$2:$B$1000,0))),INDEX('Firm Master'!$E$2:$E$1000,MATCH($C488,'Firm Master'!$B$2:$B$1000,0)),""),"")</f>
        <v>1956</v>
      </c>
      <c r="V488" s="21">
        <f t="shared" si="55"/>
        <v>66</v>
      </c>
      <c r="W488" s="21">
        <v>0</v>
      </c>
      <c r="X488" s="20" t="str">
        <f>IFERROR(INDEX('Firm Master'!$G$2:$G$1000,MATCH($C488,'Firm Master'!$B$2:$B$1000,0)),"")</f>
        <v>Ernst &amp; Young (FY2021); BDO Professional Services (FY2022-2025)</v>
      </c>
    </row>
    <row r="489" spans="1:24" ht="15" customHeight="1" x14ac:dyDescent="0.3">
      <c r="A489" s="11">
        <v>488</v>
      </c>
      <c r="B489" s="11">
        <v>98</v>
      </c>
      <c r="C489" s="11" t="s">
        <v>1169</v>
      </c>
      <c r="D489" s="11" t="s">
        <v>1170</v>
      </c>
      <c r="E489" s="11" t="s">
        <v>766</v>
      </c>
      <c r="F489" s="11">
        <v>2023</v>
      </c>
      <c r="G489" s="20">
        <f t="shared" si="49"/>
        <v>1</v>
      </c>
      <c r="H489" s="21">
        <v>0</v>
      </c>
      <c r="I489" s="21">
        <f>IFERROR(INDEX('Coding Sheet'!$AC$2:$AC$731,MATCH($B489&amp;"_"&amp;$F489,'Coding Sheet'!$A$2:$A$731,0)),"")</f>
        <v>15</v>
      </c>
      <c r="J489" s="7">
        <f>IFERROR(INDEX('Coding Sheet'!$AT$2:$AT$731,MATCH($B489&amp;"_"&amp;$F489,'Coding Sheet'!$A$2:$A$731,0)),"")</f>
        <v>6.666666666666667</v>
      </c>
      <c r="K489" s="21">
        <v>14590000000</v>
      </c>
      <c r="L489" s="21">
        <v>8.9499999999999993</v>
      </c>
      <c r="M489" s="20">
        <f t="shared" si="50"/>
        <v>130580499.99999999</v>
      </c>
      <c r="N489" s="21">
        <v>2943297000</v>
      </c>
      <c r="O489" s="21">
        <v>2676118000</v>
      </c>
      <c r="P489" s="20">
        <v>61996000</v>
      </c>
      <c r="Q489" s="20">
        <f t="shared" si="51"/>
        <v>1.1486330199191515</v>
      </c>
      <c r="R489" s="20">
        <f t="shared" si="52"/>
        <v>21.707633073905381</v>
      </c>
      <c r="S489" s="20">
        <f t="shared" si="53"/>
        <v>1.0998382732002101</v>
      </c>
      <c r="T489" s="20">
        <f t="shared" si="54"/>
        <v>2.3166392513334615E-2</v>
      </c>
      <c r="U489" s="20">
        <f>IFERROR(IF(ISNUMBER(INDEX('Firm Master'!$E$2:$E$1000,MATCH($C489,'Firm Master'!$B$2:$B$1000,0))),INDEX('Firm Master'!$E$2:$E$1000,MATCH($C489,'Firm Master'!$B$2:$B$1000,0)),""),"")</f>
        <v>1956</v>
      </c>
      <c r="V489" s="21">
        <f t="shared" si="55"/>
        <v>67</v>
      </c>
      <c r="W489" s="21">
        <v>0</v>
      </c>
      <c r="X489" s="20" t="str">
        <f>IFERROR(INDEX('Firm Master'!$G$2:$G$1000,MATCH($C489,'Firm Master'!$B$2:$B$1000,0)),"")</f>
        <v>Ernst &amp; Young (FY2021); BDO Professional Services (FY2022-2025)</v>
      </c>
    </row>
    <row r="490" spans="1:24" ht="15" customHeight="1" x14ac:dyDescent="0.3">
      <c r="A490" s="11">
        <v>489</v>
      </c>
      <c r="B490" s="11">
        <v>98</v>
      </c>
      <c r="C490" s="11" t="s">
        <v>1169</v>
      </c>
      <c r="D490" s="11" t="s">
        <v>1170</v>
      </c>
      <c r="E490" s="11" t="s">
        <v>766</v>
      </c>
      <c r="F490" s="11">
        <v>2024</v>
      </c>
      <c r="G490" s="20">
        <f t="shared" si="49"/>
        <v>1</v>
      </c>
      <c r="H490" s="21">
        <v>0</v>
      </c>
      <c r="I490" s="21">
        <f>IFERROR(INDEX('Coding Sheet'!$AC$2:$AC$731,MATCH($B490&amp;"_"&amp;$F490,'Coding Sheet'!$A$2:$A$731,0)),"")</f>
        <v>65</v>
      </c>
      <c r="J490" s="7">
        <f>IFERROR(INDEX('Coding Sheet'!$AT$2:$AT$731,MATCH($B490&amp;"_"&amp;$F490,'Coding Sheet'!$A$2:$A$731,0)),"")</f>
        <v>20</v>
      </c>
      <c r="K490" s="21">
        <v>13467000000</v>
      </c>
      <c r="L490" s="21">
        <v>60.93</v>
      </c>
      <c r="M490" s="20">
        <f t="shared" si="50"/>
        <v>820544310</v>
      </c>
      <c r="N490" s="21">
        <v>6795139000</v>
      </c>
      <c r="O490" s="21">
        <v>6434159000</v>
      </c>
      <c r="P490" s="20">
        <v>224856000</v>
      </c>
      <c r="Q490" s="20">
        <f t="shared" si="51"/>
        <v>1.1836330606688457</v>
      </c>
      <c r="R490" s="20">
        <f t="shared" si="52"/>
        <v>22.584886977922928</v>
      </c>
      <c r="S490" s="20">
        <f t="shared" si="53"/>
        <v>1.0561036803722135</v>
      </c>
      <c r="T490" s="20">
        <f t="shared" si="54"/>
        <v>3.4947224648940137E-2</v>
      </c>
      <c r="U490" s="20">
        <f>IFERROR(IF(ISNUMBER(INDEX('Firm Master'!$E$2:$E$1000,MATCH($C490,'Firm Master'!$B$2:$B$1000,0))),INDEX('Firm Master'!$E$2:$E$1000,MATCH($C490,'Firm Master'!$B$2:$B$1000,0)),""),"")</f>
        <v>1956</v>
      </c>
      <c r="V490" s="21">
        <f t="shared" si="55"/>
        <v>68</v>
      </c>
      <c r="W490" s="21">
        <v>0</v>
      </c>
      <c r="X490" s="20" t="str">
        <f>IFERROR(INDEX('Firm Master'!$G$2:$G$1000,MATCH($C490,'Firm Master'!$B$2:$B$1000,0)),"")</f>
        <v>Ernst &amp; Young (FY2021); BDO Professional Services (FY2022-2025)</v>
      </c>
    </row>
    <row r="491" spans="1:24" ht="15" customHeight="1" x14ac:dyDescent="0.3">
      <c r="A491" s="11">
        <v>490</v>
      </c>
      <c r="B491" s="11">
        <v>98</v>
      </c>
      <c r="C491" s="11" t="s">
        <v>1169</v>
      </c>
      <c r="D491" s="11" t="s">
        <v>1170</v>
      </c>
      <c r="E491" s="11" t="s">
        <v>766</v>
      </c>
      <c r="F491" s="11">
        <v>2025</v>
      </c>
      <c r="G491" s="20">
        <f t="shared" si="49"/>
        <v>1</v>
      </c>
      <c r="H491" s="21">
        <v>0</v>
      </c>
      <c r="I491" s="21">
        <f>IFERROR(INDEX('Coding Sheet'!$AC$2:$AC$731,MATCH($B491&amp;"_"&amp;$F491,'Coding Sheet'!$A$2:$A$731,0)),"")</f>
        <v>65</v>
      </c>
      <c r="J491" s="7">
        <f>IFERROR(INDEX('Coding Sheet'!$AT$2:$AT$731,MATCH($B491&amp;"_"&amp;$F491,'Coding Sheet'!$A$2:$A$731,0)),"")</f>
        <v>20</v>
      </c>
      <c r="K491" s="21">
        <v>14590000000</v>
      </c>
      <c r="L491" s="21">
        <v>40.200000000000003</v>
      </c>
      <c r="M491" s="20">
        <f t="shared" si="50"/>
        <v>586518000</v>
      </c>
      <c r="N491" s="21">
        <v>7257906000</v>
      </c>
      <c r="O491" s="21">
        <v>6704080000</v>
      </c>
      <c r="P491" s="20">
        <v>244310000</v>
      </c>
      <c r="Q491" s="20">
        <f t="shared" si="51"/>
        <v>1.1700970155487405</v>
      </c>
      <c r="R491" s="20">
        <f t="shared" si="52"/>
        <v>22.625982133229218</v>
      </c>
      <c r="S491" s="20">
        <f t="shared" si="53"/>
        <v>1.0826102910466462</v>
      </c>
      <c r="T491" s="20">
        <f t="shared" si="54"/>
        <v>3.6441987565780841E-2</v>
      </c>
      <c r="U491" s="20">
        <f>IFERROR(IF(ISNUMBER(INDEX('Firm Master'!$E$2:$E$1000,MATCH($C491,'Firm Master'!$B$2:$B$1000,0))),INDEX('Firm Master'!$E$2:$E$1000,MATCH($C491,'Firm Master'!$B$2:$B$1000,0)),""),"")</f>
        <v>1956</v>
      </c>
      <c r="V491" s="21">
        <f t="shared" si="55"/>
        <v>69</v>
      </c>
      <c r="W491" s="21">
        <v>0</v>
      </c>
      <c r="X491" s="20" t="str">
        <f>IFERROR(INDEX('Firm Master'!$G$2:$G$1000,MATCH($C491,'Firm Master'!$B$2:$B$1000,0)),"")</f>
        <v>Ernst &amp; Young (FY2021); BDO Professional Services (FY2022-2025)</v>
      </c>
    </row>
    <row r="492" spans="1:24" ht="15" customHeight="1" x14ac:dyDescent="0.3">
      <c r="A492" s="11">
        <v>491</v>
      </c>
      <c r="B492" s="11">
        <v>99</v>
      </c>
      <c r="C492" s="11" t="s">
        <v>1174</v>
      </c>
      <c r="D492" s="11" t="s">
        <v>1175</v>
      </c>
      <c r="E492" s="11" t="s">
        <v>903</v>
      </c>
      <c r="F492" s="11">
        <v>2021</v>
      </c>
      <c r="G492" s="20">
        <f t="shared" si="49"/>
        <v>0</v>
      </c>
      <c r="H492" s="21">
        <v>0</v>
      </c>
      <c r="I492" s="21">
        <f>IFERROR(INDEX('Coding Sheet'!$AC$2:$AC$731,MATCH($B492&amp;"_"&amp;$F492,'Coding Sheet'!$A$2:$A$731,0)),"")</f>
        <v>45</v>
      </c>
      <c r="J492" s="7">
        <f>IFERROR(INDEX('Coding Sheet'!$AT$2:$AT$731,MATCH($B492&amp;"_"&amp;$F492,'Coding Sheet'!$A$2:$A$731,0)),"")</f>
        <v>0</v>
      </c>
      <c r="K492" s="21">
        <v>953910000</v>
      </c>
      <c r="L492" s="21">
        <v>142.02000000000001</v>
      </c>
      <c r="M492" s="20">
        <f t="shared" si="50"/>
        <v>135474298.20000002</v>
      </c>
      <c r="N492" s="21">
        <v>31720000</v>
      </c>
      <c r="O492" s="21">
        <v>65772000</v>
      </c>
      <c r="P492" s="20">
        <v>11539000</v>
      </c>
      <c r="Q492" s="20">
        <f t="shared" si="51"/>
        <v>2.5420284954083807</v>
      </c>
      <c r="R492" s="20">
        <f t="shared" si="52"/>
        <v>18.001704773816254</v>
      </c>
      <c r="S492" s="20">
        <f t="shared" si="53"/>
        <v>0.48227209146749378</v>
      </c>
      <c r="T492" s="20">
        <f t="shared" si="54"/>
        <v>0.17543939670376452</v>
      </c>
      <c r="U492" s="20">
        <f>IFERROR(IF(ISNUMBER(INDEX('Firm Master'!$E$2:$E$1000,MATCH($C492,'Firm Master'!$B$2:$B$1000,0))),INDEX('Firm Master'!$E$2:$E$1000,MATCH($C492,'Firm Master'!$B$2:$B$1000,0)),""),"")</f>
        <v>1979</v>
      </c>
      <c r="V492" s="21">
        <f t="shared" si="55"/>
        <v>42</v>
      </c>
      <c r="W492" s="21">
        <v>1</v>
      </c>
      <c r="X492" s="20" t="str">
        <f>IFERROR(INDEX('Firm Master'!$G$2:$G$1000,MATCH($C492,'Firm Master'!$B$2:$B$1000,0)),"")</f>
        <v>Ernst &amp; Young</v>
      </c>
    </row>
    <row r="493" spans="1:24" ht="15" customHeight="1" x14ac:dyDescent="0.3">
      <c r="A493" s="11">
        <v>492</v>
      </c>
      <c r="B493" s="11">
        <v>99</v>
      </c>
      <c r="C493" s="11" t="s">
        <v>1174</v>
      </c>
      <c r="D493" s="11" t="s">
        <v>1175</v>
      </c>
      <c r="E493" s="11" t="s">
        <v>903</v>
      </c>
      <c r="F493" s="11">
        <v>2022</v>
      </c>
      <c r="G493" s="20">
        <f t="shared" si="49"/>
        <v>0</v>
      </c>
      <c r="H493" s="21">
        <v>0</v>
      </c>
      <c r="I493" s="21">
        <f>IFERROR(INDEX('Coding Sheet'!$AC$2:$AC$731,MATCH($B493&amp;"_"&amp;$F493,'Coding Sheet'!$A$2:$A$731,0)),"")</f>
        <v>45</v>
      </c>
      <c r="J493" s="7">
        <f>IFERROR(INDEX('Coding Sheet'!$AT$2:$AT$731,MATCH($B493&amp;"_"&amp;$F493,'Coding Sheet'!$A$2:$A$731,0)),"")</f>
        <v>0</v>
      </c>
      <c r="K493" s="21">
        <v>953910000</v>
      </c>
      <c r="L493" s="21">
        <v>165.02</v>
      </c>
      <c r="M493" s="20">
        <f t="shared" si="50"/>
        <v>157414228.19999999</v>
      </c>
      <c r="N493" s="21">
        <v>38464000</v>
      </c>
      <c r="O493" s="21">
        <v>72498000</v>
      </c>
      <c r="P493" s="20">
        <v>16231000</v>
      </c>
      <c r="Q493" s="20">
        <f t="shared" si="51"/>
        <v>2.70184319843306</v>
      </c>
      <c r="R493" s="20">
        <f t="shared" si="52"/>
        <v>18.0990695332375</v>
      </c>
      <c r="S493" s="20">
        <f t="shared" si="53"/>
        <v>0.53055256696736464</v>
      </c>
      <c r="T493" s="20">
        <f t="shared" si="54"/>
        <v>0.22388203812518967</v>
      </c>
      <c r="U493" s="20">
        <f>IFERROR(IF(ISNUMBER(INDEX('Firm Master'!$E$2:$E$1000,MATCH($C493,'Firm Master'!$B$2:$B$1000,0))),INDEX('Firm Master'!$E$2:$E$1000,MATCH($C493,'Firm Master'!$B$2:$B$1000,0)),""),"")</f>
        <v>1979</v>
      </c>
      <c r="V493" s="21">
        <f t="shared" si="55"/>
        <v>43</v>
      </c>
      <c r="W493" s="21">
        <v>1</v>
      </c>
      <c r="X493" s="20" t="str">
        <f>IFERROR(INDEX('Firm Master'!$G$2:$G$1000,MATCH($C493,'Firm Master'!$B$2:$B$1000,0)),"")</f>
        <v>Ernst &amp; Young</v>
      </c>
    </row>
    <row r="494" spans="1:24" ht="15" customHeight="1" x14ac:dyDescent="0.3">
      <c r="A494" s="11">
        <v>493</v>
      </c>
      <c r="B494" s="11">
        <v>99</v>
      </c>
      <c r="C494" s="11" t="s">
        <v>1174</v>
      </c>
      <c r="D494" s="11" t="s">
        <v>1175</v>
      </c>
      <c r="E494" s="11" t="s">
        <v>903</v>
      </c>
      <c r="F494" s="11">
        <v>2023</v>
      </c>
      <c r="G494" s="20">
        <f t="shared" si="49"/>
        <v>1</v>
      </c>
      <c r="H494" s="21">
        <v>0</v>
      </c>
      <c r="I494" s="21">
        <f>IFERROR(INDEX('Coding Sheet'!$AC$2:$AC$731,MATCH($B494&amp;"_"&amp;$F494,'Coding Sheet'!$A$2:$A$731,0)),"")</f>
        <v>45</v>
      </c>
      <c r="J494" s="7">
        <f>IFERROR(INDEX('Coding Sheet'!$AT$2:$AT$731,MATCH($B494&amp;"_"&amp;$F494,'Coding Sheet'!$A$2:$A$731,0)),"")</f>
        <v>0</v>
      </c>
      <c r="K494" s="21">
        <v>953910000</v>
      </c>
      <c r="L494" s="21">
        <v>260.02999999999997</v>
      </c>
      <c r="M494" s="20">
        <f t="shared" si="50"/>
        <v>248045217.29999998</v>
      </c>
      <c r="N494" s="21">
        <v>56226000</v>
      </c>
      <c r="O494" s="21">
        <v>95100000</v>
      </c>
      <c r="P494" s="20">
        <v>20647000</v>
      </c>
      <c r="Q494" s="20">
        <f t="shared" si="51"/>
        <v>3.199487037854889</v>
      </c>
      <c r="R494" s="20">
        <f t="shared" si="52"/>
        <v>18.370439527515618</v>
      </c>
      <c r="S494" s="20">
        <f t="shared" si="53"/>
        <v>0.59123028391167187</v>
      </c>
      <c r="T494" s="20">
        <f t="shared" si="54"/>
        <v>0.21710830704521555</v>
      </c>
      <c r="U494" s="20">
        <f>IFERROR(IF(ISNUMBER(INDEX('Firm Master'!$E$2:$E$1000,MATCH($C494,'Firm Master'!$B$2:$B$1000,0))),INDEX('Firm Master'!$E$2:$E$1000,MATCH($C494,'Firm Master'!$B$2:$B$1000,0)),""),"")</f>
        <v>1979</v>
      </c>
      <c r="V494" s="21">
        <f t="shared" si="55"/>
        <v>44</v>
      </c>
      <c r="W494" s="21">
        <v>1</v>
      </c>
      <c r="X494" s="20" t="str">
        <f>IFERROR(INDEX('Firm Master'!$G$2:$G$1000,MATCH($C494,'Firm Master'!$B$2:$B$1000,0)),"")</f>
        <v>Ernst &amp; Young</v>
      </c>
    </row>
    <row r="495" spans="1:24" ht="15" customHeight="1" x14ac:dyDescent="0.3">
      <c r="A495" s="11">
        <v>494</v>
      </c>
      <c r="B495" s="11">
        <v>99</v>
      </c>
      <c r="C495" s="11" t="s">
        <v>1174</v>
      </c>
      <c r="D495" s="11" t="s">
        <v>1175</v>
      </c>
      <c r="E495" s="11" t="s">
        <v>903</v>
      </c>
      <c r="F495" s="11">
        <v>2024</v>
      </c>
      <c r="G495" s="20">
        <f t="shared" si="49"/>
        <v>1</v>
      </c>
      <c r="H495" s="21">
        <v>0</v>
      </c>
      <c r="I495" s="21">
        <f>IFERROR(INDEX('Coding Sheet'!$AC$2:$AC$731,MATCH($B495&amp;"_"&amp;$F495,'Coding Sheet'!$A$2:$A$731,0)),"")</f>
        <v>45</v>
      </c>
      <c r="J495" s="7">
        <f>IFERROR(INDEX('Coding Sheet'!$AT$2:$AT$731,MATCH($B495&amp;"_"&amp;$F495,'Coding Sheet'!$A$2:$A$731,0)),"")</f>
        <v>0</v>
      </c>
      <c r="K495" s="21">
        <v>953910000</v>
      </c>
      <c r="L495" s="21">
        <v>444.05</v>
      </c>
      <c r="M495" s="20">
        <f t="shared" si="50"/>
        <v>423583735.5</v>
      </c>
      <c r="N495" s="21">
        <v>61560000</v>
      </c>
      <c r="O495" s="21">
        <v>117038000</v>
      </c>
      <c r="P495" s="20">
        <v>39958000</v>
      </c>
      <c r="Q495" s="20">
        <f t="shared" si="51"/>
        <v>4.145181355628087</v>
      </c>
      <c r="R495" s="20">
        <f t="shared" si="52"/>
        <v>18.578009226355157</v>
      </c>
      <c r="S495" s="20">
        <f t="shared" si="53"/>
        <v>0.52598301406380832</v>
      </c>
      <c r="T495" s="20">
        <f t="shared" si="54"/>
        <v>0.34141048206565389</v>
      </c>
      <c r="U495" s="20">
        <f>IFERROR(IF(ISNUMBER(INDEX('Firm Master'!$E$2:$E$1000,MATCH($C495,'Firm Master'!$B$2:$B$1000,0))),INDEX('Firm Master'!$E$2:$E$1000,MATCH($C495,'Firm Master'!$B$2:$B$1000,0)),""),"")</f>
        <v>1979</v>
      </c>
      <c r="V495" s="21">
        <f t="shared" si="55"/>
        <v>45</v>
      </c>
      <c r="W495" s="21">
        <v>1</v>
      </c>
      <c r="X495" s="20" t="str">
        <f>IFERROR(INDEX('Firm Master'!$G$2:$G$1000,MATCH($C495,'Firm Master'!$B$2:$B$1000,0)),"")</f>
        <v>Ernst &amp; Young</v>
      </c>
    </row>
    <row r="496" spans="1:24" ht="15" customHeight="1" x14ac:dyDescent="0.3">
      <c r="A496" s="11">
        <v>495</v>
      </c>
      <c r="B496" s="11">
        <v>99</v>
      </c>
      <c r="C496" s="11" t="s">
        <v>1174</v>
      </c>
      <c r="D496" s="11" t="s">
        <v>1175</v>
      </c>
      <c r="E496" s="11" t="s">
        <v>903</v>
      </c>
      <c r="F496" s="11">
        <v>2025</v>
      </c>
      <c r="G496" s="20">
        <f t="shared" si="49"/>
        <v>1</v>
      </c>
      <c r="H496" s="21">
        <v>0</v>
      </c>
      <c r="I496" s="21">
        <f>IFERROR(INDEX('Coding Sheet'!$AC$2:$AC$731,MATCH($B496&amp;"_"&amp;$F496,'Coding Sheet'!$A$2:$A$731,0)),"")</f>
        <v>45</v>
      </c>
      <c r="J496" s="7">
        <f>IFERROR(INDEX('Coding Sheet'!$AT$2:$AT$731,MATCH($B496&amp;"_"&amp;$F496,'Coding Sheet'!$A$2:$A$731,0)),"")</f>
        <v>0</v>
      </c>
      <c r="K496" s="21">
        <v>953910000</v>
      </c>
      <c r="L496" s="21">
        <v>1090.24</v>
      </c>
      <c r="M496" s="20">
        <f t="shared" si="50"/>
        <v>1039990838.4</v>
      </c>
      <c r="N496" s="21">
        <v>90043000</v>
      </c>
      <c r="O496" s="21">
        <v>138853000</v>
      </c>
      <c r="P496" s="20">
        <v>57952000</v>
      </c>
      <c r="Q496" s="20">
        <f t="shared" si="51"/>
        <v>8.1383465852376258</v>
      </c>
      <c r="R496" s="20">
        <f t="shared" si="52"/>
        <v>18.748926377533369</v>
      </c>
      <c r="S496" s="20">
        <f t="shared" si="53"/>
        <v>0.64847716649982357</v>
      </c>
      <c r="T496" s="20">
        <f t="shared" si="54"/>
        <v>0.41736224640447089</v>
      </c>
      <c r="U496" s="20">
        <f>IFERROR(IF(ISNUMBER(INDEX('Firm Master'!$E$2:$E$1000,MATCH($C496,'Firm Master'!$B$2:$B$1000,0))),INDEX('Firm Master'!$E$2:$E$1000,MATCH($C496,'Firm Master'!$B$2:$B$1000,0)),""),"")</f>
        <v>1979</v>
      </c>
      <c r="V496" s="21">
        <f t="shared" si="55"/>
        <v>46</v>
      </c>
      <c r="W496" s="21">
        <v>1</v>
      </c>
      <c r="X496" s="20" t="str">
        <f>IFERROR(INDEX('Firm Master'!$G$2:$G$1000,MATCH($C496,'Firm Master'!$B$2:$B$1000,0)),"")</f>
        <v>Ernst &amp; Young</v>
      </c>
    </row>
    <row r="497" spans="1:24" ht="15" customHeight="1" x14ac:dyDescent="0.3">
      <c r="A497" s="11">
        <v>496</v>
      </c>
      <c r="B497" s="11">
        <v>100</v>
      </c>
      <c r="C497" s="11" t="s">
        <v>1178</v>
      </c>
      <c r="D497" s="11" t="s">
        <v>1179</v>
      </c>
      <c r="E497" s="11" t="s">
        <v>752</v>
      </c>
      <c r="F497" s="11">
        <v>2021</v>
      </c>
      <c r="G497" s="20">
        <f t="shared" si="49"/>
        <v>0</v>
      </c>
      <c r="H497" s="21">
        <v>0</v>
      </c>
      <c r="I497" s="21">
        <f>IFERROR(INDEX('Coding Sheet'!$AC$2:$AC$731,MATCH($B497&amp;"_"&amp;$F497,'Coding Sheet'!$A$2:$A$731,0)),"")</f>
        <v>0</v>
      </c>
      <c r="J497" s="7">
        <f>IFERROR(INDEX('Coding Sheet'!$AT$2:$AT$731,MATCH($B497&amp;"_"&amp;$F497,'Coding Sheet'!$A$2:$A$731,0)),"")</f>
        <v>0</v>
      </c>
      <c r="K497" s="21">
        <v>2942000000</v>
      </c>
      <c r="L497" s="21">
        <v>0.2</v>
      </c>
      <c r="M497" s="20">
        <f t="shared" si="50"/>
        <v>588400</v>
      </c>
      <c r="N497" s="21">
        <v>15881000</v>
      </c>
      <c r="O497" s="21">
        <v>4711000</v>
      </c>
      <c r="P497" s="20">
        <v>-1616000</v>
      </c>
      <c r="Q497" s="20">
        <f t="shared" si="51"/>
        <v>3.4959456590957334</v>
      </c>
      <c r="R497" s="20">
        <f t="shared" si="52"/>
        <v>15.365410757682179</v>
      </c>
      <c r="S497" s="20">
        <f t="shared" si="53"/>
        <v>3.3710464869454468</v>
      </c>
      <c r="T497" s="20">
        <f t="shared" si="54"/>
        <v>-0.34302695818297602</v>
      </c>
      <c r="U497" s="20">
        <f>IFERROR(IF(ISNUMBER(INDEX('Firm Master'!$E$2:$E$1000,MATCH($C497,'Firm Master'!$B$2:$B$1000,0))),INDEX('Firm Master'!$E$2:$E$1000,MATCH($C497,'Firm Master'!$B$2:$B$1000,0)),""),"")</f>
        <v>1988</v>
      </c>
      <c r="V497" s="21">
        <f t="shared" si="55"/>
        <v>33</v>
      </c>
      <c r="W497" s="21">
        <v>0</v>
      </c>
      <c r="X497" s="20" t="str">
        <f>IFERROR(INDEX('Firm Master'!$G$2:$G$1000,MATCH($C497,'Firm Master'!$B$2:$B$1000,0)),"")</f>
        <v>Olaolu Olabimtan &amp; Co. (Chartered Accountants)</v>
      </c>
    </row>
    <row r="498" spans="1:24" ht="15" customHeight="1" x14ac:dyDescent="0.3">
      <c r="A498" s="11">
        <v>497</v>
      </c>
      <c r="B498" s="11">
        <v>100</v>
      </c>
      <c r="C498" s="11" t="s">
        <v>1178</v>
      </c>
      <c r="D498" s="11" t="s">
        <v>1179</v>
      </c>
      <c r="E498" s="11" t="s">
        <v>752</v>
      </c>
      <c r="F498" s="11">
        <v>2022</v>
      </c>
      <c r="G498" s="20">
        <f t="shared" si="49"/>
        <v>0</v>
      </c>
      <c r="H498" s="21">
        <v>0</v>
      </c>
      <c r="I498" s="21">
        <f>IFERROR(INDEX('Coding Sheet'!$AC$2:$AC$731,MATCH($B498&amp;"_"&amp;$F498,'Coding Sheet'!$A$2:$A$731,0)),"")</f>
        <v>0</v>
      </c>
      <c r="J498" s="7">
        <f>IFERROR(INDEX('Coding Sheet'!$AT$2:$AT$731,MATCH($B498&amp;"_"&amp;$F498,'Coding Sheet'!$A$2:$A$731,0)),"")</f>
        <v>0</v>
      </c>
      <c r="K498" s="21">
        <v>2942000000</v>
      </c>
      <c r="L498" s="21">
        <v>0.2</v>
      </c>
      <c r="M498" s="20">
        <f t="shared" si="50"/>
        <v>588400</v>
      </c>
      <c r="N498" s="21">
        <v>17772000</v>
      </c>
      <c r="O498" s="21">
        <v>4673000</v>
      </c>
      <c r="P498" s="20">
        <v>-1794000</v>
      </c>
      <c r="Q498" s="20">
        <f t="shared" si="51"/>
        <v>3.929039161138455</v>
      </c>
      <c r="R498" s="20">
        <f t="shared" si="52"/>
        <v>15.357311821682563</v>
      </c>
      <c r="S498" s="20">
        <f t="shared" si="53"/>
        <v>3.8031243312647121</v>
      </c>
      <c r="T498" s="20">
        <f t="shared" si="54"/>
        <v>-0.38390755403381127</v>
      </c>
      <c r="U498" s="20">
        <f>IFERROR(IF(ISNUMBER(INDEX('Firm Master'!$E$2:$E$1000,MATCH($C498,'Firm Master'!$B$2:$B$1000,0))),INDEX('Firm Master'!$E$2:$E$1000,MATCH($C498,'Firm Master'!$B$2:$B$1000,0)),""),"")</f>
        <v>1988</v>
      </c>
      <c r="V498" s="21">
        <f t="shared" si="55"/>
        <v>34</v>
      </c>
      <c r="W498" s="21">
        <v>0</v>
      </c>
      <c r="X498" s="20" t="str">
        <f>IFERROR(INDEX('Firm Master'!$G$2:$G$1000,MATCH($C498,'Firm Master'!$B$2:$B$1000,0)),"")</f>
        <v>Olaolu Olabimtan &amp; Co. (Chartered Accountants)</v>
      </c>
    </row>
    <row r="499" spans="1:24" ht="15" customHeight="1" x14ac:dyDescent="0.3">
      <c r="A499" s="11">
        <v>498</v>
      </c>
      <c r="B499" s="11">
        <v>100</v>
      </c>
      <c r="C499" s="11" t="s">
        <v>1178</v>
      </c>
      <c r="D499" s="11" t="s">
        <v>1179</v>
      </c>
      <c r="E499" s="11" t="s">
        <v>752</v>
      </c>
      <c r="F499" s="11">
        <v>2023</v>
      </c>
      <c r="G499" s="20">
        <f t="shared" si="49"/>
        <v>1</v>
      </c>
      <c r="H499" s="21">
        <v>0</v>
      </c>
      <c r="I499" s="21">
        <f>IFERROR(INDEX('Coding Sheet'!$AC$2:$AC$731,MATCH($B499&amp;"_"&amp;$F499,'Coding Sheet'!$A$2:$A$731,0)),"")</f>
        <v>0</v>
      </c>
      <c r="J499" s="7">
        <f>IFERROR(INDEX('Coding Sheet'!$AT$2:$AT$731,MATCH($B499&amp;"_"&amp;$F499,'Coding Sheet'!$A$2:$A$731,0)),"")</f>
        <v>0</v>
      </c>
      <c r="K499" s="21">
        <v>2942000000</v>
      </c>
      <c r="L499" s="21">
        <v>0.76</v>
      </c>
      <c r="M499" s="20">
        <f t="shared" si="50"/>
        <v>2235920</v>
      </c>
      <c r="N499" s="21">
        <v>5425000</v>
      </c>
      <c r="O499" s="21">
        <v>2875000</v>
      </c>
      <c r="P499" s="20">
        <v>6620</v>
      </c>
      <c r="Q499" s="20">
        <f t="shared" si="51"/>
        <v>2.6646678260869567</v>
      </c>
      <c r="R499" s="20">
        <f t="shared" si="52"/>
        <v>14.871563232213587</v>
      </c>
      <c r="S499" s="20">
        <f t="shared" si="53"/>
        <v>1.8869565217391304</v>
      </c>
      <c r="T499" s="20">
        <f t="shared" si="54"/>
        <v>2.3026086956521737E-3</v>
      </c>
      <c r="U499" s="20">
        <f>IFERROR(IF(ISNUMBER(INDEX('Firm Master'!$E$2:$E$1000,MATCH($C499,'Firm Master'!$B$2:$B$1000,0))),INDEX('Firm Master'!$E$2:$E$1000,MATCH($C499,'Firm Master'!$B$2:$B$1000,0)),""),"")</f>
        <v>1988</v>
      </c>
      <c r="V499" s="21">
        <f t="shared" si="55"/>
        <v>35</v>
      </c>
      <c r="W499" s="21">
        <v>0</v>
      </c>
      <c r="X499" s="20" t="str">
        <f>IFERROR(INDEX('Firm Master'!$G$2:$G$1000,MATCH($C499,'Firm Master'!$B$2:$B$1000,0)),"")</f>
        <v>Olaolu Olabimtan &amp; Co. (Chartered Accountants)</v>
      </c>
    </row>
    <row r="500" spans="1:24" ht="15" customHeight="1" x14ac:dyDescent="0.3">
      <c r="A500" s="11">
        <v>499</v>
      </c>
      <c r="B500" s="11">
        <v>100</v>
      </c>
      <c r="C500" s="11" t="s">
        <v>1178</v>
      </c>
      <c r="D500" s="11" t="s">
        <v>1179</v>
      </c>
      <c r="E500" s="11" t="s">
        <v>752</v>
      </c>
      <c r="F500" s="11">
        <v>2024</v>
      </c>
      <c r="G500" s="20">
        <f t="shared" si="49"/>
        <v>1</v>
      </c>
      <c r="H500" s="21">
        <v>0</v>
      </c>
      <c r="I500" s="21">
        <f>IFERROR(INDEX('Coding Sheet'!$AC$2:$AC$731,MATCH($B500&amp;"_"&amp;$F500,'Coding Sheet'!$A$2:$A$731,0)),"")</f>
        <v>0</v>
      </c>
      <c r="J500" s="7">
        <f>IFERROR(INDEX('Coding Sheet'!$AT$2:$AT$731,MATCH($B500&amp;"_"&amp;$F500,'Coding Sheet'!$A$2:$A$731,0)),"")</f>
        <v>0</v>
      </c>
      <c r="K500" s="21">
        <v>2942000000</v>
      </c>
      <c r="L500" s="21">
        <v>0.73</v>
      </c>
      <c r="M500" s="20">
        <f t="shared" si="50"/>
        <v>2147660</v>
      </c>
      <c r="N500" s="21">
        <v>5507000</v>
      </c>
      <c r="O500" s="21">
        <v>2870000</v>
      </c>
      <c r="P500" s="20">
        <v>-79350</v>
      </c>
      <c r="Q500" s="20">
        <f t="shared" si="51"/>
        <v>2.6671289198606272</v>
      </c>
      <c r="R500" s="20">
        <f t="shared" si="52"/>
        <v>14.869822587735804</v>
      </c>
      <c r="S500" s="20">
        <f t="shared" si="53"/>
        <v>1.918815331010453</v>
      </c>
      <c r="T500" s="20">
        <f t="shared" si="54"/>
        <v>-2.7648083623693379E-2</v>
      </c>
      <c r="U500" s="20">
        <f>IFERROR(IF(ISNUMBER(INDEX('Firm Master'!$E$2:$E$1000,MATCH($C500,'Firm Master'!$B$2:$B$1000,0))),INDEX('Firm Master'!$E$2:$E$1000,MATCH($C500,'Firm Master'!$B$2:$B$1000,0)),""),"")</f>
        <v>1988</v>
      </c>
      <c r="V500" s="21">
        <f t="shared" si="55"/>
        <v>36</v>
      </c>
      <c r="W500" s="21">
        <v>0</v>
      </c>
      <c r="X500" s="20" t="str">
        <f>IFERROR(INDEX('Firm Master'!$G$2:$G$1000,MATCH($C500,'Firm Master'!$B$2:$B$1000,0)),"")</f>
        <v>Olaolu Olabimtan &amp; Co. (Chartered Accountants)</v>
      </c>
    </row>
    <row r="501" spans="1:24" ht="15" customHeight="1" x14ac:dyDescent="0.3">
      <c r="A501" s="11">
        <v>500</v>
      </c>
      <c r="B501" s="11">
        <v>100</v>
      </c>
      <c r="C501" s="11" t="s">
        <v>1178</v>
      </c>
      <c r="D501" s="11" t="s">
        <v>1179</v>
      </c>
      <c r="E501" s="11" t="s">
        <v>752</v>
      </c>
      <c r="F501" s="11">
        <v>2025</v>
      </c>
      <c r="G501" s="20">
        <f t="shared" si="49"/>
        <v>1</v>
      </c>
      <c r="H501" s="21">
        <v>0</v>
      </c>
      <c r="I501" s="21">
        <f>IFERROR(INDEX('Coding Sheet'!$AC$2:$AC$731,MATCH($B501&amp;"_"&amp;$F501,'Coding Sheet'!$A$2:$A$731,0)),"")</f>
        <v>0</v>
      </c>
      <c r="J501" s="7">
        <f>IFERROR(INDEX('Coding Sheet'!$AT$2:$AT$731,MATCH($B501&amp;"_"&amp;$F501,'Coding Sheet'!$A$2:$A$731,0)),"")</f>
        <v>0</v>
      </c>
      <c r="K501" s="21">
        <v>2942000000</v>
      </c>
      <c r="L501" s="21">
        <v>1.1299999999999999</v>
      </c>
      <c r="M501" s="20">
        <f t="shared" si="50"/>
        <v>3324459.9999999995</v>
      </c>
      <c r="N501" s="21">
        <v>5122000</v>
      </c>
      <c r="O501" s="21">
        <v>2431000</v>
      </c>
      <c r="P501" s="20">
        <v>-58920</v>
      </c>
      <c r="Q501" s="20">
        <f t="shared" si="51"/>
        <v>3.4744796380090497</v>
      </c>
      <c r="R501" s="20">
        <f t="shared" si="52"/>
        <v>14.703813253298261</v>
      </c>
      <c r="S501" s="20">
        <f t="shared" si="53"/>
        <v>2.106951871657754</v>
      </c>
      <c r="T501" s="20">
        <f t="shared" si="54"/>
        <v>-2.4236939531057176E-2</v>
      </c>
      <c r="U501" s="20">
        <f>IFERROR(IF(ISNUMBER(INDEX('Firm Master'!$E$2:$E$1000,MATCH($C501,'Firm Master'!$B$2:$B$1000,0))),INDEX('Firm Master'!$E$2:$E$1000,MATCH($C501,'Firm Master'!$B$2:$B$1000,0)),""),"")</f>
        <v>1988</v>
      </c>
      <c r="V501" s="21">
        <f t="shared" si="55"/>
        <v>37</v>
      </c>
      <c r="W501" s="21">
        <v>0</v>
      </c>
      <c r="X501" s="20" t="str">
        <f>IFERROR(INDEX('Firm Master'!$G$2:$G$1000,MATCH($C501,'Firm Master'!$B$2:$B$1000,0)),"")</f>
        <v>Olaolu Olabimtan &amp; Co. (Chartered Accountants)</v>
      </c>
    </row>
    <row r="502" spans="1:24" ht="15" customHeight="1" x14ac:dyDescent="0.3">
      <c r="A502" s="16">
        <v>501</v>
      </c>
      <c r="B502" s="16">
        <v>101</v>
      </c>
      <c r="C502" s="16" t="s">
        <v>1183</v>
      </c>
      <c r="D502" s="16" t="s">
        <v>1184</v>
      </c>
      <c r="E502" s="16" t="s">
        <v>898</v>
      </c>
      <c r="F502" s="16">
        <v>2021</v>
      </c>
      <c r="G502" s="16">
        <f t="shared" si="49"/>
        <v>0</v>
      </c>
      <c r="H502" s="16">
        <v>0</v>
      </c>
      <c r="I502" s="16">
        <f>IFERROR(INDEX('Coding Sheet'!$AC$2:$AC$731,MATCH($B502&amp;"_"&amp;$F502,'Coding Sheet'!$A$2:$A$731,0)),"")</f>
        <v>0</v>
      </c>
      <c r="J502" s="22">
        <f>IFERROR(INDEX('Coding Sheet'!$AT$2:$AT$731,MATCH($B502&amp;"_"&amp;$F502,'Coding Sheet'!$A$2:$A$731,0)),"")</f>
        <v>0</v>
      </c>
      <c r="K502" s="16">
        <v>216930000</v>
      </c>
      <c r="L502" s="16">
        <v>2.2000000000000002</v>
      </c>
      <c r="M502" s="16">
        <f t="shared" si="50"/>
        <v>477246.00000000006</v>
      </c>
      <c r="N502" s="16">
        <v>1027000</v>
      </c>
      <c r="O502" s="16">
        <v>2335000</v>
      </c>
      <c r="P502" s="16">
        <v>-69790</v>
      </c>
      <c r="Q502" s="16">
        <f t="shared" si="51"/>
        <v>0.64421670235546036</v>
      </c>
      <c r="R502" s="16">
        <f t="shared" si="52"/>
        <v>14.663522449085134</v>
      </c>
      <c r="S502" s="16">
        <f t="shared" si="53"/>
        <v>0.43982869379014988</v>
      </c>
      <c r="T502" s="16">
        <f t="shared" si="54"/>
        <v>-2.988865096359743E-2</v>
      </c>
      <c r="U502" s="16">
        <f>IFERROR(IF(ISNUMBER(INDEX('Firm Master'!$E$2:$E$1000,MATCH($C502,'Firm Master'!$B$2:$B$1000,0))),INDEX('Firm Master'!$E$2:$E$1000,MATCH($C502,'Firm Master'!$B$2:$B$1000,0)),""),"")</f>
        <v>1967</v>
      </c>
      <c r="V502" s="16">
        <f t="shared" si="55"/>
        <v>54</v>
      </c>
      <c r="W502" s="16">
        <v>0</v>
      </c>
      <c r="X502" s="16" t="str">
        <f>IFERROR(INDEX('Firm Master'!$G$2:$G$1000,MATCH($C502,'Firm Master'!$B$2:$B$1000,0)),"")</f>
        <v>SIAO Partners (Chartered Accountants), through FY2022; SUSPENDED 11-Jul-2023</v>
      </c>
    </row>
    <row r="503" spans="1:24" ht="15" customHeight="1" x14ac:dyDescent="0.3">
      <c r="A503" s="16">
        <v>502</v>
      </c>
      <c r="B503" s="16">
        <v>101</v>
      </c>
      <c r="C503" s="16" t="s">
        <v>1183</v>
      </c>
      <c r="D503" s="16" t="s">
        <v>1184</v>
      </c>
      <c r="E503" s="16" t="s">
        <v>898</v>
      </c>
      <c r="F503" s="16">
        <v>2022</v>
      </c>
      <c r="G503" s="16">
        <f t="shared" si="49"/>
        <v>0</v>
      </c>
      <c r="H503" s="16">
        <v>0</v>
      </c>
      <c r="I503" s="16">
        <f>IFERROR(INDEX('Coding Sheet'!$AC$2:$AC$731,MATCH($B503&amp;"_"&amp;$F503,'Coding Sheet'!$A$2:$A$731,0)),"")</f>
        <v>0</v>
      </c>
      <c r="J503" s="22">
        <f>IFERROR(INDEX('Coding Sheet'!$AT$2:$AT$731,MATCH($B503&amp;"_"&amp;$F503,'Coding Sheet'!$A$2:$A$731,0)),"")</f>
        <v>0</v>
      </c>
      <c r="K503" s="16">
        <v>216930000</v>
      </c>
      <c r="L503" s="16">
        <v>2.1</v>
      </c>
      <c r="M503" s="16">
        <f t="shared" si="50"/>
        <v>455553</v>
      </c>
      <c r="N503" s="16">
        <v>1225000</v>
      </c>
      <c r="O503" s="16">
        <v>2237000</v>
      </c>
      <c r="P503" s="16">
        <v>-296190</v>
      </c>
      <c r="Q503" s="16">
        <f t="shared" si="51"/>
        <v>0.75125301743406347</v>
      </c>
      <c r="R503" s="16">
        <f t="shared" si="52"/>
        <v>14.620646240472267</v>
      </c>
      <c r="S503" s="16">
        <f t="shared" si="53"/>
        <v>0.54760840411265088</v>
      </c>
      <c r="T503" s="16">
        <f t="shared" si="54"/>
        <v>-0.13240500670540903</v>
      </c>
      <c r="U503" s="16">
        <f>IFERROR(IF(ISNUMBER(INDEX('Firm Master'!$E$2:$E$1000,MATCH($C503,'Firm Master'!$B$2:$B$1000,0))),INDEX('Firm Master'!$E$2:$E$1000,MATCH($C503,'Firm Master'!$B$2:$B$1000,0)),""),"")</f>
        <v>1967</v>
      </c>
      <c r="V503" s="16">
        <f t="shared" si="55"/>
        <v>55</v>
      </c>
      <c r="W503" s="16">
        <v>0</v>
      </c>
      <c r="X503" s="16" t="str">
        <f>IFERROR(INDEX('Firm Master'!$G$2:$G$1000,MATCH($C503,'Firm Master'!$B$2:$B$1000,0)),"")</f>
        <v>SIAO Partners (Chartered Accountants), through FY2022; SUSPENDED 11-Jul-2023</v>
      </c>
    </row>
    <row r="504" spans="1:24" ht="15" customHeight="1" x14ac:dyDescent="0.3">
      <c r="A504" s="16">
        <v>503</v>
      </c>
      <c r="B504" s="16">
        <v>101</v>
      </c>
      <c r="C504" s="16" t="s">
        <v>1183</v>
      </c>
      <c r="D504" s="16" t="s">
        <v>1184</v>
      </c>
      <c r="E504" s="16" t="s">
        <v>898</v>
      </c>
      <c r="F504" s="16">
        <v>2023</v>
      </c>
      <c r="G504" s="16">
        <f t="shared" si="49"/>
        <v>1</v>
      </c>
      <c r="H504" s="16">
        <v>0</v>
      </c>
      <c r="I504" s="16" t="str">
        <f>IFERROR(INDEX('Coding Sheet'!$AC$2:$AC$731,MATCH($B504&amp;"_"&amp;$F504,'Coding Sheet'!$A$2:$A$731,0)),"")</f>
        <v/>
      </c>
      <c r="J504" s="22" t="str">
        <f>IFERROR(INDEX('Coding Sheet'!$AT$2:$AT$731,MATCH($B504&amp;"_"&amp;$F504,'Coding Sheet'!$A$2:$A$731,0)),"")</f>
        <v/>
      </c>
      <c r="K504" s="16">
        <v>216930000</v>
      </c>
      <c r="L504" s="16">
        <v>1.83</v>
      </c>
      <c r="M504" s="16">
        <f t="shared" si="50"/>
        <v>396981.9</v>
      </c>
      <c r="N504" s="16"/>
      <c r="O504" s="16"/>
      <c r="P504" s="16"/>
      <c r="Q504" s="16" t="str">
        <f t="shared" si="51"/>
        <v/>
      </c>
      <c r="R504" s="16" t="str">
        <f t="shared" si="52"/>
        <v/>
      </c>
      <c r="S504" s="16" t="str">
        <f t="shared" si="53"/>
        <v/>
      </c>
      <c r="T504" s="16" t="str">
        <f t="shared" si="54"/>
        <v/>
      </c>
      <c r="U504" s="16">
        <f>IFERROR(IF(ISNUMBER(INDEX('Firm Master'!$E$2:$E$1000,MATCH($C504,'Firm Master'!$B$2:$B$1000,0))),INDEX('Firm Master'!$E$2:$E$1000,MATCH($C504,'Firm Master'!$B$2:$B$1000,0)),""),"")</f>
        <v>1967</v>
      </c>
      <c r="V504" s="16">
        <f t="shared" si="55"/>
        <v>56</v>
      </c>
      <c r="W504" s="16">
        <v>0</v>
      </c>
      <c r="X504" s="16" t="str">
        <f>IFERROR(INDEX('Firm Master'!$G$2:$G$1000,MATCH($C504,'Firm Master'!$B$2:$B$1000,0)),"")</f>
        <v>SIAO Partners (Chartered Accountants), through FY2022; SUSPENDED 11-Jul-2023</v>
      </c>
    </row>
    <row r="505" spans="1:24" ht="15" customHeight="1" x14ac:dyDescent="0.3">
      <c r="A505" s="16">
        <v>504</v>
      </c>
      <c r="B505" s="16">
        <v>101</v>
      </c>
      <c r="C505" s="16" t="s">
        <v>1183</v>
      </c>
      <c r="D505" s="16" t="s">
        <v>1184</v>
      </c>
      <c r="E505" s="16" t="s">
        <v>898</v>
      </c>
      <c r="F505" s="16">
        <v>2024</v>
      </c>
      <c r="G505" s="16">
        <f t="shared" si="49"/>
        <v>1</v>
      </c>
      <c r="H505" s="16">
        <v>0</v>
      </c>
      <c r="I505" s="16" t="str">
        <f>IFERROR(INDEX('Coding Sheet'!$AC$2:$AC$731,MATCH($B505&amp;"_"&amp;$F505,'Coding Sheet'!$A$2:$A$731,0)),"")</f>
        <v/>
      </c>
      <c r="J505" s="22" t="str">
        <f>IFERROR(INDEX('Coding Sheet'!$AT$2:$AT$731,MATCH($B505&amp;"_"&amp;$F505,'Coding Sheet'!$A$2:$A$731,0)),"")</f>
        <v/>
      </c>
      <c r="K505" s="16">
        <v>216930000</v>
      </c>
      <c r="L505" s="16">
        <v>1.83</v>
      </c>
      <c r="M505" s="16">
        <f t="shared" si="50"/>
        <v>396981.9</v>
      </c>
      <c r="N505" s="16"/>
      <c r="O505" s="16"/>
      <c r="P505" s="16"/>
      <c r="Q505" s="16" t="str">
        <f t="shared" si="51"/>
        <v/>
      </c>
      <c r="R505" s="16" t="str">
        <f t="shared" si="52"/>
        <v/>
      </c>
      <c r="S505" s="16" t="str">
        <f t="shared" si="53"/>
        <v/>
      </c>
      <c r="T505" s="16" t="str">
        <f t="shared" si="54"/>
        <v/>
      </c>
      <c r="U505" s="16">
        <f>IFERROR(IF(ISNUMBER(INDEX('Firm Master'!$E$2:$E$1000,MATCH($C505,'Firm Master'!$B$2:$B$1000,0))),INDEX('Firm Master'!$E$2:$E$1000,MATCH($C505,'Firm Master'!$B$2:$B$1000,0)),""),"")</f>
        <v>1967</v>
      </c>
      <c r="V505" s="16">
        <f t="shared" si="55"/>
        <v>57</v>
      </c>
      <c r="W505" s="16">
        <v>0</v>
      </c>
      <c r="X505" s="16" t="str">
        <f>IFERROR(INDEX('Firm Master'!$G$2:$G$1000,MATCH($C505,'Firm Master'!$B$2:$B$1000,0)),"")</f>
        <v>SIAO Partners (Chartered Accountants), through FY2022; SUSPENDED 11-Jul-2023</v>
      </c>
    </row>
    <row r="506" spans="1:24" ht="15" customHeight="1" x14ac:dyDescent="0.3">
      <c r="A506" s="16">
        <v>505</v>
      </c>
      <c r="B506" s="16">
        <v>101</v>
      </c>
      <c r="C506" s="16" t="s">
        <v>1183</v>
      </c>
      <c r="D506" s="16" t="s">
        <v>1184</v>
      </c>
      <c r="E506" s="16" t="s">
        <v>898</v>
      </c>
      <c r="F506" s="16">
        <v>2025</v>
      </c>
      <c r="G506" s="16">
        <f t="shared" si="49"/>
        <v>1</v>
      </c>
      <c r="H506" s="16">
        <v>0</v>
      </c>
      <c r="I506" s="16" t="str">
        <f>IFERROR(INDEX('Coding Sheet'!$AC$2:$AC$731,MATCH($B506&amp;"_"&amp;$F506,'Coding Sheet'!$A$2:$A$731,0)),"")</f>
        <v/>
      </c>
      <c r="J506" s="22" t="str">
        <f>IFERROR(INDEX('Coding Sheet'!$AT$2:$AT$731,MATCH($B506&amp;"_"&amp;$F506,'Coding Sheet'!$A$2:$A$731,0)),"")</f>
        <v/>
      </c>
      <c r="K506" s="16">
        <v>216930000</v>
      </c>
      <c r="L506" s="16">
        <v>1.83</v>
      </c>
      <c r="M506" s="16">
        <f t="shared" si="50"/>
        <v>396981.9</v>
      </c>
      <c r="N506" s="16"/>
      <c r="O506" s="16"/>
      <c r="P506" s="16"/>
      <c r="Q506" s="16" t="str">
        <f t="shared" si="51"/>
        <v/>
      </c>
      <c r="R506" s="16" t="str">
        <f t="shared" si="52"/>
        <v/>
      </c>
      <c r="S506" s="16" t="str">
        <f t="shared" si="53"/>
        <v/>
      </c>
      <c r="T506" s="16" t="str">
        <f t="shared" si="54"/>
        <v/>
      </c>
      <c r="U506" s="16">
        <f>IFERROR(IF(ISNUMBER(INDEX('Firm Master'!$E$2:$E$1000,MATCH($C506,'Firm Master'!$B$2:$B$1000,0))),INDEX('Firm Master'!$E$2:$E$1000,MATCH($C506,'Firm Master'!$B$2:$B$1000,0)),""),"")</f>
        <v>1967</v>
      </c>
      <c r="V506" s="16">
        <f t="shared" si="55"/>
        <v>58</v>
      </c>
      <c r="W506" s="16">
        <v>0</v>
      </c>
      <c r="X506" s="16" t="str">
        <f>IFERROR(INDEX('Firm Master'!$G$2:$G$1000,MATCH($C506,'Firm Master'!$B$2:$B$1000,0)),"")</f>
        <v>SIAO Partners (Chartered Accountants), through FY2022; SUSPENDED 11-Jul-2023</v>
      </c>
    </row>
    <row r="507" spans="1:24" ht="15" customHeight="1" x14ac:dyDescent="0.3">
      <c r="A507" s="11">
        <v>506</v>
      </c>
      <c r="B507" s="11">
        <v>102</v>
      </c>
      <c r="C507" s="11" t="s">
        <v>1190</v>
      </c>
      <c r="D507" s="11" t="s">
        <v>1191</v>
      </c>
      <c r="E507" s="11" t="s">
        <v>772</v>
      </c>
      <c r="F507" s="11">
        <v>2021</v>
      </c>
      <c r="G507" s="20">
        <f t="shared" si="49"/>
        <v>0</v>
      </c>
      <c r="H507" s="21">
        <v>0</v>
      </c>
      <c r="I507" s="21">
        <f>IFERROR(INDEX('Coding Sheet'!$AC$2:$AC$731,MATCH($B507&amp;"_"&amp;$F507,'Coding Sheet'!$A$2:$A$731,0)),"")</f>
        <v>0</v>
      </c>
      <c r="J507" s="7">
        <f>IFERROR(INDEX('Coding Sheet'!$AT$2:$AT$731,MATCH($B507&amp;"_"&amp;$F507,'Coding Sheet'!$A$2:$A$731,0)),"")</f>
        <v>0</v>
      </c>
      <c r="K507" s="21">
        <v>123000000</v>
      </c>
      <c r="L507" s="21">
        <v>10</v>
      </c>
      <c r="M507" s="20">
        <f t="shared" si="50"/>
        <v>1230000</v>
      </c>
      <c r="N507" s="21">
        <v>405250</v>
      </c>
      <c r="O507" s="21">
        <v>204940</v>
      </c>
      <c r="P507" s="20">
        <v>-22410</v>
      </c>
      <c r="Q507" s="20">
        <f t="shared" si="51"/>
        <v>7.9791646335512834</v>
      </c>
      <c r="R507" s="20">
        <f t="shared" si="52"/>
        <v>12.230472532353708</v>
      </c>
      <c r="S507" s="20">
        <f t="shared" si="53"/>
        <v>1.9774080218600567</v>
      </c>
      <c r="T507" s="20">
        <f t="shared" si="54"/>
        <v>-0.1093490777788621</v>
      </c>
      <c r="U507" s="20">
        <f>IFERROR(IF(ISNUMBER(INDEX('Firm Master'!$E$2:$E$1000,MATCH($C507,'Firm Master'!$B$2:$B$1000,0))),INDEX('Firm Master'!$E$2:$E$1000,MATCH($C507,'Firm Master'!$B$2:$B$1000,0)),""),"")</f>
        <v>1982</v>
      </c>
      <c r="V507" s="21">
        <f t="shared" si="55"/>
        <v>39</v>
      </c>
      <c r="W507" s="21">
        <v>0</v>
      </c>
      <c r="X507" s="20" t="str">
        <f>IFERROR(INDEX('Firm Master'!$G$2:$G$1000,MATCH($C507,'Firm Master'!$B$2:$B$1000,0)),"")</f>
        <v>Auditor unresolved (LOW confidence)</v>
      </c>
    </row>
    <row r="508" spans="1:24" ht="15" customHeight="1" x14ac:dyDescent="0.3">
      <c r="A508" s="11">
        <v>507</v>
      </c>
      <c r="B508" s="11">
        <v>102</v>
      </c>
      <c r="C508" s="11" t="s">
        <v>1190</v>
      </c>
      <c r="D508" s="11" t="s">
        <v>1191</v>
      </c>
      <c r="E508" s="11" t="s">
        <v>772</v>
      </c>
      <c r="F508" s="11">
        <v>2022</v>
      </c>
      <c r="G508" s="20">
        <f t="shared" si="49"/>
        <v>0</v>
      </c>
      <c r="H508" s="21">
        <v>0</v>
      </c>
      <c r="I508" s="21">
        <f>IFERROR(INDEX('Coding Sheet'!$AC$2:$AC$731,MATCH($B508&amp;"_"&amp;$F508,'Coding Sheet'!$A$2:$A$731,0)),"")</f>
        <v>0</v>
      </c>
      <c r="J508" s="7">
        <f>IFERROR(INDEX('Coding Sheet'!$AT$2:$AT$731,MATCH($B508&amp;"_"&amp;$F508,'Coding Sheet'!$A$2:$A$731,0)),"")</f>
        <v>0</v>
      </c>
      <c r="K508" s="21">
        <v>135330000</v>
      </c>
      <c r="L508" s="21">
        <v>9.0890000000000004</v>
      </c>
      <c r="M508" s="20">
        <f t="shared" si="50"/>
        <v>1230014.3700000001</v>
      </c>
      <c r="N508" s="21">
        <v>415380</v>
      </c>
      <c r="O508" s="21">
        <v>195710</v>
      </c>
      <c r="P508" s="20">
        <v>-19370</v>
      </c>
      <c r="Q508" s="20">
        <f t="shared" si="51"/>
        <v>8.4073086198967868</v>
      </c>
      <c r="R508" s="20">
        <f t="shared" si="52"/>
        <v>12.184389250699015</v>
      </c>
      <c r="S508" s="20">
        <f t="shared" si="53"/>
        <v>2.1224260385263909</v>
      </c>
      <c r="T508" s="20">
        <f t="shared" si="54"/>
        <v>-9.8972970211026523E-2</v>
      </c>
      <c r="U508" s="20">
        <f>IFERROR(IF(ISNUMBER(INDEX('Firm Master'!$E$2:$E$1000,MATCH($C508,'Firm Master'!$B$2:$B$1000,0))),INDEX('Firm Master'!$E$2:$E$1000,MATCH($C508,'Firm Master'!$B$2:$B$1000,0)),""),"")</f>
        <v>1982</v>
      </c>
      <c r="V508" s="21">
        <f t="shared" si="55"/>
        <v>40</v>
      </c>
      <c r="W508" s="21">
        <v>0</v>
      </c>
      <c r="X508" s="20" t="str">
        <f>IFERROR(INDEX('Firm Master'!$G$2:$G$1000,MATCH($C508,'Firm Master'!$B$2:$B$1000,0)),"")</f>
        <v>Auditor unresolved (LOW confidence)</v>
      </c>
    </row>
    <row r="509" spans="1:24" ht="15" customHeight="1" x14ac:dyDescent="0.3">
      <c r="A509" s="11">
        <v>508</v>
      </c>
      <c r="B509" s="11">
        <v>102</v>
      </c>
      <c r="C509" s="11" t="s">
        <v>1190</v>
      </c>
      <c r="D509" s="11" t="s">
        <v>1191</v>
      </c>
      <c r="E509" s="11" t="s">
        <v>772</v>
      </c>
      <c r="F509" s="11">
        <v>2023</v>
      </c>
      <c r="G509" s="20">
        <f t="shared" si="49"/>
        <v>1</v>
      </c>
      <c r="H509" s="21">
        <v>0</v>
      </c>
      <c r="I509" s="21">
        <f>IFERROR(INDEX('Coding Sheet'!$AC$2:$AC$731,MATCH($B509&amp;"_"&amp;$F509,'Coding Sheet'!$A$2:$A$731,0)),"")</f>
        <v>0</v>
      </c>
      <c r="J509" s="7">
        <f>IFERROR(INDEX('Coding Sheet'!$AT$2:$AT$731,MATCH($B509&amp;"_"&amp;$F509,'Coding Sheet'!$A$2:$A$731,0)),"")</f>
        <v>0</v>
      </c>
      <c r="K509" s="21">
        <v>123000000</v>
      </c>
      <c r="L509" s="21">
        <v>10</v>
      </c>
      <c r="M509" s="20">
        <f t="shared" si="50"/>
        <v>1230000</v>
      </c>
      <c r="N509" s="21">
        <v>405870</v>
      </c>
      <c r="O509" s="21">
        <v>186670</v>
      </c>
      <c r="P509" s="20">
        <v>470</v>
      </c>
      <c r="Q509" s="20">
        <f t="shared" si="51"/>
        <v>8.763432795842931</v>
      </c>
      <c r="R509" s="20">
        <f t="shared" si="52"/>
        <v>12.137097631026643</v>
      </c>
      <c r="S509" s="20">
        <f t="shared" si="53"/>
        <v>2.174264745272406</v>
      </c>
      <c r="T509" s="20">
        <f t="shared" si="54"/>
        <v>2.5178121819253228E-3</v>
      </c>
      <c r="U509" s="20">
        <f>IFERROR(IF(ISNUMBER(INDEX('Firm Master'!$E$2:$E$1000,MATCH($C509,'Firm Master'!$B$2:$B$1000,0))),INDEX('Firm Master'!$E$2:$E$1000,MATCH($C509,'Firm Master'!$B$2:$B$1000,0)),""),"")</f>
        <v>1982</v>
      </c>
      <c r="V509" s="21">
        <f t="shared" si="55"/>
        <v>41</v>
      </c>
      <c r="W509" s="21">
        <v>0</v>
      </c>
      <c r="X509" s="20" t="str">
        <f>IFERROR(INDEX('Firm Master'!$G$2:$G$1000,MATCH($C509,'Firm Master'!$B$2:$B$1000,0)),"")</f>
        <v>Auditor unresolved (LOW confidence)</v>
      </c>
    </row>
    <row r="510" spans="1:24" ht="15" customHeight="1" x14ac:dyDescent="0.3">
      <c r="A510" s="11">
        <v>509</v>
      </c>
      <c r="B510" s="11">
        <v>102</v>
      </c>
      <c r="C510" s="11" t="s">
        <v>1190</v>
      </c>
      <c r="D510" s="11" t="s">
        <v>1191</v>
      </c>
      <c r="E510" s="11" t="s">
        <v>772</v>
      </c>
      <c r="F510" s="11">
        <v>2024</v>
      </c>
      <c r="G510" s="20">
        <f t="shared" si="49"/>
        <v>1</v>
      </c>
      <c r="H510" s="21">
        <v>0</v>
      </c>
      <c r="I510" s="21">
        <f>IFERROR(INDEX('Coding Sheet'!$AC$2:$AC$731,MATCH($B510&amp;"_"&amp;$F510,'Coding Sheet'!$A$2:$A$731,0)),"")</f>
        <v>0</v>
      </c>
      <c r="J510" s="7">
        <f>IFERROR(INDEX('Coding Sheet'!$AT$2:$AT$731,MATCH($B510&amp;"_"&amp;$F510,'Coding Sheet'!$A$2:$A$731,0)),"")</f>
        <v>0</v>
      </c>
      <c r="K510" s="21">
        <v>123000000</v>
      </c>
      <c r="L510" s="21">
        <v>10</v>
      </c>
      <c r="M510" s="20">
        <f t="shared" si="50"/>
        <v>1230000</v>
      </c>
      <c r="N510" s="21">
        <v>390830</v>
      </c>
      <c r="O510" s="21">
        <v>170920</v>
      </c>
      <c r="P510" s="20">
        <v>-710</v>
      </c>
      <c r="Q510" s="20">
        <f t="shared" si="51"/>
        <v>9.4829744909899372</v>
      </c>
      <c r="R510" s="20">
        <f t="shared" si="52"/>
        <v>12.048950889757961</v>
      </c>
      <c r="S510" s="20">
        <f t="shared" si="53"/>
        <v>2.2866253217879708</v>
      </c>
      <c r="T510" s="20">
        <f t="shared" si="54"/>
        <v>-4.1539901708401595E-3</v>
      </c>
      <c r="U510" s="20">
        <f>IFERROR(IF(ISNUMBER(INDEX('Firm Master'!$E$2:$E$1000,MATCH($C510,'Firm Master'!$B$2:$B$1000,0))),INDEX('Firm Master'!$E$2:$E$1000,MATCH($C510,'Firm Master'!$B$2:$B$1000,0)),""),"")</f>
        <v>1982</v>
      </c>
      <c r="V510" s="21">
        <f t="shared" si="55"/>
        <v>42</v>
      </c>
      <c r="W510" s="21">
        <v>0</v>
      </c>
      <c r="X510" s="20" t="str">
        <f>IFERROR(INDEX('Firm Master'!$G$2:$G$1000,MATCH($C510,'Firm Master'!$B$2:$B$1000,0)),"")</f>
        <v>Auditor unresolved (LOW confidence)</v>
      </c>
    </row>
    <row r="511" spans="1:24" ht="15" customHeight="1" x14ac:dyDescent="0.3">
      <c r="A511" s="11">
        <v>510</v>
      </c>
      <c r="B511" s="11">
        <v>102</v>
      </c>
      <c r="C511" s="11" t="s">
        <v>1190</v>
      </c>
      <c r="D511" s="11" t="s">
        <v>1191</v>
      </c>
      <c r="E511" s="11" t="s">
        <v>772</v>
      </c>
      <c r="F511" s="11">
        <v>2025</v>
      </c>
      <c r="G511" s="20">
        <f t="shared" si="49"/>
        <v>1</v>
      </c>
      <c r="H511" s="21">
        <v>0</v>
      </c>
      <c r="I511" s="21">
        <f>IFERROR(INDEX('Coding Sheet'!$AC$2:$AC$731,MATCH($B511&amp;"_"&amp;$F511,'Coding Sheet'!$A$2:$A$731,0)),"")</f>
        <v>0</v>
      </c>
      <c r="J511" s="7">
        <f>IFERROR(INDEX('Coding Sheet'!$AT$2:$AT$731,MATCH($B511&amp;"_"&amp;$F511,'Coding Sheet'!$A$2:$A$731,0)),"")</f>
        <v>0</v>
      </c>
      <c r="K511" s="21">
        <v>123000000</v>
      </c>
      <c r="L511" s="21">
        <v>10</v>
      </c>
      <c r="M511" s="20">
        <f t="shared" si="50"/>
        <v>1230000</v>
      </c>
      <c r="N511" s="21">
        <v>379650</v>
      </c>
      <c r="O511" s="21">
        <v>161740</v>
      </c>
      <c r="P511" s="20">
        <v>1990</v>
      </c>
      <c r="Q511" s="20">
        <f t="shared" si="51"/>
        <v>9.9520835909484351</v>
      </c>
      <c r="R511" s="20">
        <f t="shared" si="52"/>
        <v>11.993745386649813</v>
      </c>
      <c r="S511" s="20">
        <f t="shared" si="53"/>
        <v>2.3472857672808209</v>
      </c>
      <c r="T511" s="20">
        <f t="shared" si="54"/>
        <v>1.2303697291950043E-2</v>
      </c>
      <c r="U511" s="20">
        <f>IFERROR(IF(ISNUMBER(INDEX('Firm Master'!$E$2:$E$1000,MATCH($C511,'Firm Master'!$B$2:$B$1000,0))),INDEX('Firm Master'!$E$2:$E$1000,MATCH($C511,'Firm Master'!$B$2:$B$1000,0)),""),"")</f>
        <v>1982</v>
      </c>
      <c r="V511" s="21">
        <f t="shared" si="55"/>
        <v>43</v>
      </c>
      <c r="W511" s="21">
        <v>0</v>
      </c>
      <c r="X511" s="20" t="str">
        <f>IFERROR(INDEX('Firm Master'!$G$2:$G$1000,MATCH($C511,'Firm Master'!$B$2:$B$1000,0)),"")</f>
        <v>Auditor unresolved (LOW confidence)</v>
      </c>
    </row>
    <row r="512" spans="1:24" ht="15" customHeight="1" x14ac:dyDescent="0.3">
      <c r="A512" s="11">
        <v>511</v>
      </c>
      <c r="B512" s="11">
        <v>103</v>
      </c>
      <c r="C512" s="11" t="s">
        <v>1194</v>
      </c>
      <c r="D512" s="11" t="s">
        <v>1195</v>
      </c>
      <c r="E512" s="11" t="s">
        <v>903</v>
      </c>
      <c r="F512" s="11">
        <v>2021</v>
      </c>
      <c r="G512" s="20">
        <f t="shared" si="49"/>
        <v>0</v>
      </c>
      <c r="H512" s="21">
        <v>0</v>
      </c>
      <c r="I512" s="21">
        <f>IFERROR(INDEX('Coding Sheet'!$AC$2:$AC$731,MATCH($B512&amp;"_"&amp;$F512,'Coding Sheet'!$A$2:$A$731,0)),"")</f>
        <v>0</v>
      </c>
      <c r="J512" s="7">
        <f>IFERROR(INDEX('Coding Sheet'!$AT$2:$AT$731,MATCH($B512&amp;"_"&amp;$F512,'Coding Sheet'!$A$2:$A$731,0)),"")</f>
        <v>0</v>
      </c>
      <c r="K512" s="21">
        <v>1000000000</v>
      </c>
      <c r="L512" s="21">
        <v>87.8</v>
      </c>
      <c r="M512" s="20">
        <f t="shared" si="50"/>
        <v>87800000</v>
      </c>
      <c r="N512" s="21">
        <v>110825000</v>
      </c>
      <c r="O512" s="21">
        <v>140606000</v>
      </c>
      <c r="P512" s="20">
        <v>19320000</v>
      </c>
      <c r="Q512" s="20">
        <f t="shared" si="51"/>
        <v>1.412635307170391</v>
      </c>
      <c r="R512" s="20">
        <f t="shared" si="52"/>
        <v>18.761472210683518</v>
      </c>
      <c r="S512" s="20">
        <f t="shared" si="53"/>
        <v>0.78819538284283741</v>
      </c>
      <c r="T512" s="20">
        <f t="shared" si="54"/>
        <v>0.13740523164018606</v>
      </c>
      <c r="U512" s="20">
        <f>IFERROR(IF(ISNUMBER(INDEX('Firm Master'!$E$2:$E$1000,MATCH($C512,'Firm Master'!$B$2:$B$1000,0))),INDEX('Firm Master'!$E$2:$E$1000,MATCH($C512,'Firm Master'!$B$2:$B$1000,0)),""),"")</f>
        <v>1991</v>
      </c>
      <c r="V512" s="21">
        <f t="shared" si="55"/>
        <v>30</v>
      </c>
      <c r="W512" s="21">
        <v>1</v>
      </c>
      <c r="X512" s="20" t="str">
        <f>IFERROR(INDEX('Firm Master'!$G$2:$G$1000,MATCH($C512,'Firm Master'!$B$2:$B$1000,0)),"")</f>
        <v>Deloitte &amp; Touche (FY2021-2024); KPMG Professional Services (FY2025)</v>
      </c>
    </row>
    <row r="513" spans="1:24" ht="15" customHeight="1" x14ac:dyDescent="0.3">
      <c r="A513" s="11">
        <v>512</v>
      </c>
      <c r="B513" s="11">
        <v>103</v>
      </c>
      <c r="C513" s="11" t="s">
        <v>1194</v>
      </c>
      <c r="D513" s="11" t="s">
        <v>1195</v>
      </c>
      <c r="E513" s="11" t="s">
        <v>903</v>
      </c>
      <c r="F513" s="11">
        <v>2022</v>
      </c>
      <c r="G513" s="20">
        <f t="shared" si="49"/>
        <v>0</v>
      </c>
      <c r="H513" s="21">
        <v>0</v>
      </c>
      <c r="I513" s="21">
        <f>IFERROR(INDEX('Coding Sheet'!$AC$2:$AC$731,MATCH($B513&amp;"_"&amp;$F513,'Coding Sheet'!$A$2:$A$731,0)),"")</f>
        <v>0</v>
      </c>
      <c r="J513" s="7">
        <f>IFERROR(INDEX('Coding Sheet'!$AT$2:$AT$731,MATCH($B513&amp;"_"&amp;$F513,'Coding Sheet'!$A$2:$A$731,0)),"")</f>
        <v>0</v>
      </c>
      <c r="K513" s="21">
        <v>1000000000</v>
      </c>
      <c r="L513" s="21">
        <v>137.5</v>
      </c>
      <c r="M513" s="20">
        <f t="shared" si="50"/>
        <v>137500000</v>
      </c>
      <c r="N513" s="21">
        <v>98209000</v>
      </c>
      <c r="O513" s="21">
        <v>132369000</v>
      </c>
      <c r="P513" s="20">
        <v>13032000</v>
      </c>
      <c r="Q513" s="20">
        <f t="shared" si="51"/>
        <v>1.7806963866162018</v>
      </c>
      <c r="R513" s="20">
        <f t="shared" si="52"/>
        <v>18.701104035079563</v>
      </c>
      <c r="S513" s="20">
        <f t="shared" si="53"/>
        <v>0.74193353428672881</v>
      </c>
      <c r="T513" s="20">
        <f t="shared" si="54"/>
        <v>9.8452054484055931E-2</v>
      </c>
      <c r="U513" s="20">
        <f>IFERROR(IF(ISNUMBER(INDEX('Firm Master'!$E$2:$E$1000,MATCH($C513,'Firm Master'!$B$2:$B$1000,0))),INDEX('Firm Master'!$E$2:$E$1000,MATCH($C513,'Firm Master'!$B$2:$B$1000,0)),""),"")</f>
        <v>1991</v>
      </c>
      <c r="V513" s="21">
        <f t="shared" si="55"/>
        <v>31</v>
      </c>
      <c r="W513" s="21">
        <v>1</v>
      </c>
      <c r="X513" s="20" t="str">
        <f>IFERROR(INDEX('Firm Master'!$G$2:$G$1000,MATCH($C513,'Firm Master'!$B$2:$B$1000,0)),"")</f>
        <v>Deloitte &amp; Touche (FY2021-2024); KPMG Professional Services (FY2025)</v>
      </c>
    </row>
    <row r="514" spans="1:24" ht="15" customHeight="1" x14ac:dyDescent="0.3">
      <c r="A514" s="11">
        <v>513</v>
      </c>
      <c r="B514" s="11">
        <v>103</v>
      </c>
      <c r="C514" s="11" t="s">
        <v>1194</v>
      </c>
      <c r="D514" s="11" t="s">
        <v>1195</v>
      </c>
      <c r="E514" s="11" t="s">
        <v>903</v>
      </c>
      <c r="F514" s="11">
        <v>2023</v>
      </c>
      <c r="G514" s="20">
        <f t="shared" ref="G514:G577" si="56">IF(F514&gt;=2023,1,0)</f>
        <v>1</v>
      </c>
      <c r="H514" s="21">
        <v>0</v>
      </c>
      <c r="I514" s="21">
        <f>IFERROR(INDEX('Coding Sheet'!$AC$2:$AC$731,MATCH($B514&amp;"_"&amp;$F514,'Coding Sheet'!$A$2:$A$731,0)),"")</f>
        <v>5</v>
      </c>
      <c r="J514" s="7">
        <f>IFERROR(INDEX('Coding Sheet'!$AT$2:$AT$731,MATCH($B514&amp;"_"&amp;$F514,'Coding Sheet'!$A$2:$A$731,0)),"")</f>
        <v>0</v>
      </c>
      <c r="K514" s="21">
        <v>1000000000</v>
      </c>
      <c r="L514" s="21">
        <v>193</v>
      </c>
      <c r="M514" s="20">
        <f t="shared" ref="M514:M577" si="57">IF(AND(ISNUMBER(K514),ISNUMBER(L514)),K514*L514/1000,"")</f>
        <v>193000000</v>
      </c>
      <c r="N514" s="21">
        <v>113155000</v>
      </c>
      <c r="O514" s="21">
        <v>187067000</v>
      </c>
      <c r="P514" s="20">
        <v>32354000</v>
      </c>
      <c r="Q514" s="20">
        <f t="shared" ref="Q514:Q577" si="58">IF(AND(ISNUMBER(M514),ISNUMBER(N514),ISNUMBER(O514),O514&lt;&gt;0),(M514+N514)/O514,"")</f>
        <v>1.6366061357695372</v>
      </c>
      <c r="R514" s="20">
        <f t="shared" ref="R514:R577" si="59">IF(AND(ISNUMBER(O514),O514&gt;0),LN(O514),"")</f>
        <v>19.046977399418822</v>
      </c>
      <c r="S514" s="20">
        <f t="shared" ref="S514:S577" si="60">IF(AND(ISNUMBER(N514),ISNUMBER(O514),O514&lt;&gt;0),N514/O514,"")</f>
        <v>0.60489022649638902</v>
      </c>
      <c r="T514" s="20">
        <f t="shared" ref="T514:T577" si="61">IF(AND(ISNUMBER(P514),ISNUMBER(O514),O514&lt;&gt;0),P514/O514,"")</f>
        <v>0.17295407527784162</v>
      </c>
      <c r="U514" s="20">
        <f>IFERROR(IF(ISNUMBER(INDEX('Firm Master'!$E$2:$E$1000,MATCH($C514,'Firm Master'!$B$2:$B$1000,0))),INDEX('Firm Master'!$E$2:$E$1000,MATCH($C514,'Firm Master'!$B$2:$B$1000,0)),""),"")</f>
        <v>1991</v>
      </c>
      <c r="V514" s="21">
        <f t="shared" ref="V514:V577" si="62">IF(ISNUMBER(U514),F514-U514,"")</f>
        <v>32</v>
      </c>
      <c r="W514" s="21">
        <v>1</v>
      </c>
      <c r="X514" s="20" t="str">
        <f>IFERROR(INDEX('Firm Master'!$G$2:$G$1000,MATCH($C514,'Firm Master'!$B$2:$B$1000,0)),"")</f>
        <v>Deloitte &amp; Touche (FY2021-2024); KPMG Professional Services (FY2025)</v>
      </c>
    </row>
    <row r="515" spans="1:24" ht="15" customHeight="1" x14ac:dyDescent="0.3">
      <c r="A515" s="11">
        <v>514</v>
      </c>
      <c r="B515" s="11">
        <v>103</v>
      </c>
      <c r="C515" s="11" t="s">
        <v>1194</v>
      </c>
      <c r="D515" s="11" t="s">
        <v>1195</v>
      </c>
      <c r="E515" s="11" t="s">
        <v>903</v>
      </c>
      <c r="F515" s="11">
        <v>2024</v>
      </c>
      <c r="G515" s="20">
        <f t="shared" si="56"/>
        <v>1</v>
      </c>
      <c r="H515" s="21">
        <v>0</v>
      </c>
      <c r="I515" s="21">
        <f>IFERROR(INDEX('Coding Sheet'!$AC$2:$AC$731,MATCH($B515&amp;"_"&amp;$F515,'Coding Sheet'!$A$2:$A$731,0)),"")</f>
        <v>10</v>
      </c>
      <c r="J515" s="7">
        <f>IFERROR(INDEX('Coding Sheet'!$AT$2:$AT$731,MATCH($B515&amp;"_"&amp;$F515,'Coding Sheet'!$A$2:$A$731,0)),"")</f>
        <v>0</v>
      </c>
      <c r="K515" s="21">
        <v>1000000000</v>
      </c>
      <c r="L515" s="21">
        <v>475</v>
      </c>
      <c r="M515" s="20">
        <f t="shared" si="57"/>
        <v>475000000</v>
      </c>
      <c r="N515" s="21">
        <v>263912000</v>
      </c>
      <c r="O515" s="21">
        <v>475096000</v>
      </c>
      <c r="P515" s="20">
        <v>76069000</v>
      </c>
      <c r="Q515" s="20">
        <f t="shared" si="58"/>
        <v>1.5552898782561839</v>
      </c>
      <c r="R515" s="20">
        <f t="shared" si="59"/>
        <v>19.979027446841556</v>
      </c>
      <c r="S515" s="20">
        <f t="shared" si="60"/>
        <v>0.55549194268105817</v>
      </c>
      <c r="T515" s="20">
        <f t="shared" si="61"/>
        <v>0.16011290349739843</v>
      </c>
      <c r="U515" s="20">
        <f>IFERROR(IF(ISNUMBER(INDEX('Firm Master'!$E$2:$E$1000,MATCH($C515,'Firm Master'!$B$2:$B$1000,0))),INDEX('Firm Master'!$E$2:$E$1000,MATCH($C515,'Firm Master'!$B$2:$B$1000,0)),""),"")</f>
        <v>1991</v>
      </c>
      <c r="V515" s="21">
        <f t="shared" si="62"/>
        <v>33</v>
      </c>
      <c r="W515" s="21">
        <v>1</v>
      </c>
      <c r="X515" s="20" t="str">
        <f>IFERROR(INDEX('Firm Master'!$G$2:$G$1000,MATCH($C515,'Firm Master'!$B$2:$B$1000,0)),"")</f>
        <v>Deloitte &amp; Touche (FY2021-2024); KPMG Professional Services (FY2025)</v>
      </c>
    </row>
    <row r="516" spans="1:24" ht="15" customHeight="1" x14ac:dyDescent="0.3">
      <c r="A516" s="11">
        <v>515</v>
      </c>
      <c r="B516" s="11">
        <v>103</v>
      </c>
      <c r="C516" s="11" t="s">
        <v>1194</v>
      </c>
      <c r="D516" s="11" t="s">
        <v>1195</v>
      </c>
      <c r="E516" s="11" t="s">
        <v>903</v>
      </c>
      <c r="F516" s="11">
        <v>2025</v>
      </c>
      <c r="G516" s="20">
        <f t="shared" si="56"/>
        <v>1</v>
      </c>
      <c r="H516" s="21">
        <v>0</v>
      </c>
      <c r="I516" s="21">
        <f>IFERROR(INDEX('Coding Sheet'!$AC$2:$AC$731,MATCH($B516&amp;"_"&amp;$F516,'Coding Sheet'!$A$2:$A$731,0)),"")</f>
        <v>10</v>
      </c>
      <c r="J516" s="7">
        <f>IFERROR(INDEX('Coding Sheet'!$AT$2:$AT$731,MATCH($B516&amp;"_"&amp;$F516,'Coding Sheet'!$A$2:$A$731,0)),"")</f>
        <v>0</v>
      </c>
      <c r="K516" s="21">
        <v>1167000000</v>
      </c>
      <c r="L516" s="21">
        <v>1242.5</v>
      </c>
      <c r="M516" s="20">
        <f t="shared" si="57"/>
        <v>1449997500</v>
      </c>
      <c r="N516" s="21">
        <v>483259000</v>
      </c>
      <c r="O516" s="21">
        <v>926008000</v>
      </c>
      <c r="P516" s="20">
        <v>121354000</v>
      </c>
      <c r="Q516" s="20">
        <f t="shared" si="58"/>
        <v>2.087731963438761</v>
      </c>
      <c r="R516" s="20">
        <f t="shared" si="59"/>
        <v>20.646393431881989</v>
      </c>
      <c r="S516" s="20">
        <f t="shared" si="60"/>
        <v>0.52187346113640487</v>
      </c>
      <c r="T516" s="20">
        <f t="shared" si="61"/>
        <v>0.13105070366562707</v>
      </c>
      <c r="U516" s="20">
        <f>IFERROR(IF(ISNUMBER(INDEX('Firm Master'!$E$2:$E$1000,MATCH($C516,'Firm Master'!$B$2:$B$1000,0))),INDEX('Firm Master'!$E$2:$E$1000,MATCH($C516,'Firm Master'!$B$2:$B$1000,0)),""),"")</f>
        <v>1991</v>
      </c>
      <c r="V516" s="21">
        <f t="shared" si="62"/>
        <v>34</v>
      </c>
      <c r="W516" s="21">
        <v>1</v>
      </c>
      <c r="X516" s="20" t="str">
        <f>IFERROR(INDEX('Firm Master'!$G$2:$G$1000,MATCH($C516,'Firm Master'!$B$2:$B$1000,0)),"")</f>
        <v>Deloitte &amp; Touche (FY2021-2024); KPMG Professional Services (FY2025)</v>
      </c>
    </row>
    <row r="517" spans="1:24" ht="15" customHeight="1" x14ac:dyDescent="0.3">
      <c r="A517" s="11">
        <v>516</v>
      </c>
      <c r="B517" s="11">
        <v>104</v>
      </c>
      <c r="C517" s="11" t="s">
        <v>1199</v>
      </c>
      <c r="D517" s="11" t="s">
        <v>1200</v>
      </c>
      <c r="E517" s="11" t="s">
        <v>709</v>
      </c>
      <c r="F517" s="11">
        <v>2021</v>
      </c>
      <c r="G517" s="20">
        <f t="shared" si="56"/>
        <v>0</v>
      </c>
      <c r="H517" s="21">
        <v>0</v>
      </c>
      <c r="I517" s="21">
        <f>IFERROR(INDEX('Coding Sheet'!$AC$2:$AC$731,MATCH($B517&amp;"_"&amp;$F517,'Coding Sheet'!$A$2:$A$731,0)),"")</f>
        <v>0</v>
      </c>
      <c r="J517" s="7">
        <f>IFERROR(INDEX('Coding Sheet'!$AT$2:$AT$731,MATCH($B517&amp;"_"&amp;$F517,'Coding Sheet'!$A$2:$A$731,0)),"")</f>
        <v>0</v>
      </c>
      <c r="K517" s="21">
        <v>13253000000</v>
      </c>
      <c r="L517" s="21">
        <v>0.51</v>
      </c>
      <c r="M517" s="20">
        <f t="shared" si="57"/>
        <v>6759030</v>
      </c>
      <c r="N517" s="21">
        <v>8584000</v>
      </c>
      <c r="O517" s="21">
        <v>21579000</v>
      </c>
      <c r="P517" s="20">
        <v>688280</v>
      </c>
      <c r="Q517" s="20">
        <f t="shared" si="58"/>
        <v>0.71101672922748971</v>
      </c>
      <c r="R517" s="20">
        <f t="shared" si="59"/>
        <v>16.887231177517602</v>
      </c>
      <c r="S517" s="20">
        <f t="shared" si="60"/>
        <v>0.39779415172158117</v>
      </c>
      <c r="T517" s="20">
        <f t="shared" si="61"/>
        <v>3.1895824644330134E-2</v>
      </c>
      <c r="U517" s="20">
        <f>IFERROR(IF(ISNUMBER(INDEX('Firm Master'!$E$2:$E$1000,MATCH($C517,'Firm Master'!$B$2:$B$1000,0))),INDEX('Firm Master'!$E$2:$E$1000,MATCH($C517,'Firm Master'!$B$2:$B$1000,0)),""),"")</f>
        <v>1970</v>
      </c>
      <c r="V517" s="21">
        <f t="shared" si="62"/>
        <v>51</v>
      </c>
      <c r="W517" s="21">
        <v>0</v>
      </c>
      <c r="X517" s="20" t="str">
        <f>IFERROR(INDEX('Firm Master'!$G$2:$G$1000,MATCH($C517,'Firm Master'!$B$2:$B$1000,0)),"")</f>
        <v>Auditor unresolved (LOW confidence)</v>
      </c>
    </row>
    <row r="518" spans="1:24" ht="15" customHeight="1" x14ac:dyDescent="0.3">
      <c r="A518" s="11">
        <v>517</v>
      </c>
      <c r="B518" s="11">
        <v>104</v>
      </c>
      <c r="C518" s="11" t="s">
        <v>1199</v>
      </c>
      <c r="D518" s="11" t="s">
        <v>1200</v>
      </c>
      <c r="E518" s="11" t="s">
        <v>709</v>
      </c>
      <c r="F518" s="11">
        <v>2022</v>
      </c>
      <c r="G518" s="20">
        <f t="shared" si="56"/>
        <v>0</v>
      </c>
      <c r="H518" s="21">
        <v>0</v>
      </c>
      <c r="I518" s="21">
        <f>IFERROR(INDEX('Coding Sheet'!$AC$2:$AC$731,MATCH($B518&amp;"_"&amp;$F518,'Coding Sheet'!$A$2:$A$731,0)),"")</f>
        <v>0</v>
      </c>
      <c r="J518" s="7">
        <f>IFERROR(INDEX('Coding Sheet'!$AT$2:$AT$731,MATCH($B518&amp;"_"&amp;$F518,'Coding Sheet'!$A$2:$A$731,0)),"")</f>
        <v>0</v>
      </c>
      <c r="K518" s="21">
        <v>13253000000</v>
      </c>
      <c r="L518" s="21">
        <v>0.42030000000000001</v>
      </c>
      <c r="M518" s="20">
        <f t="shared" si="57"/>
        <v>5570235.9000000004</v>
      </c>
      <c r="N518" s="21">
        <v>8915000</v>
      </c>
      <c r="O518" s="21">
        <v>22039000</v>
      </c>
      <c r="P518" s="20">
        <v>502260</v>
      </c>
      <c r="Q518" s="20">
        <f t="shared" si="58"/>
        <v>0.65725468033939838</v>
      </c>
      <c r="R518" s="20">
        <f t="shared" si="59"/>
        <v>16.908324169168829</v>
      </c>
      <c r="S518" s="20">
        <f t="shared" si="60"/>
        <v>0.40451018648759018</v>
      </c>
      <c r="T518" s="20">
        <f t="shared" si="61"/>
        <v>2.2789600254095013E-2</v>
      </c>
      <c r="U518" s="20">
        <f>IFERROR(IF(ISNUMBER(INDEX('Firm Master'!$E$2:$E$1000,MATCH($C518,'Firm Master'!$B$2:$B$1000,0))),INDEX('Firm Master'!$E$2:$E$1000,MATCH($C518,'Firm Master'!$B$2:$B$1000,0)),""),"")</f>
        <v>1970</v>
      </c>
      <c r="V518" s="21">
        <f t="shared" si="62"/>
        <v>52</v>
      </c>
      <c r="W518" s="21">
        <v>0</v>
      </c>
      <c r="X518" s="20" t="str">
        <f>IFERROR(INDEX('Firm Master'!$G$2:$G$1000,MATCH($C518,'Firm Master'!$B$2:$B$1000,0)),"")</f>
        <v>Auditor unresolved (LOW confidence)</v>
      </c>
    </row>
    <row r="519" spans="1:24" ht="15" customHeight="1" x14ac:dyDescent="0.3">
      <c r="A519" s="11">
        <v>518</v>
      </c>
      <c r="B519" s="11">
        <v>104</v>
      </c>
      <c r="C519" s="11" t="s">
        <v>1199</v>
      </c>
      <c r="D519" s="11" t="s">
        <v>1200</v>
      </c>
      <c r="E519" s="11" t="s">
        <v>709</v>
      </c>
      <c r="F519" s="11">
        <v>2023</v>
      </c>
      <c r="G519" s="20">
        <f t="shared" si="56"/>
        <v>1</v>
      </c>
      <c r="H519" s="21">
        <v>0</v>
      </c>
      <c r="I519" s="21">
        <f>IFERROR(INDEX('Coding Sheet'!$AC$2:$AC$731,MATCH($B519&amp;"_"&amp;$F519,'Coding Sheet'!$A$2:$A$731,0)),"")</f>
        <v>0</v>
      </c>
      <c r="J519" s="7">
        <f>IFERROR(INDEX('Coding Sheet'!$AT$2:$AT$731,MATCH($B519&amp;"_"&amp;$F519,'Coding Sheet'!$A$2:$A$731,0)),"")</f>
        <v>0</v>
      </c>
      <c r="K519" s="21">
        <v>13253000000</v>
      </c>
      <c r="L519" s="21">
        <v>0.51</v>
      </c>
      <c r="M519" s="20">
        <f t="shared" si="57"/>
        <v>6759030</v>
      </c>
      <c r="N519" s="21">
        <v>11902000</v>
      </c>
      <c r="O519" s="21">
        <v>27851000</v>
      </c>
      <c r="P519" s="20">
        <v>1310000</v>
      </c>
      <c r="Q519" s="20">
        <f t="shared" si="58"/>
        <v>0.6700308786039999</v>
      </c>
      <c r="R519" s="20">
        <f t="shared" si="59"/>
        <v>17.142379430335669</v>
      </c>
      <c r="S519" s="20">
        <f t="shared" si="60"/>
        <v>0.42734551721661701</v>
      </c>
      <c r="T519" s="20">
        <f t="shared" si="61"/>
        <v>4.7036013069548667E-2</v>
      </c>
      <c r="U519" s="20">
        <f>IFERROR(IF(ISNUMBER(INDEX('Firm Master'!$E$2:$E$1000,MATCH($C519,'Firm Master'!$B$2:$B$1000,0))),INDEX('Firm Master'!$E$2:$E$1000,MATCH($C519,'Firm Master'!$B$2:$B$1000,0)),""),"")</f>
        <v>1970</v>
      </c>
      <c r="V519" s="21">
        <f t="shared" si="62"/>
        <v>53</v>
      </c>
      <c r="W519" s="21">
        <v>0</v>
      </c>
      <c r="X519" s="20" t="str">
        <f>IFERROR(INDEX('Firm Master'!$G$2:$G$1000,MATCH($C519,'Firm Master'!$B$2:$B$1000,0)),"")</f>
        <v>Auditor unresolved (LOW confidence)</v>
      </c>
    </row>
    <row r="520" spans="1:24" ht="15" customHeight="1" x14ac:dyDescent="0.3">
      <c r="A520" s="11">
        <v>519</v>
      </c>
      <c r="B520" s="11">
        <v>104</v>
      </c>
      <c r="C520" s="11" t="s">
        <v>1199</v>
      </c>
      <c r="D520" s="11" t="s">
        <v>1200</v>
      </c>
      <c r="E520" s="11" t="s">
        <v>709</v>
      </c>
      <c r="F520" s="11">
        <v>2024</v>
      </c>
      <c r="G520" s="20">
        <f t="shared" si="56"/>
        <v>1</v>
      </c>
      <c r="H520" s="21">
        <v>0</v>
      </c>
      <c r="I520" s="21">
        <f>IFERROR(INDEX('Coding Sheet'!$AC$2:$AC$731,MATCH($B520&amp;"_"&amp;$F520,'Coding Sheet'!$A$2:$A$731,0)),"")</f>
        <v>0</v>
      </c>
      <c r="J520" s="7">
        <f>IFERROR(INDEX('Coding Sheet'!$AT$2:$AT$731,MATCH($B520&amp;"_"&amp;$F520,'Coding Sheet'!$A$2:$A$731,0)),"")</f>
        <v>0</v>
      </c>
      <c r="K520" s="21">
        <v>13253000000</v>
      </c>
      <c r="L520" s="21">
        <v>1.2104999999999999</v>
      </c>
      <c r="M520" s="20">
        <f t="shared" si="57"/>
        <v>16042756.499999998</v>
      </c>
      <c r="N520" s="21">
        <v>18630000</v>
      </c>
      <c r="O520" s="21">
        <v>38004000</v>
      </c>
      <c r="P520" s="20">
        <v>3236000</v>
      </c>
      <c r="Q520" s="20">
        <f t="shared" si="58"/>
        <v>0.91234492421850333</v>
      </c>
      <c r="R520" s="20">
        <f t="shared" si="59"/>
        <v>17.453201975308776</v>
      </c>
      <c r="S520" s="20">
        <f t="shared" si="60"/>
        <v>0.4902115566782444</v>
      </c>
      <c r="T520" s="20">
        <f t="shared" si="61"/>
        <v>8.5148931691400906E-2</v>
      </c>
      <c r="U520" s="20">
        <f>IFERROR(IF(ISNUMBER(INDEX('Firm Master'!$E$2:$E$1000,MATCH($C520,'Firm Master'!$B$2:$B$1000,0))),INDEX('Firm Master'!$E$2:$E$1000,MATCH($C520,'Firm Master'!$B$2:$B$1000,0)),""),"")</f>
        <v>1970</v>
      </c>
      <c r="V520" s="21">
        <f t="shared" si="62"/>
        <v>54</v>
      </c>
      <c r="W520" s="21">
        <v>0</v>
      </c>
      <c r="X520" s="20" t="str">
        <f>IFERROR(INDEX('Firm Master'!$G$2:$G$1000,MATCH($C520,'Firm Master'!$B$2:$B$1000,0)),"")</f>
        <v>Auditor unresolved (LOW confidence)</v>
      </c>
    </row>
    <row r="521" spans="1:24" ht="15" customHeight="1" x14ac:dyDescent="0.3">
      <c r="A521" s="11">
        <v>520</v>
      </c>
      <c r="B521" s="11">
        <v>104</v>
      </c>
      <c r="C521" s="11" t="s">
        <v>1199</v>
      </c>
      <c r="D521" s="11" t="s">
        <v>1200</v>
      </c>
      <c r="E521" s="11" t="s">
        <v>709</v>
      </c>
      <c r="F521" s="11">
        <v>2025</v>
      </c>
      <c r="G521" s="20">
        <f t="shared" si="56"/>
        <v>1</v>
      </c>
      <c r="H521" s="21">
        <v>0</v>
      </c>
      <c r="I521" s="21">
        <f>IFERROR(INDEX('Coding Sheet'!$AC$2:$AC$731,MATCH($B521&amp;"_"&amp;$F521,'Coding Sheet'!$A$2:$A$731,0)),"")</f>
        <v>0</v>
      </c>
      <c r="J521" s="7">
        <f>IFERROR(INDEX('Coding Sheet'!$AT$2:$AT$731,MATCH($B521&amp;"_"&amp;$F521,'Coding Sheet'!$A$2:$A$731,0)),"")</f>
        <v>0</v>
      </c>
      <c r="K521" s="21">
        <v>13253000000</v>
      </c>
      <c r="L521" s="21">
        <v>1.5802</v>
      </c>
      <c r="M521" s="20">
        <f t="shared" si="57"/>
        <v>20942390.600000001</v>
      </c>
      <c r="N521" s="21">
        <v>17102000</v>
      </c>
      <c r="O521" s="21">
        <v>37347000</v>
      </c>
      <c r="P521" s="20">
        <v>609330</v>
      </c>
      <c r="Q521" s="20">
        <f t="shared" si="58"/>
        <v>1.0186732696066618</v>
      </c>
      <c r="R521" s="20">
        <f t="shared" si="59"/>
        <v>17.435763145032034</v>
      </c>
      <c r="S521" s="20">
        <f t="shared" si="60"/>
        <v>0.45792165368034915</v>
      </c>
      <c r="T521" s="20">
        <f t="shared" si="61"/>
        <v>1.631536669612017E-2</v>
      </c>
      <c r="U521" s="20">
        <f>IFERROR(IF(ISNUMBER(INDEX('Firm Master'!$E$2:$E$1000,MATCH($C521,'Firm Master'!$B$2:$B$1000,0))),INDEX('Firm Master'!$E$2:$E$1000,MATCH($C521,'Firm Master'!$B$2:$B$1000,0)),""),"")</f>
        <v>1970</v>
      </c>
      <c r="V521" s="21">
        <f t="shared" si="62"/>
        <v>55</v>
      </c>
      <c r="W521" s="21">
        <v>0</v>
      </c>
      <c r="X521" s="20" t="str">
        <f>IFERROR(INDEX('Firm Master'!$G$2:$G$1000,MATCH($C521,'Firm Master'!$B$2:$B$1000,0)),"")</f>
        <v>Auditor unresolved (LOW confidence)</v>
      </c>
    </row>
    <row r="522" spans="1:24" ht="15" customHeight="1" x14ac:dyDescent="0.3">
      <c r="A522" s="11">
        <v>521</v>
      </c>
      <c r="B522" s="11">
        <v>105</v>
      </c>
      <c r="C522" s="11" t="s">
        <v>1203</v>
      </c>
      <c r="D522" s="11" t="s">
        <v>1204</v>
      </c>
      <c r="E522" s="11" t="s">
        <v>806</v>
      </c>
      <c r="F522" s="11">
        <v>2021</v>
      </c>
      <c r="G522" s="20">
        <f t="shared" si="56"/>
        <v>0</v>
      </c>
      <c r="H522" s="21">
        <v>0</v>
      </c>
      <c r="I522" s="21">
        <f>IFERROR(INDEX('Coding Sheet'!$AC$2:$AC$731,MATCH($B522&amp;"_"&amp;$F522,'Coding Sheet'!$A$2:$A$731,0)),"")</f>
        <v>0</v>
      </c>
      <c r="J522" s="7">
        <f>IFERROR(INDEX('Coding Sheet'!$AT$2:$AT$731,MATCH($B522&amp;"_"&amp;$F522,'Coding Sheet'!$A$2:$A$731,0)),"")</f>
        <v>0</v>
      </c>
      <c r="K522" s="21">
        <v>3970000000</v>
      </c>
      <c r="L522" s="21">
        <v>6.101</v>
      </c>
      <c r="M522" s="20">
        <f t="shared" si="57"/>
        <v>24220970</v>
      </c>
      <c r="N522" s="21">
        <v>55576000</v>
      </c>
      <c r="O522" s="21">
        <v>87345000</v>
      </c>
      <c r="P522" s="20">
        <v>1560000</v>
      </c>
      <c r="Q522" s="20">
        <f t="shared" si="58"/>
        <v>0.91358371973209684</v>
      </c>
      <c r="R522" s="20">
        <f t="shared" si="59"/>
        <v>18.285376351921467</v>
      </c>
      <c r="S522" s="20">
        <f t="shared" si="60"/>
        <v>0.63628141278836792</v>
      </c>
      <c r="T522" s="20">
        <f t="shared" si="61"/>
        <v>1.7860209513996222E-2</v>
      </c>
      <c r="U522" s="20">
        <f>IFERROR(IF(ISNUMBER(INDEX('Firm Master'!$E$2:$E$1000,MATCH($C522,'Firm Master'!$B$2:$B$1000,0))),INDEX('Firm Master'!$E$2:$E$1000,MATCH($C522,'Firm Master'!$B$2:$B$1000,0)),""),"")</f>
        <v>1948</v>
      </c>
      <c r="V522" s="21">
        <f t="shared" si="62"/>
        <v>73</v>
      </c>
      <c r="W522" s="21">
        <v>1</v>
      </c>
      <c r="X522" s="20" t="str">
        <f>IFERROR(INDEX('Firm Master'!$G$2:$G$1000,MATCH($C522,'Firm Master'!$B$2:$B$1000,0)),"")</f>
        <v>PricewaterhouseCoopers (PwC)</v>
      </c>
    </row>
    <row r="523" spans="1:24" ht="15" customHeight="1" x14ac:dyDescent="0.3">
      <c r="A523" s="11">
        <v>522</v>
      </c>
      <c r="B523" s="11">
        <v>105</v>
      </c>
      <c r="C523" s="11" t="s">
        <v>1203</v>
      </c>
      <c r="D523" s="11" t="s">
        <v>1204</v>
      </c>
      <c r="E523" s="11" t="s">
        <v>806</v>
      </c>
      <c r="F523" s="11">
        <v>2022</v>
      </c>
      <c r="G523" s="20">
        <f t="shared" si="56"/>
        <v>0</v>
      </c>
      <c r="H523" s="21">
        <v>0</v>
      </c>
      <c r="I523" s="21">
        <f>IFERROR(INDEX('Coding Sheet'!$AC$2:$AC$731,MATCH($B523&amp;"_"&amp;$F523,'Coding Sheet'!$A$2:$A$731,0)),"")</f>
        <v>0</v>
      </c>
      <c r="J523" s="7">
        <f>IFERROR(INDEX('Coding Sheet'!$AT$2:$AT$731,MATCH($B523&amp;"_"&amp;$F523,'Coding Sheet'!$A$2:$A$731,0)),"")</f>
        <v>0</v>
      </c>
      <c r="K523" s="21">
        <v>3970000000</v>
      </c>
      <c r="L523" s="21">
        <v>6.101</v>
      </c>
      <c r="M523" s="20">
        <f t="shared" si="57"/>
        <v>24220970</v>
      </c>
      <c r="N523" s="21">
        <v>71733000</v>
      </c>
      <c r="O523" s="21">
        <v>109473000</v>
      </c>
      <c r="P523" s="20">
        <v>5970000</v>
      </c>
      <c r="Q523" s="20">
        <f t="shared" si="58"/>
        <v>0.87650808875247777</v>
      </c>
      <c r="R523" s="20">
        <f t="shared" si="59"/>
        <v>18.511188501473665</v>
      </c>
      <c r="S523" s="20">
        <f t="shared" si="60"/>
        <v>0.65525746074374502</v>
      </c>
      <c r="T523" s="20">
        <f t="shared" si="61"/>
        <v>5.4533994683620621E-2</v>
      </c>
      <c r="U523" s="20">
        <f>IFERROR(IF(ISNUMBER(INDEX('Firm Master'!$E$2:$E$1000,MATCH($C523,'Firm Master'!$B$2:$B$1000,0))),INDEX('Firm Master'!$E$2:$E$1000,MATCH($C523,'Firm Master'!$B$2:$B$1000,0)),""),"")</f>
        <v>1948</v>
      </c>
      <c r="V523" s="21">
        <f t="shared" si="62"/>
        <v>74</v>
      </c>
      <c r="W523" s="21">
        <v>1</v>
      </c>
      <c r="X523" s="20" t="str">
        <f>IFERROR(INDEX('Firm Master'!$G$2:$G$1000,MATCH($C523,'Firm Master'!$B$2:$B$1000,0)),"")</f>
        <v>PricewaterhouseCoopers (PwC)</v>
      </c>
    </row>
    <row r="524" spans="1:24" ht="15" customHeight="1" x14ac:dyDescent="0.3">
      <c r="A524" s="11">
        <v>523</v>
      </c>
      <c r="B524" s="11">
        <v>105</v>
      </c>
      <c r="C524" s="11" t="s">
        <v>1203</v>
      </c>
      <c r="D524" s="11" t="s">
        <v>1204</v>
      </c>
      <c r="E524" s="11" t="s">
        <v>806</v>
      </c>
      <c r="F524" s="11">
        <v>2023</v>
      </c>
      <c r="G524" s="20">
        <f t="shared" si="56"/>
        <v>1</v>
      </c>
      <c r="H524" s="21">
        <v>0</v>
      </c>
      <c r="I524" s="21">
        <f>IFERROR(INDEX('Coding Sheet'!$AC$2:$AC$731,MATCH($B524&amp;"_"&amp;$F524,'Coding Sheet'!$A$2:$A$731,0)),"")</f>
        <v>0</v>
      </c>
      <c r="J524" s="7">
        <f>IFERROR(INDEX('Coding Sheet'!$AT$2:$AT$731,MATCH($B524&amp;"_"&amp;$F524,'Coding Sheet'!$A$2:$A$731,0)),"")</f>
        <v>0</v>
      </c>
      <c r="K524" s="21">
        <v>3970000000</v>
      </c>
      <c r="L524" s="21">
        <v>11.349</v>
      </c>
      <c r="M524" s="20">
        <f t="shared" si="57"/>
        <v>45055530</v>
      </c>
      <c r="N524" s="21">
        <v>118006000</v>
      </c>
      <c r="O524" s="21">
        <v>166366000</v>
      </c>
      <c r="P524" s="20">
        <v>12893000</v>
      </c>
      <c r="Q524" s="20">
        <f t="shared" si="58"/>
        <v>0.98013734777538675</v>
      </c>
      <c r="R524" s="20">
        <f t="shared" si="59"/>
        <v>18.929700738550714</v>
      </c>
      <c r="S524" s="20">
        <f t="shared" si="60"/>
        <v>0.70931560535205507</v>
      </c>
      <c r="T524" s="20">
        <f t="shared" si="61"/>
        <v>7.7497806042099951E-2</v>
      </c>
      <c r="U524" s="20">
        <f>IFERROR(IF(ISNUMBER(INDEX('Firm Master'!$E$2:$E$1000,MATCH($C524,'Firm Master'!$B$2:$B$1000,0))),INDEX('Firm Master'!$E$2:$E$1000,MATCH($C524,'Firm Master'!$B$2:$B$1000,0)),""),"")</f>
        <v>1948</v>
      </c>
      <c r="V524" s="21">
        <f t="shared" si="62"/>
        <v>75</v>
      </c>
      <c r="W524" s="21">
        <v>1</v>
      </c>
      <c r="X524" s="20" t="str">
        <f>IFERROR(INDEX('Firm Master'!$G$2:$G$1000,MATCH($C524,'Firm Master'!$B$2:$B$1000,0)),"")</f>
        <v>PricewaterhouseCoopers (PwC)</v>
      </c>
    </row>
    <row r="525" spans="1:24" ht="15" customHeight="1" x14ac:dyDescent="0.3">
      <c r="A525" s="11">
        <v>524</v>
      </c>
      <c r="B525" s="11">
        <v>105</v>
      </c>
      <c r="C525" s="11" t="s">
        <v>1203</v>
      </c>
      <c r="D525" s="11" t="s">
        <v>1204</v>
      </c>
      <c r="E525" s="11" t="s">
        <v>806</v>
      </c>
      <c r="F525" s="11">
        <v>2024</v>
      </c>
      <c r="G525" s="20">
        <f t="shared" si="56"/>
        <v>1</v>
      </c>
      <c r="H525" s="21">
        <v>0</v>
      </c>
      <c r="I525" s="21">
        <f>IFERROR(INDEX('Coding Sheet'!$AC$2:$AC$731,MATCH($B525&amp;"_"&amp;$F525,'Coding Sheet'!$A$2:$A$731,0)),"")</f>
        <v>5</v>
      </c>
      <c r="J525" s="7">
        <f>IFERROR(INDEX('Coding Sheet'!$AT$2:$AT$731,MATCH($B525&amp;"_"&amp;$F525,'Coding Sheet'!$A$2:$A$731,0)),"")</f>
        <v>0</v>
      </c>
      <c r="K525" s="21">
        <v>3970000000</v>
      </c>
      <c r="L525" s="21">
        <v>26.702999999999999</v>
      </c>
      <c r="M525" s="20">
        <f t="shared" si="57"/>
        <v>106010910</v>
      </c>
      <c r="N525" s="21">
        <v>184567000</v>
      </c>
      <c r="O525" s="21">
        <v>157060000</v>
      </c>
      <c r="P525" s="20">
        <v>-82702000</v>
      </c>
      <c r="Q525" s="20">
        <f t="shared" si="58"/>
        <v>1.8501076658601807</v>
      </c>
      <c r="R525" s="20">
        <f t="shared" si="59"/>
        <v>18.872138455911003</v>
      </c>
      <c r="S525" s="20">
        <f t="shared" si="60"/>
        <v>1.1751368903603718</v>
      </c>
      <c r="T525" s="20">
        <f t="shared" si="61"/>
        <v>-0.52656309690564118</v>
      </c>
      <c r="U525" s="20">
        <f>IFERROR(IF(ISNUMBER(INDEX('Firm Master'!$E$2:$E$1000,MATCH($C525,'Firm Master'!$B$2:$B$1000,0))),INDEX('Firm Master'!$E$2:$E$1000,MATCH($C525,'Firm Master'!$B$2:$B$1000,0)),""),"")</f>
        <v>1948</v>
      </c>
      <c r="V525" s="21">
        <f t="shared" si="62"/>
        <v>76</v>
      </c>
      <c r="W525" s="21">
        <v>1</v>
      </c>
      <c r="X525" s="20" t="str">
        <f>IFERROR(INDEX('Firm Master'!$G$2:$G$1000,MATCH($C525,'Firm Master'!$B$2:$B$1000,0)),"")</f>
        <v>PricewaterhouseCoopers (PwC)</v>
      </c>
    </row>
    <row r="526" spans="1:24" ht="15" customHeight="1" x14ac:dyDescent="0.3">
      <c r="A526" s="11">
        <v>525</v>
      </c>
      <c r="B526" s="11">
        <v>105</v>
      </c>
      <c r="C526" s="11" t="s">
        <v>1203</v>
      </c>
      <c r="D526" s="11" t="s">
        <v>1204</v>
      </c>
      <c r="E526" s="11" t="s">
        <v>806</v>
      </c>
      <c r="F526" s="11">
        <v>2025</v>
      </c>
      <c r="G526" s="20">
        <f t="shared" si="56"/>
        <v>1</v>
      </c>
      <c r="H526" s="21">
        <v>0</v>
      </c>
      <c r="I526" s="21">
        <f>IFERROR(INDEX('Coding Sheet'!$AC$2:$AC$731,MATCH($B526&amp;"_"&amp;$F526,'Coding Sheet'!$A$2:$A$731,0)),"")</f>
        <v>5</v>
      </c>
      <c r="J526" s="7">
        <f>IFERROR(INDEX('Coding Sheet'!$AT$2:$AT$731,MATCH($B526&amp;"_"&amp;$F526,'Coding Sheet'!$A$2:$A$731,0)),"")</f>
        <v>0</v>
      </c>
      <c r="K526" s="21">
        <v>3970000000</v>
      </c>
      <c r="L526" s="21">
        <v>24.3</v>
      </c>
      <c r="M526" s="20">
        <f t="shared" si="57"/>
        <v>96471000</v>
      </c>
      <c r="N526" s="21">
        <v>186244000</v>
      </c>
      <c r="O526" s="21">
        <v>168902000</v>
      </c>
      <c r="P526" s="20">
        <v>9208000</v>
      </c>
      <c r="Q526" s="20">
        <f t="shared" si="58"/>
        <v>1.6738404518596584</v>
      </c>
      <c r="R526" s="20">
        <f t="shared" si="59"/>
        <v>18.944829223034148</v>
      </c>
      <c r="S526" s="20">
        <f t="shared" si="60"/>
        <v>1.1026749239203799</v>
      </c>
      <c r="T526" s="20">
        <f t="shared" si="61"/>
        <v>5.4516820404731735E-2</v>
      </c>
      <c r="U526" s="20">
        <f>IFERROR(IF(ISNUMBER(INDEX('Firm Master'!$E$2:$E$1000,MATCH($C526,'Firm Master'!$B$2:$B$1000,0))),INDEX('Firm Master'!$E$2:$E$1000,MATCH($C526,'Firm Master'!$B$2:$B$1000,0)),""),"")</f>
        <v>1948</v>
      </c>
      <c r="V526" s="21">
        <f t="shared" si="62"/>
        <v>77</v>
      </c>
      <c r="W526" s="21">
        <v>1</v>
      </c>
      <c r="X526" s="20" t="str">
        <f>IFERROR(INDEX('Firm Master'!$G$2:$G$1000,MATCH($C526,'Firm Master'!$B$2:$B$1000,0)),"")</f>
        <v>PricewaterhouseCoopers (PwC)</v>
      </c>
    </row>
    <row r="527" spans="1:24" ht="15" customHeight="1" x14ac:dyDescent="0.3">
      <c r="A527" s="11">
        <v>526</v>
      </c>
      <c r="B527" s="11">
        <v>106</v>
      </c>
      <c r="C527" s="11" t="s">
        <v>1207</v>
      </c>
      <c r="D527" s="11" t="s">
        <v>1208</v>
      </c>
      <c r="E527" s="11" t="s">
        <v>715</v>
      </c>
      <c r="F527" s="11">
        <v>2021</v>
      </c>
      <c r="G527" s="20">
        <f t="shared" si="56"/>
        <v>0</v>
      </c>
      <c r="H527" s="24">
        <v>0</v>
      </c>
      <c r="I527" s="24">
        <f>IFERROR(INDEX('Coding Sheet'!$AC$2:$AC$731,MATCH($B527&amp;"_"&amp;$F527,'Coding Sheet'!$A$2:$A$731,0)),"")</f>
        <v>0</v>
      </c>
      <c r="J527" s="7">
        <f>IFERROR(INDEX('Coding Sheet'!$AT$2:$AT$731,MATCH($B527&amp;"_"&amp;$F527,'Coding Sheet'!$A$2:$A$731,0)),"")</f>
        <v>0</v>
      </c>
      <c r="K527" s="24">
        <v>954420000</v>
      </c>
      <c r="L527" s="24">
        <v>3.448</v>
      </c>
      <c r="M527" s="20">
        <f t="shared" si="57"/>
        <v>3290840.16</v>
      </c>
      <c r="N527" s="24">
        <v>3310000</v>
      </c>
      <c r="O527" s="24">
        <v>7540000</v>
      </c>
      <c r="P527" s="20">
        <v>150070</v>
      </c>
      <c r="Q527" s="20">
        <f t="shared" si="58"/>
        <v>0.87544299204244036</v>
      </c>
      <c r="R527" s="20">
        <f t="shared" si="59"/>
        <v>15.835732739984138</v>
      </c>
      <c r="S527" s="20">
        <f t="shared" si="60"/>
        <v>0.43899204244031831</v>
      </c>
      <c r="T527" s="20">
        <f t="shared" si="61"/>
        <v>1.990318302387268E-2</v>
      </c>
      <c r="U527" s="20">
        <f>IFERROR(IF(ISNUMBER(INDEX('Firm Master'!$E$2:$E$1000,MATCH($C527,'Firm Master'!$B$2:$B$1000,0))),INDEX('Firm Master'!$E$2:$E$1000,MATCH($C527,'Firm Master'!$B$2:$B$1000,0)),""),"")</f>
        <v>1992</v>
      </c>
      <c r="V527" s="24">
        <f t="shared" si="62"/>
        <v>29</v>
      </c>
      <c r="W527" s="24">
        <v>1</v>
      </c>
      <c r="X527" s="20" t="str">
        <f>IFERROR(INDEX('Firm Master'!$G$2:$G$1000,MATCH($C527,'Firm Master'!$B$2:$B$1000,0)),"")</f>
        <v>KPMG Professional Services</v>
      </c>
    </row>
    <row r="528" spans="1:24" ht="15" customHeight="1" x14ac:dyDescent="0.3">
      <c r="A528" s="11">
        <v>527</v>
      </c>
      <c r="B528" s="11">
        <v>106</v>
      </c>
      <c r="C528" s="11" t="s">
        <v>1207</v>
      </c>
      <c r="D528" s="11" t="s">
        <v>1208</v>
      </c>
      <c r="E528" s="11" t="s">
        <v>715</v>
      </c>
      <c r="F528" s="11">
        <v>2022</v>
      </c>
      <c r="G528" s="20">
        <f t="shared" si="56"/>
        <v>0</v>
      </c>
      <c r="H528" s="21">
        <v>0</v>
      </c>
      <c r="I528" s="21">
        <f>IFERROR(INDEX('Coding Sheet'!$AC$2:$AC$731,MATCH($B528&amp;"_"&amp;$F528,'Coding Sheet'!$A$2:$A$731,0)),"")</f>
        <v>0</v>
      </c>
      <c r="J528" s="7">
        <f>IFERROR(INDEX('Coding Sheet'!$AT$2:$AT$731,MATCH($B528&amp;"_"&amp;$F528,'Coding Sheet'!$A$2:$A$731,0)),"")</f>
        <v>0</v>
      </c>
      <c r="K528" s="21">
        <v>954450000</v>
      </c>
      <c r="L528" s="21">
        <v>3.448</v>
      </c>
      <c r="M528" s="20">
        <f t="shared" si="57"/>
        <v>3290943.6</v>
      </c>
      <c r="N528" s="21">
        <v>3559000</v>
      </c>
      <c r="O528" s="21">
        <v>7752000</v>
      </c>
      <c r="P528" s="20">
        <v>87810</v>
      </c>
      <c r="Q528" s="20">
        <f t="shared" si="58"/>
        <v>0.88363565531475741</v>
      </c>
      <c r="R528" s="20">
        <f t="shared" si="59"/>
        <v>15.863461432552739</v>
      </c>
      <c r="S528" s="20">
        <f t="shared" si="60"/>
        <v>0.45910732714138286</v>
      </c>
      <c r="T528" s="20">
        <f t="shared" si="61"/>
        <v>1.1327399380804954E-2</v>
      </c>
      <c r="U528" s="20">
        <f>IFERROR(IF(ISNUMBER(INDEX('Firm Master'!$E$2:$E$1000,MATCH($C528,'Firm Master'!$B$2:$B$1000,0))),INDEX('Firm Master'!$E$2:$E$1000,MATCH($C528,'Firm Master'!$B$2:$B$1000,0)),""),"")</f>
        <v>1992</v>
      </c>
      <c r="V528" s="21">
        <f t="shared" si="62"/>
        <v>30</v>
      </c>
      <c r="W528" s="21">
        <v>1</v>
      </c>
      <c r="X528" s="20" t="str">
        <f>IFERROR(INDEX('Firm Master'!$G$2:$G$1000,MATCH($C528,'Firm Master'!$B$2:$B$1000,0)),"")</f>
        <v>KPMG Professional Services</v>
      </c>
    </row>
    <row r="529" spans="1:24" ht="15" customHeight="1" x14ac:dyDescent="0.3">
      <c r="A529" s="11">
        <v>528</v>
      </c>
      <c r="B529" s="11">
        <v>106</v>
      </c>
      <c r="C529" s="11" t="s">
        <v>1207</v>
      </c>
      <c r="D529" s="11" t="s">
        <v>1208</v>
      </c>
      <c r="E529" s="11" t="s">
        <v>715</v>
      </c>
      <c r="F529" s="11">
        <v>2023</v>
      </c>
      <c r="G529" s="20">
        <f t="shared" si="56"/>
        <v>1</v>
      </c>
      <c r="H529" s="21">
        <v>0</v>
      </c>
      <c r="I529" s="21">
        <f>IFERROR(INDEX('Coding Sheet'!$AC$2:$AC$731,MATCH($B529&amp;"_"&amp;$F529,'Coding Sheet'!$A$2:$A$731,0)),"")</f>
        <v>0</v>
      </c>
      <c r="J529" s="7">
        <f>IFERROR(INDEX('Coding Sheet'!$AT$2:$AT$731,MATCH($B529&amp;"_"&amp;$F529,'Coding Sheet'!$A$2:$A$731,0)),"")</f>
        <v>0</v>
      </c>
      <c r="K529" s="21">
        <v>954420000</v>
      </c>
      <c r="L529" s="21">
        <v>2.2629999999999999</v>
      </c>
      <c r="M529" s="20">
        <f t="shared" si="57"/>
        <v>2159852.46</v>
      </c>
      <c r="N529" s="21">
        <v>4080000</v>
      </c>
      <c r="O529" s="21">
        <v>8658000</v>
      </c>
      <c r="P529" s="20">
        <v>313900</v>
      </c>
      <c r="Q529" s="20">
        <f t="shared" si="58"/>
        <v>0.72070367983367978</v>
      </c>
      <c r="R529" s="20">
        <f t="shared" si="59"/>
        <v>15.973994306984062</v>
      </c>
      <c r="S529" s="20">
        <f t="shared" si="60"/>
        <v>0.47124047124047125</v>
      </c>
      <c r="T529" s="20">
        <f t="shared" si="61"/>
        <v>3.6255486255486254E-2</v>
      </c>
      <c r="U529" s="20">
        <f>IFERROR(IF(ISNUMBER(INDEX('Firm Master'!$E$2:$E$1000,MATCH($C529,'Firm Master'!$B$2:$B$1000,0))),INDEX('Firm Master'!$E$2:$E$1000,MATCH($C529,'Firm Master'!$B$2:$B$1000,0)),""),"")</f>
        <v>1992</v>
      </c>
      <c r="V529" s="21">
        <f t="shared" si="62"/>
        <v>31</v>
      </c>
      <c r="W529" s="21">
        <v>1</v>
      </c>
      <c r="X529" s="20" t="str">
        <f>IFERROR(INDEX('Firm Master'!$G$2:$G$1000,MATCH($C529,'Firm Master'!$B$2:$B$1000,0)),"")</f>
        <v>KPMG Professional Services</v>
      </c>
    </row>
    <row r="530" spans="1:24" ht="15" customHeight="1" x14ac:dyDescent="0.3">
      <c r="A530" s="11">
        <v>529</v>
      </c>
      <c r="B530" s="11">
        <v>106</v>
      </c>
      <c r="C530" s="11" t="s">
        <v>1207</v>
      </c>
      <c r="D530" s="11" t="s">
        <v>1208</v>
      </c>
      <c r="E530" s="11" t="s">
        <v>715</v>
      </c>
      <c r="F530" s="11">
        <v>2024</v>
      </c>
      <c r="G530" s="20">
        <f t="shared" si="56"/>
        <v>1</v>
      </c>
      <c r="H530" s="21">
        <v>0</v>
      </c>
      <c r="I530" s="21">
        <f>IFERROR(INDEX('Coding Sheet'!$AC$2:$AC$731,MATCH($B530&amp;"_"&amp;$F530,'Coding Sheet'!$A$2:$A$731,0)),"")</f>
        <v>5</v>
      </c>
      <c r="J530" s="7">
        <f>IFERROR(INDEX('Coding Sheet'!$AT$2:$AT$731,MATCH($B530&amp;"_"&amp;$F530,'Coding Sheet'!$A$2:$A$731,0)),"")</f>
        <v>0</v>
      </c>
      <c r="K530" s="21">
        <v>954420000</v>
      </c>
      <c r="L530" s="21">
        <v>3.1850000000000001</v>
      </c>
      <c r="M530" s="20">
        <f t="shared" si="57"/>
        <v>3039827.7</v>
      </c>
      <c r="N530" s="21">
        <v>4570000</v>
      </c>
      <c r="O530" s="21">
        <v>9244000</v>
      </c>
      <c r="P530" s="20">
        <v>343000</v>
      </c>
      <c r="Q530" s="20">
        <f t="shared" si="58"/>
        <v>0.82321805495456513</v>
      </c>
      <c r="R530" s="20">
        <f t="shared" si="59"/>
        <v>16.039485250376408</v>
      </c>
      <c r="S530" s="20">
        <f t="shared" si="60"/>
        <v>0.4943747295543055</v>
      </c>
      <c r="T530" s="20">
        <f t="shared" si="61"/>
        <v>3.7105149286023369E-2</v>
      </c>
      <c r="U530" s="20">
        <f>IFERROR(IF(ISNUMBER(INDEX('Firm Master'!$E$2:$E$1000,MATCH($C530,'Firm Master'!$B$2:$B$1000,0))),INDEX('Firm Master'!$E$2:$E$1000,MATCH($C530,'Firm Master'!$B$2:$B$1000,0)),""),"")</f>
        <v>1992</v>
      </c>
      <c r="V530" s="21">
        <f t="shared" si="62"/>
        <v>32</v>
      </c>
      <c r="W530" s="21">
        <v>1</v>
      </c>
      <c r="X530" s="20" t="str">
        <f>IFERROR(INDEX('Firm Master'!$G$2:$G$1000,MATCH($C530,'Firm Master'!$B$2:$B$1000,0)),"")</f>
        <v>KPMG Professional Services</v>
      </c>
    </row>
    <row r="531" spans="1:24" ht="15" customHeight="1" x14ac:dyDescent="0.3">
      <c r="A531" s="11">
        <v>530</v>
      </c>
      <c r="B531" s="11">
        <v>106</v>
      </c>
      <c r="C531" s="11" t="s">
        <v>1207</v>
      </c>
      <c r="D531" s="11" t="s">
        <v>1208</v>
      </c>
      <c r="E531" s="11" t="s">
        <v>715</v>
      </c>
      <c r="F531" s="11">
        <v>2025</v>
      </c>
      <c r="G531" s="20">
        <f t="shared" si="56"/>
        <v>1</v>
      </c>
      <c r="H531" s="21">
        <v>0</v>
      </c>
      <c r="I531" s="21">
        <f>IFERROR(INDEX('Coding Sheet'!$AC$2:$AC$731,MATCH($B531&amp;"_"&amp;$F531,'Coding Sheet'!$A$2:$A$731,0)),"")</f>
        <v>5</v>
      </c>
      <c r="J531" s="7">
        <f>IFERROR(INDEX('Coding Sheet'!$AT$2:$AT$731,MATCH($B531&amp;"_"&amp;$F531,'Coding Sheet'!$A$2:$A$731,0)),"")</f>
        <v>0</v>
      </c>
      <c r="K531" s="21">
        <v>954420000</v>
      </c>
      <c r="L531" s="21">
        <v>4.4109999999999996</v>
      </c>
      <c r="M531" s="20">
        <f t="shared" si="57"/>
        <v>4209946.6199999992</v>
      </c>
      <c r="N531" s="21">
        <v>5396000</v>
      </c>
      <c r="O531" s="21">
        <v>10279000</v>
      </c>
      <c r="P531" s="20">
        <v>546520</v>
      </c>
      <c r="Q531" s="20">
        <f t="shared" si="58"/>
        <v>0.93452151182021592</v>
      </c>
      <c r="R531" s="20">
        <f t="shared" si="59"/>
        <v>16.145613536995057</v>
      </c>
      <c r="S531" s="20">
        <f t="shared" si="60"/>
        <v>0.52495378927911274</v>
      </c>
      <c r="T531" s="20">
        <f t="shared" si="61"/>
        <v>5.3168596166942313E-2</v>
      </c>
      <c r="U531" s="20">
        <f>IFERROR(IF(ISNUMBER(INDEX('Firm Master'!$E$2:$E$1000,MATCH($C531,'Firm Master'!$B$2:$B$1000,0))),INDEX('Firm Master'!$E$2:$E$1000,MATCH($C531,'Firm Master'!$B$2:$B$1000,0)),""),"")</f>
        <v>1992</v>
      </c>
      <c r="V531" s="21">
        <f t="shared" si="62"/>
        <v>33</v>
      </c>
      <c r="W531" s="21">
        <v>1</v>
      </c>
      <c r="X531" s="20" t="str">
        <f>IFERROR(INDEX('Firm Master'!$G$2:$G$1000,MATCH($C531,'Firm Master'!$B$2:$B$1000,0)),"")</f>
        <v>KPMG Professional Services</v>
      </c>
    </row>
    <row r="532" spans="1:24" ht="15" customHeight="1" x14ac:dyDescent="0.3">
      <c r="A532" s="11">
        <v>531</v>
      </c>
      <c r="B532" s="11">
        <v>107</v>
      </c>
      <c r="C532" s="11" t="s">
        <v>1211</v>
      </c>
      <c r="D532" s="11" t="s">
        <v>1212</v>
      </c>
      <c r="E532" s="11" t="s">
        <v>709</v>
      </c>
      <c r="F532" s="11">
        <v>2021</v>
      </c>
      <c r="G532" s="20">
        <f t="shared" si="56"/>
        <v>0</v>
      </c>
      <c r="H532" s="21">
        <v>0</v>
      </c>
      <c r="I532" s="21">
        <f>IFERROR(INDEX('Coding Sheet'!$AC$2:$AC$731,MATCH($B532&amp;"_"&amp;$F532,'Coding Sheet'!$A$2:$A$731,0)),"")</f>
        <v>0</v>
      </c>
      <c r="J532" s="7">
        <f>IFERROR(INDEX('Coding Sheet'!$AT$2:$AT$731,MATCH($B532&amp;"_"&amp;$F532,'Coding Sheet'!$A$2:$A$731,0)),"")</f>
        <v>0</v>
      </c>
      <c r="K532" s="21">
        <v>16005000000</v>
      </c>
      <c r="L532" s="21">
        <v>0.21240000000000001</v>
      </c>
      <c r="M532" s="20">
        <f t="shared" si="57"/>
        <v>3399462</v>
      </c>
      <c r="N532" s="21">
        <v>5146000</v>
      </c>
      <c r="O532" s="21">
        <v>11869000</v>
      </c>
      <c r="P532" s="20">
        <v>322430</v>
      </c>
      <c r="Q532" s="20">
        <f t="shared" si="58"/>
        <v>0.71998163282500627</v>
      </c>
      <c r="R532" s="20">
        <f t="shared" si="59"/>
        <v>16.289440517038642</v>
      </c>
      <c r="S532" s="20">
        <f t="shared" si="60"/>
        <v>0.43356643356643354</v>
      </c>
      <c r="T532" s="20">
        <f t="shared" si="61"/>
        <v>2.7165725840424634E-2</v>
      </c>
      <c r="U532" s="20">
        <f>IFERROR(IF(ISNUMBER(INDEX('Firm Master'!$E$2:$E$1000,MATCH($C532,'Firm Master'!$B$2:$B$1000,0))),INDEX('Firm Master'!$E$2:$E$1000,MATCH($C532,'Firm Master'!$B$2:$B$1000,0)),""),"")</f>
        <v>1993</v>
      </c>
      <c r="V532" s="21">
        <f t="shared" si="62"/>
        <v>28</v>
      </c>
      <c r="W532" s="21">
        <v>0</v>
      </c>
      <c r="X532" s="20" t="str">
        <f>IFERROR(INDEX('Firm Master'!$G$2:$G$1000,MATCH($C532,'Firm Master'!$B$2:$B$1000,0)),"")</f>
        <v>Auditor unresolved (LOW confidence)</v>
      </c>
    </row>
    <row r="533" spans="1:24" ht="15" customHeight="1" x14ac:dyDescent="0.3">
      <c r="A533" s="11">
        <v>532</v>
      </c>
      <c r="B533" s="11">
        <v>107</v>
      </c>
      <c r="C533" s="11" t="s">
        <v>1211</v>
      </c>
      <c r="D533" s="11" t="s">
        <v>1212</v>
      </c>
      <c r="E533" s="11" t="s">
        <v>709</v>
      </c>
      <c r="F533" s="11">
        <v>2022</v>
      </c>
      <c r="G533" s="20">
        <f t="shared" si="56"/>
        <v>0</v>
      </c>
      <c r="H533" s="21">
        <v>0</v>
      </c>
      <c r="I533" s="21">
        <f>IFERROR(INDEX('Coding Sheet'!$AC$2:$AC$731,MATCH($B533&amp;"_"&amp;$F533,'Coding Sheet'!$A$2:$A$731,0)),"")</f>
        <v>0</v>
      </c>
      <c r="J533" s="7">
        <f>IFERROR(INDEX('Coding Sheet'!$AT$2:$AT$731,MATCH($B533&amp;"_"&amp;$F533,'Coding Sheet'!$A$2:$A$731,0)),"")</f>
        <v>0</v>
      </c>
      <c r="K533" s="21">
        <v>16005000000</v>
      </c>
      <c r="L533" s="21">
        <v>0.10440000000000001</v>
      </c>
      <c r="M533" s="20">
        <f t="shared" si="57"/>
        <v>1670922</v>
      </c>
      <c r="N533" s="21">
        <v>5349000</v>
      </c>
      <c r="O533" s="21">
        <v>12371000</v>
      </c>
      <c r="P533" s="20">
        <v>594590</v>
      </c>
      <c r="Q533" s="20">
        <f t="shared" si="58"/>
        <v>0.56744984237329232</v>
      </c>
      <c r="R533" s="20">
        <f t="shared" si="59"/>
        <v>16.330865581844968</v>
      </c>
      <c r="S533" s="20">
        <f t="shared" si="60"/>
        <v>0.4323821841403282</v>
      </c>
      <c r="T533" s="20">
        <f t="shared" si="61"/>
        <v>4.8063212351467141E-2</v>
      </c>
      <c r="U533" s="20">
        <f>IFERROR(IF(ISNUMBER(INDEX('Firm Master'!$E$2:$E$1000,MATCH($C533,'Firm Master'!$B$2:$B$1000,0))),INDEX('Firm Master'!$E$2:$E$1000,MATCH($C533,'Firm Master'!$B$2:$B$1000,0)),""),"")</f>
        <v>1993</v>
      </c>
      <c r="V533" s="21">
        <f t="shared" si="62"/>
        <v>29</v>
      </c>
      <c r="W533" s="21">
        <v>0</v>
      </c>
      <c r="X533" s="20" t="str">
        <f>IFERROR(INDEX('Firm Master'!$G$2:$G$1000,MATCH($C533,'Firm Master'!$B$2:$B$1000,0)),"")</f>
        <v>Auditor unresolved (LOW confidence)</v>
      </c>
    </row>
    <row r="534" spans="1:24" ht="15" customHeight="1" x14ac:dyDescent="0.3">
      <c r="A534" s="11">
        <v>533</v>
      </c>
      <c r="B534" s="11">
        <v>107</v>
      </c>
      <c r="C534" s="11" t="s">
        <v>1211</v>
      </c>
      <c r="D534" s="11" t="s">
        <v>1212</v>
      </c>
      <c r="E534" s="11" t="s">
        <v>709</v>
      </c>
      <c r="F534" s="11">
        <v>2023</v>
      </c>
      <c r="G534" s="20">
        <f t="shared" si="56"/>
        <v>1</v>
      </c>
      <c r="H534" s="21">
        <v>0</v>
      </c>
      <c r="I534" s="21">
        <f>IFERROR(INDEX('Coding Sheet'!$AC$2:$AC$731,MATCH($B534&amp;"_"&amp;$F534,'Coding Sheet'!$A$2:$A$731,0)),"")</f>
        <v>0</v>
      </c>
      <c r="J534" s="7">
        <f>IFERROR(INDEX('Coding Sheet'!$AT$2:$AT$731,MATCH($B534&amp;"_"&amp;$F534,'Coding Sheet'!$A$2:$A$731,0)),"")</f>
        <v>0</v>
      </c>
      <c r="K534" s="21">
        <v>16005000000</v>
      </c>
      <c r="L534" s="21">
        <v>0.15809999999999999</v>
      </c>
      <c r="M534" s="20">
        <f t="shared" si="57"/>
        <v>2530390.5</v>
      </c>
      <c r="N534" s="21">
        <v>7048000</v>
      </c>
      <c r="O534" s="21">
        <v>18848000</v>
      </c>
      <c r="P534" s="20">
        <v>1943000</v>
      </c>
      <c r="Q534" s="20">
        <f t="shared" si="58"/>
        <v>0.5081913465619694</v>
      </c>
      <c r="R534" s="20">
        <f t="shared" si="59"/>
        <v>16.751917365433449</v>
      </c>
      <c r="S534" s="20">
        <f t="shared" si="60"/>
        <v>0.37393887945670629</v>
      </c>
      <c r="T534" s="20">
        <f t="shared" si="61"/>
        <v>0.10308786078098472</v>
      </c>
      <c r="U534" s="20">
        <f>IFERROR(IF(ISNUMBER(INDEX('Firm Master'!$E$2:$E$1000,MATCH($C534,'Firm Master'!$B$2:$B$1000,0))),INDEX('Firm Master'!$E$2:$E$1000,MATCH($C534,'Firm Master'!$B$2:$B$1000,0)),""),"")</f>
        <v>1993</v>
      </c>
      <c r="V534" s="21">
        <f t="shared" si="62"/>
        <v>30</v>
      </c>
      <c r="W534" s="21">
        <v>0</v>
      </c>
      <c r="X534" s="20" t="str">
        <f>IFERROR(INDEX('Firm Master'!$G$2:$G$1000,MATCH($C534,'Firm Master'!$B$2:$B$1000,0)),"")</f>
        <v>Auditor unresolved (LOW confidence)</v>
      </c>
    </row>
    <row r="535" spans="1:24" ht="15" customHeight="1" x14ac:dyDescent="0.3">
      <c r="A535" s="11">
        <v>534</v>
      </c>
      <c r="B535" s="11">
        <v>107</v>
      </c>
      <c r="C535" s="11" t="s">
        <v>1211</v>
      </c>
      <c r="D535" s="11" t="s">
        <v>1212</v>
      </c>
      <c r="E535" s="11" t="s">
        <v>709</v>
      </c>
      <c r="F535" s="11">
        <v>2024</v>
      </c>
      <c r="G535" s="20">
        <f t="shared" si="56"/>
        <v>1</v>
      </c>
      <c r="H535" s="21">
        <v>0</v>
      </c>
      <c r="I535" s="21">
        <f>IFERROR(INDEX('Coding Sheet'!$AC$2:$AC$731,MATCH($B535&amp;"_"&amp;$F535,'Coding Sheet'!$A$2:$A$731,0)),"")</f>
        <v>5</v>
      </c>
      <c r="J535" s="7">
        <f>IFERROR(INDEX('Coding Sheet'!$AT$2:$AT$731,MATCH($B535&amp;"_"&amp;$F535,'Coding Sheet'!$A$2:$A$731,0)),"")</f>
        <v>0</v>
      </c>
      <c r="K535" s="21">
        <v>16005000000</v>
      </c>
      <c r="L535" s="21">
        <v>0.56230000000000002</v>
      </c>
      <c r="M535" s="20">
        <f t="shared" si="57"/>
        <v>8999611.5</v>
      </c>
      <c r="N535" s="21">
        <v>7790000</v>
      </c>
      <c r="O535" s="21">
        <v>21857000</v>
      </c>
      <c r="P535" s="20">
        <v>2266000</v>
      </c>
      <c r="Q535" s="20">
        <f t="shared" si="58"/>
        <v>0.76815718076588735</v>
      </c>
      <c r="R535" s="20">
        <f t="shared" si="59"/>
        <v>16.900031794332325</v>
      </c>
      <c r="S535" s="20">
        <f t="shared" si="60"/>
        <v>0.35640755821933479</v>
      </c>
      <c r="T535" s="20">
        <f t="shared" si="61"/>
        <v>0.10367388022143935</v>
      </c>
      <c r="U535" s="20">
        <f>IFERROR(IF(ISNUMBER(INDEX('Firm Master'!$E$2:$E$1000,MATCH($C535,'Firm Master'!$B$2:$B$1000,0))),INDEX('Firm Master'!$E$2:$E$1000,MATCH($C535,'Firm Master'!$B$2:$B$1000,0)),""),"")</f>
        <v>1993</v>
      </c>
      <c r="V535" s="21">
        <f t="shared" si="62"/>
        <v>31</v>
      </c>
      <c r="W535" s="21">
        <v>0</v>
      </c>
      <c r="X535" s="20" t="str">
        <f>IFERROR(INDEX('Firm Master'!$G$2:$G$1000,MATCH($C535,'Firm Master'!$B$2:$B$1000,0)),"")</f>
        <v>Auditor unresolved (LOW confidence)</v>
      </c>
    </row>
    <row r="536" spans="1:24" ht="15" customHeight="1" x14ac:dyDescent="0.3">
      <c r="A536" s="11">
        <v>535</v>
      </c>
      <c r="B536" s="11">
        <v>107</v>
      </c>
      <c r="C536" s="11" t="s">
        <v>1211</v>
      </c>
      <c r="D536" s="11" t="s">
        <v>1212</v>
      </c>
      <c r="E536" s="11" t="s">
        <v>709</v>
      </c>
      <c r="F536" s="11">
        <v>2025</v>
      </c>
      <c r="G536" s="20">
        <f t="shared" si="56"/>
        <v>1</v>
      </c>
      <c r="H536" s="21">
        <v>0</v>
      </c>
      <c r="I536" s="21">
        <f>IFERROR(INDEX('Coding Sheet'!$AC$2:$AC$731,MATCH($B536&amp;"_"&amp;$F536,'Coding Sheet'!$A$2:$A$731,0)),"")</f>
        <v>10</v>
      </c>
      <c r="J536" s="7">
        <f>IFERROR(INDEX('Coding Sheet'!$AT$2:$AT$731,MATCH($B536&amp;"_"&amp;$F536,'Coding Sheet'!$A$2:$A$731,0)),"")</f>
        <v>0</v>
      </c>
      <c r="K536" s="21">
        <v>16024000000</v>
      </c>
      <c r="L536" s="21">
        <v>1.079</v>
      </c>
      <c r="M536" s="20">
        <f t="shared" si="57"/>
        <v>17289896</v>
      </c>
      <c r="N536" s="21">
        <v>7655000</v>
      </c>
      <c r="O536" s="21">
        <v>22245000</v>
      </c>
      <c r="P536" s="20">
        <v>618530</v>
      </c>
      <c r="Q536" s="20">
        <f t="shared" si="58"/>
        <v>1.1213709148123174</v>
      </c>
      <c r="R536" s="20">
        <f t="shared" si="59"/>
        <v>16.917627822222279</v>
      </c>
      <c r="S536" s="20">
        <f t="shared" si="60"/>
        <v>0.34412227466846484</v>
      </c>
      <c r="T536" s="20">
        <f t="shared" si="61"/>
        <v>2.7805349516745338E-2</v>
      </c>
      <c r="U536" s="20">
        <f>IFERROR(IF(ISNUMBER(INDEX('Firm Master'!$E$2:$E$1000,MATCH($C536,'Firm Master'!$B$2:$B$1000,0))),INDEX('Firm Master'!$E$2:$E$1000,MATCH($C536,'Firm Master'!$B$2:$B$1000,0)),""),"")</f>
        <v>1993</v>
      </c>
      <c r="V536" s="21">
        <f t="shared" si="62"/>
        <v>32</v>
      </c>
      <c r="W536" s="21">
        <v>0</v>
      </c>
      <c r="X536" s="20" t="str">
        <f>IFERROR(INDEX('Firm Master'!$G$2:$G$1000,MATCH($C536,'Firm Master'!$B$2:$B$1000,0)),"")</f>
        <v>Auditor unresolved (LOW confidence)</v>
      </c>
    </row>
    <row r="537" spans="1:24" ht="27.75" customHeight="1" x14ac:dyDescent="0.3">
      <c r="A537" s="11">
        <v>536</v>
      </c>
      <c r="B537" s="11">
        <v>108</v>
      </c>
      <c r="C537" s="11" t="s">
        <v>1216</v>
      </c>
      <c r="D537" s="11" t="s">
        <v>1217</v>
      </c>
      <c r="E537" s="11" t="s">
        <v>780</v>
      </c>
      <c r="F537" s="11">
        <v>2021</v>
      </c>
      <c r="G537" s="20">
        <f t="shared" si="56"/>
        <v>0</v>
      </c>
      <c r="H537" s="24">
        <v>0</v>
      </c>
      <c r="I537" s="24">
        <f>IFERROR(INDEX('Coding Sheet'!$AC$2:$AC$731,MATCH($B537&amp;"_"&amp;$F537,'Coding Sheet'!$A$2:$A$731,0)),"")</f>
        <v>0</v>
      </c>
      <c r="J537" s="7">
        <f>IFERROR(INDEX('Coding Sheet'!$AT$2:$AT$731,MATCH($B537&amp;"_"&amp;$F537,'Coding Sheet'!$A$2:$A$731,0)),"")</f>
        <v>0</v>
      </c>
      <c r="K537" s="24">
        <v>91000000</v>
      </c>
      <c r="L537" s="24">
        <v>81</v>
      </c>
      <c r="M537" s="20">
        <f t="shared" si="57"/>
        <v>7371000</v>
      </c>
      <c r="N537" s="24">
        <v>4421501</v>
      </c>
      <c r="O537" s="24">
        <v>18586180</v>
      </c>
      <c r="P537" s="20">
        <v>4898754</v>
      </c>
      <c r="Q537" s="20">
        <f t="shared" si="58"/>
        <v>0.63447685323180991</v>
      </c>
      <c r="R537" s="20">
        <f t="shared" si="59"/>
        <v>16.737928851761446</v>
      </c>
      <c r="S537" s="20">
        <f t="shared" si="60"/>
        <v>0.23789186373961729</v>
      </c>
      <c r="T537" s="20">
        <f t="shared" si="61"/>
        <v>0.26356970609345221</v>
      </c>
      <c r="U537" s="20">
        <f>IFERROR(IF(ISNUMBER(INDEX('Firm Master'!$E$2:$E$1000,MATCH($C537,'Firm Master'!$B$2:$B$1000,0))),INDEX('Firm Master'!$E$2:$E$1000,MATCH($C537,'Firm Master'!$B$2:$B$1000,0)),""),"")</f>
        <v>2008</v>
      </c>
      <c r="V537" s="24">
        <f t="shared" si="62"/>
        <v>13</v>
      </c>
      <c r="W537" s="24">
        <v>0</v>
      </c>
      <c r="X537" s="20" t="str">
        <f>IFERROR(INDEX('Firm Master'!$G$2:$G$1000,MATCH($C537,'Firm Master'!$B$2:$B$1000,0)),"")</f>
        <v>Shelze Professional Services</v>
      </c>
    </row>
    <row r="538" spans="1:24" ht="27.75" customHeight="1" x14ac:dyDescent="0.3">
      <c r="A538" s="11">
        <v>537</v>
      </c>
      <c r="B538" s="11">
        <v>108</v>
      </c>
      <c r="C538" s="11" t="s">
        <v>1216</v>
      </c>
      <c r="D538" s="11" t="s">
        <v>1217</v>
      </c>
      <c r="E538" s="11" t="s">
        <v>780</v>
      </c>
      <c r="F538" s="11">
        <v>2022</v>
      </c>
      <c r="G538" s="20">
        <f t="shared" si="56"/>
        <v>0</v>
      </c>
      <c r="H538" s="24">
        <v>0</v>
      </c>
      <c r="I538" s="24">
        <f>IFERROR(INDEX('Coding Sheet'!$AC$2:$AC$731,MATCH($B538&amp;"_"&amp;$F538,'Coding Sheet'!$A$2:$A$731,0)),"")</f>
        <v>0</v>
      </c>
      <c r="J538" s="7">
        <f>IFERROR(INDEX('Coding Sheet'!$AT$2:$AT$731,MATCH($B538&amp;"_"&amp;$F538,'Coding Sheet'!$A$2:$A$731,0)),"")</f>
        <v>0</v>
      </c>
      <c r="K538" s="24">
        <v>91000000</v>
      </c>
      <c r="L538" s="24">
        <v>81</v>
      </c>
      <c r="M538" s="20">
        <f t="shared" si="57"/>
        <v>7371000</v>
      </c>
      <c r="N538" s="24">
        <v>1558227</v>
      </c>
      <c r="O538" s="24">
        <v>20907432</v>
      </c>
      <c r="P538" s="20">
        <v>1033885</v>
      </c>
      <c r="Q538" s="20">
        <f t="shared" si="58"/>
        <v>0.42708387141950288</v>
      </c>
      <c r="R538" s="20">
        <f t="shared" si="59"/>
        <v>16.855615251811148</v>
      </c>
      <c r="S538" s="20">
        <f t="shared" si="60"/>
        <v>7.4529813130565239E-2</v>
      </c>
      <c r="T538" s="20">
        <f t="shared" si="61"/>
        <v>4.9450597280431191E-2</v>
      </c>
      <c r="U538" s="20">
        <f>IFERROR(IF(ISNUMBER(INDEX('Firm Master'!$E$2:$E$1000,MATCH($C538,'Firm Master'!$B$2:$B$1000,0))),INDEX('Firm Master'!$E$2:$E$1000,MATCH($C538,'Firm Master'!$B$2:$B$1000,0)),""),"")</f>
        <v>2008</v>
      </c>
      <c r="V538" s="24">
        <f t="shared" si="62"/>
        <v>14</v>
      </c>
      <c r="W538" s="24">
        <v>0</v>
      </c>
      <c r="X538" s="20" t="str">
        <f>IFERROR(INDEX('Firm Master'!$G$2:$G$1000,MATCH($C538,'Firm Master'!$B$2:$B$1000,0)),"")</f>
        <v>Shelze Professional Services</v>
      </c>
    </row>
    <row r="539" spans="1:24" ht="27.75" customHeight="1" x14ac:dyDescent="0.3">
      <c r="A539" s="11">
        <v>538</v>
      </c>
      <c r="B539" s="11">
        <v>108</v>
      </c>
      <c r="C539" s="11" t="s">
        <v>1216</v>
      </c>
      <c r="D539" s="11" t="s">
        <v>1217</v>
      </c>
      <c r="E539" s="11" t="s">
        <v>780</v>
      </c>
      <c r="F539" s="11">
        <v>2023</v>
      </c>
      <c r="G539" s="20">
        <f t="shared" si="56"/>
        <v>1</v>
      </c>
      <c r="H539" s="24">
        <v>0</v>
      </c>
      <c r="I539" s="24">
        <f>IFERROR(INDEX('Coding Sheet'!$AC$2:$AC$731,MATCH($B539&amp;"_"&amp;$F539,'Coding Sheet'!$A$2:$A$731,0)),"")</f>
        <v>0</v>
      </c>
      <c r="J539" s="7">
        <f>IFERROR(INDEX('Coding Sheet'!$AT$2:$AT$731,MATCH($B539&amp;"_"&amp;$F539,'Coding Sheet'!$A$2:$A$731,0)),"")</f>
        <v>0</v>
      </c>
      <c r="K539" s="24">
        <v>91000000</v>
      </c>
      <c r="L539" s="24">
        <v>81</v>
      </c>
      <c r="M539" s="20">
        <f t="shared" si="57"/>
        <v>7371000</v>
      </c>
      <c r="N539" s="24">
        <v>1583266</v>
      </c>
      <c r="O539" s="24">
        <v>21668265</v>
      </c>
      <c r="P539" s="20">
        <v>735794</v>
      </c>
      <c r="Q539" s="20">
        <f t="shared" si="58"/>
        <v>0.41324333074198605</v>
      </c>
      <c r="R539" s="20">
        <f t="shared" si="59"/>
        <v>16.891359305701755</v>
      </c>
      <c r="S539" s="20">
        <f t="shared" si="60"/>
        <v>7.3068425183096114E-2</v>
      </c>
      <c r="T539" s="20">
        <f t="shared" si="61"/>
        <v>3.395721807906632E-2</v>
      </c>
      <c r="U539" s="20">
        <f>IFERROR(IF(ISNUMBER(INDEX('Firm Master'!$E$2:$E$1000,MATCH($C539,'Firm Master'!$B$2:$B$1000,0))),INDEX('Firm Master'!$E$2:$E$1000,MATCH($C539,'Firm Master'!$B$2:$B$1000,0)),""),"")</f>
        <v>2008</v>
      </c>
      <c r="V539" s="24">
        <f t="shared" si="62"/>
        <v>15</v>
      </c>
      <c r="W539" s="24">
        <v>0</v>
      </c>
      <c r="X539" s="20" t="str">
        <f>IFERROR(INDEX('Firm Master'!$G$2:$G$1000,MATCH($C539,'Firm Master'!$B$2:$B$1000,0)),"")</f>
        <v>Shelze Professional Services</v>
      </c>
    </row>
    <row r="540" spans="1:24" ht="27.75" customHeight="1" x14ac:dyDescent="0.3">
      <c r="A540" s="25">
        <v>539</v>
      </c>
      <c r="B540" s="25">
        <v>108</v>
      </c>
      <c r="C540" s="25" t="s">
        <v>1216</v>
      </c>
      <c r="D540" s="25" t="s">
        <v>1217</v>
      </c>
      <c r="E540" s="25" t="s">
        <v>780</v>
      </c>
      <c r="F540" s="25">
        <v>2024</v>
      </c>
      <c r="G540" s="26">
        <f t="shared" si="56"/>
        <v>1</v>
      </c>
      <c r="H540" s="27">
        <v>0</v>
      </c>
      <c r="I540" s="27">
        <f>IFERROR(INDEX('Coding Sheet'!$AC$2:$AC$731,MATCH($B540&amp;"_"&amp;$F540,'Coding Sheet'!$A$2:$A$731,0)),"")</f>
        <v>0</v>
      </c>
      <c r="J540" s="28">
        <f>IFERROR(INDEX('Coding Sheet'!$AT$2:$AT$731,MATCH($B540&amp;"_"&amp;$F540,'Coding Sheet'!$A$2:$A$731,0)),"")</f>
        <v>0</v>
      </c>
      <c r="K540" s="27">
        <v>101000000</v>
      </c>
      <c r="L540" s="27">
        <v>81</v>
      </c>
      <c r="M540" s="26">
        <f t="shared" si="57"/>
        <v>8181000</v>
      </c>
      <c r="N540" s="27">
        <v>5911112</v>
      </c>
      <c r="O540" s="27">
        <v>10722766</v>
      </c>
      <c r="P540" s="26">
        <v>-2338179</v>
      </c>
      <c r="Q540" s="26">
        <f t="shared" si="58"/>
        <v>1.3142235874586836</v>
      </c>
      <c r="R540" s="26">
        <f t="shared" si="59"/>
        <v>16.187879702712937</v>
      </c>
      <c r="S540" s="26">
        <f t="shared" si="60"/>
        <v>0.55126746214549494</v>
      </c>
      <c r="T540" s="26">
        <f t="shared" si="61"/>
        <v>-0.2180574489828464</v>
      </c>
      <c r="U540" s="26">
        <f>IFERROR(IF(ISNUMBER(INDEX('Firm Master'!$E$2:$E$1000,MATCH($C540,'Firm Master'!$B$2:$B$1000,0))),INDEX('Firm Master'!$E$2:$E$1000,MATCH($C540,'Firm Master'!$B$2:$B$1000,0)),""),"")</f>
        <v>2008</v>
      </c>
      <c r="V540" s="27">
        <f t="shared" si="62"/>
        <v>16</v>
      </c>
      <c r="W540" s="27">
        <v>0</v>
      </c>
      <c r="X540" s="26" t="str">
        <f>IFERROR(INDEX('Firm Master'!$G$2:$G$1000,MATCH($C540,'Firm Master'!$B$2:$B$1000,0)),"")</f>
        <v>Shelze Professional Services</v>
      </c>
    </row>
    <row r="541" spans="1:24" ht="27.75" customHeight="1" x14ac:dyDescent="0.3">
      <c r="A541" s="25">
        <v>540</v>
      </c>
      <c r="B541" s="25">
        <v>108</v>
      </c>
      <c r="C541" s="25" t="s">
        <v>1216</v>
      </c>
      <c r="D541" s="25" t="s">
        <v>1217</v>
      </c>
      <c r="E541" s="25" t="s">
        <v>780</v>
      </c>
      <c r="F541" s="25">
        <v>2025</v>
      </c>
      <c r="G541" s="26">
        <f t="shared" si="56"/>
        <v>1</v>
      </c>
      <c r="H541" s="27">
        <v>0</v>
      </c>
      <c r="I541" s="27">
        <f>IFERROR(INDEX('Coding Sheet'!$AC$2:$AC$731,MATCH($B541&amp;"_"&amp;$F541,'Coding Sheet'!$A$2:$A$731,0)),"")</f>
        <v>0</v>
      </c>
      <c r="J541" s="28">
        <f>IFERROR(INDEX('Coding Sheet'!$AT$2:$AT$731,MATCH($B541&amp;"_"&amp;$F541,'Coding Sheet'!$A$2:$A$731,0)),"")</f>
        <v>0</v>
      </c>
      <c r="K541" s="27">
        <v>101000000</v>
      </c>
      <c r="L541" s="27">
        <v>81</v>
      </c>
      <c r="M541" s="26">
        <f t="shared" si="57"/>
        <v>8181000</v>
      </c>
      <c r="N541" s="27">
        <v>7730586</v>
      </c>
      <c r="O541" s="27">
        <v>9775962</v>
      </c>
      <c r="P541" s="26">
        <v>-5984281</v>
      </c>
      <c r="Q541" s="26">
        <f t="shared" si="58"/>
        <v>1.6276235525465421</v>
      </c>
      <c r="R541" s="26">
        <f t="shared" si="59"/>
        <v>16.095437073315583</v>
      </c>
      <c r="S541" s="26">
        <f t="shared" si="60"/>
        <v>0.79077496414163639</v>
      </c>
      <c r="T541" s="26">
        <f t="shared" si="61"/>
        <v>-0.61214241626552968</v>
      </c>
      <c r="U541" s="26">
        <f>IFERROR(IF(ISNUMBER(INDEX('Firm Master'!$E$2:$E$1000,MATCH($C541,'Firm Master'!$B$2:$B$1000,0))),INDEX('Firm Master'!$E$2:$E$1000,MATCH($C541,'Firm Master'!$B$2:$B$1000,0)),""),"")</f>
        <v>2008</v>
      </c>
      <c r="V541" s="27">
        <f t="shared" si="62"/>
        <v>17</v>
      </c>
      <c r="W541" s="27">
        <v>0</v>
      </c>
      <c r="X541" s="26" t="str">
        <f>IFERROR(INDEX('Firm Master'!$G$2:$G$1000,MATCH($C541,'Firm Master'!$B$2:$B$1000,0)),"")</f>
        <v>Shelze Professional Services</v>
      </c>
    </row>
    <row r="542" spans="1:24" ht="15" customHeight="1" x14ac:dyDescent="0.3">
      <c r="A542" s="11">
        <v>541</v>
      </c>
      <c r="B542" s="11">
        <v>109</v>
      </c>
      <c r="C542" s="11" t="s">
        <v>1221</v>
      </c>
      <c r="D542" s="11" t="s">
        <v>1222</v>
      </c>
      <c r="E542" s="11" t="s">
        <v>709</v>
      </c>
      <c r="F542" s="11">
        <v>2021</v>
      </c>
      <c r="G542" s="20">
        <f t="shared" si="56"/>
        <v>0</v>
      </c>
      <c r="H542" s="21">
        <v>0</v>
      </c>
      <c r="I542" s="21">
        <f>IFERROR(INDEX('Coding Sheet'!$AC$2:$AC$731,MATCH($B542&amp;"_"&amp;$F542,'Coding Sheet'!$A$2:$A$731,0)),"")</f>
        <v>0</v>
      </c>
      <c r="J542" s="7">
        <f>IFERROR(INDEX('Coding Sheet'!$AT$2:$AT$731,MATCH($B542&amp;"_"&amp;$F542,'Coding Sheet'!$A$2:$A$731,0)),"")</f>
        <v>0</v>
      </c>
      <c r="K542" s="21">
        <v>5145000000</v>
      </c>
      <c r="L542" s="21">
        <v>0.88049999999999995</v>
      </c>
      <c r="M542" s="20">
        <f t="shared" si="57"/>
        <v>4530172.5</v>
      </c>
      <c r="N542" s="21">
        <v>12254000</v>
      </c>
      <c r="O542" s="21">
        <v>14263000</v>
      </c>
      <c r="P542" s="20">
        <v>-1697000</v>
      </c>
      <c r="Q542" s="20">
        <f t="shared" si="58"/>
        <v>1.1767631283741149</v>
      </c>
      <c r="R542" s="20">
        <f t="shared" si="59"/>
        <v>16.473179329505559</v>
      </c>
      <c r="S542" s="20">
        <f t="shared" si="60"/>
        <v>0.85914604220710933</v>
      </c>
      <c r="T542" s="20">
        <f t="shared" si="61"/>
        <v>-0.1189791768912571</v>
      </c>
      <c r="U542" s="20">
        <f>IFERROR(IF(ISNUMBER(INDEX('Firm Master'!$E$2:$E$1000,MATCH($C542,'Firm Master'!$B$2:$B$1000,0))),INDEX('Firm Master'!$E$2:$E$1000,MATCH($C542,'Firm Master'!$B$2:$B$1000,0)),""),"")</f>
        <v>1969</v>
      </c>
      <c r="V542" s="21">
        <f t="shared" si="62"/>
        <v>52</v>
      </c>
      <c r="W542" s="21">
        <v>1</v>
      </c>
      <c r="X542" s="20" t="str">
        <f>IFERROR(INDEX('Firm Master'!$G$2:$G$1000,MATCH($C542,'Firm Master'!$B$2:$B$1000,0)),"")</f>
        <v>Deloitte &amp; Touche (FY2021-2022); Grant Thornton Nigeria (FY2023-2025)</v>
      </c>
    </row>
    <row r="543" spans="1:24" ht="15" customHeight="1" x14ac:dyDescent="0.3">
      <c r="A543" s="11">
        <v>542</v>
      </c>
      <c r="B543" s="11">
        <v>109</v>
      </c>
      <c r="C543" s="11" t="s">
        <v>1221</v>
      </c>
      <c r="D543" s="11" t="s">
        <v>1222</v>
      </c>
      <c r="E543" s="11" t="s">
        <v>709</v>
      </c>
      <c r="F543" s="11">
        <v>2022</v>
      </c>
      <c r="G543" s="20">
        <f t="shared" si="56"/>
        <v>0</v>
      </c>
      <c r="H543" s="21">
        <v>0</v>
      </c>
      <c r="I543" s="21">
        <f>IFERROR(INDEX('Coding Sheet'!$AC$2:$AC$731,MATCH($B543&amp;"_"&amp;$F543,'Coding Sheet'!$A$2:$A$731,0)),"")</f>
        <v>0</v>
      </c>
      <c r="J543" s="7">
        <f>IFERROR(INDEX('Coding Sheet'!$AT$2:$AT$731,MATCH($B543&amp;"_"&amp;$F543,'Coding Sheet'!$A$2:$A$731,0)),"")</f>
        <v>0</v>
      </c>
      <c r="K543" s="21">
        <v>5145000000</v>
      </c>
      <c r="L543" s="21">
        <v>1.0591999999999999</v>
      </c>
      <c r="M543" s="20">
        <f t="shared" si="57"/>
        <v>5449584</v>
      </c>
      <c r="N543" s="21">
        <v>5523000</v>
      </c>
      <c r="O543" s="21">
        <v>7628000</v>
      </c>
      <c r="P543" s="20">
        <v>-289210</v>
      </c>
      <c r="Q543" s="20">
        <f t="shared" si="58"/>
        <v>1.4384614577871002</v>
      </c>
      <c r="R543" s="20">
        <f t="shared" si="59"/>
        <v>15.847336245702447</v>
      </c>
      <c r="S543" s="20">
        <f t="shared" si="60"/>
        <v>0.72404299947561612</v>
      </c>
      <c r="T543" s="20">
        <f t="shared" si="61"/>
        <v>-3.7914263240692185E-2</v>
      </c>
      <c r="U543" s="20">
        <f>IFERROR(IF(ISNUMBER(INDEX('Firm Master'!$E$2:$E$1000,MATCH($C543,'Firm Master'!$B$2:$B$1000,0))),INDEX('Firm Master'!$E$2:$E$1000,MATCH($C543,'Firm Master'!$B$2:$B$1000,0)),""),"")</f>
        <v>1969</v>
      </c>
      <c r="V543" s="21">
        <f t="shared" si="62"/>
        <v>53</v>
      </c>
      <c r="W543" s="21">
        <v>1</v>
      </c>
      <c r="X543" s="20" t="str">
        <f>IFERROR(INDEX('Firm Master'!$G$2:$G$1000,MATCH($C543,'Firm Master'!$B$2:$B$1000,0)),"")</f>
        <v>Deloitte &amp; Touche (FY2021-2022); Grant Thornton Nigeria (FY2023-2025)</v>
      </c>
    </row>
    <row r="544" spans="1:24" ht="15" customHeight="1" x14ac:dyDescent="0.3">
      <c r="A544" s="11">
        <v>543</v>
      </c>
      <c r="B544" s="11">
        <v>109</v>
      </c>
      <c r="C544" s="11" t="s">
        <v>1221</v>
      </c>
      <c r="D544" s="11" t="s">
        <v>1222</v>
      </c>
      <c r="E544" s="11" t="s">
        <v>709</v>
      </c>
      <c r="F544" s="11">
        <v>2023</v>
      </c>
      <c r="G544" s="20">
        <f t="shared" si="56"/>
        <v>1</v>
      </c>
      <c r="H544" s="21">
        <v>0</v>
      </c>
      <c r="I544" s="21">
        <f>IFERROR(INDEX('Coding Sheet'!$AC$2:$AC$731,MATCH($B544&amp;"_"&amp;$F544,'Coding Sheet'!$A$2:$A$731,0)),"")</f>
        <v>25</v>
      </c>
      <c r="J544" s="7">
        <f>IFERROR(INDEX('Coding Sheet'!$AT$2:$AT$731,MATCH($B544&amp;"_"&amp;$F544,'Coding Sheet'!$A$2:$A$731,0)),"")</f>
        <v>20</v>
      </c>
      <c r="K544" s="21">
        <v>5145000000</v>
      </c>
      <c r="L544" s="21">
        <v>0.62980000000000003</v>
      </c>
      <c r="M544" s="20">
        <f t="shared" si="57"/>
        <v>3240321</v>
      </c>
      <c r="N544" s="21">
        <v>4279000</v>
      </c>
      <c r="O544" s="21">
        <v>8070000</v>
      </c>
      <c r="P544" s="20">
        <v>-206220</v>
      </c>
      <c r="Q544" s="20">
        <f t="shared" si="58"/>
        <v>0.93176220570012391</v>
      </c>
      <c r="R544" s="20">
        <f t="shared" si="59"/>
        <v>15.903664040246131</v>
      </c>
      <c r="S544" s="20">
        <f t="shared" si="60"/>
        <v>0.53023543990086741</v>
      </c>
      <c r="T544" s="20">
        <f t="shared" si="61"/>
        <v>-2.5553903345724906E-2</v>
      </c>
      <c r="U544" s="20">
        <f>IFERROR(IF(ISNUMBER(INDEX('Firm Master'!$E$2:$E$1000,MATCH($C544,'Firm Master'!$B$2:$B$1000,0))),INDEX('Firm Master'!$E$2:$E$1000,MATCH($C544,'Firm Master'!$B$2:$B$1000,0)),""),"")</f>
        <v>1969</v>
      </c>
      <c r="V544" s="21">
        <f t="shared" si="62"/>
        <v>54</v>
      </c>
      <c r="W544" s="21">
        <v>0</v>
      </c>
      <c r="X544" s="20" t="str">
        <f>IFERROR(INDEX('Firm Master'!$G$2:$G$1000,MATCH($C544,'Firm Master'!$B$2:$B$1000,0)),"")</f>
        <v>Deloitte &amp; Touche (FY2021-2022); Grant Thornton Nigeria (FY2023-2025)</v>
      </c>
    </row>
    <row r="545" spans="1:24" ht="15" customHeight="1" x14ac:dyDescent="0.3">
      <c r="A545" s="11">
        <v>544</v>
      </c>
      <c r="B545" s="11">
        <v>109</v>
      </c>
      <c r="C545" s="11" t="s">
        <v>1221</v>
      </c>
      <c r="D545" s="11" t="s">
        <v>1222</v>
      </c>
      <c r="E545" s="11" t="s">
        <v>709</v>
      </c>
      <c r="F545" s="11">
        <v>2024</v>
      </c>
      <c r="G545" s="20">
        <f t="shared" si="56"/>
        <v>1</v>
      </c>
      <c r="H545" s="21">
        <v>0</v>
      </c>
      <c r="I545" s="21">
        <f>IFERROR(INDEX('Coding Sheet'!$AC$2:$AC$731,MATCH($B545&amp;"_"&amp;$F545,'Coding Sheet'!$A$2:$A$731,0)),"")</f>
        <v>25</v>
      </c>
      <c r="J545" s="7">
        <f>IFERROR(INDEX('Coding Sheet'!$AT$2:$AT$731,MATCH($B545&amp;"_"&amp;$F545,'Coding Sheet'!$A$2:$A$731,0)),"")</f>
        <v>20</v>
      </c>
      <c r="K545" s="21">
        <v>7738000000</v>
      </c>
      <c r="L545" s="21">
        <v>1.0688</v>
      </c>
      <c r="M545" s="20">
        <f t="shared" si="57"/>
        <v>8270374.4000000004</v>
      </c>
      <c r="N545" s="21">
        <v>2949000</v>
      </c>
      <c r="O545" s="21">
        <v>9205000</v>
      </c>
      <c r="P545" s="20">
        <v>1006000</v>
      </c>
      <c r="Q545" s="20">
        <f t="shared" si="58"/>
        <v>1.2188348071700164</v>
      </c>
      <c r="R545" s="20">
        <f t="shared" si="59"/>
        <v>16.035257372649315</v>
      </c>
      <c r="S545" s="20">
        <f t="shared" si="60"/>
        <v>0.32036936447582837</v>
      </c>
      <c r="T545" s="20">
        <f t="shared" si="61"/>
        <v>0.10928843020097773</v>
      </c>
      <c r="U545" s="20">
        <f>IFERROR(IF(ISNUMBER(INDEX('Firm Master'!$E$2:$E$1000,MATCH($C545,'Firm Master'!$B$2:$B$1000,0))),INDEX('Firm Master'!$E$2:$E$1000,MATCH($C545,'Firm Master'!$B$2:$B$1000,0)),""),"")</f>
        <v>1969</v>
      </c>
      <c r="V545" s="21">
        <f t="shared" si="62"/>
        <v>55</v>
      </c>
      <c r="W545" s="21">
        <v>0</v>
      </c>
      <c r="X545" s="20" t="str">
        <f>IFERROR(INDEX('Firm Master'!$G$2:$G$1000,MATCH($C545,'Firm Master'!$B$2:$B$1000,0)),"")</f>
        <v>Deloitte &amp; Touche (FY2021-2022); Grant Thornton Nigeria (FY2023-2025)</v>
      </c>
    </row>
    <row r="546" spans="1:24" ht="15" customHeight="1" x14ac:dyDescent="0.3">
      <c r="A546" s="11">
        <v>545</v>
      </c>
      <c r="B546" s="11">
        <v>109</v>
      </c>
      <c r="C546" s="11" t="s">
        <v>1221</v>
      </c>
      <c r="D546" s="11" t="s">
        <v>1222</v>
      </c>
      <c r="E546" s="11" t="s">
        <v>709</v>
      </c>
      <c r="F546" s="11">
        <v>2025</v>
      </c>
      <c r="G546" s="20">
        <f t="shared" si="56"/>
        <v>1</v>
      </c>
      <c r="H546" s="21">
        <v>0</v>
      </c>
      <c r="I546" s="21">
        <f>IFERROR(INDEX('Coding Sheet'!$AC$2:$AC$731,MATCH($B546&amp;"_"&amp;$F546,'Coding Sheet'!$A$2:$A$731,0)),"")</f>
        <v>25</v>
      </c>
      <c r="J546" s="7">
        <f>IFERROR(INDEX('Coding Sheet'!$AT$2:$AT$731,MATCH($B546&amp;"_"&amp;$F546,'Coding Sheet'!$A$2:$A$731,0)),"")</f>
        <v>20</v>
      </c>
      <c r="K546" s="21">
        <v>8267000000</v>
      </c>
      <c r="L546" s="21">
        <v>1.8605</v>
      </c>
      <c r="M546" s="20">
        <f t="shared" si="57"/>
        <v>15380753.5</v>
      </c>
      <c r="N546" s="21">
        <v>4896000</v>
      </c>
      <c r="O546" s="21">
        <v>12004000</v>
      </c>
      <c r="P546" s="20">
        <v>851430</v>
      </c>
      <c r="Q546" s="20">
        <f t="shared" si="58"/>
        <v>1.6891664028657114</v>
      </c>
      <c r="R546" s="20">
        <f t="shared" si="59"/>
        <v>16.300750485542395</v>
      </c>
      <c r="S546" s="20">
        <f t="shared" si="60"/>
        <v>0.40786404531822723</v>
      </c>
      <c r="T546" s="20">
        <f t="shared" si="61"/>
        <v>7.0928857047650784E-2</v>
      </c>
      <c r="U546" s="20">
        <f>IFERROR(IF(ISNUMBER(INDEX('Firm Master'!$E$2:$E$1000,MATCH($C546,'Firm Master'!$B$2:$B$1000,0))),INDEX('Firm Master'!$E$2:$E$1000,MATCH($C546,'Firm Master'!$B$2:$B$1000,0)),""),"")</f>
        <v>1969</v>
      </c>
      <c r="V546" s="21">
        <f t="shared" si="62"/>
        <v>56</v>
      </c>
      <c r="W546" s="21">
        <v>0</v>
      </c>
      <c r="X546" s="20" t="str">
        <f>IFERROR(INDEX('Firm Master'!$G$2:$G$1000,MATCH($C546,'Firm Master'!$B$2:$B$1000,0)),"")</f>
        <v>Deloitte &amp; Touche (FY2021-2022); Grant Thornton Nigeria (FY2023-2025)</v>
      </c>
    </row>
    <row r="547" spans="1:24" ht="15" customHeight="1" x14ac:dyDescent="0.3">
      <c r="A547" s="11">
        <v>546</v>
      </c>
      <c r="B547" s="11">
        <v>110</v>
      </c>
      <c r="C547" s="11" t="s">
        <v>1225</v>
      </c>
      <c r="D547" s="11" t="s">
        <v>1226</v>
      </c>
      <c r="E547" s="11" t="s">
        <v>715</v>
      </c>
      <c r="F547" s="11">
        <v>2021</v>
      </c>
      <c r="G547" s="20">
        <f t="shared" si="56"/>
        <v>0</v>
      </c>
      <c r="H547" s="21">
        <v>0</v>
      </c>
      <c r="I547" s="21">
        <f>IFERROR(INDEX('Coding Sheet'!$AC$2:$AC$731,MATCH($B547&amp;"_"&amp;$F547,'Coding Sheet'!$A$2:$A$731,0)),"")</f>
        <v>0</v>
      </c>
      <c r="J547" s="7">
        <f>IFERROR(INDEX('Coding Sheet'!$AT$2:$AT$731,MATCH($B547&amp;"_"&amp;$F547,'Coding Sheet'!$A$2:$A$731,0)),"")</f>
        <v>0</v>
      </c>
      <c r="K547" s="21">
        <v>1176000000</v>
      </c>
      <c r="L547" s="21">
        <v>0.2</v>
      </c>
      <c r="M547" s="20">
        <f t="shared" si="57"/>
        <v>235200</v>
      </c>
      <c r="N547" s="21">
        <v>17302000</v>
      </c>
      <c r="O547" s="21">
        <v>9195000</v>
      </c>
      <c r="P547" s="20">
        <v>-766430</v>
      </c>
      <c r="Q547" s="20">
        <f t="shared" si="58"/>
        <v>1.9072539423599781</v>
      </c>
      <c r="R547" s="20">
        <f t="shared" si="59"/>
        <v>16.034170416020558</v>
      </c>
      <c r="S547" s="20">
        <f t="shared" si="60"/>
        <v>1.8816748232735183</v>
      </c>
      <c r="T547" s="20">
        <f t="shared" si="61"/>
        <v>-8.3352909189777058E-2</v>
      </c>
      <c r="U547" s="20">
        <f>IFERROR(IF(ISNUMBER(INDEX('Firm Master'!$E$2:$E$1000,MATCH($C547,'Firm Master'!$B$2:$B$1000,0))),INDEX('Firm Master'!$E$2:$E$1000,MATCH($C547,'Firm Master'!$B$2:$B$1000,0)),""),"")</f>
        <v>1957</v>
      </c>
      <c r="V547" s="21">
        <f t="shared" si="62"/>
        <v>64</v>
      </c>
      <c r="W547" s="21">
        <v>0</v>
      </c>
      <c r="X547" s="20" t="str">
        <f>IFERROR(INDEX('Firm Master'!$G$2:$G$1000,MATCH($C547,'Firm Master'!$B$2:$B$1000,0)),"")</f>
        <v>Auditor unresolved pre-2023 (LOW confidence); Crowe Dafinone (FY2023-2025)</v>
      </c>
    </row>
    <row r="548" spans="1:24" ht="15" customHeight="1" x14ac:dyDescent="0.3">
      <c r="A548" s="11">
        <v>547</v>
      </c>
      <c r="B548" s="11">
        <v>110</v>
      </c>
      <c r="C548" s="11" t="s">
        <v>1225</v>
      </c>
      <c r="D548" s="11" t="s">
        <v>1226</v>
      </c>
      <c r="E548" s="11" t="s">
        <v>715</v>
      </c>
      <c r="F548" s="11">
        <v>2022</v>
      </c>
      <c r="G548" s="20">
        <f t="shared" si="56"/>
        <v>0</v>
      </c>
      <c r="H548" s="21">
        <v>0</v>
      </c>
      <c r="I548" s="21">
        <f>IFERROR(INDEX('Coding Sheet'!$AC$2:$AC$731,MATCH($B548&amp;"_"&amp;$F548,'Coding Sheet'!$A$2:$A$731,0)),"")</f>
        <v>0</v>
      </c>
      <c r="J548" s="7">
        <f>IFERROR(INDEX('Coding Sheet'!$AT$2:$AT$731,MATCH($B548&amp;"_"&amp;$F548,'Coding Sheet'!$A$2:$A$731,0)),"")</f>
        <v>0</v>
      </c>
      <c r="K548" s="21">
        <v>1176000000</v>
      </c>
      <c r="L548" s="21">
        <v>0.2601</v>
      </c>
      <c r="M548" s="20">
        <f t="shared" si="57"/>
        <v>305877.59999999998</v>
      </c>
      <c r="N548" s="21">
        <v>17240000</v>
      </c>
      <c r="O548" s="21">
        <v>9244000</v>
      </c>
      <c r="P548" s="20">
        <v>123350</v>
      </c>
      <c r="Q548" s="20">
        <f t="shared" si="58"/>
        <v>1.8980828212894851</v>
      </c>
      <c r="R548" s="20">
        <f t="shared" si="59"/>
        <v>16.039485250376408</v>
      </c>
      <c r="S548" s="20">
        <f t="shared" si="60"/>
        <v>1.8649935093033319</v>
      </c>
      <c r="T548" s="20">
        <f t="shared" si="61"/>
        <v>1.3343790566854176E-2</v>
      </c>
      <c r="U548" s="20">
        <f>IFERROR(IF(ISNUMBER(INDEX('Firm Master'!$E$2:$E$1000,MATCH($C548,'Firm Master'!$B$2:$B$1000,0))),INDEX('Firm Master'!$E$2:$E$1000,MATCH($C548,'Firm Master'!$B$2:$B$1000,0)),""),"")</f>
        <v>1957</v>
      </c>
      <c r="V548" s="21">
        <f t="shared" si="62"/>
        <v>65</v>
      </c>
      <c r="W548" s="21">
        <v>0</v>
      </c>
      <c r="X548" s="20" t="str">
        <f>IFERROR(INDEX('Firm Master'!$G$2:$G$1000,MATCH($C548,'Firm Master'!$B$2:$B$1000,0)),"")</f>
        <v>Auditor unresolved pre-2023 (LOW confidence); Crowe Dafinone (FY2023-2025)</v>
      </c>
    </row>
    <row r="549" spans="1:24" ht="15" customHeight="1" x14ac:dyDescent="0.3">
      <c r="A549" s="11">
        <v>548</v>
      </c>
      <c r="B549" s="11">
        <v>110</v>
      </c>
      <c r="C549" s="11" t="s">
        <v>1225</v>
      </c>
      <c r="D549" s="11" t="s">
        <v>1226</v>
      </c>
      <c r="E549" s="11" t="s">
        <v>715</v>
      </c>
      <c r="F549" s="11">
        <v>2023</v>
      </c>
      <c r="G549" s="20">
        <f t="shared" si="56"/>
        <v>1</v>
      </c>
      <c r="H549" s="21">
        <v>0</v>
      </c>
      <c r="I549" s="21">
        <f>IFERROR(INDEX('Coding Sheet'!$AC$2:$AC$731,MATCH($B549&amp;"_"&amp;$F549,'Coding Sheet'!$A$2:$A$731,0)),"")</f>
        <v>0</v>
      </c>
      <c r="J549" s="7">
        <f>IFERROR(INDEX('Coding Sheet'!$AT$2:$AT$731,MATCH($B549&amp;"_"&amp;$F549,'Coding Sheet'!$A$2:$A$731,0)),"")</f>
        <v>0</v>
      </c>
      <c r="K549" s="21">
        <v>1176000000</v>
      </c>
      <c r="L549" s="21">
        <v>0.61019999999999996</v>
      </c>
      <c r="M549" s="20">
        <f t="shared" si="57"/>
        <v>717595.2</v>
      </c>
      <c r="N549" s="21">
        <v>19855000</v>
      </c>
      <c r="O549" s="21">
        <v>10607000</v>
      </c>
      <c r="P549" s="20">
        <v>-1243000</v>
      </c>
      <c r="Q549" s="20">
        <f t="shared" si="58"/>
        <v>1.9395300461959082</v>
      </c>
      <c r="R549" s="20">
        <f t="shared" si="59"/>
        <v>16.177024718487608</v>
      </c>
      <c r="S549" s="20">
        <f t="shared" si="60"/>
        <v>1.8718770623173375</v>
      </c>
      <c r="T549" s="20">
        <f t="shared" si="61"/>
        <v>-0.11718676345809372</v>
      </c>
      <c r="U549" s="20">
        <f>IFERROR(IF(ISNUMBER(INDEX('Firm Master'!$E$2:$E$1000,MATCH($C549,'Firm Master'!$B$2:$B$1000,0))),INDEX('Firm Master'!$E$2:$E$1000,MATCH($C549,'Firm Master'!$B$2:$B$1000,0)),""),"")</f>
        <v>1957</v>
      </c>
      <c r="V549" s="21">
        <f t="shared" si="62"/>
        <v>66</v>
      </c>
      <c r="W549" s="21">
        <v>0</v>
      </c>
      <c r="X549" s="20" t="str">
        <f>IFERROR(INDEX('Firm Master'!$G$2:$G$1000,MATCH($C549,'Firm Master'!$B$2:$B$1000,0)),"")</f>
        <v>Auditor unresolved pre-2023 (LOW confidence); Crowe Dafinone (FY2023-2025)</v>
      </c>
    </row>
    <row r="550" spans="1:24" ht="15" customHeight="1" x14ac:dyDescent="0.3">
      <c r="A550" s="11">
        <v>549</v>
      </c>
      <c r="B550" s="11">
        <v>110</v>
      </c>
      <c r="C550" s="11" t="s">
        <v>1225</v>
      </c>
      <c r="D550" s="11" t="s">
        <v>1226</v>
      </c>
      <c r="E550" s="11" t="s">
        <v>715</v>
      </c>
      <c r="F550" s="11">
        <v>2024</v>
      </c>
      <c r="G550" s="20">
        <f t="shared" si="56"/>
        <v>1</v>
      </c>
      <c r="H550" s="21">
        <v>0</v>
      </c>
      <c r="I550" s="21">
        <f>IFERROR(INDEX('Coding Sheet'!$AC$2:$AC$731,MATCH($B550&amp;"_"&amp;$F550,'Coding Sheet'!$A$2:$A$731,0)),"")</f>
        <v>5</v>
      </c>
      <c r="J550" s="7">
        <f>IFERROR(INDEX('Coding Sheet'!$AT$2:$AT$731,MATCH($B550&amp;"_"&amp;$F550,'Coding Sheet'!$A$2:$A$731,0)),"")</f>
        <v>0</v>
      </c>
      <c r="K550" s="21">
        <v>1176000000</v>
      </c>
      <c r="L550" s="21">
        <v>2.5</v>
      </c>
      <c r="M550" s="20">
        <f t="shared" si="57"/>
        <v>2940000</v>
      </c>
      <c r="N550" s="21">
        <v>21140000</v>
      </c>
      <c r="O550" s="21">
        <v>12661000</v>
      </c>
      <c r="P550" s="20">
        <v>809250</v>
      </c>
      <c r="Q550" s="20">
        <f t="shared" si="58"/>
        <v>1.901903483137193</v>
      </c>
      <c r="R550" s="20">
        <f t="shared" si="59"/>
        <v>16.354036960502391</v>
      </c>
      <c r="S550" s="20">
        <f t="shared" si="60"/>
        <v>1.6696943369402102</v>
      </c>
      <c r="T550" s="20">
        <f t="shared" si="61"/>
        <v>6.3916752231261351E-2</v>
      </c>
      <c r="U550" s="20">
        <f>IFERROR(IF(ISNUMBER(INDEX('Firm Master'!$E$2:$E$1000,MATCH($C550,'Firm Master'!$B$2:$B$1000,0))),INDEX('Firm Master'!$E$2:$E$1000,MATCH($C550,'Firm Master'!$B$2:$B$1000,0)),""),"")</f>
        <v>1957</v>
      </c>
      <c r="V550" s="21">
        <f t="shared" si="62"/>
        <v>67</v>
      </c>
      <c r="W550" s="21">
        <v>0</v>
      </c>
      <c r="X550" s="20" t="str">
        <f>IFERROR(INDEX('Firm Master'!$G$2:$G$1000,MATCH($C550,'Firm Master'!$B$2:$B$1000,0)),"")</f>
        <v>Auditor unresolved pre-2023 (LOW confidence); Crowe Dafinone (FY2023-2025)</v>
      </c>
    </row>
    <row r="551" spans="1:24" ht="15" customHeight="1" x14ac:dyDescent="0.3">
      <c r="A551" s="11">
        <v>550</v>
      </c>
      <c r="B551" s="11">
        <v>110</v>
      </c>
      <c r="C551" s="11" t="s">
        <v>1225</v>
      </c>
      <c r="D551" s="11" t="s">
        <v>1226</v>
      </c>
      <c r="E551" s="11" t="s">
        <v>715</v>
      </c>
      <c r="F551" s="11">
        <v>2025</v>
      </c>
      <c r="G551" s="20">
        <f t="shared" si="56"/>
        <v>1</v>
      </c>
      <c r="H551" s="21">
        <v>0</v>
      </c>
      <c r="I551" s="21">
        <f>IFERROR(INDEX('Coding Sheet'!$AC$2:$AC$731,MATCH($B551&amp;"_"&amp;$F551,'Coding Sheet'!$A$2:$A$731,0)),"")</f>
        <v>5</v>
      </c>
      <c r="J551" s="7">
        <f>IFERROR(INDEX('Coding Sheet'!$AT$2:$AT$731,MATCH($B551&amp;"_"&amp;$F551,'Coding Sheet'!$A$2:$A$731,0)),"")</f>
        <v>0</v>
      </c>
      <c r="K551" s="21">
        <v>1176000000</v>
      </c>
      <c r="L551" s="21">
        <v>3.5030000000000001</v>
      </c>
      <c r="M551" s="20">
        <f t="shared" si="57"/>
        <v>4119528</v>
      </c>
      <c r="N551" s="21">
        <v>24949000</v>
      </c>
      <c r="O551" s="21">
        <v>19288000</v>
      </c>
      <c r="P551" s="20">
        <v>2802000</v>
      </c>
      <c r="Q551" s="20">
        <f t="shared" si="58"/>
        <v>1.5070783907092493</v>
      </c>
      <c r="R551" s="20">
        <f t="shared" si="59"/>
        <v>16.774993698843144</v>
      </c>
      <c r="S551" s="20">
        <f t="shared" si="60"/>
        <v>1.2934985483201991</v>
      </c>
      <c r="T551" s="20">
        <f t="shared" si="61"/>
        <v>0.14527167150559933</v>
      </c>
      <c r="U551" s="20">
        <f>IFERROR(IF(ISNUMBER(INDEX('Firm Master'!$E$2:$E$1000,MATCH($C551,'Firm Master'!$B$2:$B$1000,0))),INDEX('Firm Master'!$E$2:$E$1000,MATCH($C551,'Firm Master'!$B$2:$B$1000,0)),""),"")</f>
        <v>1957</v>
      </c>
      <c r="V551" s="21">
        <f t="shared" si="62"/>
        <v>68</v>
      </c>
      <c r="W551" s="21">
        <v>0</v>
      </c>
      <c r="X551" s="20" t="str">
        <f>IFERROR(INDEX('Firm Master'!$G$2:$G$1000,MATCH($C551,'Firm Master'!$B$2:$B$1000,0)),"")</f>
        <v>Auditor unresolved pre-2023 (LOW confidence); Crowe Dafinone (FY2023-2025)</v>
      </c>
    </row>
    <row r="552" spans="1:24" ht="15" customHeight="1" x14ac:dyDescent="0.3">
      <c r="A552" s="11">
        <v>551</v>
      </c>
      <c r="B552" s="11">
        <v>111</v>
      </c>
      <c r="C552" s="11" t="s">
        <v>1230</v>
      </c>
      <c r="D552" s="11" t="s">
        <v>1231</v>
      </c>
      <c r="E552" s="11" t="s">
        <v>870</v>
      </c>
      <c r="F552" s="11">
        <v>2021</v>
      </c>
      <c r="G552" s="20">
        <f t="shared" si="56"/>
        <v>0</v>
      </c>
      <c r="H552" s="21">
        <v>0</v>
      </c>
      <c r="I552" s="21">
        <f>IFERROR(INDEX('Coding Sheet'!$AC$2:$AC$731,MATCH($B552&amp;"_"&amp;$F552,'Coding Sheet'!$A$2:$A$731,0)),"")</f>
        <v>0</v>
      </c>
      <c r="J552" s="7">
        <f>IFERROR(INDEX('Coding Sheet'!$AT$2:$AT$731,MATCH($B552&amp;"_"&amp;$F552,'Coding Sheet'!$A$2:$A$731,0)),"")</f>
        <v>0</v>
      </c>
      <c r="K552" s="21">
        <v>649830000</v>
      </c>
      <c r="L552" s="21">
        <v>1.04</v>
      </c>
      <c r="M552" s="20">
        <f t="shared" si="57"/>
        <v>675823.2</v>
      </c>
      <c r="N552" s="21">
        <v>20583000</v>
      </c>
      <c r="O552" s="21">
        <v>23448000</v>
      </c>
      <c r="P552" s="20">
        <v>66420</v>
      </c>
      <c r="Q552" s="20">
        <f t="shared" si="58"/>
        <v>0.9066369498464687</v>
      </c>
      <c r="R552" s="20">
        <f t="shared" si="59"/>
        <v>16.970295761372867</v>
      </c>
      <c r="S552" s="20">
        <f t="shared" si="60"/>
        <v>0.87781473899692941</v>
      </c>
      <c r="T552" s="20">
        <f t="shared" si="61"/>
        <v>2.8326509723643808E-3</v>
      </c>
      <c r="U552" s="20">
        <f>IFERROR(IF(ISNUMBER(INDEX('Firm Master'!$E$2:$E$1000,MATCH($C552,'Firm Master'!$B$2:$B$1000,0))),INDEX('Firm Master'!$E$2:$E$1000,MATCH($C552,'Firm Master'!$B$2:$B$1000,0)),""),"")</f>
        <v>1969</v>
      </c>
      <c r="V552" s="21">
        <f t="shared" si="62"/>
        <v>52</v>
      </c>
      <c r="W552" s="21">
        <v>0</v>
      </c>
      <c r="X552" s="20" t="str">
        <f>IFERROR(INDEX('Firm Master'!$G$2:$G$1000,MATCH($C552,'Firm Master'!$B$2:$B$1000,0)),"")</f>
        <v>BBC Professionals Chartered Accountants</v>
      </c>
    </row>
    <row r="553" spans="1:24" ht="15" customHeight="1" x14ac:dyDescent="0.3">
      <c r="A553" s="11">
        <v>552</v>
      </c>
      <c r="B553" s="11">
        <v>111</v>
      </c>
      <c r="C553" s="11" t="s">
        <v>1230</v>
      </c>
      <c r="D553" s="11" t="s">
        <v>1231</v>
      </c>
      <c r="E553" s="11" t="s">
        <v>870</v>
      </c>
      <c r="F553" s="11">
        <v>2022</v>
      </c>
      <c r="G553" s="20">
        <f t="shared" si="56"/>
        <v>0</v>
      </c>
      <c r="H553" s="21">
        <v>0</v>
      </c>
      <c r="I553" s="21">
        <f>IFERROR(INDEX('Coding Sheet'!$AC$2:$AC$731,MATCH($B553&amp;"_"&amp;$F553,'Coding Sheet'!$A$2:$A$731,0)),"")</f>
        <v>0</v>
      </c>
      <c r="J553" s="7">
        <f>IFERROR(INDEX('Coding Sheet'!$AT$2:$AT$731,MATCH($B553&amp;"_"&amp;$F553,'Coding Sheet'!$A$2:$A$731,0)),"")</f>
        <v>0</v>
      </c>
      <c r="K553" s="21">
        <v>649830000</v>
      </c>
      <c r="L553" s="21">
        <v>0.92</v>
      </c>
      <c r="M553" s="20">
        <f t="shared" si="57"/>
        <v>597843.6</v>
      </c>
      <c r="N553" s="21">
        <v>14917000</v>
      </c>
      <c r="O553" s="21">
        <v>17924000</v>
      </c>
      <c r="P553" s="20">
        <v>-587180</v>
      </c>
      <c r="Q553" s="20">
        <f t="shared" si="58"/>
        <v>0.86559047087703633</v>
      </c>
      <c r="R553" s="20">
        <f t="shared" si="59"/>
        <v>16.701651154888172</v>
      </c>
      <c r="S553" s="20">
        <f t="shared" si="60"/>
        <v>0.83223610801160453</v>
      </c>
      <c r="T553" s="20">
        <f t="shared" si="61"/>
        <v>-3.2759428698951126E-2</v>
      </c>
      <c r="U553" s="20">
        <f>IFERROR(IF(ISNUMBER(INDEX('Firm Master'!$E$2:$E$1000,MATCH($C553,'Firm Master'!$B$2:$B$1000,0))),INDEX('Firm Master'!$E$2:$E$1000,MATCH($C553,'Firm Master'!$B$2:$B$1000,0)),""),"")</f>
        <v>1969</v>
      </c>
      <c r="V553" s="21">
        <f t="shared" si="62"/>
        <v>53</v>
      </c>
      <c r="W553" s="21">
        <v>0</v>
      </c>
      <c r="X553" s="20" t="str">
        <f>IFERROR(INDEX('Firm Master'!$G$2:$G$1000,MATCH($C553,'Firm Master'!$B$2:$B$1000,0)),"")</f>
        <v>BBC Professionals Chartered Accountants</v>
      </c>
    </row>
    <row r="554" spans="1:24" ht="15" customHeight="1" x14ac:dyDescent="0.3">
      <c r="A554" s="11">
        <v>553</v>
      </c>
      <c r="B554" s="11">
        <v>111</v>
      </c>
      <c r="C554" s="11" t="s">
        <v>1230</v>
      </c>
      <c r="D554" s="11" t="s">
        <v>1231</v>
      </c>
      <c r="E554" s="11" t="s">
        <v>870</v>
      </c>
      <c r="F554" s="11">
        <v>2023</v>
      </c>
      <c r="G554" s="20">
        <f t="shared" si="56"/>
        <v>1</v>
      </c>
      <c r="H554" s="21">
        <v>0</v>
      </c>
      <c r="I554" s="21">
        <f>IFERROR(INDEX('Coding Sheet'!$AC$2:$AC$731,MATCH($B554&amp;"_"&amp;$F554,'Coding Sheet'!$A$2:$A$731,0)),"")</f>
        <v>0</v>
      </c>
      <c r="J554" s="7">
        <f>IFERROR(INDEX('Coding Sheet'!$AT$2:$AT$731,MATCH($B554&amp;"_"&amp;$F554,'Coding Sheet'!$A$2:$A$731,0)),"")</f>
        <v>0</v>
      </c>
      <c r="K554" s="21">
        <v>649830000</v>
      </c>
      <c r="L554" s="21">
        <v>1.9851000000000001</v>
      </c>
      <c r="M554" s="20">
        <f t="shared" si="57"/>
        <v>1289977.5330000001</v>
      </c>
      <c r="N554" s="21">
        <v>13411000</v>
      </c>
      <c r="O554" s="21">
        <v>15527000</v>
      </c>
      <c r="P554" s="20">
        <v>76100</v>
      </c>
      <c r="Q554" s="20">
        <f t="shared" si="58"/>
        <v>0.94680089734011719</v>
      </c>
      <c r="R554" s="20">
        <f t="shared" si="59"/>
        <v>16.558091001963305</v>
      </c>
      <c r="S554" s="20">
        <f t="shared" si="60"/>
        <v>0.86372125974109615</v>
      </c>
      <c r="T554" s="20">
        <f t="shared" si="61"/>
        <v>4.9011399497649252E-3</v>
      </c>
      <c r="U554" s="20">
        <f>IFERROR(IF(ISNUMBER(INDEX('Firm Master'!$E$2:$E$1000,MATCH($C554,'Firm Master'!$B$2:$B$1000,0))),INDEX('Firm Master'!$E$2:$E$1000,MATCH($C554,'Firm Master'!$B$2:$B$1000,0)),""),"")</f>
        <v>1969</v>
      </c>
      <c r="V554" s="21">
        <f t="shared" si="62"/>
        <v>54</v>
      </c>
      <c r="W554" s="21">
        <v>0</v>
      </c>
      <c r="X554" s="20" t="str">
        <f>IFERROR(INDEX('Firm Master'!$G$2:$G$1000,MATCH($C554,'Firm Master'!$B$2:$B$1000,0)),"")</f>
        <v>BBC Professionals Chartered Accountants</v>
      </c>
    </row>
    <row r="555" spans="1:24" ht="15" customHeight="1" x14ac:dyDescent="0.3">
      <c r="A555" s="11">
        <v>554</v>
      </c>
      <c r="B555" s="11">
        <v>111</v>
      </c>
      <c r="C555" s="11" t="s">
        <v>1230</v>
      </c>
      <c r="D555" s="11" t="s">
        <v>1231</v>
      </c>
      <c r="E555" s="11" t="s">
        <v>870</v>
      </c>
      <c r="F555" s="11">
        <v>2024</v>
      </c>
      <c r="G555" s="20">
        <f t="shared" si="56"/>
        <v>1</v>
      </c>
      <c r="H555" s="21">
        <v>0</v>
      </c>
      <c r="I555" s="21">
        <f>IFERROR(INDEX('Coding Sheet'!$AC$2:$AC$731,MATCH($B555&amp;"_"&amp;$F555,'Coding Sheet'!$A$2:$A$731,0)),"")</f>
        <v>0</v>
      </c>
      <c r="J555" s="7">
        <f>IFERROR(INDEX('Coding Sheet'!$AT$2:$AT$731,MATCH($B555&amp;"_"&amp;$F555,'Coding Sheet'!$A$2:$A$731,0)),"")</f>
        <v>0</v>
      </c>
      <c r="K555" s="21">
        <v>649830000</v>
      </c>
      <c r="L555" s="21">
        <v>2.0621</v>
      </c>
      <c r="M555" s="20">
        <f t="shared" si="57"/>
        <v>1340014.443</v>
      </c>
      <c r="N555" s="21">
        <v>9561000</v>
      </c>
      <c r="O555" s="21">
        <v>12006000</v>
      </c>
      <c r="P555" s="20">
        <v>157830</v>
      </c>
      <c r="Q555" s="20">
        <f t="shared" si="58"/>
        <v>0.90796388830584707</v>
      </c>
      <c r="R555" s="20">
        <f t="shared" si="59"/>
        <v>16.300917082793926</v>
      </c>
      <c r="S555" s="20">
        <f t="shared" si="60"/>
        <v>0.79635182408795602</v>
      </c>
      <c r="T555" s="20">
        <f t="shared" si="61"/>
        <v>1.3145927036481759E-2</v>
      </c>
      <c r="U555" s="20">
        <f>IFERROR(IF(ISNUMBER(INDEX('Firm Master'!$E$2:$E$1000,MATCH($C555,'Firm Master'!$B$2:$B$1000,0))),INDEX('Firm Master'!$E$2:$E$1000,MATCH($C555,'Firm Master'!$B$2:$B$1000,0)),""),"")</f>
        <v>1969</v>
      </c>
      <c r="V555" s="21">
        <f t="shared" si="62"/>
        <v>55</v>
      </c>
      <c r="W555" s="21">
        <v>0</v>
      </c>
      <c r="X555" s="20" t="str">
        <f>IFERROR(INDEX('Firm Master'!$G$2:$G$1000,MATCH($C555,'Firm Master'!$B$2:$B$1000,0)),"")</f>
        <v>BBC Professionals Chartered Accountants</v>
      </c>
    </row>
    <row r="556" spans="1:24" ht="15" customHeight="1" x14ac:dyDescent="0.3">
      <c r="A556" s="11">
        <v>555</v>
      </c>
      <c r="B556" s="11">
        <v>111</v>
      </c>
      <c r="C556" s="11" t="s">
        <v>1230</v>
      </c>
      <c r="D556" s="11" t="s">
        <v>1231</v>
      </c>
      <c r="E556" s="11" t="s">
        <v>870</v>
      </c>
      <c r="F556" s="11">
        <v>2025</v>
      </c>
      <c r="G556" s="20">
        <f t="shared" si="56"/>
        <v>1</v>
      </c>
      <c r="H556" s="21">
        <v>0</v>
      </c>
      <c r="I556" s="21">
        <f>IFERROR(INDEX('Coding Sheet'!$AC$2:$AC$731,MATCH($B556&amp;"_"&amp;$F556,'Coding Sheet'!$A$2:$A$731,0)),"")</f>
        <v>0</v>
      </c>
      <c r="J556" s="7">
        <f>IFERROR(INDEX('Coding Sheet'!$AT$2:$AT$731,MATCH($B556&amp;"_"&amp;$F556,'Coding Sheet'!$A$2:$A$731,0)),"")</f>
        <v>0</v>
      </c>
      <c r="K556" s="21">
        <v>649830000</v>
      </c>
      <c r="L556" s="21">
        <v>7.0941999999999998</v>
      </c>
      <c r="M556" s="20">
        <f t="shared" si="57"/>
        <v>4610023.9859999996</v>
      </c>
      <c r="N556" s="21">
        <v>19866000</v>
      </c>
      <c r="O556" s="21">
        <v>22998000</v>
      </c>
      <c r="P556" s="20">
        <v>462570</v>
      </c>
      <c r="Q556" s="20">
        <f t="shared" si="58"/>
        <v>1.0642675009131228</v>
      </c>
      <c r="R556" s="20">
        <f t="shared" si="59"/>
        <v>16.950917813590745</v>
      </c>
      <c r="S556" s="20">
        <f t="shared" si="60"/>
        <v>0.86381424471693191</v>
      </c>
      <c r="T556" s="20">
        <f t="shared" si="61"/>
        <v>2.0113488129402557E-2</v>
      </c>
      <c r="U556" s="20">
        <f>IFERROR(IF(ISNUMBER(INDEX('Firm Master'!$E$2:$E$1000,MATCH($C556,'Firm Master'!$B$2:$B$1000,0))),INDEX('Firm Master'!$E$2:$E$1000,MATCH($C556,'Firm Master'!$B$2:$B$1000,0)),""),"")</f>
        <v>1969</v>
      </c>
      <c r="V556" s="21">
        <f t="shared" si="62"/>
        <v>56</v>
      </c>
      <c r="W556" s="21">
        <v>0</v>
      </c>
      <c r="X556" s="20" t="str">
        <f>IFERROR(INDEX('Firm Master'!$G$2:$G$1000,MATCH($C556,'Firm Master'!$B$2:$B$1000,0)),"")</f>
        <v>BBC Professionals Chartered Accountants</v>
      </c>
    </row>
    <row r="557" spans="1:24" ht="15" customHeight="1" x14ac:dyDescent="0.3">
      <c r="A557" s="11">
        <v>556</v>
      </c>
      <c r="B557" s="11">
        <v>112</v>
      </c>
      <c r="C557" s="11" t="s">
        <v>1235</v>
      </c>
      <c r="D557" s="11" t="s">
        <v>1236</v>
      </c>
      <c r="E557" s="11" t="s">
        <v>766</v>
      </c>
      <c r="F557" s="11">
        <v>2021</v>
      </c>
      <c r="G557" s="20">
        <f t="shared" si="56"/>
        <v>0</v>
      </c>
      <c r="H557" s="21">
        <v>0</v>
      </c>
      <c r="I557" s="21">
        <f>IFERROR(INDEX('Coding Sheet'!$AC$2:$AC$731,MATCH($B557&amp;"_"&amp;$F557,'Coding Sheet'!$A$2:$A$731,0)),"")</f>
        <v>70</v>
      </c>
      <c r="J557" s="7">
        <f>IFERROR(INDEX('Coding Sheet'!$AT$2:$AT$731,MATCH($B557&amp;"_"&amp;$F557,'Coding Sheet'!$A$2:$A$731,0)),"")</f>
        <v>73.333333333333329</v>
      </c>
      <c r="K557" s="21">
        <v>584400000</v>
      </c>
      <c r="L557" s="21">
        <v>470.35</v>
      </c>
      <c r="M557" s="20">
        <f t="shared" si="57"/>
        <v>274872540</v>
      </c>
      <c r="N557" s="21">
        <v>601750240</v>
      </c>
      <c r="O557" s="21">
        <v>1307236270</v>
      </c>
      <c r="P557" s="20">
        <v>58596256.200000003</v>
      </c>
      <c r="Q557" s="20">
        <f t="shared" si="58"/>
        <v>0.67059245533326584</v>
      </c>
      <c r="R557" s="20">
        <f t="shared" si="59"/>
        <v>20.99118102801312</v>
      </c>
      <c r="S557" s="20">
        <f t="shared" si="60"/>
        <v>0.46032247865950049</v>
      </c>
      <c r="T557" s="20">
        <f t="shared" si="61"/>
        <v>4.4824533670565922E-2</v>
      </c>
      <c r="U557" s="20">
        <f>IFERROR(IF(ISNUMBER(INDEX('Firm Master'!$E$2:$E$1000,MATCH($C557,'Firm Master'!$B$2:$B$1000,0))),INDEX('Firm Master'!$E$2:$E$1000,MATCH($C557,'Firm Master'!$B$2:$B$1000,0)),""),"")</f>
        <v>1988</v>
      </c>
      <c r="V557" s="21">
        <f t="shared" si="62"/>
        <v>33</v>
      </c>
      <c r="W557" s="21">
        <v>1</v>
      </c>
      <c r="X557" s="20" t="str">
        <f>IFERROR(INDEX('Firm Master'!$G$2:$G$1000,MATCH($C557,'Firm Master'!$B$2:$B$1000,0)),"")</f>
        <v>PricewaterhouseCoopers</v>
      </c>
    </row>
    <row r="558" spans="1:24" ht="15" customHeight="1" x14ac:dyDescent="0.3">
      <c r="A558" s="11">
        <v>557</v>
      </c>
      <c r="B558" s="11">
        <v>112</v>
      </c>
      <c r="C558" s="11" t="s">
        <v>1235</v>
      </c>
      <c r="D558" s="11" t="s">
        <v>1236</v>
      </c>
      <c r="E558" s="11" t="s">
        <v>766</v>
      </c>
      <c r="F558" s="11">
        <v>2022</v>
      </c>
      <c r="G558" s="20">
        <f t="shared" si="56"/>
        <v>0</v>
      </c>
      <c r="H558" s="21">
        <v>0</v>
      </c>
      <c r="I558" s="21">
        <f>IFERROR(INDEX('Coding Sheet'!$AC$2:$AC$731,MATCH($B558&amp;"_"&amp;$F558,'Coding Sheet'!$A$2:$A$731,0)),"")</f>
        <v>70</v>
      </c>
      <c r="J558" s="7">
        <f>IFERROR(INDEX('Coding Sheet'!$AT$2:$AT$731,MATCH($B558&amp;"_"&amp;$F558,'Coding Sheet'!$A$2:$A$731,0)),"")</f>
        <v>73.333333333333329</v>
      </c>
      <c r="K558" s="21">
        <v>588450000</v>
      </c>
      <c r="L558" s="21">
        <v>562.62</v>
      </c>
      <c r="M558" s="20">
        <f t="shared" si="57"/>
        <v>331073739</v>
      </c>
      <c r="N558" s="21">
        <v>725478000</v>
      </c>
      <c r="O558" s="21">
        <v>1537718000</v>
      </c>
      <c r="P558" s="20">
        <v>28802215</v>
      </c>
      <c r="Q558" s="20">
        <f t="shared" si="58"/>
        <v>0.68709070128593153</v>
      </c>
      <c r="R558" s="20">
        <f t="shared" si="59"/>
        <v>21.153565336211777</v>
      </c>
      <c r="S558" s="20">
        <f t="shared" si="60"/>
        <v>0.4717887154861945</v>
      </c>
      <c r="T558" s="20">
        <f t="shared" si="61"/>
        <v>1.8730492196878751E-2</v>
      </c>
      <c r="U558" s="20">
        <f>IFERROR(IF(ISNUMBER(INDEX('Firm Master'!$E$2:$E$1000,MATCH($C558,'Firm Master'!$B$2:$B$1000,0))),INDEX('Firm Master'!$E$2:$E$1000,MATCH($C558,'Firm Master'!$B$2:$B$1000,0)),""),"")</f>
        <v>1988</v>
      </c>
      <c r="V558" s="21">
        <f t="shared" si="62"/>
        <v>34</v>
      </c>
      <c r="W558" s="21">
        <v>1</v>
      </c>
      <c r="X558" s="20" t="str">
        <f>IFERROR(INDEX('Firm Master'!$G$2:$G$1000,MATCH($C558,'Firm Master'!$B$2:$B$1000,0)),"")</f>
        <v>PricewaterhouseCoopers</v>
      </c>
    </row>
    <row r="559" spans="1:24" ht="15" customHeight="1" x14ac:dyDescent="0.3">
      <c r="A559" s="11">
        <v>558</v>
      </c>
      <c r="B559" s="11">
        <v>112</v>
      </c>
      <c r="C559" s="11" t="s">
        <v>1235</v>
      </c>
      <c r="D559" s="11" t="s">
        <v>1236</v>
      </c>
      <c r="E559" s="11" t="s">
        <v>766</v>
      </c>
      <c r="F559" s="11">
        <v>2023</v>
      </c>
      <c r="G559" s="20">
        <f t="shared" si="56"/>
        <v>1</v>
      </c>
      <c r="H559" s="21">
        <v>1</v>
      </c>
      <c r="I559" s="21">
        <f>IFERROR(INDEX('Coding Sheet'!$AC$2:$AC$731,MATCH($B559&amp;"_"&amp;$F559,'Coding Sheet'!$A$2:$A$731,0)),"")</f>
        <v>70</v>
      </c>
      <c r="J559" s="7">
        <f>IFERROR(INDEX('Coding Sheet'!$AT$2:$AT$731,MATCH($B559&amp;"_"&amp;$F559,'Coding Sheet'!$A$2:$A$731,0)),"")</f>
        <v>73.333333333333329</v>
      </c>
      <c r="K559" s="21">
        <v>588450000</v>
      </c>
      <c r="L559" s="21">
        <v>1404.44</v>
      </c>
      <c r="M559" s="20">
        <f t="shared" si="57"/>
        <v>826442718</v>
      </c>
      <c r="N559" s="21">
        <v>1440822780</v>
      </c>
      <c r="O559" s="21">
        <v>3053429050</v>
      </c>
      <c r="P559" s="20">
        <v>74766290.700000003</v>
      </c>
      <c r="Q559" s="20">
        <f t="shared" si="58"/>
        <v>0.74253092535423415</v>
      </c>
      <c r="R559" s="20">
        <f t="shared" si="59"/>
        <v>21.839531074726271</v>
      </c>
      <c r="S559" s="20">
        <f t="shared" si="60"/>
        <v>0.47187039764359351</v>
      </c>
      <c r="T559" s="20">
        <f t="shared" si="61"/>
        <v>2.4486008836524301E-2</v>
      </c>
      <c r="U559" s="20">
        <f>IFERROR(IF(ISNUMBER(INDEX('Firm Master'!$E$2:$E$1000,MATCH($C559,'Firm Master'!$B$2:$B$1000,0))),INDEX('Firm Master'!$E$2:$E$1000,MATCH($C559,'Firm Master'!$B$2:$B$1000,0)),""),"")</f>
        <v>1988</v>
      </c>
      <c r="V559" s="21">
        <f t="shared" si="62"/>
        <v>35</v>
      </c>
      <c r="W559" s="21">
        <v>1</v>
      </c>
      <c r="X559" s="20" t="str">
        <f>IFERROR(INDEX('Firm Master'!$G$2:$G$1000,MATCH($C559,'Firm Master'!$B$2:$B$1000,0)),"")</f>
        <v>PricewaterhouseCoopers</v>
      </c>
    </row>
    <row r="560" spans="1:24" ht="15" customHeight="1" x14ac:dyDescent="0.3">
      <c r="A560" s="11">
        <v>559</v>
      </c>
      <c r="B560" s="11">
        <v>112</v>
      </c>
      <c r="C560" s="11" t="s">
        <v>1235</v>
      </c>
      <c r="D560" s="11" t="s">
        <v>1236</v>
      </c>
      <c r="E560" s="11" t="s">
        <v>766</v>
      </c>
      <c r="F560" s="11">
        <v>2024</v>
      </c>
      <c r="G560" s="20">
        <f t="shared" si="56"/>
        <v>1</v>
      </c>
      <c r="H560" s="21">
        <v>1</v>
      </c>
      <c r="I560" s="21">
        <f>IFERROR(INDEX('Coding Sheet'!$AC$2:$AC$731,MATCH($B560&amp;"_"&amp;$F560,'Coding Sheet'!$A$2:$A$731,0)),"")</f>
        <v>70</v>
      </c>
      <c r="J560" s="7">
        <f>IFERROR(INDEX('Coding Sheet'!$AT$2:$AT$731,MATCH($B560&amp;"_"&amp;$F560,'Coding Sheet'!$A$2:$A$731,0)),"")</f>
        <v>73.333333333333329</v>
      </c>
      <c r="K560" s="21">
        <v>588450000</v>
      </c>
      <c r="L560" s="21">
        <v>3756.07</v>
      </c>
      <c r="M560" s="20">
        <f t="shared" si="57"/>
        <v>2210259391.5</v>
      </c>
      <c r="N560" s="21">
        <v>7658115000</v>
      </c>
      <c r="O560" s="21">
        <v>10480980000</v>
      </c>
      <c r="P560" s="20">
        <v>235392250</v>
      </c>
      <c r="Q560" s="20">
        <f t="shared" si="58"/>
        <v>0.94155073204032447</v>
      </c>
      <c r="R560" s="20">
        <f t="shared" si="59"/>
        <v>23.072828022917765</v>
      </c>
      <c r="S560" s="20">
        <f t="shared" si="60"/>
        <v>0.73066783831282955</v>
      </c>
      <c r="T560" s="20">
        <f t="shared" si="61"/>
        <v>2.2458992384299943E-2</v>
      </c>
      <c r="U560" s="20">
        <f>IFERROR(IF(ISNUMBER(INDEX('Firm Master'!$E$2:$E$1000,MATCH($C560,'Firm Master'!$B$2:$B$1000,0))),INDEX('Firm Master'!$E$2:$E$1000,MATCH($C560,'Firm Master'!$B$2:$B$1000,0)),""),"")</f>
        <v>1988</v>
      </c>
      <c r="V560" s="21">
        <f t="shared" si="62"/>
        <v>36</v>
      </c>
      <c r="W560" s="21">
        <v>1</v>
      </c>
      <c r="X560" s="20" t="str">
        <f>IFERROR(INDEX('Firm Master'!$G$2:$G$1000,MATCH($C560,'Firm Master'!$B$2:$B$1000,0)),"")</f>
        <v>PricewaterhouseCoopers</v>
      </c>
    </row>
    <row r="561" spans="1:24" ht="15" customHeight="1" x14ac:dyDescent="0.3">
      <c r="A561" s="11">
        <v>560</v>
      </c>
      <c r="B561" s="11">
        <v>112</v>
      </c>
      <c r="C561" s="11" t="s">
        <v>1235</v>
      </c>
      <c r="D561" s="11" t="s">
        <v>1236</v>
      </c>
      <c r="E561" s="11" t="s">
        <v>766</v>
      </c>
      <c r="F561" s="11">
        <v>2025</v>
      </c>
      <c r="G561" s="20">
        <f t="shared" si="56"/>
        <v>1</v>
      </c>
      <c r="H561" s="21">
        <v>1</v>
      </c>
      <c r="I561" s="21">
        <f>IFERROR(INDEX('Coding Sheet'!$AC$2:$AC$731,MATCH($B561&amp;"_"&amp;$F561,'Coding Sheet'!$A$2:$A$731,0)),"")</f>
        <v>70</v>
      </c>
      <c r="J561" s="7">
        <f>IFERROR(INDEX('Coding Sheet'!$AT$2:$AT$731,MATCH($B561&amp;"_"&amp;$F561,'Coding Sheet'!$A$2:$A$731,0)),"")</f>
        <v>73.333333333333329</v>
      </c>
      <c r="K561" s="21">
        <v>588450000</v>
      </c>
      <c r="L561" s="21">
        <v>5809</v>
      </c>
      <c r="M561" s="20">
        <f t="shared" si="57"/>
        <v>3418306050</v>
      </c>
      <c r="N561" s="21">
        <v>6149272000</v>
      </c>
      <c r="O561" s="21">
        <v>8820724600</v>
      </c>
      <c r="P561" s="20">
        <v>232251042</v>
      </c>
      <c r="Q561" s="20">
        <f t="shared" si="58"/>
        <v>1.0846703058839406</v>
      </c>
      <c r="R561" s="20">
        <f t="shared" si="59"/>
        <v>22.900369857785652</v>
      </c>
      <c r="S561" s="20">
        <f t="shared" si="60"/>
        <v>0.69713909898059845</v>
      </c>
      <c r="T561" s="20">
        <f t="shared" si="61"/>
        <v>2.6330154554422888E-2</v>
      </c>
      <c r="U561" s="20">
        <f>IFERROR(IF(ISNUMBER(INDEX('Firm Master'!$E$2:$E$1000,MATCH($C561,'Firm Master'!$B$2:$B$1000,0))),INDEX('Firm Master'!$E$2:$E$1000,MATCH($C561,'Firm Master'!$B$2:$B$1000,0)),""),"")</f>
        <v>1988</v>
      </c>
      <c r="V561" s="21">
        <f t="shared" si="62"/>
        <v>37</v>
      </c>
      <c r="W561" s="21">
        <v>1</v>
      </c>
      <c r="X561" s="20" t="str">
        <f>IFERROR(INDEX('Firm Master'!$G$2:$G$1000,MATCH($C561,'Firm Master'!$B$2:$B$1000,0)),"")</f>
        <v>PricewaterhouseCoopers</v>
      </c>
    </row>
    <row r="562" spans="1:24" ht="27.75" customHeight="1" x14ac:dyDescent="0.3">
      <c r="A562" s="16">
        <v>561</v>
      </c>
      <c r="B562" s="16">
        <v>113</v>
      </c>
      <c r="C562" s="16" t="s">
        <v>1239</v>
      </c>
      <c r="D562" s="16" t="s">
        <v>1240</v>
      </c>
      <c r="E562" s="16" t="s">
        <v>780</v>
      </c>
      <c r="F562" s="16">
        <v>2021</v>
      </c>
      <c r="G562" s="16">
        <f t="shared" si="56"/>
        <v>0</v>
      </c>
      <c r="H562" s="16">
        <v>0</v>
      </c>
      <c r="I562" s="16">
        <f>IFERROR(INDEX('Coding Sheet'!$AC$2:$AC$731,MATCH($B562&amp;"_"&amp;$F562,'Coding Sheet'!$A$2:$A$731,0)),"")</f>
        <v>0</v>
      </c>
      <c r="J562" s="22">
        <f>IFERROR(INDEX('Coding Sheet'!$AT$2:$AT$731,MATCH($B562&amp;"_"&amp;$F562,'Coding Sheet'!$A$2:$A$731,0)),"")</f>
        <v>0</v>
      </c>
      <c r="K562" s="16">
        <v>20000000</v>
      </c>
      <c r="L562" s="16">
        <v>68</v>
      </c>
      <c r="M562" s="16">
        <f t="shared" si="57"/>
        <v>1360000</v>
      </c>
      <c r="N562" s="16">
        <v>462769</v>
      </c>
      <c r="O562" s="16">
        <v>2866214</v>
      </c>
      <c r="P562" s="16">
        <v>160520</v>
      </c>
      <c r="Q562" s="16">
        <f t="shared" si="58"/>
        <v>0.63595007211603882</v>
      </c>
      <c r="R562" s="16">
        <f t="shared" si="59"/>
        <v>14.868502553110263</v>
      </c>
      <c r="S562" s="16">
        <f t="shared" si="60"/>
        <v>0.16145654162599163</v>
      </c>
      <c r="T562" s="16">
        <f t="shared" si="61"/>
        <v>5.6004192289898801E-2</v>
      </c>
      <c r="U562" s="16">
        <f>IFERROR(IF(ISNUMBER(INDEX('Firm Master'!$E$2:$E$1000,MATCH($C562,'Firm Master'!$B$2:$B$1000,0))),INDEX('Firm Master'!$E$2:$E$1000,MATCH($C562,'Firm Master'!$B$2:$B$1000,0)),""),"")</f>
        <v>2007</v>
      </c>
      <c r="V562" s="16">
        <f t="shared" si="62"/>
        <v>14</v>
      </c>
      <c r="W562" s="16">
        <v>0</v>
      </c>
      <c r="X562" s="16" t="str">
        <f>IFERROR(INDEX('Firm Master'!$G$2:$G$1000,MATCH($C562,'Firm Master'!$B$2:$B$1000,0)),"")</f>
        <v>Dele Olufon &amp; Co. (as of FY2020 statements; unconfirmed FY2021-2025)</v>
      </c>
    </row>
    <row r="563" spans="1:24" ht="27.75" customHeight="1" x14ac:dyDescent="0.3">
      <c r="A563" s="16">
        <v>562</v>
      </c>
      <c r="B563" s="16">
        <v>113</v>
      </c>
      <c r="C563" s="16" t="s">
        <v>1239</v>
      </c>
      <c r="D563" s="16" t="s">
        <v>1240</v>
      </c>
      <c r="E563" s="16" t="s">
        <v>780</v>
      </c>
      <c r="F563" s="16">
        <v>2022</v>
      </c>
      <c r="G563" s="16">
        <f t="shared" si="56"/>
        <v>0</v>
      </c>
      <c r="H563" s="16">
        <v>0</v>
      </c>
      <c r="I563" s="16">
        <f>IFERROR(INDEX('Coding Sheet'!$AC$2:$AC$731,MATCH($B563&amp;"_"&amp;$F563,'Coding Sheet'!$A$2:$A$731,0)),"")</f>
        <v>0</v>
      </c>
      <c r="J563" s="22">
        <f>IFERROR(INDEX('Coding Sheet'!$AT$2:$AT$731,MATCH($B563&amp;"_"&amp;$F563,'Coding Sheet'!$A$2:$A$731,0)),"")</f>
        <v>0</v>
      </c>
      <c r="K563" s="16">
        <v>20000000</v>
      </c>
      <c r="L563" s="16">
        <v>77</v>
      </c>
      <c r="M563" s="16">
        <f t="shared" si="57"/>
        <v>1540000</v>
      </c>
      <c r="N563" s="16">
        <v>511236</v>
      </c>
      <c r="O563" s="16">
        <v>2956305</v>
      </c>
      <c r="P563" s="16">
        <v>186620</v>
      </c>
      <c r="Q563" s="16">
        <f t="shared" si="58"/>
        <v>0.69385127718554074</v>
      </c>
      <c r="R563" s="16">
        <f t="shared" si="59"/>
        <v>14.899450735700478</v>
      </c>
      <c r="S563" s="16">
        <f t="shared" si="60"/>
        <v>0.17293073617235027</v>
      </c>
      <c r="T563" s="16">
        <f t="shared" si="61"/>
        <v>6.3126098288234803E-2</v>
      </c>
      <c r="U563" s="16">
        <f>IFERROR(IF(ISNUMBER(INDEX('Firm Master'!$E$2:$E$1000,MATCH($C563,'Firm Master'!$B$2:$B$1000,0))),INDEX('Firm Master'!$E$2:$E$1000,MATCH($C563,'Firm Master'!$B$2:$B$1000,0)),""),"")</f>
        <v>2007</v>
      </c>
      <c r="V563" s="16">
        <f t="shared" si="62"/>
        <v>15</v>
      </c>
      <c r="W563" s="16">
        <v>0</v>
      </c>
      <c r="X563" s="16" t="str">
        <f>IFERROR(INDEX('Firm Master'!$G$2:$G$1000,MATCH($C563,'Firm Master'!$B$2:$B$1000,0)),"")</f>
        <v>Dele Olufon &amp; Co. (as of FY2020 statements; unconfirmed FY2021-2025)</v>
      </c>
    </row>
    <row r="564" spans="1:24" ht="27.75" customHeight="1" x14ac:dyDescent="0.3">
      <c r="A564" s="16">
        <v>563</v>
      </c>
      <c r="B564" s="16">
        <v>113</v>
      </c>
      <c r="C564" s="16" t="s">
        <v>1239</v>
      </c>
      <c r="D564" s="16" t="s">
        <v>1240</v>
      </c>
      <c r="E564" s="16" t="s">
        <v>780</v>
      </c>
      <c r="F564" s="16">
        <v>2023</v>
      </c>
      <c r="G564" s="16">
        <f t="shared" si="56"/>
        <v>1</v>
      </c>
      <c r="H564" s="16">
        <v>0</v>
      </c>
      <c r="I564" s="16">
        <f>IFERROR(INDEX('Coding Sheet'!$AC$2:$AC$731,MATCH($B564&amp;"_"&amp;$F564,'Coding Sheet'!$A$2:$A$731,0)),"")</f>
        <v>0</v>
      </c>
      <c r="J564" s="22">
        <f>IFERROR(INDEX('Coding Sheet'!$AT$2:$AT$731,MATCH($B564&amp;"_"&amp;$F564,'Coding Sheet'!$A$2:$A$731,0)),"")</f>
        <v>0</v>
      </c>
      <c r="K564" s="16">
        <v>20000000</v>
      </c>
      <c r="L564" s="16">
        <v>101.5</v>
      </c>
      <c r="M564" s="16">
        <f t="shared" si="57"/>
        <v>2030000</v>
      </c>
      <c r="N564" s="16">
        <v>706452</v>
      </c>
      <c r="O564" s="16">
        <v>3300025</v>
      </c>
      <c r="P564" s="16">
        <v>317500</v>
      </c>
      <c r="Q564" s="16">
        <f t="shared" si="58"/>
        <v>0.82922159680608476</v>
      </c>
      <c r="R564" s="16">
        <f t="shared" si="59"/>
        <v>15.009440602165588</v>
      </c>
      <c r="S564" s="16">
        <f t="shared" si="60"/>
        <v>0.21407474185801623</v>
      </c>
      <c r="T564" s="16">
        <f t="shared" si="61"/>
        <v>9.6211392337936838E-2</v>
      </c>
      <c r="U564" s="16">
        <f>IFERROR(IF(ISNUMBER(INDEX('Firm Master'!$E$2:$E$1000,MATCH($C564,'Firm Master'!$B$2:$B$1000,0))),INDEX('Firm Master'!$E$2:$E$1000,MATCH($C564,'Firm Master'!$B$2:$B$1000,0)),""),"")</f>
        <v>2007</v>
      </c>
      <c r="V564" s="16">
        <f t="shared" si="62"/>
        <v>16</v>
      </c>
      <c r="W564" s="16">
        <v>0</v>
      </c>
      <c r="X564" s="16" t="str">
        <f>IFERROR(INDEX('Firm Master'!$G$2:$G$1000,MATCH($C564,'Firm Master'!$B$2:$B$1000,0)),"")</f>
        <v>Dele Olufon &amp; Co. (as of FY2020 statements; unconfirmed FY2021-2025)</v>
      </c>
    </row>
    <row r="565" spans="1:24" ht="27.75" customHeight="1" x14ac:dyDescent="0.3">
      <c r="A565" s="16">
        <v>564</v>
      </c>
      <c r="B565" s="16">
        <v>113</v>
      </c>
      <c r="C565" s="16" t="s">
        <v>1239</v>
      </c>
      <c r="D565" s="16" t="s">
        <v>1240</v>
      </c>
      <c r="E565" s="16" t="s">
        <v>780</v>
      </c>
      <c r="F565" s="16">
        <v>2024</v>
      </c>
      <c r="G565" s="16">
        <f t="shared" si="56"/>
        <v>1</v>
      </c>
      <c r="H565" s="16">
        <v>0</v>
      </c>
      <c r="I565" s="16">
        <f>IFERROR(INDEX('Coding Sheet'!$AC$2:$AC$731,MATCH($B565&amp;"_"&amp;$F565,'Coding Sheet'!$A$2:$A$731,0)),"")</f>
        <v>0</v>
      </c>
      <c r="J565" s="22">
        <f>IFERROR(INDEX('Coding Sheet'!$AT$2:$AT$731,MATCH($B565&amp;"_"&amp;$F565,'Coding Sheet'!$A$2:$A$731,0)),"")</f>
        <v>0</v>
      </c>
      <c r="K565" s="16">
        <v>20000000</v>
      </c>
      <c r="L565" s="16">
        <v>179.5</v>
      </c>
      <c r="M565" s="16">
        <f t="shared" si="57"/>
        <v>3590000</v>
      </c>
      <c r="N565" s="16">
        <v>692210</v>
      </c>
      <c r="O565" s="16">
        <v>3470000</v>
      </c>
      <c r="P565" s="16">
        <v>477090</v>
      </c>
      <c r="Q565" s="16">
        <f t="shared" si="58"/>
        <v>1.2340662824207493</v>
      </c>
      <c r="R565" s="16">
        <f t="shared" si="59"/>
        <v>15.059665151923042</v>
      </c>
      <c r="S565" s="16">
        <f t="shared" si="60"/>
        <v>0.19948414985590779</v>
      </c>
      <c r="T565" s="16">
        <f t="shared" si="61"/>
        <v>0.13748991354466858</v>
      </c>
      <c r="U565" s="16">
        <f>IFERROR(IF(ISNUMBER(INDEX('Firm Master'!$E$2:$E$1000,MATCH($C565,'Firm Master'!$B$2:$B$1000,0))),INDEX('Firm Master'!$E$2:$E$1000,MATCH($C565,'Firm Master'!$B$2:$B$1000,0)),""),"")</f>
        <v>2007</v>
      </c>
      <c r="V565" s="16">
        <f t="shared" si="62"/>
        <v>17</v>
      </c>
      <c r="W565" s="16">
        <v>0</v>
      </c>
      <c r="X565" s="16" t="str">
        <f>IFERROR(INDEX('Firm Master'!$G$2:$G$1000,MATCH($C565,'Firm Master'!$B$2:$B$1000,0)),"")</f>
        <v>Dele Olufon &amp; Co. (as of FY2020 statements; unconfirmed FY2021-2025)</v>
      </c>
    </row>
    <row r="566" spans="1:24" ht="27.75" customHeight="1" x14ac:dyDescent="0.3">
      <c r="A566" s="16">
        <v>565</v>
      </c>
      <c r="B566" s="16">
        <v>113</v>
      </c>
      <c r="C566" s="16" t="s">
        <v>1239</v>
      </c>
      <c r="D566" s="16" t="s">
        <v>1240</v>
      </c>
      <c r="E566" s="16" t="s">
        <v>780</v>
      </c>
      <c r="F566" s="16">
        <v>2025</v>
      </c>
      <c r="G566" s="16">
        <f t="shared" si="56"/>
        <v>1</v>
      </c>
      <c r="H566" s="16">
        <v>0</v>
      </c>
      <c r="I566" s="16">
        <f>IFERROR(INDEX('Coding Sheet'!$AC$2:$AC$731,MATCH($B566&amp;"_"&amp;$F566,'Coding Sheet'!$A$2:$A$731,0)),"")</f>
        <v>0</v>
      </c>
      <c r="J566" s="22">
        <f>IFERROR(INDEX('Coding Sheet'!$AT$2:$AT$731,MATCH($B566&amp;"_"&amp;$F566,'Coding Sheet'!$A$2:$A$731,0)),"")</f>
        <v>0</v>
      </c>
      <c r="K566" s="16">
        <v>20000000</v>
      </c>
      <c r="L566" s="16">
        <v>419</v>
      </c>
      <c r="M566" s="16">
        <f t="shared" si="57"/>
        <v>8380000</v>
      </c>
      <c r="N566" s="16">
        <v>619910</v>
      </c>
      <c r="O566" s="16">
        <v>7080000</v>
      </c>
      <c r="P566" s="16">
        <v>628490</v>
      </c>
      <c r="Q566" s="16">
        <f t="shared" si="58"/>
        <v>1.2711737288135594</v>
      </c>
      <c r="R566" s="16">
        <f t="shared" si="59"/>
        <v>15.772784465669902</v>
      </c>
      <c r="S566" s="16">
        <f t="shared" si="60"/>
        <v>8.7557909604519771E-2</v>
      </c>
      <c r="T566" s="16">
        <f t="shared" si="61"/>
        <v>8.8769774011299429E-2</v>
      </c>
      <c r="U566" s="16">
        <f>IFERROR(IF(ISNUMBER(INDEX('Firm Master'!$E$2:$E$1000,MATCH($C566,'Firm Master'!$B$2:$B$1000,0))),INDEX('Firm Master'!$E$2:$E$1000,MATCH($C566,'Firm Master'!$B$2:$B$1000,0)),""),"")</f>
        <v>2007</v>
      </c>
      <c r="V566" s="16">
        <f t="shared" si="62"/>
        <v>18</v>
      </c>
      <c r="W566" s="16">
        <v>0</v>
      </c>
      <c r="X566" s="16" t="str">
        <f>IFERROR(INDEX('Firm Master'!$G$2:$G$1000,MATCH($C566,'Firm Master'!$B$2:$B$1000,0)),"")</f>
        <v>Dele Olufon &amp; Co. (as of FY2020 statements; unconfirmed FY2021-2025)</v>
      </c>
    </row>
    <row r="567" spans="1:24" ht="27.75" customHeight="1" x14ac:dyDescent="0.3">
      <c r="A567" s="11">
        <v>566</v>
      </c>
      <c r="B567" s="11">
        <v>114</v>
      </c>
      <c r="C567" s="11" t="s">
        <v>1244</v>
      </c>
      <c r="D567" s="11" t="s">
        <v>1245</v>
      </c>
      <c r="E567" s="11" t="s">
        <v>715</v>
      </c>
      <c r="F567" s="11">
        <v>2021</v>
      </c>
      <c r="G567" s="20">
        <f t="shared" si="56"/>
        <v>0</v>
      </c>
      <c r="H567" s="21">
        <v>0</v>
      </c>
      <c r="I567" s="21">
        <f>IFERROR(INDEX('Coding Sheet'!$AC$2:$AC$731,MATCH($B567&amp;"_"&amp;$F567,'Coding Sheet'!$A$2:$A$731,0)),"")</f>
        <v>5</v>
      </c>
      <c r="J567" s="7">
        <f>IFERROR(INDEX('Coding Sheet'!$AT$2:$AT$731,MATCH($B567&amp;"_"&amp;$F567,'Coding Sheet'!$A$2:$A$731,0)),"")</f>
        <v>0</v>
      </c>
      <c r="K567" s="21">
        <v>1354000000</v>
      </c>
      <c r="L567" s="21">
        <v>5.3</v>
      </c>
      <c r="M567" s="20">
        <f t="shared" si="57"/>
        <v>7176200</v>
      </c>
      <c r="N567" s="21">
        <v>5266000</v>
      </c>
      <c r="O567" s="21">
        <v>24608000</v>
      </c>
      <c r="P567" s="20">
        <v>282030</v>
      </c>
      <c r="Q567" s="20">
        <f t="shared" si="58"/>
        <v>0.50561605981794533</v>
      </c>
      <c r="R567" s="20">
        <f t="shared" si="59"/>
        <v>17.018582151287507</v>
      </c>
      <c r="S567" s="20">
        <f t="shared" si="60"/>
        <v>0.21399544863459039</v>
      </c>
      <c r="T567" s="20">
        <f t="shared" si="61"/>
        <v>1.1460907022106632E-2</v>
      </c>
      <c r="U567" s="20">
        <f>IFERROR(IF(ISNUMBER(INDEX('Firm Master'!$E$2:$E$1000,MATCH($C567,'Firm Master'!$B$2:$B$1000,0))),INDEX('Firm Master'!$E$2:$E$1000,MATCH($C567,'Firm Master'!$B$2:$B$1000,0)),""),"")</f>
        <v>2009</v>
      </c>
      <c r="V567" s="21">
        <f t="shared" si="62"/>
        <v>12</v>
      </c>
      <c r="W567" s="21">
        <v>0</v>
      </c>
      <c r="X567" s="20" t="str">
        <f>IFERROR(INDEX('Firm Master'!$G$2:$G$1000,MATCH($C567,'Firm Master'!$B$2:$B$1000,0)),"")</f>
        <v>Gbenga Badejo &amp; Co. (non-Big4, FY2021-2025); succeeded by Deloitte Nigeria from 16th AGM 19-Jun-2026 (POST-STUDY-WINDOW, informational only)</v>
      </c>
    </row>
    <row r="568" spans="1:24" ht="27.75" customHeight="1" x14ac:dyDescent="0.3">
      <c r="A568" s="11">
        <v>567</v>
      </c>
      <c r="B568" s="11">
        <v>114</v>
      </c>
      <c r="C568" s="11" t="s">
        <v>1244</v>
      </c>
      <c r="D568" s="11" t="s">
        <v>1245</v>
      </c>
      <c r="E568" s="11" t="s">
        <v>715</v>
      </c>
      <c r="F568" s="11">
        <v>2022</v>
      </c>
      <c r="G568" s="20">
        <f t="shared" si="56"/>
        <v>0</v>
      </c>
      <c r="H568" s="21">
        <v>0</v>
      </c>
      <c r="I568" s="21">
        <f>IFERROR(INDEX('Coding Sheet'!$AC$2:$AC$731,MATCH($B568&amp;"_"&amp;$F568,'Coding Sheet'!$A$2:$A$731,0)),"")</f>
        <v>5</v>
      </c>
      <c r="J568" s="7">
        <f>IFERROR(INDEX('Coding Sheet'!$AT$2:$AT$731,MATCH($B568&amp;"_"&amp;$F568,'Coding Sheet'!$A$2:$A$731,0)),"")</f>
        <v>0</v>
      </c>
      <c r="K568" s="21">
        <v>1354000000</v>
      </c>
      <c r="L568" s="21">
        <v>5</v>
      </c>
      <c r="M568" s="20">
        <f t="shared" si="57"/>
        <v>6770000</v>
      </c>
      <c r="N568" s="21">
        <v>9681000</v>
      </c>
      <c r="O568" s="21">
        <v>29219000</v>
      </c>
      <c r="P568" s="20">
        <v>309340</v>
      </c>
      <c r="Q568" s="20">
        <f t="shared" si="58"/>
        <v>0.56302405968718983</v>
      </c>
      <c r="R568" s="20">
        <f t="shared" si="59"/>
        <v>17.190329740566362</v>
      </c>
      <c r="S568" s="20">
        <f t="shared" si="60"/>
        <v>0.33132550737533795</v>
      </c>
      <c r="T568" s="20">
        <f t="shared" si="61"/>
        <v>1.0586946849652624E-2</v>
      </c>
      <c r="U568" s="20">
        <f>IFERROR(IF(ISNUMBER(INDEX('Firm Master'!$E$2:$E$1000,MATCH($C568,'Firm Master'!$B$2:$B$1000,0))),INDEX('Firm Master'!$E$2:$E$1000,MATCH($C568,'Firm Master'!$B$2:$B$1000,0)),""),"")</f>
        <v>2009</v>
      </c>
      <c r="V568" s="21">
        <f t="shared" si="62"/>
        <v>13</v>
      </c>
      <c r="W568" s="21">
        <v>0</v>
      </c>
      <c r="X568" s="20" t="str">
        <f>IFERROR(INDEX('Firm Master'!$G$2:$G$1000,MATCH($C568,'Firm Master'!$B$2:$B$1000,0)),"")</f>
        <v>Gbenga Badejo &amp; Co. (non-Big4, FY2021-2025); succeeded by Deloitte Nigeria from 16th AGM 19-Jun-2026 (POST-STUDY-WINDOW, informational only)</v>
      </c>
    </row>
    <row r="569" spans="1:24" ht="27.75" customHeight="1" x14ac:dyDescent="0.3">
      <c r="A569" s="11">
        <v>568</v>
      </c>
      <c r="B569" s="11">
        <v>114</v>
      </c>
      <c r="C569" s="11" t="s">
        <v>1244</v>
      </c>
      <c r="D569" s="11" t="s">
        <v>1245</v>
      </c>
      <c r="E569" s="11" t="s">
        <v>715</v>
      </c>
      <c r="F569" s="11">
        <v>2023</v>
      </c>
      <c r="G569" s="20">
        <f t="shared" si="56"/>
        <v>1</v>
      </c>
      <c r="H569" s="21">
        <v>0</v>
      </c>
      <c r="I569" s="21">
        <f>IFERROR(INDEX('Coding Sheet'!$AC$2:$AC$731,MATCH($B569&amp;"_"&amp;$F569,'Coding Sheet'!$A$2:$A$731,0)),"")</f>
        <v>0</v>
      </c>
      <c r="J569" s="7">
        <f>IFERROR(INDEX('Coding Sheet'!$AT$2:$AT$731,MATCH($B569&amp;"_"&amp;$F569,'Coding Sheet'!$A$2:$A$731,0)),"")</f>
        <v>0</v>
      </c>
      <c r="K569" s="21">
        <v>1354000000</v>
      </c>
      <c r="L569" s="21">
        <v>25.34</v>
      </c>
      <c r="M569" s="20">
        <f t="shared" si="57"/>
        <v>34310360</v>
      </c>
      <c r="N569" s="21">
        <v>11286000</v>
      </c>
      <c r="O569" s="21">
        <v>34066000</v>
      </c>
      <c r="P569" s="20">
        <v>1955000</v>
      </c>
      <c r="Q569" s="20">
        <f t="shared" si="58"/>
        <v>1.338471202958962</v>
      </c>
      <c r="R569" s="20">
        <f t="shared" si="59"/>
        <v>17.343810377402658</v>
      </c>
      <c r="S569" s="20">
        <f t="shared" si="60"/>
        <v>0.33129806845535137</v>
      </c>
      <c r="T569" s="20">
        <f t="shared" si="61"/>
        <v>5.7388598602712379E-2</v>
      </c>
      <c r="U569" s="20">
        <f>IFERROR(IF(ISNUMBER(INDEX('Firm Master'!$E$2:$E$1000,MATCH($C569,'Firm Master'!$B$2:$B$1000,0))),INDEX('Firm Master'!$E$2:$E$1000,MATCH($C569,'Firm Master'!$B$2:$B$1000,0)),""),"")</f>
        <v>2009</v>
      </c>
      <c r="V569" s="21">
        <f t="shared" si="62"/>
        <v>14</v>
      </c>
      <c r="W569" s="21">
        <v>0</v>
      </c>
      <c r="X569" s="20" t="str">
        <f>IFERROR(INDEX('Firm Master'!$G$2:$G$1000,MATCH($C569,'Firm Master'!$B$2:$B$1000,0)),"")</f>
        <v>Gbenga Badejo &amp; Co. (non-Big4, FY2021-2025); succeeded by Deloitte Nigeria from 16th AGM 19-Jun-2026 (POST-STUDY-WINDOW, informational only)</v>
      </c>
    </row>
    <row r="570" spans="1:24" ht="27.75" customHeight="1" x14ac:dyDescent="0.3">
      <c r="A570" s="11">
        <v>569</v>
      </c>
      <c r="B570" s="11">
        <v>114</v>
      </c>
      <c r="C570" s="11" t="s">
        <v>1244</v>
      </c>
      <c r="D570" s="11" t="s">
        <v>1245</v>
      </c>
      <c r="E570" s="11" t="s">
        <v>715</v>
      </c>
      <c r="F570" s="11">
        <v>2024</v>
      </c>
      <c r="G570" s="20">
        <f t="shared" si="56"/>
        <v>1</v>
      </c>
      <c r="H570" s="21">
        <v>0</v>
      </c>
      <c r="I570" s="21">
        <f>IFERROR(INDEX('Coding Sheet'!$AC$2:$AC$731,MATCH($B570&amp;"_"&amp;$F570,'Coding Sheet'!$A$2:$A$731,0)),"")</f>
        <v>0</v>
      </c>
      <c r="J570" s="7">
        <f>IFERROR(INDEX('Coding Sheet'!$AT$2:$AT$731,MATCH($B570&amp;"_"&amp;$F570,'Coding Sheet'!$A$2:$A$731,0)),"")</f>
        <v>0</v>
      </c>
      <c r="K570" s="21">
        <v>1354000000</v>
      </c>
      <c r="L570" s="21">
        <v>33.450000000000003</v>
      </c>
      <c r="M570" s="20">
        <f t="shared" si="57"/>
        <v>45291300.000000007</v>
      </c>
      <c r="N570" s="21">
        <v>12514000</v>
      </c>
      <c r="O570" s="21">
        <v>41780000</v>
      </c>
      <c r="P570" s="20">
        <v>4834000</v>
      </c>
      <c r="Q570" s="20">
        <f t="shared" si="58"/>
        <v>1.3835639061752036</v>
      </c>
      <c r="R570" s="20">
        <f t="shared" si="59"/>
        <v>17.547928314092694</v>
      </c>
      <c r="S570" s="20">
        <f t="shared" si="60"/>
        <v>0.29952130205840116</v>
      </c>
      <c r="T570" s="20">
        <f t="shared" si="61"/>
        <v>0.11570129248444232</v>
      </c>
      <c r="U570" s="20">
        <f>IFERROR(IF(ISNUMBER(INDEX('Firm Master'!$E$2:$E$1000,MATCH($C570,'Firm Master'!$B$2:$B$1000,0))),INDEX('Firm Master'!$E$2:$E$1000,MATCH($C570,'Firm Master'!$B$2:$B$1000,0)),""),"")</f>
        <v>2009</v>
      </c>
      <c r="V570" s="21">
        <f t="shared" si="62"/>
        <v>15</v>
      </c>
      <c r="W570" s="21">
        <v>0</v>
      </c>
      <c r="X570" s="20" t="str">
        <f>IFERROR(INDEX('Firm Master'!$G$2:$G$1000,MATCH($C570,'Firm Master'!$B$2:$B$1000,0)),"")</f>
        <v>Gbenga Badejo &amp; Co. (non-Big4, FY2021-2025); succeeded by Deloitte Nigeria from 16th AGM 19-Jun-2026 (POST-STUDY-WINDOW, informational only)</v>
      </c>
    </row>
    <row r="571" spans="1:24" ht="27.75" customHeight="1" x14ac:dyDescent="0.3">
      <c r="A571" s="11">
        <v>570</v>
      </c>
      <c r="B571" s="11">
        <v>114</v>
      </c>
      <c r="C571" s="11" t="s">
        <v>1244</v>
      </c>
      <c r="D571" s="11" t="s">
        <v>1245</v>
      </c>
      <c r="E571" s="11" t="s">
        <v>715</v>
      </c>
      <c r="F571" s="11">
        <v>2025</v>
      </c>
      <c r="G571" s="20">
        <f t="shared" si="56"/>
        <v>1</v>
      </c>
      <c r="H571" s="21">
        <v>0</v>
      </c>
      <c r="I571" s="21">
        <f>IFERROR(INDEX('Coding Sheet'!$AC$2:$AC$731,MATCH($B571&amp;"_"&amp;$F571,'Coding Sheet'!$A$2:$A$731,0)),"")</f>
        <v>0</v>
      </c>
      <c r="J571" s="7">
        <f>IFERROR(INDEX('Coding Sheet'!$AT$2:$AT$731,MATCH($B571&amp;"_"&amp;$F571,'Coding Sheet'!$A$2:$A$731,0)),"")</f>
        <v>0</v>
      </c>
      <c r="K571" s="21">
        <v>1354000000</v>
      </c>
      <c r="L571" s="21">
        <v>88.42</v>
      </c>
      <c r="M571" s="20">
        <f t="shared" si="57"/>
        <v>119720680</v>
      </c>
      <c r="N571" s="21">
        <v>20483000</v>
      </c>
      <c r="O571" s="21">
        <v>82692000</v>
      </c>
      <c r="P571" s="20">
        <v>9742000</v>
      </c>
      <c r="Q571" s="20">
        <f t="shared" si="58"/>
        <v>1.6954926716006384</v>
      </c>
      <c r="R571" s="20">
        <f t="shared" si="59"/>
        <v>18.230633420127344</v>
      </c>
      <c r="S571" s="20">
        <f t="shared" si="60"/>
        <v>0.24770231703187734</v>
      </c>
      <c r="T571" s="20">
        <f t="shared" si="61"/>
        <v>0.11781067092342669</v>
      </c>
      <c r="U571" s="20">
        <f>IFERROR(IF(ISNUMBER(INDEX('Firm Master'!$E$2:$E$1000,MATCH($C571,'Firm Master'!$B$2:$B$1000,0))),INDEX('Firm Master'!$E$2:$E$1000,MATCH($C571,'Firm Master'!$B$2:$B$1000,0)),""),"")</f>
        <v>2009</v>
      </c>
      <c r="V571" s="21">
        <f t="shared" si="62"/>
        <v>16</v>
      </c>
      <c r="W571" s="21">
        <v>0</v>
      </c>
      <c r="X571" s="20" t="str">
        <f>IFERROR(INDEX('Firm Master'!$G$2:$G$1000,MATCH($C571,'Firm Master'!$B$2:$B$1000,0)),"")</f>
        <v>Gbenga Badejo &amp; Co. (non-Big4, FY2021-2025); succeeded by Deloitte Nigeria from 16th AGM 19-Jun-2026 (POST-STUDY-WINDOW, informational only)</v>
      </c>
    </row>
    <row r="572" spans="1:24" ht="15" customHeight="1" x14ac:dyDescent="0.3">
      <c r="A572" s="11">
        <v>571</v>
      </c>
      <c r="B572" s="11">
        <v>115</v>
      </c>
      <c r="C572" s="11" t="s">
        <v>1249</v>
      </c>
      <c r="D572" s="11" t="s">
        <v>1250</v>
      </c>
      <c r="E572" s="11" t="s">
        <v>709</v>
      </c>
      <c r="F572" s="11">
        <v>2021</v>
      </c>
      <c r="G572" s="20">
        <f t="shared" si="56"/>
        <v>0</v>
      </c>
      <c r="H572" s="21">
        <v>0</v>
      </c>
      <c r="I572" s="21">
        <f>IFERROR(INDEX('Coding Sheet'!$AC$2:$AC$731,MATCH($B572&amp;"_"&amp;$F572,'Coding Sheet'!$A$2:$A$731,0)),"")</f>
        <v>0</v>
      </c>
      <c r="J572" s="7">
        <f>IFERROR(INDEX('Coding Sheet'!$AT$2:$AT$731,MATCH($B572&amp;"_"&amp;$F572,'Coding Sheet'!$A$2:$A$731,0)),"")</f>
        <v>0</v>
      </c>
      <c r="K572" s="21">
        <v>8593000000</v>
      </c>
      <c r="L572" s="21">
        <v>0.39679999999999999</v>
      </c>
      <c r="M572" s="20">
        <f t="shared" si="57"/>
        <v>3409702.4</v>
      </c>
      <c r="N572" s="21">
        <v>6780000</v>
      </c>
      <c r="O572" s="21">
        <v>16397000</v>
      </c>
      <c r="P572" s="20">
        <v>974730</v>
      </c>
      <c r="Q572" s="20">
        <f t="shared" si="58"/>
        <v>0.62143699457217783</v>
      </c>
      <c r="R572" s="20">
        <f t="shared" si="59"/>
        <v>16.612608949232005</v>
      </c>
      <c r="S572" s="20">
        <f t="shared" si="60"/>
        <v>0.41349027261084342</v>
      </c>
      <c r="T572" s="20">
        <f t="shared" si="61"/>
        <v>5.9445630298225284E-2</v>
      </c>
      <c r="U572" s="20">
        <f>IFERROR(IF(ISNUMBER(INDEX('Firm Master'!$E$2:$E$1000,MATCH($C572,'Firm Master'!$B$2:$B$1000,0))),INDEX('Firm Master'!$E$2:$E$1000,MATCH($C572,'Firm Master'!$B$2:$B$1000,0)),""),"")</f>
        <v>1980</v>
      </c>
      <c r="V572" s="21">
        <f t="shared" si="62"/>
        <v>41</v>
      </c>
      <c r="W572" s="21">
        <v>0</v>
      </c>
      <c r="X572" s="20" t="str">
        <f>IFERROR(INDEX('Firm Master'!$G$2:$G$1000,MATCH($C572,'Firm Master'!$B$2:$B$1000,0)),"")</f>
        <v>PKF Professional Services</v>
      </c>
    </row>
    <row r="573" spans="1:24" ht="15" customHeight="1" x14ac:dyDescent="0.3">
      <c r="A573" s="11">
        <v>572</v>
      </c>
      <c r="B573" s="11">
        <v>115</v>
      </c>
      <c r="C573" s="11" t="s">
        <v>1249</v>
      </c>
      <c r="D573" s="11" t="s">
        <v>1250</v>
      </c>
      <c r="E573" s="11" t="s">
        <v>709</v>
      </c>
      <c r="F573" s="11">
        <v>2022</v>
      </c>
      <c r="G573" s="20">
        <f t="shared" si="56"/>
        <v>0</v>
      </c>
      <c r="H573" s="21">
        <v>0</v>
      </c>
      <c r="I573" s="21">
        <f>IFERROR(INDEX('Coding Sheet'!$AC$2:$AC$731,MATCH($B573&amp;"_"&amp;$F573,'Coding Sheet'!$A$2:$A$731,0)),"")</f>
        <v>0</v>
      </c>
      <c r="J573" s="7">
        <f>IFERROR(INDEX('Coding Sheet'!$AT$2:$AT$731,MATCH($B573&amp;"_"&amp;$F573,'Coding Sheet'!$A$2:$A$731,0)),"")</f>
        <v>0</v>
      </c>
      <c r="K573" s="21">
        <v>8593000000</v>
      </c>
      <c r="L573" s="21">
        <v>0.37</v>
      </c>
      <c r="M573" s="20">
        <f t="shared" si="57"/>
        <v>3179410</v>
      </c>
      <c r="N573" s="21">
        <v>6749000</v>
      </c>
      <c r="O573" s="21">
        <v>17154000</v>
      </c>
      <c r="P573" s="20">
        <v>1387000</v>
      </c>
      <c r="Q573" s="20">
        <f t="shared" si="58"/>
        <v>0.57878104232249039</v>
      </c>
      <c r="R573" s="20">
        <f t="shared" si="59"/>
        <v>16.657741940532503</v>
      </c>
      <c r="S573" s="20">
        <f t="shared" si="60"/>
        <v>0.39343593331001514</v>
      </c>
      <c r="T573" s="20">
        <f t="shared" si="61"/>
        <v>8.085577707823248E-2</v>
      </c>
      <c r="U573" s="20">
        <f>IFERROR(IF(ISNUMBER(INDEX('Firm Master'!$E$2:$E$1000,MATCH($C573,'Firm Master'!$B$2:$B$1000,0))),INDEX('Firm Master'!$E$2:$E$1000,MATCH($C573,'Firm Master'!$B$2:$B$1000,0)),""),"")</f>
        <v>1980</v>
      </c>
      <c r="V573" s="21">
        <f t="shared" si="62"/>
        <v>42</v>
      </c>
      <c r="W573" s="21">
        <v>0</v>
      </c>
      <c r="X573" s="20" t="str">
        <f>IFERROR(INDEX('Firm Master'!$G$2:$G$1000,MATCH($C573,'Firm Master'!$B$2:$B$1000,0)),"")</f>
        <v>PKF Professional Services</v>
      </c>
    </row>
    <row r="574" spans="1:24" ht="15" customHeight="1" x14ac:dyDescent="0.3">
      <c r="A574" s="11">
        <v>573</v>
      </c>
      <c r="B574" s="11">
        <v>115</v>
      </c>
      <c r="C574" s="11" t="s">
        <v>1249</v>
      </c>
      <c r="D574" s="11" t="s">
        <v>1250</v>
      </c>
      <c r="E574" s="11" t="s">
        <v>709</v>
      </c>
      <c r="F574" s="11">
        <v>2023</v>
      </c>
      <c r="G574" s="20">
        <f t="shared" si="56"/>
        <v>1</v>
      </c>
      <c r="H574" s="21">
        <v>0</v>
      </c>
      <c r="I574" s="21">
        <f>IFERROR(INDEX('Coding Sheet'!$AC$2:$AC$731,MATCH($B574&amp;"_"&amp;$F574,'Coding Sheet'!$A$2:$A$731,0)),"")</f>
        <v>0</v>
      </c>
      <c r="J574" s="7">
        <f>IFERROR(INDEX('Coding Sheet'!$AT$2:$AT$731,MATCH($B574&amp;"_"&amp;$F574,'Coding Sheet'!$A$2:$A$731,0)),"")</f>
        <v>0</v>
      </c>
      <c r="K574" s="21">
        <v>14228000000</v>
      </c>
      <c r="L574" s="21">
        <v>0.3352</v>
      </c>
      <c r="M574" s="20">
        <f t="shared" si="57"/>
        <v>4769225.5999999996</v>
      </c>
      <c r="N574" s="21">
        <v>9132000</v>
      </c>
      <c r="O574" s="21">
        <v>22761000</v>
      </c>
      <c r="P574" s="20">
        <v>1298000</v>
      </c>
      <c r="Q574" s="20">
        <f t="shared" si="58"/>
        <v>0.61074757699573834</v>
      </c>
      <c r="R574" s="20">
        <f t="shared" si="59"/>
        <v>16.94055910298832</v>
      </c>
      <c r="S574" s="20">
        <f t="shared" si="60"/>
        <v>0.40121260050085672</v>
      </c>
      <c r="T574" s="20">
        <f t="shared" si="61"/>
        <v>5.7027371380870787E-2</v>
      </c>
      <c r="U574" s="20">
        <f>IFERROR(IF(ISNUMBER(INDEX('Firm Master'!$E$2:$E$1000,MATCH($C574,'Firm Master'!$B$2:$B$1000,0))),INDEX('Firm Master'!$E$2:$E$1000,MATCH($C574,'Firm Master'!$B$2:$B$1000,0)),""),"")</f>
        <v>1980</v>
      </c>
      <c r="V574" s="21">
        <f t="shared" si="62"/>
        <v>43</v>
      </c>
      <c r="W574" s="21">
        <v>0</v>
      </c>
      <c r="X574" s="20" t="str">
        <f>IFERROR(INDEX('Firm Master'!$G$2:$G$1000,MATCH($C574,'Firm Master'!$B$2:$B$1000,0)),"")</f>
        <v>PKF Professional Services</v>
      </c>
    </row>
    <row r="575" spans="1:24" ht="15" customHeight="1" x14ac:dyDescent="0.3">
      <c r="A575" s="11">
        <v>574</v>
      </c>
      <c r="B575" s="11">
        <v>115</v>
      </c>
      <c r="C575" s="11" t="s">
        <v>1249</v>
      </c>
      <c r="D575" s="11" t="s">
        <v>1250</v>
      </c>
      <c r="E575" s="11" t="s">
        <v>709</v>
      </c>
      <c r="F575" s="11">
        <v>2024</v>
      </c>
      <c r="G575" s="20">
        <f t="shared" si="56"/>
        <v>1</v>
      </c>
      <c r="H575" s="21">
        <v>0</v>
      </c>
      <c r="I575" s="21">
        <f>IFERROR(INDEX('Coding Sheet'!$AC$2:$AC$731,MATCH($B575&amp;"_"&amp;$F575,'Coding Sheet'!$A$2:$A$731,0)),"")</f>
        <v>0</v>
      </c>
      <c r="J575" s="7">
        <f>IFERROR(INDEX('Coding Sheet'!$AT$2:$AT$731,MATCH($B575&amp;"_"&amp;$F575,'Coding Sheet'!$A$2:$A$731,0)),"")</f>
        <v>0</v>
      </c>
      <c r="K575" s="21">
        <v>14228000000</v>
      </c>
      <c r="L575" s="21">
        <v>1.1206</v>
      </c>
      <c r="M575" s="20">
        <f t="shared" si="57"/>
        <v>15943896.800000001</v>
      </c>
      <c r="N575" s="21">
        <v>12538000</v>
      </c>
      <c r="O575" s="21">
        <v>28312000</v>
      </c>
      <c r="P575" s="20">
        <v>2340000</v>
      </c>
      <c r="Q575" s="20">
        <f t="shared" si="58"/>
        <v>1.0060008759536592</v>
      </c>
      <c r="R575" s="20">
        <f t="shared" si="59"/>
        <v>17.158796301007435</v>
      </c>
      <c r="S575" s="20">
        <f t="shared" si="60"/>
        <v>0.44285108787793159</v>
      </c>
      <c r="T575" s="20">
        <f t="shared" si="61"/>
        <v>8.2650466233399264E-2</v>
      </c>
      <c r="U575" s="20">
        <f>IFERROR(IF(ISNUMBER(INDEX('Firm Master'!$E$2:$E$1000,MATCH($C575,'Firm Master'!$B$2:$B$1000,0))),INDEX('Firm Master'!$E$2:$E$1000,MATCH($C575,'Firm Master'!$B$2:$B$1000,0)),""),"")</f>
        <v>1980</v>
      </c>
      <c r="V575" s="21">
        <f t="shared" si="62"/>
        <v>44</v>
      </c>
      <c r="W575" s="21">
        <v>0</v>
      </c>
      <c r="X575" s="20" t="str">
        <f>IFERROR(INDEX('Firm Master'!$G$2:$G$1000,MATCH($C575,'Firm Master'!$B$2:$B$1000,0)),"")</f>
        <v>PKF Professional Services</v>
      </c>
    </row>
    <row r="576" spans="1:24" ht="15" customHeight="1" x14ac:dyDescent="0.3">
      <c r="A576" s="11">
        <v>575</v>
      </c>
      <c r="B576" s="11">
        <v>115</v>
      </c>
      <c r="C576" s="11" t="s">
        <v>1249</v>
      </c>
      <c r="D576" s="11" t="s">
        <v>1250</v>
      </c>
      <c r="E576" s="11" t="s">
        <v>709</v>
      </c>
      <c r="F576" s="11">
        <v>2025</v>
      </c>
      <c r="G576" s="20">
        <f t="shared" si="56"/>
        <v>1</v>
      </c>
      <c r="H576" s="21">
        <v>0</v>
      </c>
      <c r="I576" s="21">
        <f>IFERROR(INDEX('Coding Sheet'!$AC$2:$AC$731,MATCH($B576&amp;"_"&amp;$F576,'Coding Sheet'!$A$2:$A$731,0)),"")</f>
        <v>0</v>
      </c>
      <c r="J576" s="7">
        <f>IFERROR(INDEX('Coding Sheet'!$AT$2:$AT$731,MATCH($B576&amp;"_"&amp;$F576,'Coding Sheet'!$A$2:$A$731,0)),"")</f>
        <v>0</v>
      </c>
      <c r="K576" s="21">
        <v>14228000000</v>
      </c>
      <c r="L576" s="21">
        <v>3.8195999999999999</v>
      </c>
      <c r="M576" s="20">
        <f t="shared" si="57"/>
        <v>54345268.799999997</v>
      </c>
      <c r="N576" s="21">
        <v>12486000</v>
      </c>
      <c r="O576" s="21">
        <v>28315000</v>
      </c>
      <c r="P576" s="20">
        <v>663000</v>
      </c>
      <c r="Q576" s="20">
        <f t="shared" si="58"/>
        <v>2.3602779021719935</v>
      </c>
      <c r="R576" s="20">
        <f t="shared" si="59"/>
        <v>17.158902257530041</v>
      </c>
      <c r="S576" s="20">
        <f t="shared" si="60"/>
        <v>0.44096768497262934</v>
      </c>
      <c r="T576" s="20">
        <f t="shared" si="61"/>
        <v>2.3415150980045912E-2</v>
      </c>
      <c r="U576" s="20">
        <f>IFERROR(IF(ISNUMBER(INDEX('Firm Master'!$E$2:$E$1000,MATCH($C576,'Firm Master'!$B$2:$B$1000,0))),INDEX('Firm Master'!$E$2:$E$1000,MATCH($C576,'Firm Master'!$B$2:$B$1000,0)),""),"")</f>
        <v>1980</v>
      </c>
      <c r="V576" s="21">
        <f t="shared" si="62"/>
        <v>45</v>
      </c>
      <c r="W576" s="21">
        <v>0</v>
      </c>
      <c r="X576" s="20" t="str">
        <f>IFERROR(INDEX('Firm Master'!$G$2:$G$1000,MATCH($C576,'Firm Master'!$B$2:$B$1000,0)),"")</f>
        <v>PKF Professional Services</v>
      </c>
    </row>
    <row r="577" spans="1:24" ht="15" customHeight="1" x14ac:dyDescent="0.3">
      <c r="A577" s="16">
        <v>576</v>
      </c>
      <c r="B577" s="16">
        <v>116</v>
      </c>
      <c r="C577" s="16" t="s">
        <v>1253</v>
      </c>
      <c r="D577" s="16" t="s">
        <v>1254</v>
      </c>
      <c r="E577" s="16" t="s">
        <v>709</v>
      </c>
      <c r="F577" s="16">
        <v>2021</v>
      </c>
      <c r="G577" s="16">
        <f t="shared" si="56"/>
        <v>0</v>
      </c>
      <c r="H577" s="16">
        <v>0</v>
      </c>
      <c r="I577" s="16" t="str">
        <f>IFERROR(INDEX('Coding Sheet'!$AC$2:$AC$731,MATCH($B577&amp;"_"&amp;$F577,'Coding Sheet'!$A$2:$A$731,0)),"")</f>
        <v/>
      </c>
      <c r="J577" s="22" t="str">
        <f>IFERROR(INDEX('Coding Sheet'!$AT$2:$AT$731,MATCH($B577&amp;"_"&amp;$F577,'Coding Sheet'!$A$2:$A$731,0)),"")</f>
        <v/>
      </c>
      <c r="K577" s="16">
        <v>9341000000</v>
      </c>
      <c r="L577" s="16"/>
      <c r="M577" s="16" t="str">
        <f t="shared" si="57"/>
        <v/>
      </c>
      <c r="N577" s="16"/>
      <c r="O577" s="16"/>
      <c r="P577" s="16"/>
      <c r="Q577" s="16" t="str">
        <f t="shared" si="58"/>
        <v/>
      </c>
      <c r="R577" s="16" t="str">
        <f t="shared" si="59"/>
        <v/>
      </c>
      <c r="S577" s="16" t="str">
        <f t="shared" si="60"/>
        <v/>
      </c>
      <c r="T577" s="16" t="str">
        <f t="shared" si="61"/>
        <v/>
      </c>
      <c r="U577" s="16">
        <f>IFERROR(IF(ISNUMBER(INDEX('Firm Master'!$E$2:$E$1000,MATCH($C577,'Firm Master'!$B$2:$B$1000,0))),INDEX('Firm Master'!$E$2:$E$1000,MATCH($C577,'Firm Master'!$B$2:$B$1000,0)),""),"")</f>
        <v>1991</v>
      </c>
      <c r="V577" s="16">
        <f t="shared" si="62"/>
        <v>30</v>
      </c>
      <c r="W577" s="16">
        <v>0</v>
      </c>
      <c r="X577" s="16" t="str">
        <f>IFERROR(INDEX('Firm Master'!$G$2:$G$1000,MATCH($C577,'Firm Master'!$B$2:$B$1000,0)),"")</f>
        <v>UNRESOLVED for study window (PKF Professional Services confirmed only as of FY2020)</v>
      </c>
    </row>
    <row r="578" spans="1:24" ht="15" customHeight="1" x14ac:dyDescent="0.3">
      <c r="A578" s="16">
        <v>577</v>
      </c>
      <c r="B578" s="16">
        <v>116</v>
      </c>
      <c r="C578" s="16" t="s">
        <v>1253</v>
      </c>
      <c r="D578" s="16" t="s">
        <v>1254</v>
      </c>
      <c r="E578" s="16" t="s">
        <v>709</v>
      </c>
      <c r="F578" s="16">
        <v>2022</v>
      </c>
      <c r="G578" s="16">
        <f t="shared" ref="G578:G641" si="63">IF(F578&gt;=2023,1,0)</f>
        <v>0</v>
      </c>
      <c r="H578" s="16">
        <v>0</v>
      </c>
      <c r="I578" s="16" t="str">
        <f>IFERROR(INDEX('Coding Sheet'!$AC$2:$AC$731,MATCH($B578&amp;"_"&amp;$F578,'Coding Sheet'!$A$2:$A$731,0)),"")</f>
        <v/>
      </c>
      <c r="J578" s="22" t="str">
        <f>IFERROR(INDEX('Coding Sheet'!$AT$2:$AT$731,MATCH($B578&amp;"_"&amp;$F578,'Coding Sheet'!$A$2:$A$731,0)),"")</f>
        <v/>
      </c>
      <c r="K578" s="16">
        <v>9341000000</v>
      </c>
      <c r="L578" s="16"/>
      <c r="M578" s="16" t="str">
        <f t="shared" ref="M578:M641" si="64">IF(AND(ISNUMBER(K578),ISNUMBER(L578)),K578*L578/1000,"")</f>
        <v/>
      </c>
      <c r="N578" s="16"/>
      <c r="O578" s="16"/>
      <c r="P578" s="16"/>
      <c r="Q578" s="16" t="str">
        <f t="shared" ref="Q578:Q641" si="65">IF(AND(ISNUMBER(M578),ISNUMBER(N578),ISNUMBER(O578),O578&lt;&gt;0),(M578+N578)/O578,"")</f>
        <v/>
      </c>
      <c r="R578" s="16" t="str">
        <f t="shared" ref="R578:R641" si="66">IF(AND(ISNUMBER(O578),O578&gt;0),LN(O578),"")</f>
        <v/>
      </c>
      <c r="S578" s="16" t="str">
        <f t="shared" ref="S578:S641" si="67">IF(AND(ISNUMBER(N578),ISNUMBER(O578),O578&lt;&gt;0),N578/O578,"")</f>
        <v/>
      </c>
      <c r="T578" s="16" t="str">
        <f t="shared" ref="T578:T641" si="68">IF(AND(ISNUMBER(P578),ISNUMBER(O578),O578&lt;&gt;0),P578/O578,"")</f>
        <v/>
      </c>
      <c r="U578" s="16">
        <f>IFERROR(IF(ISNUMBER(INDEX('Firm Master'!$E$2:$E$1000,MATCH($C578,'Firm Master'!$B$2:$B$1000,0))),INDEX('Firm Master'!$E$2:$E$1000,MATCH($C578,'Firm Master'!$B$2:$B$1000,0)),""),"")</f>
        <v>1991</v>
      </c>
      <c r="V578" s="16">
        <f t="shared" ref="V578:V641" si="69">IF(ISNUMBER(U578),F578-U578,"")</f>
        <v>31</v>
      </c>
      <c r="W578" s="16">
        <v>0</v>
      </c>
      <c r="X578" s="16" t="str">
        <f>IFERROR(INDEX('Firm Master'!$G$2:$G$1000,MATCH($C578,'Firm Master'!$B$2:$B$1000,0)),"")</f>
        <v>UNRESOLVED for study window (PKF Professional Services confirmed only as of FY2020)</v>
      </c>
    </row>
    <row r="579" spans="1:24" ht="15" customHeight="1" x14ac:dyDescent="0.3">
      <c r="A579" s="16">
        <v>578</v>
      </c>
      <c r="B579" s="16">
        <v>116</v>
      </c>
      <c r="C579" s="16" t="s">
        <v>1253</v>
      </c>
      <c r="D579" s="16" t="s">
        <v>1254</v>
      </c>
      <c r="E579" s="16" t="s">
        <v>709</v>
      </c>
      <c r="F579" s="16">
        <v>2023</v>
      </c>
      <c r="G579" s="16">
        <f t="shared" si="63"/>
        <v>1</v>
      </c>
      <c r="H579" s="16">
        <v>0</v>
      </c>
      <c r="I579" s="16" t="str">
        <f>IFERROR(INDEX('Coding Sheet'!$AC$2:$AC$731,MATCH($B579&amp;"_"&amp;$F579,'Coding Sheet'!$A$2:$A$731,0)),"")</f>
        <v/>
      </c>
      <c r="J579" s="22" t="str">
        <f>IFERROR(INDEX('Coding Sheet'!$AT$2:$AT$731,MATCH($B579&amp;"_"&amp;$F579,'Coding Sheet'!$A$2:$A$731,0)),"")</f>
        <v/>
      </c>
      <c r="K579" s="16">
        <v>9341000000</v>
      </c>
      <c r="L579" s="16"/>
      <c r="M579" s="16" t="str">
        <f t="shared" si="64"/>
        <v/>
      </c>
      <c r="N579" s="16"/>
      <c r="O579" s="16"/>
      <c r="P579" s="16"/>
      <c r="Q579" s="16" t="str">
        <f t="shared" si="65"/>
        <v/>
      </c>
      <c r="R579" s="16" t="str">
        <f t="shared" si="66"/>
        <v/>
      </c>
      <c r="S579" s="16" t="str">
        <f t="shared" si="67"/>
        <v/>
      </c>
      <c r="T579" s="16" t="str">
        <f t="shared" si="68"/>
        <v/>
      </c>
      <c r="U579" s="16">
        <f>IFERROR(IF(ISNUMBER(INDEX('Firm Master'!$E$2:$E$1000,MATCH($C579,'Firm Master'!$B$2:$B$1000,0))),INDEX('Firm Master'!$E$2:$E$1000,MATCH($C579,'Firm Master'!$B$2:$B$1000,0)),""),"")</f>
        <v>1991</v>
      </c>
      <c r="V579" s="16">
        <f t="shared" si="69"/>
        <v>32</v>
      </c>
      <c r="W579" s="16">
        <v>0</v>
      </c>
      <c r="X579" s="16" t="str">
        <f>IFERROR(INDEX('Firm Master'!$G$2:$G$1000,MATCH($C579,'Firm Master'!$B$2:$B$1000,0)),"")</f>
        <v>UNRESOLVED for study window (PKF Professional Services confirmed only as of FY2020)</v>
      </c>
    </row>
    <row r="580" spans="1:24" ht="15" customHeight="1" x14ac:dyDescent="0.3">
      <c r="A580" s="16">
        <v>579</v>
      </c>
      <c r="B580" s="16">
        <v>116</v>
      </c>
      <c r="C580" s="16" t="s">
        <v>1253</v>
      </c>
      <c r="D580" s="16" t="s">
        <v>1254</v>
      </c>
      <c r="E580" s="16" t="s">
        <v>709</v>
      </c>
      <c r="F580" s="16">
        <v>2024</v>
      </c>
      <c r="G580" s="16">
        <f t="shared" si="63"/>
        <v>1</v>
      </c>
      <c r="H580" s="16">
        <v>0</v>
      </c>
      <c r="I580" s="16">
        <f>IFERROR(INDEX('Coding Sheet'!$AC$2:$AC$731,MATCH($B580&amp;"_"&amp;$F580,'Coding Sheet'!$A$2:$A$731,0)),"")</f>
        <v>0</v>
      </c>
      <c r="J580" s="22">
        <f>IFERROR(INDEX('Coding Sheet'!$AT$2:$AT$731,MATCH($B580&amp;"_"&amp;$F580,'Coding Sheet'!$A$2:$A$731,0)),"")</f>
        <v>0</v>
      </c>
      <c r="K580" s="16">
        <v>9341087609</v>
      </c>
      <c r="L580" s="16">
        <v>0.48</v>
      </c>
      <c r="M580" s="16">
        <f t="shared" si="64"/>
        <v>4483722.0523199998</v>
      </c>
      <c r="N580" s="16">
        <v>22680000</v>
      </c>
      <c r="O580" s="16">
        <v>2000000</v>
      </c>
      <c r="P580" s="16">
        <v>-9920000</v>
      </c>
      <c r="Q580" s="16">
        <f t="shared" si="65"/>
        <v>13.58186102616</v>
      </c>
      <c r="R580" s="16">
        <f t="shared" si="66"/>
        <v>14.508657738524219</v>
      </c>
      <c r="S580" s="16">
        <f t="shared" si="67"/>
        <v>11.34</v>
      </c>
      <c r="T580" s="16">
        <f t="shared" si="68"/>
        <v>-4.96</v>
      </c>
      <c r="U580" s="16">
        <f>IFERROR(IF(ISNUMBER(INDEX('Firm Master'!$E$2:$E$1000,MATCH($C580,'Firm Master'!$B$2:$B$1000,0))),INDEX('Firm Master'!$E$2:$E$1000,MATCH($C580,'Firm Master'!$B$2:$B$1000,0)),""),"")</f>
        <v>1991</v>
      </c>
      <c r="V580" s="16">
        <f t="shared" si="69"/>
        <v>33</v>
      </c>
      <c r="W580" s="16">
        <v>0</v>
      </c>
      <c r="X580" s="16" t="str">
        <f>IFERROR(INDEX('Firm Master'!$G$2:$G$1000,MATCH($C580,'Firm Master'!$B$2:$B$1000,0)),"")</f>
        <v>UNRESOLVED for study window (PKF Professional Services confirmed only as of FY2020)</v>
      </c>
    </row>
    <row r="581" spans="1:24" ht="15" customHeight="1" x14ac:dyDescent="0.3">
      <c r="A581" s="16">
        <v>580</v>
      </c>
      <c r="B581" s="16">
        <v>116</v>
      </c>
      <c r="C581" s="16" t="s">
        <v>1253</v>
      </c>
      <c r="D581" s="16" t="s">
        <v>1254</v>
      </c>
      <c r="E581" s="16" t="s">
        <v>709</v>
      </c>
      <c r="F581" s="16">
        <v>2025</v>
      </c>
      <c r="G581" s="16">
        <f t="shared" si="63"/>
        <v>1</v>
      </c>
      <c r="H581" s="16">
        <v>0</v>
      </c>
      <c r="I581" s="16" t="str">
        <f>IFERROR(INDEX('Coding Sheet'!$AC$2:$AC$731,MATCH($B581&amp;"_"&amp;$F581,'Coding Sheet'!$A$2:$A$731,0)),"")</f>
        <v/>
      </c>
      <c r="J581" s="22" t="str">
        <f>IFERROR(INDEX('Coding Sheet'!$AT$2:$AT$731,MATCH($B581&amp;"_"&amp;$F581,'Coding Sheet'!$A$2:$A$731,0)),"")</f>
        <v/>
      </c>
      <c r="K581" s="16">
        <v>9341000000</v>
      </c>
      <c r="L581" s="16"/>
      <c r="M581" s="16" t="str">
        <f t="shared" si="64"/>
        <v/>
      </c>
      <c r="N581" s="16"/>
      <c r="O581" s="16"/>
      <c r="P581" s="16"/>
      <c r="Q581" s="16" t="str">
        <f t="shared" si="65"/>
        <v/>
      </c>
      <c r="R581" s="16" t="str">
        <f t="shared" si="66"/>
        <v/>
      </c>
      <c r="S581" s="16" t="str">
        <f t="shared" si="67"/>
        <v/>
      </c>
      <c r="T581" s="16" t="str">
        <f t="shared" si="68"/>
        <v/>
      </c>
      <c r="U581" s="16">
        <f>IFERROR(IF(ISNUMBER(INDEX('Firm Master'!$E$2:$E$1000,MATCH($C581,'Firm Master'!$B$2:$B$1000,0))),INDEX('Firm Master'!$E$2:$E$1000,MATCH($C581,'Firm Master'!$B$2:$B$1000,0)),""),"")</f>
        <v>1991</v>
      </c>
      <c r="V581" s="16">
        <f t="shared" si="69"/>
        <v>34</v>
      </c>
      <c r="W581" s="16">
        <v>0</v>
      </c>
      <c r="X581" s="16" t="str">
        <f>IFERROR(INDEX('Firm Master'!$G$2:$G$1000,MATCH($C581,'Firm Master'!$B$2:$B$1000,0)),"")</f>
        <v>UNRESOLVED for study window (PKF Professional Services confirmed only as of FY2020)</v>
      </c>
    </row>
    <row r="582" spans="1:24" ht="15" customHeight="1" x14ac:dyDescent="0.3">
      <c r="A582" s="11">
        <v>581</v>
      </c>
      <c r="B582" s="11">
        <v>117</v>
      </c>
      <c r="C582" s="11" t="s">
        <v>1259</v>
      </c>
      <c r="D582" s="11" t="s">
        <v>1260</v>
      </c>
      <c r="E582" s="11" t="s">
        <v>709</v>
      </c>
      <c r="F582" s="11">
        <v>2021</v>
      </c>
      <c r="G582" s="20">
        <f t="shared" si="63"/>
        <v>0</v>
      </c>
      <c r="H582" s="21">
        <v>0</v>
      </c>
      <c r="I582" s="21">
        <f>IFERROR(INDEX('Coding Sheet'!$AC$2:$AC$731,MATCH($B582&amp;"_"&amp;$F582,'Coding Sheet'!$A$2:$A$731,0)),"")</f>
        <v>0</v>
      </c>
      <c r="J582" s="7">
        <f>IFERROR(INDEX('Coding Sheet'!$AT$2:$AT$731,MATCH($B582&amp;"_"&amp;$F582,'Coding Sheet'!$A$2:$A$731,0)),"")</f>
        <v>0</v>
      </c>
      <c r="K582" s="21">
        <v>12957000000</v>
      </c>
      <c r="L582" s="21">
        <v>36</v>
      </c>
      <c r="M582" s="20">
        <f t="shared" si="64"/>
        <v>466452000</v>
      </c>
      <c r="N582" s="21">
        <v>2365898000</v>
      </c>
      <c r="O582" s="21">
        <v>2742764000</v>
      </c>
      <c r="P582" s="20">
        <v>54378000</v>
      </c>
      <c r="Q582" s="20">
        <f t="shared" si="65"/>
        <v>1.0326626716698921</v>
      </c>
      <c r="R582" s="20">
        <f t="shared" si="66"/>
        <v>21.732232008014904</v>
      </c>
      <c r="S582" s="20">
        <f t="shared" si="67"/>
        <v>0.86259627149838625</v>
      </c>
      <c r="T582" s="20">
        <f t="shared" si="68"/>
        <v>1.9825985757433013E-2</v>
      </c>
      <c r="U582" s="20">
        <f>IFERROR(IF(ISNUMBER(INDEX('Firm Master'!$E$2:$E$1000,MATCH($C582,'Firm Master'!$B$2:$B$1000,0))),INDEX('Firm Master'!$E$2:$E$1000,MATCH($C582,'Firm Master'!$B$2:$B$1000,0)),""),"")</f>
        <v>2012</v>
      </c>
      <c r="V582" s="21">
        <f t="shared" si="69"/>
        <v>9</v>
      </c>
      <c r="W582" s="21">
        <v>1</v>
      </c>
      <c r="X582" s="20" t="str">
        <f>IFERROR(INDEX('Firm Master'!$G$2:$G$1000,MATCH($C582,'Firm Master'!$B$2:$B$1000,0)),"")</f>
        <v>PricewaterhouseCoopers</v>
      </c>
    </row>
    <row r="583" spans="1:24" ht="15" customHeight="1" x14ac:dyDescent="0.3">
      <c r="A583" s="11">
        <v>582</v>
      </c>
      <c r="B583" s="11">
        <v>117</v>
      </c>
      <c r="C583" s="11" t="s">
        <v>1259</v>
      </c>
      <c r="D583" s="11" t="s">
        <v>1260</v>
      </c>
      <c r="E583" s="11" t="s">
        <v>709</v>
      </c>
      <c r="F583" s="11">
        <v>2022</v>
      </c>
      <c r="G583" s="20">
        <f t="shared" si="63"/>
        <v>0</v>
      </c>
      <c r="H583" s="21">
        <v>0</v>
      </c>
      <c r="I583" s="21">
        <f>IFERROR(INDEX('Coding Sheet'!$AC$2:$AC$731,MATCH($B583&amp;"_"&amp;$F583,'Coding Sheet'!$A$2:$A$731,0)),"")</f>
        <v>0</v>
      </c>
      <c r="J583" s="7">
        <f>IFERROR(INDEX('Coding Sheet'!$AT$2:$AT$731,MATCH($B583&amp;"_"&amp;$F583,'Coding Sheet'!$A$2:$A$731,0)),"")</f>
        <v>0</v>
      </c>
      <c r="K583" s="21">
        <v>12957000000</v>
      </c>
      <c r="L583" s="21">
        <v>33.451000000000001</v>
      </c>
      <c r="M583" s="20">
        <f t="shared" si="64"/>
        <v>433424607</v>
      </c>
      <c r="N583" s="21">
        <v>2621456000</v>
      </c>
      <c r="O583" s="21">
        <v>3029026000</v>
      </c>
      <c r="P583" s="20">
        <v>78042000</v>
      </c>
      <c r="Q583" s="20">
        <f t="shared" si="65"/>
        <v>1.0085356173898805</v>
      </c>
      <c r="R583" s="20">
        <f t="shared" si="66"/>
        <v>21.831506952645658</v>
      </c>
      <c r="S583" s="20">
        <f t="shared" si="67"/>
        <v>0.86544519591446223</v>
      </c>
      <c r="T583" s="20">
        <f t="shared" si="68"/>
        <v>2.5764717767361521E-2</v>
      </c>
      <c r="U583" s="20">
        <f>IFERROR(IF(ISNUMBER(INDEX('Firm Master'!$E$2:$E$1000,MATCH($C583,'Firm Master'!$B$2:$B$1000,0))),INDEX('Firm Master'!$E$2:$E$1000,MATCH($C583,'Firm Master'!$B$2:$B$1000,0)),""),"")</f>
        <v>2012</v>
      </c>
      <c r="V583" s="21">
        <f t="shared" si="69"/>
        <v>10</v>
      </c>
      <c r="W583" s="21">
        <v>1</v>
      </c>
      <c r="X583" s="20" t="str">
        <f>IFERROR(INDEX('Firm Master'!$G$2:$G$1000,MATCH($C583,'Firm Master'!$B$2:$B$1000,0)),"")</f>
        <v>PricewaterhouseCoopers</v>
      </c>
    </row>
    <row r="584" spans="1:24" ht="15" customHeight="1" x14ac:dyDescent="0.3">
      <c r="A584" s="11">
        <v>583</v>
      </c>
      <c r="B584" s="11">
        <v>117</v>
      </c>
      <c r="C584" s="11" t="s">
        <v>1259</v>
      </c>
      <c r="D584" s="11" t="s">
        <v>1260</v>
      </c>
      <c r="E584" s="11" t="s">
        <v>709</v>
      </c>
      <c r="F584" s="11">
        <v>2023</v>
      </c>
      <c r="G584" s="20">
        <f t="shared" si="63"/>
        <v>1</v>
      </c>
      <c r="H584" s="21">
        <v>0</v>
      </c>
      <c r="I584" s="21">
        <f>IFERROR(INDEX('Coding Sheet'!$AC$2:$AC$731,MATCH($B584&amp;"_"&amp;$F584,'Coding Sheet'!$A$2:$A$731,0)),"")</f>
        <v>10</v>
      </c>
      <c r="J584" s="7">
        <f>IFERROR(INDEX('Coding Sheet'!$AT$2:$AT$731,MATCH($B584&amp;"_"&amp;$F584,'Coding Sheet'!$A$2:$A$731,0)),"")</f>
        <v>0</v>
      </c>
      <c r="K584" s="21">
        <v>12957000000</v>
      </c>
      <c r="L584" s="21">
        <v>69.652000000000001</v>
      </c>
      <c r="M584" s="20">
        <f t="shared" si="64"/>
        <v>902480964</v>
      </c>
      <c r="N584" s="21">
        <v>4638672000</v>
      </c>
      <c r="O584" s="21">
        <v>5145596000</v>
      </c>
      <c r="P584" s="20">
        <v>137582000</v>
      </c>
      <c r="Q584" s="20">
        <f t="shared" si="65"/>
        <v>1.0768729150131491</v>
      </c>
      <c r="R584" s="20">
        <f t="shared" si="66"/>
        <v>22.36140704014538</v>
      </c>
      <c r="S584" s="20">
        <f t="shared" si="67"/>
        <v>0.90148390973562631</v>
      </c>
      <c r="T584" s="20">
        <f t="shared" si="68"/>
        <v>2.6737816183003874E-2</v>
      </c>
      <c r="U584" s="20">
        <f>IFERROR(IF(ISNUMBER(INDEX('Firm Master'!$E$2:$E$1000,MATCH($C584,'Firm Master'!$B$2:$B$1000,0))),INDEX('Firm Master'!$E$2:$E$1000,MATCH($C584,'Firm Master'!$B$2:$B$1000,0)),""),"")</f>
        <v>2012</v>
      </c>
      <c r="V584" s="21">
        <f t="shared" si="69"/>
        <v>11</v>
      </c>
      <c r="W584" s="21">
        <v>1</v>
      </c>
      <c r="X584" s="20" t="str">
        <f>IFERROR(INDEX('Firm Master'!$G$2:$G$1000,MATCH($C584,'Firm Master'!$B$2:$B$1000,0)),"")</f>
        <v>PricewaterhouseCoopers</v>
      </c>
    </row>
    <row r="585" spans="1:24" ht="15" customHeight="1" x14ac:dyDescent="0.3">
      <c r="A585" s="11">
        <v>584</v>
      </c>
      <c r="B585" s="11">
        <v>117</v>
      </c>
      <c r="C585" s="11" t="s">
        <v>1259</v>
      </c>
      <c r="D585" s="11" t="s">
        <v>1260</v>
      </c>
      <c r="E585" s="11" t="s">
        <v>709</v>
      </c>
      <c r="F585" s="11">
        <v>2024</v>
      </c>
      <c r="G585" s="20">
        <f t="shared" si="63"/>
        <v>1</v>
      </c>
      <c r="H585" s="21">
        <v>0</v>
      </c>
      <c r="I585" s="21">
        <f>IFERROR(INDEX('Coding Sheet'!$AC$2:$AC$731,MATCH($B585&amp;"_"&amp;$F585,'Coding Sheet'!$A$2:$A$731,0)),"")</f>
        <v>10</v>
      </c>
      <c r="J585" s="7">
        <f>IFERROR(INDEX('Coding Sheet'!$AT$2:$AT$731,MATCH($B585&amp;"_"&amp;$F585,'Coding Sheet'!$A$2:$A$731,0)),"")</f>
        <v>0</v>
      </c>
      <c r="K585" s="21">
        <v>12957000000</v>
      </c>
      <c r="L585" s="21">
        <v>57.593000000000004</v>
      </c>
      <c r="M585" s="20">
        <f t="shared" si="64"/>
        <v>746232501</v>
      </c>
      <c r="N585" s="21">
        <v>6241444000</v>
      </c>
      <c r="O585" s="21">
        <v>6912092000</v>
      </c>
      <c r="P585" s="20">
        <v>221606000</v>
      </c>
      <c r="Q585" s="20">
        <f t="shared" si="65"/>
        <v>1.0109351121194567</v>
      </c>
      <c r="R585" s="20">
        <f t="shared" si="66"/>
        <v>22.656538178544771</v>
      </c>
      <c r="S585" s="20">
        <f t="shared" si="67"/>
        <v>0.90297467105472551</v>
      </c>
      <c r="T585" s="20">
        <f t="shared" si="68"/>
        <v>3.2060626507864766E-2</v>
      </c>
      <c r="U585" s="20">
        <f>IFERROR(IF(ISNUMBER(INDEX('Firm Master'!$E$2:$E$1000,MATCH($C585,'Firm Master'!$B$2:$B$1000,0))),INDEX('Firm Master'!$E$2:$E$1000,MATCH($C585,'Firm Master'!$B$2:$B$1000,0)),""),"")</f>
        <v>2012</v>
      </c>
      <c r="V585" s="21">
        <f t="shared" si="69"/>
        <v>12</v>
      </c>
      <c r="W585" s="21">
        <v>1</v>
      </c>
      <c r="X585" s="20" t="str">
        <f>IFERROR(INDEX('Firm Master'!$G$2:$G$1000,MATCH($C585,'Firm Master'!$B$2:$B$1000,0)),"")</f>
        <v>PricewaterhouseCoopers</v>
      </c>
    </row>
    <row r="586" spans="1:24" ht="15" customHeight="1" x14ac:dyDescent="0.3">
      <c r="A586" s="11">
        <v>585</v>
      </c>
      <c r="B586" s="11">
        <v>117</v>
      </c>
      <c r="C586" s="11" t="s">
        <v>1259</v>
      </c>
      <c r="D586" s="11" t="s">
        <v>1260</v>
      </c>
      <c r="E586" s="11" t="s">
        <v>709</v>
      </c>
      <c r="F586" s="11">
        <v>2025</v>
      </c>
      <c r="G586" s="20">
        <f t="shared" si="63"/>
        <v>1</v>
      </c>
      <c r="H586" s="21">
        <v>0</v>
      </c>
      <c r="I586" s="21">
        <f>IFERROR(INDEX('Coding Sheet'!$AC$2:$AC$731,MATCH($B586&amp;"_"&amp;$F586,'Coding Sheet'!$A$2:$A$731,0)),"")</f>
        <v>0</v>
      </c>
      <c r="J586" s="7">
        <f>IFERROR(INDEX('Coding Sheet'!$AT$2:$AT$731,MATCH($B586&amp;"_"&amp;$F586,'Coding Sheet'!$A$2:$A$731,0)),"")</f>
        <v>0</v>
      </c>
      <c r="K586" s="21">
        <v>15902000000</v>
      </c>
      <c r="L586" s="21">
        <v>99.986999999999995</v>
      </c>
      <c r="M586" s="20">
        <f t="shared" si="64"/>
        <v>1589993274</v>
      </c>
      <c r="N586" s="21">
        <v>7496207000</v>
      </c>
      <c r="O586" s="21">
        <v>8620110000</v>
      </c>
      <c r="P586" s="20">
        <v>376530000</v>
      </c>
      <c r="Q586" s="20">
        <f t="shared" si="65"/>
        <v>1.0540701074580254</v>
      </c>
      <c r="R586" s="20">
        <f t="shared" si="66"/>
        <v>22.877363682561473</v>
      </c>
      <c r="S586" s="20">
        <f t="shared" si="67"/>
        <v>0.86961848514694129</v>
      </c>
      <c r="T586" s="20">
        <f t="shared" si="68"/>
        <v>4.3680417071243871E-2</v>
      </c>
      <c r="U586" s="20">
        <f>IFERROR(IF(ISNUMBER(INDEX('Firm Master'!$E$2:$E$1000,MATCH($C586,'Firm Master'!$B$2:$B$1000,0))),INDEX('Firm Master'!$E$2:$E$1000,MATCH($C586,'Firm Master'!$B$2:$B$1000,0)),""),"")</f>
        <v>2012</v>
      </c>
      <c r="V586" s="21">
        <f t="shared" si="69"/>
        <v>13</v>
      </c>
      <c r="W586" s="21">
        <v>1</v>
      </c>
      <c r="X586" s="20" t="str">
        <f>IFERROR(INDEX('Firm Master'!$G$2:$G$1000,MATCH($C586,'Firm Master'!$B$2:$B$1000,0)),"")</f>
        <v>PricewaterhouseCoopers</v>
      </c>
    </row>
    <row r="587" spans="1:24" ht="27.75" customHeight="1" x14ac:dyDescent="0.3">
      <c r="A587" s="11">
        <v>586</v>
      </c>
      <c r="B587" s="11">
        <v>118</v>
      </c>
      <c r="C587" s="11" t="s">
        <v>1263</v>
      </c>
      <c r="D587" s="11" t="s">
        <v>1264</v>
      </c>
      <c r="E587" s="11" t="s">
        <v>709</v>
      </c>
      <c r="F587" s="11">
        <v>2021</v>
      </c>
      <c r="G587" s="20">
        <f t="shared" si="63"/>
        <v>0</v>
      </c>
      <c r="H587" s="21">
        <v>0</v>
      </c>
      <c r="I587" s="21">
        <f>IFERROR(INDEX('Coding Sheet'!$AC$2:$AC$731,MATCH($B587&amp;"_"&amp;$F587,'Coding Sheet'!$A$2:$A$731,0)),"")</f>
        <v>0</v>
      </c>
      <c r="J587" s="7">
        <f>IFERROR(INDEX('Coding Sheet'!$AT$2:$AT$731,MATCH($B587&amp;"_"&amp;$F587,'Coding Sheet'!$A$2:$A$731,0)),"")</f>
        <v>0</v>
      </c>
      <c r="K587" s="21">
        <v>28790000000</v>
      </c>
      <c r="L587" s="21">
        <v>1.5098</v>
      </c>
      <c r="M587" s="20">
        <f t="shared" si="64"/>
        <v>43467142</v>
      </c>
      <c r="N587" s="21">
        <v>1487638000</v>
      </c>
      <c r="O587" s="21">
        <v>1629129000</v>
      </c>
      <c r="P587" s="20">
        <v>13515000</v>
      </c>
      <c r="Q587" s="20">
        <f t="shared" si="65"/>
        <v>0.93983051188702671</v>
      </c>
      <c r="R587" s="20">
        <f t="shared" si="66"/>
        <v>21.211311353117907</v>
      </c>
      <c r="S587" s="20">
        <f t="shared" si="67"/>
        <v>0.91314929634178754</v>
      </c>
      <c r="T587" s="20">
        <f t="shared" si="68"/>
        <v>8.2958439755231178E-3</v>
      </c>
      <c r="U587" s="20">
        <f>IFERROR(IF(ISNUMBER(INDEX('Firm Master'!$E$2:$E$1000,MATCH($C587,'Firm Master'!$B$2:$B$1000,0))),INDEX('Firm Master'!$E$2:$E$1000,MATCH($C587,'Firm Master'!$B$2:$B$1000,0)),""),"")</f>
        <v>2021</v>
      </c>
      <c r="V587" s="21">
        <f t="shared" si="69"/>
        <v>0</v>
      </c>
      <c r="W587" s="21">
        <v>1</v>
      </c>
      <c r="X587" s="20" t="str">
        <f>IFERROR(INDEX('Firm Master'!$G$2:$G$1000,MATCH($C587,'Firm Master'!$B$2:$B$1000,0)),"")</f>
        <v>Deloitte &amp; Touche</v>
      </c>
    </row>
    <row r="588" spans="1:24" ht="27.75" customHeight="1" x14ac:dyDescent="0.3">
      <c r="A588" s="11">
        <v>587</v>
      </c>
      <c r="B588" s="11">
        <v>118</v>
      </c>
      <c r="C588" s="11" t="s">
        <v>1263</v>
      </c>
      <c r="D588" s="11" t="s">
        <v>1264</v>
      </c>
      <c r="E588" s="11" t="s">
        <v>709</v>
      </c>
      <c r="F588" s="11">
        <v>2022</v>
      </c>
      <c r="G588" s="20">
        <f t="shared" si="63"/>
        <v>0</v>
      </c>
      <c r="H588" s="21">
        <v>0</v>
      </c>
      <c r="I588" s="21">
        <f>IFERROR(INDEX('Coding Sheet'!$AC$2:$AC$731,MATCH($B588&amp;"_"&amp;$F588,'Coding Sheet'!$A$2:$A$731,0)),"")</f>
        <v>0</v>
      </c>
      <c r="J588" s="7">
        <f>IFERROR(INDEX('Coding Sheet'!$AT$2:$AT$731,MATCH($B588&amp;"_"&amp;$F588,'Coding Sheet'!$A$2:$A$731,0)),"")</f>
        <v>0</v>
      </c>
      <c r="K588" s="21">
        <v>28790000000</v>
      </c>
      <c r="L588" s="21">
        <v>1.4000999999999999</v>
      </c>
      <c r="M588" s="20">
        <f t="shared" si="64"/>
        <v>40308879</v>
      </c>
      <c r="N588" s="21">
        <v>1703994000</v>
      </c>
      <c r="O588" s="21">
        <v>1857992000</v>
      </c>
      <c r="P588" s="20">
        <v>19298000</v>
      </c>
      <c r="Q588" s="20">
        <f t="shared" si="65"/>
        <v>0.93881075860391217</v>
      </c>
      <c r="R588" s="20">
        <f t="shared" si="66"/>
        <v>21.342762171623729</v>
      </c>
      <c r="S588" s="20">
        <f t="shared" si="67"/>
        <v>0.91711589716209763</v>
      </c>
      <c r="T588" s="20">
        <f t="shared" si="68"/>
        <v>1.0386481750190529E-2</v>
      </c>
      <c r="U588" s="20">
        <f>IFERROR(IF(ISNUMBER(INDEX('Firm Master'!$E$2:$E$1000,MATCH($C588,'Firm Master'!$B$2:$B$1000,0))),INDEX('Firm Master'!$E$2:$E$1000,MATCH($C588,'Firm Master'!$B$2:$B$1000,0)),""),"")</f>
        <v>2021</v>
      </c>
      <c r="V588" s="21">
        <f t="shared" si="69"/>
        <v>1</v>
      </c>
      <c r="W588" s="21">
        <v>1</v>
      </c>
      <c r="X588" s="20" t="str">
        <f>IFERROR(INDEX('Firm Master'!$G$2:$G$1000,MATCH($C588,'Firm Master'!$B$2:$B$1000,0)),"")</f>
        <v>Deloitte &amp; Touche</v>
      </c>
    </row>
    <row r="589" spans="1:24" ht="27.75" customHeight="1" x14ac:dyDescent="0.3">
      <c r="A589" s="11">
        <v>588</v>
      </c>
      <c r="B589" s="11">
        <v>118</v>
      </c>
      <c r="C589" s="11" t="s">
        <v>1263</v>
      </c>
      <c r="D589" s="11" t="s">
        <v>1264</v>
      </c>
      <c r="E589" s="11" t="s">
        <v>709</v>
      </c>
      <c r="F589" s="11">
        <v>2023</v>
      </c>
      <c r="G589" s="20">
        <f t="shared" si="63"/>
        <v>1</v>
      </c>
      <c r="H589" s="21">
        <v>0</v>
      </c>
      <c r="I589" s="21">
        <f>IFERROR(INDEX('Coding Sheet'!$AC$2:$AC$731,MATCH($B589&amp;"_"&amp;$F589,'Coding Sheet'!$A$2:$A$731,0)),"")</f>
        <v>0</v>
      </c>
      <c r="J589" s="7">
        <f>IFERROR(INDEX('Coding Sheet'!$AT$2:$AT$731,MATCH($B589&amp;"_"&amp;$F589,'Coding Sheet'!$A$2:$A$731,0)),"")</f>
        <v>0</v>
      </c>
      <c r="K589" s="21">
        <v>28790000000</v>
      </c>
      <c r="L589" s="21">
        <v>4.29</v>
      </c>
      <c r="M589" s="20">
        <f t="shared" si="64"/>
        <v>123509100</v>
      </c>
      <c r="N589" s="21">
        <v>2347488000</v>
      </c>
      <c r="O589" s="21">
        <v>2531092000</v>
      </c>
      <c r="P589" s="20">
        <v>21584000</v>
      </c>
      <c r="Q589" s="20">
        <f t="shared" si="65"/>
        <v>0.97625732292623102</v>
      </c>
      <c r="R589" s="20">
        <f t="shared" si="66"/>
        <v>21.651916667117842</v>
      </c>
      <c r="S589" s="20">
        <f t="shared" si="67"/>
        <v>0.92746055852572729</v>
      </c>
      <c r="T589" s="20">
        <f t="shared" si="68"/>
        <v>8.5275446329094312E-3</v>
      </c>
      <c r="U589" s="20">
        <f>IFERROR(IF(ISNUMBER(INDEX('Firm Master'!$E$2:$E$1000,MATCH($C589,'Firm Master'!$B$2:$B$1000,0))),INDEX('Firm Master'!$E$2:$E$1000,MATCH($C589,'Firm Master'!$B$2:$B$1000,0)),""),"")</f>
        <v>2021</v>
      </c>
      <c r="V589" s="21">
        <f t="shared" si="69"/>
        <v>2</v>
      </c>
      <c r="W589" s="21">
        <v>1</v>
      </c>
      <c r="X589" s="20" t="str">
        <f>IFERROR(INDEX('Firm Master'!$G$2:$G$1000,MATCH($C589,'Firm Master'!$B$2:$B$1000,0)),"")</f>
        <v>Deloitte &amp; Touche</v>
      </c>
    </row>
    <row r="590" spans="1:24" ht="27.75" customHeight="1" x14ac:dyDescent="0.3">
      <c r="A590" s="11">
        <v>589</v>
      </c>
      <c r="B590" s="11">
        <v>118</v>
      </c>
      <c r="C590" s="11" t="s">
        <v>1263</v>
      </c>
      <c r="D590" s="11" t="s">
        <v>1264</v>
      </c>
      <c r="E590" s="11" t="s">
        <v>709</v>
      </c>
      <c r="F590" s="11">
        <v>2024</v>
      </c>
      <c r="G590" s="20">
        <f t="shared" si="63"/>
        <v>1</v>
      </c>
      <c r="H590" s="21">
        <v>1</v>
      </c>
      <c r="I590" s="21">
        <f>IFERROR(INDEX('Coding Sheet'!$AC$2:$AC$731,MATCH($B590&amp;"_"&amp;$F590,'Coding Sheet'!$A$2:$A$731,0)),"")</f>
        <v>60</v>
      </c>
      <c r="J590" s="7">
        <f>IFERROR(INDEX('Coding Sheet'!$AT$2:$AT$731,MATCH($B590&amp;"_"&amp;$F590,'Coding Sheet'!$A$2:$A$731,0)),"")</f>
        <v>53.333333333333336</v>
      </c>
      <c r="K590" s="21">
        <v>45457000000</v>
      </c>
      <c r="L590" s="21">
        <v>3.5464000000000002</v>
      </c>
      <c r="M590" s="20">
        <f t="shared" si="64"/>
        <v>161208704.80000001</v>
      </c>
      <c r="N590" s="21">
        <v>3236781000</v>
      </c>
      <c r="O590" s="21">
        <v>3541940000</v>
      </c>
      <c r="P590" s="20">
        <v>43675000</v>
      </c>
      <c r="Q590" s="20">
        <f t="shared" si="65"/>
        <v>0.9593583473463696</v>
      </c>
      <c r="R590" s="20">
        <f t="shared" si="66"/>
        <v>21.987940436581418</v>
      </c>
      <c r="S590" s="20">
        <f t="shared" si="67"/>
        <v>0.91384410803119198</v>
      </c>
      <c r="T590" s="20">
        <f t="shared" si="68"/>
        <v>1.2330813057251111E-2</v>
      </c>
      <c r="U590" s="20">
        <f>IFERROR(IF(ISNUMBER(INDEX('Firm Master'!$E$2:$E$1000,MATCH($C590,'Firm Master'!$B$2:$B$1000,0))),INDEX('Firm Master'!$E$2:$E$1000,MATCH($C590,'Firm Master'!$B$2:$B$1000,0)),""),"")</f>
        <v>2021</v>
      </c>
      <c r="V590" s="21">
        <f t="shared" si="69"/>
        <v>3</v>
      </c>
      <c r="W590" s="21">
        <v>1</v>
      </c>
      <c r="X590" s="20" t="str">
        <f>IFERROR(INDEX('Firm Master'!$G$2:$G$1000,MATCH($C590,'Firm Master'!$B$2:$B$1000,0)),"")</f>
        <v>Deloitte &amp; Touche</v>
      </c>
    </row>
    <row r="591" spans="1:24" ht="27.75" customHeight="1" x14ac:dyDescent="0.3">
      <c r="A591" s="11">
        <v>590</v>
      </c>
      <c r="B591" s="11">
        <v>118</v>
      </c>
      <c r="C591" s="11" t="s">
        <v>1263</v>
      </c>
      <c r="D591" s="11" t="s">
        <v>1264</v>
      </c>
      <c r="E591" s="11" t="s">
        <v>709</v>
      </c>
      <c r="F591" s="11">
        <v>2025</v>
      </c>
      <c r="G591" s="20">
        <f t="shared" si="63"/>
        <v>1</v>
      </c>
      <c r="H591" s="21">
        <v>1</v>
      </c>
      <c r="I591" s="21">
        <f>IFERROR(INDEX('Coding Sheet'!$AC$2:$AC$731,MATCH($B591&amp;"_"&amp;$F591,'Coding Sheet'!$A$2:$A$731,0)),"")</f>
        <v>60</v>
      </c>
      <c r="J591" s="7">
        <f>IFERROR(INDEX('Coding Sheet'!$AT$2:$AT$731,MATCH($B591&amp;"_"&amp;$F591,'Coding Sheet'!$A$2:$A$731,0)),"")</f>
        <v>53.333333333333336</v>
      </c>
      <c r="K591" s="21">
        <v>54690000000</v>
      </c>
      <c r="L591" s="21">
        <v>6.7184999999999997</v>
      </c>
      <c r="M591" s="20">
        <f t="shared" si="64"/>
        <v>367434765</v>
      </c>
      <c r="N591" s="21">
        <v>3482939000</v>
      </c>
      <c r="O591" s="21">
        <v>3911642000</v>
      </c>
      <c r="P591" s="20">
        <v>78634000</v>
      </c>
      <c r="Q591" s="20">
        <f t="shared" si="65"/>
        <v>0.98433695235913721</v>
      </c>
      <c r="R591" s="20">
        <f t="shared" si="66"/>
        <v>22.087223071638952</v>
      </c>
      <c r="S591" s="20">
        <f t="shared" si="67"/>
        <v>0.89040331400470696</v>
      </c>
      <c r="T591" s="20">
        <f t="shared" si="68"/>
        <v>2.0102555397452017E-2</v>
      </c>
      <c r="U591" s="20">
        <f>IFERROR(IF(ISNUMBER(INDEX('Firm Master'!$E$2:$E$1000,MATCH($C591,'Firm Master'!$B$2:$B$1000,0))),INDEX('Firm Master'!$E$2:$E$1000,MATCH($C591,'Firm Master'!$B$2:$B$1000,0)),""),"")</f>
        <v>2021</v>
      </c>
      <c r="V591" s="21">
        <f t="shared" si="69"/>
        <v>4</v>
      </c>
      <c r="W591" s="21">
        <v>1</v>
      </c>
      <c r="X591" s="20" t="str">
        <f>IFERROR(INDEX('Firm Master'!$G$2:$G$1000,MATCH($C591,'Firm Master'!$B$2:$B$1000,0)),"")</f>
        <v>Deloitte &amp; Touche</v>
      </c>
    </row>
    <row r="592" spans="1:24" ht="15" customHeight="1" x14ac:dyDescent="0.3">
      <c r="A592" s="11">
        <v>591</v>
      </c>
      <c r="B592" s="11">
        <v>119</v>
      </c>
      <c r="C592" s="11" t="s">
        <v>1267</v>
      </c>
      <c r="D592" s="11" t="s">
        <v>1268</v>
      </c>
      <c r="E592" s="11" t="s">
        <v>709</v>
      </c>
      <c r="F592" s="11">
        <v>2021</v>
      </c>
      <c r="G592" s="20">
        <f t="shared" si="63"/>
        <v>0</v>
      </c>
      <c r="H592" s="21">
        <v>0</v>
      </c>
      <c r="I592" s="21">
        <f>IFERROR(INDEX('Coding Sheet'!$AC$2:$AC$731,MATCH($B592&amp;"_"&amp;$F592,'Coding Sheet'!$A$2:$A$731,0)),"")</f>
        <v>0</v>
      </c>
      <c r="J592" s="7">
        <f>IFERROR(INDEX('Coding Sheet'!$AT$2:$AT$731,MATCH($B592&amp;"_"&amp;$F592,'Coding Sheet'!$A$2:$A$731,0)),"")</f>
        <v>0</v>
      </c>
      <c r="K592" s="21">
        <v>5811000000</v>
      </c>
      <c r="L592" s="21">
        <v>0.44919999999999999</v>
      </c>
      <c r="M592" s="20">
        <f t="shared" si="64"/>
        <v>2610301.2000000002</v>
      </c>
      <c r="N592" s="21">
        <v>4577000</v>
      </c>
      <c r="O592" s="21">
        <v>11906000</v>
      </c>
      <c r="P592" s="20">
        <v>198730</v>
      </c>
      <c r="Q592" s="20">
        <f t="shared" si="65"/>
        <v>0.6036705190660171</v>
      </c>
      <c r="R592" s="20">
        <f t="shared" si="66"/>
        <v>16.292553032695473</v>
      </c>
      <c r="S592" s="20">
        <f t="shared" si="67"/>
        <v>0.38442801948597344</v>
      </c>
      <c r="T592" s="20">
        <f t="shared" si="68"/>
        <v>1.6691584075256172E-2</v>
      </c>
      <c r="U592" s="20">
        <f>IFERROR(IF(ISNUMBER(INDEX('Firm Master'!$E$2:$E$1000,MATCH($C592,'Firm Master'!$B$2:$B$1000,0))),INDEX('Firm Master'!$E$2:$E$1000,MATCH($C592,'Firm Master'!$B$2:$B$1000,0)),""),"")</f>
        <v>1984</v>
      </c>
      <c r="V592" s="21">
        <f t="shared" si="69"/>
        <v>37</v>
      </c>
      <c r="W592" s="21">
        <v>0</v>
      </c>
      <c r="X592" s="20" t="str">
        <f>IFERROR(INDEX('Firm Master'!$G$2:$G$1000,MATCH($C592,'Firm Master'!$B$2:$B$1000,0)),"")</f>
        <v>SIAO Partners</v>
      </c>
    </row>
    <row r="593" spans="1:24" ht="15" customHeight="1" x14ac:dyDescent="0.3">
      <c r="A593" s="11">
        <v>592</v>
      </c>
      <c r="B593" s="11">
        <v>119</v>
      </c>
      <c r="C593" s="11" t="s">
        <v>1267</v>
      </c>
      <c r="D593" s="11" t="s">
        <v>1268</v>
      </c>
      <c r="E593" s="11" t="s">
        <v>709</v>
      </c>
      <c r="F593" s="11">
        <v>2022</v>
      </c>
      <c r="G593" s="20">
        <f t="shared" si="63"/>
        <v>0</v>
      </c>
      <c r="H593" s="21">
        <v>0</v>
      </c>
      <c r="I593" s="21">
        <f>IFERROR(INDEX('Coding Sheet'!$AC$2:$AC$731,MATCH($B593&amp;"_"&amp;$F593,'Coding Sheet'!$A$2:$A$731,0)),"")</f>
        <v>0</v>
      </c>
      <c r="J593" s="7">
        <f>IFERROR(INDEX('Coding Sheet'!$AT$2:$AT$731,MATCH($B593&amp;"_"&amp;$F593,'Coding Sheet'!$A$2:$A$731,0)),"")</f>
        <v>0</v>
      </c>
      <c r="K593" s="21">
        <v>5811000000</v>
      </c>
      <c r="L593" s="21">
        <v>0.2908</v>
      </c>
      <c r="M593" s="20">
        <f t="shared" si="64"/>
        <v>1689838.8</v>
      </c>
      <c r="N593" s="21">
        <v>5346000</v>
      </c>
      <c r="O593" s="21">
        <v>13067000</v>
      </c>
      <c r="P593" s="20">
        <v>432900</v>
      </c>
      <c r="Q593" s="20">
        <f t="shared" si="65"/>
        <v>0.53844331522155042</v>
      </c>
      <c r="R593" s="20">
        <f t="shared" si="66"/>
        <v>16.385600525971284</v>
      </c>
      <c r="S593" s="20">
        <f t="shared" si="67"/>
        <v>0.40912221626999312</v>
      </c>
      <c r="T593" s="20">
        <f t="shared" si="68"/>
        <v>3.3129256906711563E-2</v>
      </c>
      <c r="U593" s="20">
        <f>IFERROR(IF(ISNUMBER(INDEX('Firm Master'!$E$2:$E$1000,MATCH($C593,'Firm Master'!$B$2:$B$1000,0))),INDEX('Firm Master'!$E$2:$E$1000,MATCH($C593,'Firm Master'!$B$2:$B$1000,0)),""),"")</f>
        <v>1984</v>
      </c>
      <c r="V593" s="21">
        <f t="shared" si="69"/>
        <v>38</v>
      </c>
      <c r="W593" s="21">
        <v>0</v>
      </c>
      <c r="X593" s="20" t="str">
        <f>IFERROR(INDEX('Firm Master'!$G$2:$G$1000,MATCH($C593,'Firm Master'!$B$2:$B$1000,0)),"")</f>
        <v>SIAO Partners</v>
      </c>
    </row>
    <row r="594" spans="1:24" ht="15" customHeight="1" x14ac:dyDescent="0.3">
      <c r="A594" s="11">
        <v>593</v>
      </c>
      <c r="B594" s="11">
        <v>119</v>
      </c>
      <c r="C594" s="11" t="s">
        <v>1267</v>
      </c>
      <c r="D594" s="11" t="s">
        <v>1268</v>
      </c>
      <c r="E594" s="11" t="s">
        <v>709</v>
      </c>
      <c r="F594" s="11">
        <v>2023</v>
      </c>
      <c r="G594" s="20">
        <f t="shared" si="63"/>
        <v>1</v>
      </c>
      <c r="H594" s="21">
        <v>0</v>
      </c>
      <c r="I594" s="21">
        <f>IFERROR(INDEX('Coding Sheet'!$AC$2:$AC$731,MATCH($B594&amp;"_"&amp;$F594,'Coding Sheet'!$A$2:$A$731,0)),"")</f>
        <v>0</v>
      </c>
      <c r="J594" s="7">
        <f>IFERROR(INDEX('Coding Sheet'!$AT$2:$AT$731,MATCH($B594&amp;"_"&amp;$F594,'Coding Sheet'!$A$2:$A$731,0)),"")</f>
        <v>0</v>
      </c>
      <c r="K594" s="21">
        <v>5811000000</v>
      </c>
      <c r="L594" s="21">
        <v>1.0994999999999999</v>
      </c>
      <c r="M594" s="20">
        <f t="shared" si="64"/>
        <v>6389194.5</v>
      </c>
      <c r="N594" s="21">
        <v>6633000</v>
      </c>
      <c r="O594" s="21">
        <v>16749000</v>
      </c>
      <c r="P594" s="20">
        <v>2633000</v>
      </c>
      <c r="Q594" s="20">
        <f t="shared" si="65"/>
        <v>0.77749086512627619</v>
      </c>
      <c r="R594" s="20">
        <f t="shared" si="66"/>
        <v>16.633849112960608</v>
      </c>
      <c r="S594" s="20">
        <f t="shared" si="67"/>
        <v>0.39602364320257927</v>
      </c>
      <c r="T594" s="20">
        <f t="shared" si="68"/>
        <v>0.15720341512926145</v>
      </c>
      <c r="U594" s="20">
        <f>IFERROR(IF(ISNUMBER(INDEX('Firm Master'!$E$2:$E$1000,MATCH($C594,'Firm Master'!$B$2:$B$1000,0))),INDEX('Firm Master'!$E$2:$E$1000,MATCH($C594,'Firm Master'!$B$2:$B$1000,0)),""),"")</f>
        <v>1984</v>
      </c>
      <c r="V594" s="21">
        <f t="shared" si="69"/>
        <v>39</v>
      </c>
      <c r="W594" s="21">
        <v>0</v>
      </c>
      <c r="X594" s="20" t="str">
        <f>IFERROR(INDEX('Firm Master'!$G$2:$G$1000,MATCH($C594,'Firm Master'!$B$2:$B$1000,0)),"")</f>
        <v>SIAO Partners</v>
      </c>
    </row>
    <row r="595" spans="1:24" ht="15" customHeight="1" x14ac:dyDescent="0.3">
      <c r="A595" s="11">
        <v>594</v>
      </c>
      <c r="B595" s="11">
        <v>119</v>
      </c>
      <c r="C595" s="11" t="s">
        <v>1267</v>
      </c>
      <c r="D595" s="11" t="s">
        <v>1268</v>
      </c>
      <c r="E595" s="11" t="s">
        <v>709</v>
      </c>
      <c r="F595" s="11">
        <v>2024</v>
      </c>
      <c r="G595" s="20">
        <f t="shared" si="63"/>
        <v>1</v>
      </c>
      <c r="H595" s="21">
        <v>0</v>
      </c>
      <c r="I595" s="21">
        <f>IFERROR(INDEX('Coding Sheet'!$AC$2:$AC$731,MATCH($B595&amp;"_"&amp;$F595,'Coding Sheet'!$A$2:$A$731,0)),"")</f>
        <v>0</v>
      </c>
      <c r="J595" s="7">
        <f>IFERROR(INDEX('Coding Sheet'!$AT$2:$AT$731,MATCH($B595&amp;"_"&amp;$F595,'Coding Sheet'!$A$2:$A$731,0)),"")</f>
        <v>0</v>
      </c>
      <c r="K595" s="21">
        <v>5811000000</v>
      </c>
      <c r="L595" s="21">
        <v>10.75</v>
      </c>
      <c r="M595" s="20">
        <f t="shared" si="64"/>
        <v>62468250</v>
      </c>
      <c r="N595" s="21">
        <v>9668000</v>
      </c>
      <c r="O595" s="21">
        <v>23316000</v>
      </c>
      <c r="P595" s="20">
        <v>3663000</v>
      </c>
      <c r="Q595" s="20">
        <f t="shared" si="65"/>
        <v>3.0938518613827415</v>
      </c>
      <c r="R595" s="20">
        <f t="shared" si="66"/>
        <v>16.964650378147578</v>
      </c>
      <c r="S595" s="20">
        <f t="shared" si="67"/>
        <v>0.41465088351346713</v>
      </c>
      <c r="T595" s="20">
        <f t="shared" si="68"/>
        <v>0.15710241893978383</v>
      </c>
      <c r="U595" s="20">
        <f>IFERROR(IF(ISNUMBER(INDEX('Firm Master'!$E$2:$E$1000,MATCH($C595,'Firm Master'!$B$2:$B$1000,0))),INDEX('Firm Master'!$E$2:$E$1000,MATCH($C595,'Firm Master'!$B$2:$B$1000,0)),""),"")</f>
        <v>1984</v>
      </c>
      <c r="V595" s="21">
        <f t="shared" si="69"/>
        <v>40</v>
      </c>
      <c r="W595" s="21">
        <v>0</v>
      </c>
      <c r="X595" s="20" t="str">
        <f>IFERROR(INDEX('Firm Master'!$G$2:$G$1000,MATCH($C595,'Firm Master'!$B$2:$B$1000,0)),"")</f>
        <v>SIAO Partners</v>
      </c>
    </row>
    <row r="596" spans="1:24" ht="15" customHeight="1" x14ac:dyDescent="0.3">
      <c r="A596" s="11">
        <v>595</v>
      </c>
      <c r="B596" s="11">
        <v>119</v>
      </c>
      <c r="C596" s="11" t="s">
        <v>1267</v>
      </c>
      <c r="D596" s="11" t="s">
        <v>1268</v>
      </c>
      <c r="E596" s="11" t="s">
        <v>709</v>
      </c>
      <c r="F596" s="11">
        <v>2025</v>
      </c>
      <c r="G596" s="20">
        <f t="shared" si="63"/>
        <v>1</v>
      </c>
      <c r="H596" s="21">
        <v>0</v>
      </c>
      <c r="I596" s="21">
        <f>IFERROR(INDEX('Coding Sheet'!$AC$2:$AC$731,MATCH($B596&amp;"_"&amp;$F596,'Coding Sheet'!$A$2:$A$731,0)),"")</f>
        <v>0</v>
      </c>
      <c r="J596" s="7">
        <f>IFERROR(INDEX('Coding Sheet'!$AT$2:$AT$731,MATCH($B596&amp;"_"&amp;$F596,'Coding Sheet'!$A$2:$A$731,0)),"")</f>
        <v>0</v>
      </c>
      <c r="K596" s="21">
        <v>5811000000</v>
      </c>
      <c r="L596" s="21">
        <v>5.5</v>
      </c>
      <c r="M596" s="20">
        <f t="shared" si="64"/>
        <v>31960500</v>
      </c>
      <c r="N596" s="21">
        <v>9883000</v>
      </c>
      <c r="O596" s="21">
        <v>24378000</v>
      </c>
      <c r="P596" s="20">
        <v>1443000</v>
      </c>
      <c r="Q596" s="20">
        <f t="shared" si="65"/>
        <v>1.7164451554680449</v>
      </c>
      <c r="R596" s="20">
        <f t="shared" si="66"/>
        <v>17.009191644197919</v>
      </c>
      <c r="S596" s="20">
        <f t="shared" si="67"/>
        <v>0.40540651407006317</v>
      </c>
      <c r="T596" s="20">
        <f t="shared" si="68"/>
        <v>5.9192714742800884E-2</v>
      </c>
      <c r="U596" s="20">
        <f>IFERROR(IF(ISNUMBER(INDEX('Firm Master'!$E$2:$E$1000,MATCH($C596,'Firm Master'!$B$2:$B$1000,0))),INDEX('Firm Master'!$E$2:$E$1000,MATCH($C596,'Firm Master'!$B$2:$B$1000,0)),""),"")</f>
        <v>1984</v>
      </c>
      <c r="V596" s="21">
        <f t="shared" si="69"/>
        <v>41</v>
      </c>
      <c r="W596" s="21">
        <v>0</v>
      </c>
      <c r="X596" s="20" t="str">
        <f>IFERROR(INDEX('Firm Master'!$G$2:$G$1000,MATCH($C596,'Firm Master'!$B$2:$B$1000,0)),"")</f>
        <v>SIAO Partners</v>
      </c>
    </row>
    <row r="597" spans="1:24" ht="15" customHeight="1" x14ac:dyDescent="0.3">
      <c r="A597" s="11">
        <v>596</v>
      </c>
      <c r="B597" s="11">
        <v>120</v>
      </c>
      <c r="C597" s="11" t="s">
        <v>1271</v>
      </c>
      <c r="D597" s="11" t="s">
        <v>1272</v>
      </c>
      <c r="E597" s="11" t="s">
        <v>715</v>
      </c>
      <c r="F597" s="11">
        <v>2021</v>
      </c>
      <c r="G597" s="20">
        <f t="shared" si="63"/>
        <v>0</v>
      </c>
      <c r="H597" s="21">
        <v>0</v>
      </c>
      <c r="I597" s="21">
        <f>IFERROR(INDEX('Coding Sheet'!$AC$2:$AC$731,MATCH($B597&amp;"_"&amp;$F597,'Coding Sheet'!$A$2:$A$731,0)),"")</f>
        <v>0</v>
      </c>
      <c r="J597" s="7">
        <f>IFERROR(INDEX('Coding Sheet'!$AT$2:$AT$731,MATCH($B597&amp;"_"&amp;$F597,'Coding Sheet'!$A$2:$A$731,0)),"")</f>
        <v>0</v>
      </c>
      <c r="K597" s="21">
        <v>3212000000</v>
      </c>
      <c r="L597" s="21">
        <v>0.2</v>
      </c>
      <c r="M597" s="20">
        <f t="shared" si="64"/>
        <v>642400</v>
      </c>
      <c r="N597" s="21">
        <v>2035000</v>
      </c>
      <c r="O597" s="21">
        <v>2235000</v>
      </c>
      <c r="P597" s="20">
        <v>-214820</v>
      </c>
      <c r="Q597" s="20">
        <f t="shared" si="65"/>
        <v>1.1979418344519015</v>
      </c>
      <c r="R597" s="20">
        <f t="shared" si="66"/>
        <v>14.619751786029806</v>
      </c>
      <c r="S597" s="20">
        <f t="shared" si="67"/>
        <v>0.91051454138702459</v>
      </c>
      <c r="T597" s="20">
        <f t="shared" si="68"/>
        <v>-9.6116331096196869E-2</v>
      </c>
      <c r="U597" s="20">
        <f>IFERROR(IF(ISNUMBER(INDEX('Firm Master'!$E$2:$E$1000,MATCH($C597,'Firm Master'!$B$2:$B$1000,0))),INDEX('Firm Master'!$E$2:$E$1000,MATCH($C597,'Firm Master'!$B$2:$B$1000,0)),""),"")</f>
        <v>1997</v>
      </c>
      <c r="V597" s="21">
        <f t="shared" si="69"/>
        <v>24</v>
      </c>
      <c r="W597" s="21">
        <v>0</v>
      </c>
      <c r="X597" s="20" t="str">
        <f>IFERROR(INDEX('Firm Master'!$G$2:$G$1000,MATCH($C597,'Firm Master'!$B$2:$B$1000,0)),"")</f>
        <v>Abiodun Aina &amp; Co</v>
      </c>
    </row>
    <row r="598" spans="1:24" ht="15" customHeight="1" x14ac:dyDescent="0.3">
      <c r="A598" s="11">
        <v>597</v>
      </c>
      <c r="B598" s="11">
        <v>120</v>
      </c>
      <c r="C598" s="11" t="s">
        <v>1271</v>
      </c>
      <c r="D598" s="11" t="s">
        <v>1272</v>
      </c>
      <c r="E598" s="11" t="s">
        <v>715</v>
      </c>
      <c r="F598" s="11">
        <v>2022</v>
      </c>
      <c r="G598" s="20">
        <f t="shared" si="63"/>
        <v>0</v>
      </c>
      <c r="H598" s="21">
        <v>0</v>
      </c>
      <c r="I598" s="21">
        <f>IFERROR(INDEX('Coding Sheet'!$AC$2:$AC$731,MATCH($B598&amp;"_"&amp;$F598,'Coding Sheet'!$A$2:$A$731,0)),"")</f>
        <v>0</v>
      </c>
      <c r="J598" s="7">
        <f>IFERROR(INDEX('Coding Sheet'!$AT$2:$AT$731,MATCH($B598&amp;"_"&amp;$F598,'Coding Sheet'!$A$2:$A$731,0)),"")</f>
        <v>0</v>
      </c>
      <c r="K598" s="21">
        <v>3212000000</v>
      </c>
      <c r="L598" s="21">
        <v>0.2</v>
      </c>
      <c r="M598" s="20">
        <f t="shared" si="64"/>
        <v>642400</v>
      </c>
      <c r="N598" s="21">
        <v>1892000</v>
      </c>
      <c r="O598" s="21">
        <v>2545000</v>
      </c>
      <c r="P598" s="20">
        <v>-264090</v>
      </c>
      <c r="Q598" s="20">
        <f t="shared" si="65"/>
        <v>0.99583497053045189</v>
      </c>
      <c r="R598" s="20">
        <f t="shared" si="66"/>
        <v>14.749641207966761</v>
      </c>
      <c r="S598" s="20">
        <f t="shared" si="67"/>
        <v>0.74341846758349706</v>
      </c>
      <c r="T598" s="20">
        <f t="shared" si="68"/>
        <v>-0.10376817288801572</v>
      </c>
      <c r="U598" s="20">
        <f>IFERROR(IF(ISNUMBER(INDEX('Firm Master'!$E$2:$E$1000,MATCH($C598,'Firm Master'!$B$2:$B$1000,0))),INDEX('Firm Master'!$E$2:$E$1000,MATCH($C598,'Firm Master'!$B$2:$B$1000,0)),""),"")</f>
        <v>1997</v>
      </c>
      <c r="V598" s="21">
        <f t="shared" si="69"/>
        <v>25</v>
      </c>
      <c r="W598" s="21">
        <v>0</v>
      </c>
      <c r="X598" s="20" t="str">
        <f>IFERROR(INDEX('Firm Master'!$G$2:$G$1000,MATCH($C598,'Firm Master'!$B$2:$B$1000,0)),"")</f>
        <v>Abiodun Aina &amp; Co</v>
      </c>
    </row>
    <row r="599" spans="1:24" ht="15" customHeight="1" x14ac:dyDescent="0.3">
      <c r="A599" s="11">
        <v>598</v>
      </c>
      <c r="B599" s="11">
        <v>120</v>
      </c>
      <c r="C599" s="11" t="s">
        <v>1271</v>
      </c>
      <c r="D599" s="11" t="s">
        <v>1272</v>
      </c>
      <c r="E599" s="11" t="s">
        <v>715</v>
      </c>
      <c r="F599" s="11">
        <v>2023</v>
      </c>
      <c r="G599" s="20">
        <f t="shared" si="63"/>
        <v>1</v>
      </c>
      <c r="H599" s="21">
        <v>0</v>
      </c>
      <c r="I599" s="21">
        <f>IFERROR(INDEX('Coding Sheet'!$AC$2:$AC$731,MATCH($B599&amp;"_"&amp;$F599,'Coding Sheet'!$A$2:$A$731,0)),"")</f>
        <v>0</v>
      </c>
      <c r="J599" s="7">
        <f>IFERROR(INDEX('Coding Sheet'!$AT$2:$AT$731,MATCH($B599&amp;"_"&amp;$F599,'Coding Sheet'!$A$2:$A$731,0)),"")</f>
        <v>0</v>
      </c>
      <c r="K599" s="21">
        <v>3212000000</v>
      </c>
      <c r="L599" s="21">
        <v>0.47010000000000002</v>
      </c>
      <c r="M599" s="20">
        <f t="shared" si="64"/>
        <v>1509961.2</v>
      </c>
      <c r="N599" s="21">
        <v>1888000</v>
      </c>
      <c r="O599" s="21">
        <v>2250000</v>
      </c>
      <c r="P599" s="20">
        <v>-290740</v>
      </c>
      <c r="Q599" s="20">
        <f t="shared" si="65"/>
        <v>1.510204977777778</v>
      </c>
      <c r="R599" s="20">
        <f t="shared" si="66"/>
        <v>14.626440774180603</v>
      </c>
      <c r="S599" s="20">
        <f t="shared" si="67"/>
        <v>0.83911111111111114</v>
      </c>
      <c r="T599" s="20">
        <f t="shared" si="68"/>
        <v>-0.12921777777777776</v>
      </c>
      <c r="U599" s="20">
        <f>IFERROR(IF(ISNUMBER(INDEX('Firm Master'!$E$2:$E$1000,MATCH($C599,'Firm Master'!$B$2:$B$1000,0))),INDEX('Firm Master'!$E$2:$E$1000,MATCH($C599,'Firm Master'!$B$2:$B$1000,0)),""),"")</f>
        <v>1997</v>
      </c>
      <c r="V599" s="21">
        <f t="shared" si="69"/>
        <v>26</v>
      </c>
      <c r="W599" s="21">
        <v>0</v>
      </c>
      <c r="X599" s="20" t="str">
        <f>IFERROR(INDEX('Firm Master'!$G$2:$G$1000,MATCH($C599,'Firm Master'!$B$2:$B$1000,0)),"")</f>
        <v>Abiodun Aina &amp; Co</v>
      </c>
    </row>
    <row r="600" spans="1:24" ht="15" customHeight="1" x14ac:dyDescent="0.3">
      <c r="A600" s="11">
        <v>599</v>
      </c>
      <c r="B600" s="11">
        <v>120</v>
      </c>
      <c r="C600" s="11" t="s">
        <v>1271</v>
      </c>
      <c r="D600" s="11" t="s">
        <v>1272</v>
      </c>
      <c r="E600" s="11" t="s">
        <v>715</v>
      </c>
      <c r="F600" s="11">
        <v>2024</v>
      </c>
      <c r="G600" s="20">
        <f t="shared" si="63"/>
        <v>1</v>
      </c>
      <c r="H600" s="21">
        <v>0</v>
      </c>
      <c r="I600" s="21">
        <f>IFERROR(INDEX('Coding Sheet'!$AC$2:$AC$731,MATCH($B600&amp;"_"&amp;$F600,'Coding Sheet'!$A$2:$A$731,0)),"")</f>
        <v>0</v>
      </c>
      <c r="J600" s="7">
        <f>IFERROR(INDEX('Coding Sheet'!$AT$2:$AT$731,MATCH($B600&amp;"_"&amp;$F600,'Coding Sheet'!$A$2:$A$731,0)),"")</f>
        <v>0</v>
      </c>
      <c r="K600" s="21">
        <v>5000000000</v>
      </c>
      <c r="L600" s="21">
        <v>2.0499999999999998</v>
      </c>
      <c r="M600" s="20">
        <f t="shared" si="64"/>
        <v>10250000</v>
      </c>
      <c r="N600" s="21">
        <v>1784000</v>
      </c>
      <c r="O600" s="21">
        <v>2954000</v>
      </c>
      <c r="P600" s="20">
        <v>-265590</v>
      </c>
      <c r="Q600" s="20">
        <f t="shared" si="65"/>
        <v>4.0737982396750168</v>
      </c>
      <c r="R600" s="20">
        <f t="shared" si="66"/>
        <v>14.898670742073461</v>
      </c>
      <c r="S600" s="20">
        <f t="shared" si="67"/>
        <v>0.60392687880839535</v>
      </c>
      <c r="T600" s="20">
        <f t="shared" si="68"/>
        <v>-8.990859851049425E-2</v>
      </c>
      <c r="U600" s="20">
        <f>IFERROR(IF(ISNUMBER(INDEX('Firm Master'!$E$2:$E$1000,MATCH($C600,'Firm Master'!$B$2:$B$1000,0))),INDEX('Firm Master'!$E$2:$E$1000,MATCH($C600,'Firm Master'!$B$2:$B$1000,0)),""),"")</f>
        <v>1997</v>
      </c>
      <c r="V600" s="21">
        <f t="shared" si="69"/>
        <v>27</v>
      </c>
      <c r="W600" s="21">
        <v>0</v>
      </c>
      <c r="X600" s="20" t="str">
        <f>IFERROR(INDEX('Firm Master'!$G$2:$G$1000,MATCH($C600,'Firm Master'!$B$2:$B$1000,0)),"")</f>
        <v>Abiodun Aina &amp; Co</v>
      </c>
    </row>
    <row r="601" spans="1:24" ht="15" customHeight="1" x14ac:dyDescent="0.3">
      <c r="A601" s="11">
        <v>600</v>
      </c>
      <c r="B601" s="11">
        <v>120</v>
      </c>
      <c r="C601" s="11" t="s">
        <v>1271</v>
      </c>
      <c r="D601" s="11" t="s">
        <v>1272</v>
      </c>
      <c r="E601" s="11" t="s">
        <v>715</v>
      </c>
      <c r="F601" s="11">
        <v>2025</v>
      </c>
      <c r="G601" s="20">
        <f t="shared" si="63"/>
        <v>1</v>
      </c>
      <c r="H601" s="21">
        <v>0</v>
      </c>
      <c r="I601" s="21">
        <f>IFERROR(INDEX('Coding Sheet'!$AC$2:$AC$731,MATCH($B601&amp;"_"&amp;$F601,'Coding Sheet'!$A$2:$A$731,0)),"")</f>
        <v>0</v>
      </c>
      <c r="J601" s="7">
        <f>IFERROR(INDEX('Coding Sheet'!$AT$2:$AT$731,MATCH($B601&amp;"_"&amp;$F601,'Coding Sheet'!$A$2:$A$731,0)),"")</f>
        <v>0</v>
      </c>
      <c r="K601" s="21">
        <v>5000000000</v>
      </c>
      <c r="L601" s="21">
        <v>2.5</v>
      </c>
      <c r="M601" s="20">
        <f t="shared" si="64"/>
        <v>12500000</v>
      </c>
      <c r="N601" s="21">
        <v>8676000</v>
      </c>
      <c r="O601" s="21">
        <v>13395000</v>
      </c>
      <c r="P601" s="20">
        <v>72740</v>
      </c>
      <c r="Q601" s="20">
        <f t="shared" si="65"/>
        <v>1.5808883911907428</v>
      </c>
      <c r="R601" s="20">
        <f t="shared" si="66"/>
        <v>16.410392060960845</v>
      </c>
      <c r="S601" s="20">
        <f t="shared" si="67"/>
        <v>0.64770436730123182</v>
      </c>
      <c r="T601" s="20">
        <f t="shared" si="68"/>
        <v>5.4303844718178425E-3</v>
      </c>
      <c r="U601" s="20">
        <f>IFERROR(IF(ISNUMBER(INDEX('Firm Master'!$E$2:$E$1000,MATCH($C601,'Firm Master'!$B$2:$B$1000,0))),INDEX('Firm Master'!$E$2:$E$1000,MATCH($C601,'Firm Master'!$B$2:$B$1000,0)),""),"")</f>
        <v>1997</v>
      </c>
      <c r="V601" s="21">
        <f t="shared" si="69"/>
        <v>28</v>
      </c>
      <c r="W601" s="21">
        <v>0</v>
      </c>
      <c r="X601" s="20" t="str">
        <f>IFERROR(INDEX('Firm Master'!$G$2:$G$1000,MATCH($C601,'Firm Master'!$B$2:$B$1000,0)),"")</f>
        <v>Abiodun Aina &amp; Co</v>
      </c>
    </row>
    <row r="602" spans="1:24" ht="27.75" customHeight="1" x14ac:dyDescent="0.3">
      <c r="A602" s="16">
        <v>601</v>
      </c>
      <c r="B602" s="16">
        <v>121</v>
      </c>
      <c r="C602" s="16" t="s">
        <v>1276</v>
      </c>
      <c r="D602" s="16" t="s">
        <v>1277</v>
      </c>
      <c r="E602" s="16" t="s">
        <v>758</v>
      </c>
      <c r="F602" s="16">
        <v>2021</v>
      </c>
      <c r="G602" s="16">
        <f t="shared" si="63"/>
        <v>0</v>
      </c>
      <c r="H602" s="16">
        <v>0</v>
      </c>
      <c r="I602" s="16">
        <f>IFERROR(INDEX('Coding Sheet'!$AC$2:$AC$731,MATCH($B602&amp;"_"&amp;$F602,'Coding Sheet'!$A$2:$A$731,0)),"")</f>
        <v>0</v>
      </c>
      <c r="J602" s="22">
        <f>IFERROR(INDEX('Coding Sheet'!$AT$2:$AT$731,MATCH($B602&amp;"_"&amp;$F602,'Coding Sheet'!$A$2:$A$731,0)),"")</f>
        <v>0</v>
      </c>
      <c r="K602" s="16">
        <v>220000000</v>
      </c>
      <c r="L602" s="16">
        <v>0.35</v>
      </c>
      <c r="M602" s="16">
        <f t="shared" si="64"/>
        <v>77000</v>
      </c>
      <c r="N602" s="16">
        <v>815770</v>
      </c>
      <c r="O602" s="16">
        <v>437287</v>
      </c>
      <c r="P602" s="16">
        <v>16497</v>
      </c>
      <c r="Q602" s="16">
        <f t="shared" si="65"/>
        <v>2.0416111158118122</v>
      </c>
      <c r="R602" s="16">
        <f t="shared" si="66"/>
        <v>12.988345009083529</v>
      </c>
      <c r="S602" s="16">
        <f t="shared" si="67"/>
        <v>1.8655253872170909</v>
      </c>
      <c r="T602" s="16">
        <f t="shared" si="68"/>
        <v>3.7725795644508071E-2</v>
      </c>
      <c r="U602" s="16">
        <f>IFERROR(IF(ISNUMBER(INDEX('Firm Master'!$E$2:$E$1000,MATCH($C602,'Firm Master'!$B$2:$B$1000,0))),INDEX('Firm Master'!$E$2:$E$1000,MATCH($C602,'Firm Master'!$B$2:$B$1000,0)),""),"")</f>
        <v>1948</v>
      </c>
      <c r="V602" s="16">
        <f t="shared" si="69"/>
        <v>73</v>
      </c>
      <c r="W602" s="16">
        <v>0</v>
      </c>
      <c r="X602" s="16" t="str">
        <f>IFERROR(INDEX('Firm Master'!$G$2:$G$1000,MATCH($C602,'Firm Master'!$B$2:$B$1000,0)),"")</f>
        <v>Nexia Agbo Abel &amp; Co</v>
      </c>
    </row>
    <row r="603" spans="1:24" ht="27.75" customHeight="1" x14ac:dyDescent="0.3">
      <c r="A603" s="16">
        <v>602</v>
      </c>
      <c r="B603" s="16">
        <v>121</v>
      </c>
      <c r="C603" s="16" t="s">
        <v>1276</v>
      </c>
      <c r="D603" s="16" t="s">
        <v>1277</v>
      </c>
      <c r="E603" s="16" t="s">
        <v>758</v>
      </c>
      <c r="F603" s="16">
        <v>2022</v>
      </c>
      <c r="G603" s="16">
        <f t="shared" si="63"/>
        <v>0</v>
      </c>
      <c r="H603" s="16">
        <v>0</v>
      </c>
      <c r="I603" s="16">
        <f>IFERROR(INDEX('Coding Sheet'!$AC$2:$AC$731,MATCH($B603&amp;"_"&amp;$F603,'Coding Sheet'!$A$2:$A$731,0)),"")</f>
        <v>0</v>
      </c>
      <c r="J603" s="22">
        <f>IFERROR(INDEX('Coding Sheet'!$AT$2:$AT$731,MATCH($B603&amp;"_"&amp;$F603,'Coding Sheet'!$A$2:$A$731,0)),"")</f>
        <v>0</v>
      </c>
      <c r="K603" s="16">
        <v>220000000</v>
      </c>
      <c r="L603" s="16">
        <v>0.19539999999999999</v>
      </c>
      <c r="M603" s="16">
        <f t="shared" si="64"/>
        <v>42988</v>
      </c>
      <c r="N603" s="16">
        <v>706711</v>
      </c>
      <c r="O603" s="16">
        <v>397434</v>
      </c>
      <c r="P603" s="16">
        <v>69205</v>
      </c>
      <c r="Q603" s="16">
        <f t="shared" si="65"/>
        <v>1.8863484251473202</v>
      </c>
      <c r="R603" s="16">
        <f t="shared" si="66"/>
        <v>12.892784161554884</v>
      </c>
      <c r="S603" s="16">
        <f t="shared" si="67"/>
        <v>1.7781845539133541</v>
      </c>
      <c r="T603" s="16">
        <f t="shared" si="68"/>
        <v>0.17412954100555061</v>
      </c>
      <c r="U603" s="16">
        <f>IFERROR(IF(ISNUMBER(INDEX('Firm Master'!$E$2:$E$1000,MATCH($C603,'Firm Master'!$B$2:$B$1000,0))),INDEX('Firm Master'!$E$2:$E$1000,MATCH($C603,'Firm Master'!$B$2:$B$1000,0)),""),"")</f>
        <v>1948</v>
      </c>
      <c r="V603" s="16">
        <f t="shared" si="69"/>
        <v>74</v>
      </c>
      <c r="W603" s="16">
        <v>0</v>
      </c>
      <c r="X603" s="16" t="str">
        <f>IFERROR(INDEX('Firm Master'!$G$2:$G$1000,MATCH($C603,'Firm Master'!$B$2:$B$1000,0)),"")</f>
        <v>Nexia Agbo Abel &amp; Co</v>
      </c>
    </row>
    <row r="604" spans="1:24" ht="27.75" customHeight="1" x14ac:dyDescent="0.3">
      <c r="A604" s="16">
        <v>603</v>
      </c>
      <c r="B604" s="16">
        <v>121</v>
      </c>
      <c r="C604" s="16" t="s">
        <v>1276</v>
      </c>
      <c r="D604" s="16" t="s">
        <v>1277</v>
      </c>
      <c r="E604" s="16" t="s">
        <v>758</v>
      </c>
      <c r="F604" s="16">
        <v>2023</v>
      </c>
      <c r="G604" s="16">
        <f t="shared" si="63"/>
        <v>1</v>
      </c>
      <c r="H604" s="16">
        <v>0</v>
      </c>
      <c r="I604" s="16">
        <f>IFERROR(INDEX('Coding Sheet'!$AC$2:$AC$731,MATCH($B604&amp;"_"&amp;$F604,'Coding Sheet'!$A$2:$A$731,0)),"")</f>
        <v>0</v>
      </c>
      <c r="J604" s="22">
        <f>IFERROR(INDEX('Coding Sheet'!$AT$2:$AT$731,MATCH($B604&amp;"_"&amp;$F604,'Coding Sheet'!$A$2:$A$731,0)),"")</f>
        <v>0</v>
      </c>
      <c r="K604" s="16">
        <v>396000000</v>
      </c>
      <c r="L604" s="16">
        <v>0.53890000000000005</v>
      </c>
      <c r="M604" s="16">
        <f t="shared" si="64"/>
        <v>213404.40000000002</v>
      </c>
      <c r="N604" s="16">
        <v>501660</v>
      </c>
      <c r="O604" s="16">
        <v>1026000</v>
      </c>
      <c r="P604" s="16">
        <v>36750</v>
      </c>
      <c r="Q604" s="16">
        <f t="shared" si="65"/>
        <v>0.69694385964912287</v>
      </c>
      <c r="R604" s="16">
        <f t="shared" si="66"/>
        <v>13.841178304712852</v>
      </c>
      <c r="S604" s="16">
        <f t="shared" si="67"/>
        <v>0.48894736842105263</v>
      </c>
      <c r="T604" s="16">
        <f t="shared" si="68"/>
        <v>3.5818713450292396E-2</v>
      </c>
      <c r="U604" s="16">
        <f>IFERROR(IF(ISNUMBER(INDEX('Firm Master'!$E$2:$E$1000,MATCH($C604,'Firm Master'!$B$2:$B$1000,0))),INDEX('Firm Master'!$E$2:$E$1000,MATCH($C604,'Firm Master'!$B$2:$B$1000,0)),""),"")</f>
        <v>1948</v>
      </c>
      <c r="V604" s="16">
        <f t="shared" si="69"/>
        <v>75</v>
      </c>
      <c r="W604" s="16">
        <v>0</v>
      </c>
      <c r="X604" s="16" t="str">
        <f>IFERROR(INDEX('Firm Master'!$G$2:$G$1000,MATCH($C604,'Firm Master'!$B$2:$B$1000,0)),"")</f>
        <v>Nexia Agbo Abel &amp; Co</v>
      </c>
    </row>
    <row r="605" spans="1:24" ht="27.75" customHeight="1" x14ac:dyDescent="0.3">
      <c r="A605" s="16">
        <v>604</v>
      </c>
      <c r="B605" s="16">
        <v>121</v>
      </c>
      <c r="C605" s="16" t="s">
        <v>1276</v>
      </c>
      <c r="D605" s="16" t="s">
        <v>1277</v>
      </c>
      <c r="E605" s="16" t="s">
        <v>758</v>
      </c>
      <c r="F605" s="16">
        <v>2024</v>
      </c>
      <c r="G605" s="16">
        <f t="shared" si="63"/>
        <v>1</v>
      </c>
      <c r="H605" s="16">
        <v>0</v>
      </c>
      <c r="I605" s="16">
        <f>IFERROR(INDEX('Coding Sheet'!$AC$2:$AC$731,MATCH($B605&amp;"_"&amp;$F605,'Coding Sheet'!$A$2:$A$731,0)),"")</f>
        <v>0</v>
      </c>
      <c r="J605" s="22">
        <f>IFERROR(INDEX('Coding Sheet'!$AT$2:$AT$731,MATCH($B605&amp;"_"&amp;$F605,'Coding Sheet'!$A$2:$A$731,0)),"")</f>
        <v>0</v>
      </c>
      <c r="K605" s="16">
        <v>396000000</v>
      </c>
      <c r="L605" s="16">
        <v>2.702</v>
      </c>
      <c r="M605" s="16">
        <f t="shared" si="64"/>
        <v>1069992</v>
      </c>
      <c r="N605" s="16">
        <v>512039</v>
      </c>
      <c r="O605" s="16">
        <v>1023513</v>
      </c>
      <c r="P605" s="16">
        <v>-12455</v>
      </c>
      <c r="Q605" s="16">
        <f t="shared" si="65"/>
        <v>1.5456872555600174</v>
      </c>
      <c r="R605" s="16">
        <f t="shared" si="66"/>
        <v>13.838751385517229</v>
      </c>
      <c r="S605" s="16">
        <f t="shared" si="67"/>
        <v>0.50027601017280676</v>
      </c>
      <c r="T605" s="16">
        <f t="shared" si="68"/>
        <v>-1.216887328250838E-2</v>
      </c>
      <c r="U605" s="16">
        <f>IFERROR(IF(ISNUMBER(INDEX('Firm Master'!$E$2:$E$1000,MATCH($C605,'Firm Master'!$B$2:$B$1000,0))),INDEX('Firm Master'!$E$2:$E$1000,MATCH($C605,'Firm Master'!$B$2:$B$1000,0)),""),"")</f>
        <v>1948</v>
      </c>
      <c r="V605" s="16">
        <f t="shared" si="69"/>
        <v>76</v>
      </c>
      <c r="W605" s="16">
        <v>0</v>
      </c>
      <c r="X605" s="16" t="str">
        <f>IFERROR(INDEX('Firm Master'!$G$2:$G$1000,MATCH($C605,'Firm Master'!$B$2:$B$1000,0)),"")</f>
        <v>Nexia Agbo Abel &amp; Co</v>
      </c>
    </row>
    <row r="606" spans="1:24" ht="27.75" customHeight="1" x14ac:dyDescent="0.3">
      <c r="A606" s="16">
        <v>605</v>
      </c>
      <c r="B606" s="16">
        <v>121</v>
      </c>
      <c r="C606" s="16" t="s">
        <v>1276</v>
      </c>
      <c r="D606" s="16" t="s">
        <v>1277</v>
      </c>
      <c r="E606" s="16" t="s">
        <v>758</v>
      </c>
      <c r="F606" s="16">
        <v>2025</v>
      </c>
      <c r="G606" s="16">
        <f t="shared" si="63"/>
        <v>1</v>
      </c>
      <c r="H606" s="16">
        <v>0</v>
      </c>
      <c r="I606" s="16">
        <f>IFERROR(INDEX('Coding Sheet'!$AC$2:$AC$731,MATCH($B606&amp;"_"&amp;$F606,'Coding Sheet'!$A$2:$A$731,0)),"")</f>
        <v>0</v>
      </c>
      <c r="J606" s="22">
        <f>IFERROR(INDEX('Coding Sheet'!$AT$2:$AT$731,MATCH($B606&amp;"_"&amp;$F606,'Coding Sheet'!$A$2:$A$731,0)),"")</f>
        <v>0</v>
      </c>
      <c r="K606" s="16">
        <v>396000000</v>
      </c>
      <c r="L606" s="16">
        <v>1.89</v>
      </c>
      <c r="M606" s="16">
        <f t="shared" si="64"/>
        <v>748440</v>
      </c>
      <c r="N606" s="16">
        <v>590466</v>
      </c>
      <c r="O606" s="16">
        <v>1028500</v>
      </c>
      <c r="P606" s="16">
        <v>-4386</v>
      </c>
      <c r="Q606" s="16">
        <f t="shared" si="65"/>
        <v>1.301804569761789</v>
      </c>
      <c r="R606" s="16">
        <f t="shared" si="66"/>
        <v>13.843611988075148</v>
      </c>
      <c r="S606" s="16">
        <f t="shared" si="67"/>
        <v>0.57410403500243068</v>
      </c>
      <c r="T606" s="16">
        <f t="shared" si="68"/>
        <v>-4.2644628099173555E-3</v>
      </c>
      <c r="U606" s="16">
        <f>IFERROR(IF(ISNUMBER(INDEX('Firm Master'!$E$2:$E$1000,MATCH($C606,'Firm Master'!$B$2:$B$1000,0))),INDEX('Firm Master'!$E$2:$E$1000,MATCH($C606,'Firm Master'!$B$2:$B$1000,0)),""),"")</f>
        <v>1948</v>
      </c>
      <c r="V606" s="16">
        <f t="shared" si="69"/>
        <v>77</v>
      </c>
      <c r="W606" s="16">
        <v>0</v>
      </c>
      <c r="X606" s="16" t="str">
        <f>IFERROR(INDEX('Firm Master'!$G$2:$G$1000,MATCH($C606,'Firm Master'!$B$2:$B$1000,0)),"")</f>
        <v>Nexia Agbo Abel &amp; Co</v>
      </c>
    </row>
    <row r="607" spans="1:24" ht="15" customHeight="1" x14ac:dyDescent="0.3">
      <c r="A607" s="11">
        <v>606</v>
      </c>
      <c r="B607" s="11">
        <v>122</v>
      </c>
      <c r="C607" s="11" t="s">
        <v>1281</v>
      </c>
      <c r="D607" s="11" t="s">
        <v>1282</v>
      </c>
      <c r="E607" s="11" t="s">
        <v>715</v>
      </c>
      <c r="F607" s="11">
        <v>2021</v>
      </c>
      <c r="G607" s="20">
        <f t="shared" si="63"/>
        <v>0</v>
      </c>
      <c r="H607" s="21">
        <v>0</v>
      </c>
      <c r="I607" s="21">
        <f>IFERROR(INDEX('Coding Sheet'!$AC$2:$AC$731,MATCH($B607&amp;"_"&amp;$F607,'Coding Sheet'!$A$2:$A$731,0)),"")</f>
        <v>0</v>
      </c>
      <c r="J607" s="7">
        <f>IFERROR(INDEX('Coding Sheet'!$AT$2:$AT$731,MATCH($B607&amp;"_"&amp;$F607,'Coding Sheet'!$A$2:$A$731,0)),"")</f>
        <v>0</v>
      </c>
      <c r="K607" s="21">
        <v>889980000</v>
      </c>
      <c r="L607" s="21">
        <v>0.37</v>
      </c>
      <c r="M607" s="20">
        <f t="shared" si="64"/>
        <v>329292.59999999998</v>
      </c>
      <c r="N607" s="21">
        <v>1028000</v>
      </c>
      <c r="O607" s="21">
        <v>1794000</v>
      </c>
      <c r="P607" s="20">
        <v>-77240</v>
      </c>
      <c r="Q607" s="20">
        <f t="shared" si="65"/>
        <v>0.75657335562987738</v>
      </c>
      <c r="R607" s="20">
        <f t="shared" si="66"/>
        <v>14.399958321600879</v>
      </c>
      <c r="S607" s="20">
        <f t="shared" si="67"/>
        <v>0.57302118171683392</v>
      </c>
      <c r="T607" s="20">
        <f t="shared" si="68"/>
        <v>-4.3054626532887399E-2</v>
      </c>
      <c r="U607" s="20">
        <f>IFERROR(IF(ISNUMBER(INDEX('Firm Master'!$E$2:$E$1000,MATCH($C607,'Firm Master'!$B$2:$B$1000,0))),INDEX('Firm Master'!$E$2:$E$1000,MATCH($C607,'Firm Master'!$B$2:$B$1000,0)),""),"")</f>
        <v>1995</v>
      </c>
      <c r="V607" s="21">
        <f t="shared" si="69"/>
        <v>26</v>
      </c>
      <c r="W607" s="21">
        <v>0</v>
      </c>
      <c r="X607" s="20" t="str">
        <f>IFERROR(INDEX('Firm Master'!$G$2:$G$1000,MATCH($C607,'Firm Master'!$B$2:$B$1000,0)),"")</f>
        <v>Madu, Onyekwena &amp; Co.</v>
      </c>
    </row>
    <row r="608" spans="1:24" ht="15" customHeight="1" x14ac:dyDescent="0.3">
      <c r="A608" s="11">
        <v>607</v>
      </c>
      <c r="B608" s="11">
        <v>122</v>
      </c>
      <c r="C608" s="11" t="s">
        <v>1281</v>
      </c>
      <c r="D608" s="11" t="s">
        <v>1282</v>
      </c>
      <c r="E608" s="11" t="s">
        <v>715</v>
      </c>
      <c r="F608" s="11">
        <v>2022</v>
      </c>
      <c r="G608" s="20">
        <f t="shared" si="63"/>
        <v>0</v>
      </c>
      <c r="H608" s="21">
        <v>0</v>
      </c>
      <c r="I608" s="21">
        <f>IFERROR(INDEX('Coding Sheet'!$AC$2:$AC$731,MATCH($B608&amp;"_"&amp;$F608,'Coding Sheet'!$A$2:$A$731,0)),"")</f>
        <v>0</v>
      </c>
      <c r="J608" s="7">
        <f>IFERROR(INDEX('Coding Sheet'!$AT$2:$AT$731,MATCH($B608&amp;"_"&amp;$F608,'Coding Sheet'!$A$2:$A$731,0)),"")</f>
        <v>0</v>
      </c>
      <c r="K608" s="21">
        <v>889980000</v>
      </c>
      <c r="L608" s="21">
        <v>0.48</v>
      </c>
      <c r="M608" s="20">
        <f t="shared" si="64"/>
        <v>427190.4</v>
      </c>
      <c r="N608" s="21">
        <v>1377000</v>
      </c>
      <c r="O608" s="21">
        <v>2090000</v>
      </c>
      <c r="P608" s="20">
        <v>-53700</v>
      </c>
      <c r="Q608" s="20">
        <f t="shared" si="65"/>
        <v>0.86324899521531095</v>
      </c>
      <c r="R608" s="20">
        <f t="shared" si="66"/>
        <v>14.552674623940995</v>
      </c>
      <c r="S608" s="20">
        <f t="shared" si="67"/>
        <v>0.65885167464114835</v>
      </c>
      <c r="T608" s="20">
        <f t="shared" si="68"/>
        <v>-2.569377990430622E-2</v>
      </c>
      <c r="U608" s="20">
        <f>IFERROR(IF(ISNUMBER(INDEX('Firm Master'!$E$2:$E$1000,MATCH($C608,'Firm Master'!$B$2:$B$1000,0))),INDEX('Firm Master'!$E$2:$E$1000,MATCH($C608,'Firm Master'!$B$2:$B$1000,0)),""),"")</f>
        <v>1995</v>
      </c>
      <c r="V608" s="21">
        <f t="shared" si="69"/>
        <v>27</v>
      </c>
      <c r="W608" s="21">
        <v>0</v>
      </c>
      <c r="X608" s="20" t="str">
        <f>IFERROR(INDEX('Firm Master'!$G$2:$G$1000,MATCH($C608,'Firm Master'!$B$2:$B$1000,0)),"")</f>
        <v>Madu, Onyekwena &amp; Co.</v>
      </c>
    </row>
    <row r="609" spans="1:24" ht="15" customHeight="1" x14ac:dyDescent="0.3">
      <c r="A609" s="11">
        <v>608</v>
      </c>
      <c r="B609" s="11">
        <v>122</v>
      </c>
      <c r="C609" s="11" t="s">
        <v>1281</v>
      </c>
      <c r="D609" s="11" t="s">
        <v>1282</v>
      </c>
      <c r="E609" s="11" t="s">
        <v>715</v>
      </c>
      <c r="F609" s="11">
        <v>2023</v>
      </c>
      <c r="G609" s="20">
        <f t="shared" si="63"/>
        <v>1</v>
      </c>
      <c r="H609" s="21">
        <v>0</v>
      </c>
      <c r="I609" s="21">
        <f>IFERROR(INDEX('Coding Sheet'!$AC$2:$AC$731,MATCH($B609&amp;"_"&amp;$F609,'Coding Sheet'!$A$2:$A$731,0)),"")</f>
        <v>5</v>
      </c>
      <c r="J609" s="7">
        <f>IFERROR(INDEX('Coding Sheet'!$AT$2:$AT$731,MATCH($B609&amp;"_"&amp;$F609,'Coding Sheet'!$A$2:$A$731,0)),"")</f>
        <v>0</v>
      </c>
      <c r="K609" s="21">
        <v>889980000</v>
      </c>
      <c r="L609" s="21">
        <v>1.1460999999999999</v>
      </c>
      <c r="M609" s="20">
        <f t="shared" si="64"/>
        <v>1020006.0779999999</v>
      </c>
      <c r="N609" s="21">
        <v>1382000</v>
      </c>
      <c r="O609" s="21">
        <v>2560000</v>
      </c>
      <c r="P609" s="20">
        <v>348230</v>
      </c>
      <c r="Q609" s="20">
        <f t="shared" si="65"/>
        <v>0.93828362421874989</v>
      </c>
      <c r="R609" s="20">
        <f t="shared" si="66"/>
        <v>14.755517816455745</v>
      </c>
      <c r="S609" s="20">
        <f t="shared" si="67"/>
        <v>0.53984374999999996</v>
      </c>
      <c r="T609" s="20">
        <f t="shared" si="68"/>
        <v>0.13602734375</v>
      </c>
      <c r="U609" s="20">
        <f>IFERROR(IF(ISNUMBER(INDEX('Firm Master'!$E$2:$E$1000,MATCH($C609,'Firm Master'!$B$2:$B$1000,0))),INDEX('Firm Master'!$E$2:$E$1000,MATCH($C609,'Firm Master'!$B$2:$B$1000,0)),""),"")</f>
        <v>1995</v>
      </c>
      <c r="V609" s="21">
        <f t="shared" si="69"/>
        <v>28</v>
      </c>
      <c r="W609" s="21">
        <v>0</v>
      </c>
      <c r="X609" s="20" t="str">
        <f>IFERROR(INDEX('Firm Master'!$G$2:$G$1000,MATCH($C609,'Firm Master'!$B$2:$B$1000,0)),"")</f>
        <v>Madu, Onyekwena &amp; Co.</v>
      </c>
    </row>
    <row r="610" spans="1:24" ht="15" customHeight="1" x14ac:dyDescent="0.3">
      <c r="A610" s="11">
        <v>609</v>
      </c>
      <c r="B610" s="11">
        <v>122</v>
      </c>
      <c r="C610" s="11" t="s">
        <v>1281</v>
      </c>
      <c r="D610" s="11" t="s">
        <v>1282</v>
      </c>
      <c r="E610" s="11" t="s">
        <v>715</v>
      </c>
      <c r="F610" s="11">
        <v>2024</v>
      </c>
      <c r="G610" s="20">
        <f t="shared" si="63"/>
        <v>1</v>
      </c>
      <c r="H610" s="21">
        <v>0</v>
      </c>
      <c r="I610" s="21">
        <f>IFERROR(INDEX('Coding Sheet'!$AC$2:$AC$731,MATCH($B610&amp;"_"&amp;$F610,'Coding Sheet'!$A$2:$A$731,0)),"")</f>
        <v>5</v>
      </c>
      <c r="J610" s="7">
        <f>IFERROR(INDEX('Coding Sheet'!$AT$2:$AT$731,MATCH($B610&amp;"_"&amp;$F610,'Coding Sheet'!$A$2:$A$731,0)),"")</f>
        <v>0</v>
      </c>
      <c r="K610" s="21">
        <v>889980000</v>
      </c>
      <c r="L610" s="21">
        <v>2.4944000000000002</v>
      </c>
      <c r="M610" s="20">
        <f t="shared" si="64"/>
        <v>2219966.1120000002</v>
      </c>
      <c r="N610" s="21">
        <v>2646000</v>
      </c>
      <c r="O610" s="21">
        <v>5120000</v>
      </c>
      <c r="P610" s="20">
        <v>1380000</v>
      </c>
      <c r="Q610" s="20">
        <f t="shared" si="65"/>
        <v>0.95038400624999997</v>
      </c>
      <c r="R610" s="20">
        <f t="shared" si="66"/>
        <v>15.44866499701569</v>
      </c>
      <c r="S610" s="20">
        <f t="shared" si="67"/>
        <v>0.51679687500000004</v>
      </c>
      <c r="T610" s="20">
        <f t="shared" si="68"/>
        <v>0.26953125</v>
      </c>
      <c r="U610" s="20">
        <f>IFERROR(IF(ISNUMBER(INDEX('Firm Master'!$E$2:$E$1000,MATCH($C610,'Firm Master'!$B$2:$B$1000,0))),INDEX('Firm Master'!$E$2:$E$1000,MATCH($C610,'Firm Master'!$B$2:$B$1000,0)),""),"")</f>
        <v>1995</v>
      </c>
      <c r="V610" s="21">
        <f t="shared" si="69"/>
        <v>29</v>
      </c>
      <c r="W610" s="21">
        <v>0</v>
      </c>
      <c r="X610" s="20" t="str">
        <f>IFERROR(INDEX('Firm Master'!$G$2:$G$1000,MATCH($C610,'Firm Master'!$B$2:$B$1000,0)),"")</f>
        <v>Madu, Onyekwena &amp; Co.</v>
      </c>
    </row>
    <row r="611" spans="1:24" ht="15" customHeight="1" x14ac:dyDescent="0.3">
      <c r="A611" s="11">
        <v>610</v>
      </c>
      <c r="B611" s="11">
        <v>122</v>
      </c>
      <c r="C611" s="11" t="s">
        <v>1281</v>
      </c>
      <c r="D611" s="11" t="s">
        <v>1282</v>
      </c>
      <c r="E611" s="11" t="s">
        <v>715</v>
      </c>
      <c r="F611" s="11">
        <v>2025</v>
      </c>
      <c r="G611" s="20">
        <f t="shared" si="63"/>
        <v>1</v>
      </c>
      <c r="H611" s="21">
        <v>0</v>
      </c>
      <c r="I611" s="21">
        <f>IFERROR(INDEX('Coding Sheet'!$AC$2:$AC$731,MATCH($B611&amp;"_"&amp;$F611,'Coding Sheet'!$A$2:$A$731,0)),"")</f>
        <v>0</v>
      </c>
      <c r="J611" s="7">
        <f>IFERROR(INDEX('Coding Sheet'!$AT$2:$AT$731,MATCH($B611&amp;"_"&amp;$F611,'Coding Sheet'!$A$2:$A$731,0)),"")</f>
        <v>0</v>
      </c>
      <c r="K611" s="21">
        <v>889980000</v>
      </c>
      <c r="L611" s="21">
        <v>13.303699999999999</v>
      </c>
      <c r="M611" s="20">
        <f t="shared" si="64"/>
        <v>11840026.926000001</v>
      </c>
      <c r="N611" s="21">
        <v>5974000</v>
      </c>
      <c r="O611" s="21">
        <v>11727000</v>
      </c>
      <c r="P611" s="20">
        <v>3388000</v>
      </c>
      <c r="Q611" s="20">
        <f t="shared" si="65"/>
        <v>1.5190608788266393</v>
      </c>
      <c r="R611" s="20">
        <f t="shared" si="66"/>
        <v>16.277404433443202</v>
      </c>
      <c r="S611" s="20">
        <f t="shared" si="67"/>
        <v>0.50942269975270738</v>
      </c>
      <c r="T611" s="20">
        <f t="shared" si="68"/>
        <v>0.28890594354907478</v>
      </c>
      <c r="U611" s="20">
        <f>IFERROR(IF(ISNUMBER(INDEX('Firm Master'!$E$2:$E$1000,MATCH($C611,'Firm Master'!$B$2:$B$1000,0))),INDEX('Firm Master'!$E$2:$E$1000,MATCH($C611,'Firm Master'!$B$2:$B$1000,0)),""),"")</f>
        <v>1995</v>
      </c>
      <c r="V611" s="21">
        <f t="shared" si="69"/>
        <v>30</v>
      </c>
      <c r="W611" s="21">
        <v>0</v>
      </c>
      <c r="X611" s="20" t="str">
        <f>IFERROR(INDEX('Firm Master'!$G$2:$G$1000,MATCH($C611,'Firm Master'!$B$2:$B$1000,0)),"")</f>
        <v>Madu, Onyekwena &amp; Co.</v>
      </c>
    </row>
    <row r="612" spans="1:24" ht="15" customHeight="1" x14ac:dyDescent="0.3">
      <c r="A612" s="11">
        <v>611</v>
      </c>
      <c r="B612" s="11">
        <v>123</v>
      </c>
      <c r="C612" s="11" t="s">
        <v>1286</v>
      </c>
      <c r="D612" s="11" t="s">
        <v>1287</v>
      </c>
      <c r="E612" s="11" t="s">
        <v>766</v>
      </c>
      <c r="F612" s="11">
        <v>2021</v>
      </c>
      <c r="G612" s="20">
        <f t="shared" si="63"/>
        <v>0</v>
      </c>
      <c r="H612" s="21">
        <v>0</v>
      </c>
      <c r="I612" s="21">
        <f>IFERROR(INDEX('Coding Sheet'!$AC$2:$AC$731,MATCH($B612&amp;"_"&amp;$F612,'Coding Sheet'!$A$2:$A$731,0)),"")</f>
        <v>0</v>
      </c>
      <c r="J612" s="7">
        <f>IFERROR(INDEX('Coding Sheet'!$AT$2:$AT$731,MATCH($B612&amp;"_"&amp;$F612,'Coding Sheet'!$A$2:$A$731,0)),"")</f>
        <v>0</v>
      </c>
      <c r="K612" s="21">
        <v>339520000</v>
      </c>
      <c r="L612" s="21">
        <v>221.9015</v>
      </c>
      <c r="M612" s="20">
        <f t="shared" si="64"/>
        <v>75339997.280000001</v>
      </c>
      <c r="N612" s="21">
        <v>167110000</v>
      </c>
      <c r="O612" s="21">
        <v>208729000</v>
      </c>
      <c r="P612" s="20">
        <v>16862000</v>
      </c>
      <c r="Q612" s="20">
        <f t="shared" si="65"/>
        <v>1.1615539636562242</v>
      </c>
      <c r="R612" s="20">
        <f t="shared" si="66"/>
        <v>19.156547317832445</v>
      </c>
      <c r="S612" s="20">
        <f t="shared" si="67"/>
        <v>0.80060748626209099</v>
      </c>
      <c r="T612" s="20">
        <f t="shared" si="68"/>
        <v>8.0784174695418459E-2</v>
      </c>
      <c r="U612" s="20">
        <f>IFERROR(IF(ISNUMBER(INDEX('Firm Master'!$E$2:$E$1000,MATCH($C612,'Firm Master'!$B$2:$B$1000,0))),INDEX('Firm Master'!$E$2:$E$1000,MATCH($C612,'Firm Master'!$B$2:$B$1000,0)),""),"")</f>
        <v>1956</v>
      </c>
      <c r="V612" s="21">
        <f t="shared" si="69"/>
        <v>65</v>
      </c>
      <c r="W612" s="21">
        <v>1</v>
      </c>
      <c r="X612" s="20" t="str">
        <f>IFERROR(INDEX('Firm Master'!$G$2:$G$1000,MATCH($C612,'Firm Master'!$B$2:$B$1000,0)),"")</f>
        <v>PricewaterhouseCoopers</v>
      </c>
    </row>
    <row r="613" spans="1:24" ht="15" customHeight="1" x14ac:dyDescent="0.3">
      <c r="A613" s="11">
        <v>612</v>
      </c>
      <c r="B613" s="11">
        <v>123</v>
      </c>
      <c r="C613" s="11" t="s">
        <v>1286</v>
      </c>
      <c r="D613" s="11" t="s">
        <v>1287</v>
      </c>
      <c r="E613" s="11" t="s">
        <v>766</v>
      </c>
      <c r="F613" s="11">
        <v>2022</v>
      </c>
      <c r="G613" s="20">
        <f t="shared" si="63"/>
        <v>0</v>
      </c>
      <c r="H613" s="21">
        <v>0</v>
      </c>
      <c r="I613" s="21">
        <f>IFERROR(INDEX('Coding Sheet'!$AC$2:$AC$731,MATCH($B613&amp;"_"&amp;$F613,'Coding Sheet'!$A$2:$A$731,0)),"")</f>
        <v>0</v>
      </c>
      <c r="J613" s="7">
        <f>IFERROR(INDEX('Coding Sheet'!$AT$2:$AT$731,MATCH($B613&amp;"_"&amp;$F613,'Coding Sheet'!$A$2:$A$731,0)),"")</f>
        <v>0</v>
      </c>
      <c r="K613" s="21">
        <v>339520000</v>
      </c>
      <c r="L613" s="21">
        <v>193.0078</v>
      </c>
      <c r="M613" s="20">
        <f t="shared" si="64"/>
        <v>65530008.255999997</v>
      </c>
      <c r="N613" s="21">
        <v>257529000</v>
      </c>
      <c r="O613" s="21">
        <v>307816000</v>
      </c>
      <c r="P613" s="20">
        <v>16118000</v>
      </c>
      <c r="Q613" s="20">
        <f t="shared" si="65"/>
        <v>1.0495198698443224</v>
      </c>
      <c r="R613" s="20">
        <f t="shared" si="66"/>
        <v>19.545012759824413</v>
      </c>
      <c r="S613" s="20">
        <f t="shared" si="67"/>
        <v>0.83663292356472696</v>
      </c>
      <c r="T613" s="20">
        <f t="shared" si="68"/>
        <v>5.2362450294981419E-2</v>
      </c>
      <c r="U613" s="20">
        <f>IFERROR(IF(ISNUMBER(INDEX('Firm Master'!$E$2:$E$1000,MATCH($C613,'Firm Master'!$B$2:$B$1000,0))),INDEX('Firm Master'!$E$2:$E$1000,MATCH($C613,'Firm Master'!$B$2:$B$1000,0)),""),"")</f>
        <v>1956</v>
      </c>
      <c r="V613" s="21">
        <f t="shared" si="69"/>
        <v>66</v>
      </c>
      <c r="W613" s="21">
        <v>1</v>
      </c>
      <c r="X613" s="20" t="str">
        <f>IFERROR(INDEX('Firm Master'!$G$2:$G$1000,MATCH($C613,'Firm Master'!$B$2:$B$1000,0)),"")</f>
        <v>PricewaterhouseCoopers</v>
      </c>
    </row>
    <row r="614" spans="1:24" ht="15" customHeight="1" x14ac:dyDescent="0.3">
      <c r="A614" s="11">
        <v>613</v>
      </c>
      <c r="B614" s="11">
        <v>123</v>
      </c>
      <c r="C614" s="11" t="s">
        <v>1286</v>
      </c>
      <c r="D614" s="11" t="s">
        <v>1287</v>
      </c>
      <c r="E614" s="11" t="s">
        <v>766</v>
      </c>
      <c r="F614" s="11">
        <v>2023</v>
      </c>
      <c r="G614" s="20">
        <f t="shared" si="63"/>
        <v>1</v>
      </c>
      <c r="H614" s="21">
        <v>0</v>
      </c>
      <c r="I614" s="21">
        <f>IFERROR(INDEX('Coding Sheet'!$AC$2:$AC$731,MATCH($B614&amp;"_"&amp;$F614,'Coding Sheet'!$A$2:$A$731,0)),"")</f>
        <v>0</v>
      </c>
      <c r="J614" s="7">
        <f>IFERROR(INDEX('Coding Sheet'!$AT$2:$AT$731,MATCH($B614&amp;"_"&amp;$F614,'Coding Sheet'!$A$2:$A$731,0)),"")</f>
        <v>0</v>
      </c>
      <c r="K614" s="21">
        <v>339520000</v>
      </c>
      <c r="L614" s="21">
        <v>385.01409999999998</v>
      </c>
      <c r="M614" s="20">
        <f t="shared" si="64"/>
        <v>130719987.23199999</v>
      </c>
      <c r="N614" s="21">
        <v>319038000</v>
      </c>
      <c r="O614" s="21">
        <v>375116000</v>
      </c>
      <c r="P614" s="20">
        <v>12913000</v>
      </c>
      <c r="Q614" s="20">
        <f t="shared" si="65"/>
        <v>1.198983746979601</v>
      </c>
      <c r="R614" s="20">
        <f t="shared" si="66"/>
        <v>19.742745869434327</v>
      </c>
      <c r="S614" s="20">
        <f t="shared" si="67"/>
        <v>0.8505049104810245</v>
      </c>
      <c r="T614" s="20">
        <f t="shared" si="68"/>
        <v>3.4424018170379295E-2</v>
      </c>
      <c r="U614" s="20">
        <f>IFERROR(IF(ISNUMBER(INDEX('Firm Master'!$E$2:$E$1000,MATCH($C614,'Firm Master'!$B$2:$B$1000,0))),INDEX('Firm Master'!$E$2:$E$1000,MATCH($C614,'Firm Master'!$B$2:$B$1000,0)),""),"")</f>
        <v>1956</v>
      </c>
      <c r="V614" s="21">
        <f t="shared" si="69"/>
        <v>67</v>
      </c>
      <c r="W614" s="21">
        <v>1</v>
      </c>
      <c r="X614" s="20" t="str">
        <f>IFERROR(INDEX('Firm Master'!$G$2:$G$1000,MATCH($C614,'Firm Master'!$B$2:$B$1000,0)),"")</f>
        <v>PricewaterhouseCoopers</v>
      </c>
    </row>
    <row r="615" spans="1:24" ht="15" customHeight="1" x14ac:dyDescent="0.3">
      <c r="A615" s="11">
        <v>614</v>
      </c>
      <c r="B615" s="11">
        <v>123</v>
      </c>
      <c r="C615" s="11" t="s">
        <v>1286</v>
      </c>
      <c r="D615" s="11" t="s">
        <v>1287</v>
      </c>
      <c r="E615" s="11" t="s">
        <v>766</v>
      </c>
      <c r="F615" s="11">
        <v>2024</v>
      </c>
      <c r="G615" s="20">
        <f t="shared" si="63"/>
        <v>1</v>
      </c>
      <c r="H615" s="21">
        <v>0</v>
      </c>
      <c r="I615" s="21">
        <f>IFERROR(INDEX('Coding Sheet'!$AC$2:$AC$731,MATCH($B615&amp;"_"&amp;$F615,'Coding Sheet'!$A$2:$A$731,0)),"")</f>
        <v>20</v>
      </c>
      <c r="J615" s="7">
        <f>IFERROR(INDEX('Coding Sheet'!$AT$2:$AT$731,MATCH($B615&amp;"_"&amp;$F615,'Coding Sheet'!$A$2:$A$731,0)),"")</f>
        <v>13.333333333333334</v>
      </c>
      <c r="K615" s="21">
        <v>339520000</v>
      </c>
      <c r="L615" s="21">
        <v>698.01480000000004</v>
      </c>
      <c r="M615" s="20">
        <f t="shared" si="64"/>
        <v>236989984.896</v>
      </c>
      <c r="N615" s="21">
        <v>396042000</v>
      </c>
      <c r="O615" s="21">
        <v>471123000</v>
      </c>
      <c r="P615" s="20">
        <v>27496000</v>
      </c>
      <c r="Q615" s="20">
        <f t="shared" si="65"/>
        <v>1.3436660593857657</v>
      </c>
      <c r="R615" s="20">
        <f t="shared" si="66"/>
        <v>19.970629764384697</v>
      </c>
      <c r="S615" s="20">
        <f t="shared" si="67"/>
        <v>0.84063397456715128</v>
      </c>
      <c r="T615" s="20">
        <f t="shared" si="68"/>
        <v>5.8362678111660862E-2</v>
      </c>
      <c r="U615" s="20">
        <f>IFERROR(IF(ISNUMBER(INDEX('Firm Master'!$E$2:$E$1000,MATCH($C615,'Firm Master'!$B$2:$B$1000,0))),INDEX('Firm Master'!$E$2:$E$1000,MATCH($C615,'Firm Master'!$B$2:$B$1000,0)),""),"")</f>
        <v>1956</v>
      </c>
      <c r="V615" s="21">
        <f t="shared" si="69"/>
        <v>68</v>
      </c>
      <c r="W615" s="21">
        <v>1</v>
      </c>
      <c r="X615" s="20" t="str">
        <f>IFERROR(INDEX('Firm Master'!$G$2:$G$1000,MATCH($C615,'Firm Master'!$B$2:$B$1000,0)),"")</f>
        <v>PricewaterhouseCoopers</v>
      </c>
    </row>
    <row r="616" spans="1:24" ht="15" customHeight="1" x14ac:dyDescent="0.3">
      <c r="A616" s="11">
        <v>615</v>
      </c>
      <c r="B616" s="11">
        <v>123</v>
      </c>
      <c r="C616" s="11" t="s">
        <v>1286</v>
      </c>
      <c r="D616" s="11" t="s">
        <v>1287</v>
      </c>
      <c r="E616" s="11" t="s">
        <v>766</v>
      </c>
      <c r="F616" s="11">
        <v>2025</v>
      </c>
      <c r="G616" s="20">
        <f t="shared" si="63"/>
        <v>1</v>
      </c>
      <c r="H616" s="21">
        <v>0</v>
      </c>
      <c r="I616" s="21">
        <f>IFERROR(INDEX('Coding Sheet'!$AC$2:$AC$731,MATCH($B616&amp;"_"&amp;$F616,'Coding Sheet'!$A$2:$A$731,0)),"")</f>
        <v>0</v>
      </c>
      <c r="J616" s="7">
        <f>IFERROR(INDEX('Coding Sheet'!$AT$2:$AT$731,MATCH($B616&amp;"_"&amp;$F616,'Coding Sheet'!$A$2:$A$731,0)),"")</f>
        <v>0</v>
      </c>
      <c r="K616" s="21">
        <v>339520000</v>
      </c>
      <c r="L616" s="21">
        <v>639.99180000000001</v>
      </c>
      <c r="M616" s="20">
        <f t="shared" si="64"/>
        <v>217290015.93599999</v>
      </c>
      <c r="N616" s="21">
        <v>341010000</v>
      </c>
      <c r="O616" s="21">
        <v>388550000</v>
      </c>
      <c r="P616" s="20">
        <v>-13853000</v>
      </c>
      <c r="Q616" s="20">
        <f t="shared" si="65"/>
        <v>1.436880751347317</v>
      </c>
      <c r="R616" s="20">
        <f t="shared" si="66"/>
        <v>19.777932419619525</v>
      </c>
      <c r="S616" s="20">
        <f t="shared" si="67"/>
        <v>0.87764766439325703</v>
      </c>
      <c r="T616" s="20">
        <f t="shared" si="68"/>
        <v>-3.5653069103075537E-2</v>
      </c>
      <c r="U616" s="20">
        <f>IFERROR(IF(ISNUMBER(INDEX('Firm Master'!$E$2:$E$1000,MATCH($C616,'Firm Master'!$B$2:$B$1000,0))),INDEX('Firm Master'!$E$2:$E$1000,MATCH($C616,'Firm Master'!$B$2:$B$1000,0)),""),"")</f>
        <v>1956</v>
      </c>
      <c r="V616" s="21">
        <f t="shared" si="69"/>
        <v>69</v>
      </c>
      <c r="W616" s="21">
        <v>1</v>
      </c>
      <c r="X616" s="20" t="str">
        <f>IFERROR(INDEX('Firm Master'!$G$2:$G$1000,MATCH($C616,'Firm Master'!$B$2:$B$1000,0)),"")</f>
        <v>PricewaterhouseCoopers</v>
      </c>
    </row>
    <row r="617" spans="1:24" ht="27.75" customHeight="1" x14ac:dyDescent="0.3">
      <c r="A617" s="11">
        <v>616</v>
      </c>
      <c r="B617" s="11">
        <v>124</v>
      </c>
      <c r="C617" s="11" t="s">
        <v>1290</v>
      </c>
      <c r="D617" s="11" t="s">
        <v>1291</v>
      </c>
      <c r="E617" s="11" t="s">
        <v>715</v>
      </c>
      <c r="F617" s="11">
        <v>2021</v>
      </c>
      <c r="G617" s="20">
        <f t="shared" si="63"/>
        <v>0</v>
      </c>
      <c r="H617" s="21">
        <v>0</v>
      </c>
      <c r="I617" s="21">
        <f>IFERROR(INDEX('Coding Sheet'!$AC$2:$AC$731,MATCH($B617&amp;"_"&amp;$F617,'Coding Sheet'!$A$2:$A$731,0)),"")</f>
        <v>0</v>
      </c>
      <c r="J617" s="7">
        <f>IFERROR(INDEX('Coding Sheet'!$AT$2:$AT$731,MATCH($B617&amp;"_"&amp;$F617,'Coding Sheet'!$A$2:$A$731,0)),"")</f>
        <v>0</v>
      </c>
      <c r="K617" s="21">
        <v>10243000000</v>
      </c>
      <c r="L617" s="21">
        <v>5.3792999999999997</v>
      </c>
      <c r="M617" s="20">
        <f t="shared" si="64"/>
        <v>55100169.899999999</v>
      </c>
      <c r="N617" s="21">
        <v>53670000</v>
      </c>
      <c r="O617" s="21">
        <v>115890000</v>
      </c>
      <c r="P617" s="20">
        <v>1144000</v>
      </c>
      <c r="Q617" s="20">
        <f t="shared" si="65"/>
        <v>0.93856389593580125</v>
      </c>
      <c r="R617" s="20">
        <f t="shared" si="66"/>
        <v>18.568152023310574</v>
      </c>
      <c r="S617" s="20">
        <f t="shared" si="67"/>
        <v>0.46311157131762881</v>
      </c>
      <c r="T617" s="20">
        <f t="shared" si="68"/>
        <v>9.8714298041246012E-3</v>
      </c>
      <c r="U617" s="20">
        <f>IFERROR(IF(ISNUMBER(INDEX('Firm Master'!$E$2:$E$1000,MATCH($C617,'Firm Master'!$B$2:$B$1000,0))),INDEX('Firm Master'!$E$2:$E$1000,MATCH($C617,'Firm Master'!$B$2:$B$1000,0)),""),"")</f>
        <v>1994</v>
      </c>
      <c r="V617" s="21">
        <f t="shared" si="69"/>
        <v>27</v>
      </c>
      <c r="W617" s="21">
        <v>1</v>
      </c>
      <c r="X617" s="20" t="str">
        <f>IFERROR(INDEX('Firm Master'!$G$2:$G$1000,MATCH($C617,'Firm Master'!$B$2:$B$1000,0)),"")</f>
        <v>Deloitte &amp; Touche</v>
      </c>
    </row>
    <row r="618" spans="1:24" ht="27.75" customHeight="1" x14ac:dyDescent="0.3">
      <c r="A618" s="11">
        <v>617</v>
      </c>
      <c r="B618" s="11">
        <v>124</v>
      </c>
      <c r="C618" s="11" t="s">
        <v>1290</v>
      </c>
      <c r="D618" s="11" t="s">
        <v>1291</v>
      </c>
      <c r="E618" s="11" t="s">
        <v>715</v>
      </c>
      <c r="F618" s="11">
        <v>2022</v>
      </c>
      <c r="G618" s="20">
        <f t="shared" si="63"/>
        <v>0</v>
      </c>
      <c r="H618" s="21">
        <v>0</v>
      </c>
      <c r="I618" s="21">
        <f>IFERROR(INDEX('Coding Sheet'!$AC$2:$AC$731,MATCH($B618&amp;"_"&amp;$F618,'Coding Sheet'!$A$2:$A$731,0)),"")</f>
        <v>0</v>
      </c>
      <c r="J618" s="7">
        <f>IFERROR(INDEX('Coding Sheet'!$AT$2:$AT$731,MATCH($B618&amp;"_"&amp;$F618,'Coding Sheet'!$A$2:$A$731,0)),"")</f>
        <v>0</v>
      </c>
      <c r="K618" s="21">
        <v>10243000000</v>
      </c>
      <c r="L618" s="21">
        <v>6.2500999999999998</v>
      </c>
      <c r="M618" s="20">
        <f t="shared" si="64"/>
        <v>64019774.299999997</v>
      </c>
      <c r="N618" s="21">
        <v>57698000</v>
      </c>
      <c r="O618" s="21">
        <v>120487000</v>
      </c>
      <c r="P618" s="20">
        <v>2678000</v>
      </c>
      <c r="Q618" s="20">
        <f t="shared" si="65"/>
        <v>1.0102149966386416</v>
      </c>
      <c r="R618" s="20">
        <f t="shared" si="66"/>
        <v>18.607052421257677</v>
      </c>
      <c r="S618" s="20">
        <f t="shared" si="67"/>
        <v>0.47887323943661969</v>
      </c>
      <c r="T618" s="20">
        <f t="shared" si="68"/>
        <v>2.2226464265854409E-2</v>
      </c>
      <c r="U618" s="20">
        <f>IFERROR(IF(ISNUMBER(INDEX('Firm Master'!$E$2:$E$1000,MATCH($C618,'Firm Master'!$B$2:$B$1000,0))),INDEX('Firm Master'!$E$2:$E$1000,MATCH($C618,'Firm Master'!$B$2:$B$1000,0)),""),"")</f>
        <v>1994</v>
      </c>
      <c r="V618" s="21">
        <f t="shared" si="69"/>
        <v>28</v>
      </c>
      <c r="W618" s="21">
        <v>1</v>
      </c>
      <c r="X618" s="20" t="str">
        <f>IFERROR(INDEX('Firm Master'!$G$2:$G$1000,MATCH($C618,'Firm Master'!$B$2:$B$1000,0)),"")</f>
        <v>Deloitte &amp; Touche</v>
      </c>
    </row>
    <row r="619" spans="1:24" ht="27.75" customHeight="1" x14ac:dyDescent="0.3">
      <c r="A619" s="11">
        <v>618</v>
      </c>
      <c r="B619" s="11">
        <v>124</v>
      </c>
      <c r="C619" s="11" t="s">
        <v>1290</v>
      </c>
      <c r="D619" s="11" t="s">
        <v>1291</v>
      </c>
      <c r="E619" s="11" t="s">
        <v>715</v>
      </c>
      <c r="F619" s="11">
        <v>2023</v>
      </c>
      <c r="G619" s="20">
        <f t="shared" si="63"/>
        <v>1</v>
      </c>
      <c r="H619" s="21">
        <v>0</v>
      </c>
      <c r="I619" s="21">
        <f>IFERROR(INDEX('Coding Sheet'!$AC$2:$AC$731,MATCH($B619&amp;"_"&amp;$F619,'Coding Sheet'!$A$2:$A$731,0)),"")</f>
        <v>0</v>
      </c>
      <c r="J619" s="7">
        <f>IFERROR(INDEX('Coding Sheet'!$AT$2:$AT$731,MATCH($B619&amp;"_"&amp;$F619,'Coding Sheet'!$A$2:$A$731,0)),"")</f>
        <v>0</v>
      </c>
      <c r="K619" s="21">
        <v>10243000000</v>
      </c>
      <c r="L619" s="21">
        <v>70.176699999999997</v>
      </c>
      <c r="M619" s="20">
        <f t="shared" si="64"/>
        <v>718819938.10000002</v>
      </c>
      <c r="N619" s="21">
        <v>59299000</v>
      </c>
      <c r="O619" s="21">
        <v>126095000</v>
      </c>
      <c r="P619" s="20">
        <v>6156000</v>
      </c>
      <c r="Q619" s="20">
        <f t="shared" si="65"/>
        <v>6.1708944692493759</v>
      </c>
      <c r="R619" s="20">
        <f t="shared" si="66"/>
        <v>18.652546149078443</v>
      </c>
      <c r="S619" s="20">
        <f t="shared" si="67"/>
        <v>0.47027241365637018</v>
      </c>
      <c r="T619" s="20">
        <f t="shared" si="68"/>
        <v>4.8820333875252787E-2</v>
      </c>
      <c r="U619" s="20">
        <f>IFERROR(IF(ISNUMBER(INDEX('Firm Master'!$E$2:$E$1000,MATCH($C619,'Firm Master'!$B$2:$B$1000,0))),INDEX('Firm Master'!$E$2:$E$1000,MATCH($C619,'Firm Master'!$B$2:$B$1000,0)),""),"")</f>
        <v>1994</v>
      </c>
      <c r="V619" s="21">
        <f t="shared" si="69"/>
        <v>29</v>
      </c>
      <c r="W619" s="21">
        <v>1</v>
      </c>
      <c r="X619" s="20" t="str">
        <f>IFERROR(INDEX('Firm Master'!$G$2:$G$1000,MATCH($C619,'Firm Master'!$B$2:$B$1000,0)),"")</f>
        <v>Deloitte &amp; Touche</v>
      </c>
    </row>
    <row r="620" spans="1:24" ht="27.75" customHeight="1" x14ac:dyDescent="0.3">
      <c r="A620" s="11">
        <v>619</v>
      </c>
      <c r="B620" s="11">
        <v>124</v>
      </c>
      <c r="C620" s="11" t="s">
        <v>1290</v>
      </c>
      <c r="D620" s="11" t="s">
        <v>1291</v>
      </c>
      <c r="E620" s="11" t="s">
        <v>715</v>
      </c>
      <c r="F620" s="11">
        <v>2024</v>
      </c>
      <c r="G620" s="20">
        <f t="shared" si="63"/>
        <v>1</v>
      </c>
      <c r="H620" s="21">
        <v>0</v>
      </c>
      <c r="I620" s="21">
        <f>IFERROR(INDEX('Coding Sheet'!$AC$2:$AC$731,MATCH($B620&amp;"_"&amp;$F620,'Coding Sheet'!$A$2:$A$731,0)),"")</f>
        <v>10</v>
      </c>
      <c r="J620" s="7">
        <f>IFERROR(INDEX('Coding Sheet'!$AT$2:$AT$731,MATCH($B620&amp;"_"&amp;$F620,'Coding Sheet'!$A$2:$A$731,0)),"")</f>
        <v>13.333333333333334</v>
      </c>
      <c r="K620" s="21">
        <v>10243000000</v>
      </c>
      <c r="L620" s="21">
        <v>116.1769</v>
      </c>
      <c r="M620" s="20">
        <f t="shared" si="64"/>
        <v>1189999986.7</v>
      </c>
      <c r="N620" s="21">
        <v>60177000</v>
      </c>
      <c r="O620" s="21">
        <v>140696000</v>
      </c>
      <c r="P620" s="20">
        <v>14944000</v>
      </c>
      <c r="Q620" s="20">
        <f t="shared" si="65"/>
        <v>8.8856611893728328</v>
      </c>
      <c r="R620" s="20">
        <f t="shared" si="66"/>
        <v>18.762112092398336</v>
      </c>
      <c r="S620" s="20">
        <f t="shared" si="67"/>
        <v>0.42770938761585264</v>
      </c>
      <c r="T620" s="20">
        <f t="shared" si="68"/>
        <v>0.10621481776312049</v>
      </c>
      <c r="U620" s="20">
        <f>IFERROR(IF(ISNUMBER(INDEX('Firm Master'!$E$2:$E$1000,MATCH($C620,'Firm Master'!$B$2:$B$1000,0))),INDEX('Firm Master'!$E$2:$E$1000,MATCH($C620,'Firm Master'!$B$2:$B$1000,0)),""),"")</f>
        <v>1994</v>
      </c>
      <c r="V620" s="21">
        <f t="shared" si="69"/>
        <v>30</v>
      </c>
      <c r="W620" s="21">
        <v>1</v>
      </c>
      <c r="X620" s="20" t="str">
        <f>IFERROR(INDEX('Firm Master'!$G$2:$G$1000,MATCH($C620,'Firm Master'!$B$2:$B$1000,0)),"")</f>
        <v>Deloitte &amp; Touche</v>
      </c>
    </row>
    <row r="621" spans="1:24" ht="27.75" customHeight="1" x14ac:dyDescent="0.3">
      <c r="A621" s="11">
        <v>620</v>
      </c>
      <c r="B621" s="11">
        <v>124</v>
      </c>
      <c r="C621" s="11" t="s">
        <v>1290</v>
      </c>
      <c r="D621" s="11" t="s">
        <v>1291</v>
      </c>
      <c r="E621" s="11" t="s">
        <v>715</v>
      </c>
      <c r="F621" s="11">
        <v>2025</v>
      </c>
      <c r="G621" s="20">
        <f t="shared" si="63"/>
        <v>1</v>
      </c>
      <c r="H621" s="21">
        <v>0</v>
      </c>
      <c r="I621" s="21">
        <f>IFERROR(INDEX('Coding Sheet'!$AC$2:$AC$731,MATCH($B621&amp;"_"&amp;$F621,'Coding Sheet'!$A$2:$A$731,0)),"")</f>
        <v>0</v>
      </c>
      <c r="J621" s="7">
        <f>IFERROR(INDEX('Coding Sheet'!$AT$2:$AT$731,MATCH($B621&amp;"_"&amp;$F621,'Coding Sheet'!$A$2:$A$731,0)),"")</f>
        <v>0</v>
      </c>
      <c r="K621" s="21">
        <v>10243000000</v>
      </c>
      <c r="L621" s="21">
        <v>170.8484</v>
      </c>
      <c r="M621" s="20">
        <f t="shared" si="64"/>
        <v>1750000161.2</v>
      </c>
      <c r="N621" s="21">
        <v>64676000</v>
      </c>
      <c r="O621" s="21">
        <v>159906000</v>
      </c>
      <c r="P621" s="20">
        <v>21871000</v>
      </c>
      <c r="Q621" s="20">
        <f t="shared" si="65"/>
        <v>11.348393188498243</v>
      </c>
      <c r="R621" s="20">
        <f t="shared" si="66"/>
        <v>18.890096700552352</v>
      </c>
      <c r="S621" s="20">
        <f t="shared" si="67"/>
        <v>0.40446262179030179</v>
      </c>
      <c r="T621" s="20">
        <f t="shared" si="68"/>
        <v>0.1367741047865621</v>
      </c>
      <c r="U621" s="20">
        <f>IFERROR(IF(ISNUMBER(INDEX('Firm Master'!$E$2:$E$1000,MATCH($C621,'Firm Master'!$B$2:$B$1000,0))),INDEX('Firm Master'!$E$2:$E$1000,MATCH($C621,'Firm Master'!$B$2:$B$1000,0)),""),"")</f>
        <v>1994</v>
      </c>
      <c r="V621" s="21">
        <f t="shared" si="69"/>
        <v>31</v>
      </c>
      <c r="W621" s="21">
        <v>1</v>
      </c>
      <c r="X621" s="20" t="str">
        <f>IFERROR(INDEX('Firm Master'!$G$2:$G$1000,MATCH($C621,'Firm Master'!$B$2:$B$1000,0)),"")</f>
        <v>Deloitte &amp; Touche</v>
      </c>
    </row>
    <row r="622" spans="1:24" ht="27.75" customHeight="1" x14ac:dyDescent="0.3">
      <c r="A622" s="11">
        <v>621</v>
      </c>
      <c r="B622" s="11">
        <v>125</v>
      </c>
      <c r="C622" s="11" t="s">
        <v>1294</v>
      </c>
      <c r="D622" s="11" t="s">
        <v>1295</v>
      </c>
      <c r="E622" s="11" t="s">
        <v>870</v>
      </c>
      <c r="F622" s="11">
        <v>2021</v>
      </c>
      <c r="G622" s="20">
        <f t="shared" si="63"/>
        <v>0</v>
      </c>
      <c r="H622" s="21">
        <v>0</v>
      </c>
      <c r="I622" s="21">
        <f>IFERROR(INDEX('Coding Sheet'!$AC$2:$AC$731,MATCH($B622&amp;"_"&amp;$F622,'Coding Sheet'!$A$2:$A$731,0)),"")</f>
        <v>0</v>
      </c>
      <c r="J622" s="7">
        <f>IFERROR(INDEX('Coding Sheet'!$AT$2:$AT$731,MATCH($B622&amp;"_"&amp;$F622,'Coding Sheet'!$A$2:$A$731,0)),"")</f>
        <v>0</v>
      </c>
      <c r="K622" s="21">
        <v>10162000000</v>
      </c>
      <c r="L622" s="21">
        <v>3.8397999999999999</v>
      </c>
      <c r="M622" s="20">
        <f t="shared" si="64"/>
        <v>39020047.600000001</v>
      </c>
      <c r="N622" s="21">
        <v>269708000</v>
      </c>
      <c r="O622" s="21">
        <v>416000000</v>
      </c>
      <c r="P622" s="20">
        <v>13964000</v>
      </c>
      <c r="Q622" s="20">
        <f t="shared" si="65"/>
        <v>0.74213472980769235</v>
      </c>
      <c r="R622" s="20">
        <f t="shared" si="66"/>
        <v>19.846195818225539</v>
      </c>
      <c r="S622" s="20">
        <f t="shared" si="67"/>
        <v>0.64833653846153849</v>
      </c>
      <c r="T622" s="20">
        <f t="shared" si="68"/>
        <v>3.3567307692307695E-2</v>
      </c>
      <c r="U622" s="20">
        <f>IFERROR(IF(ISNUMBER(INDEX('Firm Master'!$E$2:$E$1000,MATCH($C622,'Firm Master'!$B$2:$B$1000,0))),INDEX('Firm Master'!$E$2:$E$1000,MATCH($C622,'Firm Master'!$B$2:$B$1000,0)),""),"")</f>
        <v>2004</v>
      </c>
      <c r="V622" s="21">
        <f t="shared" si="69"/>
        <v>17</v>
      </c>
      <c r="W622" s="21">
        <v>1</v>
      </c>
      <c r="X622" s="20" t="str">
        <f>IFERROR(INDEX('Firm Master'!$G$2:$G$1000,MATCH($C622,'Firm Master'!$B$2:$B$1000,0)),"")</f>
        <v>Deloitte &amp; Touche</v>
      </c>
    </row>
    <row r="623" spans="1:24" ht="27.75" customHeight="1" x14ac:dyDescent="0.3">
      <c r="A623" s="11">
        <v>622</v>
      </c>
      <c r="B623" s="11">
        <v>125</v>
      </c>
      <c r="C623" s="11" t="s">
        <v>1294</v>
      </c>
      <c r="D623" s="11" t="s">
        <v>1295</v>
      </c>
      <c r="E623" s="11" t="s">
        <v>870</v>
      </c>
      <c r="F623" s="11">
        <v>2022</v>
      </c>
      <c r="G623" s="20">
        <f t="shared" si="63"/>
        <v>0</v>
      </c>
      <c r="H623" s="21">
        <v>0</v>
      </c>
      <c r="I623" s="21">
        <f>IFERROR(INDEX('Coding Sheet'!$AC$2:$AC$731,MATCH($B623&amp;"_"&amp;$F623,'Coding Sheet'!$A$2:$A$731,0)),"")</f>
        <v>0</v>
      </c>
      <c r="J623" s="7">
        <f>IFERROR(INDEX('Coding Sheet'!$AT$2:$AT$731,MATCH($B623&amp;"_"&amp;$F623,'Coding Sheet'!$A$2:$A$731,0)),"")</f>
        <v>0</v>
      </c>
      <c r="K623" s="21">
        <v>10162000000</v>
      </c>
      <c r="L623" s="21">
        <v>4.5198</v>
      </c>
      <c r="M623" s="20">
        <f t="shared" si="64"/>
        <v>45930207.600000001</v>
      </c>
      <c r="N623" s="21">
        <v>287929000</v>
      </c>
      <c r="O623" s="21">
        <v>442703000</v>
      </c>
      <c r="P623" s="20">
        <v>7788000</v>
      </c>
      <c r="Q623" s="20">
        <f t="shared" si="65"/>
        <v>0.75413811878392512</v>
      </c>
      <c r="R623" s="20">
        <f t="shared" si="66"/>
        <v>19.908409674277557</v>
      </c>
      <c r="S623" s="20">
        <f t="shared" si="67"/>
        <v>0.65038863527014723</v>
      </c>
      <c r="T623" s="20">
        <f t="shared" si="68"/>
        <v>1.7591929578069269E-2</v>
      </c>
      <c r="U623" s="20">
        <f>IFERROR(IF(ISNUMBER(INDEX('Firm Master'!$E$2:$E$1000,MATCH($C623,'Firm Master'!$B$2:$B$1000,0))),INDEX('Firm Master'!$E$2:$E$1000,MATCH($C623,'Firm Master'!$B$2:$B$1000,0)),""),"")</f>
        <v>2004</v>
      </c>
      <c r="V623" s="21">
        <f t="shared" si="69"/>
        <v>18</v>
      </c>
      <c r="W623" s="21">
        <v>1</v>
      </c>
      <c r="X623" s="20" t="str">
        <f>IFERROR(INDEX('Firm Master'!$G$2:$G$1000,MATCH($C623,'Firm Master'!$B$2:$B$1000,0)),"")</f>
        <v>Deloitte &amp; Touche</v>
      </c>
    </row>
    <row r="624" spans="1:24" ht="27.75" customHeight="1" x14ac:dyDescent="0.3">
      <c r="A624" s="11">
        <v>623</v>
      </c>
      <c r="B624" s="11">
        <v>125</v>
      </c>
      <c r="C624" s="11" t="s">
        <v>1294</v>
      </c>
      <c r="D624" s="11" t="s">
        <v>1295</v>
      </c>
      <c r="E624" s="11" t="s">
        <v>870</v>
      </c>
      <c r="F624" s="11">
        <v>2023</v>
      </c>
      <c r="G624" s="20">
        <f t="shared" si="63"/>
        <v>1</v>
      </c>
      <c r="H624" s="21">
        <v>0</v>
      </c>
      <c r="I624" s="21">
        <f>IFERROR(INDEX('Coding Sheet'!$AC$2:$AC$731,MATCH($B624&amp;"_"&amp;$F624,'Coding Sheet'!$A$2:$A$731,0)),"")</f>
        <v>10</v>
      </c>
      <c r="J624" s="7">
        <f>IFERROR(INDEX('Coding Sheet'!$AT$2:$AT$731,MATCH($B624&amp;"_"&amp;$F624,'Coding Sheet'!$A$2:$A$731,0)),"")</f>
        <v>0</v>
      </c>
      <c r="K624" s="21">
        <v>10162000000</v>
      </c>
      <c r="L624" s="21">
        <v>34.639800000000001</v>
      </c>
      <c r="M624" s="20">
        <f t="shared" si="64"/>
        <v>352009647.60000002</v>
      </c>
      <c r="N624" s="21">
        <v>342626000</v>
      </c>
      <c r="O624" s="21">
        <v>529924000</v>
      </c>
      <c r="P624" s="20">
        <v>16378000</v>
      </c>
      <c r="Q624" s="20">
        <f t="shared" si="65"/>
        <v>1.3108212641812789</v>
      </c>
      <c r="R624" s="20">
        <f t="shared" si="66"/>
        <v>20.088244158001803</v>
      </c>
      <c r="S624" s="20">
        <f t="shared" si="67"/>
        <v>0.64655686475796526</v>
      </c>
      <c r="T624" s="20">
        <f t="shared" si="68"/>
        <v>3.0906318641918465E-2</v>
      </c>
      <c r="U624" s="20">
        <f>IFERROR(IF(ISNUMBER(INDEX('Firm Master'!$E$2:$E$1000,MATCH($C624,'Firm Master'!$B$2:$B$1000,0))),INDEX('Firm Master'!$E$2:$E$1000,MATCH($C624,'Firm Master'!$B$2:$B$1000,0)),""),"")</f>
        <v>2004</v>
      </c>
      <c r="V624" s="21">
        <f t="shared" si="69"/>
        <v>19</v>
      </c>
      <c r="W624" s="21">
        <v>1</v>
      </c>
      <c r="X624" s="20" t="str">
        <f>IFERROR(INDEX('Firm Master'!$G$2:$G$1000,MATCH($C624,'Firm Master'!$B$2:$B$1000,0)),"")</f>
        <v>Deloitte &amp; Touche</v>
      </c>
    </row>
    <row r="625" spans="1:24" ht="27.75" customHeight="1" x14ac:dyDescent="0.3">
      <c r="A625" s="11">
        <v>624</v>
      </c>
      <c r="B625" s="11">
        <v>125</v>
      </c>
      <c r="C625" s="11" t="s">
        <v>1294</v>
      </c>
      <c r="D625" s="11" t="s">
        <v>1295</v>
      </c>
      <c r="E625" s="11" t="s">
        <v>870</v>
      </c>
      <c r="F625" s="11">
        <v>2024</v>
      </c>
      <c r="G625" s="20">
        <f t="shared" si="63"/>
        <v>1</v>
      </c>
      <c r="H625" s="21">
        <v>0</v>
      </c>
      <c r="I625" s="21">
        <f>IFERROR(INDEX('Coding Sheet'!$AC$2:$AC$731,MATCH($B625&amp;"_"&amp;$F625,'Coding Sheet'!$A$2:$A$731,0)),"")</f>
        <v>10</v>
      </c>
      <c r="J625" s="7">
        <f>IFERROR(INDEX('Coding Sheet'!$AT$2:$AT$731,MATCH($B625&amp;"_"&amp;$F625,'Coding Sheet'!$A$2:$A$731,0)),"")</f>
        <v>0</v>
      </c>
      <c r="K625" s="21">
        <v>10162000000</v>
      </c>
      <c r="L625" s="21">
        <v>43.500300000000003</v>
      </c>
      <c r="M625" s="20">
        <f t="shared" si="64"/>
        <v>442050048.60000002</v>
      </c>
      <c r="N625" s="21">
        <v>511370000</v>
      </c>
      <c r="O625" s="21">
        <v>751563000</v>
      </c>
      <c r="P625" s="20">
        <v>51525000</v>
      </c>
      <c r="Q625" s="20">
        <f t="shared" si="65"/>
        <v>1.2685830044853192</v>
      </c>
      <c r="R625" s="20">
        <f t="shared" si="66"/>
        <v>20.437665595978899</v>
      </c>
      <c r="S625" s="20">
        <f t="shared" si="67"/>
        <v>0.68040869494639833</v>
      </c>
      <c r="T625" s="20">
        <f t="shared" si="68"/>
        <v>6.8557126947441538E-2</v>
      </c>
      <c r="U625" s="20">
        <f>IFERROR(IF(ISNUMBER(INDEX('Firm Master'!$E$2:$E$1000,MATCH($C625,'Firm Master'!$B$2:$B$1000,0))),INDEX('Firm Master'!$E$2:$E$1000,MATCH($C625,'Firm Master'!$B$2:$B$1000,0)),""),"")</f>
        <v>2004</v>
      </c>
      <c r="V625" s="21">
        <f t="shared" si="69"/>
        <v>20</v>
      </c>
      <c r="W625" s="21">
        <v>1</v>
      </c>
      <c r="X625" s="20" t="str">
        <f>IFERROR(INDEX('Firm Master'!$G$2:$G$1000,MATCH($C625,'Firm Master'!$B$2:$B$1000,0)),"")</f>
        <v>Deloitte &amp; Touche</v>
      </c>
    </row>
    <row r="626" spans="1:24" ht="27.75" customHeight="1" x14ac:dyDescent="0.3">
      <c r="A626" s="11">
        <v>625</v>
      </c>
      <c r="B626" s="11">
        <v>125</v>
      </c>
      <c r="C626" s="11" t="s">
        <v>1294</v>
      </c>
      <c r="D626" s="11" t="s">
        <v>1295</v>
      </c>
      <c r="E626" s="11" t="s">
        <v>870</v>
      </c>
      <c r="F626" s="11">
        <v>2025</v>
      </c>
      <c r="G626" s="20">
        <f t="shared" si="63"/>
        <v>1</v>
      </c>
      <c r="H626" s="21">
        <v>0</v>
      </c>
      <c r="I626" s="21">
        <f>IFERROR(INDEX('Coding Sheet'!$AC$2:$AC$731,MATCH($B626&amp;"_"&amp;$F626,'Coding Sheet'!$A$2:$A$731,0)),"")</f>
        <v>0</v>
      </c>
      <c r="J626" s="7">
        <f>IFERROR(INDEX('Coding Sheet'!$AT$2:$AT$731,MATCH($B626&amp;"_"&amp;$F626,'Coding Sheet'!$A$2:$A$731,0)),"")</f>
        <v>0</v>
      </c>
      <c r="K626" s="21">
        <v>10162000000</v>
      </c>
      <c r="L626" s="21">
        <v>45.399500000000003</v>
      </c>
      <c r="M626" s="20">
        <f t="shared" si="64"/>
        <v>461349719.00000006</v>
      </c>
      <c r="N626" s="21">
        <v>648957000</v>
      </c>
      <c r="O626" s="21">
        <v>1002343000</v>
      </c>
      <c r="P626" s="20">
        <v>85789000</v>
      </c>
      <c r="Q626" s="20">
        <f t="shared" si="65"/>
        <v>1.107711351303895</v>
      </c>
      <c r="R626" s="20">
        <f t="shared" si="66"/>
        <v>20.725606096401808</v>
      </c>
      <c r="S626" s="20">
        <f t="shared" si="67"/>
        <v>0.6474400479676119</v>
      </c>
      <c r="T626" s="20">
        <f t="shared" si="68"/>
        <v>8.5588466223638013E-2</v>
      </c>
      <c r="U626" s="20">
        <f>IFERROR(IF(ISNUMBER(INDEX('Firm Master'!$E$2:$E$1000,MATCH($C626,'Firm Master'!$B$2:$B$1000,0))),INDEX('Firm Master'!$E$2:$E$1000,MATCH($C626,'Firm Master'!$B$2:$B$1000,0)),""),"")</f>
        <v>2004</v>
      </c>
      <c r="V626" s="21">
        <f t="shared" si="69"/>
        <v>21</v>
      </c>
      <c r="W626" s="21">
        <v>1</v>
      </c>
      <c r="X626" s="20" t="str">
        <f>IFERROR(INDEX('Firm Master'!$G$2:$G$1000,MATCH($C626,'Firm Master'!$B$2:$B$1000,0)),"")</f>
        <v>Deloitte &amp; Touche</v>
      </c>
    </row>
    <row r="627" spans="1:24" ht="15" customHeight="1" x14ac:dyDescent="0.3">
      <c r="A627" s="11">
        <v>626</v>
      </c>
      <c r="B627" s="11">
        <v>126</v>
      </c>
      <c r="C627" s="11" t="s">
        <v>1298</v>
      </c>
      <c r="D627" s="11" t="s">
        <v>1299</v>
      </c>
      <c r="E627" s="11" t="s">
        <v>715</v>
      </c>
      <c r="F627" s="11">
        <v>2021</v>
      </c>
      <c r="G627" s="20">
        <f t="shared" si="63"/>
        <v>0</v>
      </c>
      <c r="H627" s="21">
        <v>0</v>
      </c>
      <c r="I627" s="21">
        <f>IFERROR(INDEX('Coding Sheet'!$AC$2:$AC$731,MATCH($B627&amp;"_"&amp;$F627,'Coding Sheet'!$A$2:$A$731,0)),"")</f>
        <v>0</v>
      </c>
      <c r="J627" s="7">
        <f>IFERROR(INDEX('Coding Sheet'!$AT$2:$AT$731,MATCH($B627&amp;"_"&amp;$F627,'Coding Sheet'!$A$2:$A$731,0)),"")</f>
        <v>0</v>
      </c>
      <c r="K627" s="21">
        <v>498150000</v>
      </c>
      <c r="L627" s="21">
        <v>0.76239999999999997</v>
      </c>
      <c r="M627" s="20">
        <f t="shared" si="64"/>
        <v>379789.56</v>
      </c>
      <c r="N627" s="21">
        <v>288960</v>
      </c>
      <c r="O627" s="21">
        <v>649590</v>
      </c>
      <c r="P627" s="20">
        <v>-39710</v>
      </c>
      <c r="Q627" s="20">
        <f t="shared" si="65"/>
        <v>1.0294948505980697</v>
      </c>
      <c r="R627" s="20">
        <f t="shared" si="66"/>
        <v>13.384096673622444</v>
      </c>
      <c r="S627" s="20">
        <f t="shared" si="67"/>
        <v>0.44483443402761741</v>
      </c>
      <c r="T627" s="20">
        <f t="shared" si="68"/>
        <v>-6.1130867162363954E-2</v>
      </c>
      <c r="U627" s="20">
        <f>IFERROR(IF(ISNUMBER(INDEX('Firm Master'!$E$2:$E$1000,MATCH($C627,'Firm Master'!$B$2:$B$1000,0))),INDEX('Firm Master'!$E$2:$E$1000,MATCH($C627,'Firm Master'!$B$2:$B$1000,0)),""),"")</f>
        <v>1984</v>
      </c>
      <c r="V627" s="21">
        <f t="shared" si="69"/>
        <v>37</v>
      </c>
      <c r="W627" s="21">
        <v>0</v>
      </c>
      <c r="X627" s="20" t="str">
        <f>IFERROR(INDEX('Firm Master'!$G$2:$G$1000,MATCH($C627,'Firm Master'!$B$2:$B$1000,0)),"")</f>
        <v>Baker Tilly Nigeria</v>
      </c>
    </row>
    <row r="628" spans="1:24" ht="15" customHeight="1" x14ac:dyDescent="0.3">
      <c r="A628" s="11">
        <v>627</v>
      </c>
      <c r="B628" s="11">
        <v>126</v>
      </c>
      <c r="C628" s="11" t="s">
        <v>1298</v>
      </c>
      <c r="D628" s="11" t="s">
        <v>1299</v>
      </c>
      <c r="E628" s="11" t="s">
        <v>715</v>
      </c>
      <c r="F628" s="11">
        <v>2022</v>
      </c>
      <c r="G628" s="20">
        <f t="shared" si="63"/>
        <v>0</v>
      </c>
      <c r="H628" s="21">
        <v>0</v>
      </c>
      <c r="I628" s="21">
        <f>IFERROR(INDEX('Coding Sheet'!$AC$2:$AC$731,MATCH($B628&amp;"_"&amp;$F628,'Coding Sheet'!$A$2:$A$731,0)),"")</f>
        <v>0</v>
      </c>
      <c r="J628" s="7">
        <f>IFERROR(INDEX('Coding Sheet'!$AT$2:$AT$731,MATCH($B628&amp;"_"&amp;$F628,'Coding Sheet'!$A$2:$A$731,0)),"")</f>
        <v>0</v>
      </c>
      <c r="K628" s="21">
        <v>498150000</v>
      </c>
      <c r="L628" s="21">
        <v>0.82</v>
      </c>
      <c r="M628" s="20">
        <f t="shared" si="64"/>
        <v>408483</v>
      </c>
      <c r="N628" s="21">
        <v>318080</v>
      </c>
      <c r="O628" s="21">
        <v>697030</v>
      </c>
      <c r="P628" s="20">
        <v>25220</v>
      </c>
      <c r="Q628" s="20">
        <f t="shared" si="65"/>
        <v>1.042369768876519</v>
      </c>
      <c r="R628" s="20">
        <f t="shared" si="66"/>
        <v>13.454583730423284</v>
      </c>
      <c r="S628" s="20">
        <f t="shared" si="67"/>
        <v>0.45633616917492792</v>
      </c>
      <c r="T628" s="20">
        <f t="shared" si="68"/>
        <v>3.6182086854224353E-2</v>
      </c>
      <c r="U628" s="20">
        <f>IFERROR(IF(ISNUMBER(INDEX('Firm Master'!$E$2:$E$1000,MATCH($C628,'Firm Master'!$B$2:$B$1000,0))),INDEX('Firm Master'!$E$2:$E$1000,MATCH($C628,'Firm Master'!$B$2:$B$1000,0)),""),"")</f>
        <v>1984</v>
      </c>
      <c r="V628" s="21">
        <f t="shared" si="69"/>
        <v>38</v>
      </c>
      <c r="W628" s="21">
        <v>0</v>
      </c>
      <c r="X628" s="20" t="str">
        <f>IFERROR(INDEX('Firm Master'!$G$2:$G$1000,MATCH($C628,'Firm Master'!$B$2:$B$1000,0)),"")</f>
        <v>Baker Tilly Nigeria</v>
      </c>
    </row>
    <row r="629" spans="1:24" ht="15" customHeight="1" x14ac:dyDescent="0.3">
      <c r="A629" s="11">
        <v>628</v>
      </c>
      <c r="B629" s="11">
        <v>126</v>
      </c>
      <c r="C629" s="11" t="s">
        <v>1298</v>
      </c>
      <c r="D629" s="11" t="s">
        <v>1299</v>
      </c>
      <c r="E629" s="11" t="s">
        <v>715</v>
      </c>
      <c r="F629" s="11">
        <v>2023</v>
      </c>
      <c r="G629" s="20">
        <f t="shared" si="63"/>
        <v>1</v>
      </c>
      <c r="H629" s="21">
        <v>0</v>
      </c>
      <c r="I629" s="21">
        <f>IFERROR(INDEX('Coding Sheet'!$AC$2:$AC$731,MATCH($B629&amp;"_"&amp;$F629,'Coding Sheet'!$A$2:$A$731,0)),"")</f>
        <v>5</v>
      </c>
      <c r="J629" s="7">
        <f>IFERROR(INDEX('Coding Sheet'!$AT$2:$AT$731,MATCH($B629&amp;"_"&amp;$F629,'Coding Sheet'!$A$2:$A$731,0)),"")</f>
        <v>0</v>
      </c>
      <c r="K629" s="21">
        <v>498150000</v>
      </c>
      <c r="L629" s="21">
        <v>1.1499999999999999</v>
      </c>
      <c r="M629" s="20">
        <f t="shared" si="64"/>
        <v>572872.5</v>
      </c>
      <c r="N629" s="21">
        <v>334310</v>
      </c>
      <c r="O629" s="21">
        <v>719910</v>
      </c>
      <c r="P629" s="20">
        <v>16030</v>
      </c>
      <c r="Q629" s="20">
        <f t="shared" si="65"/>
        <v>1.2601332110958314</v>
      </c>
      <c r="R629" s="20">
        <f t="shared" si="66"/>
        <v>13.486881483179086</v>
      </c>
      <c r="S629" s="20">
        <f t="shared" si="67"/>
        <v>0.46437749163089831</v>
      </c>
      <c r="T629" s="20">
        <f t="shared" si="68"/>
        <v>2.2266672222916752E-2</v>
      </c>
      <c r="U629" s="20">
        <f>IFERROR(IF(ISNUMBER(INDEX('Firm Master'!$E$2:$E$1000,MATCH($C629,'Firm Master'!$B$2:$B$1000,0))),INDEX('Firm Master'!$E$2:$E$1000,MATCH($C629,'Firm Master'!$B$2:$B$1000,0)),""),"")</f>
        <v>1984</v>
      </c>
      <c r="V629" s="21">
        <f t="shared" si="69"/>
        <v>39</v>
      </c>
      <c r="W629" s="21">
        <v>0</v>
      </c>
      <c r="X629" s="20" t="str">
        <f>IFERROR(INDEX('Firm Master'!$G$2:$G$1000,MATCH($C629,'Firm Master'!$B$2:$B$1000,0)),"")</f>
        <v>Baker Tilly Nigeria</v>
      </c>
    </row>
    <row r="630" spans="1:24" ht="15" customHeight="1" x14ac:dyDescent="0.3">
      <c r="A630" s="11">
        <v>629</v>
      </c>
      <c r="B630" s="11">
        <v>126</v>
      </c>
      <c r="C630" s="11" t="s">
        <v>1298</v>
      </c>
      <c r="D630" s="11" t="s">
        <v>1299</v>
      </c>
      <c r="E630" s="11" t="s">
        <v>715</v>
      </c>
      <c r="F630" s="11">
        <v>2024</v>
      </c>
      <c r="G630" s="20">
        <f t="shared" si="63"/>
        <v>1</v>
      </c>
      <c r="H630" s="21">
        <v>0</v>
      </c>
      <c r="I630" s="21">
        <f>IFERROR(INDEX('Coding Sheet'!$AC$2:$AC$731,MATCH($B630&amp;"_"&amp;$F630,'Coding Sheet'!$A$2:$A$731,0)),"")</f>
        <v>0</v>
      </c>
      <c r="J630" s="7">
        <f>IFERROR(INDEX('Coding Sheet'!$AT$2:$AT$731,MATCH($B630&amp;"_"&amp;$F630,'Coding Sheet'!$A$2:$A$731,0)),"")</f>
        <v>0</v>
      </c>
      <c r="K630" s="21">
        <v>498150000</v>
      </c>
      <c r="L630" s="21">
        <v>1.38</v>
      </c>
      <c r="M630" s="20">
        <f t="shared" si="64"/>
        <v>687447</v>
      </c>
      <c r="N630" s="21">
        <v>392790</v>
      </c>
      <c r="O630" s="21">
        <v>607860</v>
      </c>
      <c r="P630" s="20">
        <v>-97890</v>
      </c>
      <c r="Q630" s="20">
        <f t="shared" si="65"/>
        <v>1.7771147961701708</v>
      </c>
      <c r="R630" s="20">
        <f t="shared" si="66"/>
        <v>13.317699871275778</v>
      </c>
      <c r="S630" s="20">
        <f t="shared" si="67"/>
        <v>0.64618497680386933</v>
      </c>
      <c r="T630" s="20">
        <f t="shared" si="68"/>
        <v>-0.161040371138091</v>
      </c>
      <c r="U630" s="20">
        <f>IFERROR(IF(ISNUMBER(INDEX('Firm Master'!$E$2:$E$1000,MATCH($C630,'Firm Master'!$B$2:$B$1000,0))),INDEX('Firm Master'!$E$2:$E$1000,MATCH($C630,'Firm Master'!$B$2:$B$1000,0)),""),"")</f>
        <v>1984</v>
      </c>
      <c r="V630" s="21">
        <f t="shared" si="69"/>
        <v>40</v>
      </c>
      <c r="W630" s="21">
        <v>0</v>
      </c>
      <c r="X630" s="20" t="str">
        <f>IFERROR(INDEX('Firm Master'!$G$2:$G$1000,MATCH($C630,'Firm Master'!$B$2:$B$1000,0)),"")</f>
        <v>Baker Tilly Nigeria</v>
      </c>
    </row>
    <row r="631" spans="1:24" ht="15" customHeight="1" x14ac:dyDescent="0.3">
      <c r="A631" s="11">
        <v>630</v>
      </c>
      <c r="B631" s="11">
        <v>126</v>
      </c>
      <c r="C631" s="11" t="s">
        <v>1298</v>
      </c>
      <c r="D631" s="11" t="s">
        <v>1299</v>
      </c>
      <c r="E631" s="11" t="s">
        <v>715</v>
      </c>
      <c r="F631" s="11">
        <v>2025</v>
      </c>
      <c r="G631" s="20">
        <f t="shared" si="63"/>
        <v>1</v>
      </c>
      <c r="H631" s="21">
        <v>0</v>
      </c>
      <c r="I631" s="21">
        <f>IFERROR(INDEX('Coding Sheet'!$AC$2:$AC$731,MATCH($B631&amp;"_"&amp;$F631,'Coding Sheet'!$A$2:$A$731,0)),"")</f>
        <v>0</v>
      </c>
      <c r="J631" s="7">
        <f>IFERROR(INDEX('Coding Sheet'!$AT$2:$AT$731,MATCH($B631&amp;"_"&amp;$F631,'Coding Sheet'!$A$2:$A$731,0)),"")</f>
        <v>0</v>
      </c>
      <c r="K631" s="21">
        <v>498150000</v>
      </c>
      <c r="L631" s="21">
        <v>2.1478999999999999</v>
      </c>
      <c r="M631" s="20">
        <f t="shared" si="64"/>
        <v>1069976.385</v>
      </c>
      <c r="N631" s="21">
        <v>436670</v>
      </c>
      <c r="O631" s="21">
        <v>475010</v>
      </c>
      <c r="P631" s="20">
        <v>-176720</v>
      </c>
      <c r="Q631" s="20">
        <f t="shared" si="65"/>
        <v>3.1718203511505023</v>
      </c>
      <c r="R631" s="20">
        <f t="shared" si="66"/>
        <v>13.071091135426753</v>
      </c>
      <c r="S631" s="20">
        <f t="shared" si="67"/>
        <v>0.91928590977032065</v>
      </c>
      <c r="T631" s="20">
        <f t="shared" si="68"/>
        <v>-0.37203427296267449</v>
      </c>
      <c r="U631" s="20">
        <f>IFERROR(IF(ISNUMBER(INDEX('Firm Master'!$E$2:$E$1000,MATCH($C631,'Firm Master'!$B$2:$B$1000,0))),INDEX('Firm Master'!$E$2:$E$1000,MATCH($C631,'Firm Master'!$B$2:$B$1000,0)),""),"")</f>
        <v>1984</v>
      </c>
      <c r="V631" s="21">
        <f t="shared" si="69"/>
        <v>41</v>
      </c>
      <c r="W631" s="21">
        <v>0</v>
      </c>
      <c r="X631" s="20" t="str">
        <f>IFERROR(INDEX('Firm Master'!$G$2:$G$1000,MATCH($C631,'Firm Master'!$B$2:$B$1000,0)),"")</f>
        <v>Baker Tilly Nigeria</v>
      </c>
    </row>
    <row r="632" spans="1:24" ht="27.75" customHeight="1" x14ac:dyDescent="0.3">
      <c r="A632" s="16">
        <v>631</v>
      </c>
      <c r="B632" s="16">
        <v>127</v>
      </c>
      <c r="C632" s="16" t="s">
        <v>1302</v>
      </c>
      <c r="D632" s="16" t="s">
        <v>1303</v>
      </c>
      <c r="E632" s="16" t="s">
        <v>959</v>
      </c>
      <c r="F632" s="16">
        <v>2021</v>
      </c>
      <c r="G632" s="16">
        <f t="shared" si="63"/>
        <v>0</v>
      </c>
      <c r="H632" s="16">
        <v>0</v>
      </c>
      <c r="I632" s="16" t="str">
        <f>IFERROR(INDEX('Coding Sheet'!$AC$2:$AC$731,MATCH($B632&amp;"_"&amp;$F632,'Coding Sheet'!$A$2:$A$731,0)),"")</f>
        <v/>
      </c>
      <c r="J632" s="22" t="str">
        <f>IFERROR(INDEX('Coding Sheet'!$AT$2:$AT$731,MATCH($B632&amp;"_"&amp;$F632,'Coding Sheet'!$A$2:$A$731,0)),"")</f>
        <v/>
      </c>
      <c r="K632" s="16"/>
      <c r="L632" s="16"/>
      <c r="M632" s="16" t="str">
        <f t="shared" si="64"/>
        <v/>
      </c>
      <c r="N632" s="16"/>
      <c r="O632" s="16"/>
      <c r="P632" s="16"/>
      <c r="Q632" s="16" t="str">
        <f t="shared" si="65"/>
        <v/>
      </c>
      <c r="R632" s="16" t="str">
        <f t="shared" si="66"/>
        <v/>
      </c>
      <c r="S632" s="16" t="str">
        <f t="shared" si="67"/>
        <v/>
      </c>
      <c r="T632" s="16" t="str">
        <f t="shared" si="68"/>
        <v/>
      </c>
      <c r="U632" s="16">
        <f>IFERROR(IF(ISNUMBER(INDEX('Firm Master'!$E$2:$E$1000,MATCH($C632,'Firm Master'!$B$2:$B$1000,0))),INDEX('Firm Master'!$E$2:$E$1000,MATCH($C632,'Firm Master'!$B$2:$B$1000,0)),""),"")</f>
        <v>2012</v>
      </c>
      <c r="V632" s="16">
        <f t="shared" si="69"/>
        <v>9</v>
      </c>
      <c r="W632" s="16"/>
      <c r="X632" s="16" t="str">
        <f>IFERROR(INDEX('Firm Master'!$G$2:$G$1000,MATCH($C632,'Firm Master'!$B$2:$B$1000,0)),"")</f>
        <v>Deloitte &amp; Touche</v>
      </c>
    </row>
    <row r="633" spans="1:24" ht="27.75" customHeight="1" x14ac:dyDescent="0.3">
      <c r="A633" s="16">
        <v>632</v>
      </c>
      <c r="B633" s="16">
        <v>127</v>
      </c>
      <c r="C633" s="16" t="s">
        <v>1302</v>
      </c>
      <c r="D633" s="16" t="s">
        <v>1303</v>
      </c>
      <c r="E633" s="16" t="s">
        <v>959</v>
      </c>
      <c r="F633" s="16">
        <v>2022</v>
      </c>
      <c r="G633" s="16">
        <f t="shared" si="63"/>
        <v>0</v>
      </c>
      <c r="H633" s="16">
        <v>0</v>
      </c>
      <c r="I633" s="16">
        <f>IFERROR(INDEX('Coding Sheet'!$AC$2:$AC$731,MATCH($B633&amp;"_"&amp;$F633,'Coding Sheet'!$A$2:$A$731,0)),"")</f>
        <v>5</v>
      </c>
      <c r="J633" s="22">
        <f>IFERROR(INDEX('Coding Sheet'!$AT$2:$AT$731,MATCH($B633&amp;"_"&amp;$F633,'Coding Sheet'!$A$2:$A$731,0)),"")</f>
        <v>0</v>
      </c>
      <c r="K633" s="16">
        <v>79150000</v>
      </c>
      <c r="L633" s="16"/>
      <c r="M633" s="16" t="str">
        <f t="shared" si="64"/>
        <v/>
      </c>
      <c r="N633" s="16">
        <v>130223000</v>
      </c>
      <c r="O633" s="16">
        <v>168187000</v>
      </c>
      <c r="P633" s="16">
        <v>17283000</v>
      </c>
      <c r="Q633" s="16" t="str">
        <f t="shared" si="65"/>
        <v/>
      </c>
      <c r="R633" s="16">
        <f t="shared" si="66"/>
        <v>18.94058701357444</v>
      </c>
      <c r="S633" s="16">
        <f t="shared" si="67"/>
        <v>0.7742750628764411</v>
      </c>
      <c r="T633" s="16">
        <f t="shared" si="68"/>
        <v>0.10276061764583469</v>
      </c>
      <c r="U633" s="16">
        <f>IFERROR(IF(ISNUMBER(INDEX('Firm Master'!$E$2:$E$1000,MATCH($C633,'Firm Master'!$B$2:$B$1000,0))),INDEX('Firm Master'!$E$2:$E$1000,MATCH($C633,'Firm Master'!$B$2:$B$1000,0)),""),"")</f>
        <v>2012</v>
      </c>
      <c r="V633" s="16">
        <f t="shared" si="69"/>
        <v>10</v>
      </c>
      <c r="W633" s="16">
        <v>1</v>
      </c>
      <c r="X633" s="16" t="str">
        <f>IFERROR(INDEX('Firm Master'!$G$2:$G$1000,MATCH($C633,'Firm Master'!$B$2:$B$1000,0)),"")</f>
        <v>Deloitte &amp; Touche</v>
      </c>
    </row>
    <row r="634" spans="1:24" ht="27.75" customHeight="1" x14ac:dyDescent="0.3">
      <c r="A634" s="16">
        <v>633</v>
      </c>
      <c r="B634" s="16">
        <v>127</v>
      </c>
      <c r="C634" s="16" t="s">
        <v>1302</v>
      </c>
      <c r="D634" s="16" t="s">
        <v>1303</v>
      </c>
      <c r="E634" s="16" t="s">
        <v>959</v>
      </c>
      <c r="F634" s="16">
        <v>2023</v>
      </c>
      <c r="G634" s="16">
        <f t="shared" si="63"/>
        <v>1</v>
      </c>
      <c r="H634" s="16">
        <v>0</v>
      </c>
      <c r="I634" s="16">
        <f>IFERROR(INDEX('Coding Sheet'!$AC$2:$AC$731,MATCH($B634&amp;"_"&amp;$F634,'Coding Sheet'!$A$2:$A$731,0)),"")</f>
        <v>5</v>
      </c>
      <c r="J634" s="22">
        <f>IFERROR(INDEX('Coding Sheet'!$AT$2:$AT$731,MATCH($B634&amp;"_"&amp;$F634,'Coding Sheet'!$A$2:$A$731,0)),"")</f>
        <v>0</v>
      </c>
      <c r="K634" s="16">
        <v>7500000000</v>
      </c>
      <c r="L634" s="16"/>
      <c r="M634" s="16" t="str">
        <f t="shared" si="64"/>
        <v/>
      </c>
      <c r="N634" s="16">
        <v>165528000</v>
      </c>
      <c r="O634" s="16">
        <v>223391000</v>
      </c>
      <c r="P634" s="16">
        <v>30234000</v>
      </c>
      <c r="Q634" s="16" t="str">
        <f t="shared" si="65"/>
        <v/>
      </c>
      <c r="R634" s="16">
        <f t="shared" si="66"/>
        <v>19.224434157306206</v>
      </c>
      <c r="S634" s="16">
        <f t="shared" si="67"/>
        <v>0.74097882188628905</v>
      </c>
      <c r="T634" s="16">
        <f t="shared" si="68"/>
        <v>0.13534117310008012</v>
      </c>
      <c r="U634" s="16">
        <f>IFERROR(IF(ISNUMBER(INDEX('Firm Master'!$E$2:$E$1000,MATCH($C634,'Firm Master'!$B$2:$B$1000,0))),INDEX('Firm Master'!$E$2:$E$1000,MATCH($C634,'Firm Master'!$B$2:$B$1000,0)),""),"")</f>
        <v>2012</v>
      </c>
      <c r="V634" s="16">
        <f t="shared" si="69"/>
        <v>11</v>
      </c>
      <c r="W634" s="16">
        <v>1</v>
      </c>
      <c r="X634" s="16" t="str">
        <f>IFERROR(INDEX('Firm Master'!$G$2:$G$1000,MATCH($C634,'Firm Master'!$B$2:$B$1000,0)),"")</f>
        <v>Deloitte &amp; Touche</v>
      </c>
    </row>
    <row r="635" spans="1:24" ht="27.75" customHeight="1" x14ac:dyDescent="0.3">
      <c r="A635" s="11">
        <v>634</v>
      </c>
      <c r="B635" s="11">
        <v>127</v>
      </c>
      <c r="C635" s="11" t="s">
        <v>1302</v>
      </c>
      <c r="D635" s="11" t="s">
        <v>1303</v>
      </c>
      <c r="E635" s="11" t="s">
        <v>959</v>
      </c>
      <c r="F635" s="11">
        <v>2024</v>
      </c>
      <c r="G635" s="20">
        <f t="shared" si="63"/>
        <v>1</v>
      </c>
      <c r="H635" s="21">
        <v>0</v>
      </c>
      <c r="I635" s="21">
        <f>IFERROR(INDEX('Coding Sheet'!$AC$2:$AC$731,MATCH($B635&amp;"_"&amp;$F635,'Coding Sheet'!$A$2:$A$731,0)),"")</f>
        <v>5</v>
      </c>
      <c r="J635" s="7">
        <f>IFERROR(INDEX('Coding Sheet'!$AT$2:$AT$731,MATCH($B635&amp;"_"&amp;$F635,'Coding Sheet'!$A$2:$A$731,0)),"")</f>
        <v>0</v>
      </c>
      <c r="K635" s="21">
        <v>7500000000</v>
      </c>
      <c r="L635" s="21">
        <v>360</v>
      </c>
      <c r="M635" s="20">
        <f t="shared" si="64"/>
        <v>2700000000</v>
      </c>
      <c r="N635" s="21">
        <v>270157000</v>
      </c>
      <c r="O635" s="21">
        <v>396782000</v>
      </c>
      <c r="P635" s="20">
        <v>80013000</v>
      </c>
      <c r="Q635" s="20">
        <f t="shared" si="65"/>
        <v>7.4856142667762144</v>
      </c>
      <c r="R635" s="20">
        <f t="shared" si="66"/>
        <v>19.79889756944284</v>
      </c>
      <c r="S635" s="20">
        <f t="shared" si="67"/>
        <v>0.68087009995413095</v>
      </c>
      <c r="T635" s="20">
        <f t="shared" si="68"/>
        <v>0.20165481297034643</v>
      </c>
      <c r="U635" s="20">
        <f>IFERROR(IF(ISNUMBER(INDEX('Firm Master'!$E$2:$E$1000,MATCH($C635,'Firm Master'!$B$2:$B$1000,0))),INDEX('Firm Master'!$E$2:$E$1000,MATCH($C635,'Firm Master'!$B$2:$B$1000,0)),""),"")</f>
        <v>2012</v>
      </c>
      <c r="V635" s="21">
        <f t="shared" si="69"/>
        <v>12</v>
      </c>
      <c r="W635" s="21">
        <v>1</v>
      </c>
      <c r="X635" s="20" t="str">
        <f>IFERROR(INDEX('Firm Master'!$G$2:$G$1000,MATCH($C635,'Firm Master'!$B$2:$B$1000,0)),"")</f>
        <v>Deloitte &amp; Touche</v>
      </c>
    </row>
    <row r="636" spans="1:24" ht="27.75" customHeight="1" x14ac:dyDescent="0.3">
      <c r="A636" s="11">
        <v>635</v>
      </c>
      <c r="B636" s="11">
        <v>127</v>
      </c>
      <c r="C636" s="11" t="s">
        <v>1302</v>
      </c>
      <c r="D636" s="11" t="s">
        <v>1303</v>
      </c>
      <c r="E636" s="11" t="s">
        <v>959</v>
      </c>
      <c r="F636" s="11">
        <v>2025</v>
      </c>
      <c r="G636" s="20">
        <f t="shared" si="63"/>
        <v>1</v>
      </c>
      <c r="H636" s="21">
        <v>0</v>
      </c>
      <c r="I636" s="21">
        <f>IFERROR(INDEX('Coding Sheet'!$AC$2:$AC$731,MATCH($B636&amp;"_"&amp;$F636,'Coding Sheet'!$A$2:$A$731,0)),"")</f>
        <v>5</v>
      </c>
      <c r="J636" s="7">
        <f>IFERROR(INDEX('Coding Sheet'!$AT$2:$AT$731,MATCH($B636&amp;"_"&amp;$F636,'Coding Sheet'!$A$2:$A$731,0)),"")</f>
        <v>0</v>
      </c>
      <c r="K636" s="21">
        <v>7500000000</v>
      </c>
      <c r="L636" s="21">
        <v>306.66669999999999</v>
      </c>
      <c r="M636" s="20">
        <f t="shared" si="64"/>
        <v>2300000250</v>
      </c>
      <c r="N636" s="21">
        <v>380080000</v>
      </c>
      <c r="O636" s="21">
        <v>563479000</v>
      </c>
      <c r="P636" s="20">
        <v>91417000</v>
      </c>
      <c r="Q636" s="20">
        <f t="shared" si="65"/>
        <v>4.7563090195020576</v>
      </c>
      <c r="R636" s="20">
        <f t="shared" si="66"/>
        <v>20.149640623668926</v>
      </c>
      <c r="S636" s="20">
        <f t="shared" si="67"/>
        <v>0.67452380656599442</v>
      </c>
      <c r="T636" s="20">
        <f t="shared" si="68"/>
        <v>0.16223674706599536</v>
      </c>
      <c r="U636" s="20">
        <f>IFERROR(IF(ISNUMBER(INDEX('Firm Master'!$E$2:$E$1000,MATCH($C636,'Firm Master'!$B$2:$B$1000,0))),INDEX('Firm Master'!$E$2:$E$1000,MATCH($C636,'Firm Master'!$B$2:$B$1000,0)),""),"")</f>
        <v>2012</v>
      </c>
      <c r="V636" s="21">
        <f t="shared" si="69"/>
        <v>13</v>
      </c>
      <c r="W636" s="21">
        <v>1</v>
      </c>
      <c r="X636" s="20" t="str">
        <f>IFERROR(INDEX('Firm Master'!$G$2:$G$1000,MATCH($C636,'Firm Master'!$B$2:$B$1000,0)),"")</f>
        <v>Deloitte &amp; Touche</v>
      </c>
    </row>
    <row r="637" spans="1:24" ht="15" customHeight="1" x14ac:dyDescent="0.3">
      <c r="A637" s="16">
        <v>636</v>
      </c>
      <c r="B637" s="16">
        <v>128</v>
      </c>
      <c r="C637" s="16" t="s">
        <v>1306</v>
      </c>
      <c r="D637" s="16" t="s">
        <v>1307</v>
      </c>
      <c r="E637" s="16" t="s">
        <v>772</v>
      </c>
      <c r="F637" s="16">
        <v>2021</v>
      </c>
      <c r="G637" s="16">
        <f t="shared" si="63"/>
        <v>0</v>
      </c>
      <c r="H637" s="16">
        <v>0</v>
      </c>
      <c r="I637" s="16" t="str">
        <f>IFERROR(INDEX('Coding Sheet'!$AC$2:$AC$731,MATCH($B637&amp;"_"&amp;$F637,'Coding Sheet'!$A$2:$A$731,0)),"")</f>
        <v/>
      </c>
      <c r="J637" s="22" t="str">
        <f>IFERROR(INDEX('Coding Sheet'!$AT$2:$AT$731,MATCH($B637&amp;"_"&amp;$F637,'Coding Sheet'!$A$2:$A$731,0)),"")</f>
        <v/>
      </c>
      <c r="K637" s="16"/>
      <c r="L637" s="16"/>
      <c r="M637" s="16" t="str">
        <f t="shared" si="64"/>
        <v/>
      </c>
      <c r="N637" s="16"/>
      <c r="O637" s="16"/>
      <c r="P637" s="16">
        <v>85880</v>
      </c>
      <c r="Q637" s="16" t="str">
        <f t="shared" si="65"/>
        <v/>
      </c>
      <c r="R637" s="16" t="str">
        <f t="shared" si="66"/>
        <v/>
      </c>
      <c r="S637" s="16" t="str">
        <f t="shared" si="67"/>
        <v/>
      </c>
      <c r="T637" s="16" t="str">
        <f t="shared" si="68"/>
        <v/>
      </c>
      <c r="U637" s="16">
        <f>IFERROR(IF(ISNUMBER(INDEX('Firm Master'!$E$2:$E$1000,MATCH($C637,'Firm Master'!$B$2:$B$1000,0))),INDEX('Firm Master'!$E$2:$E$1000,MATCH($C637,'Firm Master'!$B$2:$B$1000,0)),""),"")</f>
        <v>1980</v>
      </c>
      <c r="V637" s="16">
        <f t="shared" si="69"/>
        <v>41</v>
      </c>
      <c r="W637" s="16"/>
      <c r="X637" s="16" t="str">
        <f>IFERROR(INDEX('Firm Master'!$G$2:$G$1000,MATCH($C637,'Firm Master'!$B$2:$B$1000,0)),"")</f>
        <v>UNRESOLVED</v>
      </c>
    </row>
    <row r="638" spans="1:24" ht="15" customHeight="1" x14ac:dyDescent="0.3">
      <c r="A638" s="11">
        <v>637</v>
      </c>
      <c r="B638" s="11">
        <v>128</v>
      </c>
      <c r="C638" s="11" t="s">
        <v>1306</v>
      </c>
      <c r="D638" s="11" t="s">
        <v>1307</v>
      </c>
      <c r="E638" s="11" t="s">
        <v>772</v>
      </c>
      <c r="F638" s="11">
        <v>2022</v>
      </c>
      <c r="G638" s="20">
        <f t="shared" si="63"/>
        <v>0</v>
      </c>
      <c r="H638" s="21">
        <v>0</v>
      </c>
      <c r="I638" s="21">
        <f>IFERROR(INDEX('Coding Sheet'!$AC$2:$AC$731,MATCH($B638&amp;"_"&amp;$F638,'Coding Sheet'!$A$2:$A$731,0)),"")</f>
        <v>0</v>
      </c>
      <c r="J638" s="7">
        <f>IFERROR(INDEX('Coding Sheet'!$AT$2:$AT$731,MATCH($B638&amp;"_"&amp;$F638,'Coding Sheet'!$A$2:$A$731,0)),"")</f>
        <v>0</v>
      </c>
      <c r="K638" s="21">
        <v>989910000</v>
      </c>
      <c r="L638" s="21">
        <v>0.48</v>
      </c>
      <c r="M638" s="20">
        <f t="shared" si="64"/>
        <v>475156.8</v>
      </c>
      <c r="N638" s="21">
        <v>3172000</v>
      </c>
      <c r="O638" s="21">
        <v>4346000</v>
      </c>
      <c r="P638" s="20">
        <v>66240</v>
      </c>
      <c r="Q638" s="20">
        <f t="shared" si="65"/>
        <v>0.83919852738150014</v>
      </c>
      <c r="R638" s="20">
        <f t="shared" si="66"/>
        <v>15.284766439798512</v>
      </c>
      <c r="S638" s="20">
        <f t="shared" si="67"/>
        <v>0.7298665439484584</v>
      </c>
      <c r="T638" s="20">
        <f t="shared" si="68"/>
        <v>1.52416014726185E-2</v>
      </c>
      <c r="U638" s="20">
        <f>IFERROR(IF(ISNUMBER(INDEX('Firm Master'!$E$2:$E$1000,MATCH($C638,'Firm Master'!$B$2:$B$1000,0))),INDEX('Firm Master'!$E$2:$E$1000,MATCH($C638,'Firm Master'!$B$2:$B$1000,0)),""),"")</f>
        <v>1980</v>
      </c>
      <c r="V638" s="21">
        <f t="shared" si="69"/>
        <v>42</v>
      </c>
      <c r="W638" s="21">
        <v>0</v>
      </c>
      <c r="X638" s="20" t="str">
        <f>IFERROR(INDEX('Firm Master'!$G$2:$G$1000,MATCH($C638,'Firm Master'!$B$2:$B$1000,0)),"")</f>
        <v>UNRESOLVED</v>
      </c>
    </row>
    <row r="639" spans="1:24" ht="15" customHeight="1" x14ac:dyDescent="0.3">
      <c r="A639" s="11">
        <v>638</v>
      </c>
      <c r="B639" s="11">
        <v>128</v>
      </c>
      <c r="C639" s="11" t="s">
        <v>1306</v>
      </c>
      <c r="D639" s="11" t="s">
        <v>1307</v>
      </c>
      <c r="E639" s="11" t="s">
        <v>772</v>
      </c>
      <c r="F639" s="11">
        <v>2023</v>
      </c>
      <c r="G639" s="20">
        <f t="shared" si="63"/>
        <v>1</v>
      </c>
      <c r="H639" s="21">
        <v>0</v>
      </c>
      <c r="I639" s="21">
        <f>IFERROR(INDEX('Coding Sheet'!$AC$2:$AC$731,MATCH($B639&amp;"_"&amp;$F639,'Coding Sheet'!$A$2:$A$731,0)),"")</f>
        <v>0</v>
      </c>
      <c r="J639" s="7">
        <f>IFERROR(INDEX('Coding Sheet'!$AT$2:$AT$731,MATCH($B639&amp;"_"&amp;$F639,'Coding Sheet'!$A$2:$A$731,0)),"")</f>
        <v>0</v>
      </c>
      <c r="K639" s="21">
        <v>989910000</v>
      </c>
      <c r="L639" s="21">
        <v>0.39500000000000002</v>
      </c>
      <c r="M639" s="20">
        <f t="shared" si="64"/>
        <v>391014.45</v>
      </c>
      <c r="N639" s="21">
        <v>4395000</v>
      </c>
      <c r="O639" s="21">
        <v>5662000</v>
      </c>
      <c r="P639" s="20">
        <v>122900</v>
      </c>
      <c r="Q639" s="20">
        <f t="shared" si="65"/>
        <v>0.84528690392087602</v>
      </c>
      <c r="R639" s="20">
        <f t="shared" si="66"/>
        <v>15.549287744653983</v>
      </c>
      <c r="S639" s="20">
        <f t="shared" si="67"/>
        <v>0.77622748145531617</v>
      </c>
      <c r="T639" s="20">
        <f t="shared" si="68"/>
        <v>2.1706110914871072E-2</v>
      </c>
      <c r="U639" s="20">
        <f>IFERROR(IF(ISNUMBER(INDEX('Firm Master'!$E$2:$E$1000,MATCH($C639,'Firm Master'!$B$2:$B$1000,0))),INDEX('Firm Master'!$E$2:$E$1000,MATCH($C639,'Firm Master'!$B$2:$B$1000,0)),""),"")</f>
        <v>1980</v>
      </c>
      <c r="V639" s="21">
        <f t="shared" si="69"/>
        <v>43</v>
      </c>
      <c r="W639" s="21">
        <v>0</v>
      </c>
      <c r="X639" s="20" t="str">
        <f>IFERROR(INDEX('Firm Master'!$G$2:$G$1000,MATCH($C639,'Firm Master'!$B$2:$B$1000,0)),"")</f>
        <v>UNRESOLVED</v>
      </c>
    </row>
    <row r="640" spans="1:24" ht="15" customHeight="1" x14ac:dyDescent="0.3">
      <c r="A640" s="11">
        <v>639</v>
      </c>
      <c r="B640" s="11">
        <v>128</v>
      </c>
      <c r="C640" s="11" t="s">
        <v>1306</v>
      </c>
      <c r="D640" s="11" t="s">
        <v>1307</v>
      </c>
      <c r="E640" s="11" t="s">
        <v>772</v>
      </c>
      <c r="F640" s="11">
        <v>2024</v>
      </c>
      <c r="G640" s="20">
        <f t="shared" si="63"/>
        <v>1</v>
      </c>
      <c r="H640" s="21">
        <v>0</v>
      </c>
      <c r="I640" s="21">
        <f>IFERROR(INDEX('Coding Sheet'!$AC$2:$AC$731,MATCH($B640&amp;"_"&amp;$F640,'Coding Sheet'!$A$2:$A$731,0)),"")</f>
        <v>0</v>
      </c>
      <c r="J640" s="7">
        <f>IFERROR(INDEX('Coding Sheet'!$AT$2:$AT$731,MATCH($B640&amp;"_"&amp;$F640,'Coding Sheet'!$A$2:$A$731,0)),"")</f>
        <v>0</v>
      </c>
      <c r="K640" s="21">
        <v>989910000</v>
      </c>
      <c r="L640" s="21">
        <v>1.0708</v>
      </c>
      <c r="M640" s="20">
        <f t="shared" si="64"/>
        <v>1059995.628</v>
      </c>
      <c r="N640" s="21">
        <v>5537000</v>
      </c>
      <c r="O640" s="21">
        <v>6342000</v>
      </c>
      <c r="P640" s="20">
        <v>7000</v>
      </c>
      <c r="Q640" s="20">
        <f t="shared" si="65"/>
        <v>1.0402074468621887</v>
      </c>
      <c r="R640" s="20">
        <f t="shared" si="66"/>
        <v>15.66270473408043</v>
      </c>
      <c r="S640" s="20">
        <f t="shared" si="67"/>
        <v>0.8730684326710817</v>
      </c>
      <c r="T640" s="20">
        <f t="shared" si="68"/>
        <v>1.1037527593818985E-3</v>
      </c>
      <c r="U640" s="20">
        <f>IFERROR(IF(ISNUMBER(INDEX('Firm Master'!$E$2:$E$1000,MATCH($C640,'Firm Master'!$B$2:$B$1000,0))),INDEX('Firm Master'!$E$2:$E$1000,MATCH($C640,'Firm Master'!$B$2:$B$1000,0)),""),"")</f>
        <v>1980</v>
      </c>
      <c r="V640" s="21">
        <f t="shared" si="69"/>
        <v>44</v>
      </c>
      <c r="W640" s="21">
        <v>0</v>
      </c>
      <c r="X640" s="20" t="str">
        <f>IFERROR(INDEX('Firm Master'!$G$2:$G$1000,MATCH($C640,'Firm Master'!$B$2:$B$1000,0)),"")</f>
        <v>UNRESOLVED</v>
      </c>
    </row>
    <row r="641" spans="1:24" ht="15" customHeight="1" x14ac:dyDescent="0.3">
      <c r="A641" s="11">
        <v>640</v>
      </c>
      <c r="B641" s="11">
        <v>128</v>
      </c>
      <c r="C641" s="11" t="s">
        <v>1306</v>
      </c>
      <c r="D641" s="11" t="s">
        <v>1307</v>
      </c>
      <c r="E641" s="11" t="s">
        <v>772</v>
      </c>
      <c r="F641" s="11">
        <v>2025</v>
      </c>
      <c r="G641" s="20">
        <f t="shared" si="63"/>
        <v>1</v>
      </c>
      <c r="H641" s="21">
        <v>0</v>
      </c>
      <c r="I641" s="21">
        <f>IFERROR(INDEX('Coding Sheet'!$AC$2:$AC$731,MATCH($B641&amp;"_"&amp;$F641,'Coding Sheet'!$A$2:$A$731,0)),"")</f>
        <v>0</v>
      </c>
      <c r="J641" s="7">
        <f>IFERROR(INDEX('Coding Sheet'!$AT$2:$AT$731,MATCH($B641&amp;"_"&amp;$F641,'Coding Sheet'!$A$2:$A$731,0)),"")</f>
        <v>0</v>
      </c>
      <c r="K641" s="21">
        <v>989910000</v>
      </c>
      <c r="L641" s="21">
        <v>2.0507</v>
      </c>
      <c r="M641" s="20">
        <f t="shared" si="64"/>
        <v>2030008.4369999999</v>
      </c>
      <c r="N641" s="21">
        <v>6065000</v>
      </c>
      <c r="O641" s="21">
        <v>5477000</v>
      </c>
      <c r="P641" s="20">
        <v>-1385000</v>
      </c>
      <c r="Q641" s="20">
        <f t="shared" si="65"/>
        <v>1.4780004449516158</v>
      </c>
      <c r="R641" s="20">
        <f t="shared" si="66"/>
        <v>15.516068063765859</v>
      </c>
      <c r="S641" s="20">
        <f t="shared" si="67"/>
        <v>1.107358042724119</v>
      </c>
      <c r="T641" s="20">
        <f t="shared" si="68"/>
        <v>-0.25287566185868177</v>
      </c>
      <c r="U641" s="20">
        <f>IFERROR(IF(ISNUMBER(INDEX('Firm Master'!$E$2:$E$1000,MATCH($C641,'Firm Master'!$B$2:$B$1000,0))),INDEX('Firm Master'!$E$2:$E$1000,MATCH($C641,'Firm Master'!$B$2:$B$1000,0)),""),"")</f>
        <v>1980</v>
      </c>
      <c r="V641" s="21">
        <f t="shared" si="69"/>
        <v>45</v>
      </c>
      <c r="W641" s="21">
        <v>0</v>
      </c>
      <c r="X641" s="20" t="str">
        <f>IFERROR(INDEX('Firm Master'!$G$2:$G$1000,MATCH($C641,'Firm Master'!$B$2:$B$1000,0)),"")</f>
        <v>UNRESOLVED</v>
      </c>
    </row>
    <row r="642" spans="1:24" ht="15" customHeight="1" x14ac:dyDescent="0.3">
      <c r="A642" s="11">
        <v>641</v>
      </c>
      <c r="B642" s="11">
        <v>129</v>
      </c>
      <c r="C642" s="11" t="s">
        <v>1311</v>
      </c>
      <c r="D642" s="11" t="s">
        <v>1312</v>
      </c>
      <c r="E642" s="11" t="s">
        <v>870</v>
      </c>
      <c r="F642" s="11">
        <v>2021</v>
      </c>
      <c r="G642" s="20">
        <f t="shared" ref="G642:G705" si="70">IF(F642&gt;=2023,1,0)</f>
        <v>0</v>
      </c>
      <c r="H642" s="21">
        <v>0</v>
      </c>
      <c r="I642" s="21">
        <f>IFERROR(INDEX('Coding Sheet'!$AC$2:$AC$731,MATCH($B642&amp;"_"&amp;$F642,'Coding Sheet'!$A$2:$A$731,0)),"")</f>
        <v>5</v>
      </c>
      <c r="J642" s="7">
        <f>IFERROR(INDEX('Coding Sheet'!$AT$2:$AT$731,MATCH($B642&amp;"_"&amp;$F642,'Coding Sheet'!$A$2:$A$731,0)),"")</f>
        <v>0</v>
      </c>
      <c r="K642" s="21">
        <v>2881000000</v>
      </c>
      <c r="L642" s="21">
        <v>9.5001999999999995</v>
      </c>
      <c r="M642" s="20">
        <f t="shared" ref="M642:M705" si="71">IF(AND(ISNUMBER(K642),ISNUMBER(L642)),K642*L642/1000,"")</f>
        <v>27370076.199999999</v>
      </c>
      <c r="N642" s="21">
        <v>48093000</v>
      </c>
      <c r="O642" s="21">
        <v>98932000</v>
      </c>
      <c r="P642" s="20">
        <v>1807000</v>
      </c>
      <c r="Q642" s="20">
        <f t="shared" ref="Q642:Q705" si="72">IF(AND(ISNUMBER(M642),ISNUMBER(N642),ISNUMBER(O642),O642&lt;&gt;0),(M642+N642)/O642,"")</f>
        <v>0.76277722273885096</v>
      </c>
      <c r="R642" s="20">
        <f t="shared" ref="R642:R705" si="73">IF(AND(ISNUMBER(O642),O642&gt;0),LN(O642),"")</f>
        <v>18.409943303409623</v>
      </c>
      <c r="S642" s="20">
        <f t="shared" ref="S642:S705" si="74">IF(AND(ISNUMBER(N642),ISNUMBER(O642),O642&lt;&gt;0),N642/O642,"")</f>
        <v>0.48612178061698946</v>
      </c>
      <c r="T642" s="20">
        <f t="shared" ref="T642:T705" si="75">IF(AND(ISNUMBER(P642),ISNUMBER(O642),O642&lt;&gt;0),P642/O642,"")</f>
        <v>1.8265070957829619E-2</v>
      </c>
      <c r="U642" s="20">
        <f>IFERROR(IF(ISNUMBER(INDEX('Firm Master'!$E$2:$E$1000,MATCH($C642,'Firm Master'!$B$2:$B$1000,0))),INDEX('Firm Master'!$E$2:$E$1000,MATCH($C642,'Firm Master'!$B$2:$B$1000,0)),""),"")</f>
        <v>1931</v>
      </c>
      <c r="V642" s="21">
        <f t="shared" ref="V642:V705" si="76">IF(ISNUMBER(U642),F642-U642,"")</f>
        <v>90</v>
      </c>
      <c r="W642" s="21">
        <v>1</v>
      </c>
      <c r="X642" s="20" t="str">
        <f>IFERROR(INDEX('Firm Master'!$G$2:$G$1000,MATCH($C642,'Firm Master'!$B$2:$B$1000,0)),"")</f>
        <v>KPMG Professional Services</v>
      </c>
    </row>
    <row r="643" spans="1:24" ht="15" customHeight="1" x14ac:dyDescent="0.3">
      <c r="A643" s="11">
        <v>642</v>
      </c>
      <c r="B643" s="11">
        <v>129</v>
      </c>
      <c r="C643" s="11" t="s">
        <v>1311</v>
      </c>
      <c r="D643" s="11" t="s">
        <v>1312</v>
      </c>
      <c r="E643" s="11" t="s">
        <v>870</v>
      </c>
      <c r="F643" s="11">
        <v>2022</v>
      </c>
      <c r="G643" s="20">
        <f t="shared" si="70"/>
        <v>0</v>
      </c>
      <c r="H643" s="21">
        <v>0</v>
      </c>
      <c r="I643" s="21">
        <f>IFERROR(INDEX('Coding Sheet'!$AC$2:$AC$731,MATCH($B643&amp;"_"&amp;$F643,'Coding Sheet'!$A$2:$A$731,0)),"")</f>
        <v>5</v>
      </c>
      <c r="J643" s="7">
        <f>IFERROR(INDEX('Coding Sheet'!$AT$2:$AT$731,MATCH($B643&amp;"_"&amp;$F643,'Coding Sheet'!$A$2:$A$731,0)),"")</f>
        <v>0</v>
      </c>
      <c r="K643" s="21">
        <v>2926000000</v>
      </c>
      <c r="L643" s="21">
        <v>10.249499999999999</v>
      </c>
      <c r="M643" s="20">
        <f t="shared" si="71"/>
        <v>29990037</v>
      </c>
      <c r="N643" s="21">
        <v>48547000</v>
      </c>
      <c r="O643" s="21">
        <v>93828000</v>
      </c>
      <c r="P643" s="20">
        <v>-3079000</v>
      </c>
      <c r="Q643" s="20">
        <f t="shared" si="72"/>
        <v>0.83703198405593215</v>
      </c>
      <c r="R643" s="20">
        <f t="shared" si="73"/>
        <v>18.356973876894653</v>
      </c>
      <c r="S643" s="20">
        <f t="shared" si="74"/>
        <v>0.51740418638359553</v>
      </c>
      <c r="T643" s="20">
        <f t="shared" si="75"/>
        <v>-3.2815364283582726E-2</v>
      </c>
      <c r="U643" s="20">
        <f>IFERROR(IF(ISNUMBER(INDEX('Firm Master'!$E$2:$E$1000,MATCH($C643,'Firm Master'!$B$2:$B$1000,0))),INDEX('Firm Master'!$E$2:$E$1000,MATCH($C643,'Firm Master'!$B$2:$B$1000,0)),""),"")</f>
        <v>1931</v>
      </c>
      <c r="V643" s="21">
        <f t="shared" si="76"/>
        <v>91</v>
      </c>
      <c r="W643" s="21">
        <v>1</v>
      </c>
      <c r="X643" s="20" t="str">
        <f>IFERROR(INDEX('Firm Master'!$G$2:$G$1000,MATCH($C643,'Firm Master'!$B$2:$B$1000,0)),"")</f>
        <v>KPMG Professional Services</v>
      </c>
    </row>
    <row r="644" spans="1:24" ht="15" customHeight="1" x14ac:dyDescent="0.3">
      <c r="A644" s="11">
        <v>643</v>
      </c>
      <c r="B644" s="11">
        <v>129</v>
      </c>
      <c r="C644" s="11" t="s">
        <v>1311</v>
      </c>
      <c r="D644" s="11" t="s">
        <v>1312</v>
      </c>
      <c r="E644" s="11" t="s">
        <v>870</v>
      </c>
      <c r="F644" s="11">
        <v>2023</v>
      </c>
      <c r="G644" s="20">
        <f t="shared" si="70"/>
        <v>1</v>
      </c>
      <c r="H644" s="21">
        <v>0</v>
      </c>
      <c r="I644" s="21">
        <f>IFERROR(INDEX('Coding Sheet'!$AC$2:$AC$731,MATCH($B644&amp;"_"&amp;$F644,'Coding Sheet'!$A$2:$A$731,0)),"")</f>
        <v>0</v>
      </c>
      <c r="J644" s="7">
        <f>IFERROR(INDEX('Coding Sheet'!$AT$2:$AT$731,MATCH($B644&amp;"_"&amp;$F644,'Coding Sheet'!$A$2:$A$731,0)),"")</f>
        <v>0</v>
      </c>
      <c r="K644" s="21">
        <v>2926000000</v>
      </c>
      <c r="L644" s="21">
        <v>12.850300000000001</v>
      </c>
      <c r="M644" s="20">
        <f t="shared" si="71"/>
        <v>37599977.799999997</v>
      </c>
      <c r="N644" s="21">
        <v>59164000</v>
      </c>
      <c r="O644" s="21">
        <v>112345000</v>
      </c>
      <c r="P644" s="20">
        <v>9187000</v>
      </c>
      <c r="Q644" s="20">
        <f t="shared" si="72"/>
        <v>0.86131094218701321</v>
      </c>
      <c r="R644" s="20">
        <f t="shared" si="73"/>
        <v>18.537085051822469</v>
      </c>
      <c r="S644" s="20">
        <f t="shared" si="74"/>
        <v>0.52662779829987982</v>
      </c>
      <c r="T644" s="20">
        <f t="shared" si="75"/>
        <v>8.1774889848235346E-2</v>
      </c>
      <c r="U644" s="20">
        <f>IFERROR(IF(ISNUMBER(INDEX('Firm Master'!$E$2:$E$1000,MATCH($C644,'Firm Master'!$B$2:$B$1000,0))),INDEX('Firm Master'!$E$2:$E$1000,MATCH($C644,'Firm Master'!$B$2:$B$1000,0)),""),"")</f>
        <v>1931</v>
      </c>
      <c r="V644" s="21">
        <f t="shared" si="76"/>
        <v>92</v>
      </c>
      <c r="W644" s="21">
        <v>1</v>
      </c>
      <c r="X644" s="20" t="str">
        <f>IFERROR(INDEX('Firm Master'!$G$2:$G$1000,MATCH($C644,'Firm Master'!$B$2:$B$1000,0)),"")</f>
        <v>KPMG Professional Services</v>
      </c>
    </row>
    <row r="645" spans="1:24" ht="15" customHeight="1" x14ac:dyDescent="0.3">
      <c r="A645" s="11">
        <v>644</v>
      </c>
      <c r="B645" s="11">
        <v>129</v>
      </c>
      <c r="C645" s="11" t="s">
        <v>1311</v>
      </c>
      <c r="D645" s="11" t="s">
        <v>1312</v>
      </c>
      <c r="E645" s="11" t="s">
        <v>870</v>
      </c>
      <c r="F645" s="11">
        <v>2024</v>
      </c>
      <c r="G645" s="20">
        <f t="shared" si="70"/>
        <v>1</v>
      </c>
      <c r="H645" s="21">
        <v>0</v>
      </c>
      <c r="I645" s="21">
        <f>IFERROR(INDEX('Coding Sheet'!$AC$2:$AC$731,MATCH($B645&amp;"_"&amp;$F645,'Coding Sheet'!$A$2:$A$731,0)),"")</f>
        <v>0</v>
      </c>
      <c r="J645" s="7">
        <f>IFERROR(INDEX('Coding Sheet'!$AT$2:$AT$731,MATCH($B645&amp;"_"&amp;$F645,'Coding Sheet'!$A$2:$A$731,0)),"")</f>
        <v>0</v>
      </c>
      <c r="K645" s="21">
        <v>2926000000</v>
      </c>
      <c r="L645" s="21">
        <v>31.452500000000001</v>
      </c>
      <c r="M645" s="20">
        <f t="shared" si="71"/>
        <v>92030015</v>
      </c>
      <c r="N645" s="21">
        <v>91316000</v>
      </c>
      <c r="O645" s="21">
        <v>157726000</v>
      </c>
      <c r="P645" s="20">
        <v>14539000</v>
      </c>
      <c r="Q645" s="20">
        <f t="shared" si="72"/>
        <v>1.162433682461991</v>
      </c>
      <c r="R645" s="20">
        <f t="shared" si="73"/>
        <v>18.876369908350043</v>
      </c>
      <c r="S645" s="20">
        <f t="shared" si="74"/>
        <v>0.57895337483991227</v>
      </c>
      <c r="T645" s="20">
        <f t="shared" si="75"/>
        <v>9.2178841788925103E-2</v>
      </c>
      <c r="U645" s="20">
        <f>IFERROR(IF(ISNUMBER(INDEX('Firm Master'!$E$2:$E$1000,MATCH($C645,'Firm Master'!$B$2:$B$1000,0))),INDEX('Firm Master'!$E$2:$E$1000,MATCH($C645,'Firm Master'!$B$2:$B$1000,0)),""),"")</f>
        <v>1931</v>
      </c>
      <c r="V645" s="21">
        <f t="shared" si="76"/>
        <v>93</v>
      </c>
      <c r="W645" s="21">
        <v>1</v>
      </c>
      <c r="X645" s="20" t="str">
        <f>IFERROR(INDEX('Firm Master'!$G$2:$G$1000,MATCH($C645,'Firm Master'!$B$2:$B$1000,0)),"")</f>
        <v>KPMG Professional Services</v>
      </c>
    </row>
    <row r="646" spans="1:24" ht="15" customHeight="1" x14ac:dyDescent="0.3">
      <c r="A646" s="11">
        <v>645</v>
      </c>
      <c r="B646" s="11">
        <v>129</v>
      </c>
      <c r="C646" s="11" t="s">
        <v>1311</v>
      </c>
      <c r="D646" s="11" t="s">
        <v>1312</v>
      </c>
      <c r="E646" s="11" t="s">
        <v>870</v>
      </c>
      <c r="F646" s="11">
        <v>2025</v>
      </c>
      <c r="G646" s="20">
        <f t="shared" si="70"/>
        <v>1</v>
      </c>
      <c r="H646" s="21">
        <v>0</v>
      </c>
      <c r="I646" s="21">
        <f>IFERROR(INDEX('Coding Sheet'!$AC$2:$AC$731,MATCH($B646&amp;"_"&amp;$F646,'Coding Sheet'!$A$2:$A$731,0)),"")</f>
        <v>0</v>
      </c>
      <c r="J646" s="7">
        <f>IFERROR(INDEX('Coding Sheet'!$AT$2:$AT$731,MATCH($B646&amp;"_"&amp;$F646,'Coding Sheet'!$A$2:$A$731,0)),"")</f>
        <v>0</v>
      </c>
      <c r="K646" s="21">
        <v>2926000000</v>
      </c>
      <c r="L646" s="21">
        <v>91.004800000000003</v>
      </c>
      <c r="M646" s="20">
        <f t="shared" si="71"/>
        <v>266280044.80000001</v>
      </c>
      <c r="N646" s="21">
        <v>527288000</v>
      </c>
      <c r="O646" s="21">
        <v>597058000</v>
      </c>
      <c r="P646" s="20">
        <v>10587000</v>
      </c>
      <c r="Q646" s="20">
        <f t="shared" si="72"/>
        <v>1.3291305782687779</v>
      </c>
      <c r="R646" s="20">
        <f t="shared" si="73"/>
        <v>20.207524819066695</v>
      </c>
      <c r="S646" s="20">
        <f t="shared" si="74"/>
        <v>0.88314368118340258</v>
      </c>
      <c r="T646" s="20">
        <f t="shared" si="75"/>
        <v>1.7731945640122065E-2</v>
      </c>
      <c r="U646" s="20">
        <f>IFERROR(IF(ISNUMBER(INDEX('Firm Master'!$E$2:$E$1000,MATCH($C646,'Firm Master'!$B$2:$B$1000,0))),INDEX('Firm Master'!$E$2:$E$1000,MATCH($C646,'Firm Master'!$B$2:$B$1000,0)),""),"")</f>
        <v>1931</v>
      </c>
      <c r="V646" s="21">
        <f t="shared" si="76"/>
        <v>94</v>
      </c>
      <c r="W646" s="21">
        <v>1</v>
      </c>
      <c r="X646" s="20" t="str">
        <f>IFERROR(INDEX('Firm Master'!$G$2:$G$1000,MATCH($C646,'Firm Master'!$B$2:$B$1000,0)),"")</f>
        <v>KPMG Professional Services</v>
      </c>
    </row>
    <row r="647" spans="1:24" ht="15" customHeight="1" x14ac:dyDescent="0.3">
      <c r="A647" s="11">
        <v>646</v>
      </c>
      <c r="B647" s="11">
        <v>130</v>
      </c>
      <c r="C647" s="11" t="s">
        <v>1314</v>
      </c>
      <c r="D647" s="11" t="s">
        <v>1315</v>
      </c>
      <c r="E647" s="11" t="s">
        <v>709</v>
      </c>
      <c r="F647" s="11">
        <v>2021</v>
      </c>
      <c r="G647" s="20">
        <f t="shared" si="70"/>
        <v>0</v>
      </c>
      <c r="H647" s="21">
        <v>0</v>
      </c>
      <c r="I647" s="21">
        <f>IFERROR(INDEX('Coding Sheet'!$AC$2:$AC$731,MATCH($B647&amp;"_"&amp;$F647,'Coding Sheet'!$A$2:$A$731,0)),"")</f>
        <v>45</v>
      </c>
      <c r="J647" s="7">
        <f>IFERROR(INDEX('Coding Sheet'!$AT$2:$AT$731,MATCH($B647&amp;"_"&amp;$F647,'Coding Sheet'!$A$2:$A$731,0)),"")</f>
        <v>80</v>
      </c>
      <c r="K647" s="21">
        <v>34199000000</v>
      </c>
      <c r="L647" s="21">
        <v>8.5396999999999998</v>
      </c>
      <c r="M647" s="20">
        <f t="shared" si="71"/>
        <v>292049200.30000001</v>
      </c>
      <c r="N647" s="21">
        <v>7736511000</v>
      </c>
      <c r="O647" s="21">
        <v>8541318000</v>
      </c>
      <c r="P647" s="20">
        <v>115883000</v>
      </c>
      <c r="Q647" s="20">
        <f t="shared" si="72"/>
        <v>0.93996736806895609</v>
      </c>
      <c r="R647" s="20">
        <f t="shared" si="73"/>
        <v>22.86818116539154</v>
      </c>
      <c r="S647" s="20">
        <f t="shared" si="74"/>
        <v>0.90577484645812278</v>
      </c>
      <c r="T647" s="20">
        <f t="shared" si="75"/>
        <v>1.3567344056268599E-2</v>
      </c>
      <c r="U647" s="20">
        <f>IFERROR(IF(ISNUMBER(INDEX('Firm Master'!$E$2:$E$1000,MATCH($C647,'Firm Master'!$B$2:$B$1000,0))),INDEX('Firm Master'!$E$2:$E$1000,MATCH($C647,'Firm Master'!$B$2:$B$1000,0)),""),"")</f>
        <v>1961</v>
      </c>
      <c r="V647" s="21">
        <f t="shared" si="76"/>
        <v>60</v>
      </c>
      <c r="W647" s="21">
        <v>1</v>
      </c>
      <c r="X647" s="20" t="str">
        <f>IFERROR(INDEX('Firm Master'!$G$2:$G$1000,MATCH($C647,'Firm Master'!$B$2:$B$1000,0)),"")</f>
        <v>Ernst &amp; Young</v>
      </c>
    </row>
    <row r="648" spans="1:24" ht="15" customHeight="1" x14ac:dyDescent="0.3">
      <c r="A648" s="11">
        <v>647</v>
      </c>
      <c r="B648" s="11">
        <v>130</v>
      </c>
      <c r="C648" s="11" t="s">
        <v>1314</v>
      </c>
      <c r="D648" s="11" t="s">
        <v>1315</v>
      </c>
      <c r="E648" s="11" t="s">
        <v>709</v>
      </c>
      <c r="F648" s="11">
        <v>2022</v>
      </c>
      <c r="G648" s="20">
        <f t="shared" si="70"/>
        <v>0</v>
      </c>
      <c r="H648" s="21">
        <v>0</v>
      </c>
      <c r="I648" s="21">
        <f>IFERROR(INDEX('Coding Sheet'!$AC$2:$AC$731,MATCH($B648&amp;"_"&amp;$F648,'Coding Sheet'!$A$2:$A$731,0)),"")</f>
        <v>90</v>
      </c>
      <c r="J648" s="7">
        <f>IFERROR(INDEX('Coding Sheet'!$AT$2:$AT$731,MATCH($B648&amp;"_"&amp;$F648,'Coding Sheet'!$A$2:$A$731,0)),"")</f>
        <v>86.666666666666671</v>
      </c>
      <c r="K648" s="21">
        <v>34199000000</v>
      </c>
      <c r="L648" s="21">
        <v>7.6002000000000001</v>
      </c>
      <c r="M648" s="20">
        <f t="shared" si="71"/>
        <v>259919239.80000001</v>
      </c>
      <c r="N648" s="21">
        <v>9935467000</v>
      </c>
      <c r="O648" s="21">
        <v>10857571000</v>
      </c>
      <c r="P648" s="20">
        <v>165451000</v>
      </c>
      <c r="Q648" s="20">
        <f t="shared" si="72"/>
        <v>0.93901170342795814</v>
      </c>
      <c r="R648" s="20">
        <f t="shared" si="73"/>
        <v>23.108128461610448</v>
      </c>
      <c r="S648" s="20">
        <f t="shared" si="74"/>
        <v>0.91507271746139174</v>
      </c>
      <c r="T648" s="20">
        <f t="shared" si="75"/>
        <v>1.5238306984131166E-2</v>
      </c>
      <c r="U648" s="20">
        <f>IFERROR(IF(ISNUMBER(INDEX('Firm Master'!$E$2:$E$1000,MATCH($C648,'Firm Master'!$B$2:$B$1000,0))),INDEX('Firm Master'!$E$2:$E$1000,MATCH($C648,'Firm Master'!$B$2:$B$1000,0)),""),"")</f>
        <v>1961</v>
      </c>
      <c r="V648" s="21">
        <f t="shared" si="76"/>
        <v>61</v>
      </c>
      <c r="W648" s="21">
        <v>1</v>
      </c>
      <c r="X648" s="20" t="str">
        <f>IFERROR(INDEX('Firm Master'!$G$2:$G$1000,MATCH($C648,'Firm Master'!$B$2:$B$1000,0)),"")</f>
        <v>Ernst &amp; Young</v>
      </c>
    </row>
    <row r="649" spans="1:24" ht="15" customHeight="1" x14ac:dyDescent="0.3">
      <c r="A649" s="11">
        <v>648</v>
      </c>
      <c r="B649" s="11">
        <v>130</v>
      </c>
      <c r="C649" s="11" t="s">
        <v>1314</v>
      </c>
      <c r="D649" s="11" t="s">
        <v>1315</v>
      </c>
      <c r="E649" s="11" t="s">
        <v>709</v>
      </c>
      <c r="F649" s="11">
        <v>2023</v>
      </c>
      <c r="G649" s="20">
        <f t="shared" si="70"/>
        <v>1</v>
      </c>
      <c r="H649" s="21">
        <v>0</v>
      </c>
      <c r="I649" s="21">
        <f>IFERROR(INDEX('Coding Sheet'!$AC$2:$AC$731,MATCH($B649&amp;"_"&amp;$F649,'Coding Sheet'!$A$2:$A$731,0)),"")</f>
        <v>90</v>
      </c>
      <c r="J649" s="7">
        <f>IFERROR(INDEX('Coding Sheet'!$AT$2:$AT$731,MATCH($B649&amp;"_"&amp;$F649,'Coding Sheet'!$A$2:$A$731,0)),"")</f>
        <v>93.333333333333329</v>
      </c>
      <c r="K649" s="21">
        <v>34199000000</v>
      </c>
      <c r="L649" s="21">
        <v>25.650500000000001</v>
      </c>
      <c r="M649" s="20">
        <f t="shared" si="71"/>
        <v>877221449.5</v>
      </c>
      <c r="N649" s="21">
        <v>18623002000</v>
      </c>
      <c r="O649" s="21">
        <v>20653197000</v>
      </c>
      <c r="P649" s="20">
        <v>598285000</v>
      </c>
      <c r="Q649" s="20">
        <f t="shared" si="72"/>
        <v>0.94417457256133275</v>
      </c>
      <c r="R649" s="20">
        <f t="shared" si="73"/>
        <v>23.751135962772256</v>
      </c>
      <c r="S649" s="20">
        <f t="shared" si="74"/>
        <v>0.90170069069694148</v>
      </c>
      <c r="T649" s="20">
        <f t="shared" si="75"/>
        <v>2.896815442180695E-2</v>
      </c>
      <c r="U649" s="20">
        <f>IFERROR(IF(ISNUMBER(INDEX('Firm Master'!$E$2:$E$1000,MATCH($C649,'Firm Master'!$B$2:$B$1000,0))),INDEX('Firm Master'!$E$2:$E$1000,MATCH($C649,'Firm Master'!$B$2:$B$1000,0)),""),"")</f>
        <v>1961</v>
      </c>
      <c r="V649" s="21">
        <f t="shared" si="76"/>
        <v>62</v>
      </c>
      <c r="W649" s="21">
        <v>1</v>
      </c>
      <c r="X649" s="20" t="str">
        <f>IFERROR(INDEX('Firm Master'!$G$2:$G$1000,MATCH($C649,'Firm Master'!$B$2:$B$1000,0)),"")</f>
        <v>Ernst &amp; Young</v>
      </c>
    </row>
    <row r="650" spans="1:24" ht="15" customHeight="1" x14ac:dyDescent="0.3">
      <c r="A650" s="11">
        <v>649</v>
      </c>
      <c r="B650" s="11">
        <v>130</v>
      </c>
      <c r="C650" s="11" t="s">
        <v>1314</v>
      </c>
      <c r="D650" s="11" t="s">
        <v>1315</v>
      </c>
      <c r="E650" s="11" t="s">
        <v>709</v>
      </c>
      <c r="F650" s="11">
        <v>2024</v>
      </c>
      <c r="G650" s="20">
        <f t="shared" si="70"/>
        <v>1</v>
      </c>
      <c r="H650" s="21">
        <v>0</v>
      </c>
      <c r="I650" s="21">
        <f>IFERROR(INDEX('Coding Sheet'!$AC$2:$AC$731,MATCH($B650&amp;"_"&amp;$F650,'Coding Sheet'!$A$2:$A$731,0)),"")</f>
        <v>90</v>
      </c>
      <c r="J650" s="7">
        <f>IFERROR(INDEX('Coding Sheet'!$AT$2:$AT$731,MATCH($B650&amp;"_"&amp;$F650,'Coding Sheet'!$A$2:$A$731,0)),"")</f>
        <v>93.333333333333329</v>
      </c>
      <c r="K650" s="21">
        <v>34199000000</v>
      </c>
      <c r="L650" s="21">
        <v>33.9191</v>
      </c>
      <c r="M650" s="20">
        <f t="shared" si="71"/>
        <v>1159999300.9000001</v>
      </c>
      <c r="N650" s="21">
        <v>26904716000</v>
      </c>
      <c r="O650" s="21">
        <v>30323355000</v>
      </c>
      <c r="P650" s="20">
        <v>743121000</v>
      </c>
      <c r="Q650" s="20">
        <f t="shared" si="72"/>
        <v>0.92551484823826391</v>
      </c>
      <c r="R650" s="20">
        <f t="shared" si="73"/>
        <v>24.135184044633288</v>
      </c>
      <c r="S650" s="20">
        <f t="shared" si="74"/>
        <v>0.88726052905425534</v>
      </c>
      <c r="T650" s="20">
        <f t="shared" si="75"/>
        <v>2.450655608523529E-2</v>
      </c>
      <c r="U650" s="20">
        <f>IFERROR(IF(ISNUMBER(INDEX('Firm Master'!$E$2:$E$1000,MATCH($C650,'Firm Master'!$B$2:$B$1000,0))),INDEX('Firm Master'!$E$2:$E$1000,MATCH($C650,'Firm Master'!$B$2:$B$1000,0)),""),"")</f>
        <v>1961</v>
      </c>
      <c r="V650" s="21">
        <f t="shared" si="76"/>
        <v>63</v>
      </c>
      <c r="W650" s="21">
        <v>1</v>
      </c>
      <c r="X650" s="20" t="str">
        <f>IFERROR(INDEX('Firm Master'!$G$2:$G$1000,MATCH($C650,'Firm Master'!$B$2:$B$1000,0)),"")</f>
        <v>Ernst &amp; Young</v>
      </c>
    </row>
    <row r="651" spans="1:24" ht="15" customHeight="1" x14ac:dyDescent="0.3">
      <c r="A651" s="11">
        <v>650</v>
      </c>
      <c r="B651" s="11">
        <v>130</v>
      </c>
      <c r="C651" s="11" t="s">
        <v>1314</v>
      </c>
      <c r="D651" s="11" t="s">
        <v>1315</v>
      </c>
      <c r="E651" s="11" t="s">
        <v>709</v>
      </c>
      <c r="F651" s="11">
        <v>2025</v>
      </c>
      <c r="G651" s="20">
        <f t="shared" si="70"/>
        <v>1</v>
      </c>
      <c r="H651" s="21">
        <v>0</v>
      </c>
      <c r="I651" s="21">
        <f>IFERROR(INDEX('Coding Sheet'!$AC$2:$AC$731,MATCH($B651&amp;"_"&amp;$F651,'Coding Sheet'!$A$2:$A$731,0)),"")</f>
        <v>45</v>
      </c>
      <c r="J651" s="7">
        <f>IFERROR(INDEX('Coding Sheet'!$AT$2:$AT$731,MATCH($B651&amp;"_"&amp;$F651,'Coding Sheet'!$A$2:$A$731,0)),"")</f>
        <v>80</v>
      </c>
      <c r="K651" s="21">
        <v>44196000000</v>
      </c>
      <c r="L651" s="21">
        <v>38.691299999999998</v>
      </c>
      <c r="M651" s="20">
        <f t="shared" si="71"/>
        <v>1710000694.8</v>
      </c>
      <c r="N651" s="21">
        <v>28920246000</v>
      </c>
      <c r="O651" s="21">
        <v>33173188000</v>
      </c>
      <c r="P651" s="20">
        <v>373654000</v>
      </c>
      <c r="Q651" s="20">
        <f t="shared" si="72"/>
        <v>0.92334347530300676</v>
      </c>
      <c r="R651" s="20">
        <f t="shared" si="73"/>
        <v>24.225007796230635</v>
      </c>
      <c r="S651" s="20">
        <f t="shared" si="74"/>
        <v>0.87179580087388642</v>
      </c>
      <c r="T651" s="20">
        <f t="shared" si="75"/>
        <v>1.1263735038067491E-2</v>
      </c>
      <c r="U651" s="20">
        <f>IFERROR(IF(ISNUMBER(INDEX('Firm Master'!$E$2:$E$1000,MATCH($C651,'Firm Master'!$B$2:$B$1000,0))),INDEX('Firm Master'!$E$2:$E$1000,MATCH($C651,'Firm Master'!$B$2:$B$1000,0)),""),"")</f>
        <v>1961</v>
      </c>
      <c r="V651" s="21">
        <f t="shared" si="76"/>
        <v>64</v>
      </c>
      <c r="W651" s="21">
        <v>1</v>
      </c>
      <c r="X651" s="20" t="str">
        <f>IFERROR(INDEX('Firm Master'!$G$2:$G$1000,MATCH($C651,'Firm Master'!$B$2:$B$1000,0)),"")</f>
        <v>Ernst &amp; Young</v>
      </c>
    </row>
    <row r="652" spans="1:24" ht="15" customHeight="1" x14ac:dyDescent="0.3">
      <c r="A652" s="11">
        <v>651</v>
      </c>
      <c r="B652" s="11">
        <v>131</v>
      </c>
      <c r="C652" s="11" t="s">
        <v>1318</v>
      </c>
      <c r="D652" s="11" t="s">
        <v>1319</v>
      </c>
      <c r="E652" s="11" t="s">
        <v>709</v>
      </c>
      <c r="F652" s="11">
        <v>2021</v>
      </c>
      <c r="G652" s="20">
        <f t="shared" si="70"/>
        <v>0</v>
      </c>
      <c r="H652" s="21">
        <v>0</v>
      </c>
      <c r="I652" s="21">
        <f>IFERROR(INDEX('Coding Sheet'!$AC$2:$AC$731,MATCH($B652&amp;"_"&amp;$F652,'Coding Sheet'!$A$2:$A$731,0)),"")</f>
        <v>0</v>
      </c>
      <c r="J652" s="7">
        <f>IFERROR(INDEX('Coding Sheet'!$AT$2:$AT$731,MATCH($B652&amp;"_"&amp;$F652,'Coding Sheet'!$A$2:$A$731,0)),"")</f>
        <v>0</v>
      </c>
      <c r="K652" s="21">
        <v>18000000000</v>
      </c>
      <c r="L652" s="21">
        <v>3.3</v>
      </c>
      <c r="M652" s="20">
        <f t="shared" si="71"/>
        <v>59400000</v>
      </c>
      <c r="N652" s="21">
        <v>423051000</v>
      </c>
      <c r="O652" s="21">
        <v>453598000</v>
      </c>
      <c r="P652" s="20">
        <v>11259000</v>
      </c>
      <c r="Q652" s="20">
        <f t="shared" si="72"/>
        <v>1.0636091869893607</v>
      </c>
      <c r="R652" s="20">
        <f t="shared" si="73"/>
        <v>19.93272190119702</v>
      </c>
      <c r="S652" s="20">
        <f t="shared" si="74"/>
        <v>0.93265622864298348</v>
      </c>
      <c r="T652" s="20">
        <f t="shared" si="75"/>
        <v>2.4821538013836041E-2</v>
      </c>
      <c r="U652" s="20">
        <f>IFERROR(IF(ISNUMBER(INDEX('Firm Master'!$E$2:$E$1000,MATCH($C652,'Firm Master'!$B$2:$B$1000,0))),INDEX('Firm Master'!$E$2:$E$1000,MATCH($C652,'Firm Master'!$B$2:$B$1000,0)),""),"")</f>
        <v>2012</v>
      </c>
      <c r="V652" s="21">
        <f t="shared" si="76"/>
        <v>9</v>
      </c>
      <c r="W652" s="21">
        <v>1</v>
      </c>
      <c r="X652" s="20" t="str">
        <f>IFERROR(INDEX('Firm Master'!$G$2:$G$1000,MATCH($C652,'Firm Master'!$B$2:$B$1000,0)),"")</f>
        <v>PricewaterhouseCoopers</v>
      </c>
    </row>
    <row r="653" spans="1:24" ht="15" customHeight="1" x14ac:dyDescent="0.3">
      <c r="A653" s="11">
        <v>652</v>
      </c>
      <c r="B653" s="11">
        <v>131</v>
      </c>
      <c r="C653" s="11" t="s">
        <v>1318</v>
      </c>
      <c r="D653" s="11" t="s">
        <v>1319</v>
      </c>
      <c r="E653" s="11" t="s">
        <v>709</v>
      </c>
      <c r="F653" s="11">
        <v>2022</v>
      </c>
      <c r="G653" s="20">
        <f t="shared" si="70"/>
        <v>0</v>
      </c>
      <c r="H653" s="21">
        <v>0</v>
      </c>
      <c r="I653" s="21">
        <f>IFERROR(INDEX('Coding Sheet'!$AC$2:$AC$731,MATCH($B653&amp;"_"&amp;$F653,'Coding Sheet'!$A$2:$A$731,0)),"")</f>
        <v>0</v>
      </c>
      <c r="J653" s="7">
        <f>IFERROR(INDEX('Coding Sheet'!$AT$2:$AT$731,MATCH($B653&amp;"_"&amp;$F653,'Coding Sheet'!$A$2:$A$731,0)),"")</f>
        <v>0</v>
      </c>
      <c r="K653" s="21">
        <v>18000000000</v>
      </c>
      <c r="L653" s="21">
        <v>4.6666999999999996</v>
      </c>
      <c r="M653" s="20">
        <f t="shared" si="71"/>
        <v>84000600</v>
      </c>
      <c r="N653" s="21">
        <v>568928000</v>
      </c>
      <c r="O653" s="21">
        <v>601915000</v>
      </c>
      <c r="P653" s="20">
        <v>9653000</v>
      </c>
      <c r="Q653" s="20">
        <f t="shared" si="72"/>
        <v>1.0847521660035055</v>
      </c>
      <c r="R653" s="20">
        <f t="shared" si="73"/>
        <v>20.21562679729071</v>
      </c>
      <c r="S653" s="20">
        <f t="shared" si="74"/>
        <v>0.94519658091258729</v>
      </c>
      <c r="T653" s="20">
        <f t="shared" si="75"/>
        <v>1.6037148102306803E-2</v>
      </c>
      <c r="U653" s="20">
        <f>IFERROR(IF(ISNUMBER(INDEX('Firm Master'!$E$2:$E$1000,MATCH($C653,'Firm Master'!$B$2:$B$1000,0))),INDEX('Firm Master'!$E$2:$E$1000,MATCH($C653,'Firm Master'!$B$2:$B$1000,0)),""),"")</f>
        <v>2012</v>
      </c>
      <c r="V653" s="21">
        <f t="shared" si="76"/>
        <v>10</v>
      </c>
      <c r="W653" s="21">
        <v>1</v>
      </c>
      <c r="X653" s="20" t="str">
        <f>IFERROR(INDEX('Firm Master'!$G$2:$G$1000,MATCH($C653,'Firm Master'!$B$2:$B$1000,0)),"")</f>
        <v>PricewaterhouseCoopers</v>
      </c>
    </row>
    <row r="654" spans="1:24" ht="15" customHeight="1" x14ac:dyDescent="0.3">
      <c r="A654" s="11">
        <v>653</v>
      </c>
      <c r="B654" s="11">
        <v>131</v>
      </c>
      <c r="C654" s="11" t="s">
        <v>1318</v>
      </c>
      <c r="D654" s="11" t="s">
        <v>1319</v>
      </c>
      <c r="E654" s="11" t="s">
        <v>709</v>
      </c>
      <c r="F654" s="11">
        <v>2023</v>
      </c>
      <c r="G654" s="20">
        <f t="shared" si="70"/>
        <v>1</v>
      </c>
      <c r="H654" s="21">
        <v>0</v>
      </c>
      <c r="I654" s="21">
        <f>IFERROR(INDEX('Coding Sheet'!$AC$2:$AC$731,MATCH($B654&amp;"_"&amp;$F654,'Coding Sheet'!$A$2:$A$731,0)),"")</f>
        <v>0</v>
      </c>
      <c r="J654" s="7">
        <f>IFERROR(INDEX('Coding Sheet'!$AT$2:$AT$731,MATCH($B654&amp;"_"&amp;$F654,'Coding Sheet'!$A$2:$A$731,0)),"")</f>
        <v>0</v>
      </c>
      <c r="K654" s="21">
        <v>18000000000</v>
      </c>
      <c r="L654" s="21">
        <v>7.6666999999999996</v>
      </c>
      <c r="M654" s="20">
        <f t="shared" si="71"/>
        <v>138000600</v>
      </c>
      <c r="N654" s="21">
        <v>841235000</v>
      </c>
      <c r="O654" s="21">
        <v>931948000</v>
      </c>
      <c r="P654" s="20">
        <v>11420000</v>
      </c>
      <c r="Q654" s="20">
        <f t="shared" si="72"/>
        <v>1.0507405992609029</v>
      </c>
      <c r="R654" s="20">
        <f t="shared" si="73"/>
        <v>20.652787577101908</v>
      </c>
      <c r="S654" s="20">
        <f t="shared" si="74"/>
        <v>0.90266302411722543</v>
      </c>
      <c r="T654" s="20">
        <f t="shared" si="75"/>
        <v>1.2253902578255439E-2</v>
      </c>
      <c r="U654" s="20">
        <f>IFERROR(IF(ISNUMBER(INDEX('Firm Master'!$E$2:$E$1000,MATCH($C654,'Firm Master'!$B$2:$B$1000,0))),INDEX('Firm Master'!$E$2:$E$1000,MATCH($C654,'Firm Master'!$B$2:$B$1000,0)),""),"")</f>
        <v>2012</v>
      </c>
      <c r="V654" s="21">
        <f t="shared" si="76"/>
        <v>11</v>
      </c>
      <c r="W654" s="21">
        <v>1</v>
      </c>
      <c r="X654" s="20" t="str">
        <f>IFERROR(INDEX('Firm Master'!$G$2:$G$1000,MATCH($C654,'Firm Master'!$B$2:$B$1000,0)),"")</f>
        <v>PricewaterhouseCoopers</v>
      </c>
    </row>
    <row r="655" spans="1:24" ht="15" customHeight="1" x14ac:dyDescent="0.3">
      <c r="A655" s="11">
        <v>654</v>
      </c>
      <c r="B655" s="11">
        <v>131</v>
      </c>
      <c r="C655" s="11" t="s">
        <v>1318</v>
      </c>
      <c r="D655" s="11" t="s">
        <v>1319</v>
      </c>
      <c r="E655" s="11" t="s">
        <v>709</v>
      </c>
      <c r="F655" s="11">
        <v>2024</v>
      </c>
      <c r="G655" s="20">
        <f t="shared" si="70"/>
        <v>1</v>
      </c>
      <c r="H655" s="21">
        <v>0</v>
      </c>
      <c r="I655" s="21">
        <f>IFERROR(INDEX('Coding Sheet'!$AC$2:$AC$731,MATCH($B655&amp;"_"&amp;$F655,'Coding Sheet'!$A$2:$A$731,0)),"")</f>
        <v>0</v>
      </c>
      <c r="J655" s="7">
        <f>IFERROR(INDEX('Coding Sheet'!$AT$2:$AT$731,MATCH($B655&amp;"_"&amp;$F655,'Coding Sheet'!$A$2:$A$731,0)),"")</f>
        <v>0</v>
      </c>
      <c r="K655" s="21">
        <v>18000000000</v>
      </c>
      <c r="L655" s="21">
        <v>20.399999999999999</v>
      </c>
      <c r="M655" s="20">
        <f t="shared" si="71"/>
        <v>367200000</v>
      </c>
      <c r="N655" s="21">
        <v>1568200000</v>
      </c>
      <c r="O655" s="21">
        <v>1701704000</v>
      </c>
      <c r="P655" s="20">
        <v>24103000</v>
      </c>
      <c r="Q655" s="20">
        <f t="shared" si="72"/>
        <v>1.1373305815817556</v>
      </c>
      <c r="R655" s="20">
        <f t="shared" si="73"/>
        <v>21.25489593892949</v>
      </c>
      <c r="S655" s="20">
        <f t="shared" si="74"/>
        <v>0.9215468730166938</v>
      </c>
      <c r="T655" s="20">
        <f t="shared" si="75"/>
        <v>1.4164037929040538E-2</v>
      </c>
      <c r="U655" s="20">
        <f>IFERROR(IF(ISNUMBER(INDEX('Firm Master'!$E$2:$E$1000,MATCH($C655,'Firm Master'!$B$2:$B$1000,0))),INDEX('Firm Master'!$E$2:$E$1000,MATCH($C655,'Firm Master'!$B$2:$B$1000,0)),""),"")</f>
        <v>2012</v>
      </c>
      <c r="V655" s="21">
        <f t="shared" si="76"/>
        <v>12</v>
      </c>
      <c r="W655" s="21">
        <v>1</v>
      </c>
      <c r="X655" s="20" t="str">
        <f>IFERROR(INDEX('Firm Master'!$G$2:$G$1000,MATCH($C655,'Firm Master'!$B$2:$B$1000,0)),"")</f>
        <v>PricewaterhouseCoopers</v>
      </c>
    </row>
    <row r="656" spans="1:24" ht="15" customHeight="1" x14ac:dyDescent="0.3">
      <c r="A656" s="11">
        <v>655</v>
      </c>
      <c r="B656" s="11">
        <v>131</v>
      </c>
      <c r="C656" s="11" t="s">
        <v>1318</v>
      </c>
      <c r="D656" s="11" t="s">
        <v>1319</v>
      </c>
      <c r="E656" s="11" t="s">
        <v>709</v>
      </c>
      <c r="F656" s="11">
        <v>2025</v>
      </c>
      <c r="G656" s="20">
        <f t="shared" si="70"/>
        <v>1</v>
      </c>
      <c r="H656" s="21">
        <v>0</v>
      </c>
      <c r="I656" s="21">
        <f>IFERROR(INDEX('Coding Sheet'!$AC$2:$AC$731,MATCH($B656&amp;"_"&amp;$F656,'Coding Sheet'!$A$2:$A$731,0)),"")</f>
        <v>0</v>
      </c>
      <c r="J656" s="7">
        <f>IFERROR(INDEX('Coding Sheet'!$AT$2:$AT$731,MATCH($B656&amp;"_"&amp;$F656,'Coding Sheet'!$A$2:$A$731,0)),"")</f>
        <v>0</v>
      </c>
      <c r="K656" s="21">
        <v>18000000000</v>
      </c>
      <c r="L656" s="21">
        <v>18.7</v>
      </c>
      <c r="M656" s="20">
        <f t="shared" si="71"/>
        <v>336600000</v>
      </c>
      <c r="N656" s="21">
        <v>1611340000</v>
      </c>
      <c r="O656" s="21">
        <v>1761337000</v>
      </c>
      <c r="P656" s="20">
        <v>28147000</v>
      </c>
      <c r="Q656" s="20">
        <f t="shared" si="72"/>
        <v>1.1059439505330326</v>
      </c>
      <c r="R656" s="20">
        <f t="shared" si="73"/>
        <v>21.289339016692459</v>
      </c>
      <c r="S656" s="20">
        <f t="shared" si="74"/>
        <v>0.9148391250510266</v>
      </c>
      <c r="T656" s="20">
        <f t="shared" si="75"/>
        <v>1.598047392407018E-2</v>
      </c>
      <c r="U656" s="20">
        <f>IFERROR(IF(ISNUMBER(INDEX('Firm Master'!$E$2:$E$1000,MATCH($C656,'Firm Master'!$B$2:$B$1000,0))),INDEX('Firm Master'!$E$2:$E$1000,MATCH($C656,'Firm Master'!$B$2:$B$1000,0)),""),"")</f>
        <v>2012</v>
      </c>
      <c r="V656" s="21">
        <f t="shared" si="76"/>
        <v>13</v>
      </c>
      <c r="W656" s="21">
        <v>1</v>
      </c>
      <c r="X656" s="20" t="str">
        <f>IFERROR(INDEX('Firm Master'!$G$2:$G$1000,MATCH($C656,'Firm Master'!$B$2:$B$1000,0)),"")</f>
        <v>PricewaterhouseCoopers</v>
      </c>
    </row>
    <row r="657" spans="1:24" ht="27.75" customHeight="1" x14ac:dyDescent="0.3">
      <c r="A657" s="16">
        <v>656</v>
      </c>
      <c r="B657" s="16">
        <v>132</v>
      </c>
      <c r="C657" s="16" t="s">
        <v>1322</v>
      </c>
      <c r="D657" s="16" t="s">
        <v>1323</v>
      </c>
      <c r="E657" s="16" t="s">
        <v>780</v>
      </c>
      <c r="F657" s="16">
        <v>2021</v>
      </c>
      <c r="G657" s="16">
        <f t="shared" si="70"/>
        <v>0</v>
      </c>
      <c r="H657" s="16">
        <v>0</v>
      </c>
      <c r="I657" s="16">
        <f>IFERROR(INDEX('Coding Sheet'!$AC$2:$AC$731,MATCH($B657&amp;"_"&amp;$F657,'Coding Sheet'!$A$2:$A$731,0)),"")</f>
        <v>0</v>
      </c>
      <c r="J657" s="22">
        <f>IFERROR(INDEX('Coding Sheet'!$AT$2:$AT$731,MATCH($B657&amp;"_"&amp;$F657,'Coding Sheet'!$A$2:$A$731,0)),"")</f>
        <v>0</v>
      </c>
      <c r="K657" s="16">
        <v>188130000</v>
      </c>
      <c r="L657" s="16">
        <v>36.623600000000003</v>
      </c>
      <c r="M657" s="16">
        <f t="shared" si="71"/>
        <v>6889997.8680000007</v>
      </c>
      <c r="N657" s="16">
        <v>1456000</v>
      </c>
      <c r="O657" s="16">
        <v>11358000</v>
      </c>
      <c r="P657" s="16">
        <v>393080</v>
      </c>
      <c r="Q657" s="16">
        <f t="shared" si="72"/>
        <v>0.7348122792745202</v>
      </c>
      <c r="R657" s="16">
        <f t="shared" si="73"/>
        <v>16.245432899419516</v>
      </c>
      <c r="S657" s="16">
        <f t="shared" si="74"/>
        <v>0.12819158302518049</v>
      </c>
      <c r="T657" s="16">
        <f t="shared" si="75"/>
        <v>3.4608205670012326E-2</v>
      </c>
      <c r="U657" s="16" t="str">
        <f>IFERROR(IF(ISNUMBER(INDEX('Firm Master'!$E$2:$E$1000,MATCH($C657,'Firm Master'!$B$2:$B$1000,0))),INDEX('Firm Master'!$E$2:$E$1000,MATCH($C657,'Firm Master'!$B$2:$B$1000,0)),""),"")</f>
        <v/>
      </c>
      <c r="V657" s="16" t="str">
        <f t="shared" si="76"/>
        <v/>
      </c>
      <c r="W657" s="16">
        <v>0</v>
      </c>
      <c r="X657" s="16" t="str">
        <f>IFERROR(INDEX('Firm Master'!$G$2:$G$1000,MATCH($C657,'Firm Master'!$B$2:$B$1000,0)),"")</f>
        <v>UNRESOLVED</v>
      </c>
    </row>
    <row r="658" spans="1:24" ht="27.75" customHeight="1" x14ac:dyDescent="0.3">
      <c r="A658" s="16">
        <v>657</v>
      </c>
      <c r="B658" s="16">
        <v>132</v>
      </c>
      <c r="C658" s="16" t="s">
        <v>1322</v>
      </c>
      <c r="D658" s="16" t="s">
        <v>1323</v>
      </c>
      <c r="E658" s="16" t="s">
        <v>780</v>
      </c>
      <c r="F658" s="16">
        <v>2022</v>
      </c>
      <c r="G658" s="16">
        <f t="shared" si="70"/>
        <v>0</v>
      </c>
      <c r="H658" s="16">
        <v>0</v>
      </c>
      <c r="I658" s="16">
        <f>IFERROR(INDEX('Coding Sheet'!$AC$2:$AC$731,MATCH($B658&amp;"_"&amp;$F658,'Coding Sheet'!$A$2:$A$731,0)),"")</f>
        <v>0</v>
      </c>
      <c r="J658" s="22">
        <f>IFERROR(INDEX('Coding Sheet'!$AT$2:$AT$731,MATCH($B658&amp;"_"&amp;$F658,'Coding Sheet'!$A$2:$A$731,0)),"")</f>
        <v>0</v>
      </c>
      <c r="K658" s="16">
        <v>188130000</v>
      </c>
      <c r="L658" s="16">
        <v>36.623600000000003</v>
      </c>
      <c r="M658" s="16">
        <f t="shared" si="71"/>
        <v>6889997.8680000007</v>
      </c>
      <c r="N658" s="16">
        <v>1529000</v>
      </c>
      <c r="O658" s="16">
        <v>11503000</v>
      </c>
      <c r="P658" s="16">
        <v>430850</v>
      </c>
      <c r="Q658" s="16">
        <f t="shared" si="72"/>
        <v>0.73189584178040512</v>
      </c>
      <c r="R658" s="16">
        <f t="shared" si="73"/>
        <v>16.258118428878149</v>
      </c>
      <c r="S658" s="16">
        <f t="shared" si="74"/>
        <v>0.13292184647483266</v>
      </c>
      <c r="T658" s="16">
        <f t="shared" si="75"/>
        <v>3.7455446405285579E-2</v>
      </c>
      <c r="U658" s="16" t="str">
        <f>IFERROR(IF(ISNUMBER(INDEX('Firm Master'!$E$2:$E$1000,MATCH($C658,'Firm Master'!$B$2:$B$1000,0))),INDEX('Firm Master'!$E$2:$E$1000,MATCH($C658,'Firm Master'!$B$2:$B$1000,0)),""),"")</f>
        <v/>
      </c>
      <c r="V658" s="16" t="str">
        <f t="shared" si="76"/>
        <v/>
      </c>
      <c r="W658" s="16">
        <v>0</v>
      </c>
      <c r="X658" s="16" t="str">
        <f>IFERROR(INDEX('Firm Master'!$G$2:$G$1000,MATCH($C658,'Firm Master'!$B$2:$B$1000,0)),"")</f>
        <v>UNRESOLVED</v>
      </c>
    </row>
    <row r="659" spans="1:24" ht="27.75" customHeight="1" x14ac:dyDescent="0.3">
      <c r="A659" s="16">
        <v>658</v>
      </c>
      <c r="B659" s="16">
        <v>132</v>
      </c>
      <c r="C659" s="16" t="s">
        <v>1322</v>
      </c>
      <c r="D659" s="16" t="s">
        <v>1323</v>
      </c>
      <c r="E659" s="16" t="s">
        <v>780</v>
      </c>
      <c r="F659" s="16">
        <v>2023</v>
      </c>
      <c r="G659" s="16">
        <f t="shared" si="70"/>
        <v>1</v>
      </c>
      <c r="H659" s="16">
        <v>0</v>
      </c>
      <c r="I659" s="16">
        <f>IFERROR(INDEX('Coding Sheet'!$AC$2:$AC$731,MATCH($B659&amp;"_"&amp;$F659,'Coding Sheet'!$A$2:$A$731,0)),"")</f>
        <v>0</v>
      </c>
      <c r="J659" s="22">
        <f>IFERROR(INDEX('Coding Sheet'!$AT$2:$AT$731,MATCH($B659&amp;"_"&amp;$F659,'Coding Sheet'!$A$2:$A$731,0)),"")</f>
        <v>0</v>
      </c>
      <c r="K659" s="16">
        <v>188130000</v>
      </c>
      <c r="L659" s="16">
        <v>36.623600000000003</v>
      </c>
      <c r="M659" s="16">
        <f t="shared" si="71"/>
        <v>6889997.8680000007</v>
      </c>
      <c r="N659" s="16">
        <v>1740000</v>
      </c>
      <c r="O659" s="16">
        <v>11975000</v>
      </c>
      <c r="P659" s="16">
        <v>656130</v>
      </c>
      <c r="Q659" s="16">
        <f t="shared" si="72"/>
        <v>0.7206678804175366</v>
      </c>
      <c r="R659" s="16">
        <f t="shared" si="73"/>
        <v>16.298331701261255</v>
      </c>
      <c r="S659" s="16">
        <f t="shared" si="74"/>
        <v>0.14530271398747391</v>
      </c>
      <c r="T659" s="16">
        <f t="shared" si="75"/>
        <v>5.4791649269311064E-2</v>
      </c>
      <c r="U659" s="16" t="str">
        <f>IFERROR(IF(ISNUMBER(INDEX('Firm Master'!$E$2:$E$1000,MATCH($C659,'Firm Master'!$B$2:$B$1000,0))),INDEX('Firm Master'!$E$2:$E$1000,MATCH($C659,'Firm Master'!$B$2:$B$1000,0)),""),"")</f>
        <v/>
      </c>
      <c r="V659" s="16" t="str">
        <f t="shared" si="76"/>
        <v/>
      </c>
      <c r="W659" s="16">
        <v>0</v>
      </c>
      <c r="X659" s="16" t="str">
        <f>IFERROR(INDEX('Firm Master'!$G$2:$G$1000,MATCH($C659,'Firm Master'!$B$2:$B$1000,0)),"")</f>
        <v>UNRESOLVED</v>
      </c>
    </row>
    <row r="660" spans="1:24" ht="27.75" customHeight="1" x14ac:dyDescent="0.3">
      <c r="A660" s="16">
        <v>659</v>
      </c>
      <c r="B660" s="16">
        <v>132</v>
      </c>
      <c r="C660" s="16" t="s">
        <v>1322</v>
      </c>
      <c r="D660" s="16" t="s">
        <v>1323</v>
      </c>
      <c r="E660" s="16" t="s">
        <v>780</v>
      </c>
      <c r="F660" s="16">
        <v>2024</v>
      </c>
      <c r="G660" s="16">
        <f t="shared" si="70"/>
        <v>1</v>
      </c>
      <c r="H660" s="16">
        <v>0</v>
      </c>
      <c r="I660" s="16">
        <f>IFERROR(INDEX('Coding Sheet'!$AC$2:$AC$731,MATCH($B660&amp;"_"&amp;$F660,'Coding Sheet'!$A$2:$A$731,0)),"")</f>
        <v>0</v>
      </c>
      <c r="J660" s="22">
        <f>IFERROR(INDEX('Coding Sheet'!$AT$2:$AT$731,MATCH($B660&amp;"_"&amp;$F660,'Coding Sheet'!$A$2:$A$731,0)),"")</f>
        <v>0</v>
      </c>
      <c r="K660" s="16">
        <v>188130000</v>
      </c>
      <c r="L660" s="16">
        <v>36.623600000000003</v>
      </c>
      <c r="M660" s="16">
        <f t="shared" si="71"/>
        <v>6889997.8680000007</v>
      </c>
      <c r="N660" s="16">
        <v>1941000</v>
      </c>
      <c r="O660" s="16">
        <v>12628000</v>
      </c>
      <c r="P660" s="16">
        <v>1045000</v>
      </c>
      <c r="Q660" s="16">
        <f t="shared" si="72"/>
        <v>0.69931880487804887</v>
      </c>
      <c r="R660" s="16">
        <f t="shared" si="73"/>
        <v>16.351427128660021</v>
      </c>
      <c r="S660" s="16">
        <f t="shared" si="74"/>
        <v>0.15370605004751345</v>
      </c>
      <c r="T660" s="16">
        <f t="shared" si="75"/>
        <v>8.2752613240418119E-2</v>
      </c>
      <c r="U660" s="16" t="str">
        <f>IFERROR(IF(ISNUMBER(INDEX('Firm Master'!$E$2:$E$1000,MATCH($C660,'Firm Master'!$B$2:$B$1000,0))),INDEX('Firm Master'!$E$2:$E$1000,MATCH($C660,'Firm Master'!$B$2:$B$1000,0)),""),"")</f>
        <v/>
      </c>
      <c r="V660" s="16" t="str">
        <f t="shared" si="76"/>
        <v/>
      </c>
      <c r="W660" s="16">
        <v>0</v>
      </c>
      <c r="X660" s="16" t="str">
        <f>IFERROR(INDEX('Firm Master'!$G$2:$G$1000,MATCH($C660,'Firm Master'!$B$2:$B$1000,0)),"")</f>
        <v>UNRESOLVED</v>
      </c>
    </row>
    <row r="661" spans="1:24" ht="27.75" customHeight="1" x14ac:dyDescent="0.3">
      <c r="A661" s="16">
        <v>660</v>
      </c>
      <c r="B661" s="16">
        <v>132</v>
      </c>
      <c r="C661" s="16" t="s">
        <v>1322</v>
      </c>
      <c r="D661" s="16" t="s">
        <v>1323</v>
      </c>
      <c r="E661" s="16" t="s">
        <v>780</v>
      </c>
      <c r="F661" s="16">
        <v>2025</v>
      </c>
      <c r="G661" s="16">
        <f t="shared" si="70"/>
        <v>1</v>
      </c>
      <c r="H661" s="16">
        <v>0</v>
      </c>
      <c r="I661" s="16">
        <f>IFERROR(INDEX('Coding Sheet'!$AC$2:$AC$731,MATCH($B661&amp;"_"&amp;$F661,'Coding Sheet'!$A$2:$A$731,0)),"")</f>
        <v>0</v>
      </c>
      <c r="J661" s="22">
        <f>IFERROR(INDEX('Coding Sheet'!$AT$2:$AT$731,MATCH($B661&amp;"_"&amp;$F661,'Coding Sheet'!$A$2:$A$731,0)),"")</f>
        <v>0</v>
      </c>
      <c r="K661" s="16">
        <v>188130000</v>
      </c>
      <c r="L661" s="16">
        <v>51.825899999999997</v>
      </c>
      <c r="M661" s="16">
        <f t="shared" si="71"/>
        <v>9750006.5669999998</v>
      </c>
      <c r="N661" s="16">
        <v>1204000</v>
      </c>
      <c r="O661" s="16">
        <v>29151000</v>
      </c>
      <c r="P661" s="16">
        <v>18218000</v>
      </c>
      <c r="Q661" s="16">
        <f t="shared" si="72"/>
        <v>0.37576778041919662</v>
      </c>
      <c r="R661" s="16">
        <f t="shared" si="73"/>
        <v>17.187999775489686</v>
      </c>
      <c r="S661" s="16">
        <f t="shared" si="74"/>
        <v>4.1302185173750471E-2</v>
      </c>
      <c r="T661" s="16">
        <f t="shared" si="75"/>
        <v>0.62495283180679906</v>
      </c>
      <c r="U661" s="16" t="str">
        <f>IFERROR(IF(ISNUMBER(INDEX('Firm Master'!$E$2:$E$1000,MATCH($C661,'Firm Master'!$B$2:$B$1000,0))),INDEX('Firm Master'!$E$2:$E$1000,MATCH($C661,'Firm Master'!$B$2:$B$1000,0)),""),"")</f>
        <v/>
      </c>
      <c r="V661" s="16" t="str">
        <f t="shared" si="76"/>
        <v/>
      </c>
      <c r="W661" s="16">
        <v>0</v>
      </c>
      <c r="X661" s="16" t="str">
        <f>IFERROR(INDEX('Firm Master'!$G$2:$G$1000,MATCH($C661,'Firm Master'!$B$2:$B$1000,0)),"")</f>
        <v>UNRESOLVED</v>
      </c>
    </row>
    <row r="662" spans="1:24" ht="15" customHeight="1" x14ac:dyDescent="0.3">
      <c r="A662" s="11">
        <v>661</v>
      </c>
      <c r="B662" s="11">
        <v>133</v>
      </c>
      <c r="C662" s="11" t="s">
        <v>1326</v>
      </c>
      <c r="D662" s="11" t="s">
        <v>1327</v>
      </c>
      <c r="E662" s="11" t="s">
        <v>806</v>
      </c>
      <c r="F662" s="11">
        <v>2021</v>
      </c>
      <c r="G662" s="20">
        <f t="shared" si="70"/>
        <v>0</v>
      </c>
      <c r="H662" s="21">
        <v>0</v>
      </c>
      <c r="I662" s="21">
        <f>IFERROR(INDEX('Coding Sheet'!$AC$2:$AC$731,MATCH($B662&amp;"_"&amp;$F662,'Coding Sheet'!$A$2:$A$731,0)),"")</f>
        <v>65</v>
      </c>
      <c r="J662" s="7">
        <f>IFERROR(INDEX('Coding Sheet'!$AT$2:$AT$731,MATCH($B662&amp;"_"&amp;$F662,'Coding Sheet'!$A$2:$A$731,0)),"")</f>
        <v>46.666666666666664</v>
      </c>
      <c r="K662" s="21">
        <v>5745000000</v>
      </c>
      <c r="L662" s="21">
        <v>14.499599999999999</v>
      </c>
      <c r="M662" s="20">
        <f t="shared" si="71"/>
        <v>83300202</v>
      </c>
      <c r="N662" s="21">
        <v>42527000</v>
      </c>
      <c r="O662" s="21">
        <v>108289000</v>
      </c>
      <c r="P662" s="20">
        <v>3409000</v>
      </c>
      <c r="Q662" s="20">
        <f t="shared" si="72"/>
        <v>1.1619573733250839</v>
      </c>
      <c r="R662" s="20">
        <f t="shared" si="73"/>
        <v>18.500314137098908</v>
      </c>
      <c r="S662" s="20">
        <f t="shared" si="74"/>
        <v>0.39271763521687336</v>
      </c>
      <c r="T662" s="20">
        <f t="shared" si="75"/>
        <v>3.148057512766763E-2</v>
      </c>
      <c r="U662" s="20">
        <f>IFERROR(IF(ISNUMBER(INDEX('Firm Master'!$E$2:$E$1000,MATCH($C662,'Firm Master'!$B$2:$B$1000,0))),INDEX('Firm Master'!$E$2:$E$1000,MATCH($C662,'Firm Master'!$B$2:$B$1000,0)),""),"")</f>
        <v>1923</v>
      </c>
      <c r="V662" s="21">
        <f t="shared" si="76"/>
        <v>98</v>
      </c>
      <c r="W662" s="21">
        <v>0</v>
      </c>
      <c r="X662" s="20" t="str">
        <f>IFERROR(INDEX('Firm Master'!$G$2:$G$1000,MATCH($C662,'Firm Master'!$B$2:$B$1000,0)),"")</f>
        <v>Forvis Mazars</v>
      </c>
    </row>
    <row r="663" spans="1:24" ht="15" customHeight="1" x14ac:dyDescent="0.3">
      <c r="A663" s="11">
        <v>662</v>
      </c>
      <c r="B663" s="11">
        <v>133</v>
      </c>
      <c r="C663" s="11" t="s">
        <v>1326</v>
      </c>
      <c r="D663" s="11" t="s">
        <v>1327</v>
      </c>
      <c r="E663" s="11" t="s">
        <v>806</v>
      </c>
      <c r="F663" s="11">
        <v>2022</v>
      </c>
      <c r="G663" s="20">
        <f t="shared" si="70"/>
        <v>0</v>
      </c>
      <c r="H663" s="21">
        <v>0</v>
      </c>
      <c r="I663" s="21">
        <f>IFERROR(INDEX('Coding Sheet'!$AC$2:$AC$731,MATCH($B663&amp;"_"&amp;$F663,'Coding Sheet'!$A$2:$A$731,0)),"")</f>
        <v>65</v>
      </c>
      <c r="J663" s="7">
        <f>IFERROR(INDEX('Coding Sheet'!$AT$2:$AT$731,MATCH($B663&amp;"_"&amp;$F663,'Coding Sheet'!$A$2:$A$731,0)),"")</f>
        <v>46.666666666666664</v>
      </c>
      <c r="K663" s="21">
        <v>5745000000</v>
      </c>
      <c r="L663" s="21">
        <v>11.5997</v>
      </c>
      <c r="M663" s="20">
        <f t="shared" si="71"/>
        <v>66640276.5</v>
      </c>
      <c r="N663" s="21">
        <v>57825000</v>
      </c>
      <c r="O663" s="21">
        <v>125390000</v>
      </c>
      <c r="P663" s="20">
        <v>4467000</v>
      </c>
      <c r="Q663" s="20">
        <f t="shared" si="72"/>
        <v>0.99262522130951436</v>
      </c>
      <c r="R663" s="20">
        <f t="shared" si="73"/>
        <v>18.646939438166722</v>
      </c>
      <c r="S663" s="20">
        <f t="shared" si="74"/>
        <v>0.46116117712736265</v>
      </c>
      <c r="T663" s="20">
        <f t="shared" si="75"/>
        <v>3.5624850466544379E-2</v>
      </c>
      <c r="U663" s="20">
        <f>IFERROR(IF(ISNUMBER(INDEX('Firm Master'!$E$2:$E$1000,MATCH($C663,'Firm Master'!$B$2:$B$1000,0))),INDEX('Firm Master'!$E$2:$E$1000,MATCH($C663,'Firm Master'!$B$2:$B$1000,0)),""),"")</f>
        <v>1923</v>
      </c>
      <c r="V663" s="21">
        <f t="shared" si="76"/>
        <v>99</v>
      </c>
      <c r="W663" s="21">
        <v>0</v>
      </c>
      <c r="X663" s="20" t="str">
        <f>IFERROR(INDEX('Firm Master'!$G$2:$G$1000,MATCH($C663,'Firm Master'!$B$2:$B$1000,0)),"")</f>
        <v>Forvis Mazars</v>
      </c>
    </row>
    <row r="664" spans="1:24" ht="15" customHeight="1" x14ac:dyDescent="0.3">
      <c r="A664" s="11">
        <v>663</v>
      </c>
      <c r="B664" s="11">
        <v>133</v>
      </c>
      <c r="C664" s="11" t="s">
        <v>1326</v>
      </c>
      <c r="D664" s="11" t="s">
        <v>1327</v>
      </c>
      <c r="E664" s="11" t="s">
        <v>806</v>
      </c>
      <c r="F664" s="11">
        <v>2023</v>
      </c>
      <c r="G664" s="20">
        <f t="shared" si="70"/>
        <v>1</v>
      </c>
      <c r="H664" s="21">
        <v>0</v>
      </c>
      <c r="I664" s="21">
        <f>IFERROR(INDEX('Coding Sheet'!$AC$2:$AC$731,MATCH($B664&amp;"_"&amp;$F664,'Coding Sheet'!$A$2:$A$731,0)),"")</f>
        <v>65</v>
      </c>
      <c r="J664" s="7">
        <f>IFERROR(INDEX('Coding Sheet'!$AT$2:$AT$731,MATCH($B664&amp;"_"&amp;$F664,'Coding Sheet'!$A$2:$A$731,0)),"")</f>
        <v>46.666666666666664</v>
      </c>
      <c r="K664" s="21">
        <v>5745000000</v>
      </c>
      <c r="L664" s="21">
        <v>14.800700000000001</v>
      </c>
      <c r="M664" s="20">
        <f t="shared" si="71"/>
        <v>85030021.5</v>
      </c>
      <c r="N664" s="21">
        <v>41793000</v>
      </c>
      <c r="O664" s="21">
        <v>116302000</v>
      </c>
      <c r="P664" s="20">
        <v>8440000</v>
      </c>
      <c r="Q664" s="20">
        <f t="shared" si="72"/>
        <v>1.0904629456071262</v>
      </c>
      <c r="R664" s="20">
        <f t="shared" si="73"/>
        <v>18.571700814245585</v>
      </c>
      <c r="S664" s="20">
        <f t="shared" si="74"/>
        <v>0.35934893638974397</v>
      </c>
      <c r="T664" s="20">
        <f t="shared" si="75"/>
        <v>7.2569689257278469E-2</v>
      </c>
      <c r="U664" s="20">
        <f>IFERROR(IF(ISNUMBER(INDEX('Firm Master'!$E$2:$E$1000,MATCH($C664,'Firm Master'!$B$2:$B$1000,0))),INDEX('Firm Master'!$E$2:$E$1000,MATCH($C664,'Firm Master'!$B$2:$B$1000,0)),""),"")</f>
        <v>1923</v>
      </c>
      <c r="V664" s="21">
        <f t="shared" si="76"/>
        <v>100</v>
      </c>
      <c r="W664" s="21">
        <v>0</v>
      </c>
      <c r="X664" s="20" t="str">
        <f>IFERROR(INDEX('Firm Master'!$G$2:$G$1000,MATCH($C664,'Firm Master'!$B$2:$B$1000,0)),"")</f>
        <v>Forvis Mazars</v>
      </c>
    </row>
    <row r="665" spans="1:24" ht="15" customHeight="1" x14ac:dyDescent="0.3">
      <c r="A665" s="11">
        <v>664</v>
      </c>
      <c r="B665" s="11">
        <v>133</v>
      </c>
      <c r="C665" s="11" t="s">
        <v>1326</v>
      </c>
      <c r="D665" s="11" t="s">
        <v>1327</v>
      </c>
      <c r="E665" s="11" t="s">
        <v>806</v>
      </c>
      <c r="F665" s="11">
        <v>2024</v>
      </c>
      <c r="G665" s="20">
        <f t="shared" si="70"/>
        <v>1</v>
      </c>
      <c r="H665" s="21">
        <v>1</v>
      </c>
      <c r="I665" s="21">
        <f>IFERROR(INDEX('Coding Sheet'!$AC$2:$AC$731,MATCH($B665&amp;"_"&amp;$F665,'Coding Sheet'!$A$2:$A$731,0)),"")</f>
        <v>65</v>
      </c>
      <c r="J665" s="7">
        <f>IFERROR(INDEX('Coding Sheet'!$AT$2:$AT$731,MATCH($B665&amp;"_"&amp;$F665,'Coding Sheet'!$A$2:$A$731,0)),"")</f>
        <v>46.666666666666664</v>
      </c>
      <c r="K665" s="21">
        <v>5745000000</v>
      </c>
      <c r="L665" s="21">
        <v>32.950400000000002</v>
      </c>
      <c r="M665" s="20">
        <f t="shared" si="71"/>
        <v>189300048</v>
      </c>
      <c r="N665" s="21">
        <v>56541000</v>
      </c>
      <c r="O665" s="21">
        <v>141647000</v>
      </c>
      <c r="P665" s="20">
        <v>15143000</v>
      </c>
      <c r="Q665" s="20">
        <f t="shared" si="72"/>
        <v>1.7355895147796989</v>
      </c>
      <c r="R665" s="20">
        <f t="shared" si="73"/>
        <v>18.768848605054291</v>
      </c>
      <c r="S665" s="20">
        <f t="shared" si="74"/>
        <v>0.39916835513636012</v>
      </c>
      <c r="T665" s="20">
        <f t="shared" si="75"/>
        <v>0.10690660585822502</v>
      </c>
      <c r="U665" s="20">
        <f>IFERROR(IF(ISNUMBER(INDEX('Firm Master'!$E$2:$E$1000,MATCH($C665,'Firm Master'!$B$2:$B$1000,0))),INDEX('Firm Master'!$E$2:$E$1000,MATCH($C665,'Firm Master'!$B$2:$B$1000,0)),""),"")</f>
        <v>1923</v>
      </c>
      <c r="V665" s="21">
        <f t="shared" si="76"/>
        <v>101</v>
      </c>
      <c r="W665" s="21">
        <v>0</v>
      </c>
      <c r="X665" s="20" t="str">
        <f>IFERROR(INDEX('Firm Master'!$G$2:$G$1000,MATCH($C665,'Firm Master'!$B$2:$B$1000,0)),"")</f>
        <v>Forvis Mazars</v>
      </c>
    </row>
    <row r="666" spans="1:24" ht="15" customHeight="1" x14ac:dyDescent="0.3">
      <c r="A666" s="11">
        <v>665</v>
      </c>
      <c r="B666" s="11">
        <v>133</v>
      </c>
      <c r="C666" s="11" t="s">
        <v>1326</v>
      </c>
      <c r="D666" s="11" t="s">
        <v>1327</v>
      </c>
      <c r="E666" s="11" t="s">
        <v>806</v>
      </c>
      <c r="F666" s="11">
        <v>2025</v>
      </c>
      <c r="G666" s="20">
        <f t="shared" si="70"/>
        <v>1</v>
      </c>
      <c r="H666" s="21">
        <v>1</v>
      </c>
      <c r="I666" s="21">
        <f>IFERROR(INDEX('Coding Sheet'!$AC$2:$AC$731,MATCH($B666&amp;"_"&amp;$F666,'Coding Sheet'!$A$2:$A$731,0)),"")</f>
        <v>65</v>
      </c>
      <c r="J666" s="7">
        <f>IFERROR(INDEX('Coding Sheet'!$AT$2:$AT$731,MATCH($B666&amp;"_"&amp;$F666,'Coding Sheet'!$A$2:$A$731,0)),"")</f>
        <v>46.666666666666664</v>
      </c>
      <c r="K666" s="21">
        <v>5745000000</v>
      </c>
      <c r="L666" s="21">
        <v>72</v>
      </c>
      <c r="M666" s="20">
        <f t="shared" si="71"/>
        <v>413640000</v>
      </c>
      <c r="N666" s="21">
        <v>72723000</v>
      </c>
      <c r="O666" s="21">
        <v>180179000</v>
      </c>
      <c r="P666" s="20">
        <v>32199000</v>
      </c>
      <c r="Q666" s="20">
        <f t="shared" si="72"/>
        <v>2.6993323306267656</v>
      </c>
      <c r="R666" s="20">
        <f t="shared" si="73"/>
        <v>19.009461359166618</v>
      </c>
      <c r="S666" s="20">
        <f t="shared" si="74"/>
        <v>0.40361529368017363</v>
      </c>
      <c r="T666" s="20">
        <f t="shared" si="75"/>
        <v>0.17870562052181441</v>
      </c>
      <c r="U666" s="20">
        <f>IFERROR(IF(ISNUMBER(INDEX('Firm Master'!$E$2:$E$1000,MATCH($C666,'Firm Master'!$B$2:$B$1000,0))),INDEX('Firm Master'!$E$2:$E$1000,MATCH($C666,'Firm Master'!$B$2:$B$1000,0)),""),"")</f>
        <v>1923</v>
      </c>
      <c r="V666" s="21">
        <f t="shared" si="76"/>
        <v>102</v>
      </c>
      <c r="W666" s="21">
        <v>0</v>
      </c>
      <c r="X666" s="20" t="str">
        <f>IFERROR(INDEX('Firm Master'!$G$2:$G$1000,MATCH($C666,'Firm Master'!$B$2:$B$1000,0)),"")</f>
        <v>Forvis Mazars</v>
      </c>
    </row>
    <row r="667" spans="1:24" ht="27.75" customHeight="1" x14ac:dyDescent="0.3">
      <c r="A667" s="16">
        <v>666</v>
      </c>
      <c r="B667" s="16">
        <v>134</v>
      </c>
      <c r="C667" s="16" t="s">
        <v>1330</v>
      </c>
      <c r="D667" s="16" t="s">
        <v>1331</v>
      </c>
      <c r="E667" s="16" t="s">
        <v>806</v>
      </c>
      <c r="F667" s="16">
        <v>2021</v>
      </c>
      <c r="G667" s="16">
        <f t="shared" si="70"/>
        <v>0</v>
      </c>
      <c r="H667" s="16">
        <v>0</v>
      </c>
      <c r="I667" s="16">
        <f>IFERROR(INDEX('Coding Sheet'!$AC$2:$AC$731,MATCH($B667&amp;"_"&amp;$F667,'Coding Sheet'!$A$2:$A$731,0)),"")</f>
        <v>0</v>
      </c>
      <c r="J667" s="22">
        <f>IFERROR(INDEX('Coding Sheet'!$AT$2:$AT$731,MATCH($B667&amp;"_"&amp;$F667,'Coding Sheet'!$A$2:$A$731,0)),"")</f>
        <v>0</v>
      </c>
      <c r="K667" s="16">
        <v>273350000</v>
      </c>
      <c r="L667" s="16">
        <v>9.9139999999999997</v>
      </c>
      <c r="M667" s="16">
        <f t="shared" si="71"/>
        <v>2709991.9</v>
      </c>
      <c r="N667" s="16">
        <v>1486000</v>
      </c>
      <c r="O667" s="16">
        <v>112230</v>
      </c>
      <c r="P667" s="16">
        <v>38550</v>
      </c>
      <c r="Q667" s="16">
        <f t="shared" si="72"/>
        <v>37.387435623273639</v>
      </c>
      <c r="R667" s="16">
        <f t="shared" si="73"/>
        <v>11.628305616010302</v>
      </c>
      <c r="S667" s="16">
        <f t="shared" si="74"/>
        <v>13.240666488461196</v>
      </c>
      <c r="T667" s="16">
        <f t="shared" si="75"/>
        <v>0.34349104517508688</v>
      </c>
      <c r="U667" s="16">
        <f>IFERROR(IF(ISNUMBER(INDEX('Firm Master'!$E$2:$E$1000,MATCH($C667,'Firm Master'!$B$2:$B$1000,0))),INDEX('Firm Master'!$E$2:$E$1000,MATCH($C667,'Firm Master'!$B$2:$B$1000,0)),""),"")</f>
        <v>1984</v>
      </c>
      <c r="V667" s="16">
        <f t="shared" si="76"/>
        <v>37</v>
      </c>
      <c r="W667" s="16">
        <v>0</v>
      </c>
      <c r="X667" s="16" t="str">
        <f>IFERROR(INDEX('Firm Master'!$G$2:$G$1000,MATCH($C667,'Firm Master'!$B$2:$B$1000,0)),"")</f>
        <v>Felix Akinyeye &amp; Co.</v>
      </c>
    </row>
    <row r="668" spans="1:24" ht="27.75" customHeight="1" x14ac:dyDescent="0.3">
      <c r="A668" s="16">
        <v>667</v>
      </c>
      <c r="B668" s="16">
        <v>134</v>
      </c>
      <c r="C668" s="16" t="s">
        <v>1330</v>
      </c>
      <c r="D668" s="16" t="s">
        <v>1331</v>
      </c>
      <c r="E668" s="16" t="s">
        <v>806</v>
      </c>
      <c r="F668" s="16">
        <v>2022</v>
      </c>
      <c r="G668" s="16">
        <f t="shared" si="70"/>
        <v>0</v>
      </c>
      <c r="H668" s="16">
        <v>0</v>
      </c>
      <c r="I668" s="16">
        <f>IFERROR(INDEX('Coding Sheet'!$AC$2:$AC$731,MATCH($B668&amp;"_"&amp;$F668,'Coding Sheet'!$A$2:$A$731,0)),"")</f>
        <v>0</v>
      </c>
      <c r="J668" s="22">
        <f>IFERROR(INDEX('Coding Sheet'!$AT$2:$AT$731,MATCH($B668&amp;"_"&amp;$F668,'Coding Sheet'!$A$2:$A$731,0)),"")</f>
        <v>0</v>
      </c>
      <c r="K668" s="16">
        <v>273350000</v>
      </c>
      <c r="L668" s="16">
        <v>8.9628999999999994</v>
      </c>
      <c r="M668" s="16">
        <f t="shared" si="71"/>
        <v>2450008.7149999999</v>
      </c>
      <c r="N668" s="16">
        <v>1578000</v>
      </c>
      <c r="O668" s="16">
        <v>192670</v>
      </c>
      <c r="P668" s="16">
        <v>-11440</v>
      </c>
      <c r="Q668" s="16">
        <f t="shared" si="72"/>
        <v>20.906257928063528</v>
      </c>
      <c r="R668" s="16">
        <f t="shared" si="73"/>
        <v>12.168734159874806</v>
      </c>
      <c r="S668" s="16">
        <f t="shared" si="74"/>
        <v>8.190169720247054</v>
      </c>
      <c r="T668" s="16">
        <f t="shared" si="75"/>
        <v>-5.9376135360979916E-2</v>
      </c>
      <c r="U668" s="16">
        <f>IFERROR(IF(ISNUMBER(INDEX('Firm Master'!$E$2:$E$1000,MATCH($C668,'Firm Master'!$B$2:$B$1000,0))),INDEX('Firm Master'!$E$2:$E$1000,MATCH($C668,'Firm Master'!$B$2:$B$1000,0)),""),"")</f>
        <v>1984</v>
      </c>
      <c r="V668" s="16">
        <f t="shared" si="76"/>
        <v>38</v>
      </c>
      <c r="W668" s="16">
        <v>0</v>
      </c>
      <c r="X668" s="16" t="str">
        <f>IFERROR(INDEX('Firm Master'!$G$2:$G$1000,MATCH($C668,'Firm Master'!$B$2:$B$1000,0)),"")</f>
        <v>Felix Akinyeye &amp; Co.</v>
      </c>
    </row>
    <row r="669" spans="1:24" ht="27.75" customHeight="1" x14ac:dyDescent="0.3">
      <c r="A669" s="16">
        <v>668</v>
      </c>
      <c r="B669" s="16">
        <v>134</v>
      </c>
      <c r="C669" s="16" t="s">
        <v>1330</v>
      </c>
      <c r="D669" s="16" t="s">
        <v>1331</v>
      </c>
      <c r="E669" s="16" t="s">
        <v>806</v>
      </c>
      <c r="F669" s="16">
        <v>2023</v>
      </c>
      <c r="G669" s="16">
        <f t="shared" si="70"/>
        <v>1</v>
      </c>
      <c r="H669" s="16">
        <v>0</v>
      </c>
      <c r="I669" s="16">
        <f>IFERROR(INDEX('Coding Sheet'!$AC$2:$AC$731,MATCH($B669&amp;"_"&amp;$F669,'Coding Sheet'!$A$2:$A$731,0)),"")</f>
        <v>5</v>
      </c>
      <c r="J669" s="22">
        <f>IFERROR(INDEX('Coding Sheet'!$AT$2:$AT$731,MATCH($B669&amp;"_"&amp;$F669,'Coding Sheet'!$A$2:$A$731,0)),"")</f>
        <v>0</v>
      </c>
      <c r="K669" s="16">
        <v>273350000</v>
      </c>
      <c r="L669" s="16">
        <v>8.0848999999999993</v>
      </c>
      <c r="M669" s="16">
        <f t="shared" si="71"/>
        <v>2210007.415</v>
      </c>
      <c r="N669" s="16">
        <v>1437000</v>
      </c>
      <c r="O669" s="16">
        <v>112860</v>
      </c>
      <c r="P669" s="16">
        <v>61240</v>
      </c>
      <c r="Q669" s="16">
        <f t="shared" si="72"/>
        <v>32.314437488924334</v>
      </c>
      <c r="R669" s="16">
        <f t="shared" si="73"/>
        <v>11.63390339152313</v>
      </c>
      <c r="S669" s="16">
        <f t="shared" si="74"/>
        <v>12.732589048378522</v>
      </c>
      <c r="T669" s="16">
        <f t="shared" si="75"/>
        <v>0.54261917419812156</v>
      </c>
      <c r="U669" s="16">
        <f>IFERROR(IF(ISNUMBER(INDEX('Firm Master'!$E$2:$E$1000,MATCH($C669,'Firm Master'!$B$2:$B$1000,0))),INDEX('Firm Master'!$E$2:$E$1000,MATCH($C669,'Firm Master'!$B$2:$B$1000,0)),""),"")</f>
        <v>1984</v>
      </c>
      <c r="V669" s="16">
        <f t="shared" si="76"/>
        <v>39</v>
      </c>
      <c r="W669" s="16">
        <v>0</v>
      </c>
      <c r="X669" s="16" t="str">
        <f>IFERROR(INDEX('Firm Master'!$G$2:$G$1000,MATCH($C669,'Firm Master'!$B$2:$B$1000,0)),"")</f>
        <v>Felix Akinyeye &amp; Co.</v>
      </c>
    </row>
    <row r="670" spans="1:24" ht="27.75" customHeight="1" x14ac:dyDescent="0.3">
      <c r="A670" s="16">
        <v>669</v>
      </c>
      <c r="B670" s="16">
        <v>134</v>
      </c>
      <c r="C670" s="16" t="s">
        <v>1330</v>
      </c>
      <c r="D670" s="16" t="s">
        <v>1331</v>
      </c>
      <c r="E670" s="16" t="s">
        <v>806</v>
      </c>
      <c r="F670" s="16">
        <v>2024</v>
      </c>
      <c r="G670" s="16">
        <f t="shared" si="70"/>
        <v>1</v>
      </c>
      <c r="H670" s="16">
        <v>0</v>
      </c>
      <c r="I670" s="16">
        <f>IFERROR(INDEX('Coding Sheet'!$AC$2:$AC$731,MATCH($B670&amp;"_"&amp;$F670,'Coding Sheet'!$A$2:$A$731,0)),"")</f>
        <v>0</v>
      </c>
      <c r="J670" s="22">
        <f>IFERROR(INDEX('Coding Sheet'!$AT$2:$AT$731,MATCH($B670&amp;"_"&amp;$F670,'Coding Sheet'!$A$2:$A$731,0)),"")</f>
        <v>0</v>
      </c>
      <c r="K670" s="16">
        <v>273350000</v>
      </c>
      <c r="L670" s="16">
        <v>7.2069000000000001</v>
      </c>
      <c r="M670" s="16">
        <f t="shared" si="71"/>
        <v>1970006.115</v>
      </c>
      <c r="N670" s="16">
        <v>2204000</v>
      </c>
      <c r="O670" s="16">
        <v>775760</v>
      </c>
      <c r="P670" s="16">
        <v>-103760</v>
      </c>
      <c r="Q670" s="16">
        <f t="shared" si="72"/>
        <v>5.3805379434361145</v>
      </c>
      <c r="R670" s="16">
        <f t="shared" si="73"/>
        <v>13.561598472978428</v>
      </c>
      <c r="S670" s="16">
        <f t="shared" si="74"/>
        <v>2.8410848716097763</v>
      </c>
      <c r="T670" s="16">
        <f t="shared" si="75"/>
        <v>-0.13375270702279055</v>
      </c>
      <c r="U670" s="16">
        <f>IFERROR(IF(ISNUMBER(INDEX('Firm Master'!$E$2:$E$1000,MATCH($C670,'Firm Master'!$B$2:$B$1000,0))),INDEX('Firm Master'!$E$2:$E$1000,MATCH($C670,'Firm Master'!$B$2:$B$1000,0)),""),"")</f>
        <v>1984</v>
      </c>
      <c r="V670" s="16">
        <f t="shared" si="76"/>
        <v>40</v>
      </c>
      <c r="W670" s="16">
        <v>0</v>
      </c>
      <c r="X670" s="16" t="str">
        <f>IFERROR(INDEX('Firm Master'!$G$2:$G$1000,MATCH($C670,'Firm Master'!$B$2:$B$1000,0)),"")</f>
        <v>Felix Akinyeye &amp; Co.</v>
      </c>
    </row>
    <row r="671" spans="1:24" ht="27.75" customHeight="1" x14ac:dyDescent="0.3">
      <c r="A671" s="16">
        <v>670</v>
      </c>
      <c r="B671" s="16">
        <v>134</v>
      </c>
      <c r="C671" s="16" t="s">
        <v>1330</v>
      </c>
      <c r="D671" s="16" t="s">
        <v>1331</v>
      </c>
      <c r="E671" s="16" t="s">
        <v>806</v>
      </c>
      <c r="F671" s="16">
        <v>2025</v>
      </c>
      <c r="G671" s="16">
        <f t="shared" si="70"/>
        <v>1</v>
      </c>
      <c r="H671" s="16">
        <v>0</v>
      </c>
      <c r="I671" s="16">
        <f>IFERROR(INDEX('Coding Sheet'!$AC$2:$AC$731,MATCH($B671&amp;"_"&amp;$F671,'Coding Sheet'!$A$2:$A$731,0)),"")</f>
        <v>0</v>
      </c>
      <c r="J671" s="22">
        <f>IFERROR(INDEX('Coding Sheet'!$AT$2:$AT$731,MATCH($B671&amp;"_"&amp;$F671,'Coding Sheet'!$A$2:$A$731,0)),"")</f>
        <v>0</v>
      </c>
      <c r="K671" s="16">
        <v>273350000</v>
      </c>
      <c r="L671" s="16">
        <v>6.9142000000000001</v>
      </c>
      <c r="M671" s="16">
        <f t="shared" si="71"/>
        <v>1889996.57</v>
      </c>
      <c r="N671" s="16">
        <v>15955000</v>
      </c>
      <c r="O671" s="16">
        <v>14608000</v>
      </c>
      <c r="P671" s="16">
        <v>80780</v>
      </c>
      <c r="Q671" s="16">
        <f t="shared" si="72"/>
        <v>1.2215906742880613</v>
      </c>
      <c r="R671" s="16">
        <f t="shared" si="73"/>
        <v>16.497079881816887</v>
      </c>
      <c r="S671" s="16">
        <f t="shared" si="74"/>
        <v>1.092209748083242</v>
      </c>
      <c r="T671" s="16">
        <f t="shared" si="75"/>
        <v>5.5298466593647318E-3</v>
      </c>
      <c r="U671" s="16">
        <f>IFERROR(IF(ISNUMBER(INDEX('Firm Master'!$E$2:$E$1000,MATCH($C671,'Firm Master'!$B$2:$B$1000,0))),INDEX('Firm Master'!$E$2:$E$1000,MATCH($C671,'Firm Master'!$B$2:$B$1000,0)),""),"")</f>
        <v>1984</v>
      </c>
      <c r="V671" s="16">
        <f t="shared" si="76"/>
        <v>41</v>
      </c>
      <c r="W671" s="16">
        <v>0</v>
      </c>
      <c r="X671" s="16" t="str">
        <f>IFERROR(INDEX('Firm Master'!$G$2:$G$1000,MATCH($C671,'Firm Master'!$B$2:$B$1000,0)),"")</f>
        <v>Felix Akinyeye &amp; Co.</v>
      </c>
    </row>
    <row r="672" spans="1:24" ht="15" customHeight="1" x14ac:dyDescent="0.3">
      <c r="A672" s="11">
        <v>671</v>
      </c>
      <c r="B672" s="11">
        <v>135</v>
      </c>
      <c r="C672" s="11" t="s">
        <v>1335</v>
      </c>
      <c r="D672" s="11" t="s">
        <v>1336</v>
      </c>
      <c r="E672" s="11" t="s">
        <v>709</v>
      </c>
      <c r="F672" s="11">
        <v>2021</v>
      </c>
      <c r="G672" s="20">
        <f t="shared" si="70"/>
        <v>0</v>
      </c>
      <c r="H672" s="21">
        <v>0</v>
      </c>
      <c r="I672" s="21">
        <f>IFERROR(INDEX('Coding Sheet'!$AC$2:$AC$731,MATCH($B672&amp;"_"&amp;$F672,'Coding Sheet'!$A$2:$A$731,0)),"")</f>
        <v>0</v>
      </c>
      <c r="J672" s="7">
        <f>IFERROR(INDEX('Coding Sheet'!$AT$2:$AT$731,MATCH($B672&amp;"_"&amp;$F672,'Coding Sheet'!$A$2:$A$731,0)),"")</f>
        <v>0</v>
      </c>
      <c r="K672" s="21">
        <v>11689000000</v>
      </c>
      <c r="L672" s="21">
        <v>0.53979999999999995</v>
      </c>
      <c r="M672" s="20">
        <f t="shared" si="71"/>
        <v>6309722.1999999993</v>
      </c>
      <c r="N672" s="21">
        <v>815022000</v>
      </c>
      <c r="O672" s="21">
        <v>538869000</v>
      </c>
      <c r="P672" s="20">
        <v>3173000</v>
      </c>
      <c r="Q672" s="20">
        <f t="shared" si="72"/>
        <v>1.5241769747378306</v>
      </c>
      <c r="R672" s="20">
        <f t="shared" si="73"/>
        <v>20.104983056662</v>
      </c>
      <c r="S672" s="20">
        <f t="shared" si="74"/>
        <v>1.512467779738675</v>
      </c>
      <c r="T672" s="20">
        <f t="shared" si="75"/>
        <v>5.8882585563467191E-3</v>
      </c>
      <c r="U672" s="20">
        <f>IFERROR(IF(ISNUMBER(INDEX('Firm Master'!$E$2:$E$1000,MATCH($C672,'Firm Master'!$B$2:$B$1000,0))),INDEX('Firm Master'!$E$2:$E$1000,MATCH($C672,'Firm Master'!$B$2:$B$1000,0)),""),"")</f>
        <v>1987</v>
      </c>
      <c r="V672" s="21">
        <f t="shared" si="76"/>
        <v>34</v>
      </c>
      <c r="W672" s="21">
        <v>1</v>
      </c>
      <c r="X672" s="20" t="str">
        <f>IFERROR(INDEX('Firm Master'!$G$2:$G$1000,MATCH($C672,'Firm Master'!$B$2:$B$1000,0)),"")</f>
        <v>KPMG Professional Services</v>
      </c>
    </row>
    <row r="673" spans="1:24" ht="15" customHeight="1" x14ac:dyDescent="0.3">
      <c r="A673" s="11">
        <v>672</v>
      </c>
      <c r="B673" s="11">
        <v>135</v>
      </c>
      <c r="C673" s="11" t="s">
        <v>1335</v>
      </c>
      <c r="D673" s="11" t="s">
        <v>1336</v>
      </c>
      <c r="E673" s="11" t="s">
        <v>709</v>
      </c>
      <c r="F673" s="11">
        <v>2022</v>
      </c>
      <c r="G673" s="20">
        <f t="shared" si="70"/>
        <v>0</v>
      </c>
      <c r="H673" s="21">
        <v>0</v>
      </c>
      <c r="I673" s="21">
        <f>IFERROR(INDEX('Coding Sheet'!$AC$2:$AC$731,MATCH($B673&amp;"_"&amp;$F673,'Coding Sheet'!$A$2:$A$731,0)),"")</f>
        <v>5</v>
      </c>
      <c r="J673" s="7">
        <f>IFERROR(INDEX('Coding Sheet'!$AT$2:$AT$731,MATCH($B673&amp;"_"&amp;$F673,'Coding Sheet'!$A$2:$A$731,0)),"")</f>
        <v>0</v>
      </c>
      <c r="K673" s="21">
        <v>11689000000</v>
      </c>
      <c r="L673" s="21">
        <v>0.55010000000000003</v>
      </c>
      <c r="M673" s="20">
        <f t="shared" si="71"/>
        <v>6430118.9000000004</v>
      </c>
      <c r="N673" s="21">
        <v>785092000</v>
      </c>
      <c r="O673" s="21">
        <v>510144000</v>
      </c>
      <c r="P673" s="20">
        <v>941380</v>
      </c>
      <c r="Q673" s="20">
        <f t="shared" si="72"/>
        <v>1.551566065463869</v>
      </c>
      <c r="R673" s="20">
        <f t="shared" si="73"/>
        <v>20.050203596769734</v>
      </c>
      <c r="S673" s="20">
        <f t="shared" si="74"/>
        <v>1.5389615481119057</v>
      </c>
      <c r="T673" s="20">
        <f t="shared" si="75"/>
        <v>1.8453221051311002E-3</v>
      </c>
      <c r="U673" s="20">
        <f>IFERROR(IF(ISNUMBER(INDEX('Firm Master'!$E$2:$E$1000,MATCH($C673,'Firm Master'!$B$2:$B$1000,0))),INDEX('Firm Master'!$E$2:$E$1000,MATCH($C673,'Firm Master'!$B$2:$B$1000,0)),""),"")</f>
        <v>1987</v>
      </c>
      <c r="V673" s="21">
        <f t="shared" si="76"/>
        <v>35</v>
      </c>
      <c r="W673" s="21">
        <v>1</v>
      </c>
      <c r="X673" s="20" t="str">
        <f>IFERROR(INDEX('Firm Master'!$G$2:$G$1000,MATCH($C673,'Firm Master'!$B$2:$B$1000,0)),"")</f>
        <v>KPMG Professional Services</v>
      </c>
    </row>
    <row r="674" spans="1:24" ht="15" customHeight="1" x14ac:dyDescent="0.3">
      <c r="A674" s="11">
        <v>673</v>
      </c>
      <c r="B674" s="11">
        <v>135</v>
      </c>
      <c r="C674" s="11" t="s">
        <v>1335</v>
      </c>
      <c r="D674" s="11" t="s">
        <v>1336</v>
      </c>
      <c r="E674" s="11" t="s">
        <v>709</v>
      </c>
      <c r="F674" s="11">
        <v>2023</v>
      </c>
      <c r="G674" s="20">
        <f t="shared" si="70"/>
        <v>1</v>
      </c>
      <c r="H674" s="21">
        <v>0</v>
      </c>
      <c r="I674" s="21">
        <f>IFERROR(INDEX('Coding Sheet'!$AC$2:$AC$731,MATCH($B674&amp;"_"&amp;$F674,'Coding Sheet'!$A$2:$A$731,0)),"")</f>
        <v>5</v>
      </c>
      <c r="J674" s="7">
        <f>IFERROR(INDEX('Coding Sheet'!$AT$2:$AT$731,MATCH($B674&amp;"_"&amp;$F674,'Coding Sheet'!$A$2:$A$731,0)),"")</f>
        <v>0</v>
      </c>
      <c r="K674" s="21">
        <v>11689000000</v>
      </c>
      <c r="L674" s="21">
        <v>1.6203000000000001</v>
      </c>
      <c r="M674" s="20">
        <f t="shared" si="71"/>
        <v>18939686.699999999</v>
      </c>
      <c r="N674" s="21">
        <v>799458000</v>
      </c>
      <c r="O674" s="21">
        <v>472585000</v>
      </c>
      <c r="P674" s="20">
        <v>-62637000</v>
      </c>
      <c r="Q674" s="20">
        <f t="shared" si="72"/>
        <v>1.7317470649724389</v>
      </c>
      <c r="R674" s="20">
        <f t="shared" si="73"/>
        <v>19.973728182898949</v>
      </c>
      <c r="S674" s="20">
        <f t="shared" si="74"/>
        <v>1.6916702815366549</v>
      </c>
      <c r="T674" s="20">
        <f t="shared" si="75"/>
        <v>-0.13254123596813272</v>
      </c>
      <c r="U674" s="20">
        <f>IFERROR(IF(ISNUMBER(INDEX('Firm Master'!$E$2:$E$1000,MATCH($C674,'Firm Master'!$B$2:$B$1000,0))),INDEX('Firm Master'!$E$2:$E$1000,MATCH($C674,'Firm Master'!$B$2:$B$1000,0)),""),"")</f>
        <v>1987</v>
      </c>
      <c r="V674" s="21">
        <f t="shared" si="76"/>
        <v>36</v>
      </c>
      <c r="W674" s="21">
        <v>1</v>
      </c>
      <c r="X674" s="20" t="str">
        <f>IFERROR(INDEX('Firm Master'!$G$2:$G$1000,MATCH($C674,'Firm Master'!$B$2:$B$1000,0)),"")</f>
        <v>KPMG Professional Services</v>
      </c>
    </row>
    <row r="675" spans="1:24" ht="15" customHeight="1" x14ac:dyDescent="0.3">
      <c r="A675" s="11">
        <v>674</v>
      </c>
      <c r="B675" s="11">
        <v>135</v>
      </c>
      <c r="C675" s="11" t="s">
        <v>1335</v>
      </c>
      <c r="D675" s="11" t="s">
        <v>1336</v>
      </c>
      <c r="E675" s="11" t="s">
        <v>709</v>
      </c>
      <c r="F675" s="11">
        <v>2024</v>
      </c>
      <c r="G675" s="20">
        <f t="shared" si="70"/>
        <v>1</v>
      </c>
      <c r="H675" s="21">
        <v>0</v>
      </c>
      <c r="I675" s="21">
        <f>IFERROR(INDEX('Coding Sheet'!$AC$2:$AC$731,MATCH($B675&amp;"_"&amp;$F675,'Coding Sheet'!$A$2:$A$731,0)),"")</f>
        <v>0</v>
      </c>
      <c r="J675" s="7">
        <f>IFERROR(INDEX('Coding Sheet'!$AT$2:$AT$731,MATCH($B675&amp;"_"&amp;$F675,'Coding Sheet'!$A$2:$A$731,0)),"")</f>
        <v>0</v>
      </c>
      <c r="K675" s="21">
        <v>11689000000</v>
      </c>
      <c r="L675" s="21">
        <v>1.51</v>
      </c>
      <c r="M675" s="20">
        <f t="shared" si="71"/>
        <v>17650390</v>
      </c>
      <c r="N675" s="21">
        <v>861414000</v>
      </c>
      <c r="O675" s="21">
        <v>414708000</v>
      </c>
      <c r="P675" s="20">
        <v>-114912000</v>
      </c>
      <c r="Q675" s="20">
        <f t="shared" si="72"/>
        <v>2.1197189106552079</v>
      </c>
      <c r="R675" s="20">
        <f t="shared" si="73"/>
        <v>19.843085216084315</v>
      </c>
      <c r="S675" s="20">
        <f t="shared" si="74"/>
        <v>2.0771579038745336</v>
      </c>
      <c r="T675" s="20">
        <f t="shared" si="75"/>
        <v>-0.2770913510228884</v>
      </c>
      <c r="U675" s="20">
        <f>IFERROR(IF(ISNUMBER(INDEX('Firm Master'!$E$2:$E$1000,MATCH($C675,'Firm Master'!$B$2:$B$1000,0))),INDEX('Firm Master'!$E$2:$E$1000,MATCH($C675,'Firm Master'!$B$2:$B$1000,0)),""),"")</f>
        <v>1987</v>
      </c>
      <c r="V675" s="21">
        <f t="shared" si="76"/>
        <v>37</v>
      </c>
      <c r="W675" s="21">
        <v>1</v>
      </c>
      <c r="X675" s="20" t="str">
        <f>IFERROR(INDEX('Firm Master'!$G$2:$G$1000,MATCH($C675,'Firm Master'!$B$2:$B$1000,0)),"")</f>
        <v>KPMG Professional Services</v>
      </c>
    </row>
    <row r="676" spans="1:24" ht="15" customHeight="1" x14ac:dyDescent="0.3">
      <c r="A676" s="16">
        <v>675</v>
      </c>
      <c r="B676" s="16">
        <v>135</v>
      </c>
      <c r="C676" s="16" t="s">
        <v>1335</v>
      </c>
      <c r="D676" s="16" t="s">
        <v>1336</v>
      </c>
      <c r="E676" s="16" t="s">
        <v>709</v>
      </c>
      <c r="F676" s="16">
        <v>2025</v>
      </c>
      <c r="G676" s="16">
        <f t="shared" si="70"/>
        <v>1</v>
      </c>
      <c r="H676" s="16">
        <v>0</v>
      </c>
      <c r="I676" s="16" t="str">
        <f>IFERROR(INDEX('Coding Sheet'!$AC$2:$AC$731,MATCH($B676&amp;"_"&amp;$F676,'Coding Sheet'!$A$2:$A$731,0)),"")</f>
        <v/>
      </c>
      <c r="J676" s="22" t="str">
        <f>IFERROR(INDEX('Coding Sheet'!$AT$2:$AT$731,MATCH($B676&amp;"_"&amp;$F676,'Coding Sheet'!$A$2:$A$731,0)),"")</f>
        <v/>
      </c>
      <c r="K676" s="16"/>
      <c r="L676" s="16"/>
      <c r="M676" s="16" t="str">
        <f t="shared" si="71"/>
        <v/>
      </c>
      <c r="N676" s="16"/>
      <c r="O676" s="16"/>
      <c r="P676" s="16"/>
      <c r="Q676" s="16" t="str">
        <f t="shared" si="72"/>
        <v/>
      </c>
      <c r="R676" s="16" t="str">
        <f t="shared" si="73"/>
        <v/>
      </c>
      <c r="S676" s="16" t="str">
        <f t="shared" si="74"/>
        <v/>
      </c>
      <c r="T676" s="16" t="str">
        <f t="shared" si="75"/>
        <v/>
      </c>
      <c r="U676" s="16">
        <f>IFERROR(IF(ISNUMBER(INDEX('Firm Master'!$E$2:$E$1000,MATCH($C676,'Firm Master'!$B$2:$B$1000,0))),INDEX('Firm Master'!$E$2:$E$1000,MATCH($C676,'Firm Master'!$B$2:$B$1000,0)),""),"")</f>
        <v>1987</v>
      </c>
      <c r="V676" s="16">
        <f t="shared" si="76"/>
        <v>38</v>
      </c>
      <c r="W676" s="16"/>
      <c r="X676" s="16" t="str">
        <f>IFERROR(INDEX('Firm Master'!$G$2:$G$1000,MATCH($C676,'Firm Master'!$B$2:$B$1000,0)),"")</f>
        <v>KPMG Professional Services</v>
      </c>
    </row>
    <row r="677" spans="1:24" ht="15" customHeight="1" x14ac:dyDescent="0.3">
      <c r="A677" s="11">
        <v>676</v>
      </c>
      <c r="B677" s="11">
        <v>136</v>
      </c>
      <c r="C677" s="11" t="s">
        <v>1339</v>
      </c>
      <c r="D677" s="11" t="s">
        <v>1340</v>
      </c>
      <c r="E677" s="11" t="s">
        <v>709</v>
      </c>
      <c r="F677" s="11">
        <v>2021</v>
      </c>
      <c r="G677" s="20">
        <f t="shared" si="70"/>
        <v>0</v>
      </c>
      <c r="H677" s="21">
        <v>0</v>
      </c>
      <c r="I677" s="21">
        <f>IFERROR(INDEX('Coding Sheet'!$AC$2:$AC$731,MATCH($B677&amp;"_"&amp;$F677,'Coding Sheet'!$A$2:$A$731,0)),"")</f>
        <v>0</v>
      </c>
      <c r="J677" s="7">
        <f>IFERROR(INDEX('Coding Sheet'!$AT$2:$AT$731,MATCH($B677&amp;"_"&amp;$F677,'Coding Sheet'!$A$2:$A$731,0)),"")</f>
        <v>0</v>
      </c>
      <c r="K677" s="21">
        <v>16000000000</v>
      </c>
      <c r="L677" s="21">
        <v>0.2</v>
      </c>
      <c r="M677" s="20">
        <f t="shared" si="71"/>
        <v>3200000</v>
      </c>
      <c r="N677" s="21">
        <v>2318000</v>
      </c>
      <c r="O677" s="21">
        <v>12320000</v>
      </c>
      <c r="P677" s="20">
        <v>151430</v>
      </c>
      <c r="Q677" s="20">
        <f t="shared" si="72"/>
        <v>0.44788961038961039</v>
      </c>
      <c r="R677" s="20">
        <f t="shared" si="73"/>
        <v>16.326734516069649</v>
      </c>
      <c r="S677" s="20">
        <f t="shared" si="74"/>
        <v>0.18814935064935065</v>
      </c>
      <c r="T677" s="20">
        <f t="shared" si="75"/>
        <v>1.2291396103896103E-2</v>
      </c>
      <c r="U677" s="20">
        <f>IFERROR(IF(ISNUMBER(INDEX('Firm Master'!$E$2:$E$1000,MATCH($C677,'Firm Master'!$B$2:$B$1000,0))),INDEX('Firm Master'!$E$2:$E$1000,MATCH($C677,'Firm Master'!$B$2:$B$1000,0)),""),"")</f>
        <v>1961</v>
      </c>
      <c r="V677" s="21">
        <f t="shared" si="76"/>
        <v>60</v>
      </c>
      <c r="W677" s="21">
        <v>0</v>
      </c>
      <c r="X677" s="20" t="str">
        <f>IFERROR(INDEX('Firm Master'!$G$2:$G$1000,MATCH($C677,'Firm Master'!$B$2:$B$1000,0)),"")</f>
        <v>IKEJI &amp; CO</v>
      </c>
    </row>
    <row r="678" spans="1:24" ht="15" customHeight="1" x14ac:dyDescent="0.3">
      <c r="A678" s="11">
        <v>677</v>
      </c>
      <c r="B678" s="11">
        <v>136</v>
      </c>
      <c r="C678" s="11" t="s">
        <v>1339</v>
      </c>
      <c r="D678" s="11" t="s">
        <v>1340</v>
      </c>
      <c r="E678" s="11" t="s">
        <v>709</v>
      </c>
      <c r="F678" s="11">
        <v>2022</v>
      </c>
      <c r="G678" s="20">
        <f t="shared" si="70"/>
        <v>0</v>
      </c>
      <c r="H678" s="21">
        <v>0</v>
      </c>
      <c r="I678" s="21">
        <f>IFERROR(INDEX('Coding Sheet'!$AC$2:$AC$731,MATCH($B678&amp;"_"&amp;$F678,'Coding Sheet'!$A$2:$A$731,0)),"")</f>
        <v>0</v>
      </c>
      <c r="J678" s="7">
        <f>IFERROR(INDEX('Coding Sheet'!$AT$2:$AT$731,MATCH($B678&amp;"_"&amp;$F678,'Coding Sheet'!$A$2:$A$731,0)),"")</f>
        <v>0</v>
      </c>
      <c r="K678" s="21">
        <v>16000000000</v>
      </c>
      <c r="L678" s="21">
        <v>0.2</v>
      </c>
      <c r="M678" s="20">
        <f t="shared" si="71"/>
        <v>3200000</v>
      </c>
      <c r="N678" s="21">
        <v>3145000</v>
      </c>
      <c r="O678" s="21">
        <v>13487000</v>
      </c>
      <c r="P678" s="20">
        <v>314510</v>
      </c>
      <c r="Q678" s="20">
        <f t="shared" si="72"/>
        <v>0.47045302884258916</v>
      </c>
      <c r="R678" s="20">
        <f t="shared" si="73"/>
        <v>16.417236816498995</v>
      </c>
      <c r="S678" s="20">
        <f t="shared" si="74"/>
        <v>0.23318751390227627</v>
      </c>
      <c r="T678" s="20">
        <f t="shared" si="75"/>
        <v>2.3319492844961816E-2</v>
      </c>
      <c r="U678" s="20">
        <f>IFERROR(IF(ISNUMBER(INDEX('Firm Master'!$E$2:$E$1000,MATCH($C678,'Firm Master'!$B$2:$B$1000,0))),INDEX('Firm Master'!$E$2:$E$1000,MATCH($C678,'Firm Master'!$B$2:$B$1000,0)),""),"")</f>
        <v>1961</v>
      </c>
      <c r="V678" s="21">
        <f t="shared" si="76"/>
        <v>61</v>
      </c>
      <c r="W678" s="21">
        <v>0</v>
      </c>
      <c r="X678" s="20" t="str">
        <f>IFERROR(INDEX('Firm Master'!$G$2:$G$1000,MATCH($C678,'Firm Master'!$B$2:$B$1000,0)),"")</f>
        <v>IKEJI &amp; CO</v>
      </c>
    </row>
    <row r="679" spans="1:24" ht="15" customHeight="1" x14ac:dyDescent="0.3">
      <c r="A679" s="11">
        <v>678</v>
      </c>
      <c r="B679" s="11">
        <v>136</v>
      </c>
      <c r="C679" s="11" t="s">
        <v>1339</v>
      </c>
      <c r="D679" s="11" t="s">
        <v>1340</v>
      </c>
      <c r="E679" s="11" t="s">
        <v>709</v>
      </c>
      <c r="F679" s="11">
        <v>2023</v>
      </c>
      <c r="G679" s="20">
        <f t="shared" si="70"/>
        <v>1</v>
      </c>
      <c r="H679" s="21">
        <v>0</v>
      </c>
      <c r="I679" s="21">
        <f>IFERROR(INDEX('Coding Sheet'!$AC$2:$AC$731,MATCH($B679&amp;"_"&amp;$F679,'Coding Sheet'!$A$2:$A$731,0)),"")</f>
        <v>0</v>
      </c>
      <c r="J679" s="7">
        <f>IFERROR(INDEX('Coding Sheet'!$AT$2:$AT$731,MATCH($B679&amp;"_"&amp;$F679,'Coding Sheet'!$A$2:$A$731,0)),"")</f>
        <v>0</v>
      </c>
      <c r="K679" s="21">
        <v>16000000000</v>
      </c>
      <c r="L679" s="21">
        <v>0.26</v>
      </c>
      <c r="M679" s="20">
        <f t="shared" si="71"/>
        <v>4160000</v>
      </c>
      <c r="N679" s="21">
        <v>4898000</v>
      </c>
      <c r="O679" s="21">
        <v>17122000</v>
      </c>
      <c r="P679" s="20">
        <v>530060</v>
      </c>
      <c r="Q679" s="20">
        <f t="shared" si="72"/>
        <v>0.52902698282910876</v>
      </c>
      <c r="R679" s="20">
        <f t="shared" si="73"/>
        <v>16.655874744284567</v>
      </c>
      <c r="S679" s="20">
        <f t="shared" si="74"/>
        <v>0.28606471206634737</v>
      </c>
      <c r="T679" s="20">
        <f t="shared" si="75"/>
        <v>3.0957832028968579E-2</v>
      </c>
      <c r="U679" s="20">
        <f>IFERROR(IF(ISNUMBER(INDEX('Firm Master'!$E$2:$E$1000,MATCH($C679,'Firm Master'!$B$2:$B$1000,0))),INDEX('Firm Master'!$E$2:$E$1000,MATCH($C679,'Firm Master'!$B$2:$B$1000,0)),""),"")</f>
        <v>1961</v>
      </c>
      <c r="V679" s="21">
        <f t="shared" si="76"/>
        <v>62</v>
      </c>
      <c r="W679" s="21">
        <v>0</v>
      </c>
      <c r="X679" s="20" t="str">
        <f>IFERROR(INDEX('Firm Master'!$G$2:$G$1000,MATCH($C679,'Firm Master'!$B$2:$B$1000,0)),"")</f>
        <v>IKEJI &amp; CO</v>
      </c>
    </row>
    <row r="680" spans="1:24" ht="15" customHeight="1" x14ac:dyDescent="0.3">
      <c r="A680" s="11">
        <v>679</v>
      </c>
      <c r="B680" s="11">
        <v>136</v>
      </c>
      <c r="C680" s="11" t="s">
        <v>1339</v>
      </c>
      <c r="D680" s="11" t="s">
        <v>1340</v>
      </c>
      <c r="E680" s="11" t="s">
        <v>709</v>
      </c>
      <c r="F680" s="11">
        <v>2024</v>
      </c>
      <c r="G680" s="20">
        <f t="shared" si="70"/>
        <v>1</v>
      </c>
      <c r="H680" s="21">
        <v>0</v>
      </c>
      <c r="I680" s="21">
        <f>IFERROR(INDEX('Coding Sheet'!$AC$2:$AC$731,MATCH($B680&amp;"_"&amp;$F680,'Coding Sheet'!$A$2:$A$731,0)),"")</f>
        <v>0</v>
      </c>
      <c r="J680" s="7">
        <f>IFERROR(INDEX('Coding Sheet'!$AT$2:$AT$731,MATCH($B680&amp;"_"&amp;$F680,'Coding Sheet'!$A$2:$A$731,0)),"")</f>
        <v>0</v>
      </c>
      <c r="K680" s="21">
        <v>16000000000</v>
      </c>
      <c r="L680" s="21">
        <v>0.66</v>
      </c>
      <c r="M680" s="20">
        <f t="shared" si="71"/>
        <v>10560000</v>
      </c>
      <c r="N680" s="21">
        <v>7225000</v>
      </c>
      <c r="O680" s="21">
        <v>22194000</v>
      </c>
      <c r="P680" s="20">
        <v>1941000</v>
      </c>
      <c r="Q680" s="20">
        <f t="shared" si="72"/>
        <v>0.80134270523564932</v>
      </c>
      <c r="R680" s="20">
        <f t="shared" si="73"/>
        <v>16.915332540042645</v>
      </c>
      <c r="S680" s="20">
        <f t="shared" si="74"/>
        <v>0.32553843381093989</v>
      </c>
      <c r="T680" s="20">
        <f t="shared" si="75"/>
        <v>8.7456069207894019E-2</v>
      </c>
      <c r="U680" s="20">
        <f>IFERROR(IF(ISNUMBER(INDEX('Firm Master'!$E$2:$E$1000,MATCH($C680,'Firm Master'!$B$2:$B$1000,0))),INDEX('Firm Master'!$E$2:$E$1000,MATCH($C680,'Firm Master'!$B$2:$B$1000,0)),""),"")</f>
        <v>1961</v>
      </c>
      <c r="V680" s="21">
        <f t="shared" si="76"/>
        <v>63</v>
      </c>
      <c r="W680" s="21">
        <v>0</v>
      </c>
      <c r="X680" s="20" t="str">
        <f>IFERROR(INDEX('Firm Master'!$G$2:$G$1000,MATCH($C680,'Firm Master'!$B$2:$B$1000,0)),"")</f>
        <v>IKEJI &amp; CO</v>
      </c>
    </row>
    <row r="681" spans="1:24" ht="15" customHeight="1" x14ac:dyDescent="0.3">
      <c r="A681" s="11">
        <v>680</v>
      </c>
      <c r="B681" s="11">
        <v>136</v>
      </c>
      <c r="C681" s="11" t="s">
        <v>1339</v>
      </c>
      <c r="D681" s="11" t="s">
        <v>1340</v>
      </c>
      <c r="E681" s="11" t="s">
        <v>709</v>
      </c>
      <c r="F681" s="11">
        <v>2025</v>
      </c>
      <c r="G681" s="20">
        <f t="shared" si="70"/>
        <v>1</v>
      </c>
      <c r="H681" s="21">
        <v>0</v>
      </c>
      <c r="I681" s="21">
        <f>IFERROR(INDEX('Coding Sheet'!$AC$2:$AC$731,MATCH($B681&amp;"_"&amp;$F681,'Coding Sheet'!$A$2:$A$731,0)),"")</f>
        <v>5</v>
      </c>
      <c r="J681" s="7">
        <f>IFERROR(INDEX('Coding Sheet'!$AT$2:$AT$731,MATCH($B681&amp;"_"&amp;$F681,'Coding Sheet'!$A$2:$A$731,0)),"")</f>
        <v>0</v>
      </c>
      <c r="K681" s="21">
        <v>16000000000</v>
      </c>
      <c r="L681" s="21">
        <v>1.21</v>
      </c>
      <c r="M681" s="20">
        <f t="shared" si="71"/>
        <v>19360000</v>
      </c>
      <c r="N681" s="21">
        <v>9302000</v>
      </c>
      <c r="O681" s="21">
        <v>28307000</v>
      </c>
      <c r="P681" s="20">
        <v>4495000</v>
      </c>
      <c r="Q681" s="20">
        <f t="shared" si="72"/>
        <v>1.0125410675804571</v>
      </c>
      <c r="R681" s="20">
        <f t="shared" si="73"/>
        <v>17.158619681850862</v>
      </c>
      <c r="S681" s="20">
        <f t="shared" si="74"/>
        <v>0.32861129755890767</v>
      </c>
      <c r="T681" s="20">
        <f t="shared" si="75"/>
        <v>0.15879464443423888</v>
      </c>
      <c r="U681" s="20">
        <f>IFERROR(IF(ISNUMBER(INDEX('Firm Master'!$E$2:$E$1000,MATCH($C681,'Firm Master'!$B$2:$B$1000,0))),INDEX('Firm Master'!$E$2:$E$1000,MATCH($C681,'Firm Master'!$B$2:$B$1000,0)),""),"")</f>
        <v>1961</v>
      </c>
      <c r="V681" s="21">
        <f t="shared" si="76"/>
        <v>64</v>
      </c>
      <c r="W681" s="21">
        <v>0</v>
      </c>
      <c r="X681" s="20" t="str">
        <f>IFERROR(INDEX('Firm Master'!$G$2:$G$1000,MATCH($C681,'Firm Master'!$B$2:$B$1000,0)),"")</f>
        <v>IKEJI &amp; CO</v>
      </c>
    </row>
    <row r="682" spans="1:24" ht="27.75" customHeight="1" x14ac:dyDescent="0.3">
      <c r="A682" s="11">
        <v>681</v>
      </c>
      <c r="B682" s="11">
        <v>137</v>
      </c>
      <c r="C682" s="11" t="s">
        <v>1345</v>
      </c>
      <c r="D682" s="11" t="s">
        <v>1346</v>
      </c>
      <c r="E682" s="11" t="s">
        <v>780</v>
      </c>
      <c r="F682" s="11">
        <v>2021</v>
      </c>
      <c r="G682" s="20">
        <f t="shared" si="70"/>
        <v>0</v>
      </c>
      <c r="H682" s="21">
        <v>0</v>
      </c>
      <c r="I682" s="21">
        <f>IFERROR(INDEX('Coding Sheet'!$AC$2:$AC$731,MATCH($B682&amp;"_"&amp;$F682,'Coding Sheet'!$A$2:$A$731,0)),"")</f>
        <v>0</v>
      </c>
      <c r="J682" s="7">
        <f>IFERROR(INDEX('Coding Sheet'!$AT$2:$AT$731,MATCH($B682&amp;"_"&amp;$F682,'Coding Sheet'!$A$2:$A$731,0)),"")</f>
        <v>0</v>
      </c>
      <c r="K682" s="21">
        <v>18560000000</v>
      </c>
      <c r="L682" s="21">
        <v>1.1901999999999999</v>
      </c>
      <c r="M682" s="20">
        <f t="shared" si="71"/>
        <v>22090112</v>
      </c>
      <c r="N682" s="21">
        <v>11501000</v>
      </c>
      <c r="O682" s="21">
        <v>19595000</v>
      </c>
      <c r="P682" s="20">
        <v>-1928000</v>
      </c>
      <c r="Q682" s="20">
        <f t="shared" si="72"/>
        <v>1.7142695585608574</v>
      </c>
      <c r="R682" s="20">
        <f t="shared" si="73"/>
        <v>16.790784989615869</v>
      </c>
      <c r="S682" s="20">
        <f t="shared" si="74"/>
        <v>0.58693544271497833</v>
      </c>
      <c r="T682" s="20">
        <f t="shared" si="75"/>
        <v>-9.839244705281959E-2</v>
      </c>
      <c r="U682" s="20">
        <f>IFERROR(IF(ISNUMBER(INDEX('Firm Master'!$E$2:$E$1000,MATCH($C682,'Firm Master'!$B$2:$B$1000,0))),INDEX('Firm Master'!$E$2:$E$1000,MATCH($C682,'Firm Master'!$B$2:$B$1000,0)),""),"")</f>
        <v>1997</v>
      </c>
      <c r="V682" s="21">
        <f t="shared" si="76"/>
        <v>24</v>
      </c>
      <c r="W682" s="21">
        <v>0</v>
      </c>
      <c r="X682" s="20" t="str">
        <f>IFERROR(INDEX('Firm Master'!$G$2:$G$1000,MATCH($C682,'Firm Master'!$B$2:$B$1000,0)),"")</f>
        <v>UNRESOLVED</v>
      </c>
    </row>
    <row r="683" spans="1:24" ht="27.75" customHeight="1" x14ac:dyDescent="0.3">
      <c r="A683" s="11">
        <v>682</v>
      </c>
      <c r="B683" s="11">
        <v>137</v>
      </c>
      <c r="C683" s="11" t="s">
        <v>1345</v>
      </c>
      <c r="D683" s="11" t="s">
        <v>1346</v>
      </c>
      <c r="E683" s="11" t="s">
        <v>780</v>
      </c>
      <c r="F683" s="11">
        <v>2022</v>
      </c>
      <c r="G683" s="20">
        <f t="shared" si="70"/>
        <v>0</v>
      </c>
      <c r="H683" s="21">
        <v>0</v>
      </c>
      <c r="I683" s="21">
        <f>IFERROR(INDEX('Coding Sheet'!$AC$2:$AC$731,MATCH($B683&amp;"_"&amp;$F683,'Coding Sheet'!$A$2:$A$731,0)),"")</f>
        <v>0</v>
      </c>
      <c r="J683" s="7">
        <f>IFERROR(INDEX('Coding Sheet'!$AT$2:$AT$731,MATCH($B683&amp;"_"&amp;$F683,'Coding Sheet'!$A$2:$A$731,0)),"")</f>
        <v>0</v>
      </c>
      <c r="K683" s="21">
        <v>18560000000</v>
      </c>
      <c r="L683" s="21">
        <v>0.91</v>
      </c>
      <c r="M683" s="20">
        <f t="shared" si="71"/>
        <v>16889600</v>
      </c>
      <c r="N683" s="21">
        <v>11238000</v>
      </c>
      <c r="O683" s="21">
        <v>19428000</v>
      </c>
      <c r="P683" s="20">
        <v>159660</v>
      </c>
      <c r="Q683" s="20">
        <f t="shared" si="72"/>
        <v>1.447786699608812</v>
      </c>
      <c r="R683" s="20">
        <f t="shared" si="73"/>
        <v>16.782225882447772</v>
      </c>
      <c r="S683" s="20">
        <f t="shared" si="74"/>
        <v>0.57844348363187148</v>
      </c>
      <c r="T683" s="20">
        <f t="shared" si="75"/>
        <v>8.2180358245830757E-3</v>
      </c>
      <c r="U683" s="20">
        <f>IFERROR(IF(ISNUMBER(INDEX('Firm Master'!$E$2:$E$1000,MATCH($C683,'Firm Master'!$B$2:$B$1000,0))),INDEX('Firm Master'!$E$2:$E$1000,MATCH($C683,'Firm Master'!$B$2:$B$1000,0)),""),"")</f>
        <v>1997</v>
      </c>
      <c r="V683" s="21">
        <f t="shared" si="76"/>
        <v>25</v>
      </c>
      <c r="W683" s="21">
        <v>0</v>
      </c>
      <c r="X683" s="20" t="str">
        <f>IFERROR(INDEX('Firm Master'!$G$2:$G$1000,MATCH($C683,'Firm Master'!$B$2:$B$1000,0)),"")</f>
        <v>UNRESOLVED</v>
      </c>
    </row>
    <row r="684" spans="1:24" ht="27.75" customHeight="1" x14ac:dyDescent="0.3">
      <c r="A684" s="11">
        <v>683</v>
      </c>
      <c r="B684" s="11">
        <v>137</v>
      </c>
      <c r="C684" s="11" t="s">
        <v>1345</v>
      </c>
      <c r="D684" s="11" t="s">
        <v>1346</v>
      </c>
      <c r="E684" s="11" t="s">
        <v>780</v>
      </c>
      <c r="F684" s="11">
        <v>2023</v>
      </c>
      <c r="G684" s="20">
        <f t="shared" si="70"/>
        <v>1</v>
      </c>
      <c r="H684" s="21">
        <v>0</v>
      </c>
      <c r="I684" s="21">
        <f>IFERROR(INDEX('Coding Sheet'!$AC$2:$AC$731,MATCH($B684&amp;"_"&amp;$F684,'Coding Sheet'!$A$2:$A$731,0)),"")</f>
        <v>0</v>
      </c>
      <c r="J684" s="7">
        <f>IFERROR(INDEX('Coding Sheet'!$AT$2:$AT$731,MATCH($B684&amp;"_"&amp;$F684,'Coding Sheet'!$A$2:$A$731,0)),"")</f>
        <v>0</v>
      </c>
      <c r="K684" s="21">
        <v>18560000000</v>
      </c>
      <c r="L684" s="21">
        <v>1.2802</v>
      </c>
      <c r="M684" s="20">
        <f t="shared" si="71"/>
        <v>23760512</v>
      </c>
      <c r="N684" s="21">
        <v>10829000</v>
      </c>
      <c r="O684" s="21">
        <v>19664000</v>
      </c>
      <c r="P684" s="20">
        <v>253510</v>
      </c>
      <c r="Q684" s="20">
        <f t="shared" si="72"/>
        <v>1.7590272579332791</v>
      </c>
      <c r="R684" s="20">
        <f t="shared" si="73"/>
        <v>16.794300110787955</v>
      </c>
      <c r="S684" s="20">
        <f t="shared" si="74"/>
        <v>0.55070179007323028</v>
      </c>
      <c r="T684" s="20">
        <f t="shared" si="75"/>
        <v>1.2892087062652564E-2</v>
      </c>
      <c r="U684" s="20">
        <f>IFERROR(IF(ISNUMBER(INDEX('Firm Master'!$E$2:$E$1000,MATCH($C684,'Firm Master'!$B$2:$B$1000,0))),INDEX('Firm Master'!$E$2:$E$1000,MATCH($C684,'Firm Master'!$B$2:$B$1000,0)),""),"")</f>
        <v>1997</v>
      </c>
      <c r="V684" s="21">
        <f t="shared" si="76"/>
        <v>26</v>
      </c>
      <c r="W684" s="21">
        <v>0</v>
      </c>
      <c r="X684" s="20" t="str">
        <f>IFERROR(INDEX('Firm Master'!$G$2:$G$1000,MATCH($C684,'Firm Master'!$B$2:$B$1000,0)),"")</f>
        <v>UNRESOLVED</v>
      </c>
    </row>
    <row r="685" spans="1:24" ht="27.75" customHeight="1" x14ac:dyDescent="0.3">
      <c r="A685" s="11">
        <v>684</v>
      </c>
      <c r="B685" s="11">
        <v>137</v>
      </c>
      <c r="C685" s="11" t="s">
        <v>1345</v>
      </c>
      <c r="D685" s="11" t="s">
        <v>1346</v>
      </c>
      <c r="E685" s="11" t="s">
        <v>780</v>
      </c>
      <c r="F685" s="11">
        <v>2024</v>
      </c>
      <c r="G685" s="20">
        <f t="shared" si="70"/>
        <v>1</v>
      </c>
      <c r="H685" s="21">
        <v>0</v>
      </c>
      <c r="I685" s="21">
        <f>IFERROR(INDEX('Coding Sheet'!$AC$2:$AC$731,MATCH($B685&amp;"_"&amp;$F685,'Coding Sheet'!$A$2:$A$731,0)),"")</f>
        <v>0</v>
      </c>
      <c r="J685" s="7">
        <f>IFERROR(INDEX('Coding Sheet'!$AT$2:$AT$731,MATCH($B685&amp;"_"&amp;$F685,'Coding Sheet'!$A$2:$A$731,0)),"")</f>
        <v>0</v>
      </c>
      <c r="K685" s="21">
        <v>18560000000</v>
      </c>
      <c r="L685" s="21">
        <v>1.59</v>
      </c>
      <c r="M685" s="20">
        <f t="shared" si="71"/>
        <v>29510400</v>
      </c>
      <c r="N685" s="21">
        <v>21503000</v>
      </c>
      <c r="O685" s="21">
        <v>30988000</v>
      </c>
      <c r="P685" s="20">
        <v>432190</v>
      </c>
      <c r="Q685" s="20">
        <f t="shared" si="72"/>
        <v>1.6462307990189751</v>
      </c>
      <c r="R685" s="20">
        <f t="shared" si="73"/>
        <v>17.249110590733931</v>
      </c>
      <c r="S685" s="20">
        <f t="shared" si="74"/>
        <v>0.69391377307344781</v>
      </c>
      <c r="T685" s="20">
        <f t="shared" si="75"/>
        <v>1.394701174648251E-2</v>
      </c>
      <c r="U685" s="20">
        <f>IFERROR(IF(ISNUMBER(INDEX('Firm Master'!$E$2:$E$1000,MATCH($C685,'Firm Master'!$B$2:$B$1000,0))),INDEX('Firm Master'!$E$2:$E$1000,MATCH($C685,'Firm Master'!$B$2:$B$1000,0)),""),"")</f>
        <v>1997</v>
      </c>
      <c r="V685" s="21">
        <f t="shared" si="76"/>
        <v>27</v>
      </c>
      <c r="W685" s="21">
        <v>0</v>
      </c>
      <c r="X685" s="20" t="str">
        <f>IFERROR(INDEX('Firm Master'!$G$2:$G$1000,MATCH($C685,'Firm Master'!$B$2:$B$1000,0)),"")</f>
        <v>UNRESOLVED</v>
      </c>
    </row>
    <row r="686" spans="1:24" ht="27.75" customHeight="1" x14ac:dyDescent="0.3">
      <c r="A686" s="11">
        <v>685</v>
      </c>
      <c r="B686" s="11">
        <v>137</v>
      </c>
      <c r="C686" s="11" t="s">
        <v>1345</v>
      </c>
      <c r="D686" s="11" t="s">
        <v>1346</v>
      </c>
      <c r="E686" s="11" t="s">
        <v>780</v>
      </c>
      <c r="F686" s="11">
        <v>2025</v>
      </c>
      <c r="G686" s="20">
        <f t="shared" si="70"/>
        <v>1</v>
      </c>
      <c r="H686" s="21">
        <v>0</v>
      </c>
      <c r="I686" s="21">
        <f>IFERROR(INDEX('Coding Sheet'!$AC$2:$AC$731,MATCH($B686&amp;"_"&amp;$F686,'Coding Sheet'!$A$2:$A$731,0)),"")</f>
        <v>0</v>
      </c>
      <c r="J686" s="7">
        <f>IFERROR(INDEX('Coding Sheet'!$AT$2:$AT$731,MATCH($B686&amp;"_"&amp;$F686,'Coding Sheet'!$A$2:$A$731,0)),"")</f>
        <v>0</v>
      </c>
      <c r="K686" s="21">
        <v>18560000000</v>
      </c>
      <c r="L686" s="21">
        <v>4.8997999999999999</v>
      </c>
      <c r="M686" s="20">
        <f t="shared" si="71"/>
        <v>90940288</v>
      </c>
      <c r="N686" s="21">
        <v>18538000</v>
      </c>
      <c r="O686" s="21">
        <v>29989000</v>
      </c>
      <c r="P686" s="20">
        <v>974620</v>
      </c>
      <c r="Q686" s="20">
        <f t="shared" si="72"/>
        <v>3.6506148254359934</v>
      </c>
      <c r="R686" s="20">
        <f t="shared" si="73"/>
        <v>17.216341205721104</v>
      </c>
      <c r="S686" s="20">
        <f t="shared" si="74"/>
        <v>0.61815999199706562</v>
      </c>
      <c r="T686" s="20">
        <f t="shared" si="75"/>
        <v>3.2499249724899128E-2</v>
      </c>
      <c r="U686" s="20">
        <f>IFERROR(IF(ISNUMBER(INDEX('Firm Master'!$E$2:$E$1000,MATCH($C686,'Firm Master'!$B$2:$B$1000,0))),INDEX('Firm Master'!$E$2:$E$1000,MATCH($C686,'Firm Master'!$B$2:$B$1000,0)),""),"")</f>
        <v>1997</v>
      </c>
      <c r="V686" s="21">
        <f t="shared" si="76"/>
        <v>28</v>
      </c>
      <c r="W686" s="21">
        <v>0</v>
      </c>
      <c r="X686" s="20" t="str">
        <f>IFERROR(INDEX('Firm Master'!$G$2:$G$1000,MATCH($C686,'Firm Master'!$B$2:$B$1000,0)),"")</f>
        <v>UNRESOLVED</v>
      </c>
    </row>
    <row r="687" spans="1:24" ht="27.75" customHeight="1" x14ac:dyDescent="0.3">
      <c r="A687" s="16">
        <v>686</v>
      </c>
      <c r="B687" s="16">
        <v>138</v>
      </c>
      <c r="C687" s="16" t="s">
        <v>1350</v>
      </c>
      <c r="D687" s="16" t="s">
        <v>1351</v>
      </c>
      <c r="E687" s="16" t="s">
        <v>780</v>
      </c>
      <c r="F687" s="16">
        <v>2021</v>
      </c>
      <c r="G687" s="16">
        <f t="shared" si="70"/>
        <v>0</v>
      </c>
      <c r="H687" s="16">
        <v>0</v>
      </c>
      <c r="I687" s="16">
        <f>IFERROR(INDEX('Coding Sheet'!$AC$2:$AC$731,MATCH($B687&amp;"_"&amp;$F687,'Coding Sheet'!$A$2:$A$731,0)),"")</f>
        <v>0</v>
      </c>
      <c r="J687" s="22">
        <f>IFERROR(INDEX('Coding Sheet'!$AT$2:$AT$731,MATCH($B687&amp;"_"&amp;$F687,'Coding Sheet'!$A$2:$A$731,0)),"")</f>
        <v>0</v>
      </c>
      <c r="K687" s="16">
        <v>2668000000</v>
      </c>
      <c r="L687" s="16">
        <v>4.4489999999999998</v>
      </c>
      <c r="M687" s="16">
        <f t="shared" si="71"/>
        <v>11869932</v>
      </c>
      <c r="N687" s="16">
        <v>892210</v>
      </c>
      <c r="O687" s="16">
        <v>25821000</v>
      </c>
      <c r="P687" s="16">
        <v>-4480000</v>
      </c>
      <c r="Q687" s="16">
        <f t="shared" si="72"/>
        <v>0.49425436660082878</v>
      </c>
      <c r="R687" s="16">
        <f t="shared" si="73"/>
        <v>17.066698672299722</v>
      </c>
      <c r="S687" s="16">
        <f t="shared" si="74"/>
        <v>3.4553657875372762E-2</v>
      </c>
      <c r="T687" s="16">
        <f t="shared" si="75"/>
        <v>-0.17350218814143525</v>
      </c>
      <c r="U687" s="16">
        <f>IFERROR(IF(ISNUMBER(INDEX('Firm Master'!$E$2:$E$1000,MATCH($C687,'Firm Master'!$B$2:$B$1000,0))),INDEX('Firm Master'!$E$2:$E$1000,MATCH($C687,'Firm Master'!$B$2:$B$1000,0)),""),"")</f>
        <v>2013</v>
      </c>
      <c r="V687" s="16">
        <f t="shared" si="76"/>
        <v>8</v>
      </c>
      <c r="W687" s="16">
        <v>0</v>
      </c>
      <c r="X687" s="16" t="str">
        <f>IFERROR(INDEX('Firm Master'!$G$2:$G$1000,MATCH($C687,'Firm Master'!$B$2:$B$1000,0)),"")</f>
        <v>Forvis Mazars</v>
      </c>
    </row>
    <row r="688" spans="1:24" ht="27.75" customHeight="1" x14ac:dyDescent="0.3">
      <c r="A688" s="16">
        <v>687</v>
      </c>
      <c r="B688" s="16">
        <v>138</v>
      </c>
      <c r="C688" s="16" t="s">
        <v>1350</v>
      </c>
      <c r="D688" s="16" t="s">
        <v>1351</v>
      </c>
      <c r="E688" s="16" t="s">
        <v>780</v>
      </c>
      <c r="F688" s="16">
        <v>2022</v>
      </c>
      <c r="G688" s="16">
        <f t="shared" si="70"/>
        <v>0</v>
      </c>
      <c r="H688" s="16">
        <v>0</v>
      </c>
      <c r="I688" s="16">
        <f>IFERROR(INDEX('Coding Sheet'!$AC$2:$AC$731,MATCH($B688&amp;"_"&amp;$F688,'Coding Sheet'!$A$2:$A$731,0)),"")</f>
        <v>0</v>
      </c>
      <c r="J688" s="22">
        <f>IFERROR(INDEX('Coding Sheet'!$AT$2:$AT$731,MATCH($B688&amp;"_"&amp;$F688,'Coding Sheet'!$A$2:$A$731,0)),"")</f>
        <v>0</v>
      </c>
      <c r="K688" s="16">
        <v>2668000000</v>
      </c>
      <c r="L688" s="16">
        <v>2.9984999999999999</v>
      </c>
      <c r="M688" s="16">
        <f t="shared" si="71"/>
        <v>7999998</v>
      </c>
      <c r="N688" s="16">
        <v>650260</v>
      </c>
      <c r="O688" s="16">
        <v>26773000</v>
      </c>
      <c r="P688" s="16">
        <v>1677000</v>
      </c>
      <c r="Q688" s="16">
        <f t="shared" si="72"/>
        <v>0.3230963283905427</v>
      </c>
      <c r="R688" s="16">
        <f t="shared" si="73"/>
        <v>17.102904474962877</v>
      </c>
      <c r="S688" s="16">
        <f t="shared" si="74"/>
        <v>2.4287901990811638E-2</v>
      </c>
      <c r="T688" s="16">
        <f t="shared" si="75"/>
        <v>6.263773204347664E-2</v>
      </c>
      <c r="U688" s="16">
        <f>IFERROR(IF(ISNUMBER(INDEX('Firm Master'!$E$2:$E$1000,MATCH($C688,'Firm Master'!$B$2:$B$1000,0))),INDEX('Firm Master'!$E$2:$E$1000,MATCH($C688,'Firm Master'!$B$2:$B$1000,0)),""),"")</f>
        <v>2013</v>
      </c>
      <c r="V688" s="16">
        <f t="shared" si="76"/>
        <v>9</v>
      </c>
      <c r="W688" s="16">
        <v>0</v>
      </c>
      <c r="X688" s="16" t="str">
        <f>IFERROR(INDEX('Firm Master'!$G$2:$G$1000,MATCH($C688,'Firm Master'!$B$2:$B$1000,0)),"")</f>
        <v>Forvis Mazars</v>
      </c>
    </row>
    <row r="689" spans="1:24" ht="27.75" customHeight="1" x14ac:dyDescent="0.3">
      <c r="A689" s="16">
        <v>688</v>
      </c>
      <c r="B689" s="16">
        <v>138</v>
      </c>
      <c r="C689" s="16" t="s">
        <v>1350</v>
      </c>
      <c r="D689" s="16" t="s">
        <v>1351</v>
      </c>
      <c r="E689" s="16" t="s">
        <v>780</v>
      </c>
      <c r="F689" s="16">
        <v>2023</v>
      </c>
      <c r="G689" s="16">
        <f t="shared" si="70"/>
        <v>1</v>
      </c>
      <c r="H689" s="16">
        <v>0</v>
      </c>
      <c r="I689" s="16">
        <f>IFERROR(INDEX('Coding Sheet'!$AC$2:$AC$731,MATCH($B689&amp;"_"&amp;$F689,'Coding Sheet'!$A$2:$A$731,0)),"")</f>
        <v>0</v>
      </c>
      <c r="J689" s="22">
        <f>IFERROR(INDEX('Coding Sheet'!$AT$2:$AT$731,MATCH($B689&amp;"_"&amp;$F689,'Coding Sheet'!$A$2:$A$731,0)),"")</f>
        <v>0</v>
      </c>
      <c r="K689" s="16">
        <v>2668000000</v>
      </c>
      <c r="L689" s="16">
        <v>6.4017999999999997</v>
      </c>
      <c r="M689" s="16">
        <f t="shared" si="71"/>
        <v>17080002.399999999</v>
      </c>
      <c r="N689" s="16">
        <v>600510</v>
      </c>
      <c r="O689" s="16">
        <v>29552000</v>
      </c>
      <c r="P689" s="16">
        <v>3803000</v>
      </c>
      <c r="Q689" s="16">
        <f t="shared" si="72"/>
        <v>0.5982847996751488</v>
      </c>
      <c r="R689" s="16">
        <f t="shared" si="73"/>
        <v>17.201661981421157</v>
      </c>
      <c r="S689" s="16">
        <f t="shared" si="74"/>
        <v>2.0320452084461288E-2</v>
      </c>
      <c r="T689" s="16">
        <f t="shared" si="75"/>
        <v>0.12868841364374661</v>
      </c>
      <c r="U689" s="16">
        <f>IFERROR(IF(ISNUMBER(INDEX('Firm Master'!$E$2:$E$1000,MATCH($C689,'Firm Master'!$B$2:$B$1000,0))),INDEX('Firm Master'!$E$2:$E$1000,MATCH($C689,'Firm Master'!$B$2:$B$1000,0)),""),"")</f>
        <v>2013</v>
      </c>
      <c r="V689" s="16">
        <f t="shared" si="76"/>
        <v>10</v>
      </c>
      <c r="W689" s="16">
        <v>0</v>
      </c>
      <c r="X689" s="16" t="str">
        <f>IFERROR(INDEX('Firm Master'!$G$2:$G$1000,MATCH($C689,'Firm Master'!$B$2:$B$1000,0)),"")</f>
        <v>Forvis Mazars</v>
      </c>
    </row>
    <row r="690" spans="1:24" ht="27.75" customHeight="1" x14ac:dyDescent="0.3">
      <c r="A690" s="16">
        <v>689</v>
      </c>
      <c r="B690" s="16">
        <v>138</v>
      </c>
      <c r="C690" s="16" t="s">
        <v>1350</v>
      </c>
      <c r="D690" s="16" t="s">
        <v>1351</v>
      </c>
      <c r="E690" s="16" t="s">
        <v>780</v>
      </c>
      <c r="F690" s="16">
        <v>2024</v>
      </c>
      <c r="G690" s="16">
        <f t="shared" si="70"/>
        <v>1</v>
      </c>
      <c r="H690" s="16">
        <v>0</v>
      </c>
      <c r="I690" s="16">
        <f>IFERROR(INDEX('Coding Sheet'!$AC$2:$AC$731,MATCH($B690&amp;"_"&amp;$F690,'Coding Sheet'!$A$2:$A$731,0)),"")</f>
        <v>0</v>
      </c>
      <c r="J690" s="22">
        <f>IFERROR(INDEX('Coding Sheet'!$AT$2:$AT$731,MATCH($B690&amp;"_"&amp;$F690,'Coding Sheet'!$A$2:$A$731,0)),"")</f>
        <v>0</v>
      </c>
      <c r="K690" s="16">
        <v>2668000000</v>
      </c>
      <c r="L690" s="16">
        <v>5</v>
      </c>
      <c r="M690" s="16">
        <f t="shared" si="71"/>
        <v>13340000</v>
      </c>
      <c r="N690" s="16">
        <v>897340</v>
      </c>
      <c r="O690" s="16">
        <v>33426000</v>
      </c>
      <c r="P690" s="16">
        <v>4698000</v>
      </c>
      <c r="Q690" s="16">
        <f t="shared" si="72"/>
        <v>0.42593609764853707</v>
      </c>
      <c r="R690" s="16">
        <f t="shared" si="73"/>
        <v>17.324844598231007</v>
      </c>
      <c r="S690" s="16">
        <f t="shared" si="74"/>
        <v>2.6845569317297913E-2</v>
      </c>
      <c r="T690" s="16">
        <f t="shared" si="75"/>
        <v>0.14054927302100162</v>
      </c>
      <c r="U690" s="16">
        <f>IFERROR(IF(ISNUMBER(INDEX('Firm Master'!$E$2:$E$1000,MATCH($C690,'Firm Master'!$B$2:$B$1000,0))),INDEX('Firm Master'!$E$2:$E$1000,MATCH($C690,'Firm Master'!$B$2:$B$1000,0)),""),"")</f>
        <v>2013</v>
      </c>
      <c r="V690" s="16">
        <f t="shared" si="76"/>
        <v>11</v>
      </c>
      <c r="W690" s="16">
        <v>0</v>
      </c>
      <c r="X690" s="16" t="str">
        <f>IFERROR(INDEX('Firm Master'!$G$2:$G$1000,MATCH($C690,'Firm Master'!$B$2:$B$1000,0)),"")</f>
        <v>Forvis Mazars</v>
      </c>
    </row>
    <row r="691" spans="1:24" ht="27.75" customHeight="1" x14ac:dyDescent="0.3">
      <c r="A691" s="16">
        <v>690</v>
      </c>
      <c r="B691" s="16">
        <v>138</v>
      </c>
      <c r="C691" s="16" t="s">
        <v>1350</v>
      </c>
      <c r="D691" s="16" t="s">
        <v>1351</v>
      </c>
      <c r="E691" s="16" t="s">
        <v>780</v>
      </c>
      <c r="F691" s="16">
        <v>2025</v>
      </c>
      <c r="G691" s="16">
        <f t="shared" si="70"/>
        <v>1</v>
      </c>
      <c r="H691" s="16">
        <v>0</v>
      </c>
      <c r="I691" s="16">
        <f>IFERROR(INDEX('Coding Sheet'!$AC$2:$AC$731,MATCH($B691&amp;"_"&amp;$F691,'Coding Sheet'!$A$2:$A$731,0)),"")</f>
        <v>0</v>
      </c>
      <c r="J691" s="22">
        <f>IFERROR(INDEX('Coding Sheet'!$AT$2:$AT$731,MATCH($B691&amp;"_"&amp;$F691,'Coding Sheet'!$A$2:$A$731,0)),"")</f>
        <v>0</v>
      </c>
      <c r="K691" s="16">
        <v>2668000000</v>
      </c>
      <c r="L691" s="16">
        <v>6.9002999999999997</v>
      </c>
      <c r="M691" s="16">
        <f t="shared" si="71"/>
        <v>18410000.399999999</v>
      </c>
      <c r="N691" s="16">
        <v>812060</v>
      </c>
      <c r="O691" s="16">
        <v>36290000</v>
      </c>
      <c r="P691" s="16">
        <v>4335000</v>
      </c>
      <c r="Q691" s="16">
        <f t="shared" si="72"/>
        <v>0.52967926150454669</v>
      </c>
      <c r="R691" s="16">
        <f t="shared" si="73"/>
        <v>17.407052779189254</v>
      </c>
      <c r="S691" s="16">
        <f t="shared" si="74"/>
        <v>2.2376963350785341E-2</v>
      </c>
      <c r="T691" s="16">
        <f t="shared" si="75"/>
        <v>0.11945439515017911</v>
      </c>
      <c r="U691" s="16">
        <f>IFERROR(IF(ISNUMBER(INDEX('Firm Master'!$E$2:$E$1000,MATCH($C691,'Firm Master'!$B$2:$B$1000,0))),INDEX('Firm Master'!$E$2:$E$1000,MATCH($C691,'Firm Master'!$B$2:$B$1000,0)),""),"")</f>
        <v>2013</v>
      </c>
      <c r="V691" s="16">
        <f t="shared" si="76"/>
        <v>12</v>
      </c>
      <c r="W691" s="16">
        <v>0</v>
      </c>
      <c r="X691" s="16" t="str">
        <f>IFERROR(INDEX('Firm Master'!$G$2:$G$1000,MATCH($C691,'Firm Master'!$B$2:$B$1000,0)),"")</f>
        <v>Forvis Mazars</v>
      </c>
    </row>
    <row r="692" spans="1:24" ht="15" customHeight="1" x14ac:dyDescent="0.3">
      <c r="A692" s="11">
        <v>691</v>
      </c>
      <c r="B692" s="11">
        <v>139</v>
      </c>
      <c r="C692" s="11" t="s">
        <v>1354</v>
      </c>
      <c r="D692" s="11" t="s">
        <v>1355</v>
      </c>
      <c r="E692" s="11" t="s">
        <v>715</v>
      </c>
      <c r="F692" s="11">
        <v>2021</v>
      </c>
      <c r="G692" s="20">
        <f t="shared" si="70"/>
        <v>0</v>
      </c>
      <c r="H692" s="24">
        <v>0</v>
      </c>
      <c r="I692" s="24">
        <f>IFERROR(INDEX('Coding Sheet'!$AC$2:$AC$731,MATCH($B692&amp;"_"&amp;$F692,'Coding Sheet'!$A$2:$A$731,0)),"")</f>
        <v>0</v>
      </c>
      <c r="J692" s="7">
        <f>IFERROR(INDEX('Coding Sheet'!$AT$2:$AT$731,MATCH($B692&amp;"_"&amp;$F692,'Coding Sheet'!$A$2:$A$731,0)),"")</f>
        <v>0</v>
      </c>
      <c r="K692" s="24">
        <v>431409504</v>
      </c>
      <c r="L692" s="24">
        <v>2.94</v>
      </c>
      <c r="M692" s="20">
        <f t="shared" si="71"/>
        <v>1268343.9417600001</v>
      </c>
      <c r="N692" s="24">
        <v>1124536</v>
      </c>
      <c r="O692" s="24">
        <v>3785015</v>
      </c>
      <c r="P692" s="20">
        <v>57106</v>
      </c>
      <c r="Q692" s="20">
        <f t="shared" si="72"/>
        <v>0.63219827180605626</v>
      </c>
      <c r="R692" s="20">
        <f t="shared" si="73"/>
        <v>15.146560407857722</v>
      </c>
      <c r="S692" s="20">
        <f t="shared" si="74"/>
        <v>0.29710212509065353</v>
      </c>
      <c r="T692" s="20">
        <f t="shared" si="75"/>
        <v>1.5087390670842783E-2</v>
      </c>
      <c r="U692" s="20">
        <f>IFERROR(IF(ISNUMBER(INDEX('Firm Master'!$E$2:$E$1000,MATCH($C692,'Firm Master'!$B$2:$B$1000,0))),INDEX('Firm Master'!$E$2:$E$1000,MATCH($C692,'Firm Master'!$B$2:$B$1000,0)),""),"")</f>
        <v>1978</v>
      </c>
      <c r="V692" s="24">
        <f t="shared" si="76"/>
        <v>43</v>
      </c>
      <c r="W692" s="24"/>
      <c r="X692" s="20" t="str">
        <f>IFERROR(INDEX('Firm Master'!$G$2:$G$1000,MATCH($C692,'Firm Master'!$B$2:$B$1000,0)),"")</f>
        <v>PKF Professional Services</v>
      </c>
    </row>
    <row r="693" spans="1:24" ht="15" customHeight="1" x14ac:dyDescent="0.3">
      <c r="A693" s="11">
        <v>692</v>
      </c>
      <c r="B693" s="11">
        <v>139</v>
      </c>
      <c r="C693" s="11" t="s">
        <v>1354</v>
      </c>
      <c r="D693" s="11" t="s">
        <v>1355</v>
      </c>
      <c r="E693" s="11" t="s">
        <v>715</v>
      </c>
      <c r="F693" s="11">
        <v>2022</v>
      </c>
      <c r="G693" s="20">
        <f t="shared" si="70"/>
        <v>0</v>
      </c>
      <c r="H693" s="21">
        <v>0</v>
      </c>
      <c r="I693" s="21">
        <f>IFERROR(INDEX('Coding Sheet'!$AC$2:$AC$731,MATCH($B693&amp;"_"&amp;$F693,'Coding Sheet'!$A$2:$A$731,0)),"")</f>
        <v>0</v>
      </c>
      <c r="J693" s="7">
        <f>IFERROR(INDEX('Coding Sheet'!$AT$2:$AT$731,MATCH($B693&amp;"_"&amp;$F693,'Coding Sheet'!$A$2:$A$731,0)),"")</f>
        <v>0</v>
      </c>
      <c r="K693" s="21">
        <v>431410000</v>
      </c>
      <c r="L693" s="21">
        <v>2.9438</v>
      </c>
      <c r="M693" s="20">
        <f t="shared" si="71"/>
        <v>1269984.7579999999</v>
      </c>
      <c r="N693" s="21">
        <v>1115000</v>
      </c>
      <c r="O693" s="21">
        <v>4287000</v>
      </c>
      <c r="P693" s="20">
        <v>207490</v>
      </c>
      <c r="Q693" s="20">
        <f t="shared" si="72"/>
        <v>0.55632954466993234</v>
      </c>
      <c r="R693" s="20">
        <f t="shared" si="73"/>
        <v>15.271097745580114</v>
      </c>
      <c r="S693" s="20">
        <f t="shared" si="74"/>
        <v>0.26008864007464427</v>
      </c>
      <c r="T693" s="20">
        <f t="shared" si="75"/>
        <v>4.8399813389316537E-2</v>
      </c>
      <c r="U693" s="20">
        <f>IFERROR(IF(ISNUMBER(INDEX('Firm Master'!$E$2:$E$1000,MATCH($C693,'Firm Master'!$B$2:$B$1000,0))),INDEX('Firm Master'!$E$2:$E$1000,MATCH($C693,'Firm Master'!$B$2:$B$1000,0)),""),"")</f>
        <v>1978</v>
      </c>
      <c r="V693" s="21">
        <f t="shared" si="76"/>
        <v>44</v>
      </c>
      <c r="W693" s="21">
        <v>0</v>
      </c>
      <c r="X693" s="20" t="str">
        <f>IFERROR(INDEX('Firm Master'!$G$2:$G$1000,MATCH($C693,'Firm Master'!$B$2:$B$1000,0)),"")</f>
        <v>PKF Professional Services</v>
      </c>
    </row>
    <row r="694" spans="1:24" ht="15" customHeight="1" x14ac:dyDescent="0.3">
      <c r="A694" s="11">
        <v>693</v>
      </c>
      <c r="B694" s="11">
        <v>139</v>
      </c>
      <c r="C694" s="11" t="s">
        <v>1354</v>
      </c>
      <c r="D694" s="11" t="s">
        <v>1355</v>
      </c>
      <c r="E694" s="11" t="s">
        <v>715</v>
      </c>
      <c r="F694" s="11">
        <v>2023</v>
      </c>
      <c r="G694" s="20">
        <f t="shared" si="70"/>
        <v>1</v>
      </c>
      <c r="H694" s="21">
        <v>0</v>
      </c>
      <c r="I694" s="21">
        <f>IFERROR(INDEX('Coding Sheet'!$AC$2:$AC$731,MATCH($B694&amp;"_"&amp;$F694,'Coding Sheet'!$A$2:$A$731,0)),"")</f>
        <v>0</v>
      </c>
      <c r="J694" s="7">
        <f>IFERROR(INDEX('Coding Sheet'!$AT$2:$AT$731,MATCH($B694&amp;"_"&amp;$F694,'Coding Sheet'!$A$2:$A$731,0)),"")</f>
        <v>0</v>
      </c>
      <c r="K694" s="21">
        <v>431410000</v>
      </c>
      <c r="L694" s="21">
        <v>1.9</v>
      </c>
      <c r="M694" s="20">
        <f t="shared" si="71"/>
        <v>819679</v>
      </c>
      <c r="N694" s="21">
        <v>964620</v>
      </c>
      <c r="O694" s="21">
        <v>4236000</v>
      </c>
      <c r="P694" s="20">
        <v>142290</v>
      </c>
      <c r="Q694" s="20">
        <f t="shared" si="72"/>
        <v>0.42122261567516522</v>
      </c>
      <c r="R694" s="20">
        <f t="shared" si="73"/>
        <v>15.259129985703433</v>
      </c>
      <c r="S694" s="20">
        <f t="shared" si="74"/>
        <v>0.22771954674220962</v>
      </c>
      <c r="T694" s="20">
        <f t="shared" si="75"/>
        <v>3.3590651558073656E-2</v>
      </c>
      <c r="U694" s="20">
        <f>IFERROR(IF(ISNUMBER(INDEX('Firm Master'!$E$2:$E$1000,MATCH($C694,'Firm Master'!$B$2:$B$1000,0))),INDEX('Firm Master'!$E$2:$E$1000,MATCH($C694,'Firm Master'!$B$2:$B$1000,0)),""),"")</f>
        <v>1978</v>
      </c>
      <c r="V694" s="21">
        <f t="shared" si="76"/>
        <v>45</v>
      </c>
      <c r="W694" s="21">
        <v>0</v>
      </c>
      <c r="X694" s="20" t="str">
        <f>IFERROR(INDEX('Firm Master'!$G$2:$G$1000,MATCH($C694,'Firm Master'!$B$2:$B$1000,0)),"")</f>
        <v>PKF Professional Services</v>
      </c>
    </row>
    <row r="695" spans="1:24" ht="15" customHeight="1" x14ac:dyDescent="0.3">
      <c r="A695" s="11">
        <v>694</v>
      </c>
      <c r="B695" s="11">
        <v>139</v>
      </c>
      <c r="C695" s="11" t="s">
        <v>1354</v>
      </c>
      <c r="D695" s="11" t="s">
        <v>1355</v>
      </c>
      <c r="E695" s="11" t="s">
        <v>715</v>
      </c>
      <c r="F695" s="11">
        <v>2024</v>
      </c>
      <c r="G695" s="20">
        <f t="shared" si="70"/>
        <v>1</v>
      </c>
      <c r="H695" s="21">
        <v>0</v>
      </c>
      <c r="I695" s="21">
        <f>IFERROR(INDEX('Coding Sheet'!$AC$2:$AC$731,MATCH($B695&amp;"_"&amp;$F695,'Coding Sheet'!$A$2:$A$731,0)),"")</f>
        <v>5</v>
      </c>
      <c r="J695" s="7">
        <f>IFERROR(INDEX('Coding Sheet'!$AT$2:$AT$731,MATCH($B695&amp;"_"&amp;$F695,'Coding Sheet'!$A$2:$A$731,0)),"")</f>
        <v>0</v>
      </c>
      <c r="K695" s="21">
        <v>431410000</v>
      </c>
      <c r="L695" s="21">
        <v>2.4106999999999998</v>
      </c>
      <c r="M695" s="20">
        <f t="shared" si="71"/>
        <v>1040000.0869999998</v>
      </c>
      <c r="N695" s="21">
        <v>2041000</v>
      </c>
      <c r="O695" s="21">
        <v>5112000</v>
      </c>
      <c r="P695" s="20">
        <v>-157720</v>
      </c>
      <c r="Q695" s="20">
        <f t="shared" si="72"/>
        <v>0.60269954753521127</v>
      </c>
      <c r="R695" s="20">
        <f t="shared" si="73"/>
        <v>15.447101275039508</v>
      </c>
      <c r="S695" s="20">
        <f t="shared" si="74"/>
        <v>0.39925665101721441</v>
      </c>
      <c r="T695" s="20">
        <f t="shared" si="75"/>
        <v>-3.0852895148669797E-2</v>
      </c>
      <c r="U695" s="20">
        <f>IFERROR(IF(ISNUMBER(INDEX('Firm Master'!$E$2:$E$1000,MATCH($C695,'Firm Master'!$B$2:$B$1000,0))),INDEX('Firm Master'!$E$2:$E$1000,MATCH($C695,'Firm Master'!$B$2:$B$1000,0)),""),"")</f>
        <v>1978</v>
      </c>
      <c r="V695" s="21">
        <f t="shared" si="76"/>
        <v>46</v>
      </c>
      <c r="W695" s="21">
        <v>0</v>
      </c>
      <c r="X695" s="20" t="str">
        <f>IFERROR(INDEX('Firm Master'!$G$2:$G$1000,MATCH($C695,'Firm Master'!$B$2:$B$1000,0)),"")</f>
        <v>PKF Professional Services</v>
      </c>
    </row>
    <row r="696" spans="1:24" ht="15" customHeight="1" x14ac:dyDescent="0.3">
      <c r="A696" s="11">
        <v>695</v>
      </c>
      <c r="B696" s="11">
        <v>139</v>
      </c>
      <c r="C696" s="11" t="s">
        <v>1354</v>
      </c>
      <c r="D696" s="11" t="s">
        <v>1355</v>
      </c>
      <c r="E696" s="11" t="s">
        <v>715</v>
      </c>
      <c r="F696" s="11">
        <v>2025</v>
      </c>
      <c r="G696" s="20">
        <f t="shared" si="70"/>
        <v>1</v>
      </c>
      <c r="H696" s="21">
        <v>0</v>
      </c>
      <c r="I696" s="21">
        <f>IFERROR(INDEX('Coding Sheet'!$AC$2:$AC$731,MATCH($B696&amp;"_"&amp;$F696,'Coding Sheet'!$A$2:$A$731,0)),"")</f>
        <v>5</v>
      </c>
      <c r="J696" s="7">
        <f>IFERROR(INDEX('Coding Sheet'!$AT$2:$AT$731,MATCH($B696&amp;"_"&amp;$F696,'Coding Sheet'!$A$2:$A$731,0)),"")</f>
        <v>0</v>
      </c>
      <c r="K696" s="21">
        <v>431410000</v>
      </c>
      <c r="L696" s="21">
        <v>3.8477999999999999</v>
      </c>
      <c r="M696" s="20">
        <f t="shared" si="71"/>
        <v>1659979.398</v>
      </c>
      <c r="N696" s="21">
        <v>1099000</v>
      </c>
      <c r="O696" s="21">
        <v>4508000</v>
      </c>
      <c r="P696" s="20">
        <v>450630</v>
      </c>
      <c r="Q696" s="20">
        <f t="shared" si="72"/>
        <v>0.61201850000000002</v>
      </c>
      <c r="R696" s="20">
        <f t="shared" si="73"/>
        <v>15.321364154141804</v>
      </c>
      <c r="S696" s="20">
        <f t="shared" si="74"/>
        <v>0.24378881987577639</v>
      </c>
      <c r="T696" s="20">
        <f t="shared" si="75"/>
        <v>9.9962289263531498E-2</v>
      </c>
      <c r="U696" s="20">
        <f>IFERROR(IF(ISNUMBER(INDEX('Firm Master'!$E$2:$E$1000,MATCH($C696,'Firm Master'!$B$2:$B$1000,0))),INDEX('Firm Master'!$E$2:$E$1000,MATCH($C696,'Firm Master'!$B$2:$B$1000,0)),""),"")</f>
        <v>1978</v>
      </c>
      <c r="V696" s="21">
        <f t="shared" si="76"/>
        <v>47</v>
      </c>
      <c r="W696" s="21">
        <v>0</v>
      </c>
      <c r="X696" s="20" t="str">
        <f>IFERROR(INDEX('Firm Master'!$G$2:$G$1000,MATCH($C696,'Firm Master'!$B$2:$B$1000,0)),"")</f>
        <v>PKF Professional Services</v>
      </c>
    </row>
    <row r="697" spans="1:24" ht="15" customHeight="1" x14ac:dyDescent="0.3">
      <c r="A697" s="11">
        <v>696</v>
      </c>
      <c r="B697" s="11">
        <v>140</v>
      </c>
      <c r="C697" s="11" t="s">
        <v>1357</v>
      </c>
      <c r="D697" s="11" t="s">
        <v>1358</v>
      </c>
      <c r="E697" s="11" t="s">
        <v>709</v>
      </c>
      <c r="F697" s="11">
        <v>2021</v>
      </c>
      <c r="G697" s="20">
        <f t="shared" si="70"/>
        <v>0</v>
      </c>
      <c r="H697" s="21">
        <v>0</v>
      </c>
      <c r="I697" s="21">
        <f>IFERROR(INDEX('Coding Sheet'!$AC$2:$AC$731,MATCH($B697&amp;"_"&amp;$F697,'Coding Sheet'!$A$2:$A$731,0)),"")</f>
        <v>0</v>
      </c>
      <c r="J697" s="7">
        <f>IFERROR(INDEX('Coding Sheet'!$AT$2:$AT$731,MATCH($B697&amp;"_"&amp;$F697,'Coding Sheet'!$A$2:$A$731,0)),"")</f>
        <v>0</v>
      </c>
      <c r="K697" s="21">
        <v>13867000000</v>
      </c>
      <c r="L697" s="21">
        <v>0.2099</v>
      </c>
      <c r="M697" s="20">
        <f t="shared" si="71"/>
        <v>2910683.3</v>
      </c>
      <c r="N697" s="21">
        <v>5762000</v>
      </c>
      <c r="O697" s="21">
        <v>16565000</v>
      </c>
      <c r="P697" s="20">
        <v>505300</v>
      </c>
      <c r="Q697" s="20">
        <f t="shared" si="72"/>
        <v>0.52355468155750085</v>
      </c>
      <c r="R697" s="20">
        <f t="shared" si="73"/>
        <v>16.622802593716134</v>
      </c>
      <c r="S697" s="20">
        <f t="shared" si="74"/>
        <v>0.34784183519468759</v>
      </c>
      <c r="T697" s="20">
        <f t="shared" si="75"/>
        <v>3.0504074856625416E-2</v>
      </c>
      <c r="U697" s="20">
        <f>IFERROR(IF(ISNUMBER(INDEX('Firm Master'!$E$2:$E$1000,MATCH($C697,'Firm Master'!$B$2:$B$1000,0))),INDEX('Firm Master'!$E$2:$E$1000,MATCH($C697,'Firm Master'!$B$2:$B$1000,0)),""),"")</f>
        <v>1973</v>
      </c>
      <c r="V697" s="21">
        <f t="shared" si="76"/>
        <v>48</v>
      </c>
      <c r="W697" s="21">
        <v>1</v>
      </c>
      <c r="X697" s="20" t="str">
        <f>IFERROR(INDEX('Firm Master'!$G$2:$G$1000,MATCH($C697,'Firm Master'!$B$2:$B$1000,0)),"")</f>
        <v>Ernst &amp; Young</v>
      </c>
    </row>
    <row r="698" spans="1:24" ht="15" customHeight="1" x14ac:dyDescent="0.3">
      <c r="A698" s="11">
        <v>697</v>
      </c>
      <c r="B698" s="11">
        <v>140</v>
      </c>
      <c r="C698" s="11" t="s">
        <v>1357</v>
      </c>
      <c r="D698" s="11" t="s">
        <v>1358</v>
      </c>
      <c r="E698" s="11" t="s">
        <v>709</v>
      </c>
      <c r="F698" s="11">
        <v>2022</v>
      </c>
      <c r="G698" s="20">
        <f t="shared" si="70"/>
        <v>0</v>
      </c>
      <c r="H698" s="21">
        <v>0</v>
      </c>
      <c r="I698" s="21">
        <f>IFERROR(INDEX('Coding Sheet'!$AC$2:$AC$731,MATCH($B698&amp;"_"&amp;$F698,'Coding Sheet'!$A$2:$A$731,0)),"")</f>
        <v>0</v>
      </c>
      <c r="J698" s="7">
        <f>IFERROR(INDEX('Coding Sheet'!$AT$2:$AT$731,MATCH($B698&amp;"_"&amp;$F698,'Coding Sheet'!$A$2:$A$731,0)),"")</f>
        <v>0</v>
      </c>
      <c r="K698" s="21">
        <v>13867000000</v>
      </c>
      <c r="L698" s="21">
        <v>0.19980000000000001</v>
      </c>
      <c r="M698" s="20">
        <f t="shared" si="71"/>
        <v>2770626.6</v>
      </c>
      <c r="N698" s="21">
        <v>4791000</v>
      </c>
      <c r="O698" s="21">
        <v>17250000</v>
      </c>
      <c r="P698" s="20">
        <v>540610</v>
      </c>
      <c r="Q698" s="20">
        <f t="shared" si="72"/>
        <v>0.43835516521739126</v>
      </c>
      <c r="R698" s="20">
        <f t="shared" si="73"/>
        <v>16.663322701441643</v>
      </c>
      <c r="S698" s="20">
        <f t="shared" si="74"/>
        <v>0.2777391304347826</v>
      </c>
      <c r="T698" s="20">
        <f t="shared" si="75"/>
        <v>3.1339710144927535E-2</v>
      </c>
      <c r="U698" s="20">
        <f>IFERROR(IF(ISNUMBER(INDEX('Firm Master'!$E$2:$E$1000,MATCH($C698,'Firm Master'!$B$2:$B$1000,0))),INDEX('Firm Master'!$E$2:$E$1000,MATCH($C698,'Firm Master'!$B$2:$B$1000,0)),""),"")</f>
        <v>1973</v>
      </c>
      <c r="V698" s="21">
        <f t="shared" si="76"/>
        <v>49</v>
      </c>
      <c r="W698" s="21">
        <v>1</v>
      </c>
      <c r="X698" s="20" t="str">
        <f>IFERROR(INDEX('Firm Master'!$G$2:$G$1000,MATCH($C698,'Firm Master'!$B$2:$B$1000,0)),"")</f>
        <v>Ernst &amp; Young</v>
      </c>
    </row>
    <row r="699" spans="1:24" ht="15" customHeight="1" x14ac:dyDescent="0.3">
      <c r="A699" s="11">
        <v>698</v>
      </c>
      <c r="B699" s="11">
        <v>140</v>
      </c>
      <c r="C699" s="11" t="s">
        <v>1357</v>
      </c>
      <c r="D699" s="11" t="s">
        <v>1358</v>
      </c>
      <c r="E699" s="11" t="s">
        <v>709</v>
      </c>
      <c r="F699" s="11">
        <v>2023</v>
      </c>
      <c r="G699" s="20">
        <f t="shared" si="70"/>
        <v>1</v>
      </c>
      <c r="H699" s="21">
        <v>0</v>
      </c>
      <c r="I699" s="21">
        <f>IFERROR(INDEX('Coding Sheet'!$AC$2:$AC$731,MATCH($B699&amp;"_"&amp;$F699,'Coding Sheet'!$A$2:$A$731,0)),"")</f>
        <v>0</v>
      </c>
      <c r="J699" s="7">
        <f>IFERROR(INDEX('Coding Sheet'!$AT$2:$AT$731,MATCH($B699&amp;"_"&amp;$F699,'Coding Sheet'!$A$2:$A$731,0)),"")</f>
        <v>0</v>
      </c>
      <c r="K699" s="21">
        <v>13867000000</v>
      </c>
      <c r="L699" s="21">
        <v>0.36990000000000001</v>
      </c>
      <c r="M699" s="20">
        <f t="shared" si="71"/>
        <v>5129403.3</v>
      </c>
      <c r="N699" s="21">
        <v>8311000</v>
      </c>
      <c r="O699" s="21">
        <v>24680000</v>
      </c>
      <c r="P699" s="20">
        <v>2575000</v>
      </c>
      <c r="Q699" s="20">
        <f t="shared" si="72"/>
        <v>0.54458684359805509</v>
      </c>
      <c r="R699" s="20">
        <f t="shared" si="73"/>
        <v>17.021503757001462</v>
      </c>
      <c r="S699" s="20">
        <f t="shared" si="74"/>
        <v>0.33675040518638572</v>
      </c>
      <c r="T699" s="20">
        <f t="shared" si="75"/>
        <v>0.1043354943273906</v>
      </c>
      <c r="U699" s="20">
        <f>IFERROR(IF(ISNUMBER(INDEX('Firm Master'!$E$2:$E$1000,MATCH($C699,'Firm Master'!$B$2:$B$1000,0))),INDEX('Firm Master'!$E$2:$E$1000,MATCH($C699,'Firm Master'!$B$2:$B$1000,0)),""),"")</f>
        <v>1973</v>
      </c>
      <c r="V699" s="21">
        <f t="shared" si="76"/>
        <v>50</v>
      </c>
      <c r="W699" s="21">
        <v>1</v>
      </c>
      <c r="X699" s="20" t="str">
        <f>IFERROR(INDEX('Firm Master'!$G$2:$G$1000,MATCH($C699,'Firm Master'!$B$2:$B$1000,0)),"")</f>
        <v>Ernst &amp; Young</v>
      </c>
    </row>
    <row r="700" spans="1:24" ht="15" customHeight="1" x14ac:dyDescent="0.3">
      <c r="A700" s="11">
        <v>699</v>
      </c>
      <c r="B700" s="11">
        <v>140</v>
      </c>
      <c r="C700" s="11" t="s">
        <v>1357</v>
      </c>
      <c r="D700" s="11" t="s">
        <v>1358</v>
      </c>
      <c r="E700" s="11" t="s">
        <v>709</v>
      </c>
      <c r="F700" s="11">
        <v>2024</v>
      </c>
      <c r="G700" s="20">
        <f t="shared" si="70"/>
        <v>1</v>
      </c>
      <c r="H700" s="21">
        <v>0</v>
      </c>
      <c r="I700" s="21">
        <f>IFERROR(INDEX('Coding Sheet'!$AC$2:$AC$731,MATCH($B700&amp;"_"&amp;$F700,'Coding Sheet'!$A$2:$A$731,0)),"")</f>
        <v>0</v>
      </c>
      <c r="J700" s="7">
        <f>IFERROR(INDEX('Coding Sheet'!$AT$2:$AT$731,MATCH($B700&amp;"_"&amp;$F700,'Coding Sheet'!$A$2:$A$731,0)),"")</f>
        <v>0</v>
      </c>
      <c r="K700" s="21">
        <v>13867000000</v>
      </c>
      <c r="L700" s="21">
        <v>1.3601000000000001</v>
      </c>
      <c r="M700" s="20">
        <f t="shared" si="71"/>
        <v>18860506.699999999</v>
      </c>
      <c r="N700" s="21">
        <v>22255000</v>
      </c>
      <c r="O700" s="21">
        <v>37540000</v>
      </c>
      <c r="P700" s="20">
        <v>-1224000</v>
      </c>
      <c r="Q700" s="20">
        <f t="shared" si="72"/>
        <v>1.0952452503995738</v>
      </c>
      <c r="R700" s="20">
        <f t="shared" si="73"/>
        <v>17.440917589122638</v>
      </c>
      <c r="S700" s="20">
        <f t="shared" si="74"/>
        <v>0.59283431006925946</v>
      </c>
      <c r="T700" s="20">
        <f t="shared" si="75"/>
        <v>-3.2605221097496001E-2</v>
      </c>
      <c r="U700" s="20">
        <f>IFERROR(IF(ISNUMBER(INDEX('Firm Master'!$E$2:$E$1000,MATCH($C700,'Firm Master'!$B$2:$B$1000,0))),INDEX('Firm Master'!$E$2:$E$1000,MATCH($C700,'Firm Master'!$B$2:$B$1000,0)),""),"")</f>
        <v>1973</v>
      </c>
      <c r="V700" s="21">
        <f t="shared" si="76"/>
        <v>51</v>
      </c>
      <c r="W700" s="21">
        <v>1</v>
      </c>
      <c r="X700" s="20" t="str">
        <f>IFERROR(INDEX('Firm Master'!$G$2:$G$1000,MATCH($C700,'Firm Master'!$B$2:$B$1000,0)),"")</f>
        <v>Ernst &amp; Young</v>
      </c>
    </row>
    <row r="701" spans="1:24" ht="15" customHeight="1" x14ac:dyDescent="0.3">
      <c r="A701" s="11">
        <v>700</v>
      </c>
      <c r="B701" s="11">
        <v>140</v>
      </c>
      <c r="C701" s="11" t="s">
        <v>1357</v>
      </c>
      <c r="D701" s="11" t="s">
        <v>1358</v>
      </c>
      <c r="E701" s="11" t="s">
        <v>709</v>
      </c>
      <c r="F701" s="11">
        <v>2025</v>
      </c>
      <c r="G701" s="20">
        <f t="shared" si="70"/>
        <v>1</v>
      </c>
      <c r="H701" s="21">
        <v>0</v>
      </c>
      <c r="I701" s="21">
        <f>IFERROR(INDEX('Coding Sheet'!$AC$2:$AC$731,MATCH($B701&amp;"_"&amp;$F701,'Coding Sheet'!$A$2:$A$731,0)),"")</f>
        <v>5</v>
      </c>
      <c r="J701" s="7">
        <f>IFERROR(INDEX('Coding Sheet'!$AT$2:$AT$731,MATCH($B701&amp;"_"&amp;$F701,'Coding Sheet'!$A$2:$A$731,0)),"")</f>
        <v>0</v>
      </c>
      <c r="K701" s="21">
        <v>13867000000</v>
      </c>
      <c r="L701" s="21">
        <v>1.7098</v>
      </c>
      <c r="M701" s="20">
        <f t="shared" si="71"/>
        <v>23709796.600000001</v>
      </c>
      <c r="N701" s="21">
        <v>16270000</v>
      </c>
      <c r="O701" s="21">
        <v>35397000</v>
      </c>
      <c r="P701" s="20">
        <v>3733000</v>
      </c>
      <c r="Q701" s="20">
        <f t="shared" si="72"/>
        <v>1.1294685029804785</v>
      </c>
      <c r="R701" s="20">
        <f t="shared" si="73"/>
        <v>17.382137628750165</v>
      </c>
      <c r="S701" s="20">
        <f t="shared" si="74"/>
        <v>0.45964347261067323</v>
      </c>
      <c r="T701" s="20">
        <f t="shared" si="75"/>
        <v>0.10546091476678815</v>
      </c>
      <c r="U701" s="20">
        <f>IFERROR(IF(ISNUMBER(INDEX('Firm Master'!$E$2:$E$1000,MATCH($C701,'Firm Master'!$B$2:$B$1000,0))),INDEX('Firm Master'!$E$2:$E$1000,MATCH($C701,'Firm Master'!$B$2:$B$1000,0)),""),"")</f>
        <v>1973</v>
      </c>
      <c r="V701" s="21">
        <f t="shared" si="76"/>
        <v>52</v>
      </c>
      <c r="W701" s="21">
        <v>1</v>
      </c>
      <c r="X701" s="20" t="str">
        <f>IFERROR(INDEX('Firm Master'!$G$2:$G$1000,MATCH($C701,'Firm Master'!$B$2:$B$1000,0)),"")</f>
        <v>Ernst &amp; Young</v>
      </c>
    </row>
    <row r="702" spans="1:24" ht="15" customHeight="1" x14ac:dyDescent="0.3">
      <c r="A702" s="16">
        <v>701</v>
      </c>
      <c r="B702" s="16">
        <v>141</v>
      </c>
      <c r="C702" s="16" t="s">
        <v>1361</v>
      </c>
      <c r="D702" s="16" t="s">
        <v>1362</v>
      </c>
      <c r="E702" s="16" t="s">
        <v>1363</v>
      </c>
      <c r="F702" s="16">
        <v>2021</v>
      </c>
      <c r="G702" s="16">
        <f t="shared" si="70"/>
        <v>0</v>
      </c>
      <c r="H702" s="16">
        <v>0</v>
      </c>
      <c r="I702" s="16">
        <f>IFERROR(INDEX('Coding Sheet'!$AC$2:$AC$731,MATCH($B702&amp;"_"&amp;$F702,'Coding Sheet'!$A$2:$A$731,0)),"")</f>
        <v>0</v>
      </c>
      <c r="J702" s="22">
        <f>IFERROR(INDEX('Coding Sheet'!$AT$2:$AT$731,MATCH($B702&amp;"_"&amp;$F702,'Coding Sheet'!$A$2:$A$731,0)),"")</f>
        <v>0</v>
      </c>
      <c r="K702" s="16"/>
      <c r="L702" s="16"/>
      <c r="M702" s="16" t="str">
        <f t="shared" si="71"/>
        <v/>
      </c>
      <c r="N702" s="16">
        <v>89200000</v>
      </c>
      <c r="O702" s="16">
        <v>107000000</v>
      </c>
      <c r="P702" s="16"/>
      <c r="Q702" s="16" t="str">
        <f t="shared" si="72"/>
        <v/>
      </c>
      <c r="R702" s="16">
        <f t="shared" si="73"/>
        <v>18.48833939242618</v>
      </c>
      <c r="S702" s="16">
        <f t="shared" si="74"/>
        <v>0.83364485981308412</v>
      </c>
      <c r="T702" s="16" t="str">
        <f t="shared" si="75"/>
        <v/>
      </c>
      <c r="U702" s="16">
        <f>IFERROR(IF(ISNUMBER(INDEX('Firm Master'!$E$2:$E$1000,MATCH($C702,'Firm Master'!$B$2:$B$1000,0))),INDEX('Firm Master'!$E$2:$E$1000,MATCH($C702,'Firm Master'!$B$2:$B$1000,0)),""),"")</f>
        <v>2009</v>
      </c>
      <c r="V702" s="16">
        <f t="shared" si="76"/>
        <v>12</v>
      </c>
      <c r="W702" s="16"/>
      <c r="X702" s="16" t="str">
        <f>IFERROR(INDEX('Firm Master'!$G$2:$G$1000,MATCH($C702,'Firm Master'!$B$2:$B$1000,0)),"")</f>
        <v>PricewaterhouseCoopers</v>
      </c>
    </row>
    <row r="703" spans="1:24" ht="15" customHeight="1" x14ac:dyDescent="0.3">
      <c r="A703" s="16">
        <v>702</v>
      </c>
      <c r="B703" s="16">
        <v>141</v>
      </c>
      <c r="C703" s="16" t="s">
        <v>1361</v>
      </c>
      <c r="D703" s="16" t="s">
        <v>1362</v>
      </c>
      <c r="E703" s="16" t="s">
        <v>1363</v>
      </c>
      <c r="F703" s="16">
        <v>2022</v>
      </c>
      <c r="G703" s="16">
        <f t="shared" si="70"/>
        <v>0</v>
      </c>
      <c r="H703" s="16">
        <v>0</v>
      </c>
      <c r="I703" s="16">
        <f>IFERROR(INDEX('Coding Sheet'!$AC$2:$AC$731,MATCH($B703&amp;"_"&amp;$F703,'Coding Sheet'!$A$2:$A$731,0)),"")</f>
        <v>0</v>
      </c>
      <c r="J703" s="22">
        <f>IFERROR(INDEX('Coding Sheet'!$AT$2:$AT$731,MATCH($B703&amp;"_"&amp;$F703,'Coding Sheet'!$A$2:$A$731,0)),"")</f>
        <v>0</v>
      </c>
      <c r="K703" s="16">
        <v>5701000000</v>
      </c>
      <c r="L703" s="16"/>
      <c r="M703" s="16" t="str">
        <f t="shared" si="71"/>
        <v/>
      </c>
      <c r="N703" s="16">
        <v>118921000</v>
      </c>
      <c r="O703" s="16">
        <v>151521000</v>
      </c>
      <c r="P703" s="16">
        <v>5360000</v>
      </c>
      <c r="Q703" s="16" t="str">
        <f t="shared" si="72"/>
        <v/>
      </c>
      <c r="R703" s="16">
        <f t="shared" si="73"/>
        <v>18.836234787169069</v>
      </c>
      <c r="S703" s="16">
        <f t="shared" si="74"/>
        <v>0.78484830485543255</v>
      </c>
      <c r="T703" s="16">
        <f t="shared" si="75"/>
        <v>3.5374634539106789E-2</v>
      </c>
      <c r="U703" s="16">
        <f>IFERROR(IF(ISNUMBER(INDEX('Firm Master'!$E$2:$E$1000,MATCH($C703,'Firm Master'!$B$2:$B$1000,0))),INDEX('Firm Master'!$E$2:$E$1000,MATCH($C703,'Firm Master'!$B$2:$B$1000,0)),""),"")</f>
        <v>2009</v>
      </c>
      <c r="V703" s="16">
        <f t="shared" si="76"/>
        <v>13</v>
      </c>
      <c r="W703" s="16">
        <v>1</v>
      </c>
      <c r="X703" s="16" t="str">
        <f>IFERROR(INDEX('Firm Master'!$G$2:$G$1000,MATCH($C703,'Firm Master'!$B$2:$B$1000,0)),"")</f>
        <v>PricewaterhouseCoopers</v>
      </c>
    </row>
    <row r="704" spans="1:24" ht="15" customHeight="1" x14ac:dyDescent="0.3">
      <c r="A704" s="11">
        <v>703</v>
      </c>
      <c r="B704" s="11">
        <v>141</v>
      </c>
      <c r="C704" s="11" t="s">
        <v>1361</v>
      </c>
      <c r="D704" s="11" t="s">
        <v>1362</v>
      </c>
      <c r="E704" s="11" t="s">
        <v>1363</v>
      </c>
      <c r="F704" s="11">
        <v>2023</v>
      </c>
      <c r="G704" s="20">
        <f t="shared" si="70"/>
        <v>1</v>
      </c>
      <c r="H704" s="21">
        <v>0</v>
      </c>
      <c r="I704" s="21">
        <f>IFERROR(INDEX('Coding Sheet'!$AC$2:$AC$731,MATCH($B704&amp;"_"&amp;$F704,'Coding Sheet'!$A$2:$A$731,0)),"")</f>
        <v>0</v>
      </c>
      <c r="J704" s="7">
        <f>IFERROR(INDEX('Coding Sheet'!$AT$2:$AT$731,MATCH($B704&amp;"_"&amp;$F704,'Coding Sheet'!$A$2:$A$731,0)),"")</f>
        <v>0</v>
      </c>
      <c r="K704" s="21">
        <v>5701000000</v>
      </c>
      <c r="L704" s="21">
        <v>6.7637</v>
      </c>
      <c r="M704" s="20">
        <f t="shared" si="71"/>
        <v>38559853.700000003</v>
      </c>
      <c r="N704" s="21">
        <v>186747000</v>
      </c>
      <c r="O704" s="21">
        <v>219277000</v>
      </c>
      <c r="P704" s="20">
        <v>-2463000</v>
      </c>
      <c r="Q704" s="20">
        <f t="shared" si="72"/>
        <v>1.027498796955449</v>
      </c>
      <c r="R704" s="20">
        <f t="shared" si="73"/>
        <v>19.205846328726945</v>
      </c>
      <c r="S704" s="20">
        <f t="shared" si="74"/>
        <v>0.85164882773843131</v>
      </c>
      <c r="T704" s="20">
        <f t="shared" si="75"/>
        <v>-1.1232368191830424E-2</v>
      </c>
      <c r="U704" s="20">
        <f>IFERROR(IF(ISNUMBER(INDEX('Firm Master'!$E$2:$E$1000,MATCH($C704,'Firm Master'!$B$2:$B$1000,0))),INDEX('Firm Master'!$E$2:$E$1000,MATCH($C704,'Firm Master'!$B$2:$B$1000,0)),""),"")</f>
        <v>2009</v>
      </c>
      <c r="V704" s="21">
        <f t="shared" si="76"/>
        <v>14</v>
      </c>
      <c r="W704" s="21">
        <v>1</v>
      </c>
      <c r="X704" s="20" t="str">
        <f>IFERROR(INDEX('Firm Master'!$G$2:$G$1000,MATCH($C704,'Firm Master'!$B$2:$B$1000,0)),"")</f>
        <v>PricewaterhouseCoopers</v>
      </c>
    </row>
    <row r="705" spans="1:24" ht="15" customHeight="1" x14ac:dyDescent="0.3">
      <c r="A705" s="11">
        <v>704</v>
      </c>
      <c r="B705" s="11">
        <v>141</v>
      </c>
      <c r="C705" s="11" t="s">
        <v>1361</v>
      </c>
      <c r="D705" s="11" t="s">
        <v>1362</v>
      </c>
      <c r="E705" s="11" t="s">
        <v>1363</v>
      </c>
      <c r="F705" s="11">
        <v>2024</v>
      </c>
      <c r="G705" s="20">
        <f t="shared" si="70"/>
        <v>1</v>
      </c>
      <c r="H705" s="21">
        <v>0</v>
      </c>
      <c r="I705" s="21">
        <f>IFERROR(INDEX('Coding Sheet'!$AC$2:$AC$731,MATCH($B705&amp;"_"&amp;$F705,'Coding Sheet'!$A$2:$A$731,0)),"")</f>
        <v>5</v>
      </c>
      <c r="J705" s="7">
        <f>IFERROR(INDEX('Coding Sheet'!$AT$2:$AT$731,MATCH($B705&amp;"_"&amp;$F705,'Coding Sheet'!$A$2:$A$731,0)),"")</f>
        <v>0</v>
      </c>
      <c r="K705" s="21">
        <v>7601000000</v>
      </c>
      <c r="L705" s="21">
        <v>7.4002999999999997</v>
      </c>
      <c r="M705" s="20">
        <f t="shared" si="71"/>
        <v>56249680.299999997</v>
      </c>
      <c r="N705" s="21">
        <v>237143000</v>
      </c>
      <c r="O705" s="21">
        <v>295669000</v>
      </c>
      <c r="P705" s="20">
        <v>6265000</v>
      </c>
      <c r="Q705" s="20">
        <f t="shared" si="72"/>
        <v>0.99230112152440741</v>
      </c>
      <c r="R705" s="20">
        <f t="shared" si="73"/>
        <v>19.504751143344617</v>
      </c>
      <c r="S705" s="20">
        <f t="shared" si="74"/>
        <v>0.80205567712543413</v>
      </c>
      <c r="T705" s="20">
        <f t="shared" si="75"/>
        <v>2.118923525969919E-2</v>
      </c>
      <c r="U705" s="20">
        <f>IFERROR(IF(ISNUMBER(INDEX('Firm Master'!$E$2:$E$1000,MATCH($C705,'Firm Master'!$B$2:$B$1000,0))),INDEX('Firm Master'!$E$2:$E$1000,MATCH($C705,'Firm Master'!$B$2:$B$1000,0)),""),"")</f>
        <v>2009</v>
      </c>
      <c r="V705" s="21">
        <f t="shared" si="76"/>
        <v>15</v>
      </c>
      <c r="W705" s="21">
        <v>1</v>
      </c>
      <c r="X705" s="20" t="str">
        <f>IFERROR(INDEX('Firm Master'!$G$2:$G$1000,MATCH($C705,'Firm Master'!$B$2:$B$1000,0)),"")</f>
        <v>PricewaterhouseCoopers</v>
      </c>
    </row>
    <row r="706" spans="1:24" ht="15" customHeight="1" x14ac:dyDescent="0.3">
      <c r="A706" s="11">
        <v>705</v>
      </c>
      <c r="B706" s="11">
        <v>141</v>
      </c>
      <c r="C706" s="11" t="s">
        <v>1361</v>
      </c>
      <c r="D706" s="11" t="s">
        <v>1362</v>
      </c>
      <c r="E706" s="11" t="s">
        <v>1363</v>
      </c>
      <c r="F706" s="11">
        <v>2025</v>
      </c>
      <c r="G706" s="20">
        <f t="shared" ref="G706:G731" si="77">IF(F706&gt;=2023,1,0)</f>
        <v>1</v>
      </c>
      <c r="H706" s="21">
        <v>0</v>
      </c>
      <c r="I706" s="21">
        <f>IFERROR(INDEX('Coding Sheet'!$AC$2:$AC$731,MATCH($B706&amp;"_"&amp;$F706,'Coding Sheet'!$A$2:$A$731,0)),"")</f>
        <v>5</v>
      </c>
      <c r="J706" s="7">
        <f>IFERROR(INDEX('Coding Sheet'!$AT$2:$AT$731,MATCH($B706&amp;"_"&amp;$F706,'Coding Sheet'!$A$2:$A$731,0)),"")</f>
        <v>0</v>
      </c>
      <c r="K706" s="21">
        <v>7601000000</v>
      </c>
      <c r="L706" s="21">
        <v>10.9999</v>
      </c>
      <c r="M706" s="20">
        <f t="shared" ref="M706:M731" si="78">IF(AND(ISNUMBER(K706),ISNUMBER(L706)),K706*L706/1000,"")</f>
        <v>83610239.900000006</v>
      </c>
      <c r="N706" s="21">
        <v>376185000</v>
      </c>
      <c r="O706" s="21">
        <v>445806000</v>
      </c>
      <c r="P706" s="20">
        <v>7246000</v>
      </c>
      <c r="Q706" s="20">
        <f t="shared" ref="Q706:Q731" si="79">IF(AND(ISNUMBER(M706),ISNUMBER(N706),ISNUMBER(O706),O706&lt;&gt;0),(M706+N706)/O706,"")</f>
        <v>1.0313796581921284</v>
      </c>
      <c r="R706" s="20">
        <f t="shared" ref="R706:R731" si="80">IF(AND(ISNUMBER(O706),O706&gt;0),LN(O706),"")</f>
        <v>19.915394437775674</v>
      </c>
      <c r="S706" s="20">
        <f t="shared" ref="S706:S731" si="81">IF(AND(ISNUMBER(N706),ISNUMBER(O706),O706&lt;&gt;0),N706/O706,"")</f>
        <v>0.84383117320089907</v>
      </c>
      <c r="T706" s="20">
        <f t="shared" ref="T706:T731" si="82">IF(AND(ISNUMBER(P706),ISNUMBER(O706),O706&lt;&gt;0),P706/O706,"")</f>
        <v>1.6253706769312211E-2</v>
      </c>
      <c r="U706" s="20">
        <f>IFERROR(IF(ISNUMBER(INDEX('Firm Master'!$E$2:$E$1000,MATCH($C706,'Firm Master'!$B$2:$B$1000,0))),INDEX('Firm Master'!$E$2:$E$1000,MATCH($C706,'Firm Master'!$B$2:$B$1000,0)),""),"")</f>
        <v>2009</v>
      </c>
      <c r="V706" s="21">
        <f t="shared" ref="V706:V731" si="83">IF(ISNUMBER(U706),F706-U706,"")</f>
        <v>16</v>
      </c>
      <c r="W706" s="21">
        <v>1</v>
      </c>
      <c r="X706" s="20" t="str">
        <f>IFERROR(INDEX('Firm Master'!$G$2:$G$1000,MATCH($C706,'Firm Master'!$B$2:$B$1000,0)),"")</f>
        <v>PricewaterhouseCoopers</v>
      </c>
    </row>
    <row r="707" spans="1:24" ht="15" customHeight="1" x14ac:dyDescent="0.3">
      <c r="A707" s="11">
        <v>706</v>
      </c>
      <c r="B707" s="11">
        <v>142</v>
      </c>
      <c r="C707" s="11" t="s">
        <v>1366</v>
      </c>
      <c r="D707" s="11" t="s">
        <v>1367</v>
      </c>
      <c r="E707" s="11" t="s">
        <v>806</v>
      </c>
      <c r="F707" s="11">
        <v>2021</v>
      </c>
      <c r="G707" s="20">
        <f t="shared" si="77"/>
        <v>0</v>
      </c>
      <c r="H707" s="21">
        <v>0</v>
      </c>
      <c r="I707" s="21">
        <f>IFERROR(INDEX('Coding Sheet'!$AC$2:$AC$731,MATCH($B707&amp;"_"&amp;$F707,'Coding Sheet'!$A$2:$A$731,0)),"")</f>
        <v>0</v>
      </c>
      <c r="J707" s="7">
        <f>IFERROR(INDEX('Coding Sheet'!$AT$2:$AT$731,MATCH($B707&amp;"_"&amp;$F707,'Coding Sheet'!$A$2:$A$731,0)),"")</f>
        <v>0</v>
      </c>
      <c r="K707" s="21">
        <v>1501000000</v>
      </c>
      <c r="L707" s="21">
        <v>18.747499999999999</v>
      </c>
      <c r="M707" s="20">
        <f t="shared" si="78"/>
        <v>28139997.499999996</v>
      </c>
      <c r="N707" s="21">
        <v>18854000</v>
      </c>
      <c r="O707" s="21">
        <v>31790000</v>
      </c>
      <c r="P707" s="20">
        <v>4237000</v>
      </c>
      <c r="Q707" s="20">
        <f t="shared" si="79"/>
        <v>1.4782635262661215</v>
      </c>
      <c r="R707" s="20">
        <f t="shared" si="80"/>
        <v>17.274662332886987</v>
      </c>
      <c r="S707" s="20">
        <f t="shared" si="81"/>
        <v>0.59307958477508649</v>
      </c>
      <c r="T707" s="20">
        <f t="shared" si="82"/>
        <v>0.13328090594526582</v>
      </c>
      <c r="U707" s="20">
        <f>IFERROR(IF(ISNUMBER(INDEX('Firm Master'!$E$2:$E$1000,MATCH($C707,'Firm Master'!$B$2:$B$1000,0))),INDEX('Firm Master'!$E$2:$E$1000,MATCH($C707,'Firm Master'!$B$2:$B$1000,0)),""),"")</f>
        <v>1962</v>
      </c>
      <c r="V707" s="21">
        <f t="shared" si="83"/>
        <v>59</v>
      </c>
      <c r="W707" s="21">
        <v>1</v>
      </c>
      <c r="X707" s="20" t="str">
        <f>IFERROR(INDEX('Firm Master'!$G$2:$G$1000,MATCH($C707,'Firm Master'!$B$2:$B$1000,0)),"")</f>
        <v>PricewaterhouseCoopers</v>
      </c>
    </row>
    <row r="708" spans="1:24" ht="15" customHeight="1" x14ac:dyDescent="0.3">
      <c r="A708" s="11">
        <v>707</v>
      </c>
      <c r="B708" s="11">
        <v>142</v>
      </c>
      <c r="C708" s="11" t="s">
        <v>1366</v>
      </c>
      <c r="D708" s="11" t="s">
        <v>1367</v>
      </c>
      <c r="E708" s="11" t="s">
        <v>806</v>
      </c>
      <c r="F708" s="11">
        <v>2022</v>
      </c>
      <c r="G708" s="20">
        <f t="shared" si="77"/>
        <v>0</v>
      </c>
      <c r="H708" s="21">
        <v>0</v>
      </c>
      <c r="I708" s="21">
        <f>IFERROR(INDEX('Coding Sheet'!$AC$2:$AC$731,MATCH($B708&amp;"_"&amp;$F708,'Coding Sheet'!$A$2:$A$731,0)),"")</f>
        <v>0</v>
      </c>
      <c r="J708" s="7">
        <f>IFERROR(INDEX('Coding Sheet'!$AT$2:$AT$731,MATCH($B708&amp;"_"&amp;$F708,'Coding Sheet'!$A$2:$A$731,0)),"")</f>
        <v>0</v>
      </c>
      <c r="K708" s="21">
        <v>1501000000</v>
      </c>
      <c r="L708" s="21">
        <v>17.042000000000002</v>
      </c>
      <c r="M708" s="20">
        <f t="shared" si="78"/>
        <v>25580042.000000004</v>
      </c>
      <c r="N708" s="21">
        <v>23768000</v>
      </c>
      <c r="O708" s="21">
        <v>39437000</v>
      </c>
      <c r="P708" s="20">
        <v>4223000</v>
      </c>
      <c r="Q708" s="20">
        <f t="shared" si="79"/>
        <v>1.2513132844790424</v>
      </c>
      <c r="R708" s="20">
        <f t="shared" si="80"/>
        <v>17.490215019896905</v>
      </c>
      <c r="S708" s="20">
        <f t="shared" si="81"/>
        <v>0.60268275984481579</v>
      </c>
      <c r="T708" s="20">
        <f t="shared" si="82"/>
        <v>0.10708218170753353</v>
      </c>
      <c r="U708" s="20">
        <f>IFERROR(IF(ISNUMBER(INDEX('Firm Master'!$E$2:$E$1000,MATCH($C708,'Firm Master'!$B$2:$B$1000,0))),INDEX('Firm Master'!$E$2:$E$1000,MATCH($C708,'Firm Master'!$B$2:$B$1000,0)),""),"")</f>
        <v>1962</v>
      </c>
      <c r="V708" s="21">
        <f t="shared" si="83"/>
        <v>60</v>
      </c>
      <c r="W708" s="21">
        <v>1</v>
      </c>
      <c r="X708" s="20" t="str">
        <f>IFERROR(INDEX('Firm Master'!$G$2:$G$1000,MATCH($C708,'Firm Master'!$B$2:$B$1000,0)),"")</f>
        <v>PricewaterhouseCoopers</v>
      </c>
    </row>
    <row r="709" spans="1:24" ht="15" customHeight="1" x14ac:dyDescent="0.3">
      <c r="A709" s="11">
        <v>708</v>
      </c>
      <c r="B709" s="11">
        <v>142</v>
      </c>
      <c r="C709" s="11" t="s">
        <v>1366</v>
      </c>
      <c r="D709" s="11" t="s">
        <v>1367</v>
      </c>
      <c r="E709" s="11" t="s">
        <v>806</v>
      </c>
      <c r="F709" s="11">
        <v>2023</v>
      </c>
      <c r="G709" s="20">
        <f t="shared" si="77"/>
        <v>1</v>
      </c>
      <c r="H709" s="21">
        <v>0</v>
      </c>
      <c r="I709" s="21">
        <f>IFERROR(INDEX('Coding Sheet'!$AC$2:$AC$731,MATCH($B709&amp;"_"&amp;$F709,'Coding Sheet'!$A$2:$A$731,0)),"")</f>
        <v>0</v>
      </c>
      <c r="J709" s="7">
        <f>IFERROR(INDEX('Coding Sheet'!$AT$2:$AT$731,MATCH($B709&amp;"_"&amp;$F709,'Coding Sheet'!$A$2:$A$731,0)),"")</f>
        <v>0</v>
      </c>
      <c r="K709" s="21">
        <v>1501000000</v>
      </c>
      <c r="L709" s="21">
        <v>18.334399999999999</v>
      </c>
      <c r="M709" s="20">
        <f t="shared" si="78"/>
        <v>27519934.399999995</v>
      </c>
      <c r="N709" s="21">
        <v>32255000</v>
      </c>
      <c r="O709" s="21">
        <v>49661000</v>
      </c>
      <c r="P709" s="20">
        <v>3939000</v>
      </c>
      <c r="Q709" s="20">
        <f t="shared" si="79"/>
        <v>1.2036594994059724</v>
      </c>
      <c r="R709" s="20">
        <f t="shared" si="80"/>
        <v>17.720730474772679</v>
      </c>
      <c r="S709" s="20">
        <f t="shared" si="81"/>
        <v>0.64950363464287875</v>
      </c>
      <c r="T709" s="20">
        <f t="shared" si="82"/>
        <v>7.9317774511185837E-2</v>
      </c>
      <c r="U709" s="20">
        <f>IFERROR(IF(ISNUMBER(INDEX('Firm Master'!$E$2:$E$1000,MATCH($C709,'Firm Master'!$B$2:$B$1000,0))),INDEX('Firm Master'!$E$2:$E$1000,MATCH($C709,'Firm Master'!$B$2:$B$1000,0)),""),"")</f>
        <v>1962</v>
      </c>
      <c r="V709" s="21">
        <f t="shared" si="83"/>
        <v>61</v>
      </c>
      <c r="W709" s="21">
        <v>1</v>
      </c>
      <c r="X709" s="20" t="str">
        <f>IFERROR(INDEX('Firm Master'!$G$2:$G$1000,MATCH($C709,'Firm Master'!$B$2:$B$1000,0)),"")</f>
        <v>PricewaterhouseCoopers</v>
      </c>
    </row>
    <row r="710" spans="1:24" ht="15" customHeight="1" x14ac:dyDescent="0.3">
      <c r="A710" s="11">
        <v>709</v>
      </c>
      <c r="B710" s="11">
        <v>142</v>
      </c>
      <c r="C710" s="11" t="s">
        <v>1366</v>
      </c>
      <c r="D710" s="11" t="s">
        <v>1367</v>
      </c>
      <c r="E710" s="11" t="s">
        <v>806</v>
      </c>
      <c r="F710" s="11">
        <v>2024</v>
      </c>
      <c r="G710" s="20">
        <f t="shared" si="77"/>
        <v>1</v>
      </c>
      <c r="H710" s="21">
        <v>0</v>
      </c>
      <c r="I710" s="21">
        <f>IFERROR(INDEX('Coding Sheet'!$AC$2:$AC$731,MATCH($B710&amp;"_"&amp;$F710,'Coding Sheet'!$A$2:$A$731,0)),"")</f>
        <v>30</v>
      </c>
      <c r="J710" s="7">
        <f>IFERROR(INDEX('Coding Sheet'!$AT$2:$AT$731,MATCH($B710&amp;"_"&amp;$F710,'Coding Sheet'!$A$2:$A$731,0)),"")</f>
        <v>0</v>
      </c>
      <c r="K710" s="21">
        <v>1501000000</v>
      </c>
      <c r="L710" s="21">
        <v>19.167200000000001</v>
      </c>
      <c r="M710" s="20">
        <f t="shared" si="78"/>
        <v>28769967.199999999</v>
      </c>
      <c r="N710" s="21">
        <v>27181000</v>
      </c>
      <c r="O710" s="21">
        <v>52211000</v>
      </c>
      <c r="P710" s="20">
        <v>359700</v>
      </c>
      <c r="Q710" s="20">
        <f t="shared" si="79"/>
        <v>1.0716317864051637</v>
      </c>
      <c r="R710" s="20">
        <f t="shared" si="80"/>
        <v>17.770803758622197</v>
      </c>
      <c r="S710" s="20">
        <f t="shared" si="81"/>
        <v>0.52059910746777494</v>
      </c>
      <c r="T710" s="20">
        <f t="shared" si="82"/>
        <v>6.8893528183716071E-3</v>
      </c>
      <c r="U710" s="20">
        <f>IFERROR(IF(ISNUMBER(INDEX('Firm Master'!$E$2:$E$1000,MATCH($C710,'Firm Master'!$B$2:$B$1000,0))),INDEX('Firm Master'!$E$2:$E$1000,MATCH($C710,'Firm Master'!$B$2:$B$1000,0)),""),"")</f>
        <v>1962</v>
      </c>
      <c r="V710" s="21">
        <f t="shared" si="83"/>
        <v>62</v>
      </c>
      <c r="W710" s="21">
        <v>1</v>
      </c>
      <c r="X710" s="20" t="str">
        <f>IFERROR(INDEX('Firm Master'!$G$2:$G$1000,MATCH($C710,'Firm Master'!$B$2:$B$1000,0)),"")</f>
        <v>PricewaterhouseCoopers</v>
      </c>
    </row>
    <row r="711" spans="1:24" ht="15" customHeight="1" x14ac:dyDescent="0.3">
      <c r="A711" s="11">
        <v>710</v>
      </c>
      <c r="B711" s="11">
        <v>142</v>
      </c>
      <c r="C711" s="11" t="s">
        <v>1366</v>
      </c>
      <c r="D711" s="11" t="s">
        <v>1367</v>
      </c>
      <c r="E711" s="11" t="s">
        <v>806</v>
      </c>
      <c r="F711" s="11">
        <v>2025</v>
      </c>
      <c r="G711" s="20">
        <f t="shared" si="77"/>
        <v>1</v>
      </c>
      <c r="H711" s="21">
        <v>0</v>
      </c>
      <c r="I711" s="21">
        <f>IFERROR(INDEX('Coding Sheet'!$AC$2:$AC$731,MATCH($B711&amp;"_"&amp;$F711,'Coding Sheet'!$A$2:$A$731,0)),"")</f>
        <v>0</v>
      </c>
      <c r="J711" s="7">
        <f>IFERROR(INDEX('Coding Sheet'!$AT$2:$AT$731,MATCH($B711&amp;"_"&amp;$F711,'Coding Sheet'!$A$2:$A$731,0)),"")</f>
        <v>0</v>
      </c>
      <c r="K711" s="21">
        <v>1501000000</v>
      </c>
      <c r="L711" s="21">
        <v>76.668899999999994</v>
      </c>
      <c r="M711" s="20">
        <f t="shared" si="78"/>
        <v>115080018.89999999</v>
      </c>
      <c r="N711" s="21">
        <v>29721000</v>
      </c>
      <c r="O711" s="21">
        <v>65275000</v>
      </c>
      <c r="P711" s="20">
        <v>13511000</v>
      </c>
      <c r="Q711" s="20">
        <f t="shared" si="79"/>
        <v>2.2183227713519722</v>
      </c>
      <c r="R711" s="20">
        <f t="shared" si="80"/>
        <v>17.994119672549466</v>
      </c>
      <c r="S711" s="20">
        <f t="shared" si="81"/>
        <v>0.45531980084258905</v>
      </c>
      <c r="T711" s="20">
        <f t="shared" si="82"/>
        <v>0.20698582918422059</v>
      </c>
      <c r="U711" s="20">
        <f>IFERROR(IF(ISNUMBER(INDEX('Firm Master'!$E$2:$E$1000,MATCH($C711,'Firm Master'!$B$2:$B$1000,0))),INDEX('Firm Master'!$E$2:$E$1000,MATCH($C711,'Firm Master'!$B$2:$B$1000,0)),""),"")</f>
        <v>1962</v>
      </c>
      <c r="V711" s="21">
        <f t="shared" si="83"/>
        <v>63</v>
      </c>
      <c r="W711" s="21">
        <v>1</v>
      </c>
      <c r="X711" s="20" t="str">
        <f>IFERROR(INDEX('Firm Master'!$G$2:$G$1000,MATCH($C711,'Firm Master'!$B$2:$B$1000,0)),"")</f>
        <v>PricewaterhouseCoopers</v>
      </c>
    </row>
    <row r="712" spans="1:24" ht="15" customHeight="1" x14ac:dyDescent="0.3">
      <c r="A712" s="11">
        <v>711</v>
      </c>
      <c r="B712" s="11">
        <v>143</v>
      </c>
      <c r="C712" s="11" t="s">
        <v>1370</v>
      </c>
      <c r="D712" s="11" t="s">
        <v>1371</v>
      </c>
      <c r="E712" s="11" t="s">
        <v>709</v>
      </c>
      <c r="F712" s="11">
        <v>2021</v>
      </c>
      <c r="G712" s="20">
        <f t="shared" si="77"/>
        <v>0</v>
      </c>
      <c r="H712" s="21">
        <v>0</v>
      </c>
      <c r="I712" s="21">
        <f>IFERROR(INDEX('Coding Sheet'!$AC$2:$AC$731,MATCH($B712&amp;"_"&amp;$F712,'Coding Sheet'!$A$2:$A$731,0)),"")</f>
        <v>0</v>
      </c>
      <c r="J712" s="7">
        <f>IFERROR(INDEX('Coding Sheet'!$AT$2:$AT$731,MATCH($B712&amp;"_"&amp;$F712,'Coding Sheet'!$A$2:$A$731,0)),"")</f>
        <v>0</v>
      </c>
      <c r="K712" s="21">
        <v>23992000000</v>
      </c>
      <c r="L712" s="21">
        <v>0.56020000000000003</v>
      </c>
      <c r="M712" s="20">
        <f t="shared" si="78"/>
        <v>13440318.4</v>
      </c>
      <c r="N712" s="21">
        <v>18213000</v>
      </c>
      <c r="O712" s="21">
        <v>39802000</v>
      </c>
      <c r="P712" s="20">
        <v>-2583000</v>
      </c>
      <c r="Q712" s="20">
        <f t="shared" si="79"/>
        <v>0.79526954424400775</v>
      </c>
      <c r="R712" s="20">
        <f t="shared" si="80"/>
        <v>17.499427720248395</v>
      </c>
      <c r="S712" s="20">
        <f t="shared" si="81"/>
        <v>0.45759007085071102</v>
      </c>
      <c r="T712" s="20">
        <f t="shared" si="82"/>
        <v>-6.4896236370031654E-2</v>
      </c>
      <c r="U712" s="20">
        <f>IFERROR(IF(ISNUMBER(INDEX('Firm Master'!$E$2:$E$1000,MATCH($C712,'Firm Master'!$B$2:$B$1000,0))),INDEX('Firm Master'!$E$2:$E$1000,MATCH($C712,'Firm Master'!$B$2:$B$1000,0)),""),"")</f>
        <v>1958</v>
      </c>
      <c r="V712" s="21">
        <f t="shared" si="83"/>
        <v>63</v>
      </c>
      <c r="W712" s="21">
        <v>1</v>
      </c>
      <c r="X712" s="20" t="str">
        <f>IFERROR(INDEX('Firm Master'!$G$2:$G$1000,MATCH($C712,'Firm Master'!$B$2:$B$1000,0)),"")</f>
        <v>Ernst &amp; Young</v>
      </c>
    </row>
    <row r="713" spans="1:24" ht="15" customHeight="1" x14ac:dyDescent="0.3">
      <c r="A713" s="11">
        <v>712</v>
      </c>
      <c r="B713" s="11">
        <v>143</v>
      </c>
      <c r="C713" s="11" t="s">
        <v>1370</v>
      </c>
      <c r="D713" s="11" t="s">
        <v>1371</v>
      </c>
      <c r="E713" s="11" t="s">
        <v>709</v>
      </c>
      <c r="F713" s="11">
        <v>2022</v>
      </c>
      <c r="G713" s="20">
        <f t="shared" si="77"/>
        <v>0</v>
      </c>
      <c r="H713" s="21">
        <v>0</v>
      </c>
      <c r="I713" s="21">
        <f>IFERROR(INDEX('Coding Sheet'!$AC$2:$AC$731,MATCH($B713&amp;"_"&amp;$F713,'Coding Sheet'!$A$2:$A$731,0)),"")</f>
        <v>0</v>
      </c>
      <c r="J713" s="7">
        <f>IFERROR(INDEX('Coding Sheet'!$AT$2:$AT$731,MATCH($B713&amp;"_"&amp;$F713,'Coding Sheet'!$A$2:$A$731,0)),"")</f>
        <v>0</v>
      </c>
      <c r="K713" s="21">
        <v>23992000000</v>
      </c>
      <c r="L713" s="21">
        <v>0.40010000000000001</v>
      </c>
      <c r="M713" s="20">
        <f t="shared" si="78"/>
        <v>9599199.1999999993</v>
      </c>
      <c r="N713" s="21">
        <v>17199000</v>
      </c>
      <c r="O713" s="21">
        <v>36765000</v>
      </c>
      <c r="P713" s="20">
        <v>-1968000</v>
      </c>
      <c r="Q713" s="20">
        <f t="shared" si="79"/>
        <v>0.72890518699850404</v>
      </c>
      <c r="R713" s="20">
        <f t="shared" si="80"/>
        <v>17.420056863612459</v>
      </c>
      <c r="S713" s="20">
        <f t="shared" si="81"/>
        <v>0.46780905752753976</v>
      </c>
      <c r="T713" s="20">
        <f t="shared" si="82"/>
        <v>-5.3529171766625867E-2</v>
      </c>
      <c r="U713" s="20">
        <f>IFERROR(IF(ISNUMBER(INDEX('Firm Master'!$E$2:$E$1000,MATCH($C713,'Firm Master'!$B$2:$B$1000,0))),INDEX('Firm Master'!$E$2:$E$1000,MATCH($C713,'Firm Master'!$B$2:$B$1000,0)),""),"")</f>
        <v>1958</v>
      </c>
      <c r="V713" s="21">
        <f t="shared" si="83"/>
        <v>64</v>
      </c>
      <c r="W713" s="21">
        <v>1</v>
      </c>
      <c r="X713" s="20" t="str">
        <f>IFERROR(INDEX('Firm Master'!$G$2:$G$1000,MATCH($C713,'Firm Master'!$B$2:$B$1000,0)),"")</f>
        <v>Ernst &amp; Young</v>
      </c>
    </row>
    <row r="714" spans="1:24" ht="15" customHeight="1" x14ac:dyDescent="0.3">
      <c r="A714" s="11">
        <v>713</v>
      </c>
      <c r="B714" s="11">
        <v>143</v>
      </c>
      <c r="C714" s="11" t="s">
        <v>1370</v>
      </c>
      <c r="D714" s="11" t="s">
        <v>1371</v>
      </c>
      <c r="E714" s="11" t="s">
        <v>709</v>
      </c>
      <c r="F714" s="11">
        <v>2023</v>
      </c>
      <c r="G714" s="20">
        <f t="shared" si="77"/>
        <v>1</v>
      </c>
      <c r="H714" s="21">
        <v>0</v>
      </c>
      <c r="I714" s="21">
        <f>IFERROR(INDEX('Coding Sheet'!$AC$2:$AC$731,MATCH($B714&amp;"_"&amp;$F714,'Coding Sheet'!$A$2:$A$731,0)),"")</f>
        <v>5</v>
      </c>
      <c r="J714" s="7">
        <f>IFERROR(INDEX('Coding Sheet'!$AT$2:$AT$731,MATCH($B714&amp;"_"&amp;$F714,'Coding Sheet'!$A$2:$A$731,0)),"")</f>
        <v>0</v>
      </c>
      <c r="K714" s="21">
        <v>23992000000</v>
      </c>
      <c r="L714" s="21">
        <v>0.67979999999999996</v>
      </c>
      <c r="M714" s="20">
        <f t="shared" si="78"/>
        <v>16309761.599999998</v>
      </c>
      <c r="N714" s="21">
        <v>23627000</v>
      </c>
      <c r="O714" s="21">
        <v>48014000</v>
      </c>
      <c r="P714" s="20">
        <v>1819000</v>
      </c>
      <c r="Q714" s="20">
        <f t="shared" si="79"/>
        <v>0.83177326613071179</v>
      </c>
      <c r="R714" s="20">
        <f t="shared" si="80"/>
        <v>17.687003193012377</v>
      </c>
      <c r="S714" s="20">
        <f t="shared" si="81"/>
        <v>0.49208564168784102</v>
      </c>
      <c r="T714" s="20">
        <f t="shared" si="82"/>
        <v>3.7884783604781938E-2</v>
      </c>
      <c r="U714" s="20">
        <f>IFERROR(IF(ISNUMBER(INDEX('Firm Master'!$E$2:$E$1000,MATCH($C714,'Firm Master'!$B$2:$B$1000,0))),INDEX('Firm Master'!$E$2:$E$1000,MATCH($C714,'Firm Master'!$B$2:$B$1000,0)),""),"")</f>
        <v>1958</v>
      </c>
      <c r="V714" s="21">
        <f t="shared" si="83"/>
        <v>65</v>
      </c>
      <c r="W714" s="21">
        <v>1</v>
      </c>
      <c r="X714" s="20" t="str">
        <f>IFERROR(INDEX('Firm Master'!$G$2:$G$1000,MATCH($C714,'Firm Master'!$B$2:$B$1000,0)),"")</f>
        <v>Ernst &amp; Young</v>
      </c>
    </row>
    <row r="715" spans="1:24" ht="15" customHeight="1" x14ac:dyDescent="0.3">
      <c r="A715" s="11">
        <v>714</v>
      </c>
      <c r="B715" s="11">
        <v>143</v>
      </c>
      <c r="C715" s="11" t="s">
        <v>1370</v>
      </c>
      <c r="D715" s="11" t="s">
        <v>1371</v>
      </c>
      <c r="E715" s="11" t="s">
        <v>709</v>
      </c>
      <c r="F715" s="11">
        <v>2024</v>
      </c>
      <c r="G715" s="20">
        <f t="shared" si="77"/>
        <v>1</v>
      </c>
      <c r="H715" s="21">
        <v>0</v>
      </c>
      <c r="I715" s="21">
        <f>IFERROR(INDEX('Coding Sheet'!$AC$2:$AC$731,MATCH($B715&amp;"_"&amp;$F715,'Coding Sheet'!$A$2:$A$731,0)),"")</f>
        <v>5</v>
      </c>
      <c r="J715" s="7">
        <f>IFERROR(INDEX('Coding Sheet'!$AT$2:$AT$731,MATCH($B715&amp;"_"&amp;$F715,'Coding Sheet'!$A$2:$A$731,0)),"")</f>
        <v>0</v>
      </c>
      <c r="K715" s="21">
        <v>23992000000</v>
      </c>
      <c r="L715" s="21">
        <v>2.2498999999999998</v>
      </c>
      <c r="M715" s="20">
        <f t="shared" si="78"/>
        <v>53979600.79999999</v>
      </c>
      <c r="N715" s="21">
        <v>37039000</v>
      </c>
      <c r="O715" s="21">
        <v>76798000</v>
      </c>
      <c r="P715" s="20">
        <v>11911000</v>
      </c>
      <c r="Q715" s="20">
        <f t="shared" si="79"/>
        <v>1.1851688950233077</v>
      </c>
      <c r="R715" s="20">
        <f t="shared" si="80"/>
        <v>18.156689156112144</v>
      </c>
      <c r="S715" s="20">
        <f t="shared" si="81"/>
        <v>0.48229120550014321</v>
      </c>
      <c r="T715" s="20">
        <f t="shared" si="82"/>
        <v>0.15509518477043674</v>
      </c>
      <c r="U715" s="20">
        <f>IFERROR(IF(ISNUMBER(INDEX('Firm Master'!$E$2:$E$1000,MATCH($C715,'Firm Master'!$B$2:$B$1000,0))),INDEX('Firm Master'!$E$2:$E$1000,MATCH($C715,'Firm Master'!$B$2:$B$1000,0)),""),"")</f>
        <v>1958</v>
      </c>
      <c r="V715" s="21">
        <f t="shared" si="83"/>
        <v>66</v>
      </c>
      <c r="W715" s="21">
        <v>1</v>
      </c>
      <c r="X715" s="20" t="str">
        <f>IFERROR(INDEX('Firm Master'!$G$2:$G$1000,MATCH($C715,'Firm Master'!$B$2:$B$1000,0)),"")</f>
        <v>Ernst &amp; Young</v>
      </c>
    </row>
    <row r="716" spans="1:24" ht="15" customHeight="1" x14ac:dyDescent="0.3">
      <c r="A716" s="11">
        <v>715</v>
      </c>
      <c r="B716" s="11">
        <v>143</v>
      </c>
      <c r="C716" s="11" t="s">
        <v>1370</v>
      </c>
      <c r="D716" s="11" t="s">
        <v>1371</v>
      </c>
      <c r="E716" s="11" t="s">
        <v>709</v>
      </c>
      <c r="F716" s="11">
        <v>2025</v>
      </c>
      <c r="G716" s="20">
        <f t="shared" si="77"/>
        <v>1</v>
      </c>
      <c r="H716" s="21">
        <v>0</v>
      </c>
      <c r="I716" s="21">
        <f>IFERROR(INDEX('Coding Sheet'!$AC$2:$AC$731,MATCH($B716&amp;"_"&amp;$F716,'Coding Sheet'!$A$2:$A$731,0)),"")</f>
        <v>0</v>
      </c>
      <c r="J716" s="7">
        <f>IFERROR(INDEX('Coding Sheet'!$AT$2:$AT$731,MATCH($B716&amp;"_"&amp;$F716,'Coding Sheet'!$A$2:$A$731,0)),"")</f>
        <v>0</v>
      </c>
      <c r="K716" s="21">
        <v>23992000000</v>
      </c>
      <c r="L716" s="21">
        <v>3.2498</v>
      </c>
      <c r="M716" s="20">
        <f t="shared" si="78"/>
        <v>77969201.599999994</v>
      </c>
      <c r="N716" s="21">
        <v>49608000</v>
      </c>
      <c r="O716" s="21">
        <v>98100000</v>
      </c>
      <c r="P716" s="20">
        <v>7515000</v>
      </c>
      <c r="Q716" s="20">
        <f t="shared" si="79"/>
        <v>1.3004811580020388</v>
      </c>
      <c r="R716" s="20">
        <f t="shared" si="80"/>
        <v>18.40149792453559</v>
      </c>
      <c r="S716" s="20">
        <f t="shared" si="81"/>
        <v>0.5056880733944954</v>
      </c>
      <c r="T716" s="20">
        <f t="shared" si="82"/>
        <v>7.6605504587155968E-2</v>
      </c>
      <c r="U716" s="20">
        <f>IFERROR(IF(ISNUMBER(INDEX('Firm Master'!$E$2:$E$1000,MATCH($C716,'Firm Master'!$B$2:$B$1000,0))),INDEX('Firm Master'!$E$2:$E$1000,MATCH($C716,'Firm Master'!$B$2:$B$1000,0)),""),"")</f>
        <v>1958</v>
      </c>
      <c r="V716" s="21">
        <f t="shared" si="83"/>
        <v>67</v>
      </c>
      <c r="W716" s="21">
        <v>1</v>
      </c>
      <c r="X716" s="20" t="str">
        <f>IFERROR(INDEX('Firm Master'!$G$2:$G$1000,MATCH($C716,'Firm Master'!$B$2:$B$1000,0)),"")</f>
        <v>Ernst &amp; Young</v>
      </c>
    </row>
    <row r="717" spans="1:24" ht="15" customHeight="1" x14ac:dyDescent="0.3">
      <c r="A717" s="11">
        <v>716</v>
      </c>
      <c r="B717" s="11">
        <v>144</v>
      </c>
      <c r="C717" s="11" t="s">
        <v>1374</v>
      </c>
      <c r="D717" s="11" t="s">
        <v>1375</v>
      </c>
      <c r="E717" s="11" t="s">
        <v>709</v>
      </c>
      <c r="F717" s="11">
        <v>2021</v>
      </c>
      <c r="G717" s="20">
        <f t="shared" si="77"/>
        <v>0</v>
      </c>
      <c r="H717" s="21">
        <v>0</v>
      </c>
      <c r="I717" s="21">
        <f>IFERROR(INDEX('Coding Sheet'!$AC$2:$AC$731,MATCH($B717&amp;"_"&amp;$F717,'Coding Sheet'!$A$2:$A$731,0)),"")</f>
        <v>0</v>
      </c>
      <c r="J717" s="7">
        <f>IFERROR(INDEX('Coding Sheet'!$AT$2:$AT$731,MATCH($B717&amp;"_"&amp;$F717,'Coding Sheet'!$A$2:$A$731,0)),"")</f>
        <v>0</v>
      </c>
      <c r="K717" s="21">
        <v>12858000000</v>
      </c>
      <c r="L717" s="21">
        <v>2.1597</v>
      </c>
      <c r="M717" s="20">
        <f t="shared" si="78"/>
        <v>27769422.600000001</v>
      </c>
      <c r="N717" s="21">
        <v>1105344000</v>
      </c>
      <c r="O717" s="21">
        <v>1175490000</v>
      </c>
      <c r="P717" s="20">
        <v>8927000</v>
      </c>
      <c r="Q717" s="20">
        <f t="shared" si="79"/>
        <v>0.96394986141949301</v>
      </c>
      <c r="R717" s="20">
        <f t="shared" si="80"/>
        <v>20.884950918889924</v>
      </c>
      <c r="S717" s="20">
        <f t="shared" si="81"/>
        <v>0.94032616185590689</v>
      </c>
      <c r="T717" s="20">
        <f t="shared" si="82"/>
        <v>7.5942798322401724E-3</v>
      </c>
      <c r="U717" s="20">
        <f>IFERROR(IF(ISNUMBER(INDEX('Firm Master'!$E$2:$E$1000,MATCH($C717,'Firm Master'!$B$2:$B$1000,0))),INDEX('Firm Master'!$E$2:$E$1000,MATCH($C717,'Firm Master'!$B$2:$B$1000,0)),""),"")</f>
        <v>1945</v>
      </c>
      <c r="V717" s="21">
        <f t="shared" si="83"/>
        <v>76</v>
      </c>
      <c r="W717" s="21">
        <v>1</v>
      </c>
      <c r="X717" s="20" t="str">
        <f>IFERROR(INDEX('Firm Master'!$G$2:$G$1000,MATCH($C717,'Firm Master'!$B$2:$B$1000,0)),"")</f>
        <v>KPMG Professional Services</v>
      </c>
    </row>
    <row r="718" spans="1:24" ht="15" customHeight="1" x14ac:dyDescent="0.3">
      <c r="A718" s="11">
        <v>717</v>
      </c>
      <c r="B718" s="11">
        <v>144</v>
      </c>
      <c r="C718" s="11" t="s">
        <v>1374</v>
      </c>
      <c r="D718" s="11" t="s">
        <v>1375</v>
      </c>
      <c r="E718" s="11" t="s">
        <v>709</v>
      </c>
      <c r="F718" s="11">
        <v>2022</v>
      </c>
      <c r="G718" s="20">
        <f t="shared" si="77"/>
        <v>0</v>
      </c>
      <c r="H718" s="21">
        <v>0</v>
      </c>
      <c r="I718" s="21">
        <f>IFERROR(INDEX('Coding Sheet'!$AC$2:$AC$731,MATCH($B718&amp;"_"&amp;$F718,'Coding Sheet'!$A$2:$A$731,0)),"")</f>
        <v>0</v>
      </c>
      <c r="J718" s="7">
        <f>IFERROR(INDEX('Coding Sheet'!$AT$2:$AT$731,MATCH($B718&amp;"_"&amp;$F718,'Coding Sheet'!$A$2:$A$731,0)),"")</f>
        <v>0</v>
      </c>
      <c r="K718" s="21">
        <v>12858000000</v>
      </c>
      <c r="L718" s="21">
        <v>3.9003000000000001</v>
      </c>
      <c r="M718" s="20">
        <f t="shared" si="78"/>
        <v>50150057.399999999</v>
      </c>
      <c r="N718" s="21">
        <v>1359322000</v>
      </c>
      <c r="O718" s="21">
        <v>1441865000</v>
      </c>
      <c r="P718" s="20">
        <v>11352000</v>
      </c>
      <c r="Q718" s="20">
        <f t="shared" si="79"/>
        <v>0.97753399756565285</v>
      </c>
      <c r="R718" s="20">
        <f t="shared" si="80"/>
        <v>21.089203251454286</v>
      </c>
      <c r="S718" s="20">
        <f t="shared" si="81"/>
        <v>0.94275261553612855</v>
      </c>
      <c r="T718" s="20">
        <f t="shared" si="82"/>
        <v>7.8731365280383398E-3</v>
      </c>
      <c r="U718" s="20">
        <f>IFERROR(IF(ISNUMBER(INDEX('Firm Master'!$E$2:$E$1000,MATCH($C718,'Firm Master'!$B$2:$B$1000,0))),INDEX('Firm Master'!$E$2:$E$1000,MATCH($C718,'Firm Master'!$B$2:$B$1000,0)),""),"")</f>
        <v>1945</v>
      </c>
      <c r="V718" s="21">
        <f t="shared" si="83"/>
        <v>77</v>
      </c>
      <c r="W718" s="21">
        <v>1</v>
      </c>
      <c r="X718" s="20" t="str">
        <f>IFERROR(INDEX('Firm Master'!$G$2:$G$1000,MATCH($C718,'Firm Master'!$B$2:$B$1000,0)),"")</f>
        <v>KPMG Professional Services</v>
      </c>
    </row>
    <row r="719" spans="1:24" ht="15" customHeight="1" x14ac:dyDescent="0.3">
      <c r="A719" s="11">
        <v>718</v>
      </c>
      <c r="B719" s="11">
        <v>144</v>
      </c>
      <c r="C719" s="11" t="s">
        <v>1374</v>
      </c>
      <c r="D719" s="11" t="s">
        <v>1375</v>
      </c>
      <c r="E719" s="11" t="s">
        <v>709</v>
      </c>
      <c r="F719" s="11">
        <v>2023</v>
      </c>
      <c r="G719" s="20">
        <f t="shared" si="77"/>
        <v>1</v>
      </c>
      <c r="H719" s="21">
        <v>0</v>
      </c>
      <c r="I719" s="21">
        <f>IFERROR(INDEX('Coding Sheet'!$AC$2:$AC$731,MATCH($B719&amp;"_"&amp;$F719,'Coding Sheet'!$A$2:$A$731,0)),"")</f>
        <v>0</v>
      </c>
      <c r="J719" s="7">
        <f>IFERROR(INDEX('Coding Sheet'!$AT$2:$AT$731,MATCH($B719&amp;"_"&amp;$F719,'Coding Sheet'!$A$2:$A$731,0)),"")</f>
        <v>0</v>
      </c>
      <c r="K719" s="21">
        <v>12858000000</v>
      </c>
      <c r="L719" s="21">
        <v>5.6003999999999996</v>
      </c>
      <c r="M719" s="20">
        <f t="shared" si="78"/>
        <v>72009943.200000003</v>
      </c>
      <c r="N719" s="21">
        <v>2108941000</v>
      </c>
      <c r="O719" s="21">
        <v>2248240000</v>
      </c>
      <c r="P719" s="20">
        <v>35989000</v>
      </c>
      <c r="Q719" s="20">
        <f t="shared" si="79"/>
        <v>0.97007034088887301</v>
      </c>
      <c r="R719" s="20">
        <f t="shared" si="80"/>
        <v>21.533413524845081</v>
      </c>
      <c r="S719" s="20">
        <f t="shared" si="81"/>
        <v>0.93804086752304028</v>
      </c>
      <c r="T719" s="20">
        <f t="shared" si="82"/>
        <v>1.6007632637085007E-2</v>
      </c>
      <c r="U719" s="20">
        <f>IFERROR(IF(ISNUMBER(INDEX('Firm Master'!$E$2:$E$1000,MATCH($C719,'Firm Master'!$B$2:$B$1000,0))),INDEX('Firm Master'!$E$2:$E$1000,MATCH($C719,'Firm Master'!$B$2:$B$1000,0)),""),"")</f>
        <v>1945</v>
      </c>
      <c r="V719" s="21">
        <f t="shared" si="83"/>
        <v>78</v>
      </c>
      <c r="W719" s="21">
        <v>1</v>
      </c>
      <c r="X719" s="20" t="str">
        <f>IFERROR(INDEX('Firm Master'!$G$2:$G$1000,MATCH($C719,'Firm Master'!$B$2:$B$1000,0)),"")</f>
        <v>KPMG Professional Services</v>
      </c>
    </row>
    <row r="720" spans="1:24" ht="15" customHeight="1" x14ac:dyDescent="0.3">
      <c r="A720" s="11">
        <v>719</v>
      </c>
      <c r="B720" s="11">
        <v>144</v>
      </c>
      <c r="C720" s="11" t="s">
        <v>1374</v>
      </c>
      <c r="D720" s="11" t="s">
        <v>1375</v>
      </c>
      <c r="E720" s="11" t="s">
        <v>709</v>
      </c>
      <c r="F720" s="11">
        <v>2024</v>
      </c>
      <c r="G720" s="20">
        <f t="shared" si="77"/>
        <v>1</v>
      </c>
      <c r="H720" s="21">
        <v>0</v>
      </c>
      <c r="I720" s="21">
        <f>IFERROR(INDEX('Coding Sheet'!$AC$2:$AC$731,MATCH($B720&amp;"_"&amp;$F720,'Coding Sheet'!$A$2:$A$731,0)),"")</f>
        <v>0</v>
      </c>
      <c r="J720" s="7">
        <f>IFERROR(INDEX('Coding Sheet'!$AT$2:$AT$731,MATCH($B720&amp;"_"&amp;$F720,'Coding Sheet'!$A$2:$A$731,0)),"")</f>
        <v>0</v>
      </c>
      <c r="K720" s="21">
        <v>21430000000</v>
      </c>
      <c r="L720" s="21">
        <v>9.0998999999999999</v>
      </c>
      <c r="M720" s="20">
        <f t="shared" si="78"/>
        <v>195010857</v>
      </c>
      <c r="N720" s="21">
        <v>3336807000</v>
      </c>
      <c r="O720" s="21">
        <v>3593228000</v>
      </c>
      <c r="P720" s="20">
        <v>86280000</v>
      </c>
      <c r="Q720" s="20">
        <f t="shared" si="79"/>
        <v>0.98290947777318893</v>
      </c>
      <c r="R720" s="20">
        <f t="shared" si="80"/>
        <v>22.002316799785902</v>
      </c>
      <c r="S720" s="20">
        <f t="shared" si="81"/>
        <v>0.92863770403659329</v>
      </c>
      <c r="T720" s="20">
        <f t="shared" si="82"/>
        <v>2.4011835597407123E-2</v>
      </c>
      <c r="U720" s="20">
        <f>IFERROR(IF(ISNUMBER(INDEX('Firm Master'!$E$2:$E$1000,MATCH($C720,'Firm Master'!$B$2:$B$1000,0))),INDEX('Firm Master'!$E$2:$E$1000,MATCH($C720,'Firm Master'!$B$2:$B$1000,0)),""),"")</f>
        <v>1945</v>
      </c>
      <c r="V720" s="21">
        <f t="shared" si="83"/>
        <v>79</v>
      </c>
      <c r="W720" s="21">
        <v>1</v>
      </c>
      <c r="X720" s="20" t="str">
        <f>IFERROR(INDEX('Firm Master'!$G$2:$G$1000,MATCH($C720,'Firm Master'!$B$2:$B$1000,0)),"")</f>
        <v>KPMG Professional Services</v>
      </c>
    </row>
    <row r="721" spans="1:24" ht="15" customHeight="1" x14ac:dyDescent="0.3">
      <c r="A721" s="11">
        <v>720</v>
      </c>
      <c r="B721" s="11">
        <v>144</v>
      </c>
      <c r="C721" s="11" t="s">
        <v>1374</v>
      </c>
      <c r="D721" s="11" t="s">
        <v>1375</v>
      </c>
      <c r="E721" s="11" t="s">
        <v>709</v>
      </c>
      <c r="F721" s="11">
        <v>2025</v>
      </c>
      <c r="G721" s="20">
        <f t="shared" si="77"/>
        <v>1</v>
      </c>
      <c r="H721" s="21">
        <v>1</v>
      </c>
      <c r="I721" s="21">
        <f>IFERROR(INDEX('Coding Sheet'!$AC$2:$AC$731,MATCH($B721&amp;"_"&amp;$F721,'Coding Sheet'!$A$2:$A$731,0)),"")</f>
        <v>60</v>
      </c>
      <c r="J721" s="7">
        <f>IFERROR(INDEX('Coding Sheet'!$AT$2:$AT$731,MATCH($B721&amp;"_"&amp;$F721,'Coding Sheet'!$A$2:$A$731,0)),"")</f>
        <v>13.333333333333334</v>
      </c>
      <c r="K721" s="21">
        <v>40119000000</v>
      </c>
      <c r="L721" s="21">
        <v>20.400099999999998</v>
      </c>
      <c r="M721" s="20">
        <f t="shared" si="78"/>
        <v>818431611.89999986</v>
      </c>
      <c r="N721" s="21">
        <v>4451847000</v>
      </c>
      <c r="O721" s="21">
        <v>5072310000</v>
      </c>
      <c r="P721" s="20">
        <v>194476000</v>
      </c>
      <c r="Q721" s="20">
        <f t="shared" si="79"/>
        <v>1.0390292809193444</v>
      </c>
      <c r="R721" s="20">
        <f t="shared" si="80"/>
        <v>22.347062172087409</v>
      </c>
      <c r="S721" s="20">
        <f t="shared" si="81"/>
        <v>0.8776764432773233</v>
      </c>
      <c r="T721" s="20">
        <f t="shared" si="82"/>
        <v>3.8340716557150489E-2</v>
      </c>
      <c r="U721" s="20">
        <f>IFERROR(IF(ISNUMBER(INDEX('Firm Master'!$E$2:$E$1000,MATCH($C721,'Firm Master'!$B$2:$B$1000,0))),INDEX('Firm Master'!$E$2:$E$1000,MATCH($C721,'Firm Master'!$B$2:$B$1000,0)),""),"")</f>
        <v>1945</v>
      </c>
      <c r="V721" s="21">
        <f t="shared" si="83"/>
        <v>80</v>
      </c>
      <c r="W721" s="21">
        <v>1</v>
      </c>
      <c r="X721" s="20" t="str">
        <f>IFERROR(INDEX('Firm Master'!$G$2:$G$1000,MATCH($C721,'Firm Master'!$B$2:$B$1000,0)),"")</f>
        <v>KPMG Professional Services</v>
      </c>
    </row>
    <row r="722" spans="1:24" ht="15" customHeight="1" x14ac:dyDescent="0.3">
      <c r="A722" s="11">
        <v>721</v>
      </c>
      <c r="B722" s="11">
        <v>145</v>
      </c>
      <c r="C722" s="11" t="s">
        <v>1377</v>
      </c>
      <c r="D722" s="11" t="s">
        <v>1378</v>
      </c>
      <c r="E722" s="11" t="s">
        <v>709</v>
      </c>
      <c r="F722" s="11">
        <v>2021</v>
      </c>
      <c r="G722" s="20">
        <f t="shared" si="77"/>
        <v>0</v>
      </c>
      <c r="H722" s="21">
        <v>0</v>
      </c>
      <c r="I722" s="21">
        <f>IFERROR(INDEX('Coding Sheet'!$AC$2:$AC$731,MATCH($B722&amp;"_"&amp;$F722,'Coding Sheet'!$A$2:$A$731,0)),"")</f>
        <v>0</v>
      </c>
      <c r="J722" s="7">
        <f>IFERROR(INDEX('Coding Sheet'!$AT$2:$AT$731,MATCH($B722&amp;"_"&amp;$F722,'Coding Sheet'!$A$2:$A$731,0)),"")</f>
        <v>0</v>
      </c>
      <c r="K722" s="21">
        <v>31396000000</v>
      </c>
      <c r="L722" s="21">
        <v>25.150300000000001</v>
      </c>
      <c r="M722" s="20">
        <f t="shared" si="78"/>
        <v>789618818.79999995</v>
      </c>
      <c r="N722" s="21">
        <v>8168181000</v>
      </c>
      <c r="O722" s="21">
        <v>9447843000</v>
      </c>
      <c r="P722" s="20">
        <v>244402000</v>
      </c>
      <c r="Q722" s="20">
        <f t="shared" si="79"/>
        <v>0.94813173957272567</v>
      </c>
      <c r="R722" s="20">
        <f t="shared" si="80"/>
        <v>22.969052298429908</v>
      </c>
      <c r="S722" s="20">
        <f t="shared" si="81"/>
        <v>0.86455511591375933</v>
      </c>
      <c r="T722" s="20">
        <f t="shared" si="82"/>
        <v>2.586855010185923E-2</v>
      </c>
      <c r="U722" s="20">
        <f>IFERROR(IF(ISNUMBER(INDEX('Firm Master'!$E$2:$E$1000,MATCH($C722,'Firm Master'!$B$2:$B$1000,0))),INDEX('Firm Master'!$E$2:$E$1000,MATCH($C722,'Firm Master'!$B$2:$B$1000,0)),""),"")</f>
        <v>1990</v>
      </c>
      <c r="V722" s="21">
        <f t="shared" si="83"/>
        <v>31</v>
      </c>
      <c r="W722" s="21">
        <v>0</v>
      </c>
      <c r="X722" s="20" t="str">
        <f>IFERROR(INDEX('Firm Master'!$G$2:$G$1000,MATCH($C722,'Firm Master'!$B$2:$B$1000,0)),"")</f>
        <v>UNRESOLVED</v>
      </c>
    </row>
    <row r="723" spans="1:24" ht="15" customHeight="1" x14ac:dyDescent="0.3">
      <c r="A723" s="11">
        <v>722</v>
      </c>
      <c r="B723" s="11">
        <v>145</v>
      </c>
      <c r="C723" s="11" t="s">
        <v>1377</v>
      </c>
      <c r="D723" s="11" t="s">
        <v>1378</v>
      </c>
      <c r="E723" s="11" t="s">
        <v>709</v>
      </c>
      <c r="F723" s="11">
        <v>2022</v>
      </c>
      <c r="G723" s="20">
        <f t="shared" si="77"/>
        <v>0</v>
      </c>
      <c r="H723" s="21">
        <v>0</v>
      </c>
      <c r="I723" s="21">
        <f>IFERROR(INDEX('Coding Sheet'!$AC$2:$AC$731,MATCH($B723&amp;"_"&amp;$F723,'Coding Sheet'!$A$2:$A$731,0)),"")</f>
        <v>0</v>
      </c>
      <c r="J723" s="7">
        <f>IFERROR(INDEX('Coding Sheet'!$AT$2:$AT$731,MATCH($B723&amp;"_"&amp;$F723,'Coding Sheet'!$A$2:$A$731,0)),"")</f>
        <v>0</v>
      </c>
      <c r="K723" s="21">
        <v>31396000000</v>
      </c>
      <c r="L723" s="21">
        <v>24.000499999999999</v>
      </c>
      <c r="M723" s="20">
        <f t="shared" si="78"/>
        <v>753519698</v>
      </c>
      <c r="N723" s="21">
        <v>10906689000</v>
      </c>
      <c r="O723" s="21">
        <v>12285629000</v>
      </c>
      <c r="P723" s="20">
        <v>224050000</v>
      </c>
      <c r="Q723" s="20">
        <f t="shared" si="79"/>
        <v>0.94909334296192727</v>
      </c>
      <c r="R723" s="20">
        <f t="shared" si="80"/>
        <v>23.231696042260047</v>
      </c>
      <c r="S723" s="20">
        <f t="shared" si="81"/>
        <v>0.88775991851943437</v>
      </c>
      <c r="T723" s="20">
        <f t="shared" si="82"/>
        <v>1.8236754503981847E-2</v>
      </c>
      <c r="U723" s="20">
        <f>IFERROR(IF(ISNUMBER(INDEX('Firm Master'!$E$2:$E$1000,MATCH($C723,'Firm Master'!$B$2:$B$1000,0))),INDEX('Firm Master'!$E$2:$E$1000,MATCH($C723,'Firm Master'!$B$2:$B$1000,0)),""),"")</f>
        <v>1990</v>
      </c>
      <c r="V723" s="21">
        <f t="shared" si="83"/>
        <v>32</v>
      </c>
      <c r="W723" s="21">
        <v>0</v>
      </c>
      <c r="X723" s="20" t="str">
        <f>IFERROR(INDEX('Firm Master'!$G$2:$G$1000,MATCH($C723,'Firm Master'!$B$2:$B$1000,0)),"")</f>
        <v>UNRESOLVED</v>
      </c>
    </row>
    <row r="724" spans="1:24" ht="15" customHeight="1" x14ac:dyDescent="0.3">
      <c r="A724" s="11">
        <v>723</v>
      </c>
      <c r="B724" s="11">
        <v>145</v>
      </c>
      <c r="C724" s="11" t="s">
        <v>1377</v>
      </c>
      <c r="D724" s="11" t="s">
        <v>1378</v>
      </c>
      <c r="E724" s="11" t="s">
        <v>709</v>
      </c>
      <c r="F724" s="11">
        <v>2023</v>
      </c>
      <c r="G724" s="20">
        <f t="shared" si="77"/>
        <v>1</v>
      </c>
      <c r="H724" s="21">
        <v>0</v>
      </c>
      <c r="I724" s="21">
        <f>IFERROR(INDEX('Coding Sheet'!$AC$2:$AC$731,MATCH($B724&amp;"_"&amp;$F724,'Coding Sheet'!$A$2:$A$731,0)),"")</f>
        <v>0</v>
      </c>
      <c r="J724" s="7">
        <f>IFERROR(INDEX('Coding Sheet'!$AT$2:$AT$731,MATCH($B724&amp;"_"&amp;$F724,'Coding Sheet'!$A$2:$A$731,0)),"")</f>
        <v>0</v>
      </c>
      <c r="K724" s="21">
        <v>31396000000</v>
      </c>
      <c r="L724" s="21">
        <v>38.539900000000003</v>
      </c>
      <c r="M724" s="20">
        <f t="shared" si="78"/>
        <v>1209998700.4000001</v>
      </c>
      <c r="N724" s="21">
        <v>18045075000</v>
      </c>
      <c r="O724" s="21">
        <v>20368455000</v>
      </c>
      <c r="P724" s="20">
        <v>676569000</v>
      </c>
      <c r="Q724" s="20">
        <f t="shared" si="79"/>
        <v>0.94533796011528615</v>
      </c>
      <c r="R724" s="20">
        <f t="shared" si="80"/>
        <v>23.737253217475029</v>
      </c>
      <c r="S724" s="20">
        <f t="shared" si="81"/>
        <v>0.88593243817461853</v>
      </c>
      <c r="T724" s="20">
        <f t="shared" si="82"/>
        <v>3.3216510530621982E-2</v>
      </c>
      <c r="U724" s="20">
        <f>IFERROR(IF(ISNUMBER(INDEX('Firm Master'!$E$2:$E$1000,MATCH($C724,'Firm Master'!$B$2:$B$1000,0))),INDEX('Firm Master'!$E$2:$E$1000,MATCH($C724,'Firm Master'!$B$2:$B$1000,0)),""),"")</f>
        <v>1990</v>
      </c>
      <c r="V724" s="21">
        <f t="shared" si="83"/>
        <v>33</v>
      </c>
      <c r="W724" s="21">
        <v>0</v>
      </c>
      <c r="X724" s="20" t="str">
        <f>IFERROR(INDEX('Firm Master'!$G$2:$G$1000,MATCH($C724,'Firm Master'!$B$2:$B$1000,0)),"")</f>
        <v>UNRESOLVED</v>
      </c>
    </row>
    <row r="725" spans="1:24" ht="15" customHeight="1" x14ac:dyDescent="0.3">
      <c r="A725" s="11">
        <v>724</v>
      </c>
      <c r="B725" s="11">
        <v>145</v>
      </c>
      <c r="C725" s="11" t="s">
        <v>1377</v>
      </c>
      <c r="D725" s="11" t="s">
        <v>1378</v>
      </c>
      <c r="E725" s="11" t="s">
        <v>709</v>
      </c>
      <c r="F725" s="11">
        <v>2024</v>
      </c>
      <c r="G725" s="20">
        <f t="shared" si="77"/>
        <v>1</v>
      </c>
      <c r="H725" s="21">
        <v>0</v>
      </c>
      <c r="I725" s="21">
        <f>IFERROR(INDEX('Coding Sheet'!$AC$2:$AC$731,MATCH($B725&amp;"_"&amp;$F725,'Coding Sheet'!$A$2:$A$731,0)),"")</f>
        <v>5</v>
      </c>
      <c r="J725" s="7">
        <f>IFERROR(INDEX('Coding Sheet'!$AT$2:$AT$731,MATCH($B725&amp;"_"&amp;$F725,'Coding Sheet'!$A$2:$A$731,0)),"")</f>
        <v>0</v>
      </c>
      <c r="K725" s="21">
        <v>31396000000</v>
      </c>
      <c r="L725" s="21">
        <v>45.547199999999997</v>
      </c>
      <c r="M725" s="20">
        <f t="shared" si="78"/>
        <v>1429999891.2</v>
      </c>
      <c r="N725" s="21">
        <v>25928252000</v>
      </c>
      <c r="O725" s="21">
        <v>29957525000</v>
      </c>
      <c r="P725" s="20">
        <v>1032711000</v>
      </c>
      <c r="Q725" s="20">
        <f t="shared" si="79"/>
        <v>0.91323471786137211</v>
      </c>
      <c r="R725" s="20">
        <f t="shared" si="80"/>
        <v>24.123046382036161</v>
      </c>
      <c r="S725" s="20">
        <f t="shared" si="81"/>
        <v>0.86550047108364259</v>
      </c>
      <c r="T725" s="20">
        <f t="shared" si="82"/>
        <v>3.447250732495425E-2</v>
      </c>
      <c r="U725" s="20">
        <f>IFERROR(IF(ISNUMBER(INDEX('Firm Master'!$E$2:$E$1000,MATCH($C725,'Firm Master'!$B$2:$B$1000,0))),INDEX('Firm Master'!$E$2:$E$1000,MATCH($C725,'Firm Master'!$B$2:$B$1000,0)),""),"")</f>
        <v>1990</v>
      </c>
      <c r="V725" s="21">
        <f t="shared" si="83"/>
        <v>34</v>
      </c>
      <c r="W725" s="21">
        <v>0</v>
      </c>
      <c r="X725" s="20" t="str">
        <f>IFERROR(INDEX('Firm Master'!$G$2:$G$1000,MATCH($C725,'Firm Master'!$B$2:$B$1000,0)),"")</f>
        <v>UNRESOLVED</v>
      </c>
    </row>
    <row r="726" spans="1:24" ht="15" customHeight="1" x14ac:dyDescent="0.3">
      <c r="A726" s="11">
        <v>725</v>
      </c>
      <c r="B726" s="11">
        <v>145</v>
      </c>
      <c r="C726" s="11" t="s">
        <v>1377</v>
      </c>
      <c r="D726" s="11" t="s">
        <v>1378</v>
      </c>
      <c r="E726" s="11" t="s">
        <v>709</v>
      </c>
      <c r="F726" s="11">
        <v>2025</v>
      </c>
      <c r="G726" s="20">
        <f t="shared" si="77"/>
        <v>1</v>
      </c>
      <c r="H726" s="21">
        <v>1</v>
      </c>
      <c r="I726" s="21">
        <f>IFERROR(INDEX('Coding Sheet'!$AC$2:$AC$731,MATCH($B726&amp;"_"&amp;$F726,'Coding Sheet'!$A$2:$A$731,0)),"")</f>
        <v>85</v>
      </c>
      <c r="J726" s="7">
        <f>IFERROR(INDEX('Coding Sheet'!$AT$2:$AT$731,MATCH($B726&amp;"_"&amp;$F726,'Coding Sheet'!$A$2:$A$731,0)),"")</f>
        <v>66.666666666666657</v>
      </c>
      <c r="K726" s="21">
        <v>41070000000</v>
      </c>
      <c r="L726" s="21">
        <v>61.845599999999997</v>
      </c>
      <c r="M726" s="20">
        <f t="shared" si="78"/>
        <v>2539998792</v>
      </c>
      <c r="N726" s="21">
        <v>26533845000</v>
      </c>
      <c r="O726" s="21">
        <v>31458051000</v>
      </c>
      <c r="P726" s="20">
        <v>1039747000</v>
      </c>
      <c r="Q726" s="20">
        <f t="shared" si="79"/>
        <v>0.92420995159553909</v>
      </c>
      <c r="R726" s="20">
        <f t="shared" si="80"/>
        <v>24.17192078097278</v>
      </c>
      <c r="S726" s="20">
        <f t="shared" si="81"/>
        <v>0.84346754349148967</v>
      </c>
      <c r="T726" s="20">
        <f t="shared" si="82"/>
        <v>3.3051856899844176E-2</v>
      </c>
      <c r="U726" s="20">
        <f>IFERROR(IF(ISNUMBER(INDEX('Firm Master'!$E$2:$E$1000,MATCH($C726,'Firm Master'!$B$2:$B$1000,0))),INDEX('Firm Master'!$E$2:$E$1000,MATCH($C726,'Firm Master'!$B$2:$B$1000,0)),""),"")</f>
        <v>1990</v>
      </c>
      <c r="V726" s="21">
        <f t="shared" si="83"/>
        <v>35</v>
      </c>
      <c r="W726" s="21">
        <v>0</v>
      </c>
      <c r="X726" s="20" t="str">
        <f>IFERROR(INDEX('Firm Master'!$G$2:$G$1000,MATCH($C726,'Firm Master'!$B$2:$B$1000,0)),"")</f>
        <v>UNRESOLVED</v>
      </c>
    </row>
    <row r="727" spans="1:24" ht="15" customHeight="1" x14ac:dyDescent="0.3">
      <c r="A727" s="16">
        <v>726</v>
      </c>
      <c r="B727" s="16">
        <v>146</v>
      </c>
      <c r="C727" s="16" t="s">
        <v>1381</v>
      </c>
      <c r="D727" s="16" t="s">
        <v>1855</v>
      </c>
      <c r="E727" s="16" t="s">
        <v>903</v>
      </c>
      <c r="F727" s="16">
        <v>2021</v>
      </c>
      <c r="G727" s="16">
        <f t="shared" si="77"/>
        <v>0</v>
      </c>
      <c r="H727" s="16">
        <v>0</v>
      </c>
      <c r="I727" s="16" t="str">
        <f>IFERROR(INDEX('Coding Sheet'!$AC$2:$AC$731,MATCH($B727&amp;"_"&amp;$F727,'Coding Sheet'!$A$2:$A$731,0)),"")</f>
        <v/>
      </c>
      <c r="J727" s="22" t="str">
        <f>IFERROR(INDEX('Coding Sheet'!$AT$2:$AT$731,MATCH($B727&amp;"_"&amp;$F727,'Coding Sheet'!$A$2:$A$731,0)),"")</f>
        <v/>
      </c>
      <c r="K727" s="16"/>
      <c r="L727" s="16"/>
      <c r="M727" s="16" t="str">
        <f t="shared" si="78"/>
        <v/>
      </c>
      <c r="N727" s="16"/>
      <c r="O727" s="16"/>
      <c r="P727" s="16"/>
      <c r="Q727" s="16" t="str">
        <f t="shared" si="79"/>
        <v/>
      </c>
      <c r="R727" s="16" t="str">
        <f t="shared" si="80"/>
        <v/>
      </c>
      <c r="S727" s="16" t="str">
        <f t="shared" si="81"/>
        <v/>
      </c>
      <c r="T727" s="16" t="str">
        <f t="shared" si="82"/>
        <v/>
      </c>
      <c r="U727" s="16">
        <f>IFERROR(IF(ISNUMBER(INDEX('Firm Master'!$E$2:$E$1000,MATCH($C727,'Firm Master'!$B$2:$B$1000,0))),INDEX('Firm Master'!$E$2:$E$1000,MATCH($C727,'Firm Master'!$B$2:$B$1000,0)),""),"")</f>
        <v>2012</v>
      </c>
      <c r="V727" s="16">
        <f t="shared" si="83"/>
        <v>9</v>
      </c>
      <c r="W727" s="16"/>
      <c r="X727" s="16" t="str">
        <f>IFERROR(INDEX('Firm Master'!$G$2:$G$1000,MATCH($C727,'Firm Master'!$B$2:$B$1000,0)),"")</f>
        <v>V. O. Olafamoye &amp; Co.</v>
      </c>
    </row>
    <row r="728" spans="1:24" ht="15" customHeight="1" x14ac:dyDescent="0.3">
      <c r="A728" s="16">
        <v>727</v>
      </c>
      <c r="B728" s="16">
        <v>146</v>
      </c>
      <c r="C728" s="16" t="s">
        <v>1381</v>
      </c>
      <c r="D728" s="16" t="s">
        <v>1855</v>
      </c>
      <c r="E728" s="16" t="s">
        <v>903</v>
      </c>
      <c r="F728" s="16">
        <v>2022</v>
      </c>
      <c r="G728" s="16">
        <f t="shared" si="77"/>
        <v>0</v>
      </c>
      <c r="H728" s="16">
        <v>0</v>
      </c>
      <c r="I728" s="16" t="str">
        <f>IFERROR(INDEX('Coding Sheet'!$AC$2:$AC$731,MATCH($B728&amp;"_"&amp;$F728,'Coding Sheet'!$A$2:$A$731,0)),"")</f>
        <v/>
      </c>
      <c r="J728" s="22" t="str">
        <f>IFERROR(INDEX('Coding Sheet'!$AT$2:$AT$731,MATCH($B728&amp;"_"&amp;$F728,'Coding Sheet'!$A$2:$A$731,0)),"")</f>
        <v/>
      </c>
      <c r="K728" s="16"/>
      <c r="L728" s="16"/>
      <c r="M728" s="16" t="str">
        <f t="shared" si="78"/>
        <v/>
      </c>
      <c r="N728" s="16"/>
      <c r="O728" s="16"/>
      <c r="P728" s="16"/>
      <c r="Q728" s="16" t="str">
        <f t="shared" si="79"/>
        <v/>
      </c>
      <c r="R728" s="16" t="str">
        <f t="shared" si="80"/>
        <v/>
      </c>
      <c r="S728" s="16" t="str">
        <f t="shared" si="81"/>
        <v/>
      </c>
      <c r="T728" s="16" t="str">
        <f t="shared" si="82"/>
        <v/>
      </c>
      <c r="U728" s="16">
        <f>IFERROR(IF(ISNUMBER(INDEX('Firm Master'!$E$2:$E$1000,MATCH($C728,'Firm Master'!$B$2:$B$1000,0))),INDEX('Firm Master'!$E$2:$E$1000,MATCH($C728,'Firm Master'!$B$2:$B$1000,0)),""),"")</f>
        <v>2012</v>
      </c>
      <c r="V728" s="16">
        <f t="shared" si="83"/>
        <v>10</v>
      </c>
      <c r="W728" s="16"/>
      <c r="X728" s="16" t="str">
        <f>IFERROR(INDEX('Firm Master'!$G$2:$G$1000,MATCH($C728,'Firm Master'!$B$2:$B$1000,0)),"")</f>
        <v>V. O. Olafamoye &amp; Co.</v>
      </c>
    </row>
    <row r="729" spans="1:24" ht="15" customHeight="1" x14ac:dyDescent="0.3">
      <c r="A729" s="16">
        <v>728</v>
      </c>
      <c r="B729" s="16">
        <v>146</v>
      </c>
      <c r="C729" s="16" t="s">
        <v>1381</v>
      </c>
      <c r="D729" s="16" t="s">
        <v>1855</v>
      </c>
      <c r="E729" s="16" t="s">
        <v>903</v>
      </c>
      <c r="F729" s="16">
        <v>2023</v>
      </c>
      <c r="G729" s="16">
        <f t="shared" si="77"/>
        <v>1</v>
      </c>
      <c r="H729" s="16">
        <v>0</v>
      </c>
      <c r="I729" s="16" t="str">
        <f>IFERROR(INDEX('Coding Sheet'!$AC$2:$AC$731,MATCH($B729&amp;"_"&amp;$F729,'Coding Sheet'!$A$2:$A$731,0)),"")</f>
        <v/>
      </c>
      <c r="J729" s="22" t="str">
        <f>IFERROR(INDEX('Coding Sheet'!$AT$2:$AT$731,MATCH($B729&amp;"_"&amp;$F729,'Coding Sheet'!$A$2:$A$731,0)),"")</f>
        <v/>
      </c>
      <c r="K729" s="16"/>
      <c r="L729" s="16"/>
      <c r="M729" s="16" t="str">
        <f t="shared" si="78"/>
        <v/>
      </c>
      <c r="N729" s="16"/>
      <c r="O729" s="16"/>
      <c r="P729" s="16"/>
      <c r="Q729" s="16" t="str">
        <f t="shared" si="79"/>
        <v/>
      </c>
      <c r="R729" s="16" t="str">
        <f t="shared" si="80"/>
        <v/>
      </c>
      <c r="S729" s="16" t="str">
        <f t="shared" si="81"/>
        <v/>
      </c>
      <c r="T729" s="16" t="str">
        <f t="shared" si="82"/>
        <v/>
      </c>
      <c r="U729" s="16">
        <f>IFERROR(IF(ISNUMBER(INDEX('Firm Master'!$E$2:$E$1000,MATCH($C729,'Firm Master'!$B$2:$B$1000,0))),INDEX('Firm Master'!$E$2:$E$1000,MATCH($C729,'Firm Master'!$B$2:$B$1000,0)),""),"")</f>
        <v>2012</v>
      </c>
      <c r="V729" s="16">
        <f t="shared" si="83"/>
        <v>11</v>
      </c>
      <c r="W729" s="16"/>
      <c r="X729" s="16" t="str">
        <f>IFERROR(INDEX('Firm Master'!$G$2:$G$1000,MATCH($C729,'Firm Master'!$B$2:$B$1000,0)),"")</f>
        <v>V. O. Olafamoye &amp; Co.</v>
      </c>
    </row>
    <row r="730" spans="1:24" ht="15" customHeight="1" x14ac:dyDescent="0.3">
      <c r="A730" s="16">
        <v>729</v>
      </c>
      <c r="B730" s="16">
        <v>146</v>
      </c>
      <c r="C730" s="16" t="s">
        <v>1381</v>
      </c>
      <c r="D730" s="16" t="s">
        <v>1855</v>
      </c>
      <c r="E730" s="16" t="s">
        <v>903</v>
      </c>
      <c r="F730" s="16">
        <v>2024</v>
      </c>
      <c r="G730" s="16">
        <f t="shared" si="77"/>
        <v>1</v>
      </c>
      <c r="H730" s="16">
        <v>0</v>
      </c>
      <c r="I730" s="16">
        <f>IFERROR(INDEX('Coding Sheet'!$AC$2:$AC$731,MATCH($B730&amp;"_"&amp;$F730,'Coding Sheet'!$A$2:$A$731,0)),"")</f>
        <v>0</v>
      </c>
      <c r="J730" s="22">
        <f>IFERROR(INDEX('Coding Sheet'!$AT$2:$AT$731,MATCH($B730&amp;"_"&amp;$F730,'Coding Sheet'!$A$2:$A$731,0)),"")</f>
        <v>0</v>
      </c>
      <c r="K730" s="16">
        <v>600000000</v>
      </c>
      <c r="L730" s="16"/>
      <c r="M730" s="16" t="str">
        <f t="shared" si="78"/>
        <v/>
      </c>
      <c r="N730" s="16">
        <v>23684143</v>
      </c>
      <c r="O730" s="16">
        <v>867276894</v>
      </c>
      <c r="P730" s="16">
        <v>56710869</v>
      </c>
      <c r="Q730" s="16" t="str">
        <f t="shared" si="79"/>
        <v/>
      </c>
      <c r="R730" s="16">
        <f t="shared" si="80"/>
        <v>20.58086885399921</v>
      </c>
      <c r="S730" s="16">
        <f t="shared" si="81"/>
        <v>2.7308629070890478E-2</v>
      </c>
      <c r="T730" s="16">
        <f t="shared" si="82"/>
        <v>6.5389576722656231E-2</v>
      </c>
      <c r="U730" s="16">
        <f>IFERROR(IF(ISNUMBER(INDEX('Firm Master'!$E$2:$E$1000,MATCH($C730,'Firm Master'!$B$2:$B$1000,0))),INDEX('Firm Master'!$E$2:$E$1000,MATCH($C730,'Firm Master'!$B$2:$B$1000,0)),""),"")</f>
        <v>2012</v>
      </c>
      <c r="V730" s="16">
        <f t="shared" si="83"/>
        <v>12</v>
      </c>
      <c r="W730" s="16">
        <v>0</v>
      </c>
      <c r="X730" s="16" t="str">
        <f>IFERROR(INDEX('Firm Master'!$G$2:$G$1000,MATCH($C730,'Firm Master'!$B$2:$B$1000,0)),"")</f>
        <v>V. O. Olafamoye &amp; Co.</v>
      </c>
    </row>
    <row r="731" spans="1:24" ht="15" customHeight="1" x14ac:dyDescent="0.3">
      <c r="A731" s="16">
        <v>730</v>
      </c>
      <c r="B731" s="16">
        <v>146</v>
      </c>
      <c r="C731" s="16" t="s">
        <v>1381</v>
      </c>
      <c r="D731" s="16" t="s">
        <v>1855</v>
      </c>
      <c r="E731" s="16" t="s">
        <v>903</v>
      </c>
      <c r="F731" s="16">
        <v>2025</v>
      </c>
      <c r="G731" s="16">
        <f t="shared" si="77"/>
        <v>1</v>
      </c>
      <c r="H731" s="16">
        <v>0</v>
      </c>
      <c r="I731" s="16">
        <f>IFERROR(INDEX('Coding Sheet'!$AC$2:$AC$731,MATCH($B731&amp;"_"&amp;$F731,'Coding Sheet'!$A$2:$A$731,0)),"")</f>
        <v>5</v>
      </c>
      <c r="J731" s="22">
        <f>IFERROR(INDEX('Coding Sheet'!$AT$2:$AT$731,MATCH($B731&amp;"_"&amp;$F731,'Coding Sheet'!$A$2:$A$731,0)),"")</f>
        <v>0</v>
      </c>
      <c r="K731" s="16">
        <v>600000000</v>
      </c>
      <c r="L731" s="16"/>
      <c r="M731" s="16" t="str">
        <f t="shared" si="78"/>
        <v/>
      </c>
      <c r="N731" s="16">
        <v>54060031</v>
      </c>
      <c r="O731" s="16">
        <v>1225714633</v>
      </c>
      <c r="P731" s="16">
        <v>328061851</v>
      </c>
      <c r="Q731" s="16" t="str">
        <f t="shared" si="79"/>
        <v/>
      </c>
      <c r="R731" s="16">
        <f t="shared" si="80"/>
        <v>20.926789884724261</v>
      </c>
      <c r="S731" s="16">
        <f t="shared" si="81"/>
        <v>4.4104907899879822E-2</v>
      </c>
      <c r="T731" s="16">
        <f t="shared" si="82"/>
        <v>0.26764945295386711</v>
      </c>
      <c r="U731" s="16">
        <f>IFERROR(IF(ISNUMBER(INDEX('Firm Master'!$E$2:$E$1000,MATCH($C731,'Firm Master'!$B$2:$B$1000,0))),INDEX('Firm Master'!$E$2:$E$1000,MATCH($C731,'Firm Master'!$B$2:$B$1000,0)),""),"")</f>
        <v>2012</v>
      </c>
      <c r="V731" s="16">
        <f t="shared" si="83"/>
        <v>13</v>
      </c>
      <c r="W731" s="16">
        <v>0</v>
      </c>
      <c r="X731" s="16" t="str">
        <f>IFERROR(INDEX('Firm Master'!$G$2:$G$1000,MATCH($C731,'Firm Master'!$B$2:$B$1000,0)),"")</f>
        <v>V. O. Olafamoye &amp; Co.</v>
      </c>
    </row>
  </sheetData>
  <dataValidations count="1">
    <dataValidation type="list" allowBlank="1" sqref="H2:H731 W2:W731" xr:uid="{00000000-0002-0000-0400-000000000000}">
      <formula1>"0,1"</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658"/>
  <sheetViews>
    <sheetView zoomScaleNormal="100" workbookViewId="0">
      <pane ySplit="1" topLeftCell="A2" activePane="bottomLeft" state="frozen"/>
      <selection pane="bottomLeft" activeCell="E28" sqref="E28"/>
    </sheetView>
  </sheetViews>
  <sheetFormatPr defaultColWidth="8.6640625" defaultRowHeight="14.4" x14ac:dyDescent="0.3"/>
  <cols>
    <col min="1" max="1" width="6" customWidth="1"/>
    <col min="2" max="2" width="8" customWidth="1"/>
    <col min="3" max="3" width="12" customWidth="1"/>
    <col min="4" max="4" width="32" customWidth="1"/>
    <col min="5" max="5" width="18" customWidth="1"/>
    <col min="6" max="6" width="7" customWidth="1"/>
    <col min="7" max="7" width="11" customWidth="1"/>
    <col min="8" max="10" width="13" customWidth="1"/>
    <col min="11" max="11" width="16" customWidth="1"/>
    <col min="12" max="12" width="14" customWidth="1"/>
    <col min="13" max="13" width="16" customWidth="1"/>
    <col min="14" max="14" width="15" customWidth="1"/>
    <col min="15" max="15" width="13" customWidth="1"/>
    <col min="16" max="16" width="14" customWidth="1"/>
    <col min="17" max="17" width="10" customWidth="1"/>
    <col min="18" max="18" width="12" customWidth="1"/>
    <col min="19" max="19" width="10" customWidth="1"/>
    <col min="20" max="20" width="9" customWidth="1"/>
    <col min="21" max="21" width="12" customWidth="1"/>
    <col min="22" max="22" width="9" customWidth="1"/>
    <col min="23" max="23" width="11" customWidth="1"/>
    <col min="24" max="24" width="13" customWidth="1"/>
    <col min="25" max="25" width="9" customWidth="1"/>
    <col min="26" max="26" width="26" customWidth="1"/>
    <col min="27" max="27" width="60" customWidth="1"/>
  </cols>
  <sheetData>
    <row r="1" spans="1:27" ht="34.5" customHeight="1" x14ac:dyDescent="0.3">
      <c r="A1" s="4" t="s">
        <v>130</v>
      </c>
      <c r="B1" s="4" t="s">
        <v>131</v>
      </c>
      <c r="C1" s="4" t="s">
        <v>132</v>
      </c>
      <c r="D1" s="4" t="s">
        <v>133</v>
      </c>
      <c r="E1" s="4" t="s">
        <v>134</v>
      </c>
      <c r="F1" s="4" t="s">
        <v>135</v>
      </c>
      <c r="G1" s="4" t="s">
        <v>1386</v>
      </c>
      <c r="H1" s="4" t="s">
        <v>1387</v>
      </c>
      <c r="I1" s="4" t="s">
        <v>137</v>
      </c>
      <c r="J1" s="4" t="s">
        <v>139</v>
      </c>
      <c r="K1" s="4" t="s">
        <v>1388</v>
      </c>
      <c r="L1" s="4" t="s">
        <v>1389</v>
      </c>
      <c r="M1" s="4" t="s">
        <v>1390</v>
      </c>
      <c r="N1" s="4" t="s">
        <v>1391</v>
      </c>
      <c r="O1" s="4" t="s">
        <v>1392</v>
      </c>
      <c r="P1" s="4" t="s">
        <v>1393</v>
      </c>
      <c r="Q1" s="4" t="s">
        <v>1394</v>
      </c>
      <c r="R1" s="4" t="s">
        <v>1395</v>
      </c>
      <c r="S1" s="4" t="s">
        <v>1396</v>
      </c>
      <c r="T1" s="4" t="s">
        <v>1397</v>
      </c>
      <c r="U1" s="4" t="s">
        <v>700</v>
      </c>
      <c r="V1" s="4" t="s">
        <v>1398</v>
      </c>
      <c r="W1" s="4" t="s">
        <v>1399</v>
      </c>
      <c r="X1" s="4" t="s">
        <v>1400</v>
      </c>
      <c r="Y1" s="4" t="s">
        <v>1401</v>
      </c>
      <c r="Z1" s="4" t="s">
        <v>1402</v>
      </c>
      <c r="AA1" s="4" t="s">
        <v>1403</v>
      </c>
    </row>
    <row r="2" spans="1:27" ht="15" customHeight="1" x14ac:dyDescent="0.3">
      <c r="A2">
        <v>1</v>
      </c>
      <c r="B2">
        <v>1</v>
      </c>
      <c r="C2" t="s">
        <v>707</v>
      </c>
      <c r="D2" t="s">
        <v>708</v>
      </c>
      <c r="E2" t="s">
        <v>709</v>
      </c>
      <c r="F2">
        <v>2021</v>
      </c>
      <c r="G2">
        <v>0</v>
      </c>
      <c r="H2">
        <v>0</v>
      </c>
      <c r="I2">
        <v>5</v>
      </c>
      <c r="J2">
        <v>0</v>
      </c>
      <c r="K2">
        <v>10153846154</v>
      </c>
      <c r="L2">
        <v>0.66180000000000005</v>
      </c>
      <c r="M2">
        <v>6719815.3847172</v>
      </c>
      <c r="N2">
        <v>27528179</v>
      </c>
      <c r="O2">
        <v>34460435</v>
      </c>
      <c r="P2">
        <v>622198</v>
      </c>
      <c r="Q2">
        <v>0.99383523117793504</v>
      </c>
      <c r="R2">
        <v>17.3553224123158</v>
      </c>
      <c r="S2">
        <v>0.79883434437203105</v>
      </c>
      <c r="T2">
        <v>1.80554308150782E-2</v>
      </c>
      <c r="U2">
        <v>1991</v>
      </c>
      <c r="V2">
        <v>30</v>
      </c>
      <c r="W2">
        <v>11.11</v>
      </c>
      <c r="X2">
        <v>39.6</v>
      </c>
      <c r="Y2">
        <v>1</v>
      </c>
      <c r="Z2" t="s">
        <v>711</v>
      </c>
      <c r="AA2" t="s">
        <v>1404</v>
      </c>
    </row>
    <row r="3" spans="1:27" ht="15" customHeight="1" x14ac:dyDescent="0.3">
      <c r="A3">
        <v>2</v>
      </c>
      <c r="B3">
        <v>1</v>
      </c>
      <c r="C3" t="s">
        <v>707</v>
      </c>
      <c r="D3" t="s">
        <v>708</v>
      </c>
      <c r="E3" t="s">
        <v>709</v>
      </c>
      <c r="F3">
        <v>2022</v>
      </c>
      <c r="G3">
        <v>0</v>
      </c>
      <c r="H3">
        <v>0</v>
      </c>
      <c r="I3">
        <v>0</v>
      </c>
      <c r="J3">
        <v>0</v>
      </c>
      <c r="K3">
        <v>10153846154</v>
      </c>
      <c r="L3">
        <v>1.6998</v>
      </c>
      <c r="M3">
        <v>17259507.6925692</v>
      </c>
      <c r="N3">
        <v>32159818</v>
      </c>
      <c r="O3">
        <v>39858233</v>
      </c>
      <c r="P3">
        <v>766160</v>
      </c>
      <c r="Q3">
        <v>1.2398774850999801</v>
      </c>
      <c r="R3">
        <v>17.500839541610802</v>
      </c>
      <c r="S3">
        <v>0.80685508562308805</v>
      </c>
      <c r="T3">
        <v>1.9222126580473401E-2</v>
      </c>
      <c r="U3">
        <v>1991</v>
      </c>
      <c r="V3">
        <v>31</v>
      </c>
      <c r="W3">
        <v>12.5</v>
      </c>
      <c r="X3">
        <v>16.54</v>
      </c>
      <c r="Y3">
        <v>1</v>
      </c>
      <c r="Z3" t="s">
        <v>711</v>
      </c>
      <c r="AA3" t="s">
        <v>1405</v>
      </c>
    </row>
    <row r="4" spans="1:27" ht="15" customHeight="1" x14ac:dyDescent="0.3">
      <c r="A4">
        <v>3</v>
      </c>
      <c r="B4">
        <v>1</v>
      </c>
      <c r="C4" t="s">
        <v>707</v>
      </c>
      <c r="D4" t="s">
        <v>708</v>
      </c>
      <c r="E4" t="s">
        <v>709</v>
      </c>
      <c r="F4">
        <v>2023</v>
      </c>
      <c r="G4">
        <v>1</v>
      </c>
      <c r="H4">
        <v>0</v>
      </c>
      <c r="I4">
        <v>10</v>
      </c>
      <c r="J4">
        <v>0</v>
      </c>
      <c r="K4">
        <v>10153846154</v>
      </c>
      <c r="L4">
        <v>2.2198000000000002</v>
      </c>
      <c r="M4">
        <v>22539507.692649201</v>
      </c>
      <c r="N4">
        <v>48972544</v>
      </c>
      <c r="O4">
        <v>57552242</v>
      </c>
      <c r="P4">
        <v>871284</v>
      </c>
      <c r="Q4">
        <v>1.24255892051346</v>
      </c>
      <c r="R4">
        <v>17.8682036498017</v>
      </c>
      <c r="S4">
        <v>0.85092330547261696</v>
      </c>
      <c r="T4">
        <v>1.51390105706047E-2</v>
      </c>
      <c r="U4">
        <v>1991</v>
      </c>
      <c r="V4">
        <v>32</v>
      </c>
      <c r="W4">
        <v>11.11</v>
      </c>
      <c r="X4">
        <v>37.770000000000003</v>
      </c>
      <c r="Y4">
        <v>1</v>
      </c>
      <c r="Z4" t="s">
        <v>711</v>
      </c>
      <c r="AA4" t="s">
        <v>1406</v>
      </c>
    </row>
    <row r="5" spans="1:27" ht="15" customHeight="1" x14ac:dyDescent="0.3">
      <c r="A5">
        <v>4</v>
      </c>
      <c r="B5">
        <v>1</v>
      </c>
      <c r="C5" t="s">
        <v>707</v>
      </c>
      <c r="D5" t="s">
        <v>708</v>
      </c>
      <c r="E5" t="s">
        <v>709</v>
      </c>
      <c r="F5">
        <v>2024</v>
      </c>
      <c r="G5">
        <v>1</v>
      </c>
      <c r="H5">
        <v>0</v>
      </c>
      <c r="I5">
        <v>10</v>
      </c>
      <c r="J5">
        <v>0</v>
      </c>
      <c r="K5">
        <v>10153846154</v>
      </c>
      <c r="L5">
        <v>3</v>
      </c>
      <c r="M5">
        <v>30461538.462000001</v>
      </c>
      <c r="N5">
        <v>75019725</v>
      </c>
      <c r="O5">
        <v>84251461</v>
      </c>
      <c r="P5">
        <v>1068195</v>
      </c>
      <c r="Q5">
        <v>1.25198141622731</v>
      </c>
      <c r="R5">
        <v>18.249316468292701</v>
      </c>
      <c r="S5">
        <v>0.89042639865912798</v>
      </c>
      <c r="T5">
        <v>1.26786525399245E-2</v>
      </c>
      <c r="U5">
        <v>1991</v>
      </c>
      <c r="V5">
        <v>33</v>
      </c>
      <c r="W5">
        <v>20</v>
      </c>
      <c r="X5">
        <v>37.770000000000003</v>
      </c>
      <c r="Y5">
        <v>1</v>
      </c>
      <c r="Z5" t="s">
        <v>711</v>
      </c>
      <c r="AA5" t="s">
        <v>1407</v>
      </c>
    </row>
    <row r="6" spans="1:27" ht="15" customHeight="1" x14ac:dyDescent="0.3">
      <c r="A6">
        <v>5</v>
      </c>
      <c r="B6">
        <v>1</v>
      </c>
      <c r="C6" t="s">
        <v>707</v>
      </c>
      <c r="D6" t="s">
        <v>708</v>
      </c>
      <c r="E6" t="s">
        <v>709</v>
      </c>
      <c r="F6">
        <v>2025</v>
      </c>
      <c r="G6">
        <v>1</v>
      </c>
      <c r="H6">
        <v>0</v>
      </c>
      <c r="I6">
        <v>0</v>
      </c>
      <c r="J6">
        <v>0</v>
      </c>
      <c r="K6">
        <v>10153846154</v>
      </c>
      <c r="L6">
        <v>6.4</v>
      </c>
      <c r="M6">
        <v>64984615.385600001</v>
      </c>
      <c r="N6">
        <v>154067848</v>
      </c>
      <c r="O6">
        <v>165570637</v>
      </c>
      <c r="P6">
        <v>2880283</v>
      </c>
      <c r="Q6">
        <v>1.32301516352564</v>
      </c>
      <c r="R6">
        <v>18.924908471391699</v>
      </c>
      <c r="S6">
        <v>0.93052639520859004</v>
      </c>
      <c r="T6">
        <v>1.7396097835874098E-2</v>
      </c>
      <c r="U6">
        <v>1991</v>
      </c>
      <c r="V6">
        <v>34</v>
      </c>
      <c r="X6">
        <v>22.5</v>
      </c>
      <c r="Y6">
        <v>1</v>
      </c>
      <c r="Z6" t="s">
        <v>711</v>
      </c>
      <c r="AA6" t="s">
        <v>1408</v>
      </c>
    </row>
    <row r="7" spans="1:27" ht="15" customHeight="1" x14ac:dyDescent="0.3">
      <c r="A7">
        <v>6</v>
      </c>
      <c r="B7">
        <v>2</v>
      </c>
      <c r="C7" t="s">
        <v>713</v>
      </c>
      <c r="D7" t="s">
        <v>714</v>
      </c>
      <c r="E7" t="s">
        <v>715</v>
      </c>
      <c r="F7">
        <v>2021</v>
      </c>
      <c r="G7">
        <v>0</v>
      </c>
      <c r="H7">
        <v>0</v>
      </c>
      <c r="I7">
        <v>5</v>
      </c>
      <c r="J7">
        <v>0</v>
      </c>
      <c r="K7">
        <v>1657700000</v>
      </c>
      <c r="L7">
        <v>0.31</v>
      </c>
      <c r="M7">
        <v>513887</v>
      </c>
      <c r="N7">
        <v>5022365</v>
      </c>
      <c r="O7">
        <v>6081390</v>
      </c>
      <c r="P7">
        <v>-153160</v>
      </c>
      <c r="Q7">
        <v>0.91035963817482501</v>
      </c>
      <c r="R7">
        <v>15.6207438462342</v>
      </c>
      <c r="S7">
        <v>0.82585806863233602</v>
      </c>
      <c r="T7">
        <v>-2.5185031711500199E-2</v>
      </c>
      <c r="U7">
        <v>1993</v>
      </c>
      <c r="V7">
        <v>28</v>
      </c>
      <c r="Y7">
        <v>0</v>
      </c>
      <c r="Z7" t="s">
        <v>717</v>
      </c>
      <c r="AA7" t="s">
        <v>1409</v>
      </c>
    </row>
    <row r="8" spans="1:27" ht="15" customHeight="1" x14ac:dyDescent="0.3">
      <c r="A8">
        <v>7</v>
      </c>
      <c r="B8">
        <v>2</v>
      </c>
      <c r="C8" t="s">
        <v>713</v>
      </c>
      <c r="D8" t="s">
        <v>714</v>
      </c>
      <c r="E8" t="s">
        <v>715</v>
      </c>
      <c r="F8">
        <v>2022</v>
      </c>
      <c r="G8">
        <v>0</v>
      </c>
      <c r="H8">
        <v>0</v>
      </c>
      <c r="I8">
        <v>0</v>
      </c>
      <c r="J8">
        <v>0</v>
      </c>
      <c r="K8">
        <v>2392622000</v>
      </c>
      <c r="L8">
        <v>0.25</v>
      </c>
      <c r="M8">
        <v>598155.5</v>
      </c>
      <c r="N8">
        <v>5385835</v>
      </c>
      <c r="O8">
        <v>6642902</v>
      </c>
      <c r="P8">
        <v>15878</v>
      </c>
      <c r="Q8">
        <v>0.90080969130660105</v>
      </c>
      <c r="R8">
        <v>15.709059474167599</v>
      </c>
      <c r="S8">
        <v>0.81076538536922604</v>
      </c>
      <c r="T8">
        <v>2.39022041872663E-3</v>
      </c>
      <c r="U8">
        <v>1993</v>
      </c>
      <c r="V8">
        <v>29</v>
      </c>
      <c r="Y8">
        <v>0</v>
      </c>
      <c r="Z8" t="s">
        <v>717</v>
      </c>
      <c r="AA8" t="s">
        <v>1410</v>
      </c>
    </row>
    <row r="9" spans="1:27" ht="15" customHeight="1" x14ac:dyDescent="0.3">
      <c r="A9">
        <v>8</v>
      </c>
      <c r="B9">
        <v>2</v>
      </c>
      <c r="C9" t="s">
        <v>713</v>
      </c>
      <c r="D9" t="s">
        <v>714</v>
      </c>
      <c r="E9" t="s">
        <v>715</v>
      </c>
      <c r="F9">
        <v>2023</v>
      </c>
      <c r="G9">
        <v>1</v>
      </c>
      <c r="H9">
        <v>0</v>
      </c>
      <c r="I9">
        <v>5</v>
      </c>
      <c r="J9">
        <v>0</v>
      </c>
      <c r="K9">
        <v>2392622000</v>
      </c>
      <c r="L9">
        <v>0.81079999999999997</v>
      </c>
      <c r="M9">
        <v>1939937.9176</v>
      </c>
      <c r="N9">
        <v>6407895</v>
      </c>
      <c r="O9">
        <v>7023496</v>
      </c>
      <c r="P9">
        <v>-175326</v>
      </c>
      <c r="Q9">
        <v>1.18855807956607</v>
      </c>
      <c r="R9">
        <v>15.764771657736301</v>
      </c>
      <c r="S9">
        <v>0.91235119945964205</v>
      </c>
      <c r="T9">
        <v>-2.4962782067506E-2</v>
      </c>
      <c r="U9">
        <v>1993</v>
      </c>
      <c r="V9">
        <v>30</v>
      </c>
      <c r="Y9">
        <v>0</v>
      </c>
      <c r="Z9" t="s">
        <v>717</v>
      </c>
      <c r="AA9" t="s">
        <v>1411</v>
      </c>
    </row>
    <row r="10" spans="1:27" ht="15" customHeight="1" x14ac:dyDescent="0.3">
      <c r="A10">
        <v>9</v>
      </c>
      <c r="B10">
        <v>2</v>
      </c>
      <c r="C10" t="s">
        <v>713</v>
      </c>
      <c r="D10" t="s">
        <v>714</v>
      </c>
      <c r="E10" t="s">
        <v>715</v>
      </c>
      <c r="F10">
        <v>2024</v>
      </c>
      <c r="G10">
        <v>1</v>
      </c>
      <c r="H10">
        <v>0</v>
      </c>
      <c r="I10">
        <v>0</v>
      </c>
      <c r="J10">
        <v>0</v>
      </c>
      <c r="K10">
        <v>2392622000</v>
      </c>
      <c r="L10">
        <v>1.2287999999999999</v>
      </c>
      <c r="M10">
        <v>2940053.9136000001</v>
      </c>
      <c r="N10">
        <v>10734736</v>
      </c>
      <c r="O10">
        <v>12003865</v>
      </c>
      <c r="P10">
        <v>532807</v>
      </c>
      <c r="Q10">
        <v>1.1391989091513399</v>
      </c>
      <c r="R10">
        <v>16.300739239227902</v>
      </c>
      <c r="S10">
        <v>0.89427330280705397</v>
      </c>
      <c r="T10">
        <v>4.4386287249981601E-2</v>
      </c>
      <c r="U10">
        <v>1993</v>
      </c>
      <c r="V10">
        <v>31</v>
      </c>
      <c r="W10">
        <v>12.5</v>
      </c>
      <c r="Y10">
        <v>0</v>
      </c>
      <c r="Z10" t="s">
        <v>717</v>
      </c>
      <c r="AA10" t="s">
        <v>1412</v>
      </c>
    </row>
    <row r="11" spans="1:27" ht="15" customHeight="1" x14ac:dyDescent="0.3">
      <c r="A11">
        <v>10</v>
      </c>
      <c r="B11">
        <v>2</v>
      </c>
      <c r="C11" t="s">
        <v>713</v>
      </c>
      <c r="D11" t="s">
        <v>714</v>
      </c>
      <c r="E11" t="s">
        <v>715</v>
      </c>
      <c r="F11">
        <v>2025</v>
      </c>
      <c r="G11">
        <v>1</v>
      </c>
      <c r="H11">
        <v>0</v>
      </c>
      <c r="I11">
        <v>0</v>
      </c>
      <c r="J11">
        <v>0</v>
      </c>
      <c r="K11">
        <v>2392622000</v>
      </c>
      <c r="L11">
        <v>4.1001000000000003</v>
      </c>
      <c r="M11">
        <v>9809989.4622000009</v>
      </c>
      <c r="N11">
        <v>12152000</v>
      </c>
      <c r="O11">
        <v>14462677</v>
      </c>
      <c r="P11">
        <v>971297</v>
      </c>
      <c r="Q11">
        <v>1.5185286556700399</v>
      </c>
      <c r="R11">
        <v>16.4870818889571</v>
      </c>
      <c r="S11">
        <v>0.84023172196959095</v>
      </c>
      <c r="T11">
        <v>6.7158866923461E-2</v>
      </c>
      <c r="U11">
        <v>1993</v>
      </c>
      <c r="V11">
        <v>32</v>
      </c>
      <c r="W11">
        <v>12.5</v>
      </c>
      <c r="Y11">
        <v>0</v>
      </c>
      <c r="Z11" t="s">
        <v>717</v>
      </c>
      <c r="AA11" t="s">
        <v>1413</v>
      </c>
    </row>
    <row r="12" spans="1:27" ht="15" customHeight="1" x14ac:dyDescent="0.3">
      <c r="A12">
        <v>11</v>
      </c>
      <c r="B12">
        <v>3</v>
      </c>
      <c r="C12" t="s">
        <v>719</v>
      </c>
      <c r="D12" t="s">
        <v>720</v>
      </c>
      <c r="E12" t="s">
        <v>715</v>
      </c>
      <c r="F12">
        <v>2021</v>
      </c>
      <c r="G12">
        <v>0</v>
      </c>
      <c r="H12">
        <v>0</v>
      </c>
      <c r="I12">
        <v>0</v>
      </c>
      <c r="J12">
        <v>0</v>
      </c>
      <c r="K12">
        <v>604800000</v>
      </c>
      <c r="L12">
        <v>0.5</v>
      </c>
      <c r="M12">
        <v>302400</v>
      </c>
      <c r="N12">
        <v>2267930</v>
      </c>
      <c r="O12">
        <v>2278858</v>
      </c>
      <c r="P12">
        <v>-205452</v>
      </c>
      <c r="Q12">
        <v>1.12790266001655</v>
      </c>
      <c r="R12">
        <v>14.6391849982568</v>
      </c>
      <c r="S12">
        <v>0.99520461564520502</v>
      </c>
      <c r="T12">
        <v>-9.0155683241342793E-2</v>
      </c>
      <c r="U12">
        <v>1964</v>
      </c>
      <c r="V12">
        <v>57</v>
      </c>
      <c r="Y12">
        <v>1</v>
      </c>
      <c r="Z12" t="s">
        <v>722</v>
      </c>
      <c r="AA12" t="s">
        <v>1414</v>
      </c>
    </row>
    <row r="13" spans="1:27" ht="15" customHeight="1" x14ac:dyDescent="0.3">
      <c r="A13">
        <v>12</v>
      </c>
      <c r="B13">
        <v>3</v>
      </c>
      <c r="C13" t="s">
        <v>719</v>
      </c>
      <c r="D13" t="s">
        <v>720</v>
      </c>
      <c r="E13" t="s">
        <v>715</v>
      </c>
      <c r="F13">
        <v>2022</v>
      </c>
      <c r="G13">
        <v>0</v>
      </c>
      <c r="H13">
        <v>0</v>
      </c>
      <c r="I13">
        <v>0</v>
      </c>
      <c r="J13">
        <v>0</v>
      </c>
      <c r="K13">
        <v>604800000</v>
      </c>
      <c r="L13">
        <v>1.6125</v>
      </c>
      <c r="M13">
        <v>975240</v>
      </c>
      <c r="N13">
        <v>2107843</v>
      </c>
      <c r="O13">
        <v>2357293</v>
      </c>
      <c r="P13">
        <v>238523</v>
      </c>
      <c r="Q13">
        <v>1.3078912973482699</v>
      </c>
      <c r="R13">
        <v>14.673024484756599</v>
      </c>
      <c r="S13">
        <v>0.89417946771996504</v>
      </c>
      <c r="T13">
        <v>0.10118513057138</v>
      </c>
      <c r="U13">
        <v>1964</v>
      </c>
      <c r="V13">
        <v>58</v>
      </c>
      <c r="Y13">
        <v>1</v>
      </c>
      <c r="Z13" t="s">
        <v>722</v>
      </c>
      <c r="AA13" t="s">
        <v>1415</v>
      </c>
    </row>
    <row r="14" spans="1:27" ht="15" customHeight="1" x14ac:dyDescent="0.3">
      <c r="A14">
        <v>13</v>
      </c>
      <c r="B14">
        <v>3</v>
      </c>
      <c r="C14" t="s">
        <v>719</v>
      </c>
      <c r="D14" t="s">
        <v>720</v>
      </c>
      <c r="E14" t="s">
        <v>715</v>
      </c>
      <c r="F14">
        <v>2023</v>
      </c>
      <c r="G14">
        <v>1</v>
      </c>
      <c r="H14">
        <v>0</v>
      </c>
      <c r="I14">
        <v>5</v>
      </c>
      <c r="J14">
        <v>0</v>
      </c>
      <c r="K14">
        <v>756000000</v>
      </c>
      <c r="L14">
        <v>1.9443999999999999</v>
      </c>
      <c r="M14">
        <v>1469966.4</v>
      </c>
      <c r="N14">
        <v>2511113</v>
      </c>
      <c r="O14">
        <v>2654389</v>
      </c>
      <c r="P14">
        <v>17690</v>
      </c>
      <c r="Q14">
        <v>1.49981008812197</v>
      </c>
      <c r="R14">
        <v>14.791725054346999</v>
      </c>
      <c r="S14">
        <v>0.94602298306691301</v>
      </c>
      <c r="T14">
        <v>6.66443388666846E-3</v>
      </c>
      <c r="U14">
        <v>1964</v>
      </c>
      <c r="V14">
        <v>59</v>
      </c>
      <c r="X14">
        <v>13.9</v>
      </c>
      <c r="Y14">
        <v>1</v>
      </c>
      <c r="Z14" t="s">
        <v>722</v>
      </c>
      <c r="AA14" t="s">
        <v>1416</v>
      </c>
    </row>
    <row r="15" spans="1:27" ht="15" customHeight="1" x14ac:dyDescent="0.3">
      <c r="A15">
        <v>14</v>
      </c>
      <c r="B15">
        <v>3</v>
      </c>
      <c r="C15" t="s">
        <v>719</v>
      </c>
      <c r="D15" t="s">
        <v>720</v>
      </c>
      <c r="E15" t="s">
        <v>715</v>
      </c>
      <c r="F15">
        <v>2024</v>
      </c>
      <c r="G15">
        <v>1</v>
      </c>
      <c r="H15">
        <v>0</v>
      </c>
      <c r="I15">
        <v>0</v>
      </c>
      <c r="J15">
        <v>0</v>
      </c>
      <c r="K15">
        <v>756000000</v>
      </c>
      <c r="L15">
        <v>3.0026000000000002</v>
      </c>
      <c r="M15">
        <v>2269965.6</v>
      </c>
      <c r="N15">
        <v>2965000</v>
      </c>
      <c r="O15">
        <v>3106287</v>
      </c>
      <c r="P15">
        <v>73611</v>
      </c>
      <c r="Q15">
        <v>1.68528072261192</v>
      </c>
      <c r="R15">
        <v>14.9489386802249</v>
      </c>
      <c r="S15">
        <v>0.95451579329276404</v>
      </c>
      <c r="T15">
        <v>2.3697423966297999E-2</v>
      </c>
      <c r="U15">
        <v>1964</v>
      </c>
      <c r="V15">
        <v>60</v>
      </c>
      <c r="X15">
        <v>24.64</v>
      </c>
      <c r="Y15">
        <v>1</v>
      </c>
      <c r="Z15" t="s">
        <v>722</v>
      </c>
      <c r="AA15" t="s">
        <v>1417</v>
      </c>
    </row>
    <row r="16" spans="1:27" ht="15" customHeight="1" x14ac:dyDescent="0.3">
      <c r="A16">
        <v>16</v>
      </c>
      <c r="B16">
        <v>4</v>
      </c>
      <c r="C16" t="s">
        <v>724</v>
      </c>
      <c r="D16" t="s">
        <v>725</v>
      </c>
      <c r="E16" t="s">
        <v>709</v>
      </c>
      <c r="F16">
        <v>2021</v>
      </c>
      <c r="G16">
        <v>0</v>
      </c>
      <c r="H16">
        <v>0</v>
      </c>
      <c r="I16">
        <v>5</v>
      </c>
      <c r="J16">
        <v>0</v>
      </c>
      <c r="K16">
        <v>35545225622</v>
      </c>
      <c r="L16">
        <v>9.1170000000000009</v>
      </c>
      <c r="M16">
        <v>324065821.99577397</v>
      </c>
      <c r="N16">
        <v>10681936000</v>
      </c>
      <c r="O16">
        <v>11731965000</v>
      </c>
      <c r="P16">
        <v>160215000</v>
      </c>
      <c r="Q16">
        <v>0.93812092194238295</v>
      </c>
      <c r="R16">
        <v>23.1855830047636</v>
      </c>
      <c r="S16">
        <v>0.91049845443623501</v>
      </c>
      <c r="T16">
        <v>1.36562800860725E-2</v>
      </c>
      <c r="U16">
        <v>2021</v>
      </c>
      <c r="V16">
        <v>0</v>
      </c>
      <c r="W16">
        <v>23.53</v>
      </c>
      <c r="X16">
        <v>11.5</v>
      </c>
      <c r="Y16">
        <v>1</v>
      </c>
      <c r="Z16" t="s">
        <v>727</v>
      </c>
      <c r="AA16" t="s">
        <v>1418</v>
      </c>
    </row>
    <row r="17" spans="1:27" ht="15" customHeight="1" x14ac:dyDescent="0.3">
      <c r="A17">
        <v>17</v>
      </c>
      <c r="B17">
        <v>4</v>
      </c>
      <c r="C17" t="s">
        <v>724</v>
      </c>
      <c r="D17" t="s">
        <v>725</v>
      </c>
      <c r="E17" t="s">
        <v>709</v>
      </c>
      <c r="F17">
        <v>2022</v>
      </c>
      <c r="G17">
        <v>0</v>
      </c>
      <c r="H17">
        <v>0</v>
      </c>
      <c r="I17">
        <v>85</v>
      </c>
      <c r="J17">
        <v>80</v>
      </c>
      <c r="K17">
        <v>35545225622</v>
      </c>
      <c r="L17">
        <v>8.2791999999999994</v>
      </c>
      <c r="M17">
        <v>294286031.96966201</v>
      </c>
      <c r="N17">
        <v>13767010000</v>
      </c>
      <c r="O17">
        <v>14998401000</v>
      </c>
      <c r="P17">
        <v>152202000</v>
      </c>
      <c r="Q17">
        <v>0.93751967506200595</v>
      </c>
      <c r="R17">
        <v>23.431209432366401</v>
      </c>
      <c r="S17">
        <v>0.91789851464832795</v>
      </c>
      <c r="T17">
        <v>1.01478817641961E-2</v>
      </c>
      <c r="U17">
        <v>2021</v>
      </c>
      <c r="V17">
        <v>1</v>
      </c>
      <c r="W17">
        <v>30</v>
      </c>
      <c r="X17">
        <v>11.01</v>
      </c>
      <c r="Y17">
        <v>1</v>
      </c>
      <c r="Z17" t="s">
        <v>727</v>
      </c>
      <c r="AA17" t="s">
        <v>1419</v>
      </c>
    </row>
    <row r="18" spans="1:27" ht="15" customHeight="1" x14ac:dyDescent="0.3">
      <c r="A18">
        <v>18</v>
      </c>
      <c r="B18">
        <v>4</v>
      </c>
      <c r="C18" t="s">
        <v>724</v>
      </c>
      <c r="D18" t="s">
        <v>725</v>
      </c>
      <c r="E18" t="s">
        <v>709</v>
      </c>
      <c r="F18">
        <v>2023</v>
      </c>
      <c r="G18">
        <v>1</v>
      </c>
      <c r="H18">
        <v>1</v>
      </c>
      <c r="I18">
        <v>95</v>
      </c>
      <c r="J18">
        <v>86.6666666666667</v>
      </c>
      <c r="K18">
        <v>35545225622</v>
      </c>
      <c r="L18">
        <v>22.3689</v>
      </c>
      <c r="M18">
        <v>795107597.41595602</v>
      </c>
      <c r="N18">
        <v>24503197000</v>
      </c>
      <c r="O18">
        <v>26688831000</v>
      </c>
      <c r="P18">
        <v>619324000</v>
      </c>
      <c r="Q18">
        <v>0.94789856466234701</v>
      </c>
      <c r="R18">
        <v>24.0075110002279</v>
      </c>
      <c r="S18">
        <v>0.91810679156385699</v>
      </c>
      <c r="T18">
        <v>2.3205362572830599E-2</v>
      </c>
      <c r="U18">
        <v>2021</v>
      </c>
      <c r="V18">
        <v>2</v>
      </c>
      <c r="W18">
        <v>22.22</v>
      </c>
      <c r="X18">
        <v>10.46</v>
      </c>
      <c r="Y18">
        <v>1</v>
      </c>
      <c r="Z18" t="s">
        <v>727</v>
      </c>
      <c r="AA18" t="s">
        <v>1420</v>
      </c>
    </row>
    <row r="19" spans="1:27" ht="15" customHeight="1" x14ac:dyDescent="0.3">
      <c r="A19">
        <v>19</v>
      </c>
      <c r="B19">
        <v>4</v>
      </c>
      <c r="C19" t="s">
        <v>724</v>
      </c>
      <c r="D19" t="s">
        <v>725</v>
      </c>
      <c r="E19" t="s">
        <v>709</v>
      </c>
      <c r="F19">
        <v>2024</v>
      </c>
      <c r="G19">
        <v>1</v>
      </c>
      <c r="H19">
        <v>1</v>
      </c>
      <c r="I19">
        <v>95</v>
      </c>
      <c r="J19">
        <v>86.6666666666667</v>
      </c>
      <c r="K19">
        <v>53317838433</v>
      </c>
      <c r="L19">
        <v>23.444400000000002</v>
      </c>
      <c r="M19">
        <v>1250004731.3586299</v>
      </c>
      <c r="N19">
        <v>37740174000</v>
      </c>
      <c r="O19">
        <v>41500353000</v>
      </c>
      <c r="P19">
        <v>642217000</v>
      </c>
      <c r="Q19">
        <v>0.939514387536863</v>
      </c>
      <c r="R19">
        <v>24.448967770170999</v>
      </c>
      <c r="S19">
        <v>0.90939404780484601</v>
      </c>
      <c r="T19">
        <v>1.54749768032094E-2</v>
      </c>
      <c r="U19">
        <v>2021</v>
      </c>
      <c r="V19">
        <v>3</v>
      </c>
      <c r="W19">
        <v>22.22</v>
      </c>
      <c r="X19">
        <v>7.41</v>
      </c>
      <c r="Y19">
        <v>1</v>
      </c>
      <c r="Z19" t="s">
        <v>727</v>
      </c>
      <c r="AA19" t="s">
        <v>1421</v>
      </c>
    </row>
    <row r="20" spans="1:27" ht="15" customHeight="1" x14ac:dyDescent="0.3">
      <c r="A20">
        <v>20</v>
      </c>
      <c r="B20">
        <v>4</v>
      </c>
      <c r="C20" t="s">
        <v>724</v>
      </c>
      <c r="D20" t="s">
        <v>725</v>
      </c>
      <c r="E20" t="s">
        <v>709</v>
      </c>
      <c r="F20">
        <v>2025</v>
      </c>
      <c r="G20">
        <v>1</v>
      </c>
      <c r="H20">
        <v>1</v>
      </c>
      <c r="I20">
        <v>90</v>
      </c>
      <c r="J20">
        <v>60</v>
      </c>
      <c r="K20">
        <v>53317838433</v>
      </c>
      <c r="L20">
        <v>20.444099999999999</v>
      </c>
      <c r="M20">
        <v>1090035220.7081001</v>
      </c>
      <c r="N20">
        <v>47440000000</v>
      </c>
      <c r="O20">
        <v>51560000000</v>
      </c>
      <c r="P20">
        <v>743045000</v>
      </c>
      <c r="Q20">
        <v>0.94123419745360903</v>
      </c>
      <c r="R20">
        <v>24.666012015017401</v>
      </c>
      <c r="S20">
        <v>0.92009309542280804</v>
      </c>
      <c r="T20">
        <v>1.4411268425135799E-2</v>
      </c>
      <c r="U20">
        <v>2021</v>
      </c>
      <c r="V20">
        <v>4</v>
      </c>
      <c r="W20">
        <v>33.33</v>
      </c>
      <c r="X20">
        <v>7.41</v>
      </c>
      <c r="Y20">
        <v>1</v>
      </c>
      <c r="Z20" t="s">
        <v>727</v>
      </c>
      <c r="AA20" t="s">
        <v>1422</v>
      </c>
    </row>
    <row r="21" spans="1:27" ht="15" customHeight="1" x14ac:dyDescent="0.3">
      <c r="A21">
        <v>21</v>
      </c>
      <c r="B21">
        <v>5</v>
      </c>
      <c r="C21" t="s">
        <v>729</v>
      </c>
      <c r="D21" t="s">
        <v>730</v>
      </c>
      <c r="E21" t="s">
        <v>709</v>
      </c>
      <c r="F21">
        <v>2021</v>
      </c>
      <c r="G21">
        <v>0</v>
      </c>
      <c r="H21">
        <v>0</v>
      </c>
      <c r="I21">
        <v>0</v>
      </c>
      <c r="J21">
        <v>0</v>
      </c>
      <c r="K21">
        <v>20585000000</v>
      </c>
      <c r="L21">
        <v>0.2</v>
      </c>
      <c r="M21">
        <v>4117000</v>
      </c>
      <c r="N21">
        <v>47391703</v>
      </c>
      <c r="O21">
        <v>41587426</v>
      </c>
      <c r="P21">
        <v>2416845</v>
      </c>
      <c r="Q21">
        <v>1.2385643439437699</v>
      </c>
      <c r="R21">
        <v>17.5433084199265</v>
      </c>
      <c r="S21">
        <v>1.1395680752158099</v>
      </c>
      <c r="T21">
        <v>5.8114801334422601E-2</v>
      </c>
      <c r="U21">
        <v>1960</v>
      </c>
      <c r="V21">
        <v>61</v>
      </c>
      <c r="W21">
        <v>16.670000000000002</v>
      </c>
      <c r="X21">
        <v>57.4</v>
      </c>
      <c r="Y21">
        <v>1</v>
      </c>
      <c r="Z21" t="s">
        <v>732</v>
      </c>
      <c r="AA21" t="s">
        <v>1423</v>
      </c>
    </row>
    <row r="22" spans="1:27" ht="15" customHeight="1" x14ac:dyDescent="0.3">
      <c r="A22">
        <v>22</v>
      </c>
      <c r="B22">
        <v>5</v>
      </c>
      <c r="C22" t="s">
        <v>729</v>
      </c>
      <c r="D22" t="s">
        <v>730</v>
      </c>
      <c r="E22" t="s">
        <v>709</v>
      </c>
      <c r="F22">
        <v>2022</v>
      </c>
      <c r="G22">
        <v>0</v>
      </c>
      <c r="H22">
        <v>0</v>
      </c>
      <c r="I22">
        <v>0</v>
      </c>
      <c r="J22">
        <v>0</v>
      </c>
      <c r="K22">
        <v>20585000000</v>
      </c>
      <c r="L22">
        <v>0.2</v>
      </c>
      <c r="M22">
        <v>4117000</v>
      </c>
      <c r="N22">
        <v>48396886</v>
      </c>
      <c r="O22">
        <v>53473361</v>
      </c>
      <c r="P22">
        <v>-2901109</v>
      </c>
      <c r="Q22">
        <v>0.98205695355487399</v>
      </c>
      <c r="R22">
        <v>17.794694162626701</v>
      </c>
      <c r="S22">
        <v>0.90506534646288705</v>
      </c>
      <c r="T22">
        <v>-5.4253350560852197E-2</v>
      </c>
      <c r="U22">
        <v>1960</v>
      </c>
      <c r="V22">
        <v>62</v>
      </c>
      <c r="W22">
        <v>14.29</v>
      </c>
      <c r="X22">
        <v>57.66</v>
      </c>
      <c r="Y22">
        <v>1</v>
      </c>
      <c r="Z22" t="s">
        <v>732</v>
      </c>
      <c r="AA22" t="s">
        <v>1424</v>
      </c>
    </row>
    <row r="23" spans="1:27" ht="15" customHeight="1" x14ac:dyDescent="0.3">
      <c r="A23">
        <v>26</v>
      </c>
      <c r="B23">
        <v>6</v>
      </c>
      <c r="C23" t="s">
        <v>736</v>
      </c>
      <c r="D23" t="s">
        <v>737</v>
      </c>
      <c r="E23" t="s">
        <v>709</v>
      </c>
      <c r="F23">
        <v>2021</v>
      </c>
      <c r="G23">
        <v>0</v>
      </c>
      <c r="H23">
        <v>0</v>
      </c>
      <c r="I23">
        <v>0</v>
      </c>
      <c r="J23">
        <v>0</v>
      </c>
      <c r="K23">
        <v>2000000000</v>
      </c>
      <c r="L23">
        <v>6.35</v>
      </c>
      <c r="M23">
        <v>12700000</v>
      </c>
      <c r="N23">
        <v>6993386</v>
      </c>
      <c r="O23">
        <v>15764176</v>
      </c>
      <c r="P23">
        <v>1414667</v>
      </c>
      <c r="Q23">
        <v>1.2492493105887701</v>
      </c>
      <c r="R23">
        <v>16.573250581913701</v>
      </c>
      <c r="S23">
        <v>0.44362521707446001</v>
      </c>
      <c r="T23">
        <v>8.9739355866110607E-2</v>
      </c>
      <c r="U23">
        <v>2006</v>
      </c>
      <c r="V23">
        <v>15</v>
      </c>
      <c r="Y23">
        <v>1</v>
      </c>
      <c r="Z23" t="s">
        <v>722</v>
      </c>
      <c r="AA23" t="s">
        <v>1425</v>
      </c>
    </row>
    <row r="24" spans="1:27" ht="15" customHeight="1" x14ac:dyDescent="0.3">
      <c r="A24">
        <v>27</v>
      </c>
      <c r="B24">
        <v>6</v>
      </c>
      <c r="C24" t="s">
        <v>736</v>
      </c>
      <c r="D24" t="s">
        <v>737</v>
      </c>
      <c r="E24" t="s">
        <v>709</v>
      </c>
      <c r="F24">
        <v>2022</v>
      </c>
      <c r="G24">
        <v>0</v>
      </c>
      <c r="H24">
        <v>0</v>
      </c>
      <c r="I24">
        <v>0</v>
      </c>
      <c r="J24">
        <v>0</v>
      </c>
      <c r="K24">
        <v>2000000000</v>
      </c>
      <c r="L24">
        <v>6</v>
      </c>
      <c r="M24">
        <v>12000000</v>
      </c>
      <c r="N24">
        <v>9885098</v>
      </c>
      <c r="O24">
        <v>19270686</v>
      </c>
      <c r="P24">
        <v>1493249</v>
      </c>
      <c r="Q24">
        <v>1.13566782210037</v>
      </c>
      <c r="R24">
        <v>16.774095639134199</v>
      </c>
      <c r="S24">
        <v>0.512960358546655</v>
      </c>
      <c r="T24">
        <v>7.7488108103676206E-2</v>
      </c>
      <c r="U24">
        <v>2006</v>
      </c>
      <c r="V24">
        <v>16</v>
      </c>
      <c r="W24">
        <v>25</v>
      </c>
      <c r="X24">
        <v>25.95</v>
      </c>
      <c r="Y24">
        <v>1</v>
      </c>
      <c r="Z24" t="s">
        <v>722</v>
      </c>
      <c r="AA24" t="s">
        <v>1426</v>
      </c>
    </row>
    <row r="25" spans="1:27" ht="15" customHeight="1" x14ac:dyDescent="0.3">
      <c r="A25">
        <v>28</v>
      </c>
      <c r="B25">
        <v>6</v>
      </c>
      <c r="C25" t="s">
        <v>736</v>
      </c>
      <c r="D25" t="s">
        <v>737</v>
      </c>
      <c r="E25" t="s">
        <v>709</v>
      </c>
      <c r="F25">
        <v>2023</v>
      </c>
      <c r="G25">
        <v>1</v>
      </c>
      <c r="H25">
        <v>0</v>
      </c>
      <c r="I25">
        <v>0</v>
      </c>
      <c r="J25">
        <v>0</v>
      </c>
      <c r="K25">
        <v>2000000000</v>
      </c>
      <c r="L25">
        <v>7.4</v>
      </c>
      <c r="M25">
        <v>14800000</v>
      </c>
      <c r="N25">
        <v>13235493</v>
      </c>
      <c r="O25">
        <v>22981930</v>
      </c>
      <c r="P25">
        <v>962909</v>
      </c>
      <c r="Q25">
        <v>1.2198928897616499</v>
      </c>
      <c r="R25">
        <v>16.950218812933102</v>
      </c>
      <c r="S25">
        <v>0.57590868129874195</v>
      </c>
      <c r="T25">
        <v>4.1898526363973801E-2</v>
      </c>
      <c r="U25">
        <v>2006</v>
      </c>
      <c r="V25">
        <v>17</v>
      </c>
      <c r="W25">
        <v>25</v>
      </c>
      <c r="X25">
        <v>25.95</v>
      </c>
      <c r="Y25">
        <v>1</v>
      </c>
      <c r="Z25" t="s">
        <v>722</v>
      </c>
      <c r="AA25" t="s">
        <v>1427</v>
      </c>
    </row>
    <row r="26" spans="1:27" ht="15" customHeight="1" x14ac:dyDescent="0.3">
      <c r="A26">
        <v>29</v>
      </c>
      <c r="B26">
        <v>6</v>
      </c>
      <c r="C26" t="s">
        <v>736</v>
      </c>
      <c r="D26" t="s">
        <v>737</v>
      </c>
      <c r="E26" t="s">
        <v>709</v>
      </c>
      <c r="F26">
        <v>2024</v>
      </c>
      <c r="G26">
        <v>1</v>
      </c>
      <c r="H26">
        <v>0</v>
      </c>
      <c r="I26">
        <v>0</v>
      </c>
      <c r="J26">
        <v>0</v>
      </c>
      <c r="K26">
        <v>2000000000</v>
      </c>
      <c r="L26">
        <v>20.55</v>
      </c>
      <c r="M26">
        <v>41100000</v>
      </c>
      <c r="N26">
        <v>24007058</v>
      </c>
      <c r="O26">
        <v>34845257</v>
      </c>
      <c r="P26">
        <v>1810090</v>
      </c>
      <c r="Q26">
        <v>1.8684625571853299</v>
      </c>
      <c r="R26">
        <v>17.366427588347701</v>
      </c>
      <c r="S26">
        <v>0.68896200134210495</v>
      </c>
      <c r="T26">
        <v>5.1946524601612198E-2</v>
      </c>
      <c r="U26">
        <v>2006</v>
      </c>
      <c r="V26">
        <v>18</v>
      </c>
      <c r="W26">
        <v>33.33</v>
      </c>
      <c r="X26">
        <v>25.95</v>
      </c>
      <c r="Y26">
        <v>1</v>
      </c>
      <c r="Z26" t="s">
        <v>722</v>
      </c>
      <c r="AA26" t="s">
        <v>1428</v>
      </c>
    </row>
    <row r="27" spans="1:27" ht="15" customHeight="1" x14ac:dyDescent="0.3">
      <c r="A27">
        <v>30</v>
      </c>
      <c r="B27">
        <v>6</v>
      </c>
      <c r="C27" t="s">
        <v>736</v>
      </c>
      <c r="D27" t="s">
        <v>737</v>
      </c>
      <c r="E27" t="s">
        <v>709</v>
      </c>
      <c r="F27">
        <v>2025</v>
      </c>
      <c r="G27">
        <v>1</v>
      </c>
      <c r="H27">
        <v>0</v>
      </c>
      <c r="I27">
        <v>0</v>
      </c>
      <c r="J27">
        <v>0</v>
      </c>
      <c r="K27">
        <v>4000000000</v>
      </c>
      <c r="L27">
        <v>14.8</v>
      </c>
      <c r="M27">
        <v>59200000</v>
      </c>
      <c r="N27">
        <v>29177215</v>
      </c>
      <c r="O27">
        <v>41908525</v>
      </c>
      <c r="P27">
        <v>2717172</v>
      </c>
      <c r="Q27">
        <v>2.1088123478457002</v>
      </c>
      <c r="R27">
        <v>17.550999824817598</v>
      </c>
      <c r="S27">
        <v>0.69621192824133005</v>
      </c>
      <c r="T27">
        <v>6.4835782218534296E-2</v>
      </c>
      <c r="U27">
        <v>2006</v>
      </c>
      <c r="V27">
        <v>19</v>
      </c>
      <c r="W27">
        <v>33.33</v>
      </c>
      <c r="X27">
        <v>25.95</v>
      </c>
      <c r="Y27">
        <v>1</v>
      </c>
      <c r="Z27" t="s">
        <v>722</v>
      </c>
      <c r="AA27" t="s">
        <v>1429</v>
      </c>
    </row>
    <row r="28" spans="1:27" ht="15" customHeight="1" x14ac:dyDescent="0.3">
      <c r="A28">
        <v>31</v>
      </c>
      <c r="B28">
        <v>7</v>
      </c>
      <c r="C28" t="s">
        <v>740</v>
      </c>
      <c r="D28" t="s">
        <v>741</v>
      </c>
      <c r="E28" t="s">
        <v>715</v>
      </c>
      <c r="F28">
        <v>2021</v>
      </c>
      <c r="G28">
        <v>0</v>
      </c>
      <c r="H28">
        <v>0</v>
      </c>
      <c r="I28">
        <v>0</v>
      </c>
      <c r="J28">
        <v>0</v>
      </c>
      <c r="K28">
        <v>4439046986</v>
      </c>
      <c r="L28">
        <v>0.2</v>
      </c>
      <c r="M28">
        <v>887809.39720000001</v>
      </c>
      <c r="N28">
        <v>4969389</v>
      </c>
      <c r="O28">
        <v>1750974</v>
      </c>
      <c r="P28">
        <v>144237</v>
      </c>
      <c r="Q28">
        <v>3.3451087207462802</v>
      </c>
      <c r="R28">
        <v>14.3756827624998</v>
      </c>
      <c r="S28">
        <v>2.8380712677629698</v>
      </c>
      <c r="T28">
        <v>8.2375295121458095E-2</v>
      </c>
      <c r="U28">
        <v>1959</v>
      </c>
      <c r="V28">
        <v>62</v>
      </c>
      <c r="W28">
        <v>40</v>
      </c>
      <c r="X28">
        <v>14.16</v>
      </c>
      <c r="Y28">
        <v>0</v>
      </c>
      <c r="Z28" t="s">
        <v>743</v>
      </c>
      <c r="AA28" t="s">
        <v>1430</v>
      </c>
    </row>
    <row r="29" spans="1:27" ht="15" customHeight="1" x14ac:dyDescent="0.3">
      <c r="A29">
        <v>32</v>
      </c>
      <c r="B29">
        <v>7</v>
      </c>
      <c r="C29" t="s">
        <v>740</v>
      </c>
      <c r="D29" t="s">
        <v>741</v>
      </c>
      <c r="E29" t="s">
        <v>715</v>
      </c>
      <c r="F29">
        <v>2022</v>
      </c>
      <c r="G29">
        <v>0</v>
      </c>
      <c r="H29">
        <v>0</v>
      </c>
      <c r="I29">
        <v>0</v>
      </c>
      <c r="J29">
        <v>0</v>
      </c>
      <c r="K29">
        <v>4439046986</v>
      </c>
      <c r="L29">
        <v>0.2</v>
      </c>
      <c r="M29">
        <v>887809.39720000001</v>
      </c>
      <c r="N29">
        <v>4989344</v>
      </c>
      <c r="O29">
        <v>1649374</v>
      </c>
      <c r="P29">
        <v>-121555</v>
      </c>
      <c r="Q29">
        <v>3.56326303021631</v>
      </c>
      <c r="R29">
        <v>14.3159063799493</v>
      </c>
      <c r="S29">
        <v>3.02499251231073</v>
      </c>
      <c r="T29">
        <v>-7.3697657414267495E-2</v>
      </c>
      <c r="U29">
        <v>1959</v>
      </c>
      <c r="V29">
        <v>63</v>
      </c>
      <c r="Y29">
        <v>0</v>
      </c>
      <c r="Z29" t="s">
        <v>743</v>
      </c>
      <c r="AA29" t="s">
        <v>1431</v>
      </c>
    </row>
    <row r="30" spans="1:27" ht="15" customHeight="1" x14ac:dyDescent="0.3">
      <c r="A30">
        <v>36</v>
      </c>
      <c r="B30">
        <v>8</v>
      </c>
      <c r="C30" t="s">
        <v>746</v>
      </c>
      <c r="D30" t="s">
        <v>747</v>
      </c>
      <c r="E30" t="s">
        <v>709</v>
      </c>
      <c r="F30">
        <v>2021</v>
      </c>
      <c r="G30">
        <v>0</v>
      </c>
      <c r="H30">
        <v>0</v>
      </c>
      <c r="I30">
        <v>25</v>
      </c>
      <c r="J30">
        <v>0</v>
      </c>
      <c r="K30">
        <v>36605275996</v>
      </c>
      <c r="L30">
        <v>0.7</v>
      </c>
      <c r="M30">
        <v>25623693.1972</v>
      </c>
      <c r="N30">
        <v>184006595</v>
      </c>
      <c r="O30">
        <v>222380851</v>
      </c>
      <c r="P30">
        <v>4916009</v>
      </c>
      <c r="Q30">
        <v>0.94266339594680304</v>
      </c>
      <c r="R30">
        <v>19.219902015014998</v>
      </c>
      <c r="S30">
        <v>0.827439027112995</v>
      </c>
      <c r="T30">
        <v>2.21062603991924E-2</v>
      </c>
      <c r="U30">
        <v>1970</v>
      </c>
      <c r="V30">
        <v>51</v>
      </c>
      <c r="X30">
        <v>30.53</v>
      </c>
      <c r="Y30">
        <v>1</v>
      </c>
      <c r="Z30" t="s">
        <v>722</v>
      </c>
      <c r="AA30" t="s">
        <v>1432</v>
      </c>
    </row>
    <row r="31" spans="1:27" ht="15" customHeight="1" x14ac:dyDescent="0.3">
      <c r="A31">
        <v>37</v>
      </c>
      <c r="B31">
        <v>8</v>
      </c>
      <c r="C31" t="s">
        <v>746</v>
      </c>
      <c r="D31" t="s">
        <v>747</v>
      </c>
      <c r="E31" t="s">
        <v>709</v>
      </c>
      <c r="F31">
        <v>2022</v>
      </c>
      <c r="G31">
        <v>0</v>
      </c>
      <c r="H31">
        <v>0</v>
      </c>
      <c r="I31">
        <v>25</v>
      </c>
      <c r="J31">
        <v>0</v>
      </c>
      <c r="K31">
        <v>36605276013</v>
      </c>
      <c r="L31">
        <v>0.59</v>
      </c>
      <c r="M31">
        <v>21597112.84767</v>
      </c>
      <c r="N31">
        <v>225321512</v>
      </c>
      <c r="O31">
        <v>270329520</v>
      </c>
      <c r="P31">
        <v>7552836</v>
      </c>
      <c r="Q31">
        <v>0.913398673025684</v>
      </c>
      <c r="R31">
        <v>19.415152217270201</v>
      </c>
      <c r="S31">
        <v>0.83350686968999899</v>
      </c>
      <c r="T31">
        <v>2.7939368219941401E-2</v>
      </c>
      <c r="U31">
        <v>1970</v>
      </c>
      <c r="V31">
        <v>52</v>
      </c>
      <c r="W31">
        <v>12.5</v>
      </c>
      <c r="X31">
        <v>30.53</v>
      </c>
      <c r="Y31">
        <v>1</v>
      </c>
      <c r="Z31" t="s">
        <v>722</v>
      </c>
      <c r="AA31" t="s">
        <v>1433</v>
      </c>
    </row>
    <row r="32" spans="1:27" ht="15" customHeight="1" x14ac:dyDescent="0.3">
      <c r="A32">
        <v>38</v>
      </c>
      <c r="B32">
        <v>8</v>
      </c>
      <c r="C32" t="s">
        <v>746</v>
      </c>
      <c r="D32" t="s">
        <v>747</v>
      </c>
      <c r="E32" t="s">
        <v>709</v>
      </c>
      <c r="F32">
        <v>2023</v>
      </c>
      <c r="G32">
        <v>1</v>
      </c>
      <c r="H32">
        <v>0</v>
      </c>
      <c r="I32">
        <v>25</v>
      </c>
      <c r="J32">
        <v>0</v>
      </c>
      <c r="K32">
        <v>36605276013</v>
      </c>
      <c r="L32">
        <v>0.76</v>
      </c>
      <c r="M32">
        <v>27820009.769880001</v>
      </c>
      <c r="N32">
        <v>266265196</v>
      </c>
      <c r="O32">
        <v>318095562</v>
      </c>
      <c r="P32">
        <v>12135796</v>
      </c>
      <c r="Q32">
        <v>0.92451841805287405</v>
      </c>
      <c r="R32">
        <v>19.577862405034502</v>
      </c>
      <c r="S32">
        <v>0.83706039256215703</v>
      </c>
      <c r="T32">
        <v>3.8151415642825003E-2</v>
      </c>
      <c r="U32">
        <v>1970</v>
      </c>
      <c r="V32">
        <v>53</v>
      </c>
      <c r="X32">
        <v>41.26</v>
      </c>
      <c r="Y32">
        <v>1</v>
      </c>
      <c r="Z32" t="s">
        <v>722</v>
      </c>
      <c r="AA32" t="s">
        <v>1434</v>
      </c>
    </row>
    <row r="33" spans="1:27" ht="15" customHeight="1" x14ac:dyDescent="0.3">
      <c r="A33">
        <v>39</v>
      </c>
      <c r="B33">
        <v>8</v>
      </c>
      <c r="C33" t="s">
        <v>746</v>
      </c>
      <c r="D33" t="s">
        <v>747</v>
      </c>
      <c r="E33" t="s">
        <v>709</v>
      </c>
      <c r="F33">
        <v>2024</v>
      </c>
      <c r="G33">
        <v>1</v>
      </c>
      <c r="H33">
        <v>0</v>
      </c>
      <c r="I33">
        <v>25</v>
      </c>
      <c r="J33">
        <v>0</v>
      </c>
      <c r="K33">
        <v>36605276013</v>
      </c>
      <c r="L33">
        <v>1.43</v>
      </c>
      <c r="M33">
        <v>52345544.698590003</v>
      </c>
      <c r="N33">
        <v>348675411</v>
      </c>
      <c r="O33">
        <v>416480546</v>
      </c>
      <c r="P33">
        <v>15192468</v>
      </c>
      <c r="Q33">
        <v>0.96288040233838401</v>
      </c>
      <c r="R33">
        <v>19.847350310197001</v>
      </c>
      <c r="S33">
        <v>0.83719495267853405</v>
      </c>
      <c r="T33">
        <v>3.6478217640446502E-2</v>
      </c>
      <c r="U33">
        <v>1970</v>
      </c>
      <c r="V33">
        <v>54</v>
      </c>
      <c r="W33">
        <v>10</v>
      </c>
      <c r="X33">
        <v>41.26</v>
      </c>
      <c r="Y33">
        <v>1</v>
      </c>
      <c r="Z33" t="s">
        <v>722</v>
      </c>
      <c r="AA33" t="s">
        <v>1435</v>
      </c>
    </row>
    <row r="34" spans="1:27" ht="15" customHeight="1" x14ac:dyDescent="0.3">
      <c r="A34">
        <v>40</v>
      </c>
      <c r="B34">
        <v>8</v>
      </c>
      <c r="C34" t="s">
        <v>746</v>
      </c>
      <c r="D34" t="s">
        <v>747</v>
      </c>
      <c r="E34" t="s">
        <v>709</v>
      </c>
      <c r="F34">
        <v>2025</v>
      </c>
      <c r="G34">
        <v>1</v>
      </c>
      <c r="H34">
        <v>0</v>
      </c>
      <c r="I34">
        <v>50</v>
      </c>
      <c r="J34">
        <v>6.6666666666666696</v>
      </c>
      <c r="K34">
        <v>36605276013</v>
      </c>
      <c r="L34">
        <v>3.79</v>
      </c>
      <c r="M34">
        <v>138733996.08927</v>
      </c>
      <c r="N34">
        <v>484694109</v>
      </c>
      <c r="O34">
        <v>579667098</v>
      </c>
      <c r="P34">
        <v>17862313</v>
      </c>
      <c r="Q34">
        <v>1.0754933430589</v>
      </c>
      <c r="R34">
        <v>20.177964527756</v>
      </c>
      <c r="S34">
        <v>0.83615942783766595</v>
      </c>
      <c r="T34">
        <v>3.08147781056223E-2</v>
      </c>
      <c r="U34">
        <v>1970</v>
      </c>
      <c r="V34">
        <v>55</v>
      </c>
      <c r="W34">
        <v>20</v>
      </c>
      <c r="X34">
        <v>41.26</v>
      </c>
      <c r="Y34">
        <v>1</v>
      </c>
      <c r="Z34" t="s">
        <v>722</v>
      </c>
      <c r="AA34" t="s">
        <v>1436</v>
      </c>
    </row>
    <row r="35" spans="1:27" ht="15" customHeight="1" x14ac:dyDescent="0.3">
      <c r="A35">
        <v>41</v>
      </c>
      <c r="B35">
        <v>9</v>
      </c>
      <c r="C35" t="s">
        <v>750</v>
      </c>
      <c r="D35" t="s">
        <v>751</v>
      </c>
      <c r="E35" t="s">
        <v>752</v>
      </c>
      <c r="F35">
        <v>2021</v>
      </c>
      <c r="G35">
        <v>0</v>
      </c>
      <c r="H35">
        <v>0</v>
      </c>
      <c r="I35">
        <v>5</v>
      </c>
      <c r="J35">
        <v>0</v>
      </c>
      <c r="K35">
        <v>3957000000</v>
      </c>
      <c r="L35">
        <v>710.13</v>
      </c>
      <c r="M35">
        <v>2809984410</v>
      </c>
      <c r="N35">
        <v>2656000000</v>
      </c>
      <c r="O35">
        <v>3996000000</v>
      </c>
      <c r="P35">
        <v>180400000</v>
      </c>
      <c r="Q35">
        <v>1.36786396646647</v>
      </c>
      <c r="R35">
        <v>22.108559697732701</v>
      </c>
      <c r="S35">
        <v>0.66466466466466501</v>
      </c>
      <c r="T35">
        <v>4.5145145145145102E-2</v>
      </c>
      <c r="U35">
        <v>2010</v>
      </c>
      <c r="V35">
        <v>11</v>
      </c>
      <c r="Y35">
        <v>1</v>
      </c>
      <c r="Z35" t="s">
        <v>754</v>
      </c>
      <c r="AA35" t="s">
        <v>1437</v>
      </c>
    </row>
    <row r="36" spans="1:27" ht="15" customHeight="1" x14ac:dyDescent="0.3">
      <c r="A36">
        <v>42</v>
      </c>
      <c r="B36">
        <v>9</v>
      </c>
      <c r="C36" t="s">
        <v>750</v>
      </c>
      <c r="D36" t="s">
        <v>751</v>
      </c>
      <c r="E36" t="s">
        <v>752</v>
      </c>
      <c r="F36">
        <v>2022</v>
      </c>
      <c r="G36">
        <v>0</v>
      </c>
      <c r="H36">
        <v>0</v>
      </c>
      <c r="I36">
        <v>60</v>
      </c>
      <c r="J36">
        <v>60</v>
      </c>
      <c r="K36">
        <v>3957000000</v>
      </c>
      <c r="L36">
        <v>573.66999999999996</v>
      </c>
      <c r="M36">
        <v>2270012190</v>
      </c>
      <c r="N36">
        <v>3008857200</v>
      </c>
      <c r="O36">
        <v>4644477120</v>
      </c>
      <c r="P36">
        <v>338300400</v>
      </c>
      <c r="Q36">
        <v>1.1365906761103799</v>
      </c>
      <c r="R36">
        <v>22.258944634522901</v>
      </c>
      <c r="S36">
        <v>0.64783550919936495</v>
      </c>
      <c r="T36">
        <v>7.2839286589057403E-2</v>
      </c>
      <c r="U36">
        <v>2010</v>
      </c>
      <c r="V36">
        <v>12</v>
      </c>
      <c r="W36">
        <v>53.85</v>
      </c>
      <c r="Y36">
        <v>1</v>
      </c>
      <c r="Z36" t="s">
        <v>754</v>
      </c>
      <c r="AA36" t="s">
        <v>1438</v>
      </c>
    </row>
    <row r="37" spans="1:27" ht="15" customHeight="1" x14ac:dyDescent="0.3">
      <c r="A37">
        <v>43</v>
      </c>
      <c r="B37">
        <v>9</v>
      </c>
      <c r="C37" t="s">
        <v>750</v>
      </c>
      <c r="D37" t="s">
        <v>751</v>
      </c>
      <c r="E37" t="s">
        <v>752</v>
      </c>
      <c r="F37">
        <v>2023</v>
      </c>
      <c r="G37">
        <v>1</v>
      </c>
      <c r="H37">
        <v>0</v>
      </c>
      <c r="I37">
        <v>55</v>
      </c>
      <c r="J37">
        <v>53.3333333333333</v>
      </c>
      <c r="K37">
        <v>3957000000</v>
      </c>
      <c r="L37">
        <v>1400.05</v>
      </c>
      <c r="M37">
        <v>5539997850</v>
      </c>
      <c r="N37">
        <v>3392038000</v>
      </c>
      <c r="O37">
        <v>5147526000</v>
      </c>
      <c r="P37">
        <v>322700000</v>
      </c>
      <c r="Q37">
        <v>1.7352094676160901</v>
      </c>
      <c r="R37">
        <v>22.361782047849101</v>
      </c>
      <c r="S37">
        <v>0.65896471431130199</v>
      </c>
      <c r="T37">
        <v>6.2690309869245897E-2</v>
      </c>
      <c r="U37">
        <v>2010</v>
      </c>
      <c r="V37">
        <v>13</v>
      </c>
      <c r="Y37">
        <v>1</v>
      </c>
      <c r="Z37" t="s">
        <v>754</v>
      </c>
      <c r="AA37" t="s">
        <v>1439</v>
      </c>
    </row>
    <row r="38" spans="1:27" ht="15" customHeight="1" x14ac:dyDescent="0.3">
      <c r="A38">
        <v>44</v>
      </c>
      <c r="B38">
        <v>9</v>
      </c>
      <c r="C38" t="s">
        <v>750</v>
      </c>
      <c r="D38" t="s">
        <v>751</v>
      </c>
      <c r="E38" t="s">
        <v>752</v>
      </c>
      <c r="F38">
        <v>2024</v>
      </c>
      <c r="G38">
        <v>1</v>
      </c>
      <c r="H38">
        <v>0</v>
      </c>
      <c r="I38">
        <v>85</v>
      </c>
      <c r="J38">
        <v>86.6666666666667</v>
      </c>
      <c r="K38">
        <v>3888000000</v>
      </c>
      <c r="L38">
        <v>2078.19</v>
      </c>
      <c r="M38">
        <v>8080002720</v>
      </c>
      <c r="N38">
        <v>10207350000</v>
      </c>
      <c r="O38">
        <v>13312350000</v>
      </c>
      <c r="P38">
        <v>-120150000</v>
      </c>
      <c r="Q38">
        <v>1.3737133353615301</v>
      </c>
      <c r="R38">
        <v>23.311958012746899</v>
      </c>
      <c r="S38">
        <v>0.76675793530068004</v>
      </c>
      <c r="T38">
        <v>-9.0254538079302307E-3</v>
      </c>
      <c r="U38">
        <v>2010</v>
      </c>
      <c r="V38">
        <v>14</v>
      </c>
      <c r="W38">
        <v>54.55</v>
      </c>
      <c r="Y38">
        <v>1</v>
      </c>
      <c r="Z38" t="s">
        <v>754</v>
      </c>
      <c r="AA38" t="s">
        <v>1440</v>
      </c>
    </row>
    <row r="39" spans="1:27" ht="15" customHeight="1" x14ac:dyDescent="0.3">
      <c r="A39">
        <v>45</v>
      </c>
      <c r="B39">
        <v>9</v>
      </c>
      <c r="C39" t="s">
        <v>750</v>
      </c>
      <c r="D39" t="s">
        <v>751</v>
      </c>
      <c r="E39" t="s">
        <v>752</v>
      </c>
      <c r="F39">
        <v>2025</v>
      </c>
      <c r="G39">
        <v>1</v>
      </c>
      <c r="H39">
        <v>0</v>
      </c>
      <c r="I39">
        <v>90</v>
      </c>
      <c r="J39">
        <v>93.3333333333333</v>
      </c>
      <c r="K39">
        <v>3648813500</v>
      </c>
      <c r="L39">
        <v>6900.87</v>
      </c>
      <c r="M39">
        <v>25179987617.744999</v>
      </c>
      <c r="N39">
        <v>13393163000</v>
      </c>
      <c r="O39">
        <v>17410065000</v>
      </c>
      <c r="P39">
        <v>474964000</v>
      </c>
      <c r="Q39">
        <v>2.2155661462346599</v>
      </c>
      <c r="R39">
        <v>23.580314324206</v>
      </c>
      <c r="S39">
        <v>0.76927702452575597</v>
      </c>
      <c r="T39">
        <v>2.7281000961225599E-2</v>
      </c>
      <c r="U39">
        <v>2010</v>
      </c>
      <c r="V39">
        <v>15</v>
      </c>
      <c r="W39">
        <v>50</v>
      </c>
      <c r="X39">
        <v>62.35</v>
      </c>
      <c r="Y39">
        <v>1</v>
      </c>
      <c r="Z39" t="s">
        <v>754</v>
      </c>
      <c r="AA39" t="s">
        <v>1441</v>
      </c>
    </row>
    <row r="40" spans="1:27" ht="15" customHeight="1" x14ac:dyDescent="0.3">
      <c r="A40">
        <v>46</v>
      </c>
      <c r="B40">
        <v>10</v>
      </c>
      <c r="C40" t="s">
        <v>756</v>
      </c>
      <c r="D40" t="s">
        <v>757</v>
      </c>
      <c r="E40" t="s">
        <v>758</v>
      </c>
      <c r="F40">
        <v>2021</v>
      </c>
      <c r="G40">
        <v>0</v>
      </c>
      <c r="H40">
        <v>0</v>
      </c>
      <c r="I40">
        <v>0</v>
      </c>
      <c r="J40">
        <v>0</v>
      </c>
      <c r="K40">
        <v>219956000</v>
      </c>
      <c r="L40">
        <v>7.1832000000000003</v>
      </c>
      <c r="M40">
        <v>1579987.9391999999</v>
      </c>
      <c r="N40">
        <v>425599</v>
      </c>
      <c r="O40">
        <v>2824172</v>
      </c>
      <c r="P40">
        <v>66941</v>
      </c>
      <c r="Q40">
        <v>0.71015042256633099</v>
      </c>
      <c r="R40">
        <v>14.853725782256101</v>
      </c>
      <c r="S40">
        <v>0.15069868265813799</v>
      </c>
      <c r="T40">
        <v>2.3702876453700401E-2</v>
      </c>
      <c r="U40">
        <v>1982</v>
      </c>
      <c r="V40">
        <v>39</v>
      </c>
      <c r="X40">
        <v>67.55</v>
      </c>
      <c r="Y40">
        <v>0</v>
      </c>
      <c r="Z40" t="s">
        <v>760</v>
      </c>
      <c r="AA40" t="s">
        <v>1442</v>
      </c>
    </row>
    <row r="41" spans="1:27" ht="15" customHeight="1" x14ac:dyDescent="0.3">
      <c r="A41">
        <v>47</v>
      </c>
      <c r="B41">
        <v>10</v>
      </c>
      <c r="C41" t="s">
        <v>756</v>
      </c>
      <c r="D41" t="s">
        <v>757</v>
      </c>
      <c r="E41" t="s">
        <v>758</v>
      </c>
      <c r="F41">
        <v>2022</v>
      </c>
      <c r="G41">
        <v>0</v>
      </c>
      <c r="H41">
        <v>0</v>
      </c>
      <c r="I41">
        <v>0</v>
      </c>
      <c r="J41">
        <v>0</v>
      </c>
      <c r="K41">
        <v>219956000</v>
      </c>
      <c r="L41">
        <v>6.5</v>
      </c>
      <c r="M41">
        <v>1429714</v>
      </c>
      <c r="N41">
        <v>621060</v>
      </c>
      <c r="O41">
        <v>3068000</v>
      </c>
      <c r="P41">
        <v>48530</v>
      </c>
      <c r="Q41">
        <v>0.66844002607561903</v>
      </c>
      <c r="R41">
        <v>14.9365364414693</v>
      </c>
      <c r="S41">
        <v>0.20243155149934799</v>
      </c>
      <c r="T41">
        <v>1.5818122555410701E-2</v>
      </c>
      <c r="U41">
        <v>1982</v>
      </c>
      <c r="V41">
        <v>40</v>
      </c>
      <c r="X41">
        <v>67.55</v>
      </c>
      <c r="Y41">
        <v>0</v>
      </c>
      <c r="Z41" t="s">
        <v>760</v>
      </c>
      <c r="AA41" t="s">
        <v>1443</v>
      </c>
    </row>
    <row r="42" spans="1:27" ht="15" customHeight="1" x14ac:dyDescent="0.3">
      <c r="A42">
        <v>48</v>
      </c>
      <c r="B42">
        <v>10</v>
      </c>
      <c r="C42" t="s">
        <v>756</v>
      </c>
      <c r="D42" t="s">
        <v>757</v>
      </c>
      <c r="E42" t="s">
        <v>758</v>
      </c>
      <c r="F42">
        <v>2023</v>
      </c>
      <c r="G42">
        <v>1</v>
      </c>
      <c r="H42">
        <v>0</v>
      </c>
      <c r="I42">
        <v>0</v>
      </c>
      <c r="J42">
        <v>0</v>
      </c>
      <c r="K42">
        <v>219956000</v>
      </c>
      <c r="L42">
        <v>7.15</v>
      </c>
      <c r="M42">
        <v>1572685.4</v>
      </c>
      <c r="N42">
        <v>752010</v>
      </c>
      <c r="O42">
        <v>3076000</v>
      </c>
      <c r="P42">
        <v>117100</v>
      </c>
      <c r="Q42">
        <v>0.75575273081924599</v>
      </c>
      <c r="R42">
        <v>14.9391406096077</v>
      </c>
      <c r="S42">
        <v>0.24447659297789301</v>
      </c>
      <c r="T42">
        <v>3.8068920676202898E-2</v>
      </c>
      <c r="U42">
        <v>1982</v>
      </c>
      <c r="V42">
        <v>41</v>
      </c>
      <c r="X42">
        <v>67.55</v>
      </c>
      <c r="Y42">
        <v>0</v>
      </c>
      <c r="Z42" t="s">
        <v>760</v>
      </c>
      <c r="AA42" t="s">
        <v>1444</v>
      </c>
    </row>
    <row r="43" spans="1:27" ht="15" customHeight="1" x14ac:dyDescent="0.3">
      <c r="A43">
        <v>49</v>
      </c>
      <c r="B43">
        <v>10</v>
      </c>
      <c r="C43" t="s">
        <v>756</v>
      </c>
      <c r="D43" t="s">
        <v>757</v>
      </c>
      <c r="E43" t="s">
        <v>758</v>
      </c>
      <c r="F43">
        <v>2024</v>
      </c>
      <c r="G43">
        <v>1</v>
      </c>
      <c r="H43">
        <v>0</v>
      </c>
      <c r="I43">
        <v>0</v>
      </c>
      <c r="J43">
        <v>0</v>
      </c>
      <c r="K43">
        <v>219956000</v>
      </c>
      <c r="L43">
        <v>7.1380999999999997</v>
      </c>
      <c r="M43">
        <v>1570067.9236000001</v>
      </c>
      <c r="N43">
        <v>1002121</v>
      </c>
      <c r="O43">
        <v>8082372</v>
      </c>
      <c r="P43">
        <v>-200250</v>
      </c>
      <c r="Q43">
        <v>0.31824678740349999</v>
      </c>
      <c r="R43">
        <v>15.9051959517721</v>
      </c>
      <c r="S43">
        <v>0.12398847763998</v>
      </c>
      <c r="T43">
        <v>-2.47761424492711E-2</v>
      </c>
      <c r="U43">
        <v>1982</v>
      </c>
      <c r="V43">
        <v>42</v>
      </c>
      <c r="W43">
        <v>20</v>
      </c>
      <c r="X43">
        <v>67.55</v>
      </c>
      <c r="Y43">
        <v>0</v>
      </c>
      <c r="Z43" t="s">
        <v>760</v>
      </c>
      <c r="AA43" t="s">
        <v>1445</v>
      </c>
    </row>
    <row r="44" spans="1:27" ht="15" customHeight="1" x14ac:dyDescent="0.3">
      <c r="A44">
        <v>50</v>
      </c>
      <c r="B44">
        <v>10</v>
      </c>
      <c r="C44" t="s">
        <v>756</v>
      </c>
      <c r="D44" t="s">
        <v>757</v>
      </c>
      <c r="E44" t="s">
        <v>758</v>
      </c>
      <c r="F44">
        <v>2025</v>
      </c>
      <c r="G44">
        <v>1</v>
      </c>
      <c r="H44">
        <v>0</v>
      </c>
      <c r="I44">
        <v>0</v>
      </c>
      <c r="J44">
        <v>0</v>
      </c>
      <c r="K44">
        <v>219956000</v>
      </c>
      <c r="L44">
        <v>21.640699999999999</v>
      </c>
      <c r="M44">
        <v>4760001.8092</v>
      </c>
      <c r="N44">
        <v>971730</v>
      </c>
      <c r="O44">
        <v>3650000</v>
      </c>
      <c r="P44">
        <v>-397800</v>
      </c>
      <c r="Q44">
        <v>1.5703374819725999</v>
      </c>
      <c r="R44">
        <v>15.110237725558701</v>
      </c>
      <c r="S44">
        <v>0.266227397260274</v>
      </c>
      <c r="T44">
        <v>-0.108986301369863</v>
      </c>
      <c r="U44">
        <v>1982</v>
      </c>
      <c r="V44">
        <v>43</v>
      </c>
      <c r="Y44">
        <v>0</v>
      </c>
      <c r="Z44" t="s">
        <v>760</v>
      </c>
      <c r="AA44" t="s">
        <v>1446</v>
      </c>
    </row>
    <row r="45" spans="1:27" ht="15" customHeight="1" x14ac:dyDescent="0.3">
      <c r="A45">
        <v>54</v>
      </c>
      <c r="B45">
        <v>11</v>
      </c>
      <c r="C45" t="s">
        <v>764</v>
      </c>
      <c r="D45" t="s">
        <v>765</v>
      </c>
      <c r="E45" t="s">
        <v>766</v>
      </c>
      <c r="F45">
        <v>2024</v>
      </c>
      <c r="G45">
        <v>1</v>
      </c>
      <c r="H45">
        <v>0</v>
      </c>
      <c r="I45">
        <v>35</v>
      </c>
      <c r="J45">
        <v>0</v>
      </c>
      <c r="K45">
        <v>4344844360</v>
      </c>
      <c r="L45">
        <v>772.9</v>
      </c>
      <c r="M45">
        <v>3358130205.8439999</v>
      </c>
      <c r="N45">
        <v>345725660</v>
      </c>
      <c r="O45">
        <v>1749835623</v>
      </c>
      <c r="P45">
        <v>259072447</v>
      </c>
      <c r="Q45">
        <v>2.1166878860849399</v>
      </c>
      <c r="R45">
        <v>21.282787690755899</v>
      </c>
      <c r="S45">
        <v>0.19757607826458101</v>
      </c>
      <c r="T45">
        <v>0.14805530507821901</v>
      </c>
      <c r="U45">
        <v>1992</v>
      </c>
      <c r="V45">
        <v>32</v>
      </c>
      <c r="W45">
        <v>11.11</v>
      </c>
      <c r="X45">
        <v>8.31</v>
      </c>
      <c r="Y45">
        <v>1</v>
      </c>
      <c r="Z45" t="s">
        <v>768</v>
      </c>
      <c r="AA45" t="s">
        <v>1447</v>
      </c>
    </row>
    <row r="46" spans="1:27" ht="15" customHeight="1" x14ac:dyDescent="0.3">
      <c r="A46">
        <v>55</v>
      </c>
      <c r="B46">
        <v>11</v>
      </c>
      <c r="C46" t="s">
        <v>764</v>
      </c>
      <c r="D46" t="s">
        <v>765</v>
      </c>
      <c r="E46" t="s">
        <v>766</v>
      </c>
      <c r="F46">
        <v>2025</v>
      </c>
      <c r="G46">
        <v>1</v>
      </c>
      <c r="H46">
        <v>0</v>
      </c>
      <c r="I46">
        <v>30</v>
      </c>
      <c r="J46">
        <v>0</v>
      </c>
      <c r="K46">
        <v>4344844360</v>
      </c>
      <c r="L46">
        <v>670</v>
      </c>
      <c r="M46">
        <v>2911045721.1999998</v>
      </c>
      <c r="N46">
        <v>7747863326</v>
      </c>
      <c r="O46">
        <v>9896139369</v>
      </c>
      <c r="P46">
        <v>757342748</v>
      </c>
      <c r="Q46">
        <v>1.0770774995943799</v>
      </c>
      <c r="R46">
        <v>23.015410555304399</v>
      </c>
      <c r="S46">
        <v>0.78291776591894502</v>
      </c>
      <c r="T46">
        <v>7.6529110975579295E-2</v>
      </c>
      <c r="U46">
        <v>1992</v>
      </c>
      <c r="V46">
        <v>33</v>
      </c>
      <c r="W46">
        <v>20</v>
      </c>
      <c r="X46">
        <v>8.31</v>
      </c>
      <c r="Y46">
        <v>1</v>
      </c>
      <c r="Z46" t="s">
        <v>768</v>
      </c>
      <c r="AA46" t="s">
        <v>1448</v>
      </c>
    </row>
    <row r="47" spans="1:27" ht="15" customHeight="1" x14ac:dyDescent="0.3">
      <c r="A47">
        <v>56</v>
      </c>
      <c r="B47">
        <v>12</v>
      </c>
      <c r="C47" t="s">
        <v>770</v>
      </c>
      <c r="D47" t="s">
        <v>771</v>
      </c>
      <c r="E47" t="s">
        <v>772</v>
      </c>
      <c r="F47">
        <v>2021</v>
      </c>
      <c r="G47">
        <v>0</v>
      </c>
      <c r="H47">
        <v>0</v>
      </c>
      <c r="I47">
        <v>0</v>
      </c>
      <c r="J47">
        <v>0</v>
      </c>
      <c r="K47">
        <v>1079860000</v>
      </c>
      <c r="L47">
        <v>2.028</v>
      </c>
      <c r="M47">
        <v>2189956.08</v>
      </c>
      <c r="N47">
        <v>49472</v>
      </c>
      <c r="O47">
        <v>1347146</v>
      </c>
      <c r="P47">
        <v>-44568</v>
      </c>
      <c r="Q47">
        <v>1.66234994573714</v>
      </c>
      <c r="R47">
        <v>14.1134988385315</v>
      </c>
      <c r="S47">
        <v>3.67235622568007E-2</v>
      </c>
      <c r="T47">
        <v>-3.3083273824811903E-2</v>
      </c>
      <c r="U47">
        <v>1982</v>
      </c>
      <c r="V47">
        <v>39</v>
      </c>
      <c r="X47">
        <v>9.26</v>
      </c>
      <c r="Y47">
        <v>0</v>
      </c>
      <c r="Z47" t="s">
        <v>774</v>
      </c>
      <c r="AA47" t="s">
        <v>1449</v>
      </c>
    </row>
    <row r="48" spans="1:27" ht="15" customHeight="1" x14ac:dyDescent="0.3">
      <c r="A48">
        <v>57</v>
      </c>
      <c r="B48">
        <v>12</v>
      </c>
      <c r="C48" t="s">
        <v>770</v>
      </c>
      <c r="D48" t="s">
        <v>771</v>
      </c>
      <c r="E48" t="s">
        <v>772</v>
      </c>
      <c r="F48">
        <v>2022</v>
      </c>
      <c r="G48">
        <v>0</v>
      </c>
      <c r="H48">
        <v>0</v>
      </c>
      <c r="I48">
        <v>0</v>
      </c>
      <c r="J48">
        <v>0</v>
      </c>
      <c r="K48">
        <v>1079860000</v>
      </c>
      <c r="L48">
        <v>2.028</v>
      </c>
      <c r="M48">
        <v>2189956.08</v>
      </c>
      <c r="N48">
        <v>49472</v>
      </c>
      <c r="O48">
        <v>1302578</v>
      </c>
      <c r="P48">
        <v>-44568</v>
      </c>
      <c r="Q48">
        <v>1.7192276239887401</v>
      </c>
      <c r="R48">
        <v>14.0798559356535</v>
      </c>
      <c r="S48">
        <v>3.7980067220542597E-2</v>
      </c>
      <c r="T48">
        <v>-3.4215225498971998E-2</v>
      </c>
      <c r="U48">
        <v>1982</v>
      </c>
      <c r="V48">
        <v>40</v>
      </c>
      <c r="X48">
        <v>9.26</v>
      </c>
      <c r="Y48">
        <v>0</v>
      </c>
      <c r="Z48" t="s">
        <v>774</v>
      </c>
      <c r="AA48" t="s">
        <v>1450</v>
      </c>
    </row>
    <row r="49" spans="1:27" ht="15" customHeight="1" x14ac:dyDescent="0.3">
      <c r="A49">
        <v>58</v>
      </c>
      <c r="B49">
        <v>12</v>
      </c>
      <c r="C49" t="s">
        <v>770</v>
      </c>
      <c r="D49" t="s">
        <v>771</v>
      </c>
      <c r="E49" t="s">
        <v>772</v>
      </c>
      <c r="F49">
        <v>2023</v>
      </c>
      <c r="G49">
        <v>1</v>
      </c>
      <c r="H49">
        <v>0</v>
      </c>
      <c r="I49">
        <v>0</v>
      </c>
      <c r="J49">
        <v>0</v>
      </c>
      <c r="K49">
        <v>1079860000</v>
      </c>
      <c r="L49">
        <v>2.028</v>
      </c>
      <c r="M49">
        <v>2189956.08</v>
      </c>
      <c r="N49">
        <v>48887</v>
      </c>
      <c r="O49">
        <v>1300900</v>
      </c>
      <c r="P49">
        <v>-1093</v>
      </c>
      <c r="Q49">
        <v>1.72099552617419</v>
      </c>
      <c r="R49">
        <v>14.0785668905897</v>
      </c>
      <c r="S49">
        <v>3.7579368129756298E-2</v>
      </c>
      <c r="T49">
        <v>-8.4018756245676101E-4</v>
      </c>
      <c r="U49">
        <v>1982</v>
      </c>
      <c r="V49">
        <v>41</v>
      </c>
      <c r="X49">
        <v>9.26</v>
      </c>
      <c r="Y49">
        <v>0</v>
      </c>
      <c r="Z49" t="s">
        <v>774</v>
      </c>
      <c r="AA49" t="s">
        <v>1451</v>
      </c>
    </row>
    <row r="50" spans="1:27" ht="15" customHeight="1" x14ac:dyDescent="0.3">
      <c r="A50">
        <v>59</v>
      </c>
      <c r="B50">
        <v>12</v>
      </c>
      <c r="C50" t="s">
        <v>770</v>
      </c>
      <c r="D50" t="s">
        <v>771</v>
      </c>
      <c r="E50" t="s">
        <v>772</v>
      </c>
      <c r="F50">
        <v>2024</v>
      </c>
      <c r="G50">
        <v>1</v>
      </c>
      <c r="H50">
        <v>0</v>
      </c>
      <c r="I50">
        <v>0</v>
      </c>
      <c r="J50">
        <v>0</v>
      </c>
      <c r="K50">
        <v>1079860000</v>
      </c>
      <c r="L50">
        <v>1.8242</v>
      </c>
      <c r="M50">
        <v>1969880.612</v>
      </c>
      <c r="N50">
        <v>40355</v>
      </c>
      <c r="O50">
        <v>1427592</v>
      </c>
      <c r="P50">
        <v>4232</v>
      </c>
      <c r="Q50">
        <v>1.40813034256286</v>
      </c>
      <c r="R50">
        <v>14.171499666771901</v>
      </c>
      <c r="S50">
        <v>2.8267880458842602E-2</v>
      </c>
      <c r="T50">
        <v>2.9644324148636299E-3</v>
      </c>
      <c r="U50">
        <v>1982</v>
      </c>
      <c r="V50">
        <v>42</v>
      </c>
      <c r="X50">
        <v>9.26</v>
      </c>
      <c r="Y50">
        <v>0</v>
      </c>
      <c r="Z50" t="s">
        <v>774</v>
      </c>
      <c r="AA50" t="s">
        <v>1452</v>
      </c>
    </row>
    <row r="51" spans="1:27" ht="15" customHeight="1" x14ac:dyDescent="0.3">
      <c r="A51">
        <v>60</v>
      </c>
      <c r="B51">
        <v>12</v>
      </c>
      <c r="C51" t="s">
        <v>770</v>
      </c>
      <c r="D51" t="s">
        <v>771</v>
      </c>
      <c r="E51" t="s">
        <v>772</v>
      </c>
      <c r="F51">
        <v>2025</v>
      </c>
      <c r="G51">
        <v>1</v>
      </c>
      <c r="H51">
        <v>0</v>
      </c>
      <c r="I51">
        <v>0</v>
      </c>
      <c r="J51">
        <v>0</v>
      </c>
      <c r="K51">
        <v>1079860000</v>
      </c>
      <c r="L51">
        <v>4.25</v>
      </c>
      <c r="M51">
        <v>4589405</v>
      </c>
      <c r="N51">
        <v>40360</v>
      </c>
      <c r="O51">
        <v>1420000</v>
      </c>
      <c r="P51">
        <v>-11160</v>
      </c>
      <c r="Q51">
        <v>3.2603978873239399</v>
      </c>
      <c r="R51">
        <v>14.166167429577399</v>
      </c>
      <c r="S51">
        <v>2.8422535211267599E-2</v>
      </c>
      <c r="T51">
        <v>-7.8591549295774707E-3</v>
      </c>
      <c r="U51">
        <v>1982</v>
      </c>
      <c r="V51">
        <v>43</v>
      </c>
      <c r="X51">
        <v>9.26</v>
      </c>
      <c r="Y51">
        <v>0</v>
      </c>
      <c r="Z51" t="s">
        <v>774</v>
      </c>
      <c r="AA51" t="s">
        <v>1453</v>
      </c>
    </row>
    <row r="52" spans="1:27" ht="15" customHeight="1" x14ac:dyDescent="0.3">
      <c r="A52">
        <v>66</v>
      </c>
      <c r="B52">
        <v>14</v>
      </c>
      <c r="C52" t="s">
        <v>786</v>
      </c>
      <c r="D52" t="s">
        <v>787</v>
      </c>
      <c r="E52" t="s">
        <v>752</v>
      </c>
      <c r="F52">
        <v>2021</v>
      </c>
      <c r="G52">
        <v>0</v>
      </c>
      <c r="H52">
        <v>0</v>
      </c>
      <c r="I52">
        <v>0</v>
      </c>
      <c r="J52">
        <v>0</v>
      </c>
      <c r="K52">
        <v>10000000</v>
      </c>
      <c r="L52">
        <v>6.25</v>
      </c>
      <c r="M52">
        <v>62500</v>
      </c>
      <c r="N52">
        <v>767628468</v>
      </c>
      <c r="O52">
        <v>785830318</v>
      </c>
      <c r="P52">
        <v>14419997</v>
      </c>
      <c r="Q52">
        <v>0.97691696338954404</v>
      </c>
      <c r="R52">
        <v>20.482251446680799</v>
      </c>
      <c r="S52">
        <v>0.97683742968033505</v>
      </c>
      <c r="T52">
        <v>1.83500135712504E-2</v>
      </c>
      <c r="U52">
        <v>2015</v>
      </c>
      <c r="V52">
        <v>6</v>
      </c>
      <c r="Y52">
        <v>0</v>
      </c>
      <c r="Z52" t="s">
        <v>789</v>
      </c>
      <c r="AA52" t="s">
        <v>1454</v>
      </c>
    </row>
    <row r="53" spans="1:27" ht="15" customHeight="1" x14ac:dyDescent="0.3">
      <c r="A53">
        <v>67</v>
      </c>
      <c r="B53">
        <v>14</v>
      </c>
      <c r="C53" t="s">
        <v>786</v>
      </c>
      <c r="D53" t="s">
        <v>787</v>
      </c>
      <c r="E53" t="s">
        <v>752</v>
      </c>
      <c r="F53">
        <v>2022</v>
      </c>
      <c r="G53">
        <v>0</v>
      </c>
      <c r="H53">
        <v>0</v>
      </c>
      <c r="I53">
        <v>0</v>
      </c>
      <c r="J53">
        <v>0</v>
      </c>
      <c r="K53">
        <v>10000000</v>
      </c>
      <c r="L53">
        <v>6.25</v>
      </c>
      <c r="M53">
        <v>62500</v>
      </c>
      <c r="N53">
        <v>763128468</v>
      </c>
      <c r="O53">
        <v>786728755</v>
      </c>
      <c r="P53">
        <v>5398437</v>
      </c>
      <c r="Q53">
        <v>0.970081445669289</v>
      </c>
      <c r="R53">
        <v>20.483394090048801</v>
      </c>
      <c r="S53">
        <v>0.97000200278684401</v>
      </c>
      <c r="T53">
        <v>6.86187833569144E-3</v>
      </c>
      <c r="U53">
        <v>2015</v>
      </c>
      <c r="V53">
        <v>7</v>
      </c>
      <c r="Y53">
        <v>0</v>
      </c>
      <c r="Z53" t="s">
        <v>789</v>
      </c>
      <c r="AA53" t="s">
        <v>1455</v>
      </c>
    </row>
    <row r="54" spans="1:27" ht="15" customHeight="1" x14ac:dyDescent="0.3">
      <c r="A54">
        <v>68</v>
      </c>
      <c r="B54">
        <v>14</v>
      </c>
      <c r="C54" t="s">
        <v>786</v>
      </c>
      <c r="D54" t="s">
        <v>787</v>
      </c>
      <c r="E54" t="s">
        <v>752</v>
      </c>
      <c r="F54">
        <v>2023</v>
      </c>
      <c r="G54">
        <v>1</v>
      </c>
      <c r="H54">
        <v>0</v>
      </c>
      <c r="I54">
        <v>0</v>
      </c>
      <c r="J54">
        <v>0</v>
      </c>
      <c r="K54">
        <v>10000000</v>
      </c>
      <c r="L54">
        <v>6.25</v>
      </c>
      <c r="M54">
        <v>62500</v>
      </c>
      <c r="N54">
        <v>747037864</v>
      </c>
      <c r="O54">
        <v>773142364</v>
      </c>
      <c r="P54">
        <v>2504213</v>
      </c>
      <c r="Q54">
        <v>0.96631668213695199</v>
      </c>
      <c r="R54">
        <v>20.465973760357599</v>
      </c>
      <c r="S54">
        <v>0.96623584320881895</v>
      </c>
      <c r="T54">
        <v>3.2390063157889501E-3</v>
      </c>
      <c r="U54">
        <v>2015</v>
      </c>
      <c r="V54">
        <v>8</v>
      </c>
      <c r="Y54">
        <v>0</v>
      </c>
      <c r="Z54" t="s">
        <v>789</v>
      </c>
      <c r="AA54" t="s">
        <v>1456</v>
      </c>
    </row>
    <row r="55" spans="1:27" ht="15" customHeight="1" x14ac:dyDescent="0.3">
      <c r="A55">
        <v>69</v>
      </c>
      <c r="B55">
        <v>14</v>
      </c>
      <c r="C55" t="s">
        <v>786</v>
      </c>
      <c r="D55" t="s">
        <v>787</v>
      </c>
      <c r="E55" t="s">
        <v>752</v>
      </c>
      <c r="F55">
        <v>2024</v>
      </c>
      <c r="G55">
        <v>1</v>
      </c>
      <c r="H55">
        <v>0</v>
      </c>
      <c r="I55">
        <v>0</v>
      </c>
      <c r="J55">
        <v>0</v>
      </c>
      <c r="K55">
        <v>10000000</v>
      </c>
      <c r="L55">
        <v>6.25</v>
      </c>
      <c r="M55">
        <v>62500</v>
      </c>
      <c r="N55">
        <v>8113557</v>
      </c>
      <c r="O55">
        <v>8169037</v>
      </c>
      <c r="P55">
        <v>22363.63</v>
      </c>
      <c r="Q55">
        <v>1.00085934241698</v>
      </c>
      <c r="R55">
        <v>15.9158615896319</v>
      </c>
      <c r="S55">
        <v>0.99320850180994402</v>
      </c>
      <c r="T55">
        <v>2.7376090963965498E-3</v>
      </c>
      <c r="U55">
        <v>2015</v>
      </c>
      <c r="V55">
        <v>9</v>
      </c>
      <c r="Y55">
        <v>0</v>
      </c>
      <c r="Z55" t="s">
        <v>789</v>
      </c>
      <c r="AA55" t="s">
        <v>1457</v>
      </c>
    </row>
    <row r="56" spans="1:27" ht="15" customHeight="1" x14ac:dyDescent="0.3">
      <c r="A56">
        <v>70</v>
      </c>
      <c r="B56">
        <v>14</v>
      </c>
      <c r="C56" t="s">
        <v>786</v>
      </c>
      <c r="D56" t="s">
        <v>787</v>
      </c>
      <c r="E56" t="s">
        <v>752</v>
      </c>
      <c r="F56">
        <v>2025</v>
      </c>
      <c r="G56">
        <v>1</v>
      </c>
      <c r="H56">
        <v>0</v>
      </c>
      <c r="I56">
        <v>0</v>
      </c>
      <c r="J56">
        <v>0</v>
      </c>
      <c r="K56">
        <v>10000000</v>
      </c>
      <c r="L56">
        <v>6.25</v>
      </c>
      <c r="M56">
        <v>62500</v>
      </c>
      <c r="N56">
        <v>7930000</v>
      </c>
      <c r="O56">
        <v>8026400</v>
      </c>
      <c r="P56">
        <v>40919</v>
      </c>
      <c r="Q56">
        <v>0.99577643775540703</v>
      </c>
      <c r="R56">
        <v>15.898246666593501</v>
      </c>
      <c r="S56">
        <v>0.98798963420711705</v>
      </c>
      <c r="T56">
        <v>5.0980514302800799E-3</v>
      </c>
      <c r="U56">
        <v>2015</v>
      </c>
      <c r="V56">
        <v>10</v>
      </c>
      <c r="Y56">
        <v>0</v>
      </c>
      <c r="Z56" t="s">
        <v>789</v>
      </c>
      <c r="AA56" t="s">
        <v>1458</v>
      </c>
    </row>
    <row r="57" spans="1:27" ht="15" customHeight="1" x14ac:dyDescent="0.3">
      <c r="A57">
        <v>71</v>
      </c>
      <c r="B57">
        <v>15</v>
      </c>
      <c r="C57" t="s">
        <v>791</v>
      </c>
      <c r="D57" t="s">
        <v>792</v>
      </c>
      <c r="E57" t="s">
        <v>772</v>
      </c>
      <c r="F57">
        <v>2021</v>
      </c>
      <c r="G57">
        <v>0</v>
      </c>
      <c r="H57">
        <v>0</v>
      </c>
      <c r="I57">
        <v>15</v>
      </c>
      <c r="J57">
        <v>0</v>
      </c>
      <c r="K57">
        <v>289823447</v>
      </c>
      <c r="L57">
        <v>7.5</v>
      </c>
      <c r="M57">
        <v>2173675.8525</v>
      </c>
      <c r="N57">
        <v>1879966</v>
      </c>
      <c r="O57">
        <v>5110669</v>
      </c>
      <c r="P57">
        <v>135635</v>
      </c>
      <c r="Q57">
        <v>0.79317245012345705</v>
      </c>
      <c r="R57">
        <v>15.4468408733758</v>
      </c>
      <c r="S57">
        <v>0.36785125391607199</v>
      </c>
      <c r="T57">
        <v>2.6539578282217102E-2</v>
      </c>
      <c r="U57">
        <v>1959</v>
      </c>
      <c r="V57">
        <v>62</v>
      </c>
      <c r="Y57">
        <v>1</v>
      </c>
      <c r="Z57" t="s">
        <v>794</v>
      </c>
      <c r="AA57" t="s">
        <v>1459</v>
      </c>
    </row>
    <row r="58" spans="1:27" ht="15" customHeight="1" x14ac:dyDescent="0.3">
      <c r="A58">
        <v>72</v>
      </c>
      <c r="B58">
        <v>15</v>
      </c>
      <c r="C58" t="s">
        <v>791</v>
      </c>
      <c r="D58" t="s">
        <v>792</v>
      </c>
      <c r="E58" t="s">
        <v>772</v>
      </c>
      <c r="F58">
        <v>2022</v>
      </c>
      <c r="G58">
        <v>0</v>
      </c>
      <c r="H58">
        <v>0</v>
      </c>
      <c r="I58">
        <v>15</v>
      </c>
      <c r="J58">
        <v>0</v>
      </c>
      <c r="K58">
        <v>289823447</v>
      </c>
      <c r="L58">
        <v>6</v>
      </c>
      <c r="M58">
        <v>1738940.682</v>
      </c>
      <c r="N58">
        <v>2205083</v>
      </c>
      <c r="O58">
        <v>5528528</v>
      </c>
      <c r="P58">
        <v>208670</v>
      </c>
      <c r="Q58">
        <v>0.71339490041472198</v>
      </c>
      <c r="R58">
        <v>15.5254321536167</v>
      </c>
      <c r="S58">
        <v>0.39885535534956101</v>
      </c>
      <c r="T58">
        <v>3.7744224140675402E-2</v>
      </c>
      <c r="U58">
        <v>1959</v>
      </c>
      <c r="V58">
        <v>63</v>
      </c>
      <c r="Y58">
        <v>1</v>
      </c>
      <c r="Z58" t="s">
        <v>794</v>
      </c>
      <c r="AA58" t="s">
        <v>1459</v>
      </c>
    </row>
    <row r="59" spans="1:27" ht="15" customHeight="1" x14ac:dyDescent="0.3">
      <c r="A59">
        <v>73</v>
      </c>
      <c r="B59">
        <v>15</v>
      </c>
      <c r="C59" t="s">
        <v>791</v>
      </c>
      <c r="D59" t="s">
        <v>792</v>
      </c>
      <c r="E59" t="s">
        <v>772</v>
      </c>
      <c r="F59">
        <v>2023</v>
      </c>
      <c r="G59">
        <v>1</v>
      </c>
      <c r="H59">
        <v>0</v>
      </c>
      <c r="I59">
        <v>15</v>
      </c>
      <c r="J59">
        <v>0</v>
      </c>
      <c r="K59">
        <v>289823447</v>
      </c>
      <c r="L59">
        <v>13</v>
      </c>
      <c r="M59">
        <v>3767704.8110000002</v>
      </c>
      <c r="N59">
        <v>3079569</v>
      </c>
      <c r="O59">
        <v>6610970</v>
      </c>
      <c r="P59">
        <v>468797</v>
      </c>
      <c r="Q59">
        <v>1.0357441965399901</v>
      </c>
      <c r="R59">
        <v>15.704240948414</v>
      </c>
      <c r="S59">
        <v>0.46582710252807102</v>
      </c>
      <c r="T59">
        <v>7.0911984171763004E-2</v>
      </c>
      <c r="U59">
        <v>1959</v>
      </c>
      <c r="V59">
        <v>64</v>
      </c>
      <c r="Y59">
        <v>1</v>
      </c>
      <c r="Z59" t="s">
        <v>794</v>
      </c>
      <c r="AA59" t="s">
        <v>1460</v>
      </c>
    </row>
    <row r="60" spans="1:27" ht="15" customHeight="1" x14ac:dyDescent="0.3">
      <c r="A60">
        <v>74</v>
      </c>
      <c r="B60">
        <v>15</v>
      </c>
      <c r="C60" t="s">
        <v>791</v>
      </c>
      <c r="D60" t="s">
        <v>792</v>
      </c>
      <c r="E60" t="s">
        <v>772</v>
      </c>
      <c r="F60">
        <v>2024</v>
      </c>
      <c r="G60">
        <v>1</v>
      </c>
      <c r="H60">
        <v>0</v>
      </c>
      <c r="I60">
        <v>20</v>
      </c>
      <c r="J60">
        <v>6.6666666666666696</v>
      </c>
      <c r="K60">
        <v>289823447</v>
      </c>
      <c r="L60">
        <v>20.0122</v>
      </c>
      <c r="M60">
        <v>5800004.7860533996</v>
      </c>
      <c r="N60">
        <v>3690000</v>
      </c>
      <c r="O60">
        <v>7520000</v>
      </c>
      <c r="P60">
        <v>610860</v>
      </c>
      <c r="Q60">
        <v>1.26196872154965</v>
      </c>
      <c r="R60">
        <v>15.833076695926</v>
      </c>
      <c r="S60">
        <v>0.49069148936170198</v>
      </c>
      <c r="T60">
        <v>8.1231382978723399E-2</v>
      </c>
      <c r="U60">
        <v>1959</v>
      </c>
      <c r="V60">
        <v>65</v>
      </c>
      <c r="Y60">
        <v>0</v>
      </c>
      <c r="Z60" t="s">
        <v>794</v>
      </c>
      <c r="AA60" t="s">
        <v>1461</v>
      </c>
    </row>
    <row r="61" spans="1:27" ht="15" customHeight="1" x14ac:dyDescent="0.3">
      <c r="A61">
        <v>75</v>
      </c>
      <c r="B61">
        <v>15</v>
      </c>
      <c r="C61" t="s">
        <v>791</v>
      </c>
      <c r="D61" t="s">
        <v>792</v>
      </c>
      <c r="E61" t="s">
        <v>772</v>
      </c>
      <c r="F61">
        <v>2025</v>
      </c>
      <c r="G61">
        <v>1</v>
      </c>
      <c r="H61">
        <v>0</v>
      </c>
      <c r="I61">
        <v>15</v>
      </c>
      <c r="J61">
        <v>0</v>
      </c>
      <c r="K61">
        <v>289823447</v>
      </c>
      <c r="L61">
        <v>47.994700000000002</v>
      </c>
      <c r="M61">
        <v>13909989.391730901</v>
      </c>
      <c r="N61">
        <v>4340000</v>
      </c>
      <c r="O61">
        <v>9250000</v>
      </c>
      <c r="P61">
        <v>1480000</v>
      </c>
      <c r="Q61">
        <v>1.97297182613307</v>
      </c>
      <c r="R61">
        <v>16.040134109488601</v>
      </c>
      <c r="S61">
        <v>0.469189189189189</v>
      </c>
      <c r="T61">
        <v>0.16</v>
      </c>
      <c r="U61">
        <v>1959</v>
      </c>
      <c r="V61">
        <v>66</v>
      </c>
      <c r="Y61">
        <v>0</v>
      </c>
      <c r="Z61" t="s">
        <v>794</v>
      </c>
      <c r="AA61" t="s">
        <v>1462</v>
      </c>
    </row>
    <row r="62" spans="1:27" ht="15" customHeight="1" x14ac:dyDescent="0.3">
      <c r="A62">
        <v>76</v>
      </c>
      <c r="B62">
        <v>16</v>
      </c>
      <c r="C62" t="s">
        <v>796</v>
      </c>
      <c r="D62" t="s">
        <v>797</v>
      </c>
      <c r="E62" t="s">
        <v>772</v>
      </c>
      <c r="F62">
        <v>2021</v>
      </c>
      <c r="G62">
        <v>0</v>
      </c>
      <c r="H62">
        <v>0</v>
      </c>
      <c r="I62">
        <v>0</v>
      </c>
      <c r="J62">
        <v>0</v>
      </c>
      <c r="K62">
        <v>599970000</v>
      </c>
      <c r="L62">
        <v>44.12</v>
      </c>
      <c r="M62">
        <v>26470676.399999999</v>
      </c>
      <c r="N62">
        <v>20984992</v>
      </c>
      <c r="O62">
        <v>63112410</v>
      </c>
      <c r="P62">
        <v>5457671</v>
      </c>
      <c r="Q62">
        <v>0.75192293243119701</v>
      </c>
      <c r="R62">
        <v>17.960427980123299</v>
      </c>
      <c r="S62">
        <v>0.33250183284079998</v>
      </c>
      <c r="T62">
        <v>8.6475401589006004E-2</v>
      </c>
      <c r="U62">
        <v>1974</v>
      </c>
      <c r="V62">
        <v>47</v>
      </c>
      <c r="Y62">
        <v>1</v>
      </c>
      <c r="Z62" t="s">
        <v>722</v>
      </c>
      <c r="AA62" t="s">
        <v>1463</v>
      </c>
    </row>
    <row r="63" spans="1:27" ht="15" customHeight="1" x14ac:dyDescent="0.3">
      <c r="A63">
        <v>77</v>
      </c>
      <c r="B63">
        <v>16</v>
      </c>
      <c r="C63" t="s">
        <v>796</v>
      </c>
      <c r="D63" t="s">
        <v>797</v>
      </c>
      <c r="E63" t="s">
        <v>772</v>
      </c>
      <c r="F63">
        <v>2022</v>
      </c>
      <c r="G63">
        <v>0</v>
      </c>
      <c r="H63">
        <v>0</v>
      </c>
      <c r="I63">
        <v>5</v>
      </c>
      <c r="J63">
        <v>0</v>
      </c>
      <c r="K63">
        <v>599970000</v>
      </c>
      <c r="L63">
        <v>39.6</v>
      </c>
      <c r="M63">
        <v>23758812</v>
      </c>
      <c r="N63">
        <v>29681202</v>
      </c>
      <c r="O63">
        <v>75944552</v>
      </c>
      <c r="P63">
        <v>4685414</v>
      </c>
      <c r="Q63">
        <v>0.70367146283251503</v>
      </c>
      <c r="R63">
        <v>18.145514053031</v>
      </c>
      <c r="S63">
        <v>0.390827270927874</v>
      </c>
      <c r="T63">
        <v>6.1695195726482098E-2</v>
      </c>
      <c r="U63">
        <v>1974</v>
      </c>
      <c r="V63">
        <v>48</v>
      </c>
      <c r="Y63">
        <v>1</v>
      </c>
      <c r="Z63" t="s">
        <v>722</v>
      </c>
      <c r="AA63" t="s">
        <v>1464</v>
      </c>
    </row>
    <row r="64" spans="1:27" ht="15" customHeight="1" x14ac:dyDescent="0.3">
      <c r="A64">
        <v>78</v>
      </c>
      <c r="B64">
        <v>16</v>
      </c>
      <c r="C64" t="s">
        <v>796</v>
      </c>
      <c r="D64" t="s">
        <v>797</v>
      </c>
      <c r="E64" t="s">
        <v>772</v>
      </c>
      <c r="F64">
        <v>2023</v>
      </c>
      <c r="G64">
        <v>1</v>
      </c>
      <c r="H64">
        <v>0</v>
      </c>
      <c r="I64">
        <v>5</v>
      </c>
      <c r="J64">
        <v>0</v>
      </c>
      <c r="K64">
        <v>599970000</v>
      </c>
      <c r="L64">
        <v>59.4</v>
      </c>
      <c r="M64">
        <v>35638218</v>
      </c>
      <c r="N64">
        <v>54846891</v>
      </c>
      <c r="O64">
        <v>106851901</v>
      </c>
      <c r="P64">
        <v>6442220</v>
      </c>
      <c r="Q64">
        <v>0.84682732036746799</v>
      </c>
      <c r="R64">
        <v>18.486954330867398</v>
      </c>
      <c r="S64">
        <v>0.51329822386594703</v>
      </c>
      <c r="T64">
        <v>6.02911126494605E-2</v>
      </c>
      <c r="U64">
        <v>1974</v>
      </c>
      <c r="V64">
        <v>49</v>
      </c>
      <c r="Y64">
        <v>1</v>
      </c>
      <c r="Z64" t="s">
        <v>722</v>
      </c>
      <c r="AA64" t="s">
        <v>1465</v>
      </c>
    </row>
    <row r="65" spans="1:27" ht="15" customHeight="1" x14ac:dyDescent="0.3">
      <c r="A65">
        <v>79</v>
      </c>
      <c r="B65">
        <v>16</v>
      </c>
      <c r="C65" t="s">
        <v>796</v>
      </c>
      <c r="D65" t="s">
        <v>797</v>
      </c>
      <c r="E65" t="s">
        <v>772</v>
      </c>
      <c r="F65">
        <v>2024</v>
      </c>
      <c r="G65">
        <v>1</v>
      </c>
      <c r="H65">
        <v>0</v>
      </c>
      <c r="I65">
        <v>5</v>
      </c>
      <c r="J65">
        <v>0</v>
      </c>
      <c r="K65">
        <v>599970000</v>
      </c>
      <c r="L65">
        <v>64.900000000000006</v>
      </c>
      <c r="M65">
        <v>38938053</v>
      </c>
      <c r="N65">
        <v>69560314</v>
      </c>
      <c r="O65">
        <v>134352197</v>
      </c>
      <c r="P65">
        <v>64791883</v>
      </c>
      <c r="Q65">
        <v>0.80756674935505501</v>
      </c>
      <c r="R65">
        <v>18.715975245701902</v>
      </c>
      <c r="S65">
        <v>0.51774601050997304</v>
      </c>
      <c r="T65">
        <v>0.48225398949002701</v>
      </c>
      <c r="U65">
        <v>1974</v>
      </c>
      <c r="V65">
        <v>50</v>
      </c>
      <c r="Y65">
        <v>1</v>
      </c>
      <c r="Z65" t="s">
        <v>722</v>
      </c>
      <c r="AA65" t="s">
        <v>1466</v>
      </c>
    </row>
    <row r="66" spans="1:27" ht="15" customHeight="1" x14ac:dyDescent="0.3">
      <c r="A66">
        <v>80</v>
      </c>
      <c r="B66">
        <v>16</v>
      </c>
      <c r="C66" t="s">
        <v>796</v>
      </c>
      <c r="D66" t="s">
        <v>797</v>
      </c>
      <c r="E66" t="s">
        <v>772</v>
      </c>
      <c r="F66">
        <v>2025</v>
      </c>
      <c r="G66">
        <v>1</v>
      </c>
      <c r="H66">
        <v>0</v>
      </c>
      <c r="I66">
        <v>5</v>
      </c>
      <c r="J66">
        <v>0</v>
      </c>
      <c r="K66">
        <v>599970000</v>
      </c>
      <c r="L66">
        <v>370</v>
      </c>
      <c r="M66">
        <v>221988900</v>
      </c>
      <c r="N66">
        <v>87624904</v>
      </c>
      <c r="O66">
        <v>183892203</v>
      </c>
      <c r="P66">
        <v>96267299</v>
      </c>
      <c r="Q66">
        <v>1.68367010101021</v>
      </c>
      <c r="R66">
        <v>19.029860290633302</v>
      </c>
      <c r="S66">
        <v>0.47650146428448598</v>
      </c>
      <c r="T66">
        <v>0.52349853571551397</v>
      </c>
      <c r="U66">
        <v>1974</v>
      </c>
      <c r="V66">
        <v>51</v>
      </c>
      <c r="Y66">
        <v>1</v>
      </c>
      <c r="Z66" t="s">
        <v>722</v>
      </c>
      <c r="AA66" t="s">
        <v>1467</v>
      </c>
    </row>
    <row r="67" spans="1:27" ht="15" customHeight="1" x14ac:dyDescent="0.3">
      <c r="A67">
        <v>81</v>
      </c>
      <c r="B67">
        <v>17</v>
      </c>
      <c r="C67" t="s">
        <v>800</v>
      </c>
      <c r="D67" t="s">
        <v>801</v>
      </c>
      <c r="E67" t="s">
        <v>772</v>
      </c>
      <c r="F67">
        <v>2021</v>
      </c>
      <c r="G67">
        <v>0</v>
      </c>
      <c r="H67">
        <v>0</v>
      </c>
      <c r="I67">
        <v>25</v>
      </c>
      <c r="J67">
        <v>0</v>
      </c>
      <c r="K67">
        <v>33864354060</v>
      </c>
      <c r="L67">
        <v>67.03</v>
      </c>
      <c r="M67">
        <v>2269927652.6417999</v>
      </c>
      <c r="N67">
        <v>330400000</v>
      </c>
      <c r="O67">
        <v>728500000</v>
      </c>
      <c r="P67">
        <v>90079011</v>
      </c>
      <c r="Q67">
        <v>3.5694271141273899</v>
      </c>
      <c r="R67">
        <v>20.406498183599499</v>
      </c>
      <c r="S67">
        <v>0.45353466026081002</v>
      </c>
      <c r="T67">
        <v>0.12364998078243</v>
      </c>
      <c r="U67">
        <v>2014</v>
      </c>
      <c r="V67">
        <v>7</v>
      </c>
      <c r="Y67">
        <v>1</v>
      </c>
      <c r="Z67" t="s">
        <v>711</v>
      </c>
      <c r="AA67" t="s">
        <v>1468</v>
      </c>
    </row>
    <row r="68" spans="1:27" ht="15" customHeight="1" x14ac:dyDescent="0.3">
      <c r="A68">
        <v>82</v>
      </c>
      <c r="B68">
        <v>17</v>
      </c>
      <c r="C68" t="s">
        <v>800</v>
      </c>
      <c r="D68" t="s">
        <v>801</v>
      </c>
      <c r="E68" t="s">
        <v>772</v>
      </c>
      <c r="F68">
        <v>2022</v>
      </c>
      <c r="G68">
        <v>0</v>
      </c>
      <c r="H68">
        <v>0</v>
      </c>
      <c r="I68">
        <v>25</v>
      </c>
      <c r="J68">
        <v>0</v>
      </c>
      <c r="K68">
        <v>33864354060</v>
      </c>
      <c r="L68">
        <v>97.74</v>
      </c>
      <c r="M68">
        <v>3309901965.8243999</v>
      </c>
      <c r="N68">
        <v>462899342</v>
      </c>
      <c r="O68">
        <v>874011884</v>
      </c>
      <c r="P68">
        <v>411112542</v>
      </c>
      <c r="Q68">
        <v>4.3166476073046196</v>
      </c>
      <c r="R68">
        <v>20.588604530781399</v>
      </c>
      <c r="S68">
        <v>0.52962591295840999</v>
      </c>
      <c r="T68">
        <v>0.47037408704159001</v>
      </c>
      <c r="U68">
        <v>2014</v>
      </c>
      <c r="V68">
        <v>8</v>
      </c>
      <c r="Y68">
        <v>1</v>
      </c>
      <c r="Z68" t="s">
        <v>711</v>
      </c>
      <c r="AA68" t="s">
        <v>1469</v>
      </c>
    </row>
    <row r="69" spans="1:27" ht="15" customHeight="1" x14ac:dyDescent="0.3">
      <c r="A69">
        <v>83</v>
      </c>
      <c r="B69">
        <v>17</v>
      </c>
      <c r="C69" t="s">
        <v>800</v>
      </c>
      <c r="D69" t="s">
        <v>801</v>
      </c>
      <c r="E69" t="s">
        <v>772</v>
      </c>
      <c r="F69">
        <v>2023</v>
      </c>
      <c r="G69">
        <v>1</v>
      </c>
      <c r="H69">
        <v>0</v>
      </c>
      <c r="I69">
        <v>30</v>
      </c>
      <c r="J69">
        <v>0</v>
      </c>
      <c r="K69">
        <v>33864354060</v>
      </c>
      <c r="L69">
        <v>96.86</v>
      </c>
      <c r="M69">
        <v>3280101334.2515998</v>
      </c>
      <c r="N69">
        <v>830462227</v>
      </c>
      <c r="O69">
        <v>1215686377</v>
      </c>
      <c r="P69">
        <v>385224150</v>
      </c>
      <c r="Q69">
        <v>3.38126974112798</v>
      </c>
      <c r="R69">
        <v>20.918574673573598</v>
      </c>
      <c r="S69">
        <v>0.683122096876142</v>
      </c>
      <c r="T69">
        <v>0.316877903123858</v>
      </c>
      <c r="U69">
        <v>2014</v>
      </c>
      <c r="V69">
        <v>9</v>
      </c>
      <c r="Y69">
        <v>1</v>
      </c>
      <c r="Z69" t="s">
        <v>711</v>
      </c>
      <c r="AA69" t="s">
        <v>1470</v>
      </c>
    </row>
    <row r="70" spans="1:27" ht="15" customHeight="1" x14ac:dyDescent="0.3">
      <c r="A70">
        <v>84</v>
      </c>
      <c r="B70">
        <v>17</v>
      </c>
      <c r="C70" t="s">
        <v>800</v>
      </c>
      <c r="D70" t="s">
        <v>801</v>
      </c>
      <c r="E70" t="s">
        <v>772</v>
      </c>
      <c r="F70">
        <v>2024</v>
      </c>
      <c r="G70">
        <v>1</v>
      </c>
      <c r="H70">
        <v>0</v>
      </c>
      <c r="I70">
        <v>30</v>
      </c>
      <c r="J70">
        <v>0</v>
      </c>
      <c r="K70">
        <v>33864354060</v>
      </c>
      <c r="L70">
        <v>93.03</v>
      </c>
      <c r="M70">
        <v>3150400858.2017999</v>
      </c>
      <c r="N70">
        <v>1181803630</v>
      </c>
      <c r="O70">
        <v>1570351865</v>
      </c>
      <c r="P70">
        <v>388548235</v>
      </c>
      <c r="Q70">
        <v>2.7587476315072901</v>
      </c>
      <c r="R70">
        <v>21.174565549030401</v>
      </c>
      <c r="S70">
        <v>0.752572500686017</v>
      </c>
      <c r="T70">
        <v>0.247427499313983</v>
      </c>
      <c r="U70">
        <v>2014</v>
      </c>
      <c r="V70">
        <v>10</v>
      </c>
      <c r="Y70">
        <v>1</v>
      </c>
      <c r="Z70" t="s">
        <v>711</v>
      </c>
      <c r="AA70" t="s">
        <v>1469</v>
      </c>
    </row>
    <row r="71" spans="1:27" ht="15" customHeight="1" x14ac:dyDescent="0.3">
      <c r="A71">
        <v>85</v>
      </c>
      <c r="B71">
        <v>17</v>
      </c>
      <c r="C71" t="s">
        <v>800</v>
      </c>
      <c r="D71" t="s">
        <v>801</v>
      </c>
      <c r="E71" t="s">
        <v>772</v>
      </c>
      <c r="F71">
        <v>2025</v>
      </c>
      <c r="G71">
        <v>1</v>
      </c>
      <c r="H71">
        <v>0</v>
      </c>
      <c r="I71">
        <v>0</v>
      </c>
      <c r="J71">
        <v>0</v>
      </c>
      <c r="K71">
        <v>33864354060</v>
      </c>
      <c r="L71">
        <v>178.36</v>
      </c>
      <c r="M71">
        <v>6040046190.1415997</v>
      </c>
      <c r="N71">
        <v>1180000000</v>
      </c>
      <c r="O71">
        <v>1860000000</v>
      </c>
      <c r="P71">
        <v>672900000</v>
      </c>
      <c r="Q71">
        <v>3.88174526351699</v>
      </c>
      <c r="R71">
        <v>21.343842324671499</v>
      </c>
      <c r="S71">
        <v>0.63440860215053796</v>
      </c>
      <c r="T71">
        <v>0.36177419354838702</v>
      </c>
      <c r="U71">
        <v>2014</v>
      </c>
      <c r="V71">
        <v>11</v>
      </c>
      <c r="Y71">
        <v>1</v>
      </c>
      <c r="Z71" t="s">
        <v>711</v>
      </c>
      <c r="AA71" t="s">
        <v>1471</v>
      </c>
    </row>
    <row r="72" spans="1:27" ht="15" customHeight="1" x14ac:dyDescent="0.3">
      <c r="A72">
        <v>87</v>
      </c>
      <c r="B72">
        <v>18</v>
      </c>
      <c r="C72" t="s">
        <v>804</v>
      </c>
      <c r="D72" t="s">
        <v>805</v>
      </c>
      <c r="E72" t="s">
        <v>806</v>
      </c>
      <c r="F72">
        <v>2022</v>
      </c>
      <c r="G72">
        <v>0</v>
      </c>
      <c r="H72">
        <v>0</v>
      </c>
      <c r="I72">
        <v>5</v>
      </c>
      <c r="J72">
        <v>0</v>
      </c>
      <c r="K72">
        <v>18000000000</v>
      </c>
      <c r="L72">
        <v>65</v>
      </c>
      <c r="M72">
        <v>1170000000</v>
      </c>
      <c r="N72">
        <v>376263289</v>
      </c>
      <c r="O72">
        <v>607224625</v>
      </c>
      <c r="P72">
        <v>230961336</v>
      </c>
      <c r="Q72">
        <v>2.54644364760405</v>
      </c>
      <c r="R72">
        <v>20.22440933823</v>
      </c>
      <c r="S72">
        <v>0.61964431860779701</v>
      </c>
      <c r="T72">
        <v>0.38035568139220299</v>
      </c>
      <c r="U72">
        <v>2005</v>
      </c>
      <c r="V72">
        <v>17</v>
      </c>
      <c r="Y72">
        <v>1</v>
      </c>
      <c r="Z72" t="s">
        <v>711</v>
      </c>
      <c r="AA72" t="s">
        <v>1472</v>
      </c>
    </row>
    <row r="73" spans="1:27" ht="15" customHeight="1" x14ac:dyDescent="0.3">
      <c r="A73">
        <v>88</v>
      </c>
      <c r="B73">
        <v>18</v>
      </c>
      <c r="C73" t="s">
        <v>804</v>
      </c>
      <c r="D73" t="s">
        <v>805</v>
      </c>
      <c r="E73" t="s">
        <v>806</v>
      </c>
      <c r="F73">
        <v>2023</v>
      </c>
      <c r="G73">
        <v>1</v>
      </c>
      <c r="H73">
        <v>0</v>
      </c>
      <c r="I73">
        <v>5</v>
      </c>
      <c r="J73">
        <v>0</v>
      </c>
      <c r="K73">
        <v>18000000000</v>
      </c>
      <c r="L73">
        <v>193.33</v>
      </c>
      <c r="M73">
        <v>3479940000</v>
      </c>
      <c r="N73">
        <v>808381029</v>
      </c>
      <c r="O73">
        <v>1070439862</v>
      </c>
      <c r="P73">
        <v>262058833</v>
      </c>
      <c r="Q73">
        <v>4.0061297988172297</v>
      </c>
      <c r="R73">
        <v>20.791335486928801</v>
      </c>
      <c r="S73">
        <v>0.755185842471924</v>
      </c>
      <c r="T73">
        <v>0.244814157528076</v>
      </c>
      <c r="U73">
        <v>2005</v>
      </c>
      <c r="V73">
        <v>18</v>
      </c>
      <c r="Y73">
        <v>1</v>
      </c>
      <c r="Z73" t="s">
        <v>711</v>
      </c>
      <c r="AA73" t="s">
        <v>1473</v>
      </c>
    </row>
    <row r="74" spans="1:27" ht="15" customHeight="1" x14ac:dyDescent="0.3">
      <c r="A74">
        <v>89</v>
      </c>
      <c r="B74">
        <v>18</v>
      </c>
      <c r="C74" t="s">
        <v>804</v>
      </c>
      <c r="D74" t="s">
        <v>805</v>
      </c>
      <c r="E74" t="s">
        <v>806</v>
      </c>
      <c r="F74">
        <v>2024</v>
      </c>
      <c r="G74">
        <v>1</v>
      </c>
      <c r="H74">
        <v>0</v>
      </c>
      <c r="I74">
        <v>5</v>
      </c>
      <c r="J74">
        <v>0</v>
      </c>
      <c r="K74">
        <v>18000000000</v>
      </c>
      <c r="L74">
        <v>415</v>
      </c>
      <c r="M74">
        <v>7470000000</v>
      </c>
      <c r="N74">
        <v>666447596</v>
      </c>
      <c r="O74">
        <v>1095504241</v>
      </c>
      <c r="P74">
        <v>429056645</v>
      </c>
      <c r="Q74">
        <v>7.4271256025196903</v>
      </c>
      <c r="R74">
        <v>20.814480588283999</v>
      </c>
      <c r="S74">
        <v>0.608347801001347</v>
      </c>
      <c r="T74">
        <v>0.391652198998653</v>
      </c>
      <c r="U74">
        <v>2005</v>
      </c>
      <c r="V74">
        <v>19</v>
      </c>
      <c r="Y74">
        <v>1</v>
      </c>
      <c r="Z74" t="s">
        <v>711</v>
      </c>
      <c r="AA74" t="s">
        <v>1473</v>
      </c>
    </row>
    <row r="75" spans="1:27" ht="15" customHeight="1" x14ac:dyDescent="0.3">
      <c r="A75">
        <v>90</v>
      </c>
      <c r="B75">
        <v>18</v>
      </c>
      <c r="C75" t="s">
        <v>804</v>
      </c>
      <c r="D75" t="s">
        <v>805</v>
      </c>
      <c r="E75" t="s">
        <v>806</v>
      </c>
      <c r="F75">
        <v>2025</v>
      </c>
      <c r="G75">
        <v>1</v>
      </c>
      <c r="H75">
        <v>0</v>
      </c>
      <c r="I75">
        <v>0</v>
      </c>
      <c r="J75">
        <v>0</v>
      </c>
      <c r="K75">
        <v>18000000000</v>
      </c>
      <c r="L75">
        <v>798.89</v>
      </c>
      <c r="M75">
        <v>14380020000</v>
      </c>
      <c r="N75">
        <v>683400000</v>
      </c>
      <c r="O75">
        <v>1386190000</v>
      </c>
      <c r="P75">
        <v>702790000</v>
      </c>
      <c r="Q75">
        <v>10.8667787244173</v>
      </c>
      <c r="R75">
        <v>21.049824813455899</v>
      </c>
      <c r="S75">
        <v>0.49300600927722799</v>
      </c>
      <c r="T75">
        <v>0.50699399072277296</v>
      </c>
      <c r="U75">
        <v>2005</v>
      </c>
      <c r="V75">
        <v>20</v>
      </c>
      <c r="Y75">
        <v>1</v>
      </c>
      <c r="Z75" t="s">
        <v>711</v>
      </c>
      <c r="AA75" t="s">
        <v>1474</v>
      </c>
    </row>
    <row r="76" spans="1:27" ht="15" customHeight="1" x14ac:dyDescent="0.3">
      <c r="A76">
        <v>91</v>
      </c>
      <c r="B76">
        <v>19</v>
      </c>
      <c r="C76" t="s">
        <v>809</v>
      </c>
      <c r="D76" t="s">
        <v>810</v>
      </c>
      <c r="E76" t="s">
        <v>806</v>
      </c>
      <c r="F76">
        <v>2021</v>
      </c>
      <c r="G76">
        <v>0</v>
      </c>
      <c r="H76">
        <v>0</v>
      </c>
      <c r="I76">
        <v>10</v>
      </c>
      <c r="J76">
        <v>0</v>
      </c>
      <c r="K76">
        <v>1878000000</v>
      </c>
      <c r="L76">
        <v>8.8018999999999998</v>
      </c>
      <c r="M76">
        <v>16529968.199999999</v>
      </c>
      <c r="N76">
        <v>30051937</v>
      </c>
      <c r="O76">
        <v>43688291</v>
      </c>
      <c r="P76">
        <v>13636354</v>
      </c>
      <c r="Q76">
        <v>1.06623317446773</v>
      </c>
      <c r="R76">
        <v>17.5925906836599</v>
      </c>
      <c r="S76">
        <v>0.687871654215085</v>
      </c>
      <c r="T76">
        <v>0.312128345784915</v>
      </c>
      <c r="U76">
        <v>1965</v>
      </c>
      <c r="V76">
        <v>56</v>
      </c>
      <c r="Y76">
        <v>1</v>
      </c>
      <c r="Z76" t="s">
        <v>812</v>
      </c>
      <c r="AA76" t="s">
        <v>1475</v>
      </c>
    </row>
    <row r="77" spans="1:27" ht="15" customHeight="1" x14ac:dyDescent="0.3">
      <c r="A77">
        <v>92</v>
      </c>
      <c r="B77">
        <v>19</v>
      </c>
      <c r="C77" t="s">
        <v>809</v>
      </c>
      <c r="D77" t="s">
        <v>810</v>
      </c>
      <c r="E77" t="s">
        <v>806</v>
      </c>
      <c r="F77">
        <v>2022</v>
      </c>
      <c r="G77">
        <v>0</v>
      </c>
      <c r="H77">
        <v>0</v>
      </c>
      <c r="I77">
        <v>0</v>
      </c>
      <c r="J77">
        <v>0</v>
      </c>
      <c r="K77">
        <v>1878000000</v>
      </c>
      <c r="L77">
        <v>11.901</v>
      </c>
      <c r="M77">
        <v>22350078</v>
      </c>
      <c r="N77">
        <v>46763275</v>
      </c>
      <c r="O77">
        <v>59713684</v>
      </c>
      <c r="P77">
        <v>12950409</v>
      </c>
      <c r="Q77">
        <v>1.1574123110542001</v>
      </c>
      <c r="R77">
        <v>17.905071764827898</v>
      </c>
      <c r="S77">
        <v>0.78312493665605998</v>
      </c>
      <c r="T77">
        <v>0.21687506334393999</v>
      </c>
      <c r="U77">
        <v>1965</v>
      </c>
      <c r="V77">
        <v>57</v>
      </c>
      <c r="Y77">
        <v>1</v>
      </c>
      <c r="Z77" t="s">
        <v>812</v>
      </c>
      <c r="AA77" t="s">
        <v>1476</v>
      </c>
    </row>
    <row r="78" spans="1:27" ht="15" customHeight="1" x14ac:dyDescent="0.3">
      <c r="A78">
        <v>93</v>
      </c>
      <c r="B78">
        <v>19</v>
      </c>
      <c r="C78" t="s">
        <v>809</v>
      </c>
      <c r="D78" t="s">
        <v>810</v>
      </c>
      <c r="E78" t="s">
        <v>806</v>
      </c>
      <c r="F78">
        <v>2023</v>
      </c>
      <c r="G78">
        <v>1</v>
      </c>
      <c r="H78">
        <v>0</v>
      </c>
      <c r="I78">
        <v>20</v>
      </c>
      <c r="J78">
        <v>0</v>
      </c>
      <c r="K78">
        <v>1878000000</v>
      </c>
      <c r="L78">
        <v>19.004300000000001</v>
      </c>
      <c r="M78">
        <v>35690075.399999999</v>
      </c>
      <c r="N78">
        <v>74674690</v>
      </c>
      <c r="O78">
        <v>64452683</v>
      </c>
      <c r="P78">
        <v>-10222007</v>
      </c>
      <c r="Q78">
        <v>1.71233779980889</v>
      </c>
      <c r="R78">
        <v>17.981441915652901</v>
      </c>
      <c r="S78">
        <v>1.1585970750046199</v>
      </c>
      <c r="T78">
        <v>-0.15859707500462</v>
      </c>
      <c r="U78">
        <v>1965</v>
      </c>
      <c r="V78">
        <v>58</v>
      </c>
      <c r="Y78">
        <v>1</v>
      </c>
      <c r="Z78" t="s">
        <v>812</v>
      </c>
      <c r="AA78" t="s">
        <v>1477</v>
      </c>
    </row>
    <row r="79" spans="1:27" ht="15" customHeight="1" x14ac:dyDescent="0.3">
      <c r="A79">
        <v>94</v>
      </c>
      <c r="B79">
        <v>19</v>
      </c>
      <c r="C79" t="s">
        <v>809</v>
      </c>
      <c r="D79" t="s">
        <v>810</v>
      </c>
      <c r="E79" t="s">
        <v>806</v>
      </c>
      <c r="F79">
        <v>2024</v>
      </c>
      <c r="G79">
        <v>1</v>
      </c>
      <c r="H79">
        <v>0</v>
      </c>
      <c r="I79">
        <v>10</v>
      </c>
      <c r="J79">
        <v>0</v>
      </c>
      <c r="K79">
        <v>2280000000</v>
      </c>
      <c r="L79">
        <v>21.5044</v>
      </c>
      <c r="M79">
        <v>49030032</v>
      </c>
      <c r="N79">
        <v>68064751</v>
      </c>
      <c r="O79">
        <v>72443944</v>
      </c>
      <c r="P79">
        <v>4379193</v>
      </c>
      <c r="Q79">
        <v>1.6163501948485901</v>
      </c>
      <c r="R79">
        <v>18.098323634555399</v>
      </c>
      <c r="S79">
        <v>0.93955059928818896</v>
      </c>
      <c r="T79">
        <v>6.0449400711811097E-2</v>
      </c>
      <c r="U79">
        <v>1965</v>
      </c>
      <c r="V79">
        <v>59</v>
      </c>
      <c r="Y79">
        <v>1</v>
      </c>
      <c r="Z79" t="s">
        <v>812</v>
      </c>
      <c r="AA79" t="s">
        <v>1478</v>
      </c>
    </row>
    <row r="80" spans="1:27" ht="15" customHeight="1" x14ac:dyDescent="0.3">
      <c r="A80">
        <v>95</v>
      </c>
      <c r="B80">
        <v>19</v>
      </c>
      <c r="C80" t="s">
        <v>809</v>
      </c>
      <c r="D80" t="s">
        <v>810</v>
      </c>
      <c r="E80" t="s">
        <v>806</v>
      </c>
      <c r="F80">
        <v>2025</v>
      </c>
      <c r="G80">
        <v>1</v>
      </c>
      <c r="H80">
        <v>0</v>
      </c>
      <c r="I80">
        <v>50</v>
      </c>
      <c r="J80">
        <v>20</v>
      </c>
      <c r="K80">
        <v>2280000000</v>
      </c>
      <c r="L80">
        <v>59.907899999999998</v>
      </c>
      <c r="M80">
        <v>136590012</v>
      </c>
      <c r="N80">
        <v>61942992</v>
      </c>
      <c r="O80">
        <v>75363153</v>
      </c>
      <c r="P80">
        <v>13420161</v>
      </c>
      <c r="Q80">
        <v>2.63435108666433</v>
      </c>
      <c r="R80">
        <v>18.137829026529101</v>
      </c>
      <c r="S80">
        <v>0.82192675776184698</v>
      </c>
      <c r="T80">
        <v>0.17807324223815299</v>
      </c>
      <c r="U80">
        <v>1965</v>
      </c>
      <c r="V80">
        <v>60</v>
      </c>
      <c r="Y80">
        <v>1</v>
      </c>
      <c r="Z80" t="s">
        <v>812</v>
      </c>
      <c r="AA80" t="s">
        <v>1479</v>
      </c>
    </row>
    <row r="81" spans="1:27" ht="15" customHeight="1" x14ac:dyDescent="0.3">
      <c r="A81">
        <v>96</v>
      </c>
      <c r="B81">
        <v>20</v>
      </c>
      <c r="C81" t="s">
        <v>814</v>
      </c>
      <c r="D81" t="s">
        <v>815</v>
      </c>
      <c r="E81" t="s">
        <v>772</v>
      </c>
      <c r="F81">
        <v>2021</v>
      </c>
      <c r="G81">
        <v>0</v>
      </c>
      <c r="H81">
        <v>0</v>
      </c>
      <c r="I81">
        <v>0</v>
      </c>
      <c r="J81">
        <v>0</v>
      </c>
      <c r="K81">
        <v>788260000</v>
      </c>
      <c r="L81">
        <v>19.446400000000001</v>
      </c>
      <c r="M81">
        <v>15328819.264</v>
      </c>
      <c r="N81">
        <v>7706131</v>
      </c>
      <c r="O81">
        <v>12115919</v>
      </c>
      <c r="P81">
        <v>4409788</v>
      </c>
      <c r="Q81">
        <v>1.90121362349814</v>
      </c>
      <c r="R81">
        <v>16.310030765732201</v>
      </c>
      <c r="S81">
        <v>0.63603355222166802</v>
      </c>
      <c r="T81">
        <v>0.36396644777833198</v>
      </c>
      <c r="U81">
        <v>1965</v>
      </c>
      <c r="V81">
        <v>56</v>
      </c>
      <c r="Y81">
        <v>1</v>
      </c>
      <c r="Z81" t="s">
        <v>727</v>
      </c>
      <c r="AA81" t="s">
        <v>1480</v>
      </c>
    </row>
    <row r="82" spans="1:27" ht="15" customHeight="1" x14ac:dyDescent="0.3">
      <c r="A82">
        <v>97</v>
      </c>
      <c r="B82">
        <v>20</v>
      </c>
      <c r="C82" t="s">
        <v>814</v>
      </c>
      <c r="D82" t="s">
        <v>815</v>
      </c>
      <c r="E82" t="s">
        <v>772</v>
      </c>
      <c r="F82">
        <v>2022</v>
      </c>
      <c r="G82">
        <v>0</v>
      </c>
      <c r="H82">
        <v>0</v>
      </c>
      <c r="I82">
        <v>0</v>
      </c>
      <c r="J82">
        <v>0</v>
      </c>
      <c r="K82">
        <v>814747500</v>
      </c>
      <c r="L82">
        <v>17.7989</v>
      </c>
      <c r="M82">
        <v>14501609.27775</v>
      </c>
      <c r="N82">
        <v>6806603</v>
      </c>
      <c r="O82">
        <v>13406204</v>
      </c>
      <c r="P82">
        <v>6599601</v>
      </c>
      <c r="Q82">
        <v>1.58942921335152</v>
      </c>
      <c r="R82">
        <v>16.411228142851201</v>
      </c>
      <c r="S82">
        <v>0.50772038080279902</v>
      </c>
      <c r="T82">
        <v>0.49227961919720198</v>
      </c>
      <c r="U82">
        <v>1965</v>
      </c>
      <c r="V82">
        <v>57</v>
      </c>
      <c r="Y82">
        <v>1</v>
      </c>
      <c r="Z82" t="s">
        <v>727</v>
      </c>
      <c r="AA82" t="s">
        <v>1481</v>
      </c>
    </row>
    <row r="83" spans="1:27" ht="15" customHeight="1" x14ac:dyDescent="0.3">
      <c r="A83">
        <v>98</v>
      </c>
      <c r="B83">
        <v>20</v>
      </c>
      <c r="C83" t="s">
        <v>814</v>
      </c>
      <c r="D83" t="s">
        <v>815</v>
      </c>
      <c r="E83" t="s">
        <v>772</v>
      </c>
      <c r="F83">
        <v>2023</v>
      </c>
      <c r="G83">
        <v>1</v>
      </c>
      <c r="H83">
        <v>0</v>
      </c>
      <c r="I83">
        <v>0</v>
      </c>
      <c r="J83">
        <v>0</v>
      </c>
      <c r="K83">
        <v>814747500</v>
      </c>
      <c r="L83">
        <v>20.855599999999999</v>
      </c>
      <c r="M83">
        <v>16992047.960999999</v>
      </c>
      <c r="N83">
        <v>7403814</v>
      </c>
      <c r="O83">
        <v>15373521</v>
      </c>
      <c r="P83">
        <v>7969707</v>
      </c>
      <c r="Q83">
        <v>1.5868753788413199</v>
      </c>
      <c r="R83">
        <v>16.548157171907899</v>
      </c>
      <c r="S83">
        <v>0.48159520515827198</v>
      </c>
      <c r="T83">
        <v>0.51840479484172797</v>
      </c>
      <c r="U83">
        <v>1965</v>
      </c>
      <c r="V83">
        <v>58</v>
      </c>
      <c r="Y83">
        <v>1</v>
      </c>
      <c r="Z83" t="s">
        <v>727</v>
      </c>
      <c r="AA83" t="s">
        <v>1482</v>
      </c>
    </row>
    <row r="84" spans="1:27" ht="15" customHeight="1" x14ac:dyDescent="0.3">
      <c r="A84">
        <v>99</v>
      </c>
      <c r="B84">
        <v>20</v>
      </c>
      <c r="C84" t="s">
        <v>814</v>
      </c>
      <c r="D84" t="s">
        <v>815</v>
      </c>
      <c r="E84" t="s">
        <v>772</v>
      </c>
      <c r="F84">
        <v>2024</v>
      </c>
      <c r="G84">
        <v>1</v>
      </c>
      <c r="H84">
        <v>0</v>
      </c>
      <c r="I84">
        <v>0</v>
      </c>
      <c r="J84">
        <v>0</v>
      </c>
      <c r="K84">
        <v>814747500</v>
      </c>
      <c r="L84">
        <v>38.007300000000001</v>
      </c>
      <c r="M84">
        <v>30966352.656750001</v>
      </c>
      <c r="N84">
        <v>9040692</v>
      </c>
      <c r="O84">
        <v>19677179</v>
      </c>
      <c r="P84">
        <v>10636487</v>
      </c>
      <c r="Q84">
        <v>2.0331697270604701</v>
      </c>
      <c r="R84">
        <v>16.794970095817799</v>
      </c>
      <c r="S84">
        <v>0.459450615354975</v>
      </c>
      <c r="T84">
        <v>0.540549384645025</v>
      </c>
      <c r="U84">
        <v>1965</v>
      </c>
      <c r="V84">
        <v>59</v>
      </c>
      <c r="Y84">
        <v>1</v>
      </c>
      <c r="Z84" t="s">
        <v>727</v>
      </c>
      <c r="AA84" t="s">
        <v>1482</v>
      </c>
    </row>
    <row r="85" spans="1:27" ht="15" customHeight="1" x14ac:dyDescent="0.3">
      <c r="A85">
        <v>100</v>
      </c>
      <c r="B85">
        <v>20</v>
      </c>
      <c r="C85" t="s">
        <v>814</v>
      </c>
      <c r="D85" t="s">
        <v>815</v>
      </c>
      <c r="E85" t="s">
        <v>772</v>
      </c>
      <c r="F85">
        <v>2025</v>
      </c>
      <c r="G85">
        <v>1</v>
      </c>
      <c r="H85">
        <v>0</v>
      </c>
      <c r="I85">
        <v>0</v>
      </c>
      <c r="J85">
        <v>0</v>
      </c>
      <c r="K85">
        <v>814747500</v>
      </c>
      <c r="L85">
        <v>69.009799999999998</v>
      </c>
      <c r="M85">
        <v>56225562.0255</v>
      </c>
      <c r="N85">
        <v>10218000</v>
      </c>
      <c r="O85">
        <v>24466000</v>
      </c>
      <c r="P85">
        <v>14248000</v>
      </c>
      <c r="Q85">
        <v>2.7157509206858501</v>
      </c>
      <c r="R85">
        <v>17.012794956589001</v>
      </c>
      <c r="S85">
        <v>0.41764080765143502</v>
      </c>
      <c r="T85">
        <v>0.58235919234856504</v>
      </c>
      <c r="U85">
        <v>1965</v>
      </c>
      <c r="V85">
        <v>60</v>
      </c>
      <c r="Y85">
        <v>1</v>
      </c>
      <c r="Z85" t="s">
        <v>727</v>
      </c>
      <c r="AA85" t="s">
        <v>1483</v>
      </c>
    </row>
    <row r="86" spans="1:27" ht="15" customHeight="1" x14ac:dyDescent="0.3">
      <c r="A86">
        <v>101</v>
      </c>
      <c r="B86">
        <v>21</v>
      </c>
      <c r="C86" t="s">
        <v>818</v>
      </c>
      <c r="D86" t="s">
        <v>819</v>
      </c>
      <c r="E86" t="s">
        <v>715</v>
      </c>
      <c r="F86">
        <v>2021</v>
      </c>
      <c r="G86">
        <v>0</v>
      </c>
      <c r="H86">
        <v>0</v>
      </c>
      <c r="I86">
        <v>10</v>
      </c>
      <c r="J86">
        <v>0</v>
      </c>
      <c r="K86">
        <v>3350509750</v>
      </c>
      <c r="L86">
        <v>1.72</v>
      </c>
      <c r="M86">
        <v>5762876.7699999996</v>
      </c>
      <c r="N86">
        <v>62492729</v>
      </c>
      <c r="O86">
        <v>79799649</v>
      </c>
      <c r="P86">
        <v>-4303635</v>
      </c>
      <c r="Q86">
        <v>0.855337167836415</v>
      </c>
      <c r="R86">
        <v>18.195029663914099</v>
      </c>
      <c r="S86">
        <v>0.78312034931381702</v>
      </c>
      <c r="T86">
        <v>-5.3930500370997898E-2</v>
      </c>
      <c r="U86">
        <v>2008</v>
      </c>
      <c r="V86">
        <v>13</v>
      </c>
      <c r="Y86">
        <v>1</v>
      </c>
      <c r="Z86" t="s">
        <v>711</v>
      </c>
      <c r="AA86" t="s">
        <v>1484</v>
      </c>
    </row>
    <row r="87" spans="1:27" ht="15" customHeight="1" x14ac:dyDescent="0.3">
      <c r="A87">
        <v>102</v>
      </c>
      <c r="B87">
        <v>21</v>
      </c>
      <c r="C87" t="s">
        <v>818</v>
      </c>
      <c r="D87" t="s">
        <v>819</v>
      </c>
      <c r="E87" t="s">
        <v>715</v>
      </c>
      <c r="F87">
        <v>2022</v>
      </c>
      <c r="G87">
        <v>0</v>
      </c>
      <c r="H87">
        <v>0</v>
      </c>
      <c r="I87">
        <v>10</v>
      </c>
      <c r="J87">
        <v>0</v>
      </c>
      <c r="K87">
        <v>3350509750</v>
      </c>
      <c r="L87">
        <v>0.99</v>
      </c>
      <c r="M87">
        <v>3317004.6524999999</v>
      </c>
      <c r="N87">
        <v>62311170</v>
      </c>
      <c r="O87">
        <v>74456376</v>
      </c>
      <c r="P87">
        <v>-5127302</v>
      </c>
      <c r="Q87">
        <v>0.88143122427151199</v>
      </c>
      <c r="R87">
        <v>18.125723954797301</v>
      </c>
      <c r="S87">
        <v>0.836881585534058</v>
      </c>
      <c r="T87">
        <v>-6.8863168951440804E-2</v>
      </c>
      <c r="U87">
        <v>2008</v>
      </c>
      <c r="V87">
        <v>14</v>
      </c>
      <c r="Y87">
        <v>1</v>
      </c>
      <c r="Z87" t="s">
        <v>711</v>
      </c>
      <c r="AA87" t="s">
        <v>1485</v>
      </c>
    </row>
    <row r="88" spans="1:27" ht="15" customHeight="1" x14ac:dyDescent="0.3">
      <c r="A88">
        <v>103</v>
      </c>
      <c r="B88">
        <v>21</v>
      </c>
      <c r="C88" t="s">
        <v>818</v>
      </c>
      <c r="D88" t="s">
        <v>819</v>
      </c>
      <c r="E88" t="s">
        <v>715</v>
      </c>
      <c r="F88">
        <v>2023</v>
      </c>
      <c r="G88">
        <v>1</v>
      </c>
      <c r="H88">
        <v>0</v>
      </c>
      <c r="I88">
        <v>10</v>
      </c>
      <c r="J88">
        <v>0</v>
      </c>
      <c r="K88">
        <v>3350509750</v>
      </c>
      <c r="L88">
        <v>1.79</v>
      </c>
      <c r="M88">
        <v>5997412.4524999997</v>
      </c>
      <c r="N88">
        <v>80066013</v>
      </c>
      <c r="O88">
        <v>79318378</v>
      </c>
      <c r="P88">
        <v>-12654132</v>
      </c>
      <c r="Q88">
        <v>1.0850376372106401</v>
      </c>
      <c r="R88">
        <v>18.188980412591899</v>
      </c>
      <c r="S88">
        <v>1.00942574746044</v>
      </c>
      <c r="T88">
        <v>-0.15953594008188099</v>
      </c>
      <c r="U88">
        <v>2008</v>
      </c>
      <c r="V88">
        <v>15</v>
      </c>
      <c r="Y88">
        <v>1</v>
      </c>
      <c r="Z88" t="s">
        <v>711</v>
      </c>
      <c r="AA88" t="s">
        <v>1486</v>
      </c>
    </row>
    <row r="89" spans="1:27" ht="15" customHeight="1" x14ac:dyDescent="0.3">
      <c r="A89">
        <v>104</v>
      </c>
      <c r="B89">
        <v>21</v>
      </c>
      <c r="C89" t="s">
        <v>818</v>
      </c>
      <c r="D89" t="s">
        <v>819</v>
      </c>
      <c r="E89" t="s">
        <v>715</v>
      </c>
      <c r="F89">
        <v>2024</v>
      </c>
      <c r="G89">
        <v>1</v>
      </c>
      <c r="H89">
        <v>0</v>
      </c>
      <c r="I89">
        <v>0</v>
      </c>
      <c r="J89">
        <v>0</v>
      </c>
      <c r="K89">
        <v>3350509750</v>
      </c>
      <c r="L89">
        <v>2.3199999999999998</v>
      </c>
      <c r="M89">
        <v>7773182.6200000001</v>
      </c>
      <c r="N89">
        <v>130771139</v>
      </c>
      <c r="O89">
        <v>76163688</v>
      </c>
      <c r="P89">
        <v>-53472318</v>
      </c>
      <c r="Q89">
        <v>1.8190337844459401</v>
      </c>
      <c r="R89">
        <v>18.1483953716447</v>
      </c>
      <c r="S89">
        <v>1.71697487915764</v>
      </c>
      <c r="T89">
        <v>-0.70207101840971797</v>
      </c>
      <c r="U89">
        <v>2008</v>
      </c>
      <c r="V89">
        <v>16</v>
      </c>
      <c r="Y89">
        <v>1</v>
      </c>
      <c r="Z89" t="s">
        <v>711</v>
      </c>
      <c r="AA89" t="s">
        <v>1487</v>
      </c>
    </row>
    <row r="90" spans="1:27" ht="15" customHeight="1" x14ac:dyDescent="0.3">
      <c r="A90">
        <v>105</v>
      </c>
      <c r="B90">
        <v>21</v>
      </c>
      <c r="C90" t="s">
        <v>818</v>
      </c>
      <c r="D90" t="s">
        <v>819</v>
      </c>
      <c r="E90" t="s">
        <v>715</v>
      </c>
      <c r="F90">
        <v>2025</v>
      </c>
      <c r="G90">
        <v>1</v>
      </c>
      <c r="H90">
        <v>0</v>
      </c>
      <c r="I90">
        <v>10</v>
      </c>
      <c r="J90">
        <v>0</v>
      </c>
      <c r="K90">
        <v>3350509750</v>
      </c>
      <c r="L90">
        <v>5.4</v>
      </c>
      <c r="M90">
        <v>18092752.649999999</v>
      </c>
      <c r="N90">
        <v>127388834</v>
      </c>
      <c r="O90">
        <v>118627469</v>
      </c>
      <c r="P90">
        <v>-13786202</v>
      </c>
      <c r="Q90">
        <v>1.2263735193574801</v>
      </c>
      <c r="R90">
        <v>18.591498628165699</v>
      </c>
      <c r="S90">
        <v>1.0738561234919399</v>
      </c>
      <c r="T90">
        <v>-0.116214247140348</v>
      </c>
      <c r="U90">
        <v>2008</v>
      </c>
      <c r="V90">
        <v>17</v>
      </c>
      <c r="Y90">
        <v>1</v>
      </c>
      <c r="Z90" t="s">
        <v>711</v>
      </c>
      <c r="AA90" t="s">
        <v>1488</v>
      </c>
    </row>
    <row r="91" spans="1:27" ht="15" customHeight="1" x14ac:dyDescent="0.3">
      <c r="A91">
        <v>106</v>
      </c>
      <c r="B91">
        <v>22</v>
      </c>
      <c r="C91" t="s">
        <v>822</v>
      </c>
      <c r="D91" t="s">
        <v>823</v>
      </c>
      <c r="E91" t="s">
        <v>806</v>
      </c>
      <c r="F91">
        <v>2021</v>
      </c>
      <c r="G91">
        <v>0</v>
      </c>
      <c r="H91">
        <v>0</v>
      </c>
      <c r="I91">
        <v>0</v>
      </c>
      <c r="J91">
        <v>0</v>
      </c>
      <c r="K91">
        <v>7829496000</v>
      </c>
      <c r="L91">
        <v>2.35</v>
      </c>
      <c r="M91">
        <v>18399315.600000001</v>
      </c>
      <c r="N91">
        <v>3940710</v>
      </c>
      <c r="O91">
        <v>13473094</v>
      </c>
      <c r="P91">
        <v>984233</v>
      </c>
      <c r="Q91">
        <v>1.6581214084901399</v>
      </c>
      <c r="R91">
        <v>16.416205217630399</v>
      </c>
      <c r="S91">
        <v>0.29248738263089402</v>
      </c>
      <c r="T91">
        <v>7.3051742977522496E-2</v>
      </c>
      <c r="U91">
        <v>1974</v>
      </c>
      <c r="V91">
        <v>47</v>
      </c>
      <c r="Y91">
        <v>1</v>
      </c>
      <c r="Z91" t="s">
        <v>825</v>
      </c>
      <c r="AA91" t="s">
        <v>1489</v>
      </c>
    </row>
    <row r="92" spans="1:27" ht="15" customHeight="1" x14ac:dyDescent="0.3">
      <c r="A92">
        <v>107</v>
      </c>
      <c r="B92">
        <v>22</v>
      </c>
      <c r="C92" t="s">
        <v>822</v>
      </c>
      <c r="D92" t="s">
        <v>823</v>
      </c>
      <c r="E92" t="s">
        <v>806</v>
      </c>
      <c r="F92">
        <v>2022</v>
      </c>
      <c r="G92">
        <v>0</v>
      </c>
      <c r="H92">
        <v>0</v>
      </c>
      <c r="I92">
        <v>0</v>
      </c>
      <c r="J92">
        <v>0</v>
      </c>
      <c r="K92">
        <v>7829496000</v>
      </c>
      <c r="L92">
        <v>5.5000999999999998</v>
      </c>
      <c r="M92">
        <v>43063010.949600004</v>
      </c>
      <c r="N92">
        <v>4539125</v>
      </c>
      <c r="O92">
        <v>15453585</v>
      </c>
      <c r="P92">
        <v>882215</v>
      </c>
      <c r="Q92">
        <v>3.0803296419309798</v>
      </c>
      <c r="R92">
        <v>16.553351573226099</v>
      </c>
      <c r="S92">
        <v>0.29372634246357698</v>
      </c>
      <c r="T92">
        <v>5.7088047854268097E-2</v>
      </c>
      <c r="U92">
        <v>1974</v>
      </c>
      <c r="V92">
        <v>48</v>
      </c>
      <c r="Y92">
        <v>1</v>
      </c>
      <c r="Z92" t="s">
        <v>825</v>
      </c>
      <c r="AA92" t="s">
        <v>1490</v>
      </c>
    </row>
    <row r="93" spans="1:27" ht="15" customHeight="1" x14ac:dyDescent="0.3">
      <c r="A93">
        <v>108</v>
      </c>
      <c r="B93">
        <v>22</v>
      </c>
      <c r="C93" t="s">
        <v>822</v>
      </c>
      <c r="D93" t="s">
        <v>823</v>
      </c>
      <c r="E93" t="s">
        <v>806</v>
      </c>
      <c r="F93">
        <v>2023</v>
      </c>
      <c r="G93">
        <v>1</v>
      </c>
      <c r="H93">
        <v>0</v>
      </c>
      <c r="I93">
        <v>10</v>
      </c>
      <c r="J93">
        <v>6.6666666666666696</v>
      </c>
      <c r="K93">
        <v>7829496000</v>
      </c>
      <c r="L93">
        <v>4.1497000000000002</v>
      </c>
      <c r="M93">
        <v>32490059.551199999</v>
      </c>
      <c r="N93">
        <v>9357780</v>
      </c>
      <c r="O93">
        <v>20553079</v>
      </c>
      <c r="P93">
        <v>370563</v>
      </c>
      <c r="Q93">
        <v>2.0360861528922301</v>
      </c>
      <c r="R93">
        <v>16.838521317366901</v>
      </c>
      <c r="S93">
        <v>0.45529820617144501</v>
      </c>
      <c r="T93">
        <v>1.80295614102393E-2</v>
      </c>
      <c r="U93">
        <v>1974</v>
      </c>
      <c r="V93">
        <v>49</v>
      </c>
      <c r="Y93">
        <v>1</v>
      </c>
      <c r="Z93" t="s">
        <v>825</v>
      </c>
      <c r="AA93" t="s">
        <v>1491</v>
      </c>
    </row>
    <row r="94" spans="1:27" ht="15" customHeight="1" x14ac:dyDescent="0.3">
      <c r="A94">
        <v>109</v>
      </c>
      <c r="B94">
        <v>22</v>
      </c>
      <c r="C94" t="s">
        <v>822</v>
      </c>
      <c r="D94" t="s">
        <v>823</v>
      </c>
      <c r="E94" t="s">
        <v>806</v>
      </c>
      <c r="F94">
        <v>2024</v>
      </c>
      <c r="G94">
        <v>1</v>
      </c>
      <c r="H94">
        <v>0</v>
      </c>
      <c r="I94">
        <v>35</v>
      </c>
      <c r="J94">
        <v>20</v>
      </c>
      <c r="K94">
        <v>8947995000</v>
      </c>
      <c r="L94">
        <v>3.8098000000000001</v>
      </c>
      <c r="M94">
        <v>34090071.351000004</v>
      </c>
      <c r="N94">
        <v>9289111</v>
      </c>
      <c r="O94">
        <v>21345197</v>
      </c>
      <c r="P94">
        <v>816995</v>
      </c>
      <c r="Q94">
        <v>2.0322690088547799</v>
      </c>
      <c r="R94">
        <v>16.876337307459298</v>
      </c>
      <c r="S94">
        <v>0.43518506762903197</v>
      </c>
      <c r="T94">
        <v>3.8275355341063397E-2</v>
      </c>
      <c r="U94">
        <v>1974</v>
      </c>
      <c r="V94">
        <v>50</v>
      </c>
      <c r="Y94">
        <v>1</v>
      </c>
      <c r="Z94" t="s">
        <v>825</v>
      </c>
      <c r="AA94" t="s">
        <v>1492</v>
      </c>
    </row>
    <row r="95" spans="1:27" ht="15" customHeight="1" x14ac:dyDescent="0.3">
      <c r="A95">
        <v>110</v>
      </c>
      <c r="B95">
        <v>22</v>
      </c>
      <c r="C95" t="s">
        <v>822</v>
      </c>
      <c r="D95" t="s">
        <v>823</v>
      </c>
      <c r="E95" t="s">
        <v>806</v>
      </c>
      <c r="F95">
        <v>2025</v>
      </c>
      <c r="G95">
        <v>1</v>
      </c>
      <c r="H95">
        <v>0</v>
      </c>
      <c r="I95">
        <v>0</v>
      </c>
      <c r="J95">
        <v>0</v>
      </c>
      <c r="K95">
        <v>8947995000</v>
      </c>
      <c r="L95">
        <v>14.0006</v>
      </c>
      <c r="M95">
        <v>125277298.79700001</v>
      </c>
      <c r="N95">
        <v>69261481</v>
      </c>
      <c r="O95">
        <v>82338577</v>
      </c>
      <c r="P95">
        <v>1789881</v>
      </c>
      <c r="Q95">
        <v>2.3626687135606002</v>
      </c>
      <c r="R95">
        <v>18.2263502921552</v>
      </c>
      <c r="S95">
        <v>0.84117898952759396</v>
      </c>
      <c r="T95">
        <v>2.1738060884875399E-2</v>
      </c>
      <c r="U95">
        <v>1974</v>
      </c>
      <c r="V95">
        <v>51</v>
      </c>
      <c r="Y95">
        <v>1</v>
      </c>
      <c r="Z95" t="s">
        <v>825</v>
      </c>
      <c r="AA95" t="s">
        <v>1493</v>
      </c>
    </row>
    <row r="96" spans="1:27" ht="15" customHeight="1" x14ac:dyDescent="0.3">
      <c r="A96">
        <v>111</v>
      </c>
      <c r="B96">
        <v>23</v>
      </c>
      <c r="C96" t="s">
        <v>829</v>
      </c>
      <c r="D96" t="s">
        <v>830</v>
      </c>
      <c r="E96" t="s">
        <v>752</v>
      </c>
      <c r="F96">
        <v>2021</v>
      </c>
      <c r="G96">
        <v>0</v>
      </c>
      <c r="H96">
        <v>0</v>
      </c>
      <c r="I96">
        <v>0</v>
      </c>
      <c r="J96">
        <v>0</v>
      </c>
      <c r="K96">
        <v>4696060000</v>
      </c>
      <c r="L96">
        <v>0.21929999999999999</v>
      </c>
      <c r="M96">
        <v>1029845.958</v>
      </c>
      <c r="N96">
        <v>7090714</v>
      </c>
      <c r="O96">
        <v>11825349</v>
      </c>
      <c r="P96">
        <v>-359916</v>
      </c>
      <c r="Q96">
        <v>0.68670784752314695</v>
      </c>
      <c r="R96">
        <v>16.2857560056488</v>
      </c>
      <c r="S96">
        <v>0.59961985054309996</v>
      </c>
      <c r="T96">
        <v>-3.0435972756491202E-2</v>
      </c>
      <c r="U96">
        <v>1985</v>
      </c>
      <c r="V96">
        <v>36</v>
      </c>
      <c r="Y96">
        <v>0</v>
      </c>
      <c r="Z96" t="s">
        <v>832</v>
      </c>
      <c r="AA96" t="s">
        <v>1494</v>
      </c>
    </row>
    <row r="97" spans="1:27" ht="15" customHeight="1" x14ac:dyDescent="0.3">
      <c r="A97">
        <v>112</v>
      </c>
      <c r="B97">
        <v>23</v>
      </c>
      <c r="C97" t="s">
        <v>829</v>
      </c>
      <c r="D97" t="s">
        <v>830</v>
      </c>
      <c r="E97" t="s">
        <v>752</v>
      </c>
      <c r="F97">
        <v>2022</v>
      </c>
      <c r="G97">
        <v>0</v>
      </c>
      <c r="H97">
        <v>0</v>
      </c>
      <c r="I97">
        <v>0</v>
      </c>
      <c r="J97">
        <v>0</v>
      </c>
      <c r="K97">
        <v>4696060000</v>
      </c>
      <c r="L97">
        <v>0.21929999999999999</v>
      </c>
      <c r="M97">
        <v>1029845.958</v>
      </c>
      <c r="N97">
        <v>6839428</v>
      </c>
      <c r="O97">
        <v>16288880</v>
      </c>
      <c r="P97">
        <v>-375240</v>
      </c>
      <c r="Q97">
        <v>0.48310712326445998</v>
      </c>
      <c r="R97">
        <v>16.605993224377901</v>
      </c>
      <c r="S97">
        <v>0.41988325778076802</v>
      </c>
      <c r="T97">
        <v>-2.30365746447883E-2</v>
      </c>
      <c r="U97">
        <v>1985</v>
      </c>
      <c r="V97">
        <v>37</v>
      </c>
      <c r="Y97">
        <v>0</v>
      </c>
      <c r="Z97" t="s">
        <v>832</v>
      </c>
      <c r="AA97" t="s">
        <v>1495</v>
      </c>
    </row>
    <row r="98" spans="1:27" ht="15" customHeight="1" x14ac:dyDescent="0.3">
      <c r="A98">
        <v>113</v>
      </c>
      <c r="B98">
        <v>23</v>
      </c>
      <c r="C98" t="s">
        <v>829</v>
      </c>
      <c r="D98" t="s">
        <v>830</v>
      </c>
      <c r="E98" t="s">
        <v>752</v>
      </c>
      <c r="F98">
        <v>2023</v>
      </c>
      <c r="G98">
        <v>1</v>
      </c>
      <c r="H98">
        <v>0</v>
      </c>
      <c r="I98">
        <v>0</v>
      </c>
      <c r="J98">
        <v>0</v>
      </c>
      <c r="K98">
        <v>4696060000</v>
      </c>
      <c r="L98">
        <v>1.9698</v>
      </c>
      <c r="M98">
        <v>9250298.9879999999</v>
      </c>
      <c r="N98">
        <v>9332146</v>
      </c>
      <c r="O98">
        <v>18999495</v>
      </c>
      <c r="P98">
        <v>20220</v>
      </c>
      <c r="Q98">
        <v>0.97804941594500305</v>
      </c>
      <c r="R98">
        <v>16.759922957830099</v>
      </c>
      <c r="S98">
        <v>0.49117863395842898</v>
      </c>
      <c r="T98">
        <v>1.0642388126631799E-3</v>
      </c>
      <c r="U98">
        <v>1985</v>
      </c>
      <c r="V98">
        <v>38</v>
      </c>
      <c r="Y98">
        <v>0</v>
      </c>
      <c r="Z98" t="s">
        <v>832</v>
      </c>
      <c r="AA98" t="s">
        <v>1496</v>
      </c>
    </row>
    <row r="99" spans="1:27" ht="15" customHeight="1" x14ac:dyDescent="0.3">
      <c r="A99">
        <v>114</v>
      </c>
      <c r="B99">
        <v>23</v>
      </c>
      <c r="C99" t="s">
        <v>829</v>
      </c>
      <c r="D99" t="s">
        <v>830</v>
      </c>
      <c r="E99" t="s">
        <v>752</v>
      </c>
      <c r="F99">
        <v>2024</v>
      </c>
      <c r="G99">
        <v>1</v>
      </c>
      <c r="H99">
        <v>0</v>
      </c>
      <c r="I99">
        <v>0</v>
      </c>
      <c r="J99">
        <v>0</v>
      </c>
      <c r="K99">
        <v>4696060000</v>
      </c>
      <c r="L99">
        <v>1.9911000000000001</v>
      </c>
      <c r="M99">
        <v>9350325.0659999996</v>
      </c>
      <c r="N99">
        <v>10398617</v>
      </c>
      <c r="O99">
        <v>20391942</v>
      </c>
      <c r="P99">
        <v>391055</v>
      </c>
      <c r="Q99">
        <v>0.96846794022854699</v>
      </c>
      <c r="R99">
        <v>16.8306503807814</v>
      </c>
      <c r="S99">
        <v>0.50993755278432995</v>
      </c>
      <c r="T99">
        <v>1.9176937635463999E-2</v>
      </c>
      <c r="U99">
        <v>1985</v>
      </c>
      <c r="V99">
        <v>39</v>
      </c>
      <c r="Y99">
        <v>0</v>
      </c>
      <c r="Z99" t="s">
        <v>832</v>
      </c>
      <c r="AA99" t="s">
        <v>1497</v>
      </c>
    </row>
    <row r="100" spans="1:27" ht="15" customHeight="1" x14ac:dyDescent="0.3">
      <c r="A100">
        <v>115</v>
      </c>
      <c r="B100">
        <v>23</v>
      </c>
      <c r="C100" t="s">
        <v>829</v>
      </c>
      <c r="D100" t="s">
        <v>830</v>
      </c>
      <c r="E100" t="s">
        <v>752</v>
      </c>
      <c r="F100">
        <v>2025</v>
      </c>
      <c r="G100">
        <v>1</v>
      </c>
      <c r="H100">
        <v>0</v>
      </c>
      <c r="I100">
        <v>0</v>
      </c>
      <c r="J100">
        <v>0</v>
      </c>
      <c r="K100">
        <v>9000000000</v>
      </c>
      <c r="L100">
        <v>3.9</v>
      </c>
      <c r="M100">
        <v>35100000</v>
      </c>
      <c r="N100">
        <v>14856894</v>
      </c>
      <c r="O100">
        <v>34378390</v>
      </c>
      <c r="P100">
        <v>417093</v>
      </c>
      <c r="Q100">
        <v>1.45314815498922</v>
      </c>
      <c r="R100">
        <v>17.352938727270399</v>
      </c>
      <c r="S100">
        <v>0.43215793409755399</v>
      </c>
      <c r="T100">
        <v>1.21324180684436E-2</v>
      </c>
      <c r="U100">
        <v>1985</v>
      </c>
      <c r="V100">
        <v>40</v>
      </c>
      <c r="Y100">
        <v>0</v>
      </c>
      <c r="Z100" t="s">
        <v>832</v>
      </c>
      <c r="AA100" t="s">
        <v>1498</v>
      </c>
    </row>
    <row r="101" spans="1:27" ht="15" customHeight="1" x14ac:dyDescent="0.3">
      <c r="A101">
        <v>116</v>
      </c>
      <c r="B101">
        <v>24</v>
      </c>
      <c r="C101" t="s">
        <v>834</v>
      </c>
      <c r="D101" t="s">
        <v>835</v>
      </c>
      <c r="E101" t="s">
        <v>772</v>
      </c>
      <c r="F101">
        <v>2021</v>
      </c>
      <c r="G101">
        <v>0</v>
      </c>
      <c r="H101">
        <v>0</v>
      </c>
      <c r="I101">
        <v>0</v>
      </c>
      <c r="J101">
        <v>0</v>
      </c>
      <c r="K101">
        <v>722925000</v>
      </c>
      <c r="L101">
        <v>2.2408000000000001</v>
      </c>
      <c r="M101">
        <v>1619930.34</v>
      </c>
      <c r="N101">
        <v>13597176</v>
      </c>
      <c r="O101">
        <v>6574367</v>
      </c>
      <c r="P101">
        <v>-3814043</v>
      </c>
      <c r="Q101">
        <v>2.3146116333329099</v>
      </c>
      <c r="R101">
        <v>15.6986888576292</v>
      </c>
      <c r="S101">
        <v>2.0682106733621701</v>
      </c>
      <c r="T101">
        <v>-0.58013843766251605</v>
      </c>
      <c r="U101">
        <v>1947</v>
      </c>
      <c r="V101">
        <v>74</v>
      </c>
      <c r="Y101">
        <v>0</v>
      </c>
      <c r="Z101" t="s">
        <v>837</v>
      </c>
      <c r="AA101" t="s">
        <v>1499</v>
      </c>
    </row>
    <row r="102" spans="1:27" ht="15" customHeight="1" x14ac:dyDescent="0.3">
      <c r="A102">
        <v>117</v>
      </c>
      <c r="B102">
        <v>24</v>
      </c>
      <c r="C102" t="s">
        <v>834</v>
      </c>
      <c r="D102" t="s">
        <v>835</v>
      </c>
      <c r="E102" t="s">
        <v>772</v>
      </c>
      <c r="F102">
        <v>2022</v>
      </c>
      <c r="G102">
        <v>0</v>
      </c>
      <c r="H102">
        <v>0</v>
      </c>
      <c r="I102">
        <v>0</v>
      </c>
      <c r="J102">
        <v>0</v>
      </c>
      <c r="K102">
        <v>722925000</v>
      </c>
      <c r="L102">
        <v>2.2408000000000001</v>
      </c>
      <c r="M102">
        <v>1619930.34</v>
      </c>
      <c r="N102">
        <v>14938142</v>
      </c>
      <c r="O102">
        <v>11123983</v>
      </c>
      <c r="P102">
        <v>882215</v>
      </c>
      <c r="Q102">
        <v>1.4885021255426201</v>
      </c>
      <c r="R102">
        <v>16.224613966107601</v>
      </c>
      <c r="S102">
        <v>1.3428770971692401</v>
      </c>
      <c r="T102">
        <v>7.93074746698193E-2</v>
      </c>
      <c r="U102">
        <v>1947</v>
      </c>
      <c r="V102">
        <v>75</v>
      </c>
      <c r="Y102">
        <v>0</v>
      </c>
      <c r="Z102" t="s">
        <v>837</v>
      </c>
      <c r="AA102" t="s">
        <v>1500</v>
      </c>
    </row>
    <row r="103" spans="1:27" ht="15" customHeight="1" x14ac:dyDescent="0.3">
      <c r="A103">
        <v>118</v>
      </c>
      <c r="B103">
        <v>24</v>
      </c>
      <c r="C103" t="s">
        <v>834</v>
      </c>
      <c r="D103" t="s">
        <v>835</v>
      </c>
      <c r="E103" t="s">
        <v>772</v>
      </c>
      <c r="F103">
        <v>2023</v>
      </c>
      <c r="G103">
        <v>1</v>
      </c>
      <c r="H103">
        <v>0</v>
      </c>
      <c r="I103">
        <v>0</v>
      </c>
      <c r="J103">
        <v>0</v>
      </c>
      <c r="K103">
        <v>722925000</v>
      </c>
      <c r="L103">
        <v>4.1500000000000004</v>
      </c>
      <c r="M103">
        <v>3000138.75</v>
      </c>
      <c r="N103">
        <v>12209972</v>
      </c>
      <c r="O103">
        <v>12178914</v>
      </c>
      <c r="P103">
        <v>3788560</v>
      </c>
      <c r="Q103">
        <v>1.2488889198166599</v>
      </c>
      <c r="R103">
        <v>16.3152166537092</v>
      </c>
      <c r="S103">
        <v>1.00255014527568</v>
      </c>
      <c r="T103">
        <v>0.31107535532314301</v>
      </c>
      <c r="U103">
        <v>1947</v>
      </c>
      <c r="V103">
        <v>76</v>
      </c>
      <c r="Y103">
        <v>0</v>
      </c>
      <c r="Z103" t="s">
        <v>837</v>
      </c>
      <c r="AA103" t="s">
        <v>1501</v>
      </c>
    </row>
    <row r="104" spans="1:27" ht="15" customHeight="1" x14ac:dyDescent="0.3">
      <c r="A104">
        <v>119</v>
      </c>
      <c r="B104">
        <v>24</v>
      </c>
      <c r="C104" t="s">
        <v>834</v>
      </c>
      <c r="D104" t="s">
        <v>835</v>
      </c>
      <c r="E104" t="s">
        <v>772</v>
      </c>
      <c r="F104">
        <v>2024</v>
      </c>
      <c r="G104">
        <v>1</v>
      </c>
      <c r="H104">
        <v>0</v>
      </c>
      <c r="I104">
        <v>0</v>
      </c>
      <c r="J104">
        <v>0</v>
      </c>
      <c r="K104">
        <v>722925000</v>
      </c>
      <c r="L104">
        <v>3.6930999999999998</v>
      </c>
      <c r="M104">
        <v>2669834.3174999999</v>
      </c>
      <c r="N104">
        <v>16459643</v>
      </c>
      <c r="O104">
        <v>14561812</v>
      </c>
      <c r="P104">
        <v>-3002959</v>
      </c>
      <c r="Q104">
        <v>1.3136742403692601</v>
      </c>
      <c r="R104">
        <v>16.4939130435389</v>
      </c>
      <c r="S104">
        <v>1.13032931615928</v>
      </c>
      <c r="T104">
        <v>-0.206221519684501</v>
      </c>
      <c r="U104">
        <v>1947</v>
      </c>
      <c r="V104">
        <v>77</v>
      </c>
      <c r="Y104">
        <v>0</v>
      </c>
      <c r="Z104" t="s">
        <v>837</v>
      </c>
      <c r="AA104" t="s">
        <v>1502</v>
      </c>
    </row>
    <row r="105" spans="1:27" ht="15" customHeight="1" x14ac:dyDescent="0.3">
      <c r="A105">
        <v>120</v>
      </c>
      <c r="B105">
        <v>24</v>
      </c>
      <c r="C105" t="s">
        <v>834</v>
      </c>
      <c r="D105" t="s">
        <v>835</v>
      </c>
      <c r="E105" t="s">
        <v>772</v>
      </c>
      <c r="F105">
        <v>2025</v>
      </c>
      <c r="G105">
        <v>1</v>
      </c>
      <c r="H105">
        <v>0</v>
      </c>
      <c r="I105">
        <v>0</v>
      </c>
      <c r="J105">
        <v>0</v>
      </c>
      <c r="K105">
        <v>722925000</v>
      </c>
      <c r="L105">
        <v>13.1959</v>
      </c>
      <c r="M105">
        <v>9539646.0075000003</v>
      </c>
      <c r="N105">
        <v>21009742</v>
      </c>
      <c r="O105">
        <v>23305367</v>
      </c>
      <c r="P105">
        <v>-2576964</v>
      </c>
      <c r="Q105">
        <v>1.3108305914041201</v>
      </c>
      <c r="R105">
        <v>16.964194235358601</v>
      </c>
      <c r="S105">
        <v>0.90149801116626904</v>
      </c>
      <c r="T105">
        <v>-0.110573843355481</v>
      </c>
      <c r="U105">
        <v>1947</v>
      </c>
      <c r="V105">
        <v>78</v>
      </c>
      <c r="Y105">
        <v>0</v>
      </c>
      <c r="Z105" t="s">
        <v>837</v>
      </c>
      <c r="AA105" t="s">
        <v>1503</v>
      </c>
    </row>
    <row r="106" spans="1:27" ht="15" customHeight="1" x14ac:dyDescent="0.3">
      <c r="A106">
        <v>121</v>
      </c>
      <c r="B106">
        <v>25</v>
      </c>
      <c r="C106" t="s">
        <v>839</v>
      </c>
      <c r="D106" t="s">
        <v>840</v>
      </c>
      <c r="E106" t="s">
        <v>715</v>
      </c>
      <c r="F106">
        <v>2021</v>
      </c>
      <c r="G106">
        <v>0</v>
      </c>
      <c r="H106">
        <v>0</v>
      </c>
      <c r="I106">
        <v>0</v>
      </c>
      <c r="J106">
        <v>0</v>
      </c>
      <c r="K106">
        <v>1303000000</v>
      </c>
      <c r="L106">
        <v>2.5173000000000001</v>
      </c>
      <c r="M106">
        <v>3280041.9</v>
      </c>
      <c r="N106">
        <v>44271267</v>
      </c>
      <c r="O106">
        <v>58133823</v>
      </c>
      <c r="P106">
        <v>31280</v>
      </c>
      <c r="Q106">
        <v>0.81796287335171503</v>
      </c>
      <c r="R106">
        <v>17.8782582039007</v>
      </c>
      <c r="S106">
        <v>0.76154060950025604</v>
      </c>
      <c r="T106">
        <v>5.3806886225253104E-4</v>
      </c>
      <c r="U106">
        <v>1990</v>
      </c>
      <c r="V106">
        <v>31</v>
      </c>
      <c r="Y106">
        <v>1</v>
      </c>
      <c r="Z106" t="s">
        <v>722</v>
      </c>
      <c r="AA106" t="s">
        <v>1504</v>
      </c>
    </row>
    <row r="107" spans="1:27" ht="15" customHeight="1" x14ac:dyDescent="0.3">
      <c r="A107">
        <v>122</v>
      </c>
      <c r="B107">
        <v>25</v>
      </c>
      <c r="C107" t="s">
        <v>839</v>
      </c>
      <c r="D107" t="s">
        <v>840</v>
      </c>
      <c r="E107" t="s">
        <v>715</v>
      </c>
      <c r="F107">
        <v>2022</v>
      </c>
      <c r="G107">
        <v>0</v>
      </c>
      <c r="H107">
        <v>0</v>
      </c>
      <c r="I107">
        <v>0</v>
      </c>
      <c r="J107">
        <v>0</v>
      </c>
      <c r="K107">
        <v>1303000000</v>
      </c>
      <c r="L107">
        <v>1.9187000000000001</v>
      </c>
      <c r="M107">
        <v>2500066.1</v>
      </c>
      <c r="N107">
        <v>41039444</v>
      </c>
      <c r="O107">
        <v>57753684</v>
      </c>
      <c r="P107">
        <v>577269</v>
      </c>
      <c r="Q107">
        <v>0.75388281897307197</v>
      </c>
      <c r="R107">
        <v>17.8716976975393</v>
      </c>
      <c r="S107">
        <v>0.71059439255857704</v>
      </c>
      <c r="T107">
        <v>9.9953623737664907E-3</v>
      </c>
      <c r="U107">
        <v>1990</v>
      </c>
      <c r="V107">
        <v>32</v>
      </c>
      <c r="Y107">
        <v>1</v>
      </c>
      <c r="Z107" t="s">
        <v>722</v>
      </c>
      <c r="AA107" t="s">
        <v>1505</v>
      </c>
    </row>
    <row r="108" spans="1:27" ht="15" customHeight="1" x14ac:dyDescent="0.3">
      <c r="A108">
        <v>123</v>
      </c>
      <c r="B108">
        <v>25</v>
      </c>
      <c r="C108" t="s">
        <v>839</v>
      </c>
      <c r="D108" t="s">
        <v>840</v>
      </c>
      <c r="E108" t="s">
        <v>715</v>
      </c>
      <c r="F108">
        <v>2023</v>
      </c>
      <c r="G108">
        <v>1</v>
      </c>
      <c r="H108">
        <v>0</v>
      </c>
      <c r="I108">
        <v>0</v>
      </c>
      <c r="J108">
        <v>0</v>
      </c>
      <c r="K108">
        <v>1303000000</v>
      </c>
      <c r="L108">
        <v>3.3614999999999999</v>
      </c>
      <c r="M108">
        <v>4380034.5</v>
      </c>
      <c r="N108">
        <v>52302101</v>
      </c>
      <c r="O108">
        <v>78698307</v>
      </c>
      <c r="P108">
        <v>273334</v>
      </c>
      <c r="Q108">
        <v>0.72024593235531698</v>
      </c>
      <c r="R108">
        <v>18.181132201085099</v>
      </c>
      <c r="S108">
        <v>0.66458991296979197</v>
      </c>
      <c r="T108">
        <v>3.47318780313787E-3</v>
      </c>
      <c r="U108">
        <v>1990</v>
      </c>
      <c r="V108">
        <v>33</v>
      </c>
      <c r="Y108">
        <v>1</v>
      </c>
      <c r="Z108" t="s">
        <v>722</v>
      </c>
      <c r="AA108" t="s">
        <v>1506</v>
      </c>
    </row>
    <row r="109" spans="1:27" ht="15" customHeight="1" x14ac:dyDescent="0.3">
      <c r="A109">
        <v>124</v>
      </c>
      <c r="B109">
        <v>25</v>
      </c>
      <c r="C109" t="s">
        <v>839</v>
      </c>
      <c r="D109" t="s">
        <v>840</v>
      </c>
      <c r="E109" t="s">
        <v>715</v>
      </c>
      <c r="F109">
        <v>2024</v>
      </c>
      <c r="G109">
        <v>1</v>
      </c>
      <c r="H109">
        <v>0</v>
      </c>
      <c r="I109">
        <v>0</v>
      </c>
      <c r="J109">
        <v>0</v>
      </c>
      <c r="K109">
        <v>2949000000</v>
      </c>
      <c r="L109">
        <v>3.7707999999999999</v>
      </c>
      <c r="M109">
        <v>11120089.199999999</v>
      </c>
      <c r="N109">
        <v>68120000</v>
      </c>
      <c r="O109">
        <v>116270000</v>
      </c>
      <c r="P109">
        <v>1600000</v>
      </c>
      <c r="Q109">
        <v>0.68151792551819101</v>
      </c>
      <c r="R109">
        <v>18.5714256306448</v>
      </c>
      <c r="S109">
        <v>0.58587769846047999</v>
      </c>
      <c r="T109">
        <v>1.37610733637224E-2</v>
      </c>
      <c r="U109">
        <v>1990</v>
      </c>
      <c r="V109">
        <v>34</v>
      </c>
      <c r="Y109">
        <v>1</v>
      </c>
      <c r="Z109" t="s">
        <v>722</v>
      </c>
      <c r="AA109" t="s">
        <v>1507</v>
      </c>
    </row>
    <row r="110" spans="1:27" ht="15" customHeight="1" x14ac:dyDescent="0.3">
      <c r="A110">
        <v>125</v>
      </c>
      <c r="B110">
        <v>25</v>
      </c>
      <c r="C110" t="s">
        <v>839</v>
      </c>
      <c r="D110" t="s">
        <v>840</v>
      </c>
      <c r="E110" t="s">
        <v>715</v>
      </c>
      <c r="F110">
        <v>2025</v>
      </c>
      <c r="G110">
        <v>1</v>
      </c>
      <c r="H110">
        <v>0</v>
      </c>
      <c r="I110">
        <v>0</v>
      </c>
      <c r="J110">
        <v>0</v>
      </c>
      <c r="K110">
        <v>2949000000</v>
      </c>
      <c r="L110">
        <v>6.8498000000000001</v>
      </c>
      <c r="M110">
        <v>20200060.199999999</v>
      </c>
      <c r="N110">
        <v>89980000</v>
      </c>
      <c r="O110">
        <v>135550000</v>
      </c>
      <c r="P110">
        <v>2940000</v>
      </c>
      <c r="Q110">
        <v>0.81283703578015498</v>
      </c>
      <c r="R110">
        <v>18.724851133908999</v>
      </c>
      <c r="S110">
        <v>0.66381409074142395</v>
      </c>
      <c r="T110">
        <v>2.1689413500553301E-2</v>
      </c>
      <c r="U110">
        <v>1990</v>
      </c>
      <c r="V110">
        <v>35</v>
      </c>
      <c r="Y110">
        <v>1</v>
      </c>
      <c r="Z110" t="s">
        <v>722</v>
      </c>
      <c r="AA110" t="s">
        <v>1508</v>
      </c>
    </row>
    <row r="111" spans="1:27" ht="15" customHeight="1" x14ac:dyDescent="0.3">
      <c r="A111">
        <v>136</v>
      </c>
      <c r="B111">
        <v>28</v>
      </c>
      <c r="C111" t="s">
        <v>855</v>
      </c>
      <c r="D111" t="s">
        <v>856</v>
      </c>
      <c r="E111" t="s">
        <v>709</v>
      </c>
      <c r="F111">
        <v>2021</v>
      </c>
      <c r="G111">
        <v>0</v>
      </c>
      <c r="H111">
        <v>0</v>
      </c>
      <c r="I111">
        <v>15</v>
      </c>
      <c r="J111">
        <v>0</v>
      </c>
      <c r="K111">
        <v>10840000000</v>
      </c>
      <c r="L111">
        <v>0.78959999999999997</v>
      </c>
      <c r="M111">
        <v>8559264</v>
      </c>
      <c r="N111">
        <v>6662383</v>
      </c>
      <c r="O111">
        <v>15674166</v>
      </c>
      <c r="P111">
        <v>790638</v>
      </c>
      <c r="Q111">
        <v>0.97112962820477999</v>
      </c>
      <c r="R111">
        <v>16.567524437326199</v>
      </c>
      <c r="S111">
        <v>0.42505502366122699</v>
      </c>
      <c r="T111">
        <v>5.0442109647173598E-2</v>
      </c>
      <c r="U111">
        <v>1991</v>
      </c>
      <c r="V111">
        <v>30</v>
      </c>
      <c r="Y111">
        <v>1</v>
      </c>
      <c r="Z111" t="s">
        <v>727</v>
      </c>
      <c r="AA111" t="s">
        <v>1509</v>
      </c>
    </row>
    <row r="112" spans="1:27" ht="15" customHeight="1" x14ac:dyDescent="0.3">
      <c r="A112">
        <v>137</v>
      </c>
      <c r="B112">
        <v>28</v>
      </c>
      <c r="C112" t="s">
        <v>855</v>
      </c>
      <c r="D112" t="s">
        <v>856</v>
      </c>
      <c r="E112" t="s">
        <v>709</v>
      </c>
      <c r="F112">
        <v>2022</v>
      </c>
      <c r="G112">
        <v>0</v>
      </c>
      <c r="H112">
        <v>0</v>
      </c>
      <c r="I112">
        <v>15</v>
      </c>
      <c r="J112">
        <v>0</v>
      </c>
      <c r="K112">
        <v>10840000000</v>
      </c>
      <c r="L112">
        <v>0.66969999999999996</v>
      </c>
      <c r="M112">
        <v>7259548</v>
      </c>
      <c r="N112">
        <v>8726725</v>
      </c>
      <c r="O112">
        <v>18535742</v>
      </c>
      <c r="P112">
        <v>995985</v>
      </c>
      <c r="Q112">
        <v>0.862456598716145</v>
      </c>
      <c r="R112">
        <v>16.7352114261369</v>
      </c>
      <c r="S112">
        <v>0.47080526908499298</v>
      </c>
      <c r="T112">
        <v>5.3733214456696703E-2</v>
      </c>
      <c r="U112">
        <v>1991</v>
      </c>
      <c r="V112">
        <v>31</v>
      </c>
      <c r="Y112">
        <v>1</v>
      </c>
      <c r="Z112" t="s">
        <v>727</v>
      </c>
      <c r="AA112" t="s">
        <v>1510</v>
      </c>
    </row>
    <row r="113" spans="1:27" ht="15" customHeight="1" x14ac:dyDescent="0.3">
      <c r="A113">
        <v>138</v>
      </c>
      <c r="B113">
        <v>28</v>
      </c>
      <c r="C113" t="s">
        <v>855</v>
      </c>
      <c r="D113" t="s">
        <v>856</v>
      </c>
      <c r="E113" t="s">
        <v>709</v>
      </c>
      <c r="F113">
        <v>2023</v>
      </c>
      <c r="G113">
        <v>1</v>
      </c>
      <c r="H113">
        <v>0</v>
      </c>
      <c r="I113">
        <v>0</v>
      </c>
      <c r="J113">
        <v>0</v>
      </c>
      <c r="K113">
        <v>10840000000</v>
      </c>
      <c r="L113">
        <v>1.4696</v>
      </c>
      <c r="M113">
        <v>15930464</v>
      </c>
      <c r="N113">
        <v>13300000</v>
      </c>
      <c r="O113">
        <v>26200000</v>
      </c>
      <c r="P113">
        <v>3700000</v>
      </c>
      <c r="Q113">
        <v>1.1156665648855</v>
      </c>
      <c r="R113">
        <v>17.081269968731299</v>
      </c>
      <c r="S113">
        <v>0.50763358778626</v>
      </c>
      <c r="T113">
        <v>0.14122137404580201</v>
      </c>
      <c r="U113">
        <v>1991</v>
      </c>
      <c r="V113">
        <v>32</v>
      </c>
      <c r="Y113">
        <v>1</v>
      </c>
      <c r="Z113" t="s">
        <v>727</v>
      </c>
      <c r="AA113" t="s">
        <v>1511</v>
      </c>
    </row>
    <row r="114" spans="1:27" ht="15" customHeight="1" x14ac:dyDescent="0.3">
      <c r="A114">
        <v>139</v>
      </c>
      <c r="B114">
        <v>28</v>
      </c>
      <c r="C114" t="s">
        <v>855</v>
      </c>
      <c r="D114" t="s">
        <v>856</v>
      </c>
      <c r="E114" t="s">
        <v>709</v>
      </c>
      <c r="F114">
        <v>2024</v>
      </c>
      <c r="G114">
        <v>1</v>
      </c>
      <c r="H114">
        <v>0</v>
      </c>
      <c r="I114">
        <v>0</v>
      </c>
      <c r="J114">
        <v>0</v>
      </c>
      <c r="K114">
        <v>10840000000</v>
      </c>
      <c r="L114">
        <v>3.4502000000000002</v>
      </c>
      <c r="M114">
        <v>37400168</v>
      </c>
      <c r="N114">
        <v>21900000</v>
      </c>
      <c r="O114">
        <v>56900000</v>
      </c>
      <c r="P114">
        <v>22630000</v>
      </c>
      <c r="Q114">
        <v>1.04218221441125</v>
      </c>
      <c r="R114">
        <v>17.856805899096599</v>
      </c>
      <c r="S114">
        <v>0.38488576449912099</v>
      </c>
      <c r="T114">
        <v>0.397715289982425</v>
      </c>
      <c r="U114">
        <v>1991</v>
      </c>
      <c r="V114">
        <v>33</v>
      </c>
      <c r="Y114">
        <v>1</v>
      </c>
      <c r="Z114" t="s">
        <v>727</v>
      </c>
      <c r="AA114" t="s">
        <v>1512</v>
      </c>
    </row>
    <row r="115" spans="1:27" ht="15" customHeight="1" x14ac:dyDescent="0.3">
      <c r="A115">
        <v>140</v>
      </c>
      <c r="B115">
        <v>28</v>
      </c>
      <c r="C115" t="s">
        <v>855</v>
      </c>
      <c r="D115" t="s">
        <v>856</v>
      </c>
      <c r="E115" t="s">
        <v>709</v>
      </c>
      <c r="F115">
        <v>2025</v>
      </c>
      <c r="G115">
        <v>1</v>
      </c>
      <c r="H115">
        <v>0</v>
      </c>
      <c r="I115">
        <v>0</v>
      </c>
      <c r="J115">
        <v>0</v>
      </c>
      <c r="K115">
        <v>10840000000</v>
      </c>
      <c r="L115">
        <v>4.3404999999999996</v>
      </c>
      <c r="M115">
        <v>47051020</v>
      </c>
      <c r="N115">
        <v>33782035.796999998</v>
      </c>
      <c r="O115">
        <v>75939296.063999996</v>
      </c>
      <c r="P115">
        <v>8440000</v>
      </c>
      <c r="Q115">
        <v>1.06444304841693</v>
      </c>
      <c r="R115">
        <v>18.145444843090999</v>
      </c>
      <c r="S115">
        <v>0.44485579335011499</v>
      </c>
      <c r="T115">
        <v>0.111141404219588</v>
      </c>
      <c r="U115">
        <v>1991</v>
      </c>
      <c r="V115">
        <v>34</v>
      </c>
      <c r="Y115">
        <v>1</v>
      </c>
      <c r="Z115" t="s">
        <v>727</v>
      </c>
      <c r="AA115" t="s">
        <v>1513</v>
      </c>
    </row>
    <row r="116" spans="1:27" ht="15" customHeight="1" x14ac:dyDescent="0.3">
      <c r="A116">
        <v>141</v>
      </c>
      <c r="B116">
        <v>29</v>
      </c>
      <c r="C116" t="s">
        <v>858</v>
      </c>
      <c r="D116" t="s">
        <v>859</v>
      </c>
      <c r="E116" t="s">
        <v>766</v>
      </c>
      <c r="F116">
        <v>2021</v>
      </c>
      <c r="G116">
        <v>0</v>
      </c>
      <c r="H116">
        <v>0</v>
      </c>
      <c r="I116">
        <v>5</v>
      </c>
      <c r="J116">
        <v>0</v>
      </c>
      <c r="K116">
        <v>693952117</v>
      </c>
      <c r="L116">
        <v>22</v>
      </c>
      <c r="M116">
        <v>15266946.573999999</v>
      </c>
      <c r="N116">
        <v>32191978</v>
      </c>
      <c r="O116">
        <v>53981346</v>
      </c>
      <c r="P116">
        <v>3082690</v>
      </c>
      <c r="Q116">
        <v>0.87917267891022999</v>
      </c>
      <c r="R116">
        <v>17.804149100404398</v>
      </c>
      <c r="S116">
        <v>0.59635374782985195</v>
      </c>
      <c r="T116">
        <v>5.71065790023094E-2</v>
      </c>
      <c r="U116">
        <v>1960</v>
      </c>
      <c r="V116">
        <v>61</v>
      </c>
      <c r="Y116">
        <v>0</v>
      </c>
      <c r="Z116" t="s">
        <v>861</v>
      </c>
      <c r="AA116" t="s">
        <v>1514</v>
      </c>
    </row>
    <row r="117" spans="1:27" ht="15" customHeight="1" x14ac:dyDescent="0.3">
      <c r="A117">
        <v>142</v>
      </c>
      <c r="B117">
        <v>29</v>
      </c>
      <c r="C117" t="s">
        <v>858</v>
      </c>
      <c r="D117" t="s">
        <v>859</v>
      </c>
      <c r="E117" t="s">
        <v>766</v>
      </c>
      <c r="F117">
        <v>2022</v>
      </c>
      <c r="G117">
        <v>0</v>
      </c>
      <c r="H117">
        <v>0</v>
      </c>
      <c r="I117">
        <v>5</v>
      </c>
      <c r="J117">
        <v>0</v>
      </c>
      <c r="K117">
        <v>693952117</v>
      </c>
      <c r="L117">
        <v>26.5</v>
      </c>
      <c r="M117">
        <v>18389731.100499999</v>
      </c>
      <c r="N117">
        <v>33718298</v>
      </c>
      <c r="O117">
        <v>59994291</v>
      </c>
      <c r="P117">
        <v>6221505</v>
      </c>
      <c r="Q117">
        <v>0.868549794187917</v>
      </c>
      <c r="R117">
        <v>17.909759965659301</v>
      </c>
      <c r="S117">
        <v>0.56202511002255195</v>
      </c>
      <c r="T117">
        <v>0.10370161720887699</v>
      </c>
      <c r="U117">
        <v>1960</v>
      </c>
      <c r="V117">
        <v>62</v>
      </c>
      <c r="Y117">
        <v>0</v>
      </c>
      <c r="Z117" t="s">
        <v>861</v>
      </c>
      <c r="AA117" t="s">
        <v>1515</v>
      </c>
    </row>
    <row r="118" spans="1:27" ht="15" customHeight="1" x14ac:dyDescent="0.3">
      <c r="A118">
        <v>143</v>
      </c>
      <c r="B118">
        <v>29</v>
      </c>
      <c r="C118" t="s">
        <v>858</v>
      </c>
      <c r="D118" t="s">
        <v>859</v>
      </c>
      <c r="E118" t="s">
        <v>766</v>
      </c>
      <c r="F118">
        <v>2023</v>
      </c>
      <c r="G118">
        <v>1</v>
      </c>
      <c r="H118">
        <v>0</v>
      </c>
      <c r="I118">
        <v>5</v>
      </c>
      <c r="J118">
        <v>0</v>
      </c>
      <c r="K118">
        <v>693952117</v>
      </c>
      <c r="L118">
        <v>83.9</v>
      </c>
      <c r="M118">
        <v>58222582.616300002</v>
      </c>
      <c r="N118">
        <v>64332404</v>
      </c>
      <c r="O118">
        <v>97477977</v>
      </c>
      <c r="P118">
        <v>9868239</v>
      </c>
      <c r="Q118">
        <v>1.2572582073210199</v>
      </c>
      <c r="R118">
        <v>18.395137033531</v>
      </c>
      <c r="S118">
        <v>0.65996859988179701</v>
      </c>
      <c r="T118">
        <v>0.101235574472375</v>
      </c>
      <c r="U118">
        <v>1960</v>
      </c>
      <c r="V118">
        <v>63</v>
      </c>
      <c r="Y118">
        <v>0</v>
      </c>
      <c r="Z118" t="s">
        <v>861</v>
      </c>
      <c r="AA118" t="s">
        <v>1516</v>
      </c>
    </row>
    <row r="119" spans="1:27" ht="15" customHeight="1" x14ac:dyDescent="0.3">
      <c r="A119">
        <v>144</v>
      </c>
      <c r="B119">
        <v>29</v>
      </c>
      <c r="C119" t="s">
        <v>858</v>
      </c>
      <c r="D119" t="s">
        <v>859</v>
      </c>
      <c r="E119" t="s">
        <v>766</v>
      </c>
      <c r="F119">
        <v>2024</v>
      </c>
      <c r="G119">
        <v>1</v>
      </c>
      <c r="H119">
        <v>0</v>
      </c>
      <c r="I119">
        <v>5</v>
      </c>
      <c r="J119">
        <v>0</v>
      </c>
      <c r="K119">
        <v>693952117</v>
      </c>
      <c r="L119">
        <v>387.2</v>
      </c>
      <c r="M119">
        <v>268698259.70240003</v>
      </c>
      <c r="N119">
        <v>75460000</v>
      </c>
      <c r="O119">
        <v>114950000</v>
      </c>
      <c r="P119">
        <v>8780000</v>
      </c>
      <c r="Q119">
        <v>2.9939822505645899</v>
      </c>
      <c r="R119">
        <v>18.560007809173499</v>
      </c>
      <c r="S119">
        <v>0.65645933014354096</v>
      </c>
      <c r="T119">
        <v>7.6381035232709907E-2</v>
      </c>
      <c r="U119">
        <v>1960</v>
      </c>
      <c r="V119">
        <v>64</v>
      </c>
      <c r="Y119">
        <v>0</v>
      </c>
      <c r="Z119" t="s">
        <v>861</v>
      </c>
      <c r="AA119" t="s">
        <v>1517</v>
      </c>
    </row>
    <row r="120" spans="1:27" ht="15" customHeight="1" x14ac:dyDescent="0.3">
      <c r="A120">
        <v>145</v>
      </c>
      <c r="B120">
        <v>29</v>
      </c>
      <c r="C120" t="s">
        <v>858</v>
      </c>
      <c r="D120" t="s">
        <v>859</v>
      </c>
      <c r="E120" t="s">
        <v>766</v>
      </c>
      <c r="F120">
        <v>2025</v>
      </c>
      <c r="G120">
        <v>1</v>
      </c>
      <c r="H120">
        <v>0</v>
      </c>
      <c r="I120">
        <v>5</v>
      </c>
      <c r="J120">
        <v>0</v>
      </c>
      <c r="K120">
        <v>693952117</v>
      </c>
      <c r="L120">
        <v>187.2</v>
      </c>
      <c r="M120">
        <v>129907836.30239999</v>
      </c>
      <c r="N120">
        <v>100130000</v>
      </c>
      <c r="O120">
        <v>139370000</v>
      </c>
      <c r="P120">
        <v>2010000</v>
      </c>
      <c r="Q120">
        <v>1.6505548992064301</v>
      </c>
      <c r="R120">
        <v>18.752642825095698</v>
      </c>
      <c r="S120">
        <v>0.71844729855779599</v>
      </c>
      <c r="T120">
        <v>1.44220420463514E-2</v>
      </c>
      <c r="U120">
        <v>1960</v>
      </c>
      <c r="V120">
        <v>65</v>
      </c>
      <c r="Y120">
        <v>0</v>
      </c>
      <c r="Z120" t="s">
        <v>861</v>
      </c>
      <c r="AA120" t="s">
        <v>1518</v>
      </c>
    </row>
    <row r="121" spans="1:27" ht="15" customHeight="1" x14ac:dyDescent="0.3">
      <c r="A121">
        <v>146</v>
      </c>
      <c r="B121">
        <v>30</v>
      </c>
      <c r="C121" t="s">
        <v>863</v>
      </c>
      <c r="D121" t="s">
        <v>864</v>
      </c>
      <c r="E121" t="s">
        <v>709</v>
      </c>
      <c r="F121">
        <v>2021</v>
      </c>
      <c r="G121">
        <v>0</v>
      </c>
      <c r="H121">
        <v>0</v>
      </c>
      <c r="I121">
        <v>50</v>
      </c>
      <c r="J121">
        <v>0</v>
      </c>
      <c r="K121">
        <v>18166392725</v>
      </c>
      <c r="L121">
        <v>0.45689999999999997</v>
      </c>
      <c r="M121">
        <v>8300224.8360524997</v>
      </c>
      <c r="N121">
        <v>28986015</v>
      </c>
      <c r="O121">
        <v>48054266</v>
      </c>
      <c r="P121">
        <v>3535935</v>
      </c>
      <c r="Q121">
        <v>0.77591945397839401</v>
      </c>
      <c r="R121">
        <v>17.687841471957899</v>
      </c>
      <c r="S121">
        <v>0.60319337725395705</v>
      </c>
      <c r="T121">
        <v>7.3582124841944305E-2</v>
      </c>
      <c r="U121">
        <v>1991</v>
      </c>
      <c r="V121">
        <v>30</v>
      </c>
      <c r="Y121">
        <v>1</v>
      </c>
      <c r="Z121" t="s">
        <v>866</v>
      </c>
      <c r="AA121" t="s">
        <v>1519</v>
      </c>
    </row>
    <row r="122" spans="1:27" ht="15" customHeight="1" x14ac:dyDescent="0.3">
      <c r="A122">
        <v>147</v>
      </c>
      <c r="B122">
        <v>30</v>
      </c>
      <c r="C122" t="s">
        <v>863</v>
      </c>
      <c r="D122" t="s">
        <v>864</v>
      </c>
      <c r="E122" t="s">
        <v>709</v>
      </c>
      <c r="F122">
        <v>2022</v>
      </c>
      <c r="G122">
        <v>0</v>
      </c>
      <c r="H122">
        <v>0</v>
      </c>
      <c r="I122">
        <v>55</v>
      </c>
      <c r="J122">
        <v>0</v>
      </c>
      <c r="K122">
        <v>18166392725</v>
      </c>
      <c r="L122">
        <v>0.59550000000000003</v>
      </c>
      <c r="M122">
        <v>10818086.8677375</v>
      </c>
      <c r="N122">
        <v>31285457</v>
      </c>
      <c r="O122">
        <v>49530744</v>
      </c>
      <c r="P122">
        <v>16389</v>
      </c>
      <c r="Q122">
        <v>0.850048686281343</v>
      </c>
      <c r="R122">
        <v>17.7181041256509</v>
      </c>
      <c r="S122">
        <v>0.63163713026398305</v>
      </c>
      <c r="T122">
        <v>3.3088539917752898E-4</v>
      </c>
      <c r="U122">
        <v>1991</v>
      </c>
      <c r="V122">
        <v>31</v>
      </c>
      <c r="Y122">
        <v>1</v>
      </c>
      <c r="Z122" t="s">
        <v>866</v>
      </c>
      <c r="AA122" t="s">
        <v>1520</v>
      </c>
    </row>
    <row r="123" spans="1:27" ht="15" customHeight="1" x14ac:dyDescent="0.3">
      <c r="A123">
        <v>148</v>
      </c>
      <c r="B123">
        <v>30</v>
      </c>
      <c r="C123" t="s">
        <v>863</v>
      </c>
      <c r="D123" t="s">
        <v>864</v>
      </c>
      <c r="E123" t="s">
        <v>709</v>
      </c>
      <c r="F123">
        <v>2023</v>
      </c>
      <c r="G123">
        <v>1</v>
      </c>
      <c r="H123">
        <v>0</v>
      </c>
      <c r="I123">
        <v>50</v>
      </c>
      <c r="J123">
        <v>0</v>
      </c>
      <c r="K123">
        <v>18166392725</v>
      </c>
      <c r="L123">
        <v>1.3898999999999999</v>
      </c>
      <c r="M123">
        <v>25249469.2484775</v>
      </c>
      <c r="N123">
        <v>48589780</v>
      </c>
      <c r="O123">
        <v>82508551</v>
      </c>
      <c r="P123">
        <v>13838762</v>
      </c>
      <c r="Q123">
        <v>0.894928445034473</v>
      </c>
      <c r="R123">
        <v>18.228412494418599</v>
      </c>
      <c r="S123">
        <v>0.58890599108933595</v>
      </c>
      <c r="T123">
        <v>0.167725185235649</v>
      </c>
      <c r="U123">
        <v>1991</v>
      </c>
      <c r="V123">
        <v>32</v>
      </c>
      <c r="Y123">
        <v>1</v>
      </c>
      <c r="Z123" t="s">
        <v>866</v>
      </c>
      <c r="AA123" t="s">
        <v>1521</v>
      </c>
    </row>
    <row r="124" spans="1:27" ht="15" customHeight="1" x14ac:dyDescent="0.3">
      <c r="A124">
        <v>149</v>
      </c>
      <c r="B124">
        <v>30</v>
      </c>
      <c r="C124" t="s">
        <v>863</v>
      </c>
      <c r="D124" t="s">
        <v>864</v>
      </c>
      <c r="E124" t="s">
        <v>709</v>
      </c>
      <c r="F124">
        <v>2024</v>
      </c>
      <c r="G124">
        <v>1</v>
      </c>
      <c r="H124">
        <v>0</v>
      </c>
      <c r="I124">
        <v>60</v>
      </c>
      <c r="J124">
        <v>0</v>
      </c>
      <c r="K124">
        <v>18166392725</v>
      </c>
      <c r="L124">
        <v>3.5747</v>
      </c>
      <c r="M124">
        <v>64939404.074057497</v>
      </c>
      <c r="N124">
        <v>61004279</v>
      </c>
      <c r="O124">
        <v>121501003</v>
      </c>
      <c r="P124">
        <v>25583281</v>
      </c>
      <c r="Q124">
        <v>1.0365649662501799</v>
      </c>
      <c r="R124">
        <v>18.615433075854799</v>
      </c>
      <c r="S124">
        <v>0.50208868646129601</v>
      </c>
      <c r="T124">
        <v>0.21056024533394199</v>
      </c>
      <c r="U124">
        <v>1991</v>
      </c>
      <c r="V124">
        <v>33</v>
      </c>
      <c r="Y124">
        <v>1</v>
      </c>
      <c r="Z124" t="s">
        <v>866</v>
      </c>
      <c r="AA124" t="s">
        <v>1522</v>
      </c>
    </row>
    <row r="125" spans="1:27" ht="15" customHeight="1" x14ac:dyDescent="0.3">
      <c r="A125">
        <v>150</v>
      </c>
      <c r="B125">
        <v>30</v>
      </c>
      <c r="C125" t="s">
        <v>863</v>
      </c>
      <c r="D125" t="s">
        <v>864</v>
      </c>
      <c r="E125" t="s">
        <v>709</v>
      </c>
      <c r="F125">
        <v>2025</v>
      </c>
      <c r="G125">
        <v>1</v>
      </c>
      <c r="H125">
        <v>0</v>
      </c>
      <c r="I125">
        <v>35</v>
      </c>
      <c r="J125">
        <v>13.3333333333333</v>
      </c>
      <c r="K125">
        <v>18166392725</v>
      </c>
      <c r="L125">
        <v>5.9179000000000004</v>
      </c>
      <c r="M125">
        <v>107506895.507278</v>
      </c>
      <c r="N125">
        <v>67767618</v>
      </c>
      <c r="O125">
        <v>137601697</v>
      </c>
      <c r="P125">
        <v>8268605</v>
      </c>
      <c r="Q125">
        <v>1.27378162717919</v>
      </c>
      <c r="R125">
        <v>18.739873816236301</v>
      </c>
      <c r="S125">
        <v>0.49249115001830202</v>
      </c>
      <c r="T125">
        <v>6.0090865013096503E-2</v>
      </c>
      <c r="U125">
        <v>1991</v>
      </c>
      <c r="V125">
        <v>34</v>
      </c>
      <c r="Y125">
        <v>1</v>
      </c>
      <c r="Z125" t="s">
        <v>866</v>
      </c>
      <c r="AA125" t="s">
        <v>1523</v>
      </c>
    </row>
    <row r="126" spans="1:27" ht="15" customHeight="1" x14ac:dyDescent="0.3">
      <c r="A126">
        <v>151</v>
      </c>
      <c r="B126">
        <v>31</v>
      </c>
      <c r="C126" t="s">
        <v>868</v>
      </c>
      <c r="D126" t="s">
        <v>869</v>
      </c>
      <c r="E126" t="s">
        <v>870</v>
      </c>
      <c r="F126">
        <v>2021</v>
      </c>
      <c r="G126">
        <v>0</v>
      </c>
      <c r="H126">
        <v>0</v>
      </c>
      <c r="I126">
        <v>0</v>
      </c>
      <c r="J126">
        <v>0</v>
      </c>
      <c r="K126">
        <v>5882000000</v>
      </c>
      <c r="L126">
        <v>7.9</v>
      </c>
      <c r="M126">
        <v>46467800</v>
      </c>
      <c r="N126">
        <v>120134000</v>
      </c>
      <c r="O126">
        <v>184472000</v>
      </c>
      <c r="P126">
        <v>10660000</v>
      </c>
      <c r="Q126">
        <v>0.903127845960363</v>
      </c>
      <c r="R126">
        <v>19.033008248410301</v>
      </c>
      <c r="S126">
        <v>0.65123162322737305</v>
      </c>
      <c r="T126">
        <v>5.7786547551932001E-2</v>
      </c>
      <c r="U126">
        <v>1991</v>
      </c>
      <c r="V126">
        <v>30</v>
      </c>
      <c r="Y126">
        <v>1</v>
      </c>
      <c r="Z126" t="s">
        <v>872</v>
      </c>
      <c r="AA126" t="s">
        <v>1524</v>
      </c>
    </row>
    <row r="127" spans="1:27" ht="15" customHeight="1" x14ac:dyDescent="0.3">
      <c r="A127">
        <v>152</v>
      </c>
      <c r="B127">
        <v>31</v>
      </c>
      <c r="C127" t="s">
        <v>868</v>
      </c>
      <c r="D127" t="s">
        <v>869</v>
      </c>
      <c r="E127" t="s">
        <v>870</v>
      </c>
      <c r="F127">
        <v>2022</v>
      </c>
      <c r="G127">
        <v>0</v>
      </c>
      <c r="H127">
        <v>0</v>
      </c>
      <c r="I127">
        <v>0</v>
      </c>
      <c r="J127">
        <v>0</v>
      </c>
      <c r="K127">
        <v>5882000000</v>
      </c>
      <c r="L127">
        <v>5.95</v>
      </c>
      <c r="M127">
        <v>34997900</v>
      </c>
      <c r="N127">
        <v>147311000</v>
      </c>
      <c r="O127">
        <v>212212000</v>
      </c>
      <c r="P127">
        <v>8373000</v>
      </c>
      <c r="Q127">
        <v>0.85908855295647801</v>
      </c>
      <c r="R127">
        <v>19.173096332969401</v>
      </c>
      <c r="S127">
        <v>0.69416903850866096</v>
      </c>
      <c r="T127">
        <v>3.9455827191676299E-2</v>
      </c>
      <c r="U127">
        <v>1991</v>
      </c>
      <c r="V127">
        <v>31</v>
      </c>
      <c r="Y127">
        <v>1</v>
      </c>
      <c r="Z127" t="s">
        <v>872</v>
      </c>
      <c r="AA127" t="s">
        <v>1524</v>
      </c>
    </row>
    <row r="128" spans="1:27" ht="15" customHeight="1" x14ac:dyDescent="0.3">
      <c r="A128">
        <v>153</v>
      </c>
      <c r="B128">
        <v>31</v>
      </c>
      <c r="C128" t="s">
        <v>868</v>
      </c>
      <c r="D128" t="s">
        <v>869</v>
      </c>
      <c r="E128" t="s">
        <v>870</v>
      </c>
      <c r="F128">
        <v>2023</v>
      </c>
      <c r="G128">
        <v>1</v>
      </c>
      <c r="H128">
        <v>0</v>
      </c>
      <c r="I128">
        <v>0</v>
      </c>
      <c r="J128">
        <v>0</v>
      </c>
      <c r="K128">
        <v>5882000000</v>
      </c>
      <c r="L128">
        <v>9</v>
      </c>
      <c r="M128">
        <v>52938000</v>
      </c>
      <c r="N128">
        <v>188334000</v>
      </c>
      <c r="O128">
        <v>269800000</v>
      </c>
      <c r="P128">
        <v>19057000</v>
      </c>
      <c r="Q128">
        <v>0.89426241660489303</v>
      </c>
      <c r="R128">
        <v>19.413191501737899</v>
      </c>
      <c r="S128">
        <v>0.69805040770941396</v>
      </c>
      <c r="T128">
        <v>7.0633802816901403E-2</v>
      </c>
      <c r="U128">
        <v>1991</v>
      </c>
      <c r="V128">
        <v>32</v>
      </c>
      <c r="Y128">
        <v>1</v>
      </c>
      <c r="Z128" t="s">
        <v>872</v>
      </c>
      <c r="AA128" t="s">
        <v>1524</v>
      </c>
    </row>
    <row r="129" spans="1:27" ht="15" customHeight="1" x14ac:dyDescent="0.3">
      <c r="A129">
        <v>154</v>
      </c>
      <c r="B129">
        <v>31</v>
      </c>
      <c r="C129" t="s">
        <v>868</v>
      </c>
      <c r="D129" t="s">
        <v>869</v>
      </c>
      <c r="E129" t="s">
        <v>870</v>
      </c>
      <c r="F129">
        <v>2024</v>
      </c>
      <c r="G129">
        <v>1</v>
      </c>
      <c r="H129">
        <v>0</v>
      </c>
      <c r="I129">
        <v>0</v>
      </c>
      <c r="J129">
        <v>0</v>
      </c>
      <c r="K129">
        <v>5882000000</v>
      </c>
      <c r="L129">
        <v>17.100000000000001</v>
      </c>
      <c r="M129">
        <v>100582200</v>
      </c>
      <c r="N129">
        <v>274899000</v>
      </c>
      <c r="O129">
        <v>416239000</v>
      </c>
      <c r="P129">
        <v>53997000</v>
      </c>
      <c r="Q129">
        <v>0.90208077570818701</v>
      </c>
      <c r="R129">
        <v>19.8467701724833</v>
      </c>
      <c r="S129">
        <v>0.66043547096740096</v>
      </c>
      <c r="T129">
        <v>0.129725950715815</v>
      </c>
      <c r="U129">
        <v>1991</v>
      </c>
      <c r="V129">
        <v>33</v>
      </c>
      <c r="Y129">
        <v>1</v>
      </c>
      <c r="Z129" t="s">
        <v>872</v>
      </c>
      <c r="AA129" t="s">
        <v>1524</v>
      </c>
    </row>
    <row r="130" spans="1:27" ht="15" customHeight="1" x14ac:dyDescent="0.3">
      <c r="A130">
        <v>155</v>
      </c>
      <c r="B130">
        <v>31</v>
      </c>
      <c r="C130" t="s">
        <v>868</v>
      </c>
      <c r="D130" t="s">
        <v>869</v>
      </c>
      <c r="E130" t="s">
        <v>870</v>
      </c>
      <c r="F130">
        <v>2025</v>
      </c>
      <c r="G130">
        <v>1</v>
      </c>
      <c r="H130">
        <v>0</v>
      </c>
      <c r="I130">
        <v>0</v>
      </c>
      <c r="J130">
        <v>0</v>
      </c>
      <c r="K130">
        <v>5882000000</v>
      </c>
      <c r="L130">
        <v>43</v>
      </c>
      <c r="M130">
        <v>252926000</v>
      </c>
      <c r="N130">
        <v>840275000</v>
      </c>
      <c r="O130">
        <v>1058821000</v>
      </c>
      <c r="P130">
        <v>65839000</v>
      </c>
      <c r="Q130">
        <v>1.03247007756741</v>
      </c>
      <c r="R130">
        <v>20.780421861894599</v>
      </c>
      <c r="S130">
        <v>0.79359495136571701</v>
      </c>
      <c r="T130">
        <v>6.2181426322296202E-2</v>
      </c>
      <c r="U130">
        <v>1991</v>
      </c>
      <c r="V130">
        <v>34</v>
      </c>
      <c r="Y130">
        <v>1</v>
      </c>
      <c r="Z130" t="s">
        <v>872</v>
      </c>
      <c r="AA130" t="s">
        <v>1524</v>
      </c>
    </row>
    <row r="131" spans="1:27" ht="15" customHeight="1" x14ac:dyDescent="0.3">
      <c r="A131">
        <v>156</v>
      </c>
      <c r="B131">
        <v>32</v>
      </c>
      <c r="C131" t="s">
        <v>874</v>
      </c>
      <c r="D131" t="s">
        <v>875</v>
      </c>
      <c r="E131" t="s">
        <v>772</v>
      </c>
      <c r="F131">
        <v>2021</v>
      </c>
      <c r="G131">
        <v>0</v>
      </c>
      <c r="H131">
        <v>0</v>
      </c>
      <c r="I131">
        <v>0</v>
      </c>
      <c r="J131">
        <v>0</v>
      </c>
      <c r="K131">
        <v>1761321000</v>
      </c>
      <c r="L131">
        <v>5.2803000000000004</v>
      </c>
      <c r="M131">
        <v>9300303.2763</v>
      </c>
      <c r="N131">
        <v>2636402</v>
      </c>
      <c r="O131">
        <v>4792191</v>
      </c>
      <c r="P131">
        <v>594023</v>
      </c>
      <c r="Q131">
        <v>2.4908659267337199</v>
      </c>
      <c r="R131">
        <v>15.3824982760799</v>
      </c>
      <c r="S131">
        <v>0.55014543452045195</v>
      </c>
      <c r="T131">
        <v>0.123956453321664</v>
      </c>
      <c r="U131">
        <v>1982</v>
      </c>
      <c r="V131">
        <v>39</v>
      </c>
      <c r="Y131">
        <v>0</v>
      </c>
      <c r="Z131" t="s">
        <v>876</v>
      </c>
      <c r="AA131" t="s">
        <v>1525</v>
      </c>
    </row>
    <row r="132" spans="1:27" ht="15" customHeight="1" x14ac:dyDescent="0.3">
      <c r="A132">
        <v>157</v>
      </c>
      <c r="B132">
        <v>32</v>
      </c>
      <c r="C132" t="s">
        <v>874</v>
      </c>
      <c r="D132" t="s">
        <v>875</v>
      </c>
      <c r="E132" t="s">
        <v>772</v>
      </c>
      <c r="F132">
        <v>2022</v>
      </c>
      <c r="G132">
        <v>0</v>
      </c>
      <c r="H132">
        <v>0</v>
      </c>
      <c r="I132">
        <v>20</v>
      </c>
      <c r="J132">
        <v>13.3333333333333</v>
      </c>
      <c r="K132">
        <v>3522644000</v>
      </c>
      <c r="L132">
        <v>1.05</v>
      </c>
      <c r="M132">
        <v>3698776.2</v>
      </c>
      <c r="N132">
        <v>2412000</v>
      </c>
      <c r="O132">
        <v>5116000</v>
      </c>
      <c r="P132">
        <v>786310</v>
      </c>
      <c r="Q132">
        <v>1.1944441360437801</v>
      </c>
      <c r="R132">
        <v>15.447883441680901</v>
      </c>
      <c r="S132">
        <v>0.47146207974980497</v>
      </c>
      <c r="T132">
        <v>0.15369624706802201</v>
      </c>
      <c r="U132">
        <v>1982</v>
      </c>
      <c r="V132">
        <v>40</v>
      </c>
      <c r="Y132">
        <v>0</v>
      </c>
      <c r="Z132" t="s">
        <v>876</v>
      </c>
      <c r="AA132" t="s">
        <v>1526</v>
      </c>
    </row>
    <row r="133" spans="1:27" ht="15" customHeight="1" x14ac:dyDescent="0.3">
      <c r="A133">
        <v>158</v>
      </c>
      <c r="B133">
        <v>32</v>
      </c>
      <c r="C133" t="s">
        <v>874</v>
      </c>
      <c r="D133" t="s">
        <v>875</v>
      </c>
      <c r="E133" t="s">
        <v>772</v>
      </c>
      <c r="F133">
        <v>2023</v>
      </c>
      <c r="G133">
        <v>1</v>
      </c>
      <c r="H133">
        <v>0</v>
      </c>
      <c r="I133">
        <v>10</v>
      </c>
      <c r="J133">
        <v>0</v>
      </c>
      <c r="K133">
        <v>3522644000</v>
      </c>
      <c r="L133">
        <v>1.02</v>
      </c>
      <c r="M133">
        <v>3593096.88</v>
      </c>
      <c r="N133">
        <v>2674000</v>
      </c>
      <c r="O133">
        <v>5842000</v>
      </c>
      <c r="P133">
        <v>789990</v>
      </c>
      <c r="Q133">
        <v>1.0727656419034599</v>
      </c>
      <c r="R133">
        <v>15.5805837619298</v>
      </c>
      <c r="S133">
        <v>0.45771995891817902</v>
      </c>
      <c r="T133">
        <v>0.13522595001711701</v>
      </c>
      <c r="U133">
        <v>1982</v>
      </c>
      <c r="V133">
        <v>41</v>
      </c>
      <c r="Y133">
        <v>0</v>
      </c>
      <c r="Z133" t="s">
        <v>876</v>
      </c>
      <c r="AA133" t="s">
        <v>1526</v>
      </c>
    </row>
    <row r="134" spans="1:27" ht="15" customHeight="1" x14ac:dyDescent="0.3">
      <c r="A134">
        <v>159</v>
      </c>
      <c r="B134">
        <v>32</v>
      </c>
      <c r="C134" t="s">
        <v>874</v>
      </c>
      <c r="D134" t="s">
        <v>875</v>
      </c>
      <c r="E134" t="s">
        <v>772</v>
      </c>
      <c r="F134">
        <v>2024</v>
      </c>
      <c r="G134">
        <v>1</v>
      </c>
      <c r="H134">
        <v>0</v>
      </c>
      <c r="I134">
        <v>10</v>
      </c>
      <c r="J134">
        <v>0</v>
      </c>
      <c r="K134">
        <v>3522644000</v>
      </c>
      <c r="L134">
        <v>1.47</v>
      </c>
      <c r="M134">
        <v>5178286.68</v>
      </c>
      <c r="N134">
        <v>3484000</v>
      </c>
      <c r="O134">
        <v>7289000</v>
      </c>
      <c r="P134">
        <v>1065000</v>
      </c>
      <c r="Q134">
        <v>1.1884053615036401</v>
      </c>
      <c r="R134">
        <v>15.8018769203644</v>
      </c>
      <c r="S134">
        <v>0.47798051858965601</v>
      </c>
      <c r="T134">
        <v>0.146110577582659</v>
      </c>
      <c r="U134">
        <v>1982</v>
      </c>
      <c r="V134">
        <v>42</v>
      </c>
      <c r="Y134">
        <v>0</v>
      </c>
      <c r="Z134" t="s">
        <v>876</v>
      </c>
      <c r="AA134" t="s">
        <v>1526</v>
      </c>
    </row>
    <row r="135" spans="1:27" ht="15" customHeight="1" x14ac:dyDescent="0.3">
      <c r="A135">
        <v>160</v>
      </c>
      <c r="B135">
        <v>32</v>
      </c>
      <c r="C135" t="s">
        <v>874</v>
      </c>
      <c r="D135" t="s">
        <v>875</v>
      </c>
      <c r="E135" t="s">
        <v>772</v>
      </c>
      <c r="F135">
        <v>2025</v>
      </c>
      <c r="G135">
        <v>1</v>
      </c>
      <c r="H135">
        <v>0</v>
      </c>
      <c r="I135">
        <v>20</v>
      </c>
      <c r="J135">
        <v>6.6666666666666696</v>
      </c>
      <c r="K135">
        <v>7045288000</v>
      </c>
      <c r="L135">
        <v>2.37</v>
      </c>
      <c r="M135">
        <v>16697332.560000001</v>
      </c>
      <c r="N135">
        <v>4439000</v>
      </c>
      <c r="O135">
        <v>8692000</v>
      </c>
      <c r="P135">
        <v>1032000</v>
      </c>
      <c r="Q135">
        <v>2.4316995582144498</v>
      </c>
      <c r="R135">
        <v>15.9779136203585</v>
      </c>
      <c r="S135">
        <v>0.51069949378739099</v>
      </c>
      <c r="T135">
        <v>0.118729866543948</v>
      </c>
      <c r="U135">
        <v>1982</v>
      </c>
      <c r="V135">
        <v>43</v>
      </c>
      <c r="Y135">
        <v>0</v>
      </c>
      <c r="Z135" t="s">
        <v>876</v>
      </c>
      <c r="AA135" t="s">
        <v>1526</v>
      </c>
    </row>
    <row r="136" spans="1:27" ht="15" customHeight="1" x14ac:dyDescent="0.3">
      <c r="A136">
        <v>161</v>
      </c>
      <c r="B136">
        <v>33</v>
      </c>
      <c r="C136" t="s">
        <v>878</v>
      </c>
      <c r="D136" t="s">
        <v>879</v>
      </c>
      <c r="E136" t="s">
        <v>752</v>
      </c>
      <c r="F136">
        <v>2021</v>
      </c>
      <c r="G136">
        <v>0</v>
      </c>
      <c r="H136">
        <v>0</v>
      </c>
      <c r="I136">
        <v>0</v>
      </c>
      <c r="J136">
        <v>0</v>
      </c>
      <c r="K136">
        <v>2525000000</v>
      </c>
      <c r="L136">
        <v>0.96</v>
      </c>
      <c r="M136">
        <v>2424000</v>
      </c>
      <c r="N136">
        <v>7359000</v>
      </c>
      <c r="O136">
        <v>8417000</v>
      </c>
      <c r="P136">
        <v>449640</v>
      </c>
      <c r="Q136">
        <v>1.16229060235238</v>
      </c>
      <c r="R136">
        <v>15.9457640281937</v>
      </c>
      <c r="S136">
        <v>0.87430200784127399</v>
      </c>
      <c r="T136">
        <v>5.3420458595699202E-2</v>
      </c>
      <c r="U136">
        <v>2005</v>
      </c>
      <c r="V136">
        <v>16</v>
      </c>
      <c r="Y136">
        <v>0</v>
      </c>
      <c r="Z136" t="s">
        <v>832</v>
      </c>
      <c r="AA136" t="s">
        <v>1527</v>
      </c>
    </row>
    <row r="137" spans="1:27" ht="15" customHeight="1" x14ac:dyDescent="0.3">
      <c r="A137">
        <v>162</v>
      </c>
      <c r="B137">
        <v>33</v>
      </c>
      <c r="C137" t="s">
        <v>878</v>
      </c>
      <c r="D137" t="s">
        <v>879</v>
      </c>
      <c r="E137" t="s">
        <v>752</v>
      </c>
      <c r="F137">
        <v>2022</v>
      </c>
      <c r="G137">
        <v>0</v>
      </c>
      <c r="H137">
        <v>0</v>
      </c>
      <c r="I137">
        <v>0</v>
      </c>
      <c r="J137">
        <v>0</v>
      </c>
      <c r="K137">
        <v>2525000000</v>
      </c>
      <c r="L137">
        <v>0.87</v>
      </c>
      <c r="M137">
        <v>2196750</v>
      </c>
      <c r="N137">
        <v>13061000</v>
      </c>
      <c r="O137">
        <v>14533000</v>
      </c>
      <c r="P137">
        <v>476800</v>
      </c>
      <c r="Q137">
        <v>1.0498692630564901</v>
      </c>
      <c r="R137">
        <v>16.491932483608299</v>
      </c>
      <c r="S137">
        <v>0.898713273240212</v>
      </c>
      <c r="T137">
        <v>3.2808091928713999E-2</v>
      </c>
      <c r="U137">
        <v>2005</v>
      </c>
      <c r="V137">
        <v>17</v>
      </c>
      <c r="Y137">
        <v>0</v>
      </c>
      <c r="Z137" t="s">
        <v>832</v>
      </c>
      <c r="AA137" t="s">
        <v>1527</v>
      </c>
    </row>
    <row r="138" spans="1:27" ht="15" customHeight="1" x14ac:dyDescent="0.3">
      <c r="A138">
        <v>163</v>
      </c>
      <c r="B138">
        <v>33</v>
      </c>
      <c r="C138" t="s">
        <v>878</v>
      </c>
      <c r="D138" t="s">
        <v>879</v>
      </c>
      <c r="E138" t="s">
        <v>752</v>
      </c>
      <c r="F138">
        <v>2023</v>
      </c>
      <c r="G138">
        <v>1</v>
      </c>
      <c r="H138">
        <v>0</v>
      </c>
      <c r="I138">
        <v>0</v>
      </c>
      <c r="J138">
        <v>0</v>
      </c>
      <c r="K138">
        <v>2525000000</v>
      </c>
      <c r="L138">
        <v>7.45</v>
      </c>
      <c r="M138">
        <v>18811250</v>
      </c>
      <c r="N138">
        <v>15572000</v>
      </c>
      <c r="O138">
        <v>17815000</v>
      </c>
      <c r="P138">
        <v>576080</v>
      </c>
      <c r="Q138">
        <v>1.9300168397417901</v>
      </c>
      <c r="R138">
        <v>16.695551357022101</v>
      </c>
      <c r="S138">
        <v>0.87409486387875401</v>
      </c>
      <c r="T138">
        <v>3.2336794835812498E-2</v>
      </c>
      <c r="U138">
        <v>2005</v>
      </c>
      <c r="V138">
        <v>18</v>
      </c>
      <c r="Y138">
        <v>0</v>
      </c>
      <c r="Z138" t="s">
        <v>832</v>
      </c>
      <c r="AA138" t="s">
        <v>1527</v>
      </c>
    </row>
    <row r="139" spans="1:27" ht="15" customHeight="1" x14ac:dyDescent="0.3">
      <c r="A139">
        <v>164</v>
      </c>
      <c r="B139">
        <v>33</v>
      </c>
      <c r="C139" t="s">
        <v>878</v>
      </c>
      <c r="D139" t="s">
        <v>879</v>
      </c>
      <c r="E139" t="s">
        <v>752</v>
      </c>
      <c r="F139">
        <v>2024</v>
      </c>
      <c r="G139">
        <v>1</v>
      </c>
      <c r="H139">
        <v>0</v>
      </c>
      <c r="I139">
        <v>5</v>
      </c>
      <c r="J139">
        <v>0</v>
      </c>
      <c r="K139">
        <v>2525000000</v>
      </c>
      <c r="L139">
        <v>7.08</v>
      </c>
      <c r="M139">
        <v>17877000</v>
      </c>
      <c r="N139">
        <v>23319000</v>
      </c>
      <c r="O139">
        <v>29947000</v>
      </c>
      <c r="P139">
        <v>3044000</v>
      </c>
      <c r="Q139">
        <v>1.37563028016162</v>
      </c>
      <c r="R139">
        <v>17.214939710563801</v>
      </c>
      <c r="S139">
        <v>0.77867566033325497</v>
      </c>
      <c r="T139">
        <v>0.101646241693659</v>
      </c>
      <c r="U139">
        <v>2005</v>
      </c>
      <c r="V139">
        <v>19</v>
      </c>
      <c r="Y139">
        <v>0</v>
      </c>
      <c r="Z139" t="s">
        <v>832</v>
      </c>
      <c r="AA139" t="s">
        <v>1527</v>
      </c>
    </row>
    <row r="140" spans="1:27" ht="15" customHeight="1" x14ac:dyDescent="0.3">
      <c r="A140">
        <v>165</v>
      </c>
      <c r="B140">
        <v>33</v>
      </c>
      <c r="C140" t="s">
        <v>878</v>
      </c>
      <c r="D140" t="s">
        <v>879</v>
      </c>
      <c r="E140" t="s">
        <v>752</v>
      </c>
      <c r="F140">
        <v>2025</v>
      </c>
      <c r="G140">
        <v>1</v>
      </c>
      <c r="H140">
        <v>0</v>
      </c>
      <c r="I140">
        <v>0</v>
      </c>
      <c r="J140">
        <v>0</v>
      </c>
      <c r="K140">
        <v>2525000000</v>
      </c>
      <c r="L140">
        <v>17.37</v>
      </c>
      <c r="M140">
        <v>43859250</v>
      </c>
      <c r="N140">
        <v>31032000</v>
      </c>
      <c r="O140">
        <v>39953000</v>
      </c>
      <c r="P140">
        <v>4975000</v>
      </c>
      <c r="Q140">
        <v>1.8744837684279001</v>
      </c>
      <c r="R140">
        <v>17.503214321224501</v>
      </c>
      <c r="S140">
        <v>0.77671263734888496</v>
      </c>
      <c r="T140">
        <v>0.124521312542237</v>
      </c>
      <c r="U140">
        <v>2005</v>
      </c>
      <c r="V140">
        <v>20</v>
      </c>
      <c r="Y140">
        <v>0</v>
      </c>
      <c r="Z140" t="s">
        <v>832</v>
      </c>
      <c r="AA140" t="s">
        <v>1527</v>
      </c>
    </row>
    <row r="141" spans="1:27" ht="15" customHeight="1" x14ac:dyDescent="0.3">
      <c r="A141">
        <v>166</v>
      </c>
      <c r="B141">
        <v>34</v>
      </c>
      <c r="C141" t="s">
        <v>882</v>
      </c>
      <c r="D141" t="s">
        <v>883</v>
      </c>
      <c r="E141" t="s">
        <v>715</v>
      </c>
      <c r="F141">
        <v>2021</v>
      </c>
      <c r="G141">
        <v>0</v>
      </c>
      <c r="H141">
        <v>0</v>
      </c>
      <c r="I141">
        <v>0</v>
      </c>
      <c r="J141">
        <v>0</v>
      </c>
      <c r="K141">
        <v>8000000000</v>
      </c>
      <c r="L141">
        <v>0.2</v>
      </c>
      <c r="M141">
        <v>1600000</v>
      </c>
      <c r="N141">
        <v>11220000</v>
      </c>
      <c r="O141">
        <v>14201000</v>
      </c>
      <c r="P141">
        <v>-733460</v>
      </c>
      <c r="Q141">
        <v>0.90275332723047697</v>
      </c>
      <c r="R141">
        <v>16.468822942627199</v>
      </c>
      <c r="S141">
        <v>0.79008520526723502</v>
      </c>
      <c r="T141">
        <v>-5.1648475459474701E-2</v>
      </c>
      <c r="U141">
        <v>1988</v>
      </c>
      <c r="V141">
        <v>33</v>
      </c>
      <c r="Y141">
        <v>0</v>
      </c>
      <c r="Z141" t="s">
        <v>885</v>
      </c>
      <c r="AA141" t="s">
        <v>1528</v>
      </c>
    </row>
    <row r="142" spans="1:27" ht="15" customHeight="1" x14ac:dyDescent="0.3">
      <c r="A142">
        <v>167</v>
      </c>
      <c r="B142">
        <v>34</v>
      </c>
      <c r="C142" t="s">
        <v>882</v>
      </c>
      <c r="D142" t="s">
        <v>883</v>
      </c>
      <c r="E142" t="s">
        <v>715</v>
      </c>
      <c r="F142">
        <v>2022</v>
      </c>
      <c r="G142">
        <v>0</v>
      </c>
      <c r="H142">
        <v>0</v>
      </c>
      <c r="I142">
        <v>0</v>
      </c>
      <c r="J142">
        <v>0</v>
      </c>
      <c r="K142">
        <v>8000000000</v>
      </c>
      <c r="L142">
        <v>0.2</v>
      </c>
      <c r="M142">
        <v>1600000</v>
      </c>
      <c r="N142">
        <v>10237000</v>
      </c>
      <c r="O142">
        <v>12450000</v>
      </c>
      <c r="P142">
        <v>-768070</v>
      </c>
      <c r="Q142">
        <v>0.95076305220883495</v>
      </c>
      <c r="R142">
        <v>16.337231180875001</v>
      </c>
      <c r="S142">
        <v>0.82224899598393597</v>
      </c>
      <c r="T142">
        <v>-6.1692369477911603E-2</v>
      </c>
      <c r="U142">
        <v>1988</v>
      </c>
      <c r="V142">
        <v>34</v>
      </c>
      <c r="Y142">
        <v>0</v>
      </c>
      <c r="Z142" t="s">
        <v>885</v>
      </c>
      <c r="AA142" t="s">
        <v>1528</v>
      </c>
    </row>
    <row r="143" spans="1:27" ht="15" customHeight="1" x14ac:dyDescent="0.3">
      <c r="A143">
        <v>168</v>
      </c>
      <c r="B143">
        <v>34</v>
      </c>
      <c r="C143" t="s">
        <v>882</v>
      </c>
      <c r="D143" t="s">
        <v>883</v>
      </c>
      <c r="E143" t="s">
        <v>715</v>
      </c>
      <c r="F143">
        <v>2023</v>
      </c>
      <c r="G143">
        <v>1</v>
      </c>
      <c r="H143">
        <v>0</v>
      </c>
      <c r="I143">
        <v>0</v>
      </c>
      <c r="J143">
        <v>0</v>
      </c>
      <c r="K143">
        <v>8000000000</v>
      </c>
      <c r="L143">
        <v>0.9</v>
      </c>
      <c r="M143">
        <v>7200000</v>
      </c>
      <c r="N143">
        <v>13087000</v>
      </c>
      <c r="O143">
        <v>30906000</v>
      </c>
      <c r="P143">
        <v>-1628000</v>
      </c>
      <c r="Q143">
        <v>0.65640975862292095</v>
      </c>
      <c r="R143">
        <v>17.246460897775801</v>
      </c>
      <c r="S143">
        <v>0.42344528570504097</v>
      </c>
      <c r="T143">
        <v>-5.2675855820876201E-2</v>
      </c>
      <c r="U143">
        <v>1988</v>
      </c>
      <c r="V143">
        <v>35</v>
      </c>
      <c r="Y143">
        <v>0</v>
      </c>
      <c r="Z143" t="s">
        <v>885</v>
      </c>
      <c r="AA143" t="s">
        <v>1528</v>
      </c>
    </row>
    <row r="144" spans="1:27" ht="15" customHeight="1" x14ac:dyDescent="0.3">
      <c r="A144">
        <v>169</v>
      </c>
      <c r="B144">
        <v>34</v>
      </c>
      <c r="C144" t="s">
        <v>882</v>
      </c>
      <c r="D144" t="s">
        <v>883</v>
      </c>
      <c r="E144" t="s">
        <v>715</v>
      </c>
      <c r="F144">
        <v>2024</v>
      </c>
      <c r="G144">
        <v>1</v>
      </c>
      <c r="H144">
        <v>0</v>
      </c>
      <c r="I144">
        <v>0</v>
      </c>
      <c r="J144">
        <v>0</v>
      </c>
      <c r="K144">
        <v>8000000000</v>
      </c>
      <c r="L144">
        <v>0.63</v>
      </c>
      <c r="M144">
        <v>5040000</v>
      </c>
      <c r="N144">
        <v>11309000</v>
      </c>
      <c r="O144">
        <v>27493000</v>
      </c>
      <c r="P144">
        <v>-2342000</v>
      </c>
      <c r="Q144">
        <v>0.59466045902593401</v>
      </c>
      <c r="R144">
        <v>17.129441984780101</v>
      </c>
      <c r="S144">
        <v>0.41134106863565301</v>
      </c>
      <c r="T144">
        <v>-8.5185319899610798E-2</v>
      </c>
      <c r="U144">
        <v>1988</v>
      </c>
      <c r="V144">
        <v>36</v>
      </c>
      <c r="Y144">
        <v>0</v>
      </c>
      <c r="Z144" t="s">
        <v>885</v>
      </c>
      <c r="AA144" t="s">
        <v>1528</v>
      </c>
    </row>
    <row r="145" spans="1:27" ht="15" customHeight="1" x14ac:dyDescent="0.3">
      <c r="A145">
        <v>170</v>
      </c>
      <c r="B145">
        <v>34</v>
      </c>
      <c r="C145" t="s">
        <v>882</v>
      </c>
      <c r="D145" t="s">
        <v>883</v>
      </c>
      <c r="E145" t="s">
        <v>715</v>
      </c>
      <c r="F145">
        <v>2025</v>
      </c>
      <c r="G145">
        <v>1</v>
      </c>
      <c r="H145">
        <v>0</v>
      </c>
      <c r="I145">
        <v>0</v>
      </c>
      <c r="J145">
        <v>0</v>
      </c>
      <c r="K145">
        <v>8000000000</v>
      </c>
      <c r="L145">
        <v>0.93</v>
      </c>
      <c r="M145">
        <v>7440000</v>
      </c>
      <c r="N145">
        <v>10327000</v>
      </c>
      <c r="O145">
        <v>27132000</v>
      </c>
      <c r="P145">
        <v>-874660</v>
      </c>
      <c r="Q145">
        <v>0.65483561845791005</v>
      </c>
      <c r="R145">
        <v>17.1162244010481</v>
      </c>
      <c r="S145">
        <v>0.38062066932035998</v>
      </c>
      <c r="T145">
        <v>-3.2237210673743202E-2</v>
      </c>
      <c r="U145">
        <v>1988</v>
      </c>
      <c r="V145">
        <v>37</v>
      </c>
      <c r="Y145">
        <v>0</v>
      </c>
      <c r="Z145" t="s">
        <v>885</v>
      </c>
      <c r="AA145" t="s">
        <v>1528</v>
      </c>
    </row>
    <row r="146" spans="1:27" ht="15" customHeight="1" x14ac:dyDescent="0.3">
      <c r="A146">
        <v>171</v>
      </c>
      <c r="B146">
        <v>35</v>
      </c>
      <c r="C146" t="s">
        <v>888</v>
      </c>
      <c r="D146" t="s">
        <v>889</v>
      </c>
      <c r="E146" t="s">
        <v>772</v>
      </c>
      <c r="F146">
        <v>2021</v>
      </c>
      <c r="G146">
        <v>0</v>
      </c>
      <c r="H146">
        <v>0</v>
      </c>
      <c r="I146">
        <v>50</v>
      </c>
      <c r="J146">
        <v>26.6666666666667</v>
      </c>
      <c r="K146">
        <v>17000000000</v>
      </c>
      <c r="L146">
        <v>199.19</v>
      </c>
      <c r="M146">
        <v>3386230000</v>
      </c>
      <c r="N146">
        <v>1408350000</v>
      </c>
      <c r="O146">
        <v>2392019000</v>
      </c>
      <c r="P146">
        <v>361008000</v>
      </c>
      <c r="Q146">
        <v>2.0044071556287801</v>
      </c>
      <c r="R146">
        <v>21.595403616147099</v>
      </c>
      <c r="S146">
        <v>0.58877040692402505</v>
      </c>
      <c r="T146">
        <v>0.15092187812889399</v>
      </c>
      <c r="U146">
        <v>1992</v>
      </c>
      <c r="V146">
        <v>29</v>
      </c>
      <c r="Y146">
        <v>1</v>
      </c>
      <c r="Z146" t="s">
        <v>727</v>
      </c>
      <c r="AA146" t="s">
        <v>1529</v>
      </c>
    </row>
    <row r="147" spans="1:27" ht="15" customHeight="1" x14ac:dyDescent="0.3">
      <c r="A147">
        <v>172</v>
      </c>
      <c r="B147">
        <v>35</v>
      </c>
      <c r="C147" t="s">
        <v>888</v>
      </c>
      <c r="D147" t="s">
        <v>889</v>
      </c>
      <c r="E147" t="s">
        <v>772</v>
      </c>
      <c r="F147">
        <v>2022</v>
      </c>
      <c r="G147">
        <v>0</v>
      </c>
      <c r="H147">
        <v>0</v>
      </c>
      <c r="I147">
        <v>70</v>
      </c>
      <c r="J147">
        <v>53.3333333333333</v>
      </c>
      <c r="K147">
        <v>16880000000</v>
      </c>
      <c r="L147">
        <v>216.89</v>
      </c>
      <c r="M147">
        <v>3661103200</v>
      </c>
      <c r="N147">
        <v>1536708000</v>
      </c>
      <c r="O147">
        <v>2615655000</v>
      </c>
      <c r="P147">
        <v>375988000</v>
      </c>
      <c r="Q147">
        <v>1.9871929593161199</v>
      </c>
      <c r="R147">
        <v>21.6847803811104</v>
      </c>
      <c r="S147">
        <v>0.58750408597464099</v>
      </c>
      <c r="T147">
        <v>0.143745256924174</v>
      </c>
      <c r="U147">
        <v>1992</v>
      </c>
      <c r="V147">
        <v>30</v>
      </c>
      <c r="Y147">
        <v>1</v>
      </c>
      <c r="Z147" t="s">
        <v>727</v>
      </c>
      <c r="AA147" t="s">
        <v>1529</v>
      </c>
    </row>
    <row r="148" spans="1:27" ht="15" customHeight="1" x14ac:dyDescent="0.3">
      <c r="A148">
        <v>173</v>
      </c>
      <c r="B148">
        <v>35</v>
      </c>
      <c r="C148" t="s">
        <v>888</v>
      </c>
      <c r="D148" t="s">
        <v>889</v>
      </c>
      <c r="E148" t="s">
        <v>772</v>
      </c>
      <c r="F148">
        <v>2023</v>
      </c>
      <c r="G148">
        <v>1</v>
      </c>
      <c r="H148">
        <v>0</v>
      </c>
      <c r="I148">
        <v>55</v>
      </c>
      <c r="J148">
        <v>46.6666666666667</v>
      </c>
      <c r="K148">
        <v>16818000000</v>
      </c>
      <c r="L148">
        <v>285.52999999999997</v>
      </c>
      <c r="M148">
        <v>4802043540</v>
      </c>
      <c r="N148">
        <v>2212885000</v>
      </c>
      <c r="O148">
        <v>3938725000</v>
      </c>
      <c r="P148">
        <v>445214000</v>
      </c>
      <c r="Q148">
        <v>1.7810150594418199</v>
      </c>
      <c r="R148">
        <v>22.0941229038242</v>
      </c>
      <c r="S148">
        <v>0.56182774882734898</v>
      </c>
      <c r="T148">
        <v>0.11303505576043001</v>
      </c>
      <c r="U148">
        <v>1992</v>
      </c>
      <c r="V148">
        <v>31</v>
      </c>
      <c r="Y148">
        <v>1</v>
      </c>
      <c r="Z148" t="s">
        <v>727</v>
      </c>
      <c r="AA148" t="s">
        <v>1529</v>
      </c>
    </row>
    <row r="149" spans="1:27" ht="15" customHeight="1" x14ac:dyDescent="0.3">
      <c r="A149">
        <v>174</v>
      </c>
      <c r="B149">
        <v>35</v>
      </c>
      <c r="C149" t="s">
        <v>888</v>
      </c>
      <c r="D149" t="s">
        <v>889</v>
      </c>
      <c r="E149" t="s">
        <v>772</v>
      </c>
      <c r="F149">
        <v>2024</v>
      </c>
      <c r="G149">
        <v>1</v>
      </c>
      <c r="H149">
        <v>0</v>
      </c>
      <c r="I149">
        <v>75</v>
      </c>
      <c r="J149">
        <v>73.3333333333333</v>
      </c>
      <c r="K149">
        <v>16752000000</v>
      </c>
      <c r="L149">
        <v>446.88</v>
      </c>
      <c r="M149">
        <v>7486133760</v>
      </c>
      <c r="N149">
        <v>4227993000</v>
      </c>
      <c r="O149">
        <v>6403238000</v>
      </c>
      <c r="P149">
        <v>498192000</v>
      </c>
      <c r="Q149">
        <v>1.82940674077709</v>
      </c>
      <c r="R149">
        <v>22.580069636868799</v>
      </c>
      <c r="S149">
        <v>0.66028984085864095</v>
      </c>
      <c r="T149">
        <v>7.7803136475639398E-2</v>
      </c>
      <c r="U149">
        <v>1992</v>
      </c>
      <c r="V149">
        <v>32</v>
      </c>
      <c r="Y149">
        <v>1</v>
      </c>
      <c r="Z149" t="s">
        <v>727</v>
      </c>
      <c r="AA149" t="s">
        <v>1529</v>
      </c>
    </row>
    <row r="150" spans="1:27" ht="15" customHeight="1" x14ac:dyDescent="0.3">
      <c r="A150">
        <v>175</v>
      </c>
      <c r="B150">
        <v>35</v>
      </c>
      <c r="C150" t="s">
        <v>888</v>
      </c>
      <c r="D150" t="s">
        <v>889</v>
      </c>
      <c r="E150" t="s">
        <v>772</v>
      </c>
      <c r="F150">
        <v>2025</v>
      </c>
      <c r="G150">
        <v>1</v>
      </c>
      <c r="H150">
        <v>0</v>
      </c>
      <c r="I150">
        <v>70</v>
      </c>
      <c r="J150">
        <v>46.6666666666667</v>
      </c>
      <c r="K150">
        <v>16752000000</v>
      </c>
      <c r="L150">
        <v>609</v>
      </c>
      <c r="M150">
        <v>10201968000</v>
      </c>
      <c r="N150">
        <v>3420591000</v>
      </c>
      <c r="O150">
        <v>6040727000</v>
      </c>
      <c r="P150">
        <v>1002847000</v>
      </c>
      <c r="Q150">
        <v>2.2551191272176299</v>
      </c>
      <c r="R150">
        <v>22.521790205888401</v>
      </c>
      <c r="S150">
        <v>0.566254856410495</v>
      </c>
      <c r="T150">
        <v>0.16601428933967699</v>
      </c>
      <c r="U150">
        <v>1992</v>
      </c>
      <c r="V150">
        <v>33</v>
      </c>
      <c r="Y150">
        <v>1</v>
      </c>
      <c r="Z150" t="s">
        <v>727</v>
      </c>
      <c r="AA150" t="s">
        <v>1529</v>
      </c>
    </row>
    <row r="151" spans="1:27" ht="15" customHeight="1" x14ac:dyDescent="0.3">
      <c r="A151">
        <v>176</v>
      </c>
      <c r="B151">
        <v>36</v>
      </c>
      <c r="C151" t="s">
        <v>892</v>
      </c>
      <c r="D151" t="s">
        <v>893</v>
      </c>
      <c r="E151" t="s">
        <v>806</v>
      </c>
      <c r="F151">
        <v>2021</v>
      </c>
      <c r="G151">
        <v>0</v>
      </c>
      <c r="H151">
        <v>0</v>
      </c>
      <c r="I151">
        <v>5</v>
      </c>
      <c r="J151">
        <v>0</v>
      </c>
      <c r="K151">
        <v>12147000000</v>
      </c>
      <c r="L151">
        <v>14.51</v>
      </c>
      <c r="M151">
        <v>176252970</v>
      </c>
      <c r="N151">
        <v>230875000</v>
      </c>
      <c r="O151">
        <v>359506000</v>
      </c>
      <c r="P151">
        <v>22058000</v>
      </c>
      <c r="Q151">
        <v>1.1324650214461001</v>
      </c>
      <c r="R151">
        <v>19.700241424833099</v>
      </c>
      <c r="S151">
        <v>0.642200686497583</v>
      </c>
      <c r="T151">
        <v>6.1356416860914698E-2</v>
      </c>
      <c r="U151">
        <v>2006</v>
      </c>
      <c r="V151">
        <v>15</v>
      </c>
      <c r="Y151">
        <v>1</v>
      </c>
      <c r="Z151" t="s">
        <v>711</v>
      </c>
      <c r="AA151" t="s">
        <v>1530</v>
      </c>
    </row>
    <row r="152" spans="1:27" ht="15" customHeight="1" x14ac:dyDescent="0.3">
      <c r="A152">
        <v>177</v>
      </c>
      <c r="B152">
        <v>36</v>
      </c>
      <c r="C152" t="s">
        <v>892</v>
      </c>
      <c r="D152" t="s">
        <v>893</v>
      </c>
      <c r="E152" t="s">
        <v>806</v>
      </c>
      <c r="F152">
        <v>2022</v>
      </c>
      <c r="G152">
        <v>0</v>
      </c>
      <c r="H152">
        <v>0</v>
      </c>
      <c r="I152">
        <v>5</v>
      </c>
      <c r="J152">
        <v>0</v>
      </c>
      <c r="K152">
        <v>12147000000</v>
      </c>
      <c r="L152">
        <v>14.2</v>
      </c>
      <c r="M152">
        <v>172487400</v>
      </c>
      <c r="N152">
        <v>321208000</v>
      </c>
      <c r="O152">
        <v>492434000</v>
      </c>
      <c r="P152">
        <v>54738000</v>
      </c>
      <c r="Q152">
        <v>1.0025615615493699</v>
      </c>
      <c r="R152">
        <v>20.014870999444</v>
      </c>
      <c r="S152">
        <v>0.652286397771072</v>
      </c>
      <c r="T152">
        <v>0.111158043514461</v>
      </c>
      <c r="U152">
        <v>2006</v>
      </c>
      <c r="V152">
        <v>16</v>
      </c>
      <c r="Y152">
        <v>1</v>
      </c>
      <c r="Z152" t="s">
        <v>711</v>
      </c>
      <c r="AA152" t="s">
        <v>1530</v>
      </c>
    </row>
    <row r="153" spans="1:27" ht="15" customHeight="1" x14ac:dyDescent="0.3">
      <c r="A153">
        <v>178</v>
      </c>
      <c r="B153">
        <v>36</v>
      </c>
      <c r="C153" t="s">
        <v>892</v>
      </c>
      <c r="D153" t="s">
        <v>893</v>
      </c>
      <c r="E153" t="s">
        <v>806</v>
      </c>
      <c r="F153">
        <v>2023</v>
      </c>
      <c r="G153">
        <v>1</v>
      </c>
      <c r="H153">
        <v>0</v>
      </c>
      <c r="I153">
        <v>30</v>
      </c>
      <c r="J153">
        <v>26.6666666666667</v>
      </c>
      <c r="K153">
        <v>12147000000</v>
      </c>
      <c r="L153">
        <v>54.93</v>
      </c>
      <c r="M153">
        <v>667234710</v>
      </c>
      <c r="N153">
        <v>521544000</v>
      </c>
      <c r="O153">
        <v>600790000</v>
      </c>
      <c r="P153">
        <v>-73743000</v>
      </c>
      <c r="Q153">
        <v>1.97869257144759</v>
      </c>
      <c r="R153">
        <v>20.2137560138016</v>
      </c>
      <c r="S153">
        <v>0.86809700560928105</v>
      </c>
      <c r="T153">
        <v>-0.122743387872634</v>
      </c>
      <c r="U153">
        <v>2006</v>
      </c>
      <c r="V153">
        <v>17</v>
      </c>
      <c r="Y153">
        <v>1</v>
      </c>
      <c r="Z153" t="s">
        <v>711</v>
      </c>
      <c r="AA153" t="s">
        <v>1530</v>
      </c>
    </row>
    <row r="154" spans="1:27" ht="15" customHeight="1" x14ac:dyDescent="0.3">
      <c r="A154">
        <v>179</v>
      </c>
      <c r="B154">
        <v>36</v>
      </c>
      <c r="C154" t="s">
        <v>892</v>
      </c>
      <c r="D154" t="s">
        <v>893</v>
      </c>
      <c r="E154" t="s">
        <v>806</v>
      </c>
      <c r="F154">
        <v>2024</v>
      </c>
      <c r="G154">
        <v>1</v>
      </c>
      <c r="H154">
        <v>0</v>
      </c>
      <c r="I154">
        <v>25</v>
      </c>
      <c r="J154">
        <v>0</v>
      </c>
      <c r="K154">
        <v>12147000000</v>
      </c>
      <c r="L154">
        <v>31.32</v>
      </c>
      <c r="M154">
        <v>380444040</v>
      </c>
      <c r="N154">
        <v>838605000</v>
      </c>
      <c r="O154">
        <v>1050833000</v>
      </c>
      <c r="P154">
        <v>-192599000</v>
      </c>
      <c r="Q154">
        <v>1.16007875656741</v>
      </c>
      <c r="R154">
        <v>20.7728490199266</v>
      </c>
      <c r="S154">
        <v>0.79803831817234505</v>
      </c>
      <c r="T154">
        <v>-0.183282215156928</v>
      </c>
      <c r="U154">
        <v>2006</v>
      </c>
      <c r="V154">
        <v>18</v>
      </c>
      <c r="Y154">
        <v>1</v>
      </c>
      <c r="Z154" t="s">
        <v>711</v>
      </c>
      <c r="AA154" t="s">
        <v>1530</v>
      </c>
    </row>
    <row r="155" spans="1:27" ht="15" customHeight="1" x14ac:dyDescent="0.3">
      <c r="A155">
        <v>180</v>
      </c>
      <c r="B155">
        <v>36</v>
      </c>
      <c r="C155" t="s">
        <v>892</v>
      </c>
      <c r="D155" t="s">
        <v>893</v>
      </c>
      <c r="E155" t="s">
        <v>806</v>
      </c>
      <c r="F155">
        <v>2025</v>
      </c>
      <c r="G155">
        <v>1</v>
      </c>
      <c r="H155">
        <v>0</v>
      </c>
      <c r="I155">
        <v>5</v>
      </c>
      <c r="J155">
        <v>0</v>
      </c>
      <c r="K155">
        <v>12147000000</v>
      </c>
      <c r="L155">
        <v>57.82</v>
      </c>
      <c r="M155">
        <v>702339540</v>
      </c>
      <c r="N155">
        <v>836945000</v>
      </c>
      <c r="O155">
        <v>965926000</v>
      </c>
      <c r="P155">
        <v>-64064000</v>
      </c>
      <c r="Q155">
        <v>1.5935843325472101</v>
      </c>
      <c r="R155">
        <v>20.688597784687602</v>
      </c>
      <c r="S155">
        <v>0.86646906698856896</v>
      </c>
      <c r="T155">
        <v>-6.6323921294177801E-2</v>
      </c>
      <c r="U155">
        <v>2006</v>
      </c>
      <c r="V155">
        <v>19</v>
      </c>
      <c r="Y155">
        <v>1</v>
      </c>
      <c r="Z155" t="s">
        <v>711</v>
      </c>
      <c r="AA155" t="s">
        <v>1530</v>
      </c>
    </row>
    <row r="156" spans="1:27" ht="15" customHeight="1" x14ac:dyDescent="0.3">
      <c r="A156">
        <v>186</v>
      </c>
      <c r="B156">
        <v>38</v>
      </c>
      <c r="C156" t="s">
        <v>901</v>
      </c>
      <c r="D156" t="s">
        <v>902</v>
      </c>
      <c r="E156" t="s">
        <v>903</v>
      </c>
      <c r="F156">
        <v>2021</v>
      </c>
      <c r="G156">
        <v>0</v>
      </c>
      <c r="H156">
        <v>0</v>
      </c>
      <c r="I156">
        <v>0</v>
      </c>
      <c r="J156">
        <v>0</v>
      </c>
      <c r="K156">
        <v>2000000000</v>
      </c>
      <c r="L156">
        <v>4.25</v>
      </c>
      <c r="M156">
        <v>8500000</v>
      </c>
      <c r="N156">
        <v>2960042</v>
      </c>
      <c r="O156">
        <v>10081326</v>
      </c>
      <c r="P156">
        <v>-563279</v>
      </c>
      <c r="Q156">
        <v>1.1367593905801701</v>
      </c>
      <c r="R156">
        <v>16.126195359574901</v>
      </c>
      <c r="S156">
        <v>0.29361633578757401</v>
      </c>
      <c r="T156">
        <v>-5.58735031482962E-2</v>
      </c>
      <c r="U156">
        <v>1980</v>
      </c>
      <c r="V156">
        <v>41</v>
      </c>
      <c r="Y156">
        <v>0</v>
      </c>
      <c r="Z156" t="s">
        <v>905</v>
      </c>
      <c r="AA156" t="s">
        <v>1531</v>
      </c>
    </row>
    <row r="157" spans="1:27" ht="15" customHeight="1" x14ac:dyDescent="0.3">
      <c r="A157">
        <v>187</v>
      </c>
      <c r="B157">
        <v>38</v>
      </c>
      <c r="C157" t="s">
        <v>901</v>
      </c>
      <c r="D157" t="s">
        <v>902</v>
      </c>
      <c r="E157" t="s">
        <v>903</v>
      </c>
      <c r="F157">
        <v>2022</v>
      </c>
      <c r="G157">
        <v>0</v>
      </c>
      <c r="H157">
        <v>0</v>
      </c>
      <c r="I157">
        <v>0</v>
      </c>
      <c r="J157">
        <v>0</v>
      </c>
      <c r="K157">
        <v>1792000000</v>
      </c>
      <c r="L157">
        <v>3.61</v>
      </c>
      <c r="M157">
        <v>6469120</v>
      </c>
      <c r="N157">
        <v>3527000</v>
      </c>
      <c r="O157">
        <v>23360000</v>
      </c>
      <c r="P157">
        <v>-1004000</v>
      </c>
      <c r="Q157">
        <v>0.42791609589041102</v>
      </c>
      <c r="R157">
        <v>16.966535715924302</v>
      </c>
      <c r="S157">
        <v>0.15098458904109599</v>
      </c>
      <c r="T157">
        <v>-4.2979452054794497E-2</v>
      </c>
      <c r="U157">
        <v>1980</v>
      </c>
      <c r="V157">
        <v>42</v>
      </c>
      <c r="Y157">
        <v>0</v>
      </c>
      <c r="Z157" t="s">
        <v>905</v>
      </c>
      <c r="AA157" t="s">
        <v>1532</v>
      </c>
    </row>
    <row r="158" spans="1:27" ht="15" customHeight="1" x14ac:dyDescent="0.3">
      <c r="A158">
        <v>188</v>
      </c>
      <c r="B158">
        <v>38</v>
      </c>
      <c r="C158" t="s">
        <v>901</v>
      </c>
      <c r="D158" t="s">
        <v>902</v>
      </c>
      <c r="E158" t="s">
        <v>903</v>
      </c>
      <c r="F158">
        <v>2023</v>
      </c>
      <c r="G158">
        <v>1</v>
      </c>
      <c r="H158">
        <v>0</v>
      </c>
      <c r="I158">
        <v>0</v>
      </c>
      <c r="J158">
        <v>0</v>
      </c>
      <c r="K158">
        <v>2000000000</v>
      </c>
      <c r="L158">
        <v>3.93</v>
      </c>
      <c r="M158">
        <v>7860000</v>
      </c>
      <c r="N158">
        <v>3520000</v>
      </c>
      <c r="O158">
        <v>23436000</v>
      </c>
      <c r="P158">
        <v>-849320</v>
      </c>
      <c r="Q158">
        <v>0.48557774364225997</v>
      </c>
      <c r="R158">
        <v>16.9697838596468</v>
      </c>
      <c r="S158">
        <v>0.15019627922853701</v>
      </c>
      <c r="T158">
        <v>-3.6239972691585597E-2</v>
      </c>
      <c r="U158">
        <v>1980</v>
      </c>
      <c r="V158">
        <v>43</v>
      </c>
      <c r="Y158">
        <v>0</v>
      </c>
      <c r="Z158" t="s">
        <v>905</v>
      </c>
      <c r="AA158" t="s">
        <v>1532</v>
      </c>
    </row>
    <row r="159" spans="1:27" ht="15" customHeight="1" x14ac:dyDescent="0.3">
      <c r="A159">
        <v>189</v>
      </c>
      <c r="B159">
        <v>38</v>
      </c>
      <c r="C159" t="s">
        <v>901</v>
      </c>
      <c r="D159" t="s">
        <v>902</v>
      </c>
      <c r="E159" t="s">
        <v>903</v>
      </c>
      <c r="F159">
        <v>2024</v>
      </c>
      <c r="G159">
        <v>1</v>
      </c>
      <c r="H159">
        <v>0</v>
      </c>
      <c r="I159">
        <v>0</v>
      </c>
      <c r="J159">
        <v>0</v>
      </c>
      <c r="K159">
        <v>2754000000</v>
      </c>
      <c r="L159">
        <v>3</v>
      </c>
      <c r="M159">
        <v>8262000</v>
      </c>
      <c r="N159">
        <v>2703000</v>
      </c>
      <c r="O159">
        <v>24552000</v>
      </c>
      <c r="P159">
        <v>-893940</v>
      </c>
      <c r="Q159">
        <v>0.44660312805474101</v>
      </c>
      <c r="R159">
        <v>17.0163038752817</v>
      </c>
      <c r="S159">
        <v>0.11009286412512199</v>
      </c>
      <c r="T159">
        <v>-3.6410068426197498E-2</v>
      </c>
      <c r="U159">
        <v>1980</v>
      </c>
      <c r="V159">
        <v>44</v>
      </c>
      <c r="Y159">
        <v>0</v>
      </c>
      <c r="Z159" t="s">
        <v>905</v>
      </c>
      <c r="AA159" t="s">
        <v>1532</v>
      </c>
    </row>
    <row r="160" spans="1:27" ht="15" customHeight="1" x14ac:dyDescent="0.3">
      <c r="A160">
        <v>190</v>
      </c>
      <c r="B160">
        <v>38</v>
      </c>
      <c r="C160" t="s">
        <v>901</v>
      </c>
      <c r="D160" t="s">
        <v>902</v>
      </c>
      <c r="E160" t="s">
        <v>903</v>
      </c>
      <c r="F160">
        <v>2025</v>
      </c>
      <c r="G160">
        <v>1</v>
      </c>
      <c r="H160">
        <v>0</v>
      </c>
      <c r="I160">
        <v>0</v>
      </c>
      <c r="J160">
        <v>0</v>
      </c>
      <c r="K160">
        <v>3858000000</v>
      </c>
      <c r="L160">
        <v>9.2100000000000009</v>
      </c>
      <c r="M160">
        <v>35532180</v>
      </c>
      <c r="N160">
        <v>8391000</v>
      </c>
      <c r="O160">
        <v>31051000</v>
      </c>
      <c r="P160">
        <v>-1596000</v>
      </c>
      <c r="Q160">
        <v>1.4145496119287599</v>
      </c>
      <c r="R160">
        <v>17.251141571944299</v>
      </c>
      <c r="S160">
        <v>0.27023284274258502</v>
      </c>
      <c r="T160">
        <v>-5.1399310811245998E-2</v>
      </c>
      <c r="U160">
        <v>1980</v>
      </c>
      <c r="V160">
        <v>45</v>
      </c>
      <c r="Y160">
        <v>0</v>
      </c>
      <c r="Z160" t="s">
        <v>905</v>
      </c>
      <c r="AA160" t="s">
        <v>1532</v>
      </c>
    </row>
    <row r="161" spans="1:27" ht="15" customHeight="1" x14ac:dyDescent="0.3">
      <c r="A161">
        <v>191</v>
      </c>
      <c r="B161">
        <v>39</v>
      </c>
      <c r="C161" t="s">
        <v>907</v>
      </c>
      <c r="D161" t="s">
        <v>908</v>
      </c>
      <c r="E161" t="s">
        <v>806</v>
      </c>
      <c r="F161">
        <v>2021</v>
      </c>
      <c r="G161">
        <v>0</v>
      </c>
      <c r="H161">
        <v>0</v>
      </c>
      <c r="I161">
        <v>0</v>
      </c>
      <c r="J161">
        <v>0</v>
      </c>
      <c r="K161">
        <v>76032000</v>
      </c>
      <c r="L161">
        <v>16.2</v>
      </c>
      <c r="M161">
        <v>1231718.3999999999</v>
      </c>
      <c r="N161">
        <v>951234</v>
      </c>
      <c r="O161">
        <v>1507040</v>
      </c>
      <c r="P161">
        <v>-275533</v>
      </c>
      <c r="Q161">
        <v>1.4485032912198701</v>
      </c>
      <c r="R161">
        <v>14.225658020056599</v>
      </c>
      <c r="S161">
        <v>0.63119359804650199</v>
      </c>
      <c r="T161">
        <v>-0.18283058180273901</v>
      </c>
      <c r="U161">
        <v>1960</v>
      </c>
      <c r="V161">
        <v>61</v>
      </c>
      <c r="Y161">
        <v>0</v>
      </c>
      <c r="Z161" t="s">
        <v>910</v>
      </c>
      <c r="AA161" t="s">
        <v>1533</v>
      </c>
    </row>
    <row r="162" spans="1:27" ht="15" customHeight="1" x14ac:dyDescent="0.3">
      <c r="A162">
        <v>192</v>
      </c>
      <c r="B162">
        <v>39</v>
      </c>
      <c r="C162" t="s">
        <v>907</v>
      </c>
      <c r="D162" t="s">
        <v>908</v>
      </c>
      <c r="E162" t="s">
        <v>806</v>
      </c>
      <c r="F162">
        <v>2022</v>
      </c>
      <c r="G162">
        <v>0</v>
      </c>
      <c r="H162">
        <v>0</v>
      </c>
      <c r="I162">
        <v>0</v>
      </c>
      <c r="J162">
        <v>0</v>
      </c>
      <c r="K162">
        <v>76030000</v>
      </c>
      <c r="L162">
        <v>16.2</v>
      </c>
      <c r="M162">
        <v>1231686</v>
      </c>
      <c r="N162">
        <v>4264000</v>
      </c>
      <c r="O162">
        <v>4409000</v>
      </c>
      <c r="P162">
        <v>-431220</v>
      </c>
      <c r="Q162">
        <v>1.24646994783398</v>
      </c>
      <c r="R162">
        <v>15.299158464340101</v>
      </c>
      <c r="S162">
        <v>0.96711272397368997</v>
      </c>
      <c r="T162">
        <v>-9.7804490814243597E-2</v>
      </c>
      <c r="U162">
        <v>1960</v>
      </c>
      <c r="V162">
        <v>62</v>
      </c>
      <c r="Y162">
        <v>0</v>
      </c>
      <c r="Z162" t="s">
        <v>910</v>
      </c>
      <c r="AA162" t="s">
        <v>1534</v>
      </c>
    </row>
    <row r="163" spans="1:27" ht="15" customHeight="1" x14ac:dyDescent="0.3">
      <c r="A163">
        <v>193</v>
      </c>
      <c r="B163">
        <v>39</v>
      </c>
      <c r="C163" t="s">
        <v>907</v>
      </c>
      <c r="D163" t="s">
        <v>908</v>
      </c>
      <c r="E163" t="s">
        <v>806</v>
      </c>
      <c r="F163">
        <v>2023</v>
      </c>
      <c r="G163">
        <v>1</v>
      </c>
      <c r="H163">
        <v>0</v>
      </c>
      <c r="I163">
        <v>0</v>
      </c>
      <c r="J163">
        <v>0</v>
      </c>
      <c r="K163">
        <v>76030000</v>
      </c>
      <c r="L163">
        <v>17.75</v>
      </c>
      <c r="M163">
        <v>1349532.5</v>
      </c>
      <c r="N163">
        <v>3671000</v>
      </c>
      <c r="O163">
        <v>5502000</v>
      </c>
      <c r="P163">
        <v>1686000</v>
      </c>
      <c r="Q163">
        <v>0.91249227553616896</v>
      </c>
      <c r="R163">
        <v>15.5206222204667</v>
      </c>
      <c r="S163">
        <v>0.66721192293711395</v>
      </c>
      <c r="T163">
        <v>0.30643402399127601</v>
      </c>
      <c r="U163">
        <v>1960</v>
      </c>
      <c r="V163">
        <v>63</v>
      </c>
      <c r="Y163">
        <v>0</v>
      </c>
      <c r="Z163" t="s">
        <v>910</v>
      </c>
      <c r="AA163" t="s">
        <v>1534</v>
      </c>
    </row>
    <row r="164" spans="1:27" ht="15" customHeight="1" x14ac:dyDescent="0.3">
      <c r="A164">
        <v>194</v>
      </c>
      <c r="B164">
        <v>39</v>
      </c>
      <c r="C164" t="s">
        <v>907</v>
      </c>
      <c r="D164" t="s">
        <v>908</v>
      </c>
      <c r="E164" t="s">
        <v>806</v>
      </c>
      <c r="F164">
        <v>2024</v>
      </c>
      <c r="G164">
        <v>1</v>
      </c>
      <c r="H164">
        <v>0</v>
      </c>
      <c r="I164">
        <v>0</v>
      </c>
      <c r="J164">
        <v>0</v>
      </c>
      <c r="K164">
        <v>76030000</v>
      </c>
      <c r="L164">
        <v>19.3</v>
      </c>
      <c r="M164">
        <v>1467379</v>
      </c>
      <c r="N164">
        <v>3247000</v>
      </c>
      <c r="O164">
        <v>2503000</v>
      </c>
      <c r="P164">
        <v>-2598000</v>
      </c>
      <c r="Q164">
        <v>1.8834914103076299</v>
      </c>
      <c r="R164">
        <v>14.7330005704139</v>
      </c>
      <c r="S164">
        <v>1.29724330803036</v>
      </c>
      <c r="T164">
        <v>-1.0379544546544099</v>
      </c>
      <c r="U164">
        <v>1960</v>
      </c>
      <c r="V164">
        <v>64</v>
      </c>
      <c r="Y164">
        <v>0</v>
      </c>
      <c r="Z164" t="s">
        <v>910</v>
      </c>
      <c r="AA164" t="s">
        <v>1535</v>
      </c>
    </row>
    <row r="165" spans="1:27" ht="15" customHeight="1" x14ac:dyDescent="0.3">
      <c r="A165">
        <v>195</v>
      </c>
      <c r="B165">
        <v>39</v>
      </c>
      <c r="C165" t="s">
        <v>907</v>
      </c>
      <c r="D165" t="s">
        <v>908</v>
      </c>
      <c r="E165" t="s">
        <v>806</v>
      </c>
      <c r="F165">
        <v>2025</v>
      </c>
      <c r="G165">
        <v>1</v>
      </c>
      <c r="H165">
        <v>0</v>
      </c>
      <c r="I165">
        <v>0</v>
      </c>
      <c r="J165">
        <v>0</v>
      </c>
      <c r="K165">
        <v>76030000</v>
      </c>
      <c r="L165">
        <v>25.3</v>
      </c>
      <c r="M165">
        <v>1923559</v>
      </c>
      <c r="N165">
        <v>3429000</v>
      </c>
      <c r="O165">
        <v>2700000</v>
      </c>
      <c r="P165">
        <v>15480</v>
      </c>
      <c r="Q165">
        <v>1.9824292592592601</v>
      </c>
      <c r="R165">
        <v>14.8087623309746</v>
      </c>
      <c r="S165">
        <v>1.27</v>
      </c>
      <c r="T165">
        <v>5.7333333333333299E-3</v>
      </c>
      <c r="U165">
        <v>1960</v>
      </c>
      <c r="V165">
        <v>65</v>
      </c>
      <c r="Y165">
        <v>0</v>
      </c>
      <c r="Z165" t="s">
        <v>910</v>
      </c>
      <c r="AA165" t="s">
        <v>1535</v>
      </c>
    </row>
    <row r="166" spans="1:27" ht="15" customHeight="1" x14ac:dyDescent="0.3">
      <c r="A166">
        <v>196</v>
      </c>
      <c r="B166">
        <v>40</v>
      </c>
      <c r="C166" t="s">
        <v>912</v>
      </c>
      <c r="D166" t="s">
        <v>913</v>
      </c>
      <c r="E166" t="s">
        <v>766</v>
      </c>
      <c r="F166">
        <v>2021</v>
      </c>
      <c r="G166">
        <v>0</v>
      </c>
      <c r="H166">
        <v>0</v>
      </c>
      <c r="I166">
        <v>30</v>
      </c>
      <c r="J166">
        <v>0</v>
      </c>
      <c r="K166">
        <v>1304000000</v>
      </c>
      <c r="L166">
        <v>4.0599999999999996</v>
      </c>
      <c r="M166">
        <v>5294240</v>
      </c>
      <c r="N166">
        <v>33964000</v>
      </c>
      <c r="O166">
        <v>46082000</v>
      </c>
      <c r="P166">
        <v>-1100000</v>
      </c>
      <c r="Q166">
        <v>0.85192135757996601</v>
      </c>
      <c r="R166">
        <v>17.645932976187801</v>
      </c>
      <c r="S166">
        <v>0.73703398290004796</v>
      </c>
      <c r="T166">
        <v>-2.3870491732129701E-2</v>
      </c>
      <c r="U166">
        <v>1989</v>
      </c>
      <c r="V166">
        <v>32</v>
      </c>
      <c r="Y166">
        <v>1</v>
      </c>
      <c r="Z166" t="s">
        <v>711</v>
      </c>
      <c r="AA166" t="s">
        <v>1536</v>
      </c>
    </row>
    <row r="167" spans="1:27" ht="15" customHeight="1" x14ac:dyDescent="0.3">
      <c r="A167">
        <v>197</v>
      </c>
      <c r="B167">
        <v>40</v>
      </c>
      <c r="C167" t="s">
        <v>912</v>
      </c>
      <c r="D167" t="s">
        <v>913</v>
      </c>
      <c r="E167" t="s">
        <v>766</v>
      </c>
      <c r="F167">
        <v>2022</v>
      </c>
      <c r="G167">
        <v>0</v>
      </c>
      <c r="H167">
        <v>0</v>
      </c>
      <c r="I167">
        <v>30</v>
      </c>
      <c r="J167">
        <v>0</v>
      </c>
      <c r="K167">
        <v>1304000000</v>
      </c>
      <c r="L167">
        <v>5.38</v>
      </c>
      <c r="M167">
        <v>7015520</v>
      </c>
      <c r="N167">
        <v>41086000</v>
      </c>
      <c r="O167">
        <v>54216000</v>
      </c>
      <c r="P167">
        <v>1012000</v>
      </c>
      <c r="Q167">
        <v>0.88722000885347496</v>
      </c>
      <c r="R167">
        <v>17.8084866257981</v>
      </c>
      <c r="S167">
        <v>0.75782056957355803</v>
      </c>
      <c r="T167">
        <v>1.8666076435000699E-2</v>
      </c>
      <c r="U167">
        <v>1989</v>
      </c>
      <c r="V167">
        <v>33</v>
      </c>
      <c r="Y167">
        <v>1</v>
      </c>
      <c r="Z167" t="s">
        <v>711</v>
      </c>
      <c r="AA167" t="s">
        <v>1536</v>
      </c>
    </row>
    <row r="168" spans="1:27" ht="15" customHeight="1" x14ac:dyDescent="0.3">
      <c r="A168">
        <v>198</v>
      </c>
      <c r="B168">
        <v>40</v>
      </c>
      <c r="C168" t="s">
        <v>912</v>
      </c>
      <c r="D168" t="s">
        <v>913</v>
      </c>
      <c r="E168" t="s">
        <v>766</v>
      </c>
      <c r="F168">
        <v>2023</v>
      </c>
      <c r="G168">
        <v>1</v>
      </c>
      <c r="H168">
        <v>0</v>
      </c>
      <c r="I168">
        <v>0</v>
      </c>
      <c r="J168">
        <v>0</v>
      </c>
      <c r="K168">
        <v>1304000000</v>
      </c>
      <c r="L168">
        <v>11.42</v>
      </c>
      <c r="M168">
        <v>14891680</v>
      </c>
      <c r="N168">
        <v>56138000</v>
      </c>
      <c r="O168">
        <v>59640000</v>
      </c>
      <c r="P168">
        <v>-9433000</v>
      </c>
      <c r="Q168">
        <v>1.1909738430583501</v>
      </c>
      <c r="R168">
        <v>17.903837047860801</v>
      </c>
      <c r="S168">
        <v>0.94128101945003395</v>
      </c>
      <c r="T168">
        <v>-0.15816566063044901</v>
      </c>
      <c r="U168">
        <v>1989</v>
      </c>
      <c r="V168">
        <v>34</v>
      </c>
      <c r="Y168">
        <v>1</v>
      </c>
      <c r="Z168" t="s">
        <v>711</v>
      </c>
      <c r="AA168" t="s">
        <v>1536</v>
      </c>
    </row>
    <row r="169" spans="1:27" ht="15" customHeight="1" x14ac:dyDescent="0.3">
      <c r="A169">
        <v>199</v>
      </c>
      <c r="B169">
        <v>40</v>
      </c>
      <c r="C169" t="s">
        <v>912</v>
      </c>
      <c r="D169" t="s">
        <v>913</v>
      </c>
      <c r="E169" t="s">
        <v>766</v>
      </c>
      <c r="F169">
        <v>2024</v>
      </c>
      <c r="G169">
        <v>1</v>
      </c>
      <c r="H169">
        <v>0</v>
      </c>
      <c r="I169">
        <v>45</v>
      </c>
      <c r="J169">
        <v>6.6666666666666696</v>
      </c>
      <c r="K169">
        <v>1304000000</v>
      </c>
      <c r="L169">
        <v>20.04</v>
      </c>
      <c r="M169">
        <v>26132160</v>
      </c>
      <c r="N169">
        <v>62572000</v>
      </c>
      <c r="O169">
        <v>67423000</v>
      </c>
      <c r="P169">
        <v>1349000</v>
      </c>
      <c r="Q169">
        <v>1.3156365038636699</v>
      </c>
      <c r="R169">
        <v>18.026496763962101</v>
      </c>
      <c r="S169">
        <v>0.92805125847262804</v>
      </c>
      <c r="T169">
        <v>2.00080091363481E-2</v>
      </c>
      <c r="U169">
        <v>1989</v>
      </c>
      <c r="V169">
        <v>35</v>
      </c>
      <c r="Y169">
        <v>1</v>
      </c>
      <c r="Z169" t="s">
        <v>711</v>
      </c>
      <c r="AA169" t="s">
        <v>1536</v>
      </c>
    </row>
    <row r="170" spans="1:27" ht="15" customHeight="1" x14ac:dyDescent="0.3">
      <c r="A170">
        <v>200</v>
      </c>
      <c r="B170">
        <v>40</v>
      </c>
      <c r="C170" t="s">
        <v>912</v>
      </c>
      <c r="D170" t="s">
        <v>913</v>
      </c>
      <c r="E170" t="s">
        <v>766</v>
      </c>
      <c r="F170">
        <v>2025</v>
      </c>
      <c r="G170">
        <v>1</v>
      </c>
      <c r="H170">
        <v>0</v>
      </c>
      <c r="I170">
        <v>0</v>
      </c>
      <c r="J170">
        <v>0</v>
      </c>
      <c r="K170">
        <v>1304000000</v>
      </c>
      <c r="L170">
        <v>28.08</v>
      </c>
      <c r="M170">
        <v>36616320</v>
      </c>
      <c r="N170">
        <v>84427000</v>
      </c>
      <c r="O170">
        <v>92195000</v>
      </c>
      <c r="P170">
        <v>2917000</v>
      </c>
      <c r="Q170">
        <v>1.31290547209719</v>
      </c>
      <c r="R170">
        <v>18.339416457121398</v>
      </c>
      <c r="S170">
        <v>0.91574380389392096</v>
      </c>
      <c r="T170">
        <v>3.1639459840555301E-2</v>
      </c>
      <c r="U170">
        <v>1989</v>
      </c>
      <c r="V170">
        <v>36</v>
      </c>
      <c r="Y170">
        <v>1</v>
      </c>
      <c r="Z170" t="s">
        <v>711</v>
      </c>
      <c r="AA170" t="s">
        <v>1536</v>
      </c>
    </row>
    <row r="171" spans="1:27" ht="15" customHeight="1" x14ac:dyDescent="0.3">
      <c r="A171">
        <v>201</v>
      </c>
      <c r="B171">
        <v>41</v>
      </c>
      <c r="C171" t="s">
        <v>916</v>
      </c>
      <c r="D171" t="s">
        <v>917</v>
      </c>
      <c r="E171" t="s">
        <v>709</v>
      </c>
      <c r="F171">
        <v>2021</v>
      </c>
      <c r="G171">
        <v>0</v>
      </c>
      <c r="H171">
        <v>0</v>
      </c>
      <c r="I171">
        <v>20</v>
      </c>
      <c r="J171">
        <v>6.6666666666666696</v>
      </c>
      <c r="K171">
        <v>24730000000</v>
      </c>
      <c r="L171">
        <v>7.9</v>
      </c>
      <c r="M171">
        <v>195367000</v>
      </c>
      <c r="N171">
        <v>10771328212</v>
      </c>
      <c r="O171">
        <v>11689232030</v>
      </c>
      <c r="P171">
        <v>146328347</v>
      </c>
      <c r="Q171">
        <v>0.938187828238362</v>
      </c>
      <c r="R171">
        <v>23.181933915661599</v>
      </c>
      <c r="S171">
        <v>0.92147441203628799</v>
      </c>
      <c r="T171">
        <v>1.2518217332366501E-2</v>
      </c>
      <c r="U171">
        <v>1985</v>
      </c>
      <c r="V171">
        <v>36</v>
      </c>
      <c r="Y171">
        <v>1</v>
      </c>
      <c r="Z171" t="s">
        <v>919</v>
      </c>
      <c r="AA171" t="s">
        <v>1537</v>
      </c>
    </row>
    <row r="172" spans="1:27" ht="15" customHeight="1" x14ac:dyDescent="0.3">
      <c r="A172">
        <v>202</v>
      </c>
      <c r="B172">
        <v>41</v>
      </c>
      <c r="C172" t="s">
        <v>916</v>
      </c>
      <c r="D172" t="s">
        <v>917</v>
      </c>
      <c r="E172" t="s">
        <v>709</v>
      </c>
      <c r="F172">
        <v>2022</v>
      </c>
      <c r="G172">
        <v>0</v>
      </c>
      <c r="H172">
        <v>0</v>
      </c>
      <c r="I172">
        <v>25</v>
      </c>
      <c r="J172">
        <v>13.3333333333333</v>
      </c>
      <c r="K172">
        <v>24593000000</v>
      </c>
      <c r="L172">
        <v>10.17</v>
      </c>
      <c r="M172">
        <v>250110810</v>
      </c>
      <c r="N172">
        <v>12439165709</v>
      </c>
      <c r="O172">
        <v>13373822328</v>
      </c>
      <c r="P172">
        <v>156551884</v>
      </c>
      <c r="Q172">
        <v>0.948814498038694</v>
      </c>
      <c r="R172">
        <v>23.3165650756088</v>
      </c>
      <c r="S172">
        <v>0.930112977720426</v>
      </c>
      <c r="T172">
        <v>1.17058444594584E-2</v>
      </c>
      <c r="U172">
        <v>1985</v>
      </c>
      <c r="V172">
        <v>37</v>
      </c>
      <c r="Y172">
        <v>1</v>
      </c>
      <c r="Z172" t="s">
        <v>919</v>
      </c>
      <c r="AA172" t="s">
        <v>1537</v>
      </c>
    </row>
    <row r="173" spans="1:27" ht="15" customHeight="1" x14ac:dyDescent="0.3">
      <c r="A173">
        <v>203</v>
      </c>
      <c r="B173">
        <v>41</v>
      </c>
      <c r="C173" t="s">
        <v>916</v>
      </c>
      <c r="D173" t="s">
        <v>917</v>
      </c>
      <c r="E173" t="s">
        <v>709</v>
      </c>
      <c r="F173">
        <v>2023</v>
      </c>
      <c r="G173">
        <v>1</v>
      </c>
      <c r="H173">
        <v>0</v>
      </c>
      <c r="I173">
        <v>30</v>
      </c>
      <c r="J173">
        <v>26.6666666666667</v>
      </c>
      <c r="K173">
        <v>24593000000</v>
      </c>
      <c r="L173">
        <v>20.9</v>
      </c>
      <c r="M173">
        <v>513993700</v>
      </c>
      <c r="N173">
        <v>24266561821</v>
      </c>
      <c r="O173">
        <v>25917398745</v>
      </c>
      <c r="P173">
        <v>263524043</v>
      </c>
      <c r="Q173">
        <v>0.95613590564449202</v>
      </c>
      <c r="R173">
        <v>23.978180346334199</v>
      </c>
      <c r="S173">
        <v>0.93630391150583803</v>
      </c>
      <c r="T173">
        <v>1.0167843061442999E-2</v>
      </c>
      <c r="U173">
        <v>1985</v>
      </c>
      <c r="V173">
        <v>38</v>
      </c>
      <c r="Y173">
        <v>1</v>
      </c>
      <c r="Z173" t="s">
        <v>919</v>
      </c>
      <c r="AA173" t="s">
        <v>1537</v>
      </c>
    </row>
    <row r="174" spans="1:27" ht="15" customHeight="1" x14ac:dyDescent="0.3">
      <c r="A174">
        <v>204</v>
      </c>
      <c r="B174">
        <v>41</v>
      </c>
      <c r="C174" t="s">
        <v>916</v>
      </c>
      <c r="D174" t="s">
        <v>917</v>
      </c>
      <c r="E174" t="s">
        <v>709</v>
      </c>
      <c r="F174">
        <v>2024</v>
      </c>
      <c r="G174">
        <v>1</v>
      </c>
      <c r="H174">
        <v>0</v>
      </c>
      <c r="I174">
        <v>0</v>
      </c>
      <c r="J174">
        <v>0</v>
      </c>
      <c r="K174">
        <v>24593000000</v>
      </c>
      <c r="L174">
        <v>28</v>
      </c>
      <c r="M174">
        <v>688604000</v>
      </c>
      <c r="N174">
        <v>40522413130</v>
      </c>
      <c r="O174">
        <v>43302561428</v>
      </c>
      <c r="P174">
        <v>735897462</v>
      </c>
      <c r="Q174">
        <v>0.95169929378247897</v>
      </c>
      <c r="R174">
        <v>24.491477625586299</v>
      </c>
      <c r="S174">
        <v>0.935797139792236</v>
      </c>
      <c r="T174">
        <v>1.6994317142730499E-2</v>
      </c>
      <c r="U174">
        <v>1985</v>
      </c>
      <c r="V174">
        <v>39</v>
      </c>
      <c r="Y174">
        <v>1</v>
      </c>
      <c r="Z174" t="s">
        <v>919</v>
      </c>
      <c r="AA174" t="s">
        <v>1537</v>
      </c>
    </row>
    <row r="175" spans="1:27" ht="15" customHeight="1" x14ac:dyDescent="0.3">
      <c r="A175">
        <v>205</v>
      </c>
      <c r="B175">
        <v>41</v>
      </c>
      <c r="C175" t="s">
        <v>916</v>
      </c>
      <c r="D175" t="s">
        <v>917</v>
      </c>
      <c r="E175" t="s">
        <v>709</v>
      </c>
      <c r="F175">
        <v>2025</v>
      </c>
      <c r="G175">
        <v>1</v>
      </c>
      <c r="H175">
        <v>0</v>
      </c>
      <c r="I175">
        <v>0</v>
      </c>
      <c r="J175">
        <v>0</v>
      </c>
      <c r="K175">
        <v>24566000000</v>
      </c>
      <c r="L175">
        <v>41.9</v>
      </c>
      <c r="M175">
        <v>1029315400</v>
      </c>
      <c r="N175">
        <v>45535897061</v>
      </c>
      <c r="O175">
        <v>49659169735</v>
      </c>
      <c r="P175">
        <v>904711653</v>
      </c>
      <c r="Q175">
        <v>0.93769615379172599</v>
      </c>
      <c r="R175">
        <v>24.628448897897499</v>
      </c>
      <c r="S175">
        <v>0.91696855392461596</v>
      </c>
      <c r="T175">
        <v>1.8218420844083399E-2</v>
      </c>
      <c r="U175">
        <v>1985</v>
      </c>
      <c r="V175">
        <v>40</v>
      </c>
      <c r="Y175">
        <v>1</v>
      </c>
      <c r="Z175" t="s">
        <v>919</v>
      </c>
      <c r="AA175" t="s">
        <v>1537</v>
      </c>
    </row>
    <row r="176" spans="1:27" ht="15" customHeight="1" x14ac:dyDescent="0.3">
      <c r="A176">
        <v>206</v>
      </c>
      <c r="B176">
        <v>42</v>
      </c>
      <c r="C176" t="s">
        <v>921</v>
      </c>
      <c r="D176" t="s">
        <v>922</v>
      </c>
      <c r="E176" t="s">
        <v>752</v>
      </c>
      <c r="F176">
        <v>2021</v>
      </c>
      <c r="G176">
        <v>0</v>
      </c>
      <c r="H176">
        <v>0</v>
      </c>
      <c r="I176">
        <v>0</v>
      </c>
      <c r="J176">
        <v>0</v>
      </c>
      <c r="K176">
        <v>6635000000</v>
      </c>
      <c r="L176">
        <v>1.85</v>
      </c>
      <c r="M176">
        <v>12274750</v>
      </c>
      <c r="N176">
        <v>8498000</v>
      </c>
      <c r="O176">
        <v>10911000</v>
      </c>
      <c r="P176">
        <v>455750</v>
      </c>
      <c r="Q176">
        <v>1.90383557877371</v>
      </c>
      <c r="R176">
        <v>16.205282012637198</v>
      </c>
      <c r="S176">
        <v>0.77884703510219</v>
      </c>
      <c r="T176">
        <v>4.1769773622949299E-2</v>
      </c>
      <c r="U176">
        <v>2003</v>
      </c>
      <c r="V176">
        <v>18</v>
      </c>
      <c r="Y176">
        <v>1</v>
      </c>
      <c r="Z176" t="s">
        <v>722</v>
      </c>
      <c r="AA176" t="s">
        <v>1538</v>
      </c>
    </row>
    <row r="177" spans="1:27" ht="15" customHeight="1" x14ac:dyDescent="0.3">
      <c r="A177">
        <v>207</v>
      </c>
      <c r="B177">
        <v>42</v>
      </c>
      <c r="C177" t="s">
        <v>921</v>
      </c>
      <c r="D177" t="s">
        <v>922</v>
      </c>
      <c r="E177" t="s">
        <v>752</v>
      </c>
      <c r="F177">
        <v>2022</v>
      </c>
      <c r="G177">
        <v>0</v>
      </c>
      <c r="H177">
        <v>0</v>
      </c>
      <c r="I177">
        <v>0</v>
      </c>
      <c r="J177">
        <v>0</v>
      </c>
      <c r="K177">
        <v>9200000000</v>
      </c>
      <c r="L177">
        <v>3.42</v>
      </c>
      <c r="M177">
        <v>31464000</v>
      </c>
      <c r="N177">
        <v>10500000</v>
      </c>
      <c r="O177">
        <v>19776000</v>
      </c>
      <c r="P177">
        <v>1175000</v>
      </c>
      <c r="Q177">
        <v>2.1219660194174801</v>
      </c>
      <c r="R177">
        <v>16.799979639239599</v>
      </c>
      <c r="S177">
        <v>0.53094660194174803</v>
      </c>
      <c r="T177">
        <v>5.9415453074433702E-2</v>
      </c>
      <c r="U177">
        <v>2003</v>
      </c>
      <c r="V177">
        <v>19</v>
      </c>
      <c r="Y177">
        <v>1</v>
      </c>
      <c r="Z177" t="s">
        <v>722</v>
      </c>
      <c r="AA177" t="s">
        <v>1538</v>
      </c>
    </row>
    <row r="178" spans="1:27" ht="15" customHeight="1" x14ac:dyDescent="0.3">
      <c r="A178">
        <v>208</v>
      </c>
      <c r="B178">
        <v>42</v>
      </c>
      <c r="C178" t="s">
        <v>921</v>
      </c>
      <c r="D178" t="s">
        <v>922</v>
      </c>
      <c r="E178" t="s">
        <v>752</v>
      </c>
      <c r="F178">
        <v>2023</v>
      </c>
      <c r="G178">
        <v>1</v>
      </c>
      <c r="H178">
        <v>0</v>
      </c>
      <c r="I178">
        <v>0</v>
      </c>
      <c r="J178">
        <v>0</v>
      </c>
      <c r="K178">
        <v>9200000000</v>
      </c>
      <c r="L178">
        <v>5.92</v>
      </c>
      <c r="M178">
        <v>54464000</v>
      </c>
      <c r="N178">
        <v>16727000</v>
      </c>
      <c r="O178">
        <v>28205000</v>
      </c>
      <c r="P178">
        <v>2202000</v>
      </c>
      <c r="Q178">
        <v>2.52405601843645</v>
      </c>
      <c r="R178">
        <v>17.155009825156199</v>
      </c>
      <c r="S178">
        <v>0.59305087750398899</v>
      </c>
      <c r="T178">
        <v>7.8071263960290696E-2</v>
      </c>
      <c r="U178">
        <v>2003</v>
      </c>
      <c r="V178">
        <v>20</v>
      </c>
      <c r="Y178">
        <v>1</v>
      </c>
      <c r="Z178" t="s">
        <v>722</v>
      </c>
      <c r="AA178" t="s">
        <v>1538</v>
      </c>
    </row>
    <row r="179" spans="1:27" ht="15" customHeight="1" x14ac:dyDescent="0.3">
      <c r="A179">
        <v>209</v>
      </c>
      <c r="B179">
        <v>42</v>
      </c>
      <c r="C179" t="s">
        <v>921</v>
      </c>
      <c r="D179" t="s">
        <v>922</v>
      </c>
      <c r="E179" t="s">
        <v>752</v>
      </c>
      <c r="F179">
        <v>2024</v>
      </c>
      <c r="G179">
        <v>1</v>
      </c>
      <c r="H179">
        <v>0</v>
      </c>
      <c r="I179">
        <v>0</v>
      </c>
      <c r="J179">
        <v>0</v>
      </c>
      <c r="K179">
        <v>9200000000</v>
      </c>
      <c r="L179">
        <v>6.36</v>
      </c>
      <c r="M179">
        <v>58512000</v>
      </c>
      <c r="N179">
        <v>9130000</v>
      </c>
      <c r="O179">
        <v>24001000</v>
      </c>
      <c r="P179">
        <v>3393000</v>
      </c>
      <c r="Q179">
        <v>2.8182992375317699</v>
      </c>
      <c r="R179">
        <v>16.993606054110899</v>
      </c>
      <c r="S179">
        <v>0.38040081663264003</v>
      </c>
      <c r="T179">
        <v>0.141369109620432</v>
      </c>
      <c r="U179">
        <v>2003</v>
      </c>
      <c r="V179">
        <v>21</v>
      </c>
      <c r="Y179">
        <v>1</v>
      </c>
      <c r="Z179" t="s">
        <v>722</v>
      </c>
      <c r="AA179" t="s">
        <v>1538</v>
      </c>
    </row>
    <row r="180" spans="1:27" ht="15" customHeight="1" x14ac:dyDescent="0.3">
      <c r="A180">
        <v>210</v>
      </c>
      <c r="B180">
        <v>42</v>
      </c>
      <c r="C180" t="s">
        <v>921</v>
      </c>
      <c r="D180" t="s">
        <v>922</v>
      </c>
      <c r="E180" t="s">
        <v>752</v>
      </c>
      <c r="F180">
        <v>2025</v>
      </c>
      <c r="G180">
        <v>1</v>
      </c>
      <c r="H180">
        <v>0</v>
      </c>
      <c r="I180">
        <v>0</v>
      </c>
      <c r="J180">
        <v>0</v>
      </c>
      <c r="K180">
        <v>9200000000</v>
      </c>
      <c r="L180">
        <v>11.24</v>
      </c>
      <c r="M180">
        <v>103408000</v>
      </c>
      <c r="N180">
        <v>29950000</v>
      </c>
      <c r="O180">
        <v>46140000</v>
      </c>
      <c r="P180">
        <v>2470000</v>
      </c>
      <c r="Q180">
        <v>2.8902904204594702</v>
      </c>
      <c r="R180">
        <v>17.647190810709901</v>
      </c>
      <c r="S180">
        <v>0.64911140008669299</v>
      </c>
      <c r="T180">
        <v>5.3532726484612103E-2</v>
      </c>
      <c r="U180">
        <v>2003</v>
      </c>
      <c r="V180">
        <v>22</v>
      </c>
      <c r="Y180">
        <v>1</v>
      </c>
      <c r="Z180" t="s">
        <v>722</v>
      </c>
      <c r="AA180" t="s">
        <v>1538</v>
      </c>
    </row>
    <row r="181" spans="1:27" ht="15" customHeight="1" x14ac:dyDescent="0.3">
      <c r="A181">
        <v>212</v>
      </c>
      <c r="B181">
        <v>43</v>
      </c>
      <c r="C181" t="s">
        <v>925</v>
      </c>
      <c r="D181" t="s">
        <v>926</v>
      </c>
      <c r="E181" t="s">
        <v>715</v>
      </c>
      <c r="F181">
        <v>2022</v>
      </c>
      <c r="G181">
        <v>0</v>
      </c>
      <c r="H181">
        <v>0</v>
      </c>
      <c r="I181">
        <v>0</v>
      </c>
      <c r="J181">
        <v>0</v>
      </c>
      <c r="K181">
        <v>236700000</v>
      </c>
      <c r="L181">
        <v>2.91</v>
      </c>
      <c r="M181">
        <v>688797</v>
      </c>
      <c r="N181">
        <v>418050</v>
      </c>
      <c r="O181">
        <v>605000</v>
      </c>
      <c r="P181">
        <v>5090</v>
      </c>
      <c r="Q181">
        <v>1.82949917355372</v>
      </c>
      <c r="R181">
        <v>13.312983737013001</v>
      </c>
      <c r="S181">
        <v>0.69099173553718995</v>
      </c>
      <c r="T181">
        <v>8.4132231404958693E-3</v>
      </c>
      <c r="U181">
        <v>1981</v>
      </c>
      <c r="V181">
        <v>41</v>
      </c>
      <c r="Y181">
        <v>0</v>
      </c>
      <c r="Z181" t="s">
        <v>928</v>
      </c>
      <c r="AA181" t="s">
        <v>1539</v>
      </c>
    </row>
    <row r="182" spans="1:27" ht="15" customHeight="1" x14ac:dyDescent="0.3">
      <c r="A182">
        <v>213</v>
      </c>
      <c r="B182">
        <v>43</v>
      </c>
      <c r="C182" t="s">
        <v>925</v>
      </c>
      <c r="D182" t="s">
        <v>926</v>
      </c>
      <c r="E182" t="s">
        <v>715</v>
      </c>
      <c r="F182">
        <v>2023</v>
      </c>
      <c r="G182">
        <v>1</v>
      </c>
      <c r="H182">
        <v>0</v>
      </c>
      <c r="I182">
        <v>0</v>
      </c>
      <c r="J182">
        <v>0</v>
      </c>
      <c r="K182">
        <v>236700000</v>
      </c>
      <c r="L182">
        <v>2.91</v>
      </c>
      <c r="M182">
        <v>688797</v>
      </c>
      <c r="N182">
        <v>440050</v>
      </c>
      <c r="O182">
        <v>635850</v>
      </c>
      <c r="P182">
        <v>8840</v>
      </c>
      <c r="Q182">
        <v>1.77533537784069</v>
      </c>
      <c r="R182">
        <v>13.362717965448899</v>
      </c>
      <c r="S182">
        <v>0.69206573877486799</v>
      </c>
      <c r="T182">
        <v>1.39026499960683E-2</v>
      </c>
      <c r="U182">
        <v>1981</v>
      </c>
      <c r="V182">
        <v>42</v>
      </c>
      <c r="Y182">
        <v>0</v>
      </c>
      <c r="Z182" t="s">
        <v>928</v>
      </c>
      <c r="AA182" t="s">
        <v>1539</v>
      </c>
    </row>
    <row r="183" spans="1:27" ht="15" customHeight="1" x14ac:dyDescent="0.3">
      <c r="A183">
        <v>214</v>
      </c>
      <c r="B183">
        <v>43</v>
      </c>
      <c r="C183" t="s">
        <v>925</v>
      </c>
      <c r="D183" t="s">
        <v>926</v>
      </c>
      <c r="E183" t="s">
        <v>715</v>
      </c>
      <c r="F183">
        <v>2024</v>
      </c>
      <c r="G183">
        <v>1</v>
      </c>
      <c r="H183">
        <v>0</v>
      </c>
      <c r="I183">
        <v>0</v>
      </c>
      <c r="J183">
        <v>0</v>
      </c>
      <c r="K183">
        <v>236700000</v>
      </c>
      <c r="L183">
        <v>3.2</v>
      </c>
      <c r="M183">
        <v>757440</v>
      </c>
      <c r="N183">
        <v>593900</v>
      </c>
      <c r="O183">
        <v>889770</v>
      </c>
      <c r="P183">
        <v>100070</v>
      </c>
      <c r="Q183">
        <v>1.5187520370432801</v>
      </c>
      <c r="R183">
        <v>13.698718281344</v>
      </c>
      <c r="S183">
        <v>0.667475864549266</v>
      </c>
      <c r="T183">
        <v>0.112467266821763</v>
      </c>
      <c r="U183">
        <v>1981</v>
      </c>
      <c r="V183">
        <v>43</v>
      </c>
      <c r="Y183">
        <v>0</v>
      </c>
      <c r="Z183" t="s">
        <v>928</v>
      </c>
      <c r="AA183" t="s">
        <v>1539</v>
      </c>
    </row>
    <row r="184" spans="1:27" ht="15" customHeight="1" x14ac:dyDescent="0.3">
      <c r="A184">
        <v>215</v>
      </c>
      <c r="B184">
        <v>43</v>
      </c>
      <c r="C184" t="s">
        <v>925</v>
      </c>
      <c r="D184" t="s">
        <v>926</v>
      </c>
      <c r="E184" t="s">
        <v>715</v>
      </c>
      <c r="F184">
        <v>2025</v>
      </c>
      <c r="G184">
        <v>1</v>
      </c>
      <c r="H184">
        <v>0</v>
      </c>
      <c r="I184">
        <v>0</v>
      </c>
      <c r="J184">
        <v>0</v>
      </c>
      <c r="K184">
        <v>236700000</v>
      </c>
      <c r="L184">
        <v>12.95</v>
      </c>
      <c r="M184">
        <v>3065265</v>
      </c>
      <c r="N184">
        <v>442870</v>
      </c>
      <c r="O184">
        <v>929220</v>
      </c>
      <c r="P184">
        <v>190480</v>
      </c>
      <c r="Q184">
        <v>3.7753545984804502</v>
      </c>
      <c r="R184">
        <v>13.7421008035383</v>
      </c>
      <c r="S184">
        <v>0.47660403349045399</v>
      </c>
      <c r="T184">
        <v>0.20498913066873301</v>
      </c>
      <c r="U184">
        <v>1981</v>
      </c>
      <c r="V184">
        <v>44</v>
      </c>
      <c r="Y184">
        <v>0</v>
      </c>
      <c r="Z184" t="s">
        <v>928</v>
      </c>
      <c r="AA184" t="s">
        <v>1539</v>
      </c>
    </row>
    <row r="185" spans="1:27" ht="15" customHeight="1" x14ac:dyDescent="0.3">
      <c r="A185">
        <v>216</v>
      </c>
      <c r="B185">
        <v>44</v>
      </c>
      <c r="C185" t="s">
        <v>930</v>
      </c>
      <c r="D185" t="s">
        <v>931</v>
      </c>
      <c r="E185" t="s">
        <v>709</v>
      </c>
      <c r="F185">
        <v>2021</v>
      </c>
      <c r="G185">
        <v>0</v>
      </c>
      <c r="H185">
        <v>0</v>
      </c>
      <c r="I185">
        <v>0</v>
      </c>
      <c r="J185">
        <v>0</v>
      </c>
      <c r="K185">
        <v>19803000000</v>
      </c>
      <c r="L185">
        <v>2.33</v>
      </c>
      <c r="M185">
        <v>46140990</v>
      </c>
      <c r="N185">
        <v>2249392000</v>
      </c>
      <c r="O185">
        <v>2493198000</v>
      </c>
      <c r="P185">
        <v>20709000</v>
      </c>
      <c r="Q185">
        <v>0.92071828631340202</v>
      </c>
      <c r="R185">
        <v>21.636832060716699</v>
      </c>
      <c r="S185">
        <v>0.90221153715027902</v>
      </c>
      <c r="T185">
        <v>8.3061995076203297E-3</v>
      </c>
      <c r="U185">
        <v>2013</v>
      </c>
      <c r="V185">
        <v>8</v>
      </c>
      <c r="Y185">
        <v>1</v>
      </c>
      <c r="Z185" t="s">
        <v>933</v>
      </c>
      <c r="AA185" t="s">
        <v>1540</v>
      </c>
    </row>
    <row r="186" spans="1:27" ht="15" customHeight="1" x14ac:dyDescent="0.3">
      <c r="A186">
        <v>217</v>
      </c>
      <c r="B186">
        <v>44</v>
      </c>
      <c r="C186" t="s">
        <v>930</v>
      </c>
      <c r="D186" t="s">
        <v>931</v>
      </c>
      <c r="E186" t="s">
        <v>709</v>
      </c>
      <c r="F186">
        <v>2022</v>
      </c>
      <c r="G186">
        <v>0</v>
      </c>
      <c r="H186">
        <v>0</v>
      </c>
      <c r="I186">
        <v>40</v>
      </c>
      <c r="J186">
        <v>40</v>
      </c>
      <c r="K186">
        <v>19803000000</v>
      </c>
      <c r="L186">
        <v>3.17</v>
      </c>
      <c r="M186">
        <v>62775510</v>
      </c>
      <c r="N186">
        <v>2707173000</v>
      </c>
      <c r="O186">
        <v>2983053000</v>
      </c>
      <c r="P186">
        <v>30901000</v>
      </c>
      <c r="Q186">
        <v>0.928561614560653</v>
      </c>
      <c r="R186">
        <v>21.816213109669501</v>
      </c>
      <c r="S186">
        <v>0.90751756673448303</v>
      </c>
      <c r="T186">
        <v>1.0358850479693101E-2</v>
      </c>
      <c r="U186">
        <v>2013</v>
      </c>
      <c r="V186">
        <v>9</v>
      </c>
      <c r="Y186">
        <v>1</v>
      </c>
      <c r="Z186" t="s">
        <v>933</v>
      </c>
      <c r="AA186" t="s">
        <v>1540</v>
      </c>
    </row>
    <row r="187" spans="1:27" ht="15" customHeight="1" x14ac:dyDescent="0.3">
      <c r="A187">
        <v>218</v>
      </c>
      <c r="B187">
        <v>44</v>
      </c>
      <c r="C187" t="s">
        <v>930</v>
      </c>
      <c r="D187" t="s">
        <v>931</v>
      </c>
      <c r="E187" t="s">
        <v>709</v>
      </c>
      <c r="F187">
        <v>2023</v>
      </c>
      <c r="G187">
        <v>1</v>
      </c>
      <c r="H187">
        <v>0</v>
      </c>
      <c r="I187">
        <v>0</v>
      </c>
      <c r="J187">
        <v>0</v>
      </c>
      <c r="K187">
        <v>19803000000</v>
      </c>
      <c r="L187">
        <v>6.52</v>
      </c>
      <c r="M187">
        <v>129115560</v>
      </c>
      <c r="N187">
        <v>3961268000</v>
      </c>
      <c r="O187">
        <v>4423895000</v>
      </c>
      <c r="P187">
        <v>92629000</v>
      </c>
      <c r="Q187">
        <v>0.924611357186371</v>
      </c>
      <c r="R187">
        <v>22.210286366707599</v>
      </c>
      <c r="S187">
        <v>0.89542541131740205</v>
      </c>
      <c r="T187">
        <v>2.0938336013852001E-2</v>
      </c>
      <c r="U187">
        <v>2013</v>
      </c>
      <c r="V187">
        <v>10</v>
      </c>
      <c r="Y187">
        <v>1</v>
      </c>
      <c r="Z187" t="s">
        <v>933</v>
      </c>
      <c r="AA187" t="s">
        <v>1540</v>
      </c>
    </row>
    <row r="188" spans="1:27" ht="15" customHeight="1" x14ac:dyDescent="0.3">
      <c r="A188">
        <v>219</v>
      </c>
      <c r="B188">
        <v>44</v>
      </c>
      <c r="C188" t="s">
        <v>930</v>
      </c>
      <c r="D188" t="s">
        <v>931</v>
      </c>
      <c r="E188" t="s">
        <v>709</v>
      </c>
      <c r="F188">
        <v>2024</v>
      </c>
      <c r="G188">
        <v>1</v>
      </c>
      <c r="H188">
        <v>0</v>
      </c>
      <c r="I188">
        <v>55</v>
      </c>
      <c r="J188">
        <v>40</v>
      </c>
      <c r="K188">
        <v>39605000000</v>
      </c>
      <c r="L188">
        <v>8.83</v>
      </c>
      <c r="M188">
        <v>349712150</v>
      </c>
      <c r="N188">
        <v>6365185000</v>
      </c>
      <c r="O188">
        <v>7054166000</v>
      </c>
      <c r="P188">
        <v>73134000</v>
      </c>
      <c r="Q188">
        <v>0.951905179152291</v>
      </c>
      <c r="R188">
        <v>22.676884201230799</v>
      </c>
      <c r="S188">
        <v>0.90232991398274398</v>
      </c>
      <c r="T188">
        <v>1.03674906431178E-2</v>
      </c>
      <c r="U188">
        <v>2013</v>
      </c>
      <c r="V188">
        <v>11</v>
      </c>
      <c r="Y188">
        <v>1</v>
      </c>
      <c r="Z188" t="s">
        <v>933</v>
      </c>
      <c r="AA188" t="s">
        <v>1540</v>
      </c>
    </row>
    <row r="189" spans="1:27" ht="15" customHeight="1" x14ac:dyDescent="0.3">
      <c r="A189">
        <v>220</v>
      </c>
      <c r="B189">
        <v>44</v>
      </c>
      <c r="C189" t="s">
        <v>930</v>
      </c>
      <c r="D189" t="s">
        <v>931</v>
      </c>
      <c r="E189" t="s">
        <v>709</v>
      </c>
      <c r="F189">
        <v>2025</v>
      </c>
      <c r="G189">
        <v>1</v>
      </c>
      <c r="H189">
        <v>0</v>
      </c>
      <c r="I189">
        <v>65</v>
      </c>
      <c r="J189">
        <v>60</v>
      </c>
      <c r="K189">
        <v>42800000000</v>
      </c>
      <c r="L189">
        <v>12.05</v>
      </c>
      <c r="M189">
        <v>515740000</v>
      </c>
      <c r="N189">
        <v>6719914000</v>
      </c>
      <c r="O189">
        <v>7543332000</v>
      </c>
      <c r="P189">
        <v>176642000</v>
      </c>
      <c r="Q189">
        <v>0.95921192385539999</v>
      </c>
      <c r="R189">
        <v>22.7439298311672</v>
      </c>
      <c r="S189">
        <v>0.89084160686550695</v>
      </c>
      <c r="T189">
        <v>2.34169727648206E-2</v>
      </c>
      <c r="U189">
        <v>2013</v>
      </c>
      <c r="V189">
        <v>12</v>
      </c>
      <c r="Y189">
        <v>1</v>
      </c>
      <c r="Z189" t="s">
        <v>933</v>
      </c>
      <c r="AA189" t="s">
        <v>1541</v>
      </c>
    </row>
    <row r="190" spans="1:27" ht="15" customHeight="1" x14ac:dyDescent="0.3">
      <c r="A190">
        <v>221</v>
      </c>
      <c r="B190">
        <v>45</v>
      </c>
      <c r="C190" t="s">
        <v>935</v>
      </c>
      <c r="D190" t="s">
        <v>936</v>
      </c>
      <c r="E190" t="s">
        <v>709</v>
      </c>
      <c r="F190">
        <v>2021</v>
      </c>
      <c r="G190">
        <v>0</v>
      </c>
      <c r="H190">
        <v>0</v>
      </c>
      <c r="I190">
        <v>45</v>
      </c>
      <c r="J190">
        <v>20</v>
      </c>
      <c r="K190">
        <v>28963000000</v>
      </c>
      <c r="L190">
        <v>1.53</v>
      </c>
      <c r="M190">
        <v>44313390</v>
      </c>
      <c r="N190">
        <v>2995160000</v>
      </c>
      <c r="O190">
        <v>3280454000</v>
      </c>
      <c r="P190">
        <v>23104000</v>
      </c>
      <c r="Q190">
        <v>0.92654046970327897</v>
      </c>
      <c r="R190">
        <v>21.9112476643982</v>
      </c>
      <c r="S190">
        <v>0.91303215957303496</v>
      </c>
      <c r="T190">
        <v>7.0429275947780402E-3</v>
      </c>
      <c r="U190">
        <v>1987</v>
      </c>
      <c r="V190">
        <v>34</v>
      </c>
      <c r="Y190">
        <v>1</v>
      </c>
      <c r="Z190" t="s">
        <v>732</v>
      </c>
      <c r="AA190" t="s">
        <v>1542</v>
      </c>
    </row>
    <row r="191" spans="1:27" ht="15" customHeight="1" x14ac:dyDescent="0.3">
      <c r="A191">
        <v>222</v>
      </c>
      <c r="B191">
        <v>45</v>
      </c>
      <c r="C191" t="s">
        <v>935</v>
      </c>
      <c r="D191" t="s">
        <v>936</v>
      </c>
      <c r="E191" t="s">
        <v>709</v>
      </c>
      <c r="F191">
        <v>2022</v>
      </c>
      <c r="G191">
        <v>0</v>
      </c>
      <c r="H191">
        <v>0</v>
      </c>
      <c r="I191">
        <v>45</v>
      </c>
      <c r="J191">
        <v>20</v>
      </c>
      <c r="K191">
        <v>28963000000</v>
      </c>
      <c r="L191">
        <v>2.95</v>
      </c>
      <c r="M191">
        <v>85440850</v>
      </c>
      <c r="N191">
        <v>3674649000</v>
      </c>
      <c r="O191">
        <v>3989009000</v>
      </c>
      <c r="P191">
        <v>46724000</v>
      </c>
      <c r="Q191">
        <v>0.94261252606850499</v>
      </c>
      <c r="R191">
        <v>22.1068086660717</v>
      </c>
      <c r="S191">
        <v>0.921193459327868</v>
      </c>
      <c r="T191">
        <v>1.17131849038195E-2</v>
      </c>
      <c r="U191">
        <v>1987</v>
      </c>
      <c r="V191">
        <v>35</v>
      </c>
      <c r="Y191">
        <v>1</v>
      </c>
      <c r="Z191" t="s">
        <v>732</v>
      </c>
      <c r="AA191" t="s">
        <v>1542</v>
      </c>
    </row>
    <row r="192" spans="1:27" ht="15" customHeight="1" x14ac:dyDescent="0.3">
      <c r="A192">
        <v>223</v>
      </c>
      <c r="B192">
        <v>45</v>
      </c>
      <c r="C192" t="s">
        <v>935</v>
      </c>
      <c r="D192" t="s">
        <v>936</v>
      </c>
      <c r="E192" t="s">
        <v>709</v>
      </c>
      <c r="F192">
        <v>2023</v>
      </c>
      <c r="G192">
        <v>1</v>
      </c>
      <c r="H192">
        <v>0</v>
      </c>
      <c r="I192">
        <v>80</v>
      </c>
      <c r="J192">
        <v>86.6666666666667</v>
      </c>
      <c r="K192">
        <v>32000000000</v>
      </c>
      <c r="L192">
        <v>8.1300000000000008</v>
      </c>
      <c r="M192">
        <v>260160000</v>
      </c>
      <c r="N192">
        <v>5797381000</v>
      </c>
      <c r="O192">
        <v>6234688000</v>
      </c>
      <c r="P192">
        <v>99454000</v>
      </c>
      <c r="Q192">
        <v>0.97158687010480704</v>
      </c>
      <c r="R192">
        <v>22.5533943747301</v>
      </c>
      <c r="S192">
        <v>0.92985904025991395</v>
      </c>
      <c r="T192">
        <v>1.5951720438937798E-2</v>
      </c>
      <c r="U192">
        <v>1987</v>
      </c>
      <c r="V192">
        <v>36</v>
      </c>
      <c r="Y192">
        <v>1</v>
      </c>
      <c r="Z192" t="s">
        <v>732</v>
      </c>
      <c r="AA192" t="s">
        <v>1542</v>
      </c>
    </row>
    <row r="193" spans="1:27" ht="15" customHeight="1" x14ac:dyDescent="0.3">
      <c r="A193">
        <v>224</v>
      </c>
      <c r="B193">
        <v>45</v>
      </c>
      <c r="C193" t="s">
        <v>935</v>
      </c>
      <c r="D193" t="s">
        <v>936</v>
      </c>
      <c r="E193" t="s">
        <v>709</v>
      </c>
      <c r="F193">
        <v>2024</v>
      </c>
      <c r="G193">
        <v>1</v>
      </c>
      <c r="H193">
        <v>1</v>
      </c>
      <c r="I193">
        <v>95</v>
      </c>
      <c r="J193">
        <v>80</v>
      </c>
      <c r="K193">
        <v>50200000000</v>
      </c>
      <c r="L193">
        <v>16.3</v>
      </c>
      <c r="M193">
        <v>818260000</v>
      </c>
      <c r="N193">
        <v>7923863000</v>
      </c>
      <c r="O193">
        <v>8821737000</v>
      </c>
      <c r="P193">
        <v>278106000</v>
      </c>
      <c r="Q193">
        <v>0.99097524671161696</v>
      </c>
      <c r="R193">
        <v>22.9004846263507</v>
      </c>
      <c r="S193">
        <v>0.89822027113254499</v>
      </c>
      <c r="T193">
        <v>3.1525084005564898E-2</v>
      </c>
      <c r="U193">
        <v>1987</v>
      </c>
      <c r="V193">
        <v>37</v>
      </c>
      <c r="Y193">
        <v>1</v>
      </c>
      <c r="Z193" t="s">
        <v>732</v>
      </c>
      <c r="AA193" t="s">
        <v>1542</v>
      </c>
    </row>
    <row r="194" spans="1:27" ht="15" customHeight="1" x14ac:dyDescent="0.3">
      <c r="A194">
        <v>225</v>
      </c>
      <c r="B194">
        <v>45</v>
      </c>
      <c r="C194" t="s">
        <v>935</v>
      </c>
      <c r="D194" t="s">
        <v>936</v>
      </c>
      <c r="E194" t="s">
        <v>709</v>
      </c>
      <c r="F194">
        <v>2025</v>
      </c>
      <c r="G194">
        <v>1</v>
      </c>
      <c r="H194">
        <v>1</v>
      </c>
      <c r="I194">
        <v>5</v>
      </c>
      <c r="J194">
        <v>0</v>
      </c>
      <c r="K194">
        <v>50200000000</v>
      </c>
      <c r="L194">
        <v>19</v>
      </c>
      <c r="M194">
        <v>953800000</v>
      </c>
      <c r="N194">
        <v>9376227000</v>
      </c>
      <c r="O194">
        <v>10463815000</v>
      </c>
      <c r="P194">
        <v>242444000</v>
      </c>
      <c r="Q194">
        <v>0.98721422349305699</v>
      </c>
      <c r="R194">
        <v>23.0711889518414</v>
      </c>
      <c r="S194">
        <v>0.89606200033161898</v>
      </c>
      <c r="T194">
        <v>2.3169752141068999E-2</v>
      </c>
      <c r="U194">
        <v>1987</v>
      </c>
      <c r="V194">
        <v>38</v>
      </c>
      <c r="Y194">
        <v>1</v>
      </c>
      <c r="Z194" t="s">
        <v>732</v>
      </c>
      <c r="AA194" t="s">
        <v>1543</v>
      </c>
    </row>
    <row r="195" spans="1:27" ht="15" customHeight="1" x14ac:dyDescent="0.3">
      <c r="A195">
        <v>226</v>
      </c>
      <c r="B195">
        <v>46</v>
      </c>
      <c r="C195" t="s">
        <v>939</v>
      </c>
      <c r="D195" t="s">
        <v>940</v>
      </c>
      <c r="E195" t="s">
        <v>898</v>
      </c>
      <c r="F195">
        <v>2021</v>
      </c>
      <c r="G195">
        <v>0</v>
      </c>
      <c r="H195">
        <v>0</v>
      </c>
      <c r="I195">
        <v>0</v>
      </c>
      <c r="J195">
        <v>0</v>
      </c>
      <c r="K195">
        <v>2295000000</v>
      </c>
      <c r="L195">
        <v>4.71</v>
      </c>
      <c r="M195">
        <v>10809450</v>
      </c>
      <c r="N195">
        <v>19354000</v>
      </c>
      <c r="O195">
        <v>33105000</v>
      </c>
      <c r="P195">
        <v>3720000</v>
      </c>
      <c r="Q195">
        <v>0.91114484216885705</v>
      </c>
      <c r="R195">
        <v>17.3151948863411</v>
      </c>
      <c r="S195">
        <v>0.58462467905150295</v>
      </c>
      <c r="T195">
        <v>0.112369732668781</v>
      </c>
      <c r="U195">
        <v>1995</v>
      </c>
      <c r="V195">
        <v>26</v>
      </c>
      <c r="Y195">
        <v>1</v>
      </c>
      <c r="Z195" t="s">
        <v>933</v>
      </c>
      <c r="AA195" t="s">
        <v>1544</v>
      </c>
    </row>
    <row r="196" spans="1:27" ht="15" customHeight="1" x14ac:dyDescent="0.3">
      <c r="A196">
        <v>227</v>
      </c>
      <c r="B196">
        <v>46</v>
      </c>
      <c r="C196" t="s">
        <v>939</v>
      </c>
      <c r="D196" t="s">
        <v>940</v>
      </c>
      <c r="E196" t="s">
        <v>898</v>
      </c>
      <c r="F196">
        <v>2022</v>
      </c>
      <c r="G196">
        <v>0</v>
      </c>
      <c r="H196">
        <v>0</v>
      </c>
      <c r="I196">
        <v>35</v>
      </c>
      <c r="J196">
        <v>0</v>
      </c>
      <c r="K196">
        <v>2295000000</v>
      </c>
      <c r="L196">
        <v>7.82</v>
      </c>
      <c r="M196">
        <v>17946900</v>
      </c>
      <c r="N196">
        <v>26062000</v>
      </c>
      <c r="O196">
        <v>42981000</v>
      </c>
      <c r="P196">
        <v>4187000</v>
      </c>
      <c r="Q196">
        <v>1.0239152183522999</v>
      </c>
      <c r="R196">
        <v>17.576268715543598</v>
      </c>
      <c r="S196">
        <v>0.60636095018729197</v>
      </c>
      <c r="T196">
        <v>9.7415136920965095E-2</v>
      </c>
      <c r="U196">
        <v>1995</v>
      </c>
      <c r="V196">
        <v>27</v>
      </c>
      <c r="Y196">
        <v>1</v>
      </c>
      <c r="Z196" t="s">
        <v>933</v>
      </c>
      <c r="AA196" t="s">
        <v>1544</v>
      </c>
    </row>
    <row r="197" spans="1:27" ht="15" customHeight="1" x14ac:dyDescent="0.3">
      <c r="A197">
        <v>228</v>
      </c>
      <c r="B197">
        <v>46</v>
      </c>
      <c r="C197" t="s">
        <v>939</v>
      </c>
      <c r="D197" t="s">
        <v>940</v>
      </c>
      <c r="E197" t="s">
        <v>898</v>
      </c>
      <c r="F197">
        <v>2023</v>
      </c>
      <c r="G197">
        <v>1</v>
      </c>
      <c r="H197">
        <v>0</v>
      </c>
      <c r="I197">
        <v>40</v>
      </c>
      <c r="J197">
        <v>0</v>
      </c>
      <c r="K197">
        <v>2295000000</v>
      </c>
      <c r="L197">
        <v>15.77</v>
      </c>
      <c r="M197">
        <v>36192150</v>
      </c>
      <c r="N197">
        <v>42697000</v>
      </c>
      <c r="O197">
        <v>61991000</v>
      </c>
      <c r="P197">
        <v>3608000</v>
      </c>
      <c r="Q197">
        <v>1.27259037602233</v>
      </c>
      <c r="R197">
        <v>17.942499771182099</v>
      </c>
      <c r="S197">
        <v>0.688761271797519</v>
      </c>
      <c r="T197">
        <v>5.8201997064090003E-2</v>
      </c>
      <c r="U197">
        <v>1995</v>
      </c>
      <c r="V197">
        <v>28</v>
      </c>
      <c r="Y197">
        <v>1</v>
      </c>
      <c r="Z197" t="s">
        <v>933</v>
      </c>
      <c r="AA197" t="s">
        <v>1544</v>
      </c>
    </row>
    <row r="198" spans="1:27" ht="15" customHeight="1" x14ac:dyDescent="0.3">
      <c r="A198">
        <v>229</v>
      </c>
      <c r="B198">
        <v>46</v>
      </c>
      <c r="C198" t="s">
        <v>939</v>
      </c>
      <c r="D198" t="s">
        <v>940</v>
      </c>
      <c r="E198" t="s">
        <v>898</v>
      </c>
      <c r="F198">
        <v>2024</v>
      </c>
      <c r="G198">
        <v>1</v>
      </c>
      <c r="H198">
        <v>0</v>
      </c>
      <c r="I198">
        <v>35</v>
      </c>
      <c r="J198">
        <v>0</v>
      </c>
      <c r="K198">
        <v>2295000000</v>
      </c>
      <c r="L198">
        <v>14.57</v>
      </c>
      <c r="M198">
        <v>33438150</v>
      </c>
      <c r="N198">
        <v>51148000</v>
      </c>
      <c r="O198">
        <v>73493000</v>
      </c>
      <c r="P198">
        <v>4399000</v>
      </c>
      <c r="Q198">
        <v>1.1509415862735199</v>
      </c>
      <c r="R198">
        <v>18.1127007215524</v>
      </c>
      <c r="S198">
        <v>0.69595743812335897</v>
      </c>
      <c r="T198">
        <v>5.9856040711360303E-2</v>
      </c>
      <c r="U198">
        <v>1995</v>
      </c>
      <c r="V198">
        <v>29</v>
      </c>
      <c r="Y198">
        <v>1</v>
      </c>
      <c r="Z198" t="s">
        <v>933</v>
      </c>
      <c r="AA198" t="s">
        <v>1544</v>
      </c>
    </row>
    <row r="199" spans="1:27" ht="15" customHeight="1" x14ac:dyDescent="0.3">
      <c r="A199">
        <v>230</v>
      </c>
      <c r="B199">
        <v>46</v>
      </c>
      <c r="C199" t="s">
        <v>939</v>
      </c>
      <c r="D199" t="s">
        <v>940</v>
      </c>
      <c r="E199" t="s">
        <v>898</v>
      </c>
      <c r="F199">
        <v>2025</v>
      </c>
      <c r="G199">
        <v>1</v>
      </c>
      <c r="H199">
        <v>0</v>
      </c>
      <c r="I199">
        <v>35</v>
      </c>
      <c r="J199">
        <v>0</v>
      </c>
      <c r="K199">
        <v>2400000000</v>
      </c>
      <c r="L199">
        <v>49.35</v>
      </c>
      <c r="M199">
        <v>118440000</v>
      </c>
      <c r="N199">
        <v>50090000</v>
      </c>
      <c r="O199">
        <v>80287000</v>
      </c>
      <c r="P199">
        <v>9884000</v>
      </c>
      <c r="Q199">
        <v>2.0990944984866799</v>
      </c>
      <c r="R199">
        <v>18.201118272909302</v>
      </c>
      <c r="S199">
        <v>0.62388680608317704</v>
      </c>
      <c r="T199">
        <v>0.123108348798685</v>
      </c>
      <c r="U199">
        <v>1995</v>
      </c>
      <c r="V199">
        <v>30</v>
      </c>
      <c r="Y199">
        <v>1</v>
      </c>
      <c r="Z199" t="s">
        <v>933</v>
      </c>
      <c r="AA199" t="s">
        <v>1544</v>
      </c>
    </row>
    <row r="200" spans="1:27" ht="15" customHeight="1" x14ac:dyDescent="0.3">
      <c r="A200">
        <v>231</v>
      </c>
      <c r="B200">
        <v>47</v>
      </c>
      <c r="C200" t="s">
        <v>943</v>
      </c>
      <c r="D200" t="s">
        <v>944</v>
      </c>
      <c r="E200" t="s">
        <v>709</v>
      </c>
      <c r="F200">
        <v>2021</v>
      </c>
      <c r="G200">
        <v>0</v>
      </c>
      <c r="H200">
        <v>0</v>
      </c>
      <c r="I200">
        <v>35</v>
      </c>
      <c r="J200">
        <v>0</v>
      </c>
      <c r="K200">
        <v>35895000000</v>
      </c>
      <c r="L200">
        <v>10.23</v>
      </c>
      <c r="M200">
        <v>367205850</v>
      </c>
      <c r="N200">
        <v>8052517000</v>
      </c>
      <c r="O200">
        <v>8932373000</v>
      </c>
      <c r="P200">
        <v>149709000</v>
      </c>
      <c r="Q200">
        <v>0.94260761949820104</v>
      </c>
      <c r="R200">
        <v>22.9129479300166</v>
      </c>
      <c r="S200">
        <v>0.901498067758702</v>
      </c>
      <c r="T200">
        <v>1.6760271878480702E-2</v>
      </c>
      <c r="U200">
        <v>2010</v>
      </c>
      <c r="V200">
        <v>11</v>
      </c>
      <c r="Y200">
        <v>1</v>
      </c>
      <c r="Z200" t="s">
        <v>727</v>
      </c>
      <c r="AA200" t="s">
        <v>1545</v>
      </c>
    </row>
    <row r="201" spans="1:27" ht="15" customHeight="1" x14ac:dyDescent="0.3">
      <c r="A201">
        <v>232</v>
      </c>
      <c r="B201">
        <v>47</v>
      </c>
      <c r="C201" t="s">
        <v>943</v>
      </c>
      <c r="D201" t="s">
        <v>944</v>
      </c>
      <c r="E201" t="s">
        <v>709</v>
      </c>
      <c r="F201">
        <v>2022</v>
      </c>
      <c r="G201">
        <v>0</v>
      </c>
      <c r="H201">
        <v>0</v>
      </c>
      <c r="I201">
        <v>50</v>
      </c>
      <c r="J201">
        <v>0</v>
      </c>
      <c r="K201">
        <v>35895000000</v>
      </c>
      <c r="L201">
        <v>10.11</v>
      </c>
      <c r="M201">
        <v>362898450</v>
      </c>
      <c r="N201">
        <v>9581969000</v>
      </c>
      <c r="O201">
        <v>10577710000</v>
      </c>
      <c r="P201">
        <v>134403000</v>
      </c>
      <c r="Q201">
        <v>0.94017206465293501</v>
      </c>
      <c r="R201">
        <v>23.082014793824001</v>
      </c>
      <c r="S201">
        <v>0.90586421824761698</v>
      </c>
      <c r="T201">
        <v>1.2706247382467501E-2</v>
      </c>
      <c r="U201">
        <v>2010</v>
      </c>
      <c r="V201">
        <v>12</v>
      </c>
      <c r="Y201">
        <v>1</v>
      </c>
      <c r="Z201" t="s">
        <v>727</v>
      </c>
      <c r="AA201" t="s">
        <v>1545</v>
      </c>
    </row>
    <row r="202" spans="1:27" ht="15" customHeight="1" x14ac:dyDescent="0.3">
      <c r="A202">
        <v>233</v>
      </c>
      <c r="B202">
        <v>47</v>
      </c>
      <c r="C202" t="s">
        <v>943</v>
      </c>
      <c r="D202" t="s">
        <v>944</v>
      </c>
      <c r="E202" t="s">
        <v>709</v>
      </c>
      <c r="F202">
        <v>2023</v>
      </c>
      <c r="G202">
        <v>1</v>
      </c>
      <c r="H202">
        <v>0</v>
      </c>
      <c r="I202">
        <v>65</v>
      </c>
      <c r="J202">
        <v>53.3333333333333</v>
      </c>
      <c r="K202">
        <v>35895000000</v>
      </c>
      <c r="L202">
        <v>22.46</v>
      </c>
      <c r="M202">
        <v>806201700</v>
      </c>
      <c r="N202">
        <v>15190663000</v>
      </c>
      <c r="O202">
        <v>16937684000</v>
      </c>
      <c r="P202">
        <v>308203000</v>
      </c>
      <c r="Q202">
        <v>0.94445407648412905</v>
      </c>
      <c r="R202">
        <v>23.552806798995999</v>
      </c>
      <c r="S202">
        <v>0.89685596921042998</v>
      </c>
      <c r="T202">
        <v>1.8196289410051601E-2</v>
      </c>
      <c r="U202">
        <v>2010</v>
      </c>
      <c r="V202">
        <v>13</v>
      </c>
      <c r="Y202">
        <v>1</v>
      </c>
      <c r="Z202" t="s">
        <v>727</v>
      </c>
      <c r="AA202" t="s">
        <v>1545</v>
      </c>
    </row>
    <row r="203" spans="1:27" ht="15" customHeight="1" x14ac:dyDescent="0.3">
      <c r="A203">
        <v>234</v>
      </c>
      <c r="B203">
        <v>47</v>
      </c>
      <c r="C203" t="s">
        <v>943</v>
      </c>
      <c r="D203" t="s">
        <v>944</v>
      </c>
      <c r="E203" t="s">
        <v>709</v>
      </c>
      <c r="F203">
        <v>2024</v>
      </c>
      <c r="G203">
        <v>1</v>
      </c>
      <c r="H203">
        <v>0</v>
      </c>
      <c r="I203">
        <v>10</v>
      </c>
      <c r="J203">
        <v>0</v>
      </c>
      <c r="K203">
        <v>36093000000</v>
      </c>
      <c r="L203">
        <v>27.4</v>
      </c>
      <c r="M203">
        <v>988948200</v>
      </c>
      <c r="N203">
        <v>23728884000</v>
      </c>
      <c r="O203">
        <v>26524218000</v>
      </c>
      <c r="P203">
        <v>670799000</v>
      </c>
      <c r="Q203">
        <v>0.93189673678598195</v>
      </c>
      <c r="R203">
        <v>24.001324039390799</v>
      </c>
      <c r="S203">
        <v>0.89461201080461605</v>
      </c>
      <c r="T203">
        <v>2.5290057561734702E-2</v>
      </c>
      <c r="U203">
        <v>2010</v>
      </c>
      <c r="V203">
        <v>14</v>
      </c>
      <c r="Y203">
        <v>1</v>
      </c>
      <c r="Z203" t="s">
        <v>727</v>
      </c>
      <c r="AA203" t="s">
        <v>1545</v>
      </c>
    </row>
    <row r="204" spans="1:27" ht="15" customHeight="1" x14ac:dyDescent="0.3">
      <c r="A204">
        <v>235</v>
      </c>
      <c r="B204">
        <v>47</v>
      </c>
      <c r="C204" t="s">
        <v>943</v>
      </c>
      <c r="D204" t="s">
        <v>944</v>
      </c>
      <c r="E204" t="s">
        <v>709</v>
      </c>
      <c r="F204">
        <v>2025</v>
      </c>
      <c r="G204">
        <v>1</v>
      </c>
      <c r="H204">
        <v>0</v>
      </c>
      <c r="I204">
        <v>20</v>
      </c>
      <c r="J204">
        <v>13.3333333333333</v>
      </c>
      <c r="K204">
        <v>44454000000</v>
      </c>
      <c r="L204">
        <v>47.9</v>
      </c>
      <c r="M204">
        <v>2129346600</v>
      </c>
      <c r="N204">
        <v>23949570000</v>
      </c>
      <c r="O204">
        <v>27250935000</v>
      </c>
      <c r="P204">
        <v>132684000</v>
      </c>
      <c r="Q204">
        <v>0.956991626158882</v>
      </c>
      <c r="R204">
        <v>24.028353669393599</v>
      </c>
      <c r="S204">
        <v>0.87885314760759603</v>
      </c>
      <c r="T204">
        <v>4.8689705509187102E-3</v>
      </c>
      <c r="U204">
        <v>2010</v>
      </c>
      <c r="V204">
        <v>15</v>
      </c>
      <c r="Y204">
        <v>1</v>
      </c>
      <c r="Z204" t="s">
        <v>727</v>
      </c>
      <c r="AA204" t="s">
        <v>1545</v>
      </c>
    </row>
    <row r="205" spans="1:27" ht="15" customHeight="1" x14ac:dyDescent="0.3">
      <c r="A205">
        <v>236</v>
      </c>
      <c r="B205">
        <v>48</v>
      </c>
      <c r="C205" t="s">
        <v>947</v>
      </c>
      <c r="D205" t="s">
        <v>948</v>
      </c>
      <c r="E205" t="s">
        <v>709</v>
      </c>
      <c r="F205">
        <v>2021</v>
      </c>
      <c r="G205">
        <v>0</v>
      </c>
      <c r="H205">
        <v>0</v>
      </c>
      <c r="I205">
        <v>0</v>
      </c>
      <c r="J205">
        <v>0</v>
      </c>
      <c r="K205">
        <v>12911000000</v>
      </c>
      <c r="L205">
        <v>0.2</v>
      </c>
      <c r="M205">
        <v>2582200</v>
      </c>
      <c r="N205">
        <v>10847000</v>
      </c>
      <c r="O205">
        <v>7698000</v>
      </c>
      <c r="P205">
        <v>-1725000</v>
      </c>
      <c r="Q205">
        <v>1.74450506625097</v>
      </c>
      <c r="R205">
        <v>15.856471112825799</v>
      </c>
      <c r="S205">
        <v>1.4090672902052499</v>
      </c>
      <c r="T205">
        <v>-0.22408417770849601</v>
      </c>
      <c r="U205">
        <v>1981</v>
      </c>
      <c r="V205">
        <v>40</v>
      </c>
      <c r="Y205">
        <v>0</v>
      </c>
      <c r="Z205" t="s">
        <v>950</v>
      </c>
      <c r="AA205" t="s">
        <v>1546</v>
      </c>
    </row>
    <row r="206" spans="1:27" ht="15" customHeight="1" x14ac:dyDescent="0.3">
      <c r="A206">
        <v>237</v>
      </c>
      <c r="B206">
        <v>48</v>
      </c>
      <c r="C206" t="s">
        <v>947</v>
      </c>
      <c r="D206" t="s">
        <v>948</v>
      </c>
      <c r="E206" t="s">
        <v>709</v>
      </c>
      <c r="F206">
        <v>2022</v>
      </c>
      <c r="G206">
        <v>0</v>
      </c>
      <c r="H206">
        <v>0</v>
      </c>
      <c r="I206">
        <v>0</v>
      </c>
      <c r="J206">
        <v>0</v>
      </c>
      <c r="K206">
        <v>12911000000</v>
      </c>
      <c r="L206">
        <v>0.2</v>
      </c>
      <c r="M206">
        <v>2582200</v>
      </c>
      <c r="N206">
        <v>10620000</v>
      </c>
      <c r="O206">
        <v>6190000</v>
      </c>
      <c r="P206">
        <v>-829720</v>
      </c>
      <c r="Q206">
        <v>2.1328271405492698</v>
      </c>
      <c r="R206">
        <v>15.6384456446608</v>
      </c>
      <c r="S206">
        <v>1.7156704361874</v>
      </c>
      <c r="T206">
        <v>-0.134042003231018</v>
      </c>
      <c r="U206">
        <v>1981</v>
      </c>
      <c r="V206">
        <v>41</v>
      </c>
      <c r="Y206">
        <v>0</v>
      </c>
      <c r="Z206" t="s">
        <v>950</v>
      </c>
      <c r="AA206" t="s">
        <v>1546</v>
      </c>
    </row>
    <row r="207" spans="1:27" ht="15" customHeight="1" x14ac:dyDescent="0.3">
      <c r="A207">
        <v>238</v>
      </c>
      <c r="B207">
        <v>48</v>
      </c>
      <c r="C207" t="s">
        <v>947</v>
      </c>
      <c r="D207" t="s">
        <v>948</v>
      </c>
      <c r="E207" t="s">
        <v>709</v>
      </c>
      <c r="F207">
        <v>2023</v>
      </c>
      <c r="G207">
        <v>1</v>
      </c>
      <c r="H207">
        <v>0</v>
      </c>
      <c r="I207">
        <v>0</v>
      </c>
      <c r="J207">
        <v>0</v>
      </c>
      <c r="K207">
        <v>12911000000</v>
      </c>
      <c r="L207">
        <v>0.2</v>
      </c>
      <c r="M207">
        <v>2582200</v>
      </c>
      <c r="N207">
        <v>12426000</v>
      </c>
      <c r="O207">
        <v>7512000</v>
      </c>
      <c r="P207">
        <v>-1816000</v>
      </c>
      <c r="Q207">
        <v>1.99789669861555</v>
      </c>
      <c r="R207">
        <v>15.8320122998702</v>
      </c>
      <c r="S207">
        <v>1.6541533546325899</v>
      </c>
      <c r="T207">
        <v>-0.24174653887114</v>
      </c>
      <c r="U207">
        <v>1981</v>
      </c>
      <c r="V207">
        <v>42</v>
      </c>
      <c r="Y207">
        <v>0</v>
      </c>
      <c r="Z207" t="s">
        <v>950</v>
      </c>
      <c r="AA207" t="s">
        <v>1546</v>
      </c>
    </row>
    <row r="208" spans="1:27" ht="15" customHeight="1" x14ac:dyDescent="0.3">
      <c r="A208">
        <v>239</v>
      </c>
      <c r="B208">
        <v>48</v>
      </c>
      <c r="C208" t="s">
        <v>947</v>
      </c>
      <c r="D208" t="s">
        <v>948</v>
      </c>
      <c r="E208" t="s">
        <v>709</v>
      </c>
      <c r="F208">
        <v>2024</v>
      </c>
      <c r="G208">
        <v>1</v>
      </c>
      <c r="H208">
        <v>0</v>
      </c>
      <c r="I208">
        <v>0</v>
      </c>
      <c r="J208">
        <v>0</v>
      </c>
      <c r="K208">
        <v>12911000000</v>
      </c>
      <c r="L208">
        <v>0.2</v>
      </c>
      <c r="M208">
        <v>2582200</v>
      </c>
      <c r="N208">
        <v>14835000</v>
      </c>
      <c r="O208">
        <v>13760000</v>
      </c>
      <c r="P208">
        <v>4990000</v>
      </c>
      <c r="Q208">
        <v>1.26578488372093</v>
      </c>
      <c r="R208">
        <v>16.437276390469499</v>
      </c>
      <c r="S208">
        <v>1.078125</v>
      </c>
      <c r="T208">
        <v>0.362645348837209</v>
      </c>
      <c r="U208">
        <v>1981</v>
      </c>
      <c r="V208">
        <v>43</v>
      </c>
      <c r="Y208">
        <v>0</v>
      </c>
      <c r="Z208" t="s">
        <v>950</v>
      </c>
      <c r="AA208" t="s">
        <v>1546</v>
      </c>
    </row>
    <row r="209" spans="1:27" ht="15" customHeight="1" x14ac:dyDescent="0.3">
      <c r="A209">
        <v>240</v>
      </c>
      <c r="B209">
        <v>48</v>
      </c>
      <c r="C209" t="s">
        <v>947</v>
      </c>
      <c r="D209" t="s">
        <v>948</v>
      </c>
      <c r="E209" t="s">
        <v>709</v>
      </c>
      <c r="F209">
        <v>2025</v>
      </c>
      <c r="G209">
        <v>1</v>
      </c>
      <c r="H209">
        <v>0</v>
      </c>
      <c r="I209">
        <v>0</v>
      </c>
      <c r="J209">
        <v>0</v>
      </c>
      <c r="K209">
        <v>12911000000</v>
      </c>
      <c r="L209">
        <v>0.2</v>
      </c>
      <c r="M209">
        <v>2582200</v>
      </c>
      <c r="N209">
        <v>15702000</v>
      </c>
      <c r="O209">
        <v>25052000</v>
      </c>
      <c r="P209">
        <v>-1688000</v>
      </c>
      <c r="Q209">
        <v>0.72984991218266004</v>
      </c>
      <c r="R209">
        <v>17.036464222627401</v>
      </c>
      <c r="S209">
        <v>0.62677630528500705</v>
      </c>
      <c r="T209">
        <v>-6.7379849912182696E-2</v>
      </c>
      <c r="U209">
        <v>1981</v>
      </c>
      <c r="V209">
        <v>44</v>
      </c>
      <c r="Y209">
        <v>0</v>
      </c>
      <c r="Z209" t="s">
        <v>950</v>
      </c>
      <c r="AA209" t="s">
        <v>1546</v>
      </c>
    </row>
    <row r="210" spans="1:27" ht="15" customHeight="1" x14ac:dyDescent="0.3">
      <c r="A210">
        <v>241</v>
      </c>
      <c r="B210">
        <v>49</v>
      </c>
      <c r="C210" t="s">
        <v>952</v>
      </c>
      <c r="D210" t="s">
        <v>953</v>
      </c>
      <c r="E210" t="s">
        <v>903</v>
      </c>
      <c r="F210">
        <v>2021</v>
      </c>
      <c r="G210">
        <v>0</v>
      </c>
      <c r="H210">
        <v>0</v>
      </c>
      <c r="I210">
        <v>0</v>
      </c>
      <c r="J210">
        <v>0</v>
      </c>
      <c r="K210">
        <v>2200000000</v>
      </c>
      <c r="L210">
        <v>0.39</v>
      </c>
      <c r="M210">
        <v>858000</v>
      </c>
      <c r="N210">
        <v>9415000</v>
      </c>
      <c r="O210">
        <v>7441000</v>
      </c>
      <c r="P210">
        <v>-1479000</v>
      </c>
      <c r="Q210">
        <v>1.3805940061819599</v>
      </c>
      <c r="R210">
        <v>15.8225158063794</v>
      </c>
      <c r="S210">
        <v>1.26528692380056</v>
      </c>
      <c r="T210">
        <v>-0.198763607042064</v>
      </c>
      <c r="U210">
        <v>1991</v>
      </c>
      <c r="V210">
        <v>30</v>
      </c>
      <c r="Y210">
        <v>0</v>
      </c>
      <c r="Z210" t="s">
        <v>885</v>
      </c>
      <c r="AA210" t="s">
        <v>1547</v>
      </c>
    </row>
    <row r="211" spans="1:27" ht="15" customHeight="1" x14ac:dyDescent="0.3">
      <c r="A211">
        <v>242</v>
      </c>
      <c r="B211">
        <v>49</v>
      </c>
      <c r="C211" t="s">
        <v>952</v>
      </c>
      <c r="D211" t="s">
        <v>953</v>
      </c>
      <c r="E211" t="s">
        <v>903</v>
      </c>
      <c r="F211">
        <v>2022</v>
      </c>
      <c r="G211">
        <v>0</v>
      </c>
      <c r="H211">
        <v>0</v>
      </c>
      <c r="I211">
        <v>0</v>
      </c>
      <c r="J211">
        <v>0</v>
      </c>
      <c r="K211">
        <v>3900000000</v>
      </c>
      <c r="L211">
        <v>0.28999999999999998</v>
      </c>
      <c r="M211">
        <v>1131000</v>
      </c>
      <c r="N211">
        <v>8831000</v>
      </c>
      <c r="O211">
        <v>7277000</v>
      </c>
      <c r="P211">
        <v>-431190</v>
      </c>
      <c r="Q211">
        <v>1.3689707296963001</v>
      </c>
      <c r="R211">
        <v>15.800229247329201</v>
      </c>
      <c r="S211">
        <v>1.2135495396454601</v>
      </c>
      <c r="T211">
        <v>-5.9253813384636499E-2</v>
      </c>
      <c r="U211">
        <v>1991</v>
      </c>
      <c r="V211">
        <v>31</v>
      </c>
      <c r="Y211">
        <v>0</v>
      </c>
      <c r="Z211" t="s">
        <v>885</v>
      </c>
      <c r="AA211" t="s">
        <v>1547</v>
      </c>
    </row>
    <row r="212" spans="1:27" ht="15" customHeight="1" x14ac:dyDescent="0.3">
      <c r="A212">
        <v>243</v>
      </c>
      <c r="B212">
        <v>49</v>
      </c>
      <c r="C212" t="s">
        <v>952</v>
      </c>
      <c r="D212" t="s">
        <v>953</v>
      </c>
      <c r="E212" t="s">
        <v>903</v>
      </c>
      <c r="F212">
        <v>2023</v>
      </c>
      <c r="G212">
        <v>1</v>
      </c>
      <c r="H212">
        <v>0</v>
      </c>
      <c r="I212">
        <v>0</v>
      </c>
      <c r="J212">
        <v>0</v>
      </c>
      <c r="K212">
        <v>3900000000</v>
      </c>
      <c r="L212">
        <v>1.48</v>
      </c>
      <c r="M212">
        <v>5772000</v>
      </c>
      <c r="N212">
        <v>9967000</v>
      </c>
      <c r="O212">
        <v>13250000</v>
      </c>
      <c r="P212">
        <v>-10650000</v>
      </c>
      <c r="Q212">
        <v>1.18784905660377</v>
      </c>
      <c r="R212">
        <v>16.3995081103965</v>
      </c>
      <c r="S212">
        <v>0.75222641509433996</v>
      </c>
      <c r="T212">
        <v>-0.80377358490565998</v>
      </c>
      <c r="U212">
        <v>1991</v>
      </c>
      <c r="V212">
        <v>32</v>
      </c>
      <c r="Y212">
        <v>0</v>
      </c>
      <c r="Z212" t="s">
        <v>885</v>
      </c>
      <c r="AA212" t="s">
        <v>1547</v>
      </c>
    </row>
    <row r="213" spans="1:27" ht="15" customHeight="1" x14ac:dyDescent="0.3">
      <c r="A213">
        <v>244</v>
      </c>
      <c r="B213">
        <v>49</v>
      </c>
      <c r="C213" t="s">
        <v>952</v>
      </c>
      <c r="D213" t="s">
        <v>953</v>
      </c>
      <c r="E213" t="s">
        <v>903</v>
      </c>
      <c r="F213">
        <v>2024</v>
      </c>
      <c r="G213">
        <v>1</v>
      </c>
      <c r="H213">
        <v>0</v>
      </c>
      <c r="I213">
        <v>0</v>
      </c>
      <c r="J213">
        <v>0</v>
      </c>
      <c r="K213">
        <v>3900000000</v>
      </c>
      <c r="L213">
        <v>1.82</v>
      </c>
      <c r="M213">
        <v>7098000</v>
      </c>
      <c r="N213">
        <v>17649000</v>
      </c>
      <c r="O213">
        <v>21094000</v>
      </c>
      <c r="P213">
        <v>-9530000</v>
      </c>
      <c r="Q213">
        <v>1.1731772067886601</v>
      </c>
      <c r="R213">
        <v>16.864499197818699</v>
      </c>
      <c r="S213">
        <v>0.83668341708542704</v>
      </c>
      <c r="T213">
        <v>-0.45178723807717802</v>
      </c>
      <c r="U213">
        <v>1991</v>
      </c>
      <c r="V213">
        <v>33</v>
      </c>
      <c r="Y213">
        <v>0</v>
      </c>
      <c r="Z213" t="s">
        <v>885</v>
      </c>
      <c r="AA213" t="s">
        <v>1547</v>
      </c>
    </row>
    <row r="214" spans="1:27" ht="15" customHeight="1" x14ac:dyDescent="0.3">
      <c r="A214">
        <v>245</v>
      </c>
      <c r="B214">
        <v>49</v>
      </c>
      <c r="C214" t="s">
        <v>952</v>
      </c>
      <c r="D214" t="s">
        <v>953</v>
      </c>
      <c r="E214" t="s">
        <v>903</v>
      </c>
      <c r="F214">
        <v>2025</v>
      </c>
      <c r="G214">
        <v>1</v>
      </c>
      <c r="H214">
        <v>0</v>
      </c>
      <c r="I214">
        <v>0</v>
      </c>
      <c r="J214">
        <v>0</v>
      </c>
      <c r="K214">
        <v>3900000000</v>
      </c>
      <c r="L214">
        <v>5</v>
      </c>
      <c r="M214">
        <v>19500000</v>
      </c>
      <c r="N214">
        <v>21602000</v>
      </c>
      <c r="O214">
        <v>22145000</v>
      </c>
      <c r="P214">
        <v>-252650</v>
      </c>
      <c r="Q214">
        <v>1.8560397380898599</v>
      </c>
      <c r="R214">
        <v>16.913122295339399</v>
      </c>
      <c r="S214">
        <v>0.97547979227816695</v>
      </c>
      <c r="T214">
        <v>-1.1408895913298699E-2</v>
      </c>
      <c r="U214">
        <v>1991</v>
      </c>
      <c r="V214">
        <v>34</v>
      </c>
      <c r="Y214">
        <v>0</v>
      </c>
      <c r="Z214" t="s">
        <v>885</v>
      </c>
      <c r="AA214" t="s">
        <v>1547</v>
      </c>
    </row>
    <row r="215" spans="1:27" ht="15" customHeight="1" x14ac:dyDescent="0.3">
      <c r="A215">
        <v>247</v>
      </c>
      <c r="B215">
        <v>50</v>
      </c>
      <c r="C215" t="s">
        <v>957</v>
      </c>
      <c r="D215" t="s">
        <v>958</v>
      </c>
      <c r="E215" t="s">
        <v>959</v>
      </c>
      <c r="F215">
        <v>2022</v>
      </c>
      <c r="G215">
        <v>0</v>
      </c>
      <c r="H215">
        <v>0</v>
      </c>
      <c r="I215">
        <v>40</v>
      </c>
      <c r="J215">
        <v>0</v>
      </c>
      <c r="K215">
        <v>2500000000</v>
      </c>
      <c r="L215">
        <v>149</v>
      </c>
      <c r="M215">
        <v>372500000</v>
      </c>
      <c r="N215">
        <v>124927000</v>
      </c>
      <c r="O215">
        <v>174030000</v>
      </c>
      <c r="P215">
        <v>10171000</v>
      </c>
      <c r="Q215">
        <v>2.8582830546457498</v>
      </c>
      <c r="R215">
        <v>18.974738256110399</v>
      </c>
      <c r="S215">
        <v>0.71784749755789201</v>
      </c>
      <c r="T215">
        <v>5.8443946446015103E-2</v>
      </c>
      <c r="U215">
        <v>2006</v>
      </c>
      <c r="V215">
        <v>16</v>
      </c>
      <c r="Y215">
        <v>0</v>
      </c>
      <c r="Z215" t="s">
        <v>832</v>
      </c>
      <c r="AA215" t="s">
        <v>1548</v>
      </c>
    </row>
    <row r="216" spans="1:27" ht="15" customHeight="1" x14ac:dyDescent="0.3">
      <c r="A216">
        <v>248</v>
      </c>
      <c r="B216">
        <v>50</v>
      </c>
      <c r="C216" t="s">
        <v>957</v>
      </c>
      <c r="D216" t="s">
        <v>958</v>
      </c>
      <c r="E216" t="s">
        <v>959</v>
      </c>
      <c r="F216">
        <v>2023</v>
      </c>
      <c r="G216">
        <v>1</v>
      </c>
      <c r="H216">
        <v>0</v>
      </c>
      <c r="I216">
        <v>0</v>
      </c>
      <c r="J216">
        <v>0</v>
      </c>
      <c r="K216">
        <v>2500000000</v>
      </c>
      <c r="L216">
        <v>399</v>
      </c>
      <c r="M216">
        <v>997500000</v>
      </c>
      <c r="N216">
        <v>136889000</v>
      </c>
      <c r="O216">
        <v>182043000</v>
      </c>
      <c r="P216">
        <v>16053000</v>
      </c>
      <c r="Q216">
        <v>6.2314343314491598</v>
      </c>
      <c r="R216">
        <v>19.019753480871501</v>
      </c>
      <c r="S216">
        <v>0.75195970182868899</v>
      </c>
      <c r="T216">
        <v>8.8182462385260604E-2</v>
      </c>
      <c r="U216">
        <v>2006</v>
      </c>
      <c r="V216">
        <v>17</v>
      </c>
      <c r="Y216">
        <v>0</v>
      </c>
      <c r="Z216" t="s">
        <v>832</v>
      </c>
      <c r="AA216" t="s">
        <v>1548</v>
      </c>
    </row>
    <row r="217" spans="1:27" ht="15" customHeight="1" x14ac:dyDescent="0.3">
      <c r="A217">
        <v>249</v>
      </c>
      <c r="B217">
        <v>50</v>
      </c>
      <c r="C217" t="s">
        <v>957</v>
      </c>
      <c r="D217" t="s">
        <v>958</v>
      </c>
      <c r="E217" t="s">
        <v>959</v>
      </c>
      <c r="F217">
        <v>2024</v>
      </c>
      <c r="G217">
        <v>1</v>
      </c>
      <c r="H217">
        <v>0</v>
      </c>
      <c r="I217">
        <v>0</v>
      </c>
      <c r="J217">
        <v>0</v>
      </c>
      <c r="K217">
        <v>2500000000</v>
      </c>
      <c r="L217">
        <v>1152</v>
      </c>
      <c r="M217">
        <v>2880000000</v>
      </c>
      <c r="N217">
        <v>190906000</v>
      </c>
      <c r="O217">
        <v>243470000</v>
      </c>
      <c r="P217">
        <v>27425000</v>
      </c>
      <c r="Q217">
        <v>12.613077586560999</v>
      </c>
      <c r="R217">
        <v>19.310504289611298</v>
      </c>
      <c r="S217">
        <v>0.78410481784203401</v>
      </c>
      <c r="T217">
        <v>0.112642214646568</v>
      </c>
      <c r="U217">
        <v>2006</v>
      </c>
      <c r="V217">
        <v>18</v>
      </c>
      <c r="Y217">
        <v>0</v>
      </c>
      <c r="Z217" t="s">
        <v>832</v>
      </c>
      <c r="AA217" t="s">
        <v>1548</v>
      </c>
    </row>
    <row r="218" spans="1:27" ht="15" customHeight="1" x14ac:dyDescent="0.3">
      <c r="A218">
        <v>250</v>
      </c>
      <c r="B218">
        <v>50</v>
      </c>
      <c r="C218" t="s">
        <v>957</v>
      </c>
      <c r="D218" t="s">
        <v>958</v>
      </c>
      <c r="E218" t="s">
        <v>959</v>
      </c>
      <c r="F218">
        <v>2025</v>
      </c>
      <c r="G218">
        <v>1</v>
      </c>
      <c r="H218">
        <v>0</v>
      </c>
      <c r="I218">
        <v>0</v>
      </c>
      <c r="J218">
        <v>0</v>
      </c>
      <c r="K218">
        <v>2500000000</v>
      </c>
      <c r="L218">
        <v>1140</v>
      </c>
      <c r="M218">
        <v>2850000000</v>
      </c>
      <c r="N218">
        <v>246377000</v>
      </c>
      <c r="O218">
        <v>305005000</v>
      </c>
      <c r="P218">
        <v>27251000</v>
      </c>
      <c r="Q218">
        <v>10.1518893132899</v>
      </c>
      <c r="R218">
        <v>19.535838727879899</v>
      </c>
      <c r="S218">
        <v>0.80778020032458497</v>
      </c>
      <c r="T218">
        <v>8.9346076293831303E-2</v>
      </c>
      <c r="U218">
        <v>2006</v>
      </c>
      <c r="V218">
        <v>19</v>
      </c>
      <c r="Y218">
        <v>0</v>
      </c>
      <c r="Z218" t="s">
        <v>832</v>
      </c>
      <c r="AA218" t="s">
        <v>1548</v>
      </c>
    </row>
    <row r="219" spans="1:27" ht="15" customHeight="1" x14ac:dyDescent="0.3">
      <c r="A219">
        <v>251</v>
      </c>
      <c r="B219">
        <v>51</v>
      </c>
      <c r="C219" t="s">
        <v>962</v>
      </c>
      <c r="D219" t="s">
        <v>963</v>
      </c>
      <c r="E219" t="s">
        <v>806</v>
      </c>
      <c r="F219">
        <v>2021</v>
      </c>
      <c r="G219">
        <v>0</v>
      </c>
      <c r="H219">
        <v>0</v>
      </c>
      <c r="I219">
        <v>0</v>
      </c>
      <c r="J219">
        <v>0</v>
      </c>
      <c r="K219">
        <v>1003344000</v>
      </c>
      <c r="L219">
        <v>0.81</v>
      </c>
      <c r="M219">
        <v>812708.64</v>
      </c>
      <c r="N219">
        <v>2383000</v>
      </c>
      <c r="O219">
        <v>4878000</v>
      </c>
      <c r="P219">
        <v>-225880</v>
      </c>
      <c r="Q219">
        <v>0.65512682246822496</v>
      </c>
      <c r="R219">
        <v>15.400245857758</v>
      </c>
      <c r="S219">
        <v>0.48851988519885198</v>
      </c>
      <c r="T219">
        <v>-4.6305863058630603E-2</v>
      </c>
      <c r="U219">
        <v>1962</v>
      </c>
      <c r="V219">
        <v>59</v>
      </c>
      <c r="Y219">
        <v>0</v>
      </c>
      <c r="Z219" t="s">
        <v>965</v>
      </c>
      <c r="AA219" t="s">
        <v>1549</v>
      </c>
    </row>
    <row r="220" spans="1:27" ht="15" customHeight="1" x14ac:dyDescent="0.3">
      <c r="A220">
        <v>252</v>
      </c>
      <c r="B220">
        <v>51</v>
      </c>
      <c r="C220" t="s">
        <v>962</v>
      </c>
      <c r="D220" t="s">
        <v>963</v>
      </c>
      <c r="E220" t="s">
        <v>806</v>
      </c>
      <c r="F220">
        <v>2022</v>
      </c>
      <c r="G220">
        <v>0</v>
      </c>
      <c r="H220">
        <v>0</v>
      </c>
      <c r="I220">
        <v>0</v>
      </c>
      <c r="J220">
        <v>0</v>
      </c>
      <c r="K220">
        <v>1003344000</v>
      </c>
      <c r="L220">
        <v>0.81</v>
      </c>
      <c r="M220">
        <v>812708.64</v>
      </c>
      <c r="N220">
        <v>3077000</v>
      </c>
      <c r="O220">
        <v>5074000</v>
      </c>
      <c r="P220">
        <v>-498670</v>
      </c>
      <c r="Q220">
        <v>0.76659610563657898</v>
      </c>
      <c r="R220">
        <v>15.4396400191414</v>
      </c>
      <c r="S220">
        <v>0.60642491131257403</v>
      </c>
      <c r="T220">
        <v>-9.8279463933780106E-2</v>
      </c>
      <c r="U220">
        <v>1962</v>
      </c>
      <c r="V220">
        <v>60</v>
      </c>
      <c r="Y220">
        <v>0</v>
      </c>
      <c r="Z220" t="s">
        <v>965</v>
      </c>
      <c r="AA220" t="s">
        <v>1549</v>
      </c>
    </row>
    <row r="221" spans="1:27" ht="15" customHeight="1" x14ac:dyDescent="0.3">
      <c r="A221">
        <v>253</v>
      </c>
      <c r="B221">
        <v>51</v>
      </c>
      <c r="C221" t="s">
        <v>962</v>
      </c>
      <c r="D221" t="s">
        <v>963</v>
      </c>
      <c r="E221" t="s">
        <v>806</v>
      </c>
      <c r="F221">
        <v>2023</v>
      </c>
      <c r="G221">
        <v>1</v>
      </c>
      <c r="H221">
        <v>0</v>
      </c>
      <c r="I221">
        <v>0</v>
      </c>
      <c r="J221">
        <v>0</v>
      </c>
      <c r="K221">
        <v>1003344000</v>
      </c>
      <c r="L221">
        <v>3.15</v>
      </c>
      <c r="M221">
        <v>3160533.6</v>
      </c>
      <c r="N221">
        <v>3495003</v>
      </c>
      <c r="O221">
        <v>4948680</v>
      </c>
      <c r="P221">
        <v>-543200</v>
      </c>
      <c r="Q221">
        <v>1.3449114915492599</v>
      </c>
      <c r="R221">
        <v>15.4146314323163</v>
      </c>
      <c r="S221">
        <v>0.70624954533330098</v>
      </c>
      <c r="T221">
        <v>-0.109766644842665</v>
      </c>
      <c r="U221">
        <v>1962</v>
      </c>
      <c r="V221">
        <v>61</v>
      </c>
      <c r="Y221">
        <v>0</v>
      </c>
      <c r="Z221" t="s">
        <v>965</v>
      </c>
      <c r="AA221" t="s">
        <v>1550</v>
      </c>
    </row>
    <row r="222" spans="1:27" ht="15" customHeight="1" x14ac:dyDescent="0.3">
      <c r="A222">
        <v>254</v>
      </c>
      <c r="B222">
        <v>51</v>
      </c>
      <c r="C222" t="s">
        <v>962</v>
      </c>
      <c r="D222" t="s">
        <v>963</v>
      </c>
      <c r="E222" t="s">
        <v>806</v>
      </c>
      <c r="F222">
        <v>2024</v>
      </c>
      <c r="G222">
        <v>1</v>
      </c>
      <c r="H222">
        <v>0</v>
      </c>
      <c r="I222">
        <v>0</v>
      </c>
      <c r="J222">
        <v>0</v>
      </c>
      <c r="K222">
        <v>1003344000</v>
      </c>
      <c r="L222">
        <v>8.64</v>
      </c>
      <c r="M222">
        <v>8668892.1600000001</v>
      </c>
      <c r="N222">
        <v>4113430</v>
      </c>
      <c r="O222">
        <v>5457614</v>
      </c>
      <c r="P222">
        <v>-109494</v>
      </c>
      <c r="Q222">
        <v>2.3421081373655199</v>
      </c>
      <c r="R222">
        <v>15.5125222558734</v>
      </c>
      <c r="S222">
        <v>0.75370482412277595</v>
      </c>
      <c r="T222">
        <v>-2.0062613442431099E-2</v>
      </c>
      <c r="U222">
        <v>1962</v>
      </c>
      <c r="V222">
        <v>62</v>
      </c>
      <c r="Y222">
        <v>0</v>
      </c>
      <c r="Z222" t="s">
        <v>965</v>
      </c>
      <c r="AA222" t="s">
        <v>1550</v>
      </c>
    </row>
    <row r="223" spans="1:27" ht="15" customHeight="1" x14ac:dyDescent="0.3">
      <c r="A223">
        <v>256</v>
      </c>
      <c r="B223">
        <v>52</v>
      </c>
      <c r="C223" t="s">
        <v>968</v>
      </c>
      <c r="D223" t="s">
        <v>969</v>
      </c>
      <c r="E223" t="s">
        <v>709</v>
      </c>
      <c r="F223">
        <v>2021</v>
      </c>
      <c r="G223">
        <v>0</v>
      </c>
      <c r="H223">
        <v>0</v>
      </c>
      <c r="I223">
        <v>30</v>
      </c>
      <c r="J223">
        <v>0</v>
      </c>
      <c r="K223">
        <v>27981000000</v>
      </c>
      <c r="L223">
        <v>27.35</v>
      </c>
      <c r="M223">
        <v>765280350</v>
      </c>
      <c r="N223">
        <v>4552808000</v>
      </c>
      <c r="O223">
        <v>5436035000</v>
      </c>
      <c r="P223">
        <v>172107000</v>
      </c>
      <c r="Q223">
        <v>0.97830281629901195</v>
      </c>
      <c r="R223">
        <v>22.4163157717723</v>
      </c>
      <c r="S223">
        <v>0.83752367304478403</v>
      </c>
      <c r="T223">
        <v>3.1660392179226199E-2</v>
      </c>
      <c r="U223">
        <v>2020</v>
      </c>
      <c r="V223">
        <v>1</v>
      </c>
      <c r="Y223">
        <v>1</v>
      </c>
      <c r="Z223" t="s">
        <v>722</v>
      </c>
      <c r="AA223" t="s">
        <v>1551</v>
      </c>
    </row>
    <row r="224" spans="1:27" ht="15" customHeight="1" x14ac:dyDescent="0.3">
      <c r="A224">
        <v>257</v>
      </c>
      <c r="B224">
        <v>52</v>
      </c>
      <c r="C224" t="s">
        <v>968</v>
      </c>
      <c r="D224" t="s">
        <v>969</v>
      </c>
      <c r="E224" t="s">
        <v>709</v>
      </c>
      <c r="F224">
        <v>2022</v>
      </c>
      <c r="G224">
        <v>0</v>
      </c>
      <c r="H224">
        <v>0</v>
      </c>
      <c r="I224">
        <v>50</v>
      </c>
      <c r="J224">
        <v>13.3333333333333</v>
      </c>
      <c r="K224">
        <v>28022000000</v>
      </c>
      <c r="L224">
        <v>24.16</v>
      </c>
      <c r="M224">
        <v>677011520</v>
      </c>
      <c r="N224">
        <v>5515307000</v>
      </c>
      <c r="O224">
        <v>6446456000</v>
      </c>
      <c r="P224">
        <v>166737000</v>
      </c>
      <c r="Q224">
        <v>0.96057717915083896</v>
      </c>
      <c r="R224">
        <v>22.586796359382699</v>
      </c>
      <c r="S224">
        <v>0.85555644838031897</v>
      </c>
      <c r="T224">
        <v>2.5864909339333102E-2</v>
      </c>
      <c r="U224">
        <v>2020</v>
      </c>
      <c r="V224">
        <v>2</v>
      </c>
      <c r="Y224">
        <v>1</v>
      </c>
      <c r="Z224" t="s">
        <v>722</v>
      </c>
      <c r="AA224" t="s">
        <v>1551</v>
      </c>
    </row>
    <row r="225" spans="1:27" ht="15" customHeight="1" x14ac:dyDescent="0.3">
      <c r="A225">
        <v>258</v>
      </c>
      <c r="B225">
        <v>52</v>
      </c>
      <c r="C225" t="s">
        <v>968</v>
      </c>
      <c r="D225" t="s">
        <v>969</v>
      </c>
      <c r="E225" t="s">
        <v>709</v>
      </c>
      <c r="F225">
        <v>2023</v>
      </c>
      <c r="G225">
        <v>1</v>
      </c>
      <c r="H225">
        <v>1</v>
      </c>
      <c r="I225">
        <v>60</v>
      </c>
      <c r="J225">
        <v>53.3333333333333</v>
      </c>
      <c r="K225">
        <v>28022000000</v>
      </c>
      <c r="L225">
        <v>42.47</v>
      </c>
      <c r="M225">
        <v>1190094340</v>
      </c>
      <c r="N225">
        <v>8214127000</v>
      </c>
      <c r="O225">
        <v>9691255000</v>
      </c>
      <c r="P225">
        <v>534425000</v>
      </c>
      <c r="Q225">
        <v>0.97038219920949398</v>
      </c>
      <c r="R225">
        <v>22.9944897694266</v>
      </c>
      <c r="S225">
        <v>0.84758135040301796</v>
      </c>
      <c r="T225">
        <v>5.5145076669636701E-2</v>
      </c>
      <c r="U225">
        <v>2020</v>
      </c>
      <c r="V225">
        <v>3</v>
      </c>
      <c r="Y225">
        <v>1</v>
      </c>
      <c r="Z225" t="s">
        <v>722</v>
      </c>
      <c r="AA225" t="s">
        <v>1551</v>
      </c>
    </row>
    <row r="226" spans="1:27" ht="15" customHeight="1" x14ac:dyDescent="0.3">
      <c r="A226">
        <v>259</v>
      </c>
      <c r="B226">
        <v>52</v>
      </c>
      <c r="C226" t="s">
        <v>968</v>
      </c>
      <c r="D226" t="s">
        <v>969</v>
      </c>
      <c r="E226" t="s">
        <v>709</v>
      </c>
      <c r="F226">
        <v>2024</v>
      </c>
      <c r="G226">
        <v>1</v>
      </c>
      <c r="H226">
        <v>1</v>
      </c>
      <c r="I226">
        <v>46.666699999999999</v>
      </c>
      <c r="J226">
        <v>22.222200000000001</v>
      </c>
      <c r="K226">
        <v>29554000000</v>
      </c>
      <c r="L226">
        <v>56.85</v>
      </c>
      <c r="M226">
        <v>1680144900</v>
      </c>
      <c r="N226">
        <v>12083689000</v>
      </c>
      <c r="O226">
        <v>14795707000</v>
      </c>
      <c r="P226">
        <v>1006220000</v>
      </c>
      <c r="Q226">
        <v>0.93025861488065398</v>
      </c>
      <c r="R226">
        <v>23.417602908071199</v>
      </c>
      <c r="S226">
        <v>0.8167023718434</v>
      </c>
      <c r="T226">
        <v>6.8007564626685293E-2</v>
      </c>
      <c r="U226">
        <v>2020</v>
      </c>
      <c r="V226">
        <v>4</v>
      </c>
      <c r="Y226">
        <v>1</v>
      </c>
      <c r="Z226" t="s">
        <v>722</v>
      </c>
      <c r="AA226" t="s">
        <v>1552</v>
      </c>
    </row>
    <row r="227" spans="1:27" ht="15" customHeight="1" x14ac:dyDescent="0.3">
      <c r="A227">
        <v>260</v>
      </c>
      <c r="B227">
        <v>52</v>
      </c>
      <c r="C227" t="s">
        <v>968</v>
      </c>
      <c r="D227" t="s">
        <v>969</v>
      </c>
      <c r="E227" t="s">
        <v>709</v>
      </c>
      <c r="F227">
        <v>2025</v>
      </c>
      <c r="G227">
        <v>1</v>
      </c>
      <c r="H227">
        <v>1</v>
      </c>
      <c r="I227">
        <v>46.666699999999999</v>
      </c>
      <c r="J227">
        <v>22.222200000000001</v>
      </c>
      <c r="K227">
        <v>34601000000</v>
      </c>
      <c r="L227">
        <v>95.37</v>
      </c>
      <c r="M227">
        <v>3299897370</v>
      </c>
      <c r="N227">
        <v>14349772000</v>
      </c>
      <c r="O227">
        <v>17761152000</v>
      </c>
      <c r="P227">
        <v>853548000</v>
      </c>
      <c r="Q227">
        <v>0.99372323202909396</v>
      </c>
      <c r="R227">
        <v>23.600279437271698</v>
      </c>
      <c r="S227">
        <v>0.80793025137108199</v>
      </c>
      <c r="T227">
        <v>4.80570179231617E-2</v>
      </c>
      <c r="U227">
        <v>2020</v>
      </c>
      <c r="V227">
        <v>5</v>
      </c>
      <c r="Y227">
        <v>1</v>
      </c>
      <c r="Z227" t="s">
        <v>722</v>
      </c>
      <c r="AA227" t="s">
        <v>1552</v>
      </c>
    </row>
    <row r="228" spans="1:27" ht="15" customHeight="1" x14ac:dyDescent="0.3">
      <c r="A228">
        <v>261</v>
      </c>
      <c r="B228">
        <v>53</v>
      </c>
      <c r="C228" t="s">
        <v>972</v>
      </c>
      <c r="D228" t="s">
        <v>973</v>
      </c>
      <c r="E228" t="s">
        <v>709</v>
      </c>
      <c r="F228">
        <v>2021</v>
      </c>
      <c r="G228">
        <v>0</v>
      </c>
      <c r="H228">
        <v>0</v>
      </c>
      <c r="I228">
        <v>30</v>
      </c>
      <c r="J228">
        <v>0</v>
      </c>
      <c r="K228">
        <v>6140000000</v>
      </c>
      <c r="L228">
        <v>0.2</v>
      </c>
      <c r="M228">
        <v>1228000</v>
      </c>
      <c r="N228">
        <v>1348000</v>
      </c>
      <c r="O228">
        <v>3468000</v>
      </c>
      <c r="P228">
        <v>-23490</v>
      </c>
      <c r="Q228">
        <v>0.74279123414071502</v>
      </c>
      <c r="R228">
        <v>15.059088616882599</v>
      </c>
      <c r="S228">
        <v>0.38869665513264101</v>
      </c>
      <c r="T228">
        <v>-6.77335640138408E-3</v>
      </c>
      <c r="U228">
        <v>1958</v>
      </c>
      <c r="V228">
        <v>63</v>
      </c>
      <c r="Y228">
        <v>0</v>
      </c>
      <c r="Z228" t="s">
        <v>975</v>
      </c>
      <c r="AA228" t="s">
        <v>1553</v>
      </c>
    </row>
    <row r="229" spans="1:27" ht="15" customHeight="1" x14ac:dyDescent="0.3">
      <c r="A229">
        <v>262</v>
      </c>
      <c r="B229">
        <v>53</v>
      </c>
      <c r="C229" t="s">
        <v>972</v>
      </c>
      <c r="D229" t="s">
        <v>973</v>
      </c>
      <c r="E229" t="s">
        <v>709</v>
      </c>
      <c r="F229">
        <v>2022</v>
      </c>
      <c r="G229">
        <v>0</v>
      </c>
      <c r="H229">
        <v>0</v>
      </c>
      <c r="I229">
        <v>20</v>
      </c>
      <c r="J229">
        <v>0</v>
      </c>
      <c r="K229">
        <v>6140000000</v>
      </c>
      <c r="L229">
        <v>0.2</v>
      </c>
      <c r="M229">
        <v>1228000</v>
      </c>
      <c r="N229">
        <v>2066000</v>
      </c>
      <c r="O229">
        <v>4144000</v>
      </c>
      <c r="P229">
        <v>-83270</v>
      </c>
      <c r="Q229">
        <v>0.79488416988416999</v>
      </c>
      <c r="R229">
        <v>15.2371720629215</v>
      </c>
      <c r="S229">
        <v>0.49855212355212403</v>
      </c>
      <c r="T229">
        <v>-2.0094111969112E-2</v>
      </c>
      <c r="U229">
        <v>1958</v>
      </c>
      <c r="V229">
        <v>64</v>
      </c>
      <c r="Y229">
        <v>0</v>
      </c>
      <c r="Z229" t="s">
        <v>975</v>
      </c>
      <c r="AA229" t="s">
        <v>1553</v>
      </c>
    </row>
    <row r="230" spans="1:27" ht="15" customHeight="1" x14ac:dyDescent="0.3">
      <c r="A230">
        <v>263</v>
      </c>
      <c r="B230">
        <v>53</v>
      </c>
      <c r="C230" t="s">
        <v>972</v>
      </c>
      <c r="D230" t="s">
        <v>973</v>
      </c>
      <c r="E230" t="s">
        <v>709</v>
      </c>
      <c r="F230">
        <v>2023</v>
      </c>
      <c r="G230">
        <v>1</v>
      </c>
      <c r="H230">
        <v>0</v>
      </c>
      <c r="I230">
        <v>10</v>
      </c>
      <c r="J230">
        <v>0</v>
      </c>
      <c r="K230">
        <v>7943000000</v>
      </c>
      <c r="L230">
        <v>0.28999999999999998</v>
      </c>
      <c r="M230">
        <v>2303470</v>
      </c>
      <c r="N230">
        <v>1506000</v>
      </c>
      <c r="O230">
        <v>5003000</v>
      </c>
      <c r="P230">
        <v>477770</v>
      </c>
      <c r="Q230">
        <v>0.76143713771736998</v>
      </c>
      <c r="R230">
        <v>15.425548290470299</v>
      </c>
      <c r="S230">
        <v>0.30101938836698</v>
      </c>
      <c r="T230">
        <v>9.5496701978812701E-2</v>
      </c>
      <c r="U230">
        <v>1958</v>
      </c>
      <c r="V230">
        <v>65</v>
      </c>
      <c r="Y230">
        <v>0</v>
      </c>
      <c r="Z230" t="s">
        <v>975</v>
      </c>
      <c r="AA230" t="s">
        <v>1553</v>
      </c>
    </row>
    <row r="231" spans="1:27" ht="15" customHeight="1" x14ac:dyDescent="0.3">
      <c r="A231">
        <v>264</v>
      </c>
      <c r="B231">
        <v>53</v>
      </c>
      <c r="C231" t="s">
        <v>972</v>
      </c>
      <c r="D231" t="s">
        <v>973</v>
      </c>
      <c r="E231" t="s">
        <v>709</v>
      </c>
      <c r="F231">
        <v>2024</v>
      </c>
      <c r="G231">
        <v>1</v>
      </c>
      <c r="H231">
        <v>0</v>
      </c>
      <c r="I231">
        <v>55</v>
      </c>
      <c r="J231">
        <v>40</v>
      </c>
      <c r="K231">
        <v>7943000000</v>
      </c>
      <c r="L231">
        <v>0.81</v>
      </c>
      <c r="M231">
        <v>6433830</v>
      </c>
      <c r="N231">
        <v>1732000</v>
      </c>
      <c r="O231">
        <v>6953000</v>
      </c>
      <c r="P231">
        <v>936550</v>
      </c>
      <c r="Q231">
        <v>1.17443261901338</v>
      </c>
      <c r="R231">
        <v>15.7546837790812</v>
      </c>
      <c r="S231">
        <v>0.24910110743563901</v>
      </c>
      <c r="T231">
        <v>0.134697252984323</v>
      </c>
      <c r="U231">
        <v>1958</v>
      </c>
      <c r="V231">
        <v>66</v>
      </c>
      <c r="Y231">
        <v>0</v>
      </c>
      <c r="Z231" t="s">
        <v>975</v>
      </c>
      <c r="AA231" t="s">
        <v>1553</v>
      </c>
    </row>
    <row r="232" spans="1:27" ht="15" customHeight="1" x14ac:dyDescent="0.3">
      <c r="A232">
        <v>265</v>
      </c>
      <c r="B232">
        <v>53</v>
      </c>
      <c r="C232" t="s">
        <v>972</v>
      </c>
      <c r="D232" t="s">
        <v>973</v>
      </c>
      <c r="E232" t="s">
        <v>709</v>
      </c>
      <c r="F232">
        <v>2025</v>
      </c>
      <c r="G232">
        <v>1</v>
      </c>
      <c r="H232">
        <v>0</v>
      </c>
      <c r="I232">
        <v>28.75</v>
      </c>
      <c r="J232">
        <v>10</v>
      </c>
      <c r="K232">
        <v>7943000000</v>
      </c>
      <c r="L232">
        <v>1.33</v>
      </c>
      <c r="M232">
        <v>10564190</v>
      </c>
      <c r="N232">
        <v>1573000</v>
      </c>
      <c r="O232">
        <v>7415000</v>
      </c>
      <c r="P232">
        <v>353300</v>
      </c>
      <c r="Q232">
        <v>1.6368428860418101</v>
      </c>
      <c r="R232">
        <v>15.8190155335542</v>
      </c>
      <c r="S232">
        <v>0.212137559002023</v>
      </c>
      <c r="T232">
        <v>4.7646662171274397E-2</v>
      </c>
      <c r="U232">
        <v>1958</v>
      </c>
      <c r="V232">
        <v>67</v>
      </c>
      <c r="Y232">
        <v>0</v>
      </c>
      <c r="Z232" t="s">
        <v>975</v>
      </c>
      <c r="AA232" t="s">
        <v>1554</v>
      </c>
    </row>
    <row r="233" spans="1:27" ht="15" customHeight="1" x14ac:dyDescent="0.3">
      <c r="A233">
        <v>266</v>
      </c>
      <c r="B233">
        <v>54</v>
      </c>
      <c r="C233" t="s">
        <v>977</v>
      </c>
      <c r="D233" t="s">
        <v>978</v>
      </c>
      <c r="E233" t="s">
        <v>806</v>
      </c>
      <c r="F233">
        <v>2021</v>
      </c>
      <c r="G233">
        <v>0</v>
      </c>
      <c r="H233">
        <v>0</v>
      </c>
      <c r="I233">
        <v>50</v>
      </c>
      <c r="J233">
        <v>0</v>
      </c>
      <c r="K233">
        <v>2190382819</v>
      </c>
      <c r="L233">
        <v>39</v>
      </c>
      <c r="M233">
        <v>85424929.941</v>
      </c>
      <c r="N233">
        <v>95119950</v>
      </c>
      <c r="O233">
        <v>169406525</v>
      </c>
      <c r="P233">
        <v>1255338</v>
      </c>
      <c r="Q233">
        <v>1.0657492675739599</v>
      </c>
      <c r="R233">
        <v>18.947811857740302</v>
      </c>
      <c r="S233">
        <v>0.56148929328430497</v>
      </c>
      <c r="T233">
        <v>7.4102104390607196E-3</v>
      </c>
      <c r="U233">
        <v>1950</v>
      </c>
      <c r="V233">
        <v>71</v>
      </c>
      <c r="Y233">
        <v>1</v>
      </c>
      <c r="Z233" t="s">
        <v>711</v>
      </c>
      <c r="AA233" t="s">
        <v>1555</v>
      </c>
    </row>
    <row r="234" spans="1:27" ht="15" customHeight="1" x14ac:dyDescent="0.3">
      <c r="A234">
        <v>267</v>
      </c>
      <c r="B234">
        <v>54</v>
      </c>
      <c r="C234" t="s">
        <v>977</v>
      </c>
      <c r="D234" t="s">
        <v>978</v>
      </c>
      <c r="E234" t="s">
        <v>806</v>
      </c>
      <c r="F234">
        <v>2022</v>
      </c>
      <c r="G234">
        <v>0</v>
      </c>
      <c r="H234">
        <v>0</v>
      </c>
      <c r="I234">
        <v>5</v>
      </c>
      <c r="J234">
        <v>0</v>
      </c>
      <c r="K234">
        <v>2190382819</v>
      </c>
      <c r="L234">
        <v>69.3</v>
      </c>
      <c r="M234">
        <v>151793529.3567</v>
      </c>
      <c r="N234">
        <v>125681000</v>
      </c>
      <c r="O234">
        <v>215660000</v>
      </c>
      <c r="P234">
        <v>15651000</v>
      </c>
      <c r="Q234">
        <v>1.2866295527993099</v>
      </c>
      <c r="R234">
        <v>19.1892136514182</v>
      </c>
      <c r="S234">
        <v>0.58277381062783995</v>
      </c>
      <c r="T234">
        <v>7.2572567931002502E-2</v>
      </c>
      <c r="U234">
        <v>1950</v>
      </c>
      <c r="V234">
        <v>72</v>
      </c>
      <c r="Y234">
        <v>1</v>
      </c>
      <c r="Z234" t="s">
        <v>711</v>
      </c>
      <c r="AA234" t="s">
        <v>1556</v>
      </c>
    </row>
    <row r="235" spans="1:27" ht="15" customHeight="1" x14ac:dyDescent="0.3">
      <c r="A235">
        <v>268</v>
      </c>
      <c r="B235">
        <v>54</v>
      </c>
      <c r="C235" t="s">
        <v>977</v>
      </c>
      <c r="D235" t="s">
        <v>978</v>
      </c>
      <c r="E235" t="s">
        <v>806</v>
      </c>
      <c r="F235">
        <v>2023</v>
      </c>
      <c r="G235">
        <v>1</v>
      </c>
      <c r="H235">
        <v>0</v>
      </c>
      <c r="I235">
        <v>10</v>
      </c>
      <c r="J235">
        <v>6.6666666666666696</v>
      </c>
      <c r="K235">
        <v>2190382819</v>
      </c>
      <c r="L235">
        <v>66</v>
      </c>
      <c r="M235">
        <v>144565266.05399999</v>
      </c>
      <c r="N235">
        <v>185324000</v>
      </c>
      <c r="O235">
        <v>241748000</v>
      </c>
      <c r="P235">
        <v>-18168000</v>
      </c>
      <c r="Q235">
        <v>1.36459977354104</v>
      </c>
      <c r="R235">
        <v>19.303406419254198</v>
      </c>
      <c r="S235">
        <v>0.76659993050614705</v>
      </c>
      <c r="T235">
        <v>-7.5152638284494602E-2</v>
      </c>
      <c r="U235">
        <v>1950</v>
      </c>
      <c r="V235">
        <v>73</v>
      </c>
      <c r="Y235">
        <v>1</v>
      </c>
      <c r="Z235" t="s">
        <v>711</v>
      </c>
      <c r="AA235" t="s">
        <v>1557</v>
      </c>
    </row>
    <row r="236" spans="1:27" ht="15" customHeight="1" x14ac:dyDescent="0.3">
      <c r="A236">
        <v>269</v>
      </c>
      <c r="B236">
        <v>54</v>
      </c>
      <c r="C236" t="s">
        <v>977</v>
      </c>
      <c r="D236" t="s">
        <v>978</v>
      </c>
      <c r="E236" t="s">
        <v>806</v>
      </c>
      <c r="F236">
        <v>2024</v>
      </c>
      <c r="G236">
        <v>1</v>
      </c>
      <c r="H236">
        <v>0</v>
      </c>
      <c r="I236">
        <v>5</v>
      </c>
      <c r="J236">
        <v>0</v>
      </c>
      <c r="K236">
        <v>2190382819</v>
      </c>
      <c r="L236">
        <v>70.25</v>
      </c>
      <c r="M236">
        <v>153874393.03475001</v>
      </c>
      <c r="N236">
        <v>223969000</v>
      </c>
      <c r="O236">
        <v>226130000</v>
      </c>
      <c r="P236">
        <v>-54767000</v>
      </c>
      <c r="Q236">
        <v>1.67091227627803</v>
      </c>
      <c r="R236">
        <v>19.236620613099198</v>
      </c>
      <c r="S236">
        <v>0.99044355017025598</v>
      </c>
      <c r="T236">
        <v>-0.242192544111794</v>
      </c>
      <c r="U236">
        <v>1950</v>
      </c>
      <c r="V236">
        <v>74</v>
      </c>
      <c r="Y236">
        <v>1</v>
      </c>
      <c r="Z236" t="s">
        <v>711</v>
      </c>
      <c r="AA236" t="s">
        <v>1558</v>
      </c>
    </row>
    <row r="237" spans="1:27" ht="15" customHeight="1" x14ac:dyDescent="0.3">
      <c r="A237">
        <v>270</v>
      </c>
      <c r="B237">
        <v>54</v>
      </c>
      <c r="C237" t="s">
        <v>977</v>
      </c>
      <c r="D237" t="s">
        <v>978</v>
      </c>
      <c r="E237" t="s">
        <v>806</v>
      </c>
      <c r="F237">
        <v>2025</v>
      </c>
      <c r="G237">
        <v>1</v>
      </c>
      <c r="H237">
        <v>1</v>
      </c>
      <c r="I237">
        <v>5</v>
      </c>
      <c r="J237">
        <v>6.6666666666666696</v>
      </c>
      <c r="K237">
        <v>2190382819</v>
      </c>
      <c r="L237">
        <v>349.87</v>
      </c>
      <c r="M237">
        <v>766349236.88353002</v>
      </c>
      <c r="N237">
        <v>255145000</v>
      </c>
      <c r="O237">
        <v>273510000</v>
      </c>
      <c r="P237">
        <v>6885000</v>
      </c>
      <c r="Q237">
        <v>3.7347601070656702</v>
      </c>
      <c r="R237">
        <v>19.4268487422292</v>
      </c>
      <c r="S237">
        <v>0.93285437461153198</v>
      </c>
      <c r="T237">
        <v>2.5172754195459002E-2</v>
      </c>
      <c r="U237">
        <v>1950</v>
      </c>
      <c r="V237">
        <v>75</v>
      </c>
      <c r="Y237">
        <v>1</v>
      </c>
      <c r="Z237" t="s">
        <v>711</v>
      </c>
      <c r="AA237" t="s">
        <v>1559</v>
      </c>
    </row>
    <row r="238" spans="1:27" ht="15" customHeight="1" x14ac:dyDescent="0.3">
      <c r="A238">
        <v>271</v>
      </c>
      <c r="B238">
        <v>55</v>
      </c>
      <c r="C238" t="s">
        <v>981</v>
      </c>
      <c r="D238" t="s">
        <v>982</v>
      </c>
      <c r="E238" t="s">
        <v>772</v>
      </c>
      <c r="F238">
        <v>2021</v>
      </c>
      <c r="G238">
        <v>0</v>
      </c>
      <c r="H238">
        <v>0</v>
      </c>
      <c r="I238">
        <v>20</v>
      </c>
      <c r="J238">
        <v>26.6666666666667</v>
      </c>
      <c r="K238">
        <v>16108000000</v>
      </c>
      <c r="L238">
        <v>23.95</v>
      </c>
      <c r="M238">
        <v>385786600</v>
      </c>
      <c r="N238">
        <v>148278000</v>
      </c>
      <c r="O238">
        <v>526838000</v>
      </c>
      <c r="P238">
        <v>51004000</v>
      </c>
      <c r="Q238">
        <v>1.0137169300619899</v>
      </c>
      <c r="R238">
        <v>20.082403658868898</v>
      </c>
      <c r="S238">
        <v>0.281448946355426</v>
      </c>
      <c r="T238">
        <v>9.6811543586453497E-2</v>
      </c>
      <c r="U238">
        <v>1959</v>
      </c>
      <c r="V238">
        <v>62</v>
      </c>
      <c r="Y238">
        <v>1</v>
      </c>
      <c r="Z238" t="s">
        <v>722</v>
      </c>
      <c r="AA238" t="s">
        <v>1560</v>
      </c>
    </row>
    <row r="239" spans="1:27" ht="15" customHeight="1" x14ac:dyDescent="0.3">
      <c r="A239">
        <v>272</v>
      </c>
      <c r="B239">
        <v>55</v>
      </c>
      <c r="C239" t="s">
        <v>981</v>
      </c>
      <c r="D239" t="s">
        <v>982</v>
      </c>
      <c r="E239" t="s">
        <v>772</v>
      </c>
      <c r="F239">
        <v>2022</v>
      </c>
      <c r="G239">
        <v>0</v>
      </c>
      <c r="H239">
        <v>0</v>
      </c>
      <c r="I239">
        <v>55</v>
      </c>
      <c r="J239">
        <v>26.6666666666667</v>
      </c>
      <c r="K239">
        <v>16108000000</v>
      </c>
      <c r="L239">
        <v>24</v>
      </c>
      <c r="M239">
        <v>386592000</v>
      </c>
      <c r="N239">
        <v>184609000</v>
      </c>
      <c r="O239">
        <v>600711000</v>
      </c>
      <c r="P239">
        <v>53647000</v>
      </c>
      <c r="Q239">
        <v>0.95087487993394504</v>
      </c>
      <c r="R239">
        <v>20.2136245116221</v>
      </c>
      <c r="S239">
        <v>0.30731749543457698</v>
      </c>
      <c r="T239">
        <v>8.9305839247158805E-2</v>
      </c>
      <c r="U239">
        <v>1959</v>
      </c>
      <c r="V239">
        <v>63</v>
      </c>
      <c r="Y239">
        <v>1</v>
      </c>
      <c r="Z239" t="s">
        <v>722</v>
      </c>
      <c r="AA239" t="s">
        <v>1560</v>
      </c>
    </row>
    <row r="240" spans="1:27" ht="15" customHeight="1" x14ac:dyDescent="0.3">
      <c r="A240">
        <v>273</v>
      </c>
      <c r="B240">
        <v>55</v>
      </c>
      <c r="C240" t="s">
        <v>981</v>
      </c>
      <c r="D240" t="s">
        <v>982</v>
      </c>
      <c r="E240" t="s">
        <v>772</v>
      </c>
      <c r="F240">
        <v>2023</v>
      </c>
      <c r="G240">
        <v>1</v>
      </c>
      <c r="H240">
        <v>0</v>
      </c>
      <c r="I240">
        <v>65</v>
      </c>
      <c r="J240">
        <v>53.3333333333333</v>
      </c>
      <c r="K240">
        <v>16108000000</v>
      </c>
      <c r="L240">
        <v>31.5</v>
      </c>
      <c r="M240">
        <v>507402000</v>
      </c>
      <c r="N240">
        <v>246320000</v>
      </c>
      <c r="O240">
        <v>681372000</v>
      </c>
      <c r="P240">
        <v>51141000</v>
      </c>
      <c r="Q240">
        <v>1.10618281937033</v>
      </c>
      <c r="R240">
        <v>20.339618970477201</v>
      </c>
      <c r="S240">
        <v>0.36150590279612299</v>
      </c>
      <c r="T240">
        <v>7.5055916591817706E-2</v>
      </c>
      <c r="U240">
        <v>1959</v>
      </c>
      <c r="V240">
        <v>64</v>
      </c>
      <c r="Y240">
        <v>1</v>
      </c>
      <c r="Z240" t="s">
        <v>722</v>
      </c>
      <c r="AA240" t="s">
        <v>1560</v>
      </c>
    </row>
    <row r="241" spans="1:27" ht="15" customHeight="1" x14ac:dyDescent="0.3">
      <c r="A241">
        <v>274</v>
      </c>
      <c r="B241">
        <v>55</v>
      </c>
      <c r="C241" t="s">
        <v>981</v>
      </c>
      <c r="D241" t="s">
        <v>982</v>
      </c>
      <c r="E241" t="s">
        <v>772</v>
      </c>
      <c r="F241">
        <v>2024</v>
      </c>
      <c r="G241">
        <v>1</v>
      </c>
      <c r="H241">
        <v>0</v>
      </c>
      <c r="I241">
        <v>46.666699999999999</v>
      </c>
      <c r="J241">
        <v>35.555599999999998</v>
      </c>
      <c r="K241">
        <v>16108000000</v>
      </c>
      <c r="L241">
        <v>70.150000000000006</v>
      </c>
      <c r="M241">
        <v>1129976200</v>
      </c>
      <c r="N241">
        <v>485869000</v>
      </c>
      <c r="O241">
        <v>990510000</v>
      </c>
      <c r="P241">
        <v>100145000</v>
      </c>
      <c r="Q241">
        <v>1.6313264883746801</v>
      </c>
      <c r="R241">
        <v>20.7137305199631</v>
      </c>
      <c r="S241">
        <v>0.49052407345710802</v>
      </c>
      <c r="T241">
        <v>0.101104481529717</v>
      </c>
      <c r="U241">
        <v>1959</v>
      </c>
      <c r="V241">
        <v>65</v>
      </c>
      <c r="Y241">
        <v>1</v>
      </c>
      <c r="Z241" t="s">
        <v>722</v>
      </c>
      <c r="AA241" t="s">
        <v>1561</v>
      </c>
    </row>
    <row r="242" spans="1:27" ht="15" customHeight="1" x14ac:dyDescent="0.3">
      <c r="A242">
        <v>275</v>
      </c>
      <c r="B242">
        <v>55</v>
      </c>
      <c r="C242" t="s">
        <v>981</v>
      </c>
      <c r="D242" t="s">
        <v>982</v>
      </c>
      <c r="E242" t="s">
        <v>772</v>
      </c>
      <c r="F242">
        <v>2025</v>
      </c>
      <c r="G242">
        <v>1</v>
      </c>
      <c r="H242">
        <v>0</v>
      </c>
      <c r="I242">
        <v>46.666699999999999</v>
      </c>
      <c r="J242">
        <v>35.555599999999998</v>
      </c>
      <c r="K242">
        <v>16108000000</v>
      </c>
      <c r="L242">
        <v>134.71</v>
      </c>
      <c r="M242">
        <v>2169908680</v>
      </c>
      <c r="N242">
        <v>514029000</v>
      </c>
      <c r="O242">
        <v>1208024000</v>
      </c>
      <c r="P242">
        <v>273120000</v>
      </c>
      <c r="Q242">
        <v>2.2217585743329602</v>
      </c>
      <c r="R242">
        <v>20.912251803811301</v>
      </c>
      <c r="S242">
        <v>0.42551224147864602</v>
      </c>
      <c r="T242">
        <v>0.22608822341278001</v>
      </c>
      <c r="U242">
        <v>1959</v>
      </c>
      <c r="V242">
        <v>66</v>
      </c>
      <c r="Y242">
        <v>1</v>
      </c>
      <c r="Z242" t="s">
        <v>722</v>
      </c>
      <c r="AA242" t="s">
        <v>1561</v>
      </c>
    </row>
    <row r="243" spans="1:27" ht="15" customHeight="1" x14ac:dyDescent="0.3">
      <c r="A243">
        <v>279</v>
      </c>
      <c r="B243">
        <v>56</v>
      </c>
      <c r="C243" t="s">
        <v>985</v>
      </c>
      <c r="D243" t="s">
        <v>986</v>
      </c>
      <c r="E243" t="s">
        <v>780</v>
      </c>
      <c r="F243">
        <v>2024</v>
      </c>
      <c r="G243">
        <v>1</v>
      </c>
      <c r="H243">
        <v>0</v>
      </c>
      <c r="I243">
        <v>0</v>
      </c>
      <c r="J243">
        <v>0</v>
      </c>
      <c r="K243">
        <v>3122000000</v>
      </c>
      <c r="L243">
        <v>4.78</v>
      </c>
      <c r="M243">
        <v>14923160</v>
      </c>
      <c r="N243">
        <v>5338909</v>
      </c>
      <c r="O243">
        <v>21994814</v>
      </c>
      <c r="P243">
        <v>679625</v>
      </c>
      <c r="Q243">
        <v>0.92122029311091302</v>
      </c>
      <c r="R243">
        <v>16.906317256261801</v>
      </c>
      <c r="S243">
        <v>0.24273490105440301</v>
      </c>
      <c r="T243">
        <v>3.0899329269163198E-2</v>
      </c>
      <c r="U243">
        <v>2012</v>
      </c>
      <c r="V243">
        <v>12</v>
      </c>
      <c r="Y243">
        <v>0</v>
      </c>
      <c r="Z243" t="s">
        <v>988</v>
      </c>
      <c r="AA243" t="s">
        <v>1562</v>
      </c>
    </row>
    <row r="244" spans="1:27" ht="15" customHeight="1" x14ac:dyDescent="0.3">
      <c r="A244">
        <v>280</v>
      </c>
      <c r="B244">
        <v>56</v>
      </c>
      <c r="C244" t="s">
        <v>985</v>
      </c>
      <c r="D244" t="s">
        <v>986</v>
      </c>
      <c r="E244" t="s">
        <v>780</v>
      </c>
      <c r="F244">
        <v>2025</v>
      </c>
      <c r="G244">
        <v>1</v>
      </c>
      <c r="H244">
        <v>0</v>
      </c>
      <c r="I244">
        <v>0</v>
      </c>
      <c r="J244">
        <v>0</v>
      </c>
      <c r="K244">
        <v>3122000000</v>
      </c>
      <c r="L244">
        <v>4</v>
      </c>
      <c r="M244">
        <v>12488000</v>
      </c>
      <c r="N244">
        <v>4680000</v>
      </c>
      <c r="O244">
        <v>21830000</v>
      </c>
      <c r="P244">
        <v>642461</v>
      </c>
      <c r="Q244">
        <v>0.78644067796610195</v>
      </c>
      <c r="R244">
        <v>16.8987957285261</v>
      </c>
      <c r="S244">
        <v>0.21438387540082501</v>
      </c>
      <c r="T244">
        <v>2.94301878149336E-2</v>
      </c>
      <c r="U244">
        <v>2012</v>
      </c>
      <c r="V244">
        <v>13</v>
      </c>
      <c r="Y244">
        <v>0</v>
      </c>
      <c r="Z244" t="s">
        <v>988</v>
      </c>
      <c r="AA244" t="s">
        <v>1563</v>
      </c>
    </row>
    <row r="245" spans="1:27" ht="15" customHeight="1" x14ac:dyDescent="0.3">
      <c r="A245">
        <v>281</v>
      </c>
      <c r="B245">
        <v>57</v>
      </c>
      <c r="C245" t="s">
        <v>990</v>
      </c>
      <c r="D245" t="s">
        <v>991</v>
      </c>
      <c r="E245" t="s">
        <v>806</v>
      </c>
      <c r="F245">
        <v>2021</v>
      </c>
      <c r="G245">
        <v>0</v>
      </c>
      <c r="H245">
        <v>0</v>
      </c>
      <c r="I245">
        <v>0</v>
      </c>
      <c r="J245">
        <v>0</v>
      </c>
      <c r="K245">
        <v>7930198000</v>
      </c>
      <c r="L245">
        <v>3.4</v>
      </c>
      <c r="M245">
        <v>26962673.199999999</v>
      </c>
      <c r="N245">
        <v>89425978</v>
      </c>
      <c r="O245">
        <v>147394656</v>
      </c>
      <c r="P245">
        <v>1125864</v>
      </c>
      <c r="Q245">
        <v>0.78963955925240603</v>
      </c>
      <c r="R245">
        <v>18.808624281974101</v>
      </c>
      <c r="S245">
        <v>0.60671112798010796</v>
      </c>
      <c r="T245">
        <v>7.6384316131515697E-3</v>
      </c>
      <c r="U245">
        <v>1983</v>
      </c>
      <c r="V245">
        <v>38</v>
      </c>
      <c r="Y245">
        <v>0</v>
      </c>
      <c r="Z245" t="s">
        <v>993</v>
      </c>
      <c r="AA245" t="s">
        <v>1564</v>
      </c>
    </row>
    <row r="246" spans="1:27" ht="15" customHeight="1" x14ac:dyDescent="0.3">
      <c r="A246">
        <v>282</v>
      </c>
      <c r="B246">
        <v>57</v>
      </c>
      <c r="C246" t="s">
        <v>990</v>
      </c>
      <c r="D246" t="s">
        <v>991</v>
      </c>
      <c r="E246" t="s">
        <v>806</v>
      </c>
      <c r="F246">
        <v>2022</v>
      </c>
      <c r="G246">
        <v>0</v>
      </c>
      <c r="H246">
        <v>0</v>
      </c>
      <c r="I246">
        <v>0</v>
      </c>
      <c r="J246">
        <v>0</v>
      </c>
      <c r="K246">
        <v>7930000000</v>
      </c>
      <c r="L246">
        <v>2.34</v>
      </c>
      <c r="M246">
        <v>18556200</v>
      </c>
      <c r="N246">
        <v>103248000</v>
      </c>
      <c r="O246">
        <v>148696000</v>
      </c>
      <c r="P246">
        <v>-9758000</v>
      </c>
      <c r="Q246">
        <v>0.81914913649324805</v>
      </c>
      <c r="R246">
        <v>18.8174145112703</v>
      </c>
      <c r="S246">
        <v>0.69435627051164805</v>
      </c>
      <c r="T246">
        <v>-6.5623823102168202E-2</v>
      </c>
      <c r="U246">
        <v>1983</v>
      </c>
      <c r="V246">
        <v>39</v>
      </c>
      <c r="Y246">
        <v>0</v>
      </c>
      <c r="Z246" t="s">
        <v>993</v>
      </c>
      <c r="AA246" t="s">
        <v>1565</v>
      </c>
    </row>
    <row r="247" spans="1:27" ht="15" customHeight="1" x14ac:dyDescent="0.3">
      <c r="A247">
        <v>283</v>
      </c>
      <c r="B247">
        <v>57</v>
      </c>
      <c r="C247" t="s">
        <v>990</v>
      </c>
      <c r="D247" t="s">
        <v>991</v>
      </c>
      <c r="E247" t="s">
        <v>806</v>
      </c>
      <c r="F247">
        <v>2023</v>
      </c>
      <c r="G247">
        <v>1</v>
      </c>
      <c r="H247">
        <v>0</v>
      </c>
      <c r="I247">
        <v>0</v>
      </c>
      <c r="J247">
        <v>0</v>
      </c>
      <c r="K247">
        <v>7930000000</v>
      </c>
      <c r="L247">
        <v>3.32</v>
      </c>
      <c r="M247">
        <v>26327600</v>
      </c>
      <c r="N247">
        <v>132024000</v>
      </c>
      <c r="O247">
        <v>165000000</v>
      </c>
      <c r="P247">
        <v>256110</v>
      </c>
      <c r="Q247">
        <v>0.95970666666666704</v>
      </c>
      <c r="R247">
        <v>18.921456031864899</v>
      </c>
      <c r="S247">
        <v>0.80014545454545505</v>
      </c>
      <c r="T247">
        <v>1.55218181818182E-3</v>
      </c>
      <c r="U247">
        <v>1983</v>
      </c>
      <c r="V247">
        <v>40</v>
      </c>
      <c r="Y247">
        <v>0</v>
      </c>
      <c r="Z247" t="s">
        <v>993</v>
      </c>
      <c r="AA247" t="s">
        <v>1566</v>
      </c>
    </row>
    <row r="248" spans="1:27" ht="15" customHeight="1" x14ac:dyDescent="0.3">
      <c r="A248">
        <v>284</v>
      </c>
      <c r="B248">
        <v>57</v>
      </c>
      <c r="C248" t="s">
        <v>990</v>
      </c>
      <c r="D248" t="s">
        <v>991</v>
      </c>
      <c r="E248" t="s">
        <v>806</v>
      </c>
      <c r="F248">
        <v>2024</v>
      </c>
      <c r="G248">
        <v>1</v>
      </c>
      <c r="H248">
        <v>0</v>
      </c>
      <c r="I248">
        <v>0</v>
      </c>
      <c r="J248">
        <v>0</v>
      </c>
      <c r="K248">
        <v>7930000000</v>
      </c>
      <c r="L248">
        <v>6.3</v>
      </c>
      <c r="M248">
        <v>49959000</v>
      </c>
      <c r="N248">
        <v>126109000</v>
      </c>
      <c r="O248">
        <v>148966000</v>
      </c>
      <c r="P248">
        <v>-10120000</v>
      </c>
      <c r="Q248">
        <v>1.1819341326208701</v>
      </c>
      <c r="R248">
        <v>18.819228649951398</v>
      </c>
      <c r="S248">
        <v>0.84656230280735201</v>
      </c>
      <c r="T248">
        <v>-6.7934965025576305E-2</v>
      </c>
      <c r="U248">
        <v>1983</v>
      </c>
      <c r="V248">
        <v>41</v>
      </c>
      <c r="Y248">
        <v>1</v>
      </c>
      <c r="Z248" t="s">
        <v>993</v>
      </c>
      <c r="AA248" t="s">
        <v>1567</v>
      </c>
    </row>
    <row r="249" spans="1:27" ht="15" customHeight="1" x14ac:dyDescent="0.3">
      <c r="A249">
        <v>285</v>
      </c>
      <c r="B249">
        <v>57</v>
      </c>
      <c r="C249" t="s">
        <v>990</v>
      </c>
      <c r="D249" t="s">
        <v>991</v>
      </c>
      <c r="E249" t="s">
        <v>806</v>
      </c>
      <c r="F249">
        <v>2025</v>
      </c>
      <c r="G249">
        <v>1</v>
      </c>
      <c r="H249">
        <v>0</v>
      </c>
      <c r="I249">
        <v>0</v>
      </c>
      <c r="J249">
        <v>0</v>
      </c>
      <c r="K249">
        <v>7930000000</v>
      </c>
      <c r="L249">
        <v>21.9</v>
      </c>
      <c r="M249">
        <v>173667000</v>
      </c>
      <c r="N249">
        <v>130001000</v>
      </c>
      <c r="O249">
        <v>167446000</v>
      </c>
      <c r="P249">
        <v>14589000</v>
      </c>
      <c r="Q249">
        <v>1.81352794333696</v>
      </c>
      <c r="R249">
        <v>18.9361714691915</v>
      </c>
      <c r="S249">
        <v>0.77637566737933394</v>
      </c>
      <c r="T249">
        <v>8.7126596036931306E-2</v>
      </c>
      <c r="U249">
        <v>1983</v>
      </c>
      <c r="V249">
        <v>42</v>
      </c>
      <c r="Y249">
        <v>1</v>
      </c>
      <c r="Z249" t="s">
        <v>993</v>
      </c>
      <c r="AA249" t="s">
        <v>1568</v>
      </c>
    </row>
    <row r="250" spans="1:27" ht="15" customHeight="1" x14ac:dyDescent="0.3">
      <c r="A250">
        <v>286</v>
      </c>
      <c r="B250">
        <v>58</v>
      </c>
      <c r="C250" t="s">
        <v>995</v>
      </c>
      <c r="D250" t="s">
        <v>996</v>
      </c>
      <c r="E250" t="s">
        <v>715</v>
      </c>
      <c r="F250">
        <v>2021</v>
      </c>
      <c r="G250">
        <v>0</v>
      </c>
      <c r="H250">
        <v>0</v>
      </c>
      <c r="I250">
        <v>0</v>
      </c>
      <c r="J250">
        <v>0</v>
      </c>
      <c r="K250">
        <v>2079000000</v>
      </c>
      <c r="L250">
        <v>1.22</v>
      </c>
      <c r="M250">
        <v>2536380</v>
      </c>
      <c r="N250">
        <v>23086000</v>
      </c>
      <c r="O250">
        <v>43848000</v>
      </c>
      <c r="P250">
        <v>17750</v>
      </c>
      <c r="Q250">
        <v>0.58434546615581096</v>
      </c>
      <c r="R250">
        <v>17.596239665708101</v>
      </c>
      <c r="S250">
        <v>0.52650063856960405</v>
      </c>
      <c r="T250">
        <v>4.0480751687648202E-4</v>
      </c>
      <c r="U250">
        <v>1972</v>
      </c>
      <c r="V250">
        <v>49</v>
      </c>
      <c r="Y250">
        <v>0</v>
      </c>
      <c r="Z250" t="s">
        <v>998</v>
      </c>
      <c r="AA250" t="s">
        <v>1569</v>
      </c>
    </row>
    <row r="251" spans="1:27" ht="15" customHeight="1" x14ac:dyDescent="0.3">
      <c r="A251">
        <v>287</v>
      </c>
      <c r="B251">
        <v>58</v>
      </c>
      <c r="C251" t="s">
        <v>995</v>
      </c>
      <c r="D251" t="s">
        <v>996</v>
      </c>
      <c r="E251" t="s">
        <v>715</v>
      </c>
      <c r="F251">
        <v>2022</v>
      </c>
      <c r="G251">
        <v>0</v>
      </c>
      <c r="H251">
        <v>0</v>
      </c>
      <c r="I251">
        <v>0</v>
      </c>
      <c r="J251">
        <v>0</v>
      </c>
      <c r="K251">
        <v>2079000000</v>
      </c>
      <c r="L251">
        <v>1.05</v>
      </c>
      <c r="M251">
        <v>2182950</v>
      </c>
      <c r="N251">
        <v>22081000</v>
      </c>
      <c r="O251">
        <v>29864000</v>
      </c>
      <c r="P251">
        <v>-3954000</v>
      </c>
      <c r="Q251">
        <v>0.81248158317706898</v>
      </c>
      <c r="R251">
        <v>17.2121642995766</v>
      </c>
      <c r="S251">
        <v>0.73938521296544302</v>
      </c>
      <c r="T251">
        <v>-0.132400214304849</v>
      </c>
      <c r="U251">
        <v>1972</v>
      </c>
      <c r="V251">
        <v>50</v>
      </c>
      <c r="Y251">
        <v>0</v>
      </c>
      <c r="Z251" t="s">
        <v>998</v>
      </c>
      <c r="AA251" t="s">
        <v>1569</v>
      </c>
    </row>
    <row r="252" spans="1:27" ht="15" customHeight="1" x14ac:dyDescent="0.3">
      <c r="A252">
        <v>288</v>
      </c>
      <c r="B252">
        <v>58</v>
      </c>
      <c r="C252" t="s">
        <v>995</v>
      </c>
      <c r="D252" t="s">
        <v>996</v>
      </c>
      <c r="E252" t="s">
        <v>715</v>
      </c>
      <c r="F252">
        <v>2023</v>
      </c>
      <c r="G252">
        <v>1</v>
      </c>
      <c r="H252">
        <v>0</v>
      </c>
      <c r="I252">
        <v>0</v>
      </c>
      <c r="J252">
        <v>0</v>
      </c>
      <c r="K252">
        <v>2162000000</v>
      </c>
      <c r="L252">
        <v>7.69</v>
      </c>
      <c r="M252">
        <v>16625780</v>
      </c>
      <c r="N252">
        <v>36174000</v>
      </c>
      <c r="O252">
        <v>59760000</v>
      </c>
      <c r="P252">
        <v>2003000</v>
      </c>
      <c r="Q252">
        <v>0.88353045515394901</v>
      </c>
      <c r="R252">
        <v>17.905847098788801</v>
      </c>
      <c r="S252">
        <v>0.60532128514056205</v>
      </c>
      <c r="T252">
        <v>3.3517402945113801E-2</v>
      </c>
      <c r="U252">
        <v>1972</v>
      </c>
      <c r="V252">
        <v>51</v>
      </c>
      <c r="Y252">
        <v>0</v>
      </c>
      <c r="Z252" t="s">
        <v>998</v>
      </c>
      <c r="AA252" t="s">
        <v>1569</v>
      </c>
    </row>
    <row r="253" spans="1:27" ht="15" customHeight="1" x14ac:dyDescent="0.3">
      <c r="A253">
        <v>289</v>
      </c>
      <c r="B253">
        <v>58</v>
      </c>
      <c r="C253" t="s">
        <v>995</v>
      </c>
      <c r="D253" t="s">
        <v>996</v>
      </c>
      <c r="E253" t="s">
        <v>715</v>
      </c>
      <c r="F253">
        <v>2024</v>
      </c>
      <c r="G253">
        <v>1</v>
      </c>
      <c r="H253">
        <v>0</v>
      </c>
      <c r="I253">
        <v>0</v>
      </c>
      <c r="J253">
        <v>0</v>
      </c>
      <c r="K253">
        <v>2162000000</v>
      </c>
      <c r="L253">
        <v>11.25</v>
      </c>
      <c r="M253">
        <v>24322500</v>
      </c>
      <c r="N253">
        <v>53116000</v>
      </c>
      <c r="O253">
        <v>83671000</v>
      </c>
      <c r="P253">
        <v>7088000</v>
      </c>
      <c r="Q253">
        <v>0.92551182608072102</v>
      </c>
      <c r="R253">
        <v>18.242402999915399</v>
      </c>
      <c r="S253">
        <v>0.63481971053292097</v>
      </c>
      <c r="T253">
        <v>8.4712743961468107E-2</v>
      </c>
      <c r="U253">
        <v>1972</v>
      </c>
      <c r="V253">
        <v>52</v>
      </c>
      <c r="Y253">
        <v>0</v>
      </c>
      <c r="Z253" t="s">
        <v>998</v>
      </c>
      <c r="AA253" t="s">
        <v>1569</v>
      </c>
    </row>
    <row r="254" spans="1:27" ht="15" customHeight="1" x14ac:dyDescent="0.3">
      <c r="A254">
        <v>290</v>
      </c>
      <c r="B254">
        <v>58</v>
      </c>
      <c r="C254" t="s">
        <v>995</v>
      </c>
      <c r="D254" t="s">
        <v>996</v>
      </c>
      <c r="E254" t="s">
        <v>715</v>
      </c>
      <c r="F254">
        <v>2025</v>
      </c>
      <c r="G254">
        <v>1</v>
      </c>
      <c r="H254">
        <v>0</v>
      </c>
      <c r="I254">
        <v>0</v>
      </c>
      <c r="J254">
        <v>0</v>
      </c>
      <c r="K254">
        <v>2162000000</v>
      </c>
      <c r="L254">
        <v>41.91</v>
      </c>
      <c r="M254">
        <v>90609420</v>
      </c>
      <c r="N254">
        <v>33199000</v>
      </c>
      <c r="O254">
        <v>77438000</v>
      </c>
      <c r="P254">
        <v>13777000</v>
      </c>
      <c r="Q254">
        <v>1.59880704563651</v>
      </c>
      <c r="R254">
        <v>18.1649881741528</v>
      </c>
      <c r="S254">
        <v>0.42871716728221299</v>
      </c>
      <c r="T254">
        <v>0.17791006999147699</v>
      </c>
      <c r="U254">
        <v>1972</v>
      </c>
      <c r="V254">
        <v>53</v>
      </c>
      <c r="Y254">
        <v>0</v>
      </c>
      <c r="Z254" t="s">
        <v>998</v>
      </c>
      <c r="AA254" t="s">
        <v>1569</v>
      </c>
    </row>
    <row r="255" spans="1:27" ht="15" customHeight="1" x14ac:dyDescent="0.3">
      <c r="A255">
        <v>291</v>
      </c>
      <c r="B255">
        <v>59</v>
      </c>
      <c r="C255" t="s">
        <v>1000</v>
      </c>
      <c r="D255" t="s">
        <v>1570</v>
      </c>
      <c r="E255" t="s">
        <v>758</v>
      </c>
      <c r="F255">
        <v>2021</v>
      </c>
      <c r="G255">
        <v>0</v>
      </c>
      <c r="H255">
        <v>0</v>
      </c>
      <c r="I255">
        <v>0</v>
      </c>
      <c r="J255">
        <v>0</v>
      </c>
      <c r="K255">
        <v>549440000</v>
      </c>
      <c r="L255">
        <v>7.15</v>
      </c>
      <c r="M255">
        <v>3928496</v>
      </c>
      <c r="N255">
        <v>2543000</v>
      </c>
      <c r="O255">
        <v>5596000</v>
      </c>
      <c r="P255">
        <v>372020</v>
      </c>
      <c r="Q255">
        <v>1.1564503216583299</v>
      </c>
      <c r="R255">
        <v>15.5375626147675</v>
      </c>
      <c r="S255">
        <v>0.45443173695496802</v>
      </c>
      <c r="T255">
        <v>6.6479628305932806E-2</v>
      </c>
      <c r="U255">
        <v>1959</v>
      </c>
      <c r="V255">
        <v>62</v>
      </c>
      <c r="Y255">
        <v>1</v>
      </c>
      <c r="Z255" t="s">
        <v>722</v>
      </c>
      <c r="AA255" t="s">
        <v>1571</v>
      </c>
    </row>
    <row r="256" spans="1:27" ht="15" customHeight="1" x14ac:dyDescent="0.3">
      <c r="A256">
        <v>292</v>
      </c>
      <c r="B256">
        <v>59</v>
      </c>
      <c r="C256" t="s">
        <v>1000</v>
      </c>
      <c r="D256" t="s">
        <v>1570</v>
      </c>
      <c r="E256" t="s">
        <v>758</v>
      </c>
      <c r="F256">
        <v>2022</v>
      </c>
      <c r="G256">
        <v>0</v>
      </c>
      <c r="H256">
        <v>0</v>
      </c>
      <c r="I256">
        <v>0</v>
      </c>
      <c r="J256">
        <v>0</v>
      </c>
      <c r="K256">
        <v>549440000</v>
      </c>
      <c r="L256">
        <v>6.74</v>
      </c>
      <c r="M256">
        <v>3703225.6</v>
      </c>
      <c r="N256">
        <v>3282000</v>
      </c>
      <c r="O256">
        <v>6784000</v>
      </c>
      <c r="P256">
        <v>448340</v>
      </c>
      <c r="Q256">
        <v>1.02966179245283</v>
      </c>
      <c r="R256">
        <v>15.7300774564539</v>
      </c>
      <c r="S256">
        <v>0.48378537735849098</v>
      </c>
      <c r="T256">
        <v>6.6087853773584906E-2</v>
      </c>
      <c r="U256">
        <v>1959</v>
      </c>
      <c r="V256">
        <v>63</v>
      </c>
      <c r="Y256">
        <v>1</v>
      </c>
      <c r="Z256" t="s">
        <v>722</v>
      </c>
      <c r="AA256" t="s">
        <v>1571</v>
      </c>
    </row>
    <row r="257" spans="1:27" ht="15" customHeight="1" x14ac:dyDescent="0.3">
      <c r="A257">
        <v>293</v>
      </c>
      <c r="B257">
        <v>59</v>
      </c>
      <c r="C257" t="s">
        <v>1000</v>
      </c>
      <c r="D257" t="s">
        <v>1570</v>
      </c>
      <c r="E257" t="s">
        <v>758</v>
      </c>
      <c r="F257">
        <v>2023</v>
      </c>
      <c r="G257">
        <v>1</v>
      </c>
      <c r="H257">
        <v>0</v>
      </c>
      <c r="I257">
        <v>0</v>
      </c>
      <c r="J257">
        <v>0</v>
      </c>
      <c r="K257">
        <v>549440000</v>
      </c>
      <c r="L257">
        <v>12.23</v>
      </c>
      <c r="M257">
        <v>6719651.2000000002</v>
      </c>
      <c r="N257">
        <v>3210000</v>
      </c>
      <c r="O257">
        <v>7394000</v>
      </c>
      <c r="P257">
        <v>852750</v>
      </c>
      <c r="Q257">
        <v>1.3429336218555601</v>
      </c>
      <c r="R257">
        <v>15.816179418478701</v>
      </c>
      <c r="S257">
        <v>0.43413578577224798</v>
      </c>
      <c r="T257">
        <v>0.115329997295104</v>
      </c>
      <c r="U257">
        <v>1959</v>
      </c>
      <c r="V257">
        <v>64</v>
      </c>
      <c r="Y257">
        <v>1</v>
      </c>
      <c r="Z257" t="s">
        <v>722</v>
      </c>
      <c r="AA257" t="s">
        <v>1571</v>
      </c>
    </row>
    <row r="258" spans="1:27" ht="15" customHeight="1" x14ac:dyDescent="0.3">
      <c r="A258">
        <v>294</v>
      </c>
      <c r="B258">
        <v>59</v>
      </c>
      <c r="C258" t="s">
        <v>1000</v>
      </c>
      <c r="D258" t="s">
        <v>1570</v>
      </c>
      <c r="E258" t="s">
        <v>758</v>
      </c>
      <c r="F258">
        <v>2024</v>
      </c>
      <c r="G258">
        <v>1</v>
      </c>
      <c r="H258">
        <v>0</v>
      </c>
      <c r="I258">
        <v>0</v>
      </c>
      <c r="J258">
        <v>0</v>
      </c>
      <c r="K258">
        <v>549440000</v>
      </c>
      <c r="L258">
        <v>34.51</v>
      </c>
      <c r="M258">
        <v>18961174.399999999</v>
      </c>
      <c r="N258">
        <v>8964000</v>
      </c>
      <c r="O258">
        <v>14878000</v>
      </c>
      <c r="P258">
        <v>1623000</v>
      </c>
      <c r="Q258">
        <v>1.87694410539051</v>
      </c>
      <c r="R258">
        <v>16.515394169733401</v>
      </c>
      <c r="S258">
        <v>0.60250033606667597</v>
      </c>
      <c r="T258">
        <v>0.10908724290899301</v>
      </c>
      <c r="U258">
        <v>1959</v>
      </c>
      <c r="V258">
        <v>65</v>
      </c>
      <c r="Y258">
        <v>1</v>
      </c>
      <c r="Z258" t="s">
        <v>722</v>
      </c>
      <c r="AA258" t="s">
        <v>1571</v>
      </c>
    </row>
    <row r="259" spans="1:27" ht="15" customHeight="1" x14ac:dyDescent="0.3">
      <c r="A259">
        <v>295</v>
      </c>
      <c r="B259">
        <v>59</v>
      </c>
      <c r="C259" t="s">
        <v>1000</v>
      </c>
      <c r="D259" t="s">
        <v>1570</v>
      </c>
      <c r="E259" t="s">
        <v>758</v>
      </c>
      <c r="F259">
        <v>2025</v>
      </c>
      <c r="G259">
        <v>1</v>
      </c>
      <c r="H259">
        <v>0</v>
      </c>
      <c r="I259">
        <v>0</v>
      </c>
      <c r="J259">
        <v>0</v>
      </c>
      <c r="K259">
        <v>731060000</v>
      </c>
      <c r="L259">
        <v>32</v>
      </c>
      <c r="M259">
        <v>23393920</v>
      </c>
      <c r="N259">
        <v>2957000</v>
      </c>
      <c r="O259">
        <v>14797000</v>
      </c>
      <c r="P259">
        <v>989850</v>
      </c>
      <c r="Q259">
        <v>1.78082854632696</v>
      </c>
      <c r="R259">
        <v>16.5099350154847</v>
      </c>
      <c r="S259">
        <v>0.19983780496046499</v>
      </c>
      <c r="T259">
        <v>6.6895316618233405E-2</v>
      </c>
      <c r="U259">
        <v>1959</v>
      </c>
      <c r="V259">
        <v>66</v>
      </c>
      <c r="Y259">
        <v>1</v>
      </c>
      <c r="Z259" t="s">
        <v>722</v>
      </c>
      <c r="AA259" t="s">
        <v>1571</v>
      </c>
    </row>
    <row r="260" spans="1:27" ht="15" customHeight="1" x14ac:dyDescent="0.3">
      <c r="A260">
        <v>296</v>
      </c>
      <c r="B260">
        <v>60</v>
      </c>
      <c r="C260" t="s">
        <v>1004</v>
      </c>
      <c r="D260" t="s">
        <v>1005</v>
      </c>
      <c r="E260" t="s">
        <v>709</v>
      </c>
      <c r="F260">
        <v>2021</v>
      </c>
      <c r="G260">
        <v>0</v>
      </c>
      <c r="H260">
        <v>0</v>
      </c>
      <c r="I260">
        <v>60</v>
      </c>
      <c r="J260">
        <v>13.3333333333333</v>
      </c>
      <c r="K260">
        <v>8341000000</v>
      </c>
      <c r="L260">
        <v>0.66</v>
      </c>
      <c r="M260">
        <v>5505060</v>
      </c>
      <c r="N260">
        <v>9445000</v>
      </c>
      <c r="O260">
        <v>16218000</v>
      </c>
      <c r="P260">
        <v>500490</v>
      </c>
      <c r="Q260">
        <v>0.92181896658034301</v>
      </c>
      <c r="R260">
        <v>16.601632294486599</v>
      </c>
      <c r="S260">
        <v>0.58237760513010195</v>
      </c>
      <c r="T260">
        <v>3.08601553829079E-2</v>
      </c>
      <c r="U260">
        <v>2002</v>
      </c>
      <c r="V260">
        <v>19</v>
      </c>
      <c r="Y260">
        <v>0</v>
      </c>
      <c r="Z260" t="s">
        <v>832</v>
      </c>
      <c r="AA260" t="s">
        <v>1572</v>
      </c>
    </row>
    <row r="261" spans="1:27" ht="15" customHeight="1" x14ac:dyDescent="0.3">
      <c r="A261">
        <v>297</v>
      </c>
      <c r="B261">
        <v>60</v>
      </c>
      <c r="C261" t="s">
        <v>1004</v>
      </c>
      <c r="D261" t="s">
        <v>1005</v>
      </c>
      <c r="E261" t="s">
        <v>709</v>
      </c>
      <c r="F261">
        <v>2022</v>
      </c>
      <c r="G261">
        <v>0</v>
      </c>
      <c r="H261">
        <v>0</v>
      </c>
      <c r="I261">
        <v>60</v>
      </c>
      <c r="J261">
        <v>13.3333333333333</v>
      </c>
      <c r="K261">
        <v>8341000000</v>
      </c>
      <c r="L261">
        <v>0.64</v>
      </c>
      <c r="M261">
        <v>5338240</v>
      </c>
      <c r="N261">
        <v>9618000</v>
      </c>
      <c r="O261">
        <v>16774000</v>
      </c>
      <c r="P261">
        <v>591480</v>
      </c>
      <c r="Q261">
        <v>0.89163228806486206</v>
      </c>
      <c r="R261">
        <v>16.635340626526499</v>
      </c>
      <c r="S261">
        <v>0.57338738523905997</v>
      </c>
      <c r="T261">
        <v>3.5261714558244901E-2</v>
      </c>
      <c r="U261">
        <v>2002</v>
      </c>
      <c r="V261">
        <v>20</v>
      </c>
      <c r="Y261">
        <v>0</v>
      </c>
      <c r="Z261" t="s">
        <v>832</v>
      </c>
      <c r="AA261" t="s">
        <v>1572</v>
      </c>
    </row>
    <row r="262" spans="1:27" ht="15" customHeight="1" x14ac:dyDescent="0.3">
      <c r="A262">
        <v>298</v>
      </c>
      <c r="B262">
        <v>60</v>
      </c>
      <c r="C262" t="s">
        <v>1004</v>
      </c>
      <c r="D262" t="s">
        <v>1005</v>
      </c>
      <c r="E262" t="s">
        <v>709</v>
      </c>
      <c r="F262">
        <v>2023</v>
      </c>
      <c r="G262">
        <v>1</v>
      </c>
      <c r="H262">
        <v>0</v>
      </c>
      <c r="I262">
        <v>60</v>
      </c>
      <c r="J262">
        <v>13.3333333333333</v>
      </c>
      <c r="K262">
        <v>8341000000</v>
      </c>
      <c r="L262">
        <v>3</v>
      </c>
      <c r="M262">
        <v>25023000</v>
      </c>
      <c r="N262">
        <v>12791000</v>
      </c>
      <c r="O262">
        <v>20655000</v>
      </c>
      <c r="P262">
        <v>1000000</v>
      </c>
      <c r="Q262">
        <v>1.8307431614621199</v>
      </c>
      <c r="R262">
        <v>16.843467978812999</v>
      </c>
      <c r="S262">
        <v>0.61926894214475903</v>
      </c>
      <c r="T262">
        <v>4.8414427499394799E-2</v>
      </c>
      <c r="U262">
        <v>2002</v>
      </c>
      <c r="V262">
        <v>21</v>
      </c>
      <c r="Y262">
        <v>0</v>
      </c>
      <c r="Z262" t="s">
        <v>832</v>
      </c>
      <c r="AA262" t="s">
        <v>1572</v>
      </c>
    </row>
    <row r="263" spans="1:27" ht="15" customHeight="1" x14ac:dyDescent="0.3">
      <c r="A263">
        <v>299</v>
      </c>
      <c r="B263">
        <v>60</v>
      </c>
      <c r="C263" t="s">
        <v>1004</v>
      </c>
      <c r="D263" t="s">
        <v>1005</v>
      </c>
      <c r="E263" t="s">
        <v>709</v>
      </c>
      <c r="F263">
        <v>2024</v>
      </c>
      <c r="G263">
        <v>1</v>
      </c>
      <c r="H263">
        <v>0</v>
      </c>
      <c r="I263">
        <v>60</v>
      </c>
      <c r="J263">
        <v>13.3333333333333</v>
      </c>
      <c r="K263">
        <v>8341000000</v>
      </c>
      <c r="L263">
        <v>3.5</v>
      </c>
      <c r="M263">
        <v>29193500</v>
      </c>
      <c r="N263">
        <v>15939000</v>
      </c>
      <c r="O263">
        <v>25150000</v>
      </c>
      <c r="P263">
        <v>1481000</v>
      </c>
      <c r="Q263">
        <v>1.79453280318091</v>
      </c>
      <c r="R263">
        <v>17.040368454509998</v>
      </c>
      <c r="S263">
        <v>0.63375745526839</v>
      </c>
      <c r="T263">
        <v>5.8886679920477102E-2</v>
      </c>
      <c r="U263">
        <v>2002</v>
      </c>
      <c r="V263">
        <v>22</v>
      </c>
      <c r="Y263">
        <v>0</v>
      </c>
      <c r="Z263" t="s">
        <v>832</v>
      </c>
      <c r="AA263" t="s">
        <v>1572</v>
      </c>
    </row>
    <row r="264" spans="1:27" ht="15" customHeight="1" x14ac:dyDescent="0.3">
      <c r="A264">
        <v>300</v>
      </c>
      <c r="B264">
        <v>60</v>
      </c>
      <c r="C264" t="s">
        <v>1004</v>
      </c>
      <c r="D264" t="s">
        <v>1005</v>
      </c>
      <c r="E264" t="s">
        <v>709</v>
      </c>
      <c r="F264">
        <v>2025</v>
      </c>
      <c r="G264">
        <v>1</v>
      </c>
      <c r="H264">
        <v>0</v>
      </c>
      <c r="I264">
        <v>60</v>
      </c>
      <c r="J264">
        <v>13.3333333333333</v>
      </c>
      <c r="K264">
        <v>8341000000</v>
      </c>
      <c r="L264">
        <v>3.5</v>
      </c>
      <c r="M264">
        <v>29193500</v>
      </c>
      <c r="N264">
        <v>32382000</v>
      </c>
      <c r="O264">
        <v>44758000</v>
      </c>
      <c r="P264">
        <v>2700000</v>
      </c>
      <c r="Q264">
        <v>1.37574288395371</v>
      </c>
      <c r="R264">
        <v>17.6167807576572</v>
      </c>
      <c r="S264">
        <v>0.72349077259931205</v>
      </c>
      <c r="T264">
        <v>6.0324411278430697E-2</v>
      </c>
      <c r="U264">
        <v>2002</v>
      </c>
      <c r="V264">
        <v>23</v>
      </c>
      <c r="Y264">
        <v>0</v>
      </c>
      <c r="Z264" t="s">
        <v>832</v>
      </c>
      <c r="AA264" t="s">
        <v>1572</v>
      </c>
    </row>
    <row r="265" spans="1:27" ht="15" customHeight="1" x14ac:dyDescent="0.3">
      <c r="A265">
        <v>301</v>
      </c>
      <c r="B265">
        <v>61</v>
      </c>
      <c r="C265" t="s">
        <v>1009</v>
      </c>
      <c r="D265" t="s">
        <v>1010</v>
      </c>
      <c r="E265" t="s">
        <v>806</v>
      </c>
      <c r="F265">
        <v>2021</v>
      </c>
      <c r="G265">
        <v>0</v>
      </c>
      <c r="H265">
        <v>0</v>
      </c>
      <c r="I265">
        <v>15</v>
      </c>
      <c r="J265">
        <v>0</v>
      </c>
      <c r="K265">
        <v>26862000000</v>
      </c>
      <c r="L265">
        <v>4.95</v>
      </c>
      <c r="M265">
        <v>132966900</v>
      </c>
      <c r="N265">
        <v>334649000</v>
      </c>
      <c r="O265">
        <v>469953000</v>
      </c>
      <c r="P265">
        <v>-17657000</v>
      </c>
      <c r="Q265">
        <v>0.99502694950346104</v>
      </c>
      <c r="R265">
        <v>19.968143247667999</v>
      </c>
      <c r="S265">
        <v>0.71209035797196696</v>
      </c>
      <c r="T265">
        <v>-3.7571842290612001E-2</v>
      </c>
      <c r="U265">
        <v>1971</v>
      </c>
      <c r="V265">
        <v>50</v>
      </c>
      <c r="Y265">
        <v>1</v>
      </c>
      <c r="Z265" t="s">
        <v>1012</v>
      </c>
      <c r="AA265" t="s">
        <v>1573</v>
      </c>
    </row>
    <row r="266" spans="1:27" ht="15" customHeight="1" x14ac:dyDescent="0.3">
      <c r="A266">
        <v>302</v>
      </c>
      <c r="B266">
        <v>61</v>
      </c>
      <c r="C266" t="s">
        <v>1009</v>
      </c>
      <c r="D266" t="s">
        <v>1010</v>
      </c>
      <c r="E266" t="s">
        <v>806</v>
      </c>
      <c r="F266">
        <v>2022</v>
      </c>
      <c r="G266">
        <v>0</v>
      </c>
      <c r="H266">
        <v>0</v>
      </c>
      <c r="I266">
        <v>15</v>
      </c>
      <c r="J266">
        <v>0</v>
      </c>
      <c r="K266">
        <v>26862000000</v>
      </c>
      <c r="L266">
        <v>4.7</v>
      </c>
      <c r="M266">
        <v>126251400</v>
      </c>
      <c r="N266">
        <v>366921000</v>
      </c>
      <c r="O266">
        <v>484252000</v>
      </c>
      <c r="P266">
        <v>-21626000</v>
      </c>
      <c r="Q266">
        <v>1.0184209874197701</v>
      </c>
      <c r="R266">
        <v>19.998115990340899</v>
      </c>
      <c r="S266">
        <v>0.75770673120606602</v>
      </c>
      <c r="T266">
        <v>-4.4658566201068901E-2</v>
      </c>
      <c r="U266">
        <v>1971</v>
      </c>
      <c r="V266">
        <v>51</v>
      </c>
      <c r="Y266">
        <v>1</v>
      </c>
      <c r="Z266" t="s">
        <v>1012</v>
      </c>
      <c r="AA266" t="s">
        <v>1573</v>
      </c>
    </row>
    <row r="267" spans="1:27" ht="15" customHeight="1" x14ac:dyDescent="0.3">
      <c r="A267">
        <v>303</v>
      </c>
      <c r="B267">
        <v>61</v>
      </c>
      <c r="C267" t="s">
        <v>1009</v>
      </c>
      <c r="D267" t="s">
        <v>1010</v>
      </c>
      <c r="E267" t="s">
        <v>806</v>
      </c>
      <c r="F267">
        <v>2023</v>
      </c>
      <c r="G267">
        <v>1</v>
      </c>
      <c r="H267">
        <v>0</v>
      </c>
      <c r="I267">
        <v>15</v>
      </c>
      <c r="J267">
        <v>0</v>
      </c>
      <c r="K267">
        <v>26862000000</v>
      </c>
      <c r="L267">
        <v>4.8</v>
      </c>
      <c r="M267">
        <v>128937600</v>
      </c>
      <c r="N267">
        <v>609090000</v>
      </c>
      <c r="O267">
        <v>724497000</v>
      </c>
      <c r="P267">
        <v>-70026000</v>
      </c>
      <c r="Q267">
        <v>1.0186758537302401</v>
      </c>
      <c r="R267">
        <v>20.400988178929701</v>
      </c>
      <c r="S267">
        <v>0.84070741493753598</v>
      </c>
      <c r="T267">
        <v>-9.6654644532689599E-2</v>
      </c>
      <c r="U267">
        <v>1971</v>
      </c>
      <c r="V267">
        <v>52</v>
      </c>
      <c r="Y267">
        <v>1</v>
      </c>
      <c r="Z267" t="s">
        <v>1012</v>
      </c>
      <c r="AA267" t="s">
        <v>1573</v>
      </c>
    </row>
    <row r="268" spans="1:27" ht="15" customHeight="1" x14ac:dyDescent="0.3">
      <c r="A268">
        <v>304</v>
      </c>
      <c r="B268">
        <v>61</v>
      </c>
      <c r="C268" t="s">
        <v>1009</v>
      </c>
      <c r="D268" t="s">
        <v>1010</v>
      </c>
      <c r="E268" t="s">
        <v>806</v>
      </c>
      <c r="F268">
        <v>2024</v>
      </c>
      <c r="G268">
        <v>1</v>
      </c>
      <c r="H268">
        <v>0</v>
      </c>
      <c r="I268">
        <v>15</v>
      </c>
      <c r="J268">
        <v>0</v>
      </c>
      <c r="K268">
        <v>168292000000</v>
      </c>
      <c r="L268">
        <v>5.55</v>
      </c>
      <c r="M268">
        <v>934020600</v>
      </c>
      <c r="N268">
        <v>278958000</v>
      </c>
      <c r="O268">
        <v>727872000</v>
      </c>
      <c r="P268">
        <v>-113615000</v>
      </c>
      <c r="Q268">
        <v>1.66647240174097</v>
      </c>
      <c r="R268">
        <v>20.405635766526299</v>
      </c>
      <c r="S268">
        <v>0.38325145080453699</v>
      </c>
      <c r="T268">
        <v>-0.15609200518772501</v>
      </c>
      <c r="U268">
        <v>1971</v>
      </c>
      <c r="V268">
        <v>53</v>
      </c>
      <c r="Y268">
        <v>1</v>
      </c>
      <c r="Z268" t="s">
        <v>1012</v>
      </c>
      <c r="AA268" t="s">
        <v>1573</v>
      </c>
    </row>
    <row r="269" spans="1:27" ht="15" customHeight="1" x14ac:dyDescent="0.3">
      <c r="A269">
        <v>305</v>
      </c>
      <c r="B269">
        <v>61</v>
      </c>
      <c r="C269" t="s">
        <v>1009</v>
      </c>
      <c r="D269" t="s">
        <v>1010</v>
      </c>
      <c r="E269" t="s">
        <v>806</v>
      </c>
      <c r="F269">
        <v>2025</v>
      </c>
      <c r="G269">
        <v>1</v>
      </c>
      <c r="H269">
        <v>0</v>
      </c>
      <c r="I269">
        <v>15</v>
      </c>
      <c r="J269">
        <v>0</v>
      </c>
      <c r="K269">
        <v>168292000000</v>
      </c>
      <c r="L269">
        <v>14.02</v>
      </c>
      <c r="M269">
        <v>2359453840</v>
      </c>
      <c r="N269">
        <v>239916000</v>
      </c>
      <c r="O269">
        <v>739744000</v>
      </c>
      <c r="P269">
        <v>50914000</v>
      </c>
      <c r="Q269">
        <v>3.51387755764156</v>
      </c>
      <c r="R269">
        <v>20.421814738363398</v>
      </c>
      <c r="S269">
        <v>0.324323009040966</v>
      </c>
      <c r="T269">
        <v>6.8826512955833405E-2</v>
      </c>
      <c r="U269">
        <v>1971</v>
      </c>
      <c r="V269">
        <v>54</v>
      </c>
      <c r="Y269">
        <v>1</v>
      </c>
      <c r="Z269" t="s">
        <v>1012</v>
      </c>
      <c r="AA269" t="s">
        <v>1573</v>
      </c>
    </row>
    <row r="270" spans="1:27" ht="15" customHeight="1" x14ac:dyDescent="0.3">
      <c r="A270">
        <v>306</v>
      </c>
      <c r="B270">
        <v>62</v>
      </c>
      <c r="C270" t="s">
        <v>1014</v>
      </c>
      <c r="D270" t="s">
        <v>1015</v>
      </c>
      <c r="E270" t="s">
        <v>709</v>
      </c>
      <c r="F270">
        <v>2021</v>
      </c>
      <c r="G270">
        <v>0</v>
      </c>
      <c r="H270">
        <v>0</v>
      </c>
      <c r="I270">
        <v>0</v>
      </c>
      <c r="J270">
        <v>0</v>
      </c>
      <c r="K270">
        <v>1284000000</v>
      </c>
      <c r="L270">
        <v>0.38</v>
      </c>
      <c r="M270">
        <v>487920</v>
      </c>
      <c r="N270">
        <v>20962000</v>
      </c>
      <c r="O270">
        <v>9158000</v>
      </c>
      <c r="P270">
        <v>-704550</v>
      </c>
      <c r="Q270">
        <v>2.3422057217733099</v>
      </c>
      <c r="R270">
        <v>16.0301383721992</v>
      </c>
      <c r="S270">
        <v>2.28892771347456</v>
      </c>
      <c r="T270">
        <v>-7.6932736405328703E-2</v>
      </c>
      <c r="U270">
        <v>1969</v>
      </c>
      <c r="V270">
        <v>52</v>
      </c>
      <c r="Y270">
        <v>0</v>
      </c>
      <c r="Z270" t="s">
        <v>1017</v>
      </c>
      <c r="AA270" t="s">
        <v>1574</v>
      </c>
    </row>
    <row r="271" spans="1:27" ht="15" customHeight="1" x14ac:dyDescent="0.3">
      <c r="A271">
        <v>307</v>
      </c>
      <c r="B271">
        <v>62</v>
      </c>
      <c r="C271" t="s">
        <v>1014</v>
      </c>
      <c r="D271" t="s">
        <v>1015</v>
      </c>
      <c r="E271" t="s">
        <v>709</v>
      </c>
      <c r="F271">
        <v>2022</v>
      </c>
      <c r="G271">
        <v>0</v>
      </c>
      <c r="H271">
        <v>0</v>
      </c>
      <c r="I271">
        <v>0</v>
      </c>
      <c r="J271">
        <v>0</v>
      </c>
      <c r="K271">
        <v>1284000000</v>
      </c>
      <c r="L271">
        <v>0.38</v>
      </c>
      <c r="M271">
        <v>487920</v>
      </c>
      <c r="N271">
        <v>26463000</v>
      </c>
      <c r="O271">
        <v>14673000</v>
      </c>
      <c r="P271">
        <v>232900</v>
      </c>
      <c r="Q271">
        <v>1.83676957677367</v>
      </c>
      <c r="R271">
        <v>16.501519628189602</v>
      </c>
      <c r="S271">
        <v>1.80351666325905</v>
      </c>
      <c r="T271">
        <v>1.58726913378314E-2</v>
      </c>
      <c r="U271">
        <v>1969</v>
      </c>
      <c r="V271">
        <v>53</v>
      </c>
      <c r="Y271">
        <v>0</v>
      </c>
      <c r="Z271" t="s">
        <v>1017</v>
      </c>
      <c r="AA271" t="s">
        <v>1574</v>
      </c>
    </row>
    <row r="272" spans="1:27" ht="15" customHeight="1" x14ac:dyDescent="0.3">
      <c r="A272">
        <v>308</v>
      </c>
      <c r="B272">
        <v>62</v>
      </c>
      <c r="C272" t="s">
        <v>1014</v>
      </c>
      <c r="D272" t="s">
        <v>1015</v>
      </c>
      <c r="E272" t="s">
        <v>709</v>
      </c>
      <c r="F272">
        <v>2023</v>
      </c>
      <c r="G272">
        <v>1</v>
      </c>
      <c r="H272">
        <v>0</v>
      </c>
      <c r="I272">
        <v>0</v>
      </c>
      <c r="J272">
        <v>0</v>
      </c>
      <c r="K272">
        <v>1284000000</v>
      </c>
      <c r="L272">
        <v>1.39</v>
      </c>
      <c r="M272">
        <v>1784760</v>
      </c>
      <c r="N272">
        <v>28366000</v>
      </c>
      <c r="O272">
        <v>17590000</v>
      </c>
      <c r="P272">
        <v>850660</v>
      </c>
      <c r="Q272">
        <v>1.7140852757248399</v>
      </c>
      <c r="R272">
        <v>16.6828411167137</v>
      </c>
      <c r="S272">
        <v>1.61262080727686</v>
      </c>
      <c r="T272">
        <v>4.83604320636725E-2</v>
      </c>
      <c r="U272">
        <v>1969</v>
      </c>
      <c r="V272">
        <v>54</v>
      </c>
      <c r="Y272">
        <v>0</v>
      </c>
      <c r="Z272" t="s">
        <v>1017</v>
      </c>
      <c r="AA272" t="s">
        <v>1574</v>
      </c>
    </row>
    <row r="273" spans="1:27" ht="15" customHeight="1" x14ac:dyDescent="0.3">
      <c r="A273">
        <v>309</v>
      </c>
      <c r="B273">
        <v>62</v>
      </c>
      <c r="C273" t="s">
        <v>1014</v>
      </c>
      <c r="D273" t="s">
        <v>1015</v>
      </c>
      <c r="E273" t="s">
        <v>709</v>
      </c>
      <c r="F273">
        <v>2024</v>
      </c>
      <c r="G273">
        <v>1</v>
      </c>
      <c r="H273">
        <v>0</v>
      </c>
      <c r="I273">
        <v>0</v>
      </c>
      <c r="J273">
        <v>0</v>
      </c>
      <c r="K273">
        <v>1284000000</v>
      </c>
      <c r="L273">
        <v>1.7</v>
      </c>
      <c r="M273">
        <v>2182800</v>
      </c>
      <c r="N273">
        <v>24457000</v>
      </c>
      <c r="O273">
        <v>16855000</v>
      </c>
      <c r="P273">
        <v>2954000</v>
      </c>
      <c r="Q273">
        <v>1.5805280332245599</v>
      </c>
      <c r="R273">
        <v>16.640157906650298</v>
      </c>
      <c r="S273">
        <v>1.45102343518244</v>
      </c>
      <c r="T273">
        <v>0.175259566894097</v>
      </c>
      <c r="U273">
        <v>1969</v>
      </c>
      <c r="V273">
        <v>55</v>
      </c>
      <c r="Y273">
        <v>0</v>
      </c>
      <c r="Z273" t="s">
        <v>1017</v>
      </c>
      <c r="AA273" t="s">
        <v>1574</v>
      </c>
    </row>
    <row r="274" spans="1:27" ht="15" customHeight="1" x14ac:dyDescent="0.3">
      <c r="A274">
        <v>310</v>
      </c>
      <c r="B274">
        <v>62</v>
      </c>
      <c r="C274" t="s">
        <v>1014</v>
      </c>
      <c r="D274" t="s">
        <v>1015</v>
      </c>
      <c r="E274" t="s">
        <v>709</v>
      </c>
      <c r="F274">
        <v>2025</v>
      </c>
      <c r="G274">
        <v>1</v>
      </c>
      <c r="H274">
        <v>0</v>
      </c>
      <c r="I274">
        <v>10</v>
      </c>
      <c r="J274">
        <v>0</v>
      </c>
      <c r="K274">
        <v>2534000000</v>
      </c>
      <c r="L274">
        <v>1.27</v>
      </c>
      <c r="M274">
        <v>3218180</v>
      </c>
      <c r="N274">
        <v>6217000</v>
      </c>
      <c r="O274">
        <v>15458000</v>
      </c>
      <c r="P274">
        <v>868670</v>
      </c>
      <c r="Q274">
        <v>0.61037521024712105</v>
      </c>
      <c r="R274">
        <v>16.553637226648998</v>
      </c>
      <c r="S274">
        <v>0.40218657006080999</v>
      </c>
      <c r="T274">
        <v>5.6195497477034603E-2</v>
      </c>
      <c r="U274">
        <v>1969</v>
      </c>
      <c r="V274">
        <v>56</v>
      </c>
      <c r="Y274">
        <v>0</v>
      </c>
      <c r="Z274" t="s">
        <v>1017</v>
      </c>
      <c r="AA274" t="s">
        <v>1574</v>
      </c>
    </row>
    <row r="275" spans="1:27" ht="15" customHeight="1" x14ac:dyDescent="0.3">
      <c r="A275">
        <v>311</v>
      </c>
      <c r="B275">
        <v>63</v>
      </c>
      <c r="C275" t="s">
        <v>1020</v>
      </c>
      <c r="D275" t="s">
        <v>1021</v>
      </c>
      <c r="E275" t="s">
        <v>709</v>
      </c>
      <c r="F275">
        <v>2021</v>
      </c>
      <c r="G275">
        <v>0</v>
      </c>
      <c r="H275">
        <v>0</v>
      </c>
      <c r="I275">
        <v>0</v>
      </c>
      <c r="J275">
        <v>0</v>
      </c>
      <c r="K275">
        <v>34541000000</v>
      </c>
      <c r="L275">
        <v>0.56000000000000005</v>
      </c>
      <c r="M275">
        <v>19342960</v>
      </c>
      <c r="N275">
        <v>254970000</v>
      </c>
      <c r="O275">
        <v>279276000</v>
      </c>
      <c r="P275">
        <v>4085000</v>
      </c>
      <c r="Q275">
        <v>0.98222890617167302</v>
      </c>
      <c r="R275">
        <v>19.447711098114802</v>
      </c>
      <c r="S275">
        <v>0.912967816783397</v>
      </c>
      <c r="T275">
        <v>1.46271072344204E-2</v>
      </c>
      <c r="U275">
        <v>2003</v>
      </c>
      <c r="V275">
        <v>18</v>
      </c>
      <c r="Y275">
        <v>1</v>
      </c>
      <c r="Z275" t="s">
        <v>732</v>
      </c>
      <c r="AA275" t="s">
        <v>1575</v>
      </c>
    </row>
    <row r="276" spans="1:27" ht="15" customHeight="1" x14ac:dyDescent="0.3">
      <c r="A276">
        <v>312</v>
      </c>
      <c r="B276">
        <v>63</v>
      </c>
      <c r="C276" t="s">
        <v>1020</v>
      </c>
      <c r="D276" t="s">
        <v>1021</v>
      </c>
      <c r="E276" t="s">
        <v>709</v>
      </c>
      <c r="F276">
        <v>2022</v>
      </c>
      <c r="G276">
        <v>0</v>
      </c>
      <c r="H276">
        <v>0</v>
      </c>
      <c r="I276">
        <v>0</v>
      </c>
      <c r="J276">
        <v>0</v>
      </c>
      <c r="K276">
        <v>34541000000</v>
      </c>
      <c r="L276">
        <v>0.92</v>
      </c>
      <c r="M276">
        <v>31777720</v>
      </c>
      <c r="N276">
        <v>350015000</v>
      </c>
      <c r="O276">
        <v>379819000</v>
      </c>
      <c r="P276">
        <v>6881000</v>
      </c>
      <c r="Q276">
        <v>1.0051964751631699</v>
      </c>
      <c r="R276">
        <v>19.755205381420801</v>
      </c>
      <c r="S276">
        <v>0.92153104505040595</v>
      </c>
      <c r="T276">
        <v>1.81165239232371E-2</v>
      </c>
      <c r="U276">
        <v>2003</v>
      </c>
      <c r="V276">
        <v>19</v>
      </c>
      <c r="Y276">
        <v>1</v>
      </c>
      <c r="Z276" t="s">
        <v>732</v>
      </c>
      <c r="AA276" t="s">
        <v>1575</v>
      </c>
    </row>
    <row r="277" spans="1:27" ht="15" customHeight="1" x14ac:dyDescent="0.3">
      <c r="A277">
        <v>313</v>
      </c>
      <c r="B277">
        <v>63</v>
      </c>
      <c r="C277" t="s">
        <v>1020</v>
      </c>
      <c r="D277" t="s">
        <v>1021</v>
      </c>
      <c r="E277" t="s">
        <v>709</v>
      </c>
      <c r="F277">
        <v>2023</v>
      </c>
      <c r="G277">
        <v>1</v>
      </c>
      <c r="H277">
        <v>0</v>
      </c>
      <c r="I277">
        <v>0</v>
      </c>
      <c r="J277">
        <v>0</v>
      </c>
      <c r="K277">
        <v>34541000000</v>
      </c>
      <c r="L277">
        <v>1.94</v>
      </c>
      <c r="M277">
        <v>67009540</v>
      </c>
      <c r="N277">
        <v>540816000</v>
      </c>
      <c r="O277">
        <v>580131000</v>
      </c>
      <c r="P277">
        <v>11237000</v>
      </c>
      <c r="Q277">
        <v>1.0477384245971999</v>
      </c>
      <c r="R277">
        <v>20.178764498070699</v>
      </c>
      <c r="S277">
        <v>0.93223082372774402</v>
      </c>
      <c r="T277">
        <v>1.93697630362797E-2</v>
      </c>
      <c r="U277">
        <v>2003</v>
      </c>
      <c r="V277">
        <v>20</v>
      </c>
      <c r="Y277">
        <v>1</v>
      </c>
      <c r="Z277" t="s">
        <v>732</v>
      </c>
      <c r="AA277" t="s">
        <v>1575</v>
      </c>
    </row>
    <row r="278" spans="1:27" ht="15" customHeight="1" x14ac:dyDescent="0.3">
      <c r="A278">
        <v>314</v>
      </c>
      <c r="B278">
        <v>63</v>
      </c>
      <c r="C278" t="s">
        <v>1020</v>
      </c>
      <c r="D278" t="s">
        <v>1021</v>
      </c>
      <c r="E278" t="s">
        <v>709</v>
      </c>
      <c r="F278">
        <v>2024</v>
      </c>
      <c r="G278">
        <v>1</v>
      </c>
      <c r="H278">
        <v>0</v>
      </c>
      <c r="I278">
        <v>0</v>
      </c>
      <c r="J278">
        <v>0</v>
      </c>
      <c r="K278">
        <v>34541000000</v>
      </c>
      <c r="L278">
        <v>3.87</v>
      </c>
      <c r="M278">
        <v>133673670</v>
      </c>
      <c r="N278">
        <v>1009281000</v>
      </c>
      <c r="O278">
        <v>1080747000</v>
      </c>
      <c r="P278">
        <v>23484000</v>
      </c>
      <c r="Q278">
        <v>1.05755988219259</v>
      </c>
      <c r="R278">
        <v>20.800918305658101</v>
      </c>
      <c r="S278">
        <v>0.93387351526305395</v>
      </c>
      <c r="T278">
        <v>2.1729414932449499E-2</v>
      </c>
      <c r="U278">
        <v>2003</v>
      </c>
      <c r="V278">
        <v>21</v>
      </c>
      <c r="Y278">
        <v>1</v>
      </c>
      <c r="Z278" t="s">
        <v>732</v>
      </c>
      <c r="AA278" t="s">
        <v>1575</v>
      </c>
    </row>
    <row r="279" spans="1:27" ht="15" customHeight="1" x14ac:dyDescent="0.3">
      <c r="A279">
        <v>315</v>
      </c>
      <c r="B279">
        <v>63</v>
      </c>
      <c r="C279" t="s">
        <v>1020</v>
      </c>
      <c r="D279" t="s">
        <v>1021</v>
      </c>
      <c r="E279" t="s">
        <v>709</v>
      </c>
      <c r="F279">
        <v>2025</v>
      </c>
      <c r="G279">
        <v>1</v>
      </c>
      <c r="H279">
        <v>0</v>
      </c>
      <c r="I279">
        <v>0</v>
      </c>
      <c r="J279">
        <v>0</v>
      </c>
      <c r="K279">
        <v>44589000000</v>
      </c>
      <c r="L279">
        <v>4.55</v>
      </c>
      <c r="M279">
        <v>202879950</v>
      </c>
      <c r="N279">
        <v>1188839000</v>
      </c>
      <c r="O279">
        <v>1287341000</v>
      </c>
      <c r="P279">
        <v>30157000</v>
      </c>
      <c r="Q279">
        <v>1.08108026544637</v>
      </c>
      <c r="R279">
        <v>20.975844687730401</v>
      </c>
      <c r="S279">
        <v>0.92348414289609404</v>
      </c>
      <c r="T279">
        <v>2.3425805594632702E-2</v>
      </c>
      <c r="U279">
        <v>2003</v>
      </c>
      <c r="V279">
        <v>22</v>
      </c>
      <c r="Y279">
        <v>1</v>
      </c>
      <c r="Z279" t="s">
        <v>732</v>
      </c>
      <c r="AA279" t="s">
        <v>1575</v>
      </c>
    </row>
    <row r="280" spans="1:27" ht="15" customHeight="1" x14ac:dyDescent="0.3">
      <c r="A280">
        <v>316</v>
      </c>
      <c r="B280">
        <v>64</v>
      </c>
      <c r="C280" t="s">
        <v>1024</v>
      </c>
      <c r="D280" t="s">
        <v>1025</v>
      </c>
      <c r="E280" t="s">
        <v>766</v>
      </c>
      <c r="F280">
        <v>2021</v>
      </c>
      <c r="G280">
        <v>0</v>
      </c>
      <c r="H280">
        <v>0</v>
      </c>
      <c r="I280">
        <v>0</v>
      </c>
      <c r="J280">
        <v>0</v>
      </c>
      <c r="K280">
        <v>6263000000</v>
      </c>
      <c r="L280">
        <v>0.39</v>
      </c>
      <c r="M280">
        <v>2442570</v>
      </c>
      <c r="N280">
        <v>13372000</v>
      </c>
      <c r="O280">
        <v>13089000</v>
      </c>
      <c r="P280">
        <v>-3106000</v>
      </c>
      <c r="Q280">
        <v>1.2082336312934501</v>
      </c>
      <c r="R280">
        <v>16.387282740773902</v>
      </c>
      <c r="S280">
        <v>1.0216212086484799</v>
      </c>
      <c r="T280">
        <v>-0.237298494919398</v>
      </c>
      <c r="U280">
        <v>1994</v>
      </c>
      <c r="V280">
        <v>27</v>
      </c>
      <c r="Y280">
        <v>0</v>
      </c>
      <c r="Z280" t="s">
        <v>743</v>
      </c>
      <c r="AA280" t="s">
        <v>1576</v>
      </c>
    </row>
    <row r="281" spans="1:27" ht="15" customHeight="1" x14ac:dyDescent="0.3">
      <c r="A281">
        <v>317</v>
      </c>
      <c r="B281">
        <v>64</v>
      </c>
      <c r="C281" t="s">
        <v>1024</v>
      </c>
      <c r="D281" t="s">
        <v>1025</v>
      </c>
      <c r="E281" t="s">
        <v>766</v>
      </c>
      <c r="F281">
        <v>2022</v>
      </c>
      <c r="G281">
        <v>0</v>
      </c>
      <c r="H281">
        <v>0</v>
      </c>
      <c r="I281">
        <v>0</v>
      </c>
      <c r="J281">
        <v>0</v>
      </c>
      <c r="K281">
        <v>6263000000</v>
      </c>
      <c r="L281">
        <v>0.28000000000000003</v>
      </c>
      <c r="M281">
        <v>1753640</v>
      </c>
      <c r="N281">
        <v>13324000</v>
      </c>
      <c r="O281">
        <v>13197000</v>
      </c>
      <c r="P281">
        <v>155980</v>
      </c>
      <c r="Q281">
        <v>1.1425051147988201</v>
      </c>
      <c r="R281">
        <v>16.395500088999</v>
      </c>
      <c r="S281">
        <v>1.00962339925741</v>
      </c>
      <c r="T281">
        <v>1.1819352883231E-2</v>
      </c>
      <c r="U281">
        <v>1994</v>
      </c>
      <c r="V281">
        <v>28</v>
      </c>
      <c r="Y281">
        <v>0</v>
      </c>
      <c r="Z281" t="s">
        <v>743</v>
      </c>
      <c r="AA281" t="s">
        <v>1576</v>
      </c>
    </row>
    <row r="282" spans="1:27" ht="15" customHeight="1" x14ac:dyDescent="0.3">
      <c r="A282">
        <v>318</v>
      </c>
      <c r="B282">
        <v>64</v>
      </c>
      <c r="C282" t="s">
        <v>1024</v>
      </c>
      <c r="D282" t="s">
        <v>1025</v>
      </c>
      <c r="E282" t="s">
        <v>766</v>
      </c>
      <c r="F282">
        <v>2023</v>
      </c>
      <c r="G282">
        <v>1</v>
      </c>
      <c r="H282">
        <v>0</v>
      </c>
      <c r="I282">
        <v>0</v>
      </c>
      <c r="J282">
        <v>0</v>
      </c>
      <c r="K282">
        <v>6263000000</v>
      </c>
      <c r="L282">
        <v>1.7</v>
      </c>
      <c r="M282">
        <v>10647100</v>
      </c>
      <c r="N282">
        <v>15117000</v>
      </c>
      <c r="O282">
        <v>14316000</v>
      </c>
      <c r="P282">
        <v>-674040</v>
      </c>
      <c r="Q282">
        <v>1.7996716960044701</v>
      </c>
      <c r="R282">
        <v>16.476888350868101</v>
      </c>
      <c r="S282">
        <v>1.0559513830678999</v>
      </c>
      <c r="T282">
        <v>-4.7082984073763601E-2</v>
      </c>
      <c r="U282">
        <v>1994</v>
      </c>
      <c r="V282">
        <v>29</v>
      </c>
      <c r="Y282">
        <v>0</v>
      </c>
      <c r="Z282" t="s">
        <v>743</v>
      </c>
      <c r="AA282" t="s">
        <v>1576</v>
      </c>
    </row>
    <row r="283" spans="1:27" ht="15" customHeight="1" x14ac:dyDescent="0.3">
      <c r="A283">
        <v>319</v>
      </c>
      <c r="B283">
        <v>64</v>
      </c>
      <c r="C283" t="s">
        <v>1024</v>
      </c>
      <c r="D283" t="s">
        <v>1025</v>
      </c>
      <c r="E283" t="s">
        <v>766</v>
      </c>
      <c r="F283">
        <v>2024</v>
      </c>
      <c r="G283">
        <v>1</v>
      </c>
      <c r="H283">
        <v>0</v>
      </c>
      <c r="I283">
        <v>15</v>
      </c>
      <c r="J283">
        <v>0</v>
      </c>
      <c r="K283">
        <v>14263000000</v>
      </c>
      <c r="L283">
        <v>2.0499999999999998</v>
      </c>
      <c r="M283">
        <v>29239150</v>
      </c>
      <c r="N283">
        <v>14933000</v>
      </c>
      <c r="O283">
        <v>33417000</v>
      </c>
      <c r="P283">
        <v>1680000</v>
      </c>
      <c r="Q283">
        <v>1.32184666487117</v>
      </c>
      <c r="R283">
        <v>17.324575310495401</v>
      </c>
      <c r="S283">
        <v>0.44686836041535699</v>
      </c>
      <c r="T283">
        <v>5.02738127300476E-2</v>
      </c>
      <c r="U283">
        <v>1994</v>
      </c>
      <c r="V283">
        <v>30</v>
      </c>
      <c r="Y283">
        <v>0</v>
      </c>
      <c r="Z283" t="s">
        <v>743</v>
      </c>
      <c r="AA283" t="s">
        <v>1576</v>
      </c>
    </row>
    <row r="284" spans="1:27" ht="15" customHeight="1" x14ac:dyDescent="0.3">
      <c r="A284">
        <v>320</v>
      </c>
      <c r="B284">
        <v>64</v>
      </c>
      <c r="C284" t="s">
        <v>1024</v>
      </c>
      <c r="D284" t="s">
        <v>1025</v>
      </c>
      <c r="E284" t="s">
        <v>766</v>
      </c>
      <c r="F284">
        <v>2025</v>
      </c>
      <c r="G284">
        <v>1</v>
      </c>
      <c r="H284">
        <v>0</v>
      </c>
      <c r="I284">
        <v>0</v>
      </c>
      <c r="J284">
        <v>0</v>
      </c>
      <c r="K284">
        <v>14263000000</v>
      </c>
      <c r="L284">
        <v>2.31</v>
      </c>
      <c r="M284">
        <v>32947530</v>
      </c>
      <c r="N284">
        <v>15088000</v>
      </c>
      <c r="O284">
        <v>33527000</v>
      </c>
      <c r="P284">
        <v>1113000</v>
      </c>
      <c r="Q284">
        <v>1.4327416708921199</v>
      </c>
      <c r="R284">
        <v>17.327861642325001</v>
      </c>
      <c r="S284">
        <v>0.45002535270080801</v>
      </c>
      <c r="T284">
        <v>3.3197124705461302E-2</v>
      </c>
      <c r="U284">
        <v>1994</v>
      </c>
      <c r="V284">
        <v>31</v>
      </c>
      <c r="Y284">
        <v>0</v>
      </c>
      <c r="Z284" t="s">
        <v>743</v>
      </c>
      <c r="AA284" t="s">
        <v>1576</v>
      </c>
    </row>
    <row r="285" spans="1:27" ht="15" customHeight="1" x14ac:dyDescent="0.3">
      <c r="A285">
        <v>321</v>
      </c>
      <c r="B285">
        <v>65</v>
      </c>
      <c r="C285" t="s">
        <v>1028</v>
      </c>
      <c r="D285" t="s">
        <v>1029</v>
      </c>
      <c r="E285" t="s">
        <v>780</v>
      </c>
      <c r="F285">
        <v>2021</v>
      </c>
      <c r="G285">
        <v>0</v>
      </c>
      <c r="H285">
        <v>0</v>
      </c>
      <c r="I285">
        <v>20</v>
      </c>
      <c r="J285">
        <v>13.3333333333333</v>
      </c>
      <c r="K285">
        <v>1600000000</v>
      </c>
      <c r="L285">
        <v>22.35</v>
      </c>
      <c r="M285">
        <v>35760000</v>
      </c>
      <c r="N285">
        <v>424126000</v>
      </c>
      <c r="O285">
        <v>477239000</v>
      </c>
      <c r="P285">
        <v>8344000</v>
      </c>
      <c r="Q285">
        <v>0.96363876380597602</v>
      </c>
      <c r="R285">
        <v>19.9835279715879</v>
      </c>
      <c r="S285">
        <v>0.88870775439559602</v>
      </c>
      <c r="T285">
        <v>1.7483902195755199E-2</v>
      </c>
      <c r="U285">
        <v>1970</v>
      </c>
      <c r="V285">
        <v>51</v>
      </c>
      <c r="Y285">
        <v>1</v>
      </c>
      <c r="Z285" t="s">
        <v>1012</v>
      </c>
      <c r="AA285" t="s">
        <v>1577</v>
      </c>
    </row>
    <row r="286" spans="1:27" ht="15" customHeight="1" x14ac:dyDescent="0.3">
      <c r="A286">
        <v>322</v>
      </c>
      <c r="B286">
        <v>65</v>
      </c>
      <c r="C286" t="s">
        <v>1028</v>
      </c>
      <c r="D286" t="s">
        <v>1029</v>
      </c>
      <c r="E286" t="s">
        <v>780</v>
      </c>
      <c r="F286">
        <v>2022</v>
      </c>
      <c r="G286">
        <v>0</v>
      </c>
      <c r="H286">
        <v>0</v>
      </c>
      <c r="I286">
        <v>20</v>
      </c>
      <c r="J286">
        <v>13.3333333333333</v>
      </c>
      <c r="K286">
        <v>1600000000</v>
      </c>
      <c r="L286">
        <v>24.5</v>
      </c>
      <c r="M286">
        <v>39200000</v>
      </c>
      <c r="N286">
        <v>449210000</v>
      </c>
      <c r="O286">
        <v>506271000</v>
      </c>
      <c r="P286">
        <v>7914000</v>
      </c>
      <c r="Q286">
        <v>0.964720475792609</v>
      </c>
      <c r="R286">
        <v>20.0425826570062</v>
      </c>
      <c r="S286">
        <v>0.88729158889211501</v>
      </c>
      <c r="T286">
        <v>1.56319441563905E-2</v>
      </c>
      <c r="U286">
        <v>1970</v>
      </c>
      <c r="V286">
        <v>52</v>
      </c>
      <c r="Y286">
        <v>1</v>
      </c>
      <c r="Z286" t="s">
        <v>1012</v>
      </c>
      <c r="AA286" t="s">
        <v>1577</v>
      </c>
    </row>
    <row r="287" spans="1:27" ht="15" customHeight="1" x14ac:dyDescent="0.3">
      <c r="A287">
        <v>323</v>
      </c>
      <c r="B287">
        <v>65</v>
      </c>
      <c r="C287" t="s">
        <v>1028</v>
      </c>
      <c r="D287" t="s">
        <v>1029</v>
      </c>
      <c r="E287" t="s">
        <v>780</v>
      </c>
      <c r="F287">
        <v>2023</v>
      </c>
      <c r="G287">
        <v>1</v>
      </c>
      <c r="H287">
        <v>0</v>
      </c>
      <c r="I287">
        <v>20</v>
      </c>
      <c r="J287">
        <v>13.3333333333333</v>
      </c>
      <c r="K287">
        <v>1600000000</v>
      </c>
      <c r="L287">
        <v>43</v>
      </c>
      <c r="M287">
        <v>68800000</v>
      </c>
      <c r="N287">
        <v>580474000</v>
      </c>
      <c r="O287">
        <v>686942000</v>
      </c>
      <c r="P287">
        <v>12553000</v>
      </c>
      <c r="Q287">
        <v>0.94516567628708104</v>
      </c>
      <c r="R287">
        <v>20.347760421586202</v>
      </c>
      <c r="S287">
        <v>0.84501166037307396</v>
      </c>
      <c r="T287">
        <v>1.8273740723379901E-2</v>
      </c>
      <c r="U287">
        <v>1970</v>
      </c>
      <c r="V287">
        <v>53</v>
      </c>
      <c r="Y287">
        <v>1</v>
      </c>
      <c r="Z287" t="s">
        <v>1012</v>
      </c>
      <c r="AA287" t="s">
        <v>1577</v>
      </c>
    </row>
    <row r="288" spans="1:27" ht="15" customHeight="1" x14ac:dyDescent="0.3">
      <c r="A288">
        <v>324</v>
      </c>
      <c r="B288">
        <v>65</v>
      </c>
      <c r="C288" t="s">
        <v>1028</v>
      </c>
      <c r="D288" t="s">
        <v>1029</v>
      </c>
      <c r="E288" t="s">
        <v>780</v>
      </c>
      <c r="F288">
        <v>2024</v>
      </c>
      <c r="G288">
        <v>1</v>
      </c>
      <c r="H288">
        <v>0</v>
      </c>
      <c r="I288">
        <v>55</v>
      </c>
      <c r="J288">
        <v>20</v>
      </c>
      <c r="K288">
        <v>1600000000</v>
      </c>
      <c r="L288">
        <v>155.25</v>
      </c>
      <c r="M288">
        <v>248400000</v>
      </c>
      <c r="N288">
        <v>677255000</v>
      </c>
      <c r="O288">
        <v>1023035000</v>
      </c>
      <c r="P288">
        <v>15260000</v>
      </c>
      <c r="Q288">
        <v>0.90481264081874002</v>
      </c>
      <c r="R288">
        <v>20.7460395364294</v>
      </c>
      <c r="S288">
        <v>0.66200569872976001</v>
      </c>
      <c r="T288">
        <v>1.49164007096531E-2</v>
      </c>
      <c r="U288">
        <v>1970</v>
      </c>
      <c r="V288">
        <v>54</v>
      </c>
      <c r="Y288">
        <v>1</v>
      </c>
      <c r="Z288" t="s">
        <v>1012</v>
      </c>
      <c r="AA288" t="s">
        <v>1577</v>
      </c>
    </row>
    <row r="289" spans="1:27" ht="15" customHeight="1" x14ac:dyDescent="0.3">
      <c r="A289">
        <v>325</v>
      </c>
      <c r="B289">
        <v>65</v>
      </c>
      <c r="C289" t="s">
        <v>1028</v>
      </c>
      <c r="D289" t="s">
        <v>1029</v>
      </c>
      <c r="E289" t="s">
        <v>780</v>
      </c>
      <c r="F289">
        <v>2025</v>
      </c>
      <c r="G289">
        <v>1</v>
      </c>
      <c r="H289">
        <v>0</v>
      </c>
      <c r="I289">
        <v>55</v>
      </c>
      <c r="J289">
        <v>20</v>
      </c>
      <c r="K289">
        <v>1600000000</v>
      </c>
      <c r="L289">
        <v>152.9</v>
      </c>
      <c r="M289">
        <v>244640000</v>
      </c>
      <c r="N289">
        <v>792453000</v>
      </c>
      <c r="O289">
        <v>1080664000</v>
      </c>
      <c r="P289">
        <v>29908000</v>
      </c>
      <c r="Q289">
        <v>0.95968127003397896</v>
      </c>
      <c r="R289">
        <v>20.800841503976201</v>
      </c>
      <c r="S289">
        <v>0.733301932885707</v>
      </c>
      <c r="T289">
        <v>2.7675577237698298E-2</v>
      </c>
      <c r="U289">
        <v>1970</v>
      </c>
      <c r="V289">
        <v>55</v>
      </c>
      <c r="Y289">
        <v>1</v>
      </c>
      <c r="Z289" t="s">
        <v>1012</v>
      </c>
      <c r="AA289" t="s">
        <v>1577</v>
      </c>
    </row>
    <row r="290" spans="1:27" ht="15" customHeight="1" x14ac:dyDescent="0.3">
      <c r="A290">
        <v>326</v>
      </c>
      <c r="B290">
        <v>66</v>
      </c>
      <c r="C290" t="s">
        <v>1032</v>
      </c>
      <c r="D290" t="s">
        <v>1033</v>
      </c>
      <c r="E290" t="s">
        <v>870</v>
      </c>
      <c r="F290">
        <v>2021</v>
      </c>
      <c r="G290">
        <v>0</v>
      </c>
      <c r="H290">
        <v>0</v>
      </c>
      <c r="I290">
        <v>0</v>
      </c>
      <c r="J290">
        <v>0</v>
      </c>
      <c r="K290">
        <v>390000000</v>
      </c>
      <c r="L290">
        <v>0.72</v>
      </c>
      <c r="M290">
        <v>280800</v>
      </c>
      <c r="N290">
        <v>8919000</v>
      </c>
      <c r="O290">
        <v>10928000</v>
      </c>
      <c r="P290">
        <v>-508000</v>
      </c>
      <c r="Q290">
        <v>0.84185578330893096</v>
      </c>
      <c r="R290">
        <v>16.206838860792701</v>
      </c>
      <c r="S290">
        <v>0.81616032210834599</v>
      </c>
      <c r="T290">
        <v>-4.6486090775988302E-2</v>
      </c>
      <c r="U290">
        <v>1961</v>
      </c>
      <c r="V290">
        <v>60</v>
      </c>
      <c r="Y290">
        <v>0</v>
      </c>
      <c r="Z290" t="s">
        <v>885</v>
      </c>
      <c r="AA290" t="s">
        <v>1578</v>
      </c>
    </row>
    <row r="291" spans="1:27" ht="15" customHeight="1" x14ac:dyDescent="0.3">
      <c r="A291">
        <v>327</v>
      </c>
      <c r="B291">
        <v>66</v>
      </c>
      <c r="C291" t="s">
        <v>1032</v>
      </c>
      <c r="D291" t="s">
        <v>1033</v>
      </c>
      <c r="E291" t="s">
        <v>870</v>
      </c>
      <c r="F291">
        <v>2022</v>
      </c>
      <c r="G291">
        <v>0</v>
      </c>
      <c r="H291">
        <v>0</v>
      </c>
      <c r="I291">
        <v>0</v>
      </c>
      <c r="J291">
        <v>0</v>
      </c>
      <c r="K291">
        <v>390000000</v>
      </c>
      <c r="L291">
        <v>0.73</v>
      </c>
      <c r="M291">
        <v>284700</v>
      </c>
      <c r="N291">
        <v>7955000</v>
      </c>
      <c r="O291">
        <v>10557000</v>
      </c>
      <c r="P291">
        <v>541000</v>
      </c>
      <c r="Q291">
        <v>0.78049635313062404</v>
      </c>
      <c r="R291">
        <v>16.172299704971799</v>
      </c>
      <c r="S291">
        <v>0.75352846452590705</v>
      </c>
      <c r="T291">
        <v>5.1245619020555098E-2</v>
      </c>
      <c r="U291">
        <v>1961</v>
      </c>
      <c r="V291">
        <v>61</v>
      </c>
      <c r="Y291">
        <v>0</v>
      </c>
      <c r="Z291" t="s">
        <v>885</v>
      </c>
      <c r="AA291" t="s">
        <v>1578</v>
      </c>
    </row>
    <row r="292" spans="1:27" ht="15" customHeight="1" x14ac:dyDescent="0.3">
      <c r="A292">
        <v>328</v>
      </c>
      <c r="B292">
        <v>66</v>
      </c>
      <c r="C292" t="s">
        <v>1032</v>
      </c>
      <c r="D292" t="s">
        <v>1033</v>
      </c>
      <c r="E292" t="s">
        <v>870</v>
      </c>
      <c r="F292">
        <v>2023</v>
      </c>
      <c r="G292">
        <v>1</v>
      </c>
      <c r="H292">
        <v>0</v>
      </c>
      <c r="I292">
        <v>0</v>
      </c>
      <c r="J292">
        <v>0</v>
      </c>
      <c r="K292">
        <v>390000000</v>
      </c>
      <c r="L292">
        <v>2.31</v>
      </c>
      <c r="M292">
        <v>900900</v>
      </c>
      <c r="N292">
        <v>12554000</v>
      </c>
      <c r="O292">
        <v>14477000</v>
      </c>
      <c r="P292">
        <v>-1000000</v>
      </c>
      <c r="Q292">
        <v>0.92939835601298604</v>
      </c>
      <c r="R292">
        <v>16.488071741136199</v>
      </c>
      <c r="S292">
        <v>0.86716861228154996</v>
      </c>
      <c r="T292">
        <v>-6.9075084616978699E-2</v>
      </c>
      <c r="U292">
        <v>1961</v>
      </c>
      <c r="V292">
        <v>62</v>
      </c>
      <c r="Y292">
        <v>0</v>
      </c>
      <c r="Z292" t="s">
        <v>885</v>
      </c>
      <c r="AA292" t="s">
        <v>1578</v>
      </c>
    </row>
    <row r="293" spans="1:27" ht="15" customHeight="1" x14ac:dyDescent="0.3">
      <c r="A293">
        <v>329</v>
      </c>
      <c r="B293">
        <v>66</v>
      </c>
      <c r="C293" t="s">
        <v>1032</v>
      </c>
      <c r="D293" t="s">
        <v>1033</v>
      </c>
      <c r="E293" t="s">
        <v>870</v>
      </c>
      <c r="F293">
        <v>2024</v>
      </c>
      <c r="G293">
        <v>1</v>
      </c>
      <c r="H293">
        <v>0</v>
      </c>
      <c r="I293">
        <v>0</v>
      </c>
      <c r="J293">
        <v>0</v>
      </c>
      <c r="K293">
        <v>389160000</v>
      </c>
      <c r="L293">
        <v>7.79</v>
      </c>
      <c r="M293">
        <v>3031556.4</v>
      </c>
      <c r="N293">
        <v>4076000</v>
      </c>
      <c r="O293">
        <v>8873000</v>
      </c>
      <c r="P293">
        <v>2474000</v>
      </c>
      <c r="Q293">
        <v>0.80103193959202101</v>
      </c>
      <c r="R293">
        <v>15.998523515817499</v>
      </c>
      <c r="S293">
        <v>0.45937112588752399</v>
      </c>
      <c r="T293">
        <v>0.278823396821819</v>
      </c>
      <c r="U293">
        <v>1961</v>
      </c>
      <c r="V293">
        <v>63</v>
      </c>
      <c r="Y293">
        <v>0</v>
      </c>
      <c r="Z293" t="s">
        <v>885</v>
      </c>
      <c r="AA293" t="s">
        <v>1578</v>
      </c>
    </row>
    <row r="294" spans="1:27" ht="15" customHeight="1" x14ac:dyDescent="0.3">
      <c r="A294">
        <v>330</v>
      </c>
      <c r="B294">
        <v>66</v>
      </c>
      <c r="C294" t="s">
        <v>1032</v>
      </c>
      <c r="D294" t="s">
        <v>1033</v>
      </c>
      <c r="E294" t="s">
        <v>870</v>
      </c>
      <c r="F294">
        <v>2025</v>
      </c>
      <c r="G294">
        <v>1</v>
      </c>
      <c r="H294">
        <v>0</v>
      </c>
      <c r="I294">
        <v>0</v>
      </c>
      <c r="J294">
        <v>0</v>
      </c>
      <c r="K294">
        <v>389160000</v>
      </c>
      <c r="L294">
        <v>4.91</v>
      </c>
      <c r="M294">
        <v>1910775.6</v>
      </c>
      <c r="N294">
        <v>4474000</v>
      </c>
      <c r="O294">
        <v>9740000</v>
      </c>
      <c r="P294">
        <v>469000</v>
      </c>
      <c r="Q294">
        <v>0.65552110882956904</v>
      </c>
      <c r="R294">
        <v>16.091751675618699</v>
      </c>
      <c r="S294">
        <v>0.45934291581108799</v>
      </c>
      <c r="T294">
        <v>4.8151950718685797E-2</v>
      </c>
      <c r="U294">
        <v>1961</v>
      </c>
      <c r="V294">
        <v>64</v>
      </c>
      <c r="Y294">
        <v>0</v>
      </c>
      <c r="Z294" t="s">
        <v>885</v>
      </c>
      <c r="AA294" t="s">
        <v>1578</v>
      </c>
    </row>
    <row r="295" spans="1:27" ht="15" customHeight="1" x14ac:dyDescent="0.3">
      <c r="A295">
        <v>331</v>
      </c>
      <c r="B295">
        <v>67</v>
      </c>
      <c r="C295" t="s">
        <v>1036</v>
      </c>
      <c r="D295" t="s">
        <v>1037</v>
      </c>
      <c r="E295" t="s">
        <v>715</v>
      </c>
      <c r="F295">
        <v>2021</v>
      </c>
      <c r="G295">
        <v>0</v>
      </c>
      <c r="H295">
        <v>0</v>
      </c>
      <c r="I295">
        <v>0</v>
      </c>
      <c r="J295">
        <v>0</v>
      </c>
      <c r="K295">
        <v>199910000</v>
      </c>
      <c r="L295">
        <v>0.91</v>
      </c>
      <c r="M295">
        <v>181918.1</v>
      </c>
      <c r="N295">
        <v>578460</v>
      </c>
      <c r="O295">
        <v>238620</v>
      </c>
      <c r="P295">
        <v>-24420</v>
      </c>
      <c r="Q295">
        <v>3.1865648311122299</v>
      </c>
      <c r="R295">
        <v>12.3826276074298</v>
      </c>
      <c r="S295">
        <v>2.4241890872516998</v>
      </c>
      <c r="T295">
        <v>-0.102338446064873</v>
      </c>
      <c r="U295">
        <v>1972</v>
      </c>
      <c r="V295">
        <v>49</v>
      </c>
      <c r="Y295">
        <v>0</v>
      </c>
      <c r="Z295" t="s">
        <v>1039</v>
      </c>
      <c r="AA295" t="s">
        <v>1579</v>
      </c>
    </row>
    <row r="296" spans="1:27" ht="15" customHeight="1" x14ac:dyDescent="0.3">
      <c r="A296">
        <v>332</v>
      </c>
      <c r="B296">
        <v>67</v>
      </c>
      <c r="C296" t="s">
        <v>1036</v>
      </c>
      <c r="D296" t="s">
        <v>1037</v>
      </c>
      <c r="E296" t="s">
        <v>715</v>
      </c>
      <c r="F296">
        <v>2022</v>
      </c>
      <c r="G296">
        <v>0</v>
      </c>
      <c r="H296">
        <v>0</v>
      </c>
      <c r="I296">
        <v>0</v>
      </c>
      <c r="J296">
        <v>0</v>
      </c>
      <c r="K296">
        <v>200000000</v>
      </c>
      <c r="L296">
        <v>0.79</v>
      </c>
      <c r="M296">
        <v>158000</v>
      </c>
      <c r="N296">
        <v>806000</v>
      </c>
      <c r="O296">
        <v>58440</v>
      </c>
      <c r="P296">
        <v>-67000</v>
      </c>
      <c r="Q296">
        <v>16.4955509924709</v>
      </c>
      <c r="R296">
        <v>10.975755865864601</v>
      </c>
      <c r="S296">
        <v>13.791923340178</v>
      </c>
      <c r="T296">
        <v>-1.1464750171115701</v>
      </c>
      <c r="U296">
        <v>1972</v>
      </c>
      <c r="V296">
        <v>50</v>
      </c>
      <c r="Y296">
        <v>0</v>
      </c>
      <c r="Z296" t="s">
        <v>1039</v>
      </c>
      <c r="AA296" t="s">
        <v>1579</v>
      </c>
    </row>
    <row r="297" spans="1:27" ht="15" customHeight="1" x14ac:dyDescent="0.3">
      <c r="A297">
        <v>333</v>
      </c>
      <c r="B297">
        <v>67</v>
      </c>
      <c r="C297" t="s">
        <v>1036</v>
      </c>
      <c r="D297" t="s">
        <v>1037</v>
      </c>
      <c r="E297" t="s">
        <v>715</v>
      </c>
      <c r="F297">
        <v>2023</v>
      </c>
      <c r="G297">
        <v>1</v>
      </c>
      <c r="H297">
        <v>0</v>
      </c>
      <c r="I297">
        <v>0</v>
      </c>
      <c r="J297">
        <v>0</v>
      </c>
      <c r="K297">
        <v>200000000</v>
      </c>
      <c r="L297">
        <v>0.59</v>
      </c>
      <c r="M297">
        <v>118000</v>
      </c>
      <c r="N297">
        <v>909930</v>
      </c>
      <c r="O297">
        <v>162300</v>
      </c>
      <c r="P297">
        <v>-80</v>
      </c>
      <c r="Q297">
        <v>6.33351817621688</v>
      </c>
      <c r="R297">
        <v>11.997201753502701</v>
      </c>
      <c r="S297">
        <v>5.60646950092422</v>
      </c>
      <c r="T297">
        <v>-4.9291435613062196E-4</v>
      </c>
      <c r="U297">
        <v>1972</v>
      </c>
      <c r="V297">
        <v>51</v>
      </c>
      <c r="Y297">
        <v>0</v>
      </c>
      <c r="Z297" t="s">
        <v>1039</v>
      </c>
      <c r="AA297" t="s">
        <v>1579</v>
      </c>
    </row>
    <row r="298" spans="1:27" ht="15" customHeight="1" x14ac:dyDescent="0.3">
      <c r="A298">
        <v>334</v>
      </c>
      <c r="B298">
        <v>67</v>
      </c>
      <c r="C298" t="s">
        <v>1036</v>
      </c>
      <c r="D298" t="s">
        <v>1037</v>
      </c>
      <c r="E298" t="s">
        <v>715</v>
      </c>
      <c r="F298">
        <v>2024</v>
      </c>
      <c r="G298">
        <v>1</v>
      </c>
      <c r="H298">
        <v>0</v>
      </c>
      <c r="I298">
        <v>0</v>
      </c>
      <c r="J298">
        <v>0</v>
      </c>
      <c r="K298">
        <v>200000000</v>
      </c>
      <c r="L298">
        <v>10.3</v>
      </c>
      <c r="M298">
        <v>2060000</v>
      </c>
      <c r="N298">
        <v>219810</v>
      </c>
      <c r="O298">
        <v>207740</v>
      </c>
      <c r="P298">
        <v>35580</v>
      </c>
      <c r="Q298">
        <v>10.9743429286608</v>
      </c>
      <c r="R298">
        <v>12.2440425767818</v>
      </c>
      <c r="S298">
        <v>1.0581014729950899</v>
      </c>
      <c r="T298">
        <v>0.17127178203523599</v>
      </c>
      <c r="U298">
        <v>1972</v>
      </c>
      <c r="V298">
        <v>52</v>
      </c>
      <c r="Y298">
        <v>0</v>
      </c>
      <c r="Z298" t="s">
        <v>1039</v>
      </c>
      <c r="AA298" t="s">
        <v>1579</v>
      </c>
    </row>
    <row r="299" spans="1:27" ht="15" customHeight="1" x14ac:dyDescent="0.3">
      <c r="A299">
        <v>335</v>
      </c>
      <c r="B299">
        <v>67</v>
      </c>
      <c r="C299" t="s">
        <v>1036</v>
      </c>
      <c r="D299" t="s">
        <v>1037</v>
      </c>
      <c r="E299" t="s">
        <v>715</v>
      </c>
      <c r="F299">
        <v>2025</v>
      </c>
      <c r="G299">
        <v>1</v>
      </c>
      <c r="H299">
        <v>0</v>
      </c>
      <c r="I299">
        <v>0</v>
      </c>
      <c r="J299">
        <v>0</v>
      </c>
      <c r="K299">
        <v>200000000</v>
      </c>
      <c r="L299">
        <v>8.0500000000000007</v>
      </c>
      <c r="M299">
        <v>1610000</v>
      </c>
      <c r="N299">
        <v>156530</v>
      </c>
      <c r="O299">
        <v>129730</v>
      </c>
      <c r="P299">
        <v>20780</v>
      </c>
      <c r="Q299">
        <v>13.6169737146381</v>
      </c>
      <c r="R299">
        <v>11.773210646565101</v>
      </c>
      <c r="S299">
        <v>1.2065829029522901</v>
      </c>
      <c r="T299">
        <v>0.16017883296076499</v>
      </c>
      <c r="U299">
        <v>1972</v>
      </c>
      <c r="V299">
        <v>53</v>
      </c>
      <c r="Y299">
        <v>0</v>
      </c>
      <c r="Z299" t="s">
        <v>1039</v>
      </c>
      <c r="AA299" t="s">
        <v>1579</v>
      </c>
    </row>
    <row r="300" spans="1:27" ht="15" customHeight="1" x14ac:dyDescent="0.3">
      <c r="A300">
        <v>336</v>
      </c>
      <c r="B300">
        <v>68</v>
      </c>
      <c r="C300" t="s">
        <v>1041</v>
      </c>
      <c r="D300" t="s">
        <v>1042</v>
      </c>
      <c r="E300" t="s">
        <v>709</v>
      </c>
      <c r="F300">
        <v>2021</v>
      </c>
      <c r="G300">
        <v>0</v>
      </c>
      <c r="H300">
        <v>0</v>
      </c>
      <c r="I300">
        <v>0</v>
      </c>
      <c r="J300">
        <v>0</v>
      </c>
      <c r="K300">
        <v>1834000000</v>
      </c>
      <c r="L300">
        <v>1.05</v>
      </c>
      <c r="M300">
        <v>1925700</v>
      </c>
      <c r="N300">
        <v>12650000</v>
      </c>
      <c r="O300">
        <v>23958000</v>
      </c>
      <c r="P300">
        <v>261380</v>
      </c>
      <c r="Q300">
        <v>0.60838550797228497</v>
      </c>
      <c r="R300">
        <v>16.991812855273398</v>
      </c>
      <c r="S300">
        <v>0.52800734618916401</v>
      </c>
      <c r="T300">
        <v>1.0909925703314101E-2</v>
      </c>
      <c r="U300">
        <v>1979</v>
      </c>
      <c r="V300">
        <v>42</v>
      </c>
      <c r="Y300">
        <v>0</v>
      </c>
      <c r="Z300" t="s">
        <v>975</v>
      </c>
      <c r="AA300" t="s">
        <v>1580</v>
      </c>
    </row>
    <row r="301" spans="1:27" ht="15" customHeight="1" x14ac:dyDescent="0.3">
      <c r="A301">
        <v>337</v>
      </c>
      <c r="B301">
        <v>68</v>
      </c>
      <c r="C301" t="s">
        <v>1041</v>
      </c>
      <c r="D301" t="s">
        <v>1042</v>
      </c>
      <c r="E301" t="s">
        <v>709</v>
      </c>
      <c r="F301">
        <v>2022</v>
      </c>
      <c r="G301">
        <v>0</v>
      </c>
      <c r="H301">
        <v>0</v>
      </c>
      <c r="I301">
        <v>0</v>
      </c>
      <c r="J301">
        <v>0</v>
      </c>
      <c r="K301">
        <v>1834000000</v>
      </c>
      <c r="L301">
        <v>0.87</v>
      </c>
      <c r="M301">
        <v>1595580</v>
      </c>
      <c r="N301">
        <v>13264000</v>
      </c>
      <c r="O301">
        <v>25598000</v>
      </c>
      <c r="P301">
        <v>1518000</v>
      </c>
      <c r="Q301">
        <v>0.58049769513243199</v>
      </c>
      <c r="R301">
        <v>17.058024781397901</v>
      </c>
      <c r="S301">
        <v>0.51816548167825605</v>
      </c>
      <c r="T301">
        <v>5.9301507930307099E-2</v>
      </c>
      <c r="U301">
        <v>1979</v>
      </c>
      <c r="V301">
        <v>43</v>
      </c>
      <c r="Y301">
        <v>0</v>
      </c>
      <c r="Z301" t="s">
        <v>975</v>
      </c>
      <c r="AA301" t="s">
        <v>1580</v>
      </c>
    </row>
    <row r="302" spans="1:27" ht="15" customHeight="1" x14ac:dyDescent="0.3">
      <c r="A302">
        <v>338</v>
      </c>
      <c r="B302">
        <v>68</v>
      </c>
      <c r="C302" t="s">
        <v>1041</v>
      </c>
      <c r="D302" t="s">
        <v>1042</v>
      </c>
      <c r="E302" t="s">
        <v>709</v>
      </c>
      <c r="F302">
        <v>2023</v>
      </c>
      <c r="G302">
        <v>1</v>
      </c>
      <c r="H302">
        <v>0</v>
      </c>
      <c r="I302">
        <v>0</v>
      </c>
      <c r="J302">
        <v>0</v>
      </c>
      <c r="K302">
        <v>1834000000</v>
      </c>
      <c r="L302">
        <v>1.9</v>
      </c>
      <c r="M302">
        <v>3484600</v>
      </c>
      <c r="N302">
        <v>13313000</v>
      </c>
      <c r="O302">
        <v>26970000</v>
      </c>
      <c r="P302">
        <v>1318000</v>
      </c>
      <c r="Q302">
        <v>0.622825361512792</v>
      </c>
      <c r="R302">
        <v>17.1102356951159</v>
      </c>
      <c r="S302">
        <v>0.49362254356692598</v>
      </c>
      <c r="T302">
        <v>4.88691138301817E-2</v>
      </c>
      <c r="U302">
        <v>1979</v>
      </c>
      <c r="V302">
        <v>44</v>
      </c>
      <c r="Y302">
        <v>0</v>
      </c>
      <c r="Z302" t="s">
        <v>975</v>
      </c>
      <c r="AA302" t="s">
        <v>1580</v>
      </c>
    </row>
    <row r="303" spans="1:27" ht="15" customHeight="1" x14ac:dyDescent="0.3">
      <c r="A303">
        <v>339</v>
      </c>
      <c r="B303">
        <v>68</v>
      </c>
      <c r="C303" t="s">
        <v>1041</v>
      </c>
      <c r="D303" t="s">
        <v>1042</v>
      </c>
      <c r="E303" t="s">
        <v>709</v>
      </c>
      <c r="F303">
        <v>2024</v>
      </c>
      <c r="G303">
        <v>1</v>
      </c>
      <c r="H303">
        <v>0</v>
      </c>
      <c r="I303">
        <v>0</v>
      </c>
      <c r="J303">
        <v>0</v>
      </c>
      <c r="K303">
        <v>1834000000</v>
      </c>
      <c r="L303">
        <v>3.09</v>
      </c>
      <c r="M303">
        <v>5667060</v>
      </c>
      <c r="N303">
        <v>19002000</v>
      </c>
      <c r="O303">
        <v>31264000</v>
      </c>
      <c r="P303">
        <v>1819000</v>
      </c>
      <c r="Q303">
        <v>0.78905642272262</v>
      </c>
      <c r="R303">
        <v>17.257977833824601</v>
      </c>
      <c r="S303">
        <v>0.60779170931422699</v>
      </c>
      <c r="T303">
        <v>5.8181934493347E-2</v>
      </c>
      <c r="U303">
        <v>1979</v>
      </c>
      <c r="V303">
        <v>45</v>
      </c>
      <c r="Y303">
        <v>0</v>
      </c>
      <c r="Z303" t="s">
        <v>975</v>
      </c>
      <c r="AA303" t="s">
        <v>1580</v>
      </c>
    </row>
    <row r="304" spans="1:27" ht="15" customHeight="1" x14ac:dyDescent="0.3">
      <c r="A304">
        <v>340</v>
      </c>
      <c r="B304">
        <v>68</v>
      </c>
      <c r="C304" t="s">
        <v>1041</v>
      </c>
      <c r="D304" t="s">
        <v>1042</v>
      </c>
      <c r="E304" t="s">
        <v>709</v>
      </c>
      <c r="F304">
        <v>2025</v>
      </c>
      <c r="G304">
        <v>1</v>
      </c>
      <c r="H304">
        <v>0</v>
      </c>
      <c r="I304">
        <v>0</v>
      </c>
      <c r="J304">
        <v>0</v>
      </c>
      <c r="K304">
        <v>11084000000</v>
      </c>
      <c r="L304">
        <v>2.4500000000000002</v>
      </c>
      <c r="M304">
        <v>27155800</v>
      </c>
      <c r="N304">
        <v>19219000</v>
      </c>
      <c r="O304">
        <v>39628000</v>
      </c>
      <c r="P304">
        <v>-2801000</v>
      </c>
      <c r="Q304">
        <v>1.1702533562127799</v>
      </c>
      <c r="R304">
        <v>17.495046497075101</v>
      </c>
      <c r="S304">
        <v>0.484985363884122</v>
      </c>
      <c r="T304">
        <v>-7.0682345816089606E-2</v>
      </c>
      <c r="U304">
        <v>1979</v>
      </c>
      <c r="V304">
        <v>46</v>
      </c>
      <c r="Y304">
        <v>0</v>
      </c>
      <c r="Z304" t="s">
        <v>975</v>
      </c>
      <c r="AA304" t="s">
        <v>1580</v>
      </c>
    </row>
    <row r="305" spans="1:27" ht="15" customHeight="1" x14ac:dyDescent="0.3">
      <c r="A305">
        <v>341</v>
      </c>
      <c r="B305">
        <v>69</v>
      </c>
      <c r="C305" t="s">
        <v>1045</v>
      </c>
      <c r="D305" t="s">
        <v>1046</v>
      </c>
      <c r="E305" t="s">
        <v>715</v>
      </c>
      <c r="F305">
        <v>2021</v>
      </c>
      <c r="G305">
        <v>0</v>
      </c>
      <c r="H305">
        <v>0</v>
      </c>
      <c r="I305">
        <v>0</v>
      </c>
      <c r="J305">
        <v>0</v>
      </c>
      <c r="K305">
        <v>771450000</v>
      </c>
      <c r="L305">
        <v>1.17</v>
      </c>
      <c r="M305">
        <v>902596.5</v>
      </c>
      <c r="N305">
        <v>1238450</v>
      </c>
      <c r="O305">
        <v>4467224</v>
      </c>
      <c r="P305">
        <v>161082</v>
      </c>
      <c r="Q305">
        <v>0.47927896608721698</v>
      </c>
      <c r="R305">
        <v>15.312277744588499</v>
      </c>
      <c r="S305">
        <v>0.27723033364792099</v>
      </c>
      <c r="T305">
        <v>3.6058635071803E-2</v>
      </c>
      <c r="U305">
        <v>1961</v>
      </c>
      <c r="V305">
        <v>60</v>
      </c>
      <c r="Y305">
        <v>0</v>
      </c>
      <c r="Z305" t="s">
        <v>832</v>
      </c>
      <c r="AA305" t="s">
        <v>1581</v>
      </c>
    </row>
    <row r="306" spans="1:27" ht="15" customHeight="1" x14ac:dyDescent="0.3">
      <c r="A306">
        <v>342</v>
      </c>
      <c r="B306">
        <v>69</v>
      </c>
      <c r="C306" t="s">
        <v>1045</v>
      </c>
      <c r="D306" t="s">
        <v>1046</v>
      </c>
      <c r="E306" t="s">
        <v>715</v>
      </c>
      <c r="F306">
        <v>2022</v>
      </c>
      <c r="G306">
        <v>0</v>
      </c>
      <c r="H306">
        <v>0</v>
      </c>
      <c r="I306">
        <v>0</v>
      </c>
      <c r="J306">
        <v>0</v>
      </c>
      <c r="K306">
        <v>867880000</v>
      </c>
      <c r="L306">
        <v>1.04</v>
      </c>
      <c r="M306">
        <v>902595.2</v>
      </c>
      <c r="N306">
        <v>1430000</v>
      </c>
      <c r="O306">
        <v>4945000</v>
      </c>
      <c r="P306">
        <v>401580</v>
      </c>
      <c r="Q306">
        <v>0.47170782608695699</v>
      </c>
      <c r="R306">
        <v>15.413887523039</v>
      </c>
      <c r="S306">
        <v>0.28918099089989902</v>
      </c>
      <c r="T306">
        <v>8.1209302325581406E-2</v>
      </c>
      <c r="U306">
        <v>1961</v>
      </c>
      <c r="V306">
        <v>61</v>
      </c>
      <c r="Y306">
        <v>0</v>
      </c>
      <c r="Z306" t="s">
        <v>832</v>
      </c>
      <c r="AA306" t="s">
        <v>1582</v>
      </c>
    </row>
    <row r="307" spans="1:27" ht="15" customHeight="1" x14ac:dyDescent="0.3">
      <c r="A307">
        <v>343</v>
      </c>
      <c r="B307">
        <v>69</v>
      </c>
      <c r="C307" t="s">
        <v>1045</v>
      </c>
      <c r="D307" t="s">
        <v>1046</v>
      </c>
      <c r="E307" t="s">
        <v>715</v>
      </c>
      <c r="F307">
        <v>2023</v>
      </c>
      <c r="G307">
        <v>1</v>
      </c>
      <c r="H307">
        <v>0</v>
      </c>
      <c r="I307">
        <v>0</v>
      </c>
      <c r="J307">
        <v>0</v>
      </c>
      <c r="K307">
        <v>867880000</v>
      </c>
      <c r="L307">
        <v>1.96</v>
      </c>
      <c r="M307">
        <v>1701044.8</v>
      </c>
      <c r="N307">
        <v>1403000</v>
      </c>
      <c r="O307">
        <v>5192000</v>
      </c>
      <c r="P307">
        <v>429530</v>
      </c>
      <c r="Q307">
        <v>0.59785146379044696</v>
      </c>
      <c r="R307">
        <v>15.4626295373661</v>
      </c>
      <c r="S307">
        <v>0.27022342064714899</v>
      </c>
      <c r="T307">
        <v>8.2729198767334394E-2</v>
      </c>
      <c r="U307">
        <v>1961</v>
      </c>
      <c r="V307">
        <v>62</v>
      </c>
      <c r="Y307">
        <v>0</v>
      </c>
      <c r="Z307" t="s">
        <v>832</v>
      </c>
      <c r="AA307" t="s">
        <v>1582</v>
      </c>
    </row>
    <row r="308" spans="1:27" ht="15" customHeight="1" x14ac:dyDescent="0.3">
      <c r="A308">
        <v>344</v>
      </c>
      <c r="B308">
        <v>69</v>
      </c>
      <c r="C308" t="s">
        <v>1045</v>
      </c>
      <c r="D308" t="s">
        <v>1046</v>
      </c>
      <c r="E308" t="s">
        <v>715</v>
      </c>
      <c r="F308">
        <v>2024</v>
      </c>
      <c r="G308">
        <v>1</v>
      </c>
      <c r="H308">
        <v>0</v>
      </c>
      <c r="I308">
        <v>0</v>
      </c>
      <c r="J308">
        <v>0</v>
      </c>
      <c r="K308">
        <v>867880000</v>
      </c>
      <c r="L308">
        <v>2.84</v>
      </c>
      <c r="M308">
        <v>2464779.2000000002</v>
      </c>
      <c r="N308">
        <v>1255000</v>
      </c>
      <c r="O308">
        <v>4863000</v>
      </c>
      <c r="P308">
        <v>11200</v>
      </c>
      <c r="Q308">
        <v>0.76491449722393601</v>
      </c>
      <c r="R308">
        <v>15.3971660893859</v>
      </c>
      <c r="S308">
        <v>0.25807114949619597</v>
      </c>
      <c r="T308">
        <v>2.3031050791692399E-3</v>
      </c>
      <c r="U308">
        <v>1961</v>
      </c>
      <c r="V308">
        <v>63</v>
      </c>
      <c r="Y308">
        <v>0</v>
      </c>
      <c r="Z308" t="s">
        <v>832</v>
      </c>
      <c r="AA308" t="s">
        <v>1582</v>
      </c>
    </row>
    <row r="309" spans="1:27" ht="15" customHeight="1" x14ac:dyDescent="0.3">
      <c r="A309">
        <v>345</v>
      </c>
      <c r="B309">
        <v>69</v>
      </c>
      <c r="C309" t="s">
        <v>1045</v>
      </c>
      <c r="D309" t="s">
        <v>1046</v>
      </c>
      <c r="E309" t="s">
        <v>715</v>
      </c>
      <c r="F309">
        <v>2025</v>
      </c>
      <c r="G309">
        <v>1</v>
      </c>
      <c r="H309">
        <v>0</v>
      </c>
      <c r="I309">
        <v>0</v>
      </c>
      <c r="J309">
        <v>0</v>
      </c>
      <c r="K309">
        <v>867880000</v>
      </c>
      <c r="L309">
        <v>4.51</v>
      </c>
      <c r="M309">
        <v>3914138.8</v>
      </c>
      <c r="N309">
        <v>1825000</v>
      </c>
      <c r="O309">
        <v>5908000</v>
      </c>
      <c r="P309">
        <v>474980</v>
      </c>
      <c r="Q309">
        <v>0.97141821259309402</v>
      </c>
      <c r="R309">
        <v>15.5918179226334</v>
      </c>
      <c r="S309">
        <v>0.30890318212593099</v>
      </c>
      <c r="T309">
        <v>8.0396073121191597E-2</v>
      </c>
      <c r="U309">
        <v>1961</v>
      </c>
      <c r="V309">
        <v>64</v>
      </c>
      <c r="Y309">
        <v>0</v>
      </c>
      <c r="Z309" t="s">
        <v>832</v>
      </c>
      <c r="AA309" t="s">
        <v>1582</v>
      </c>
    </row>
    <row r="310" spans="1:27" ht="15" customHeight="1" x14ac:dyDescent="0.3">
      <c r="A310">
        <v>350</v>
      </c>
      <c r="B310">
        <v>70</v>
      </c>
      <c r="C310" t="s">
        <v>1049</v>
      </c>
      <c r="D310" t="s">
        <v>1050</v>
      </c>
      <c r="E310" t="s">
        <v>752</v>
      </c>
      <c r="F310">
        <v>2025</v>
      </c>
      <c r="G310">
        <v>1</v>
      </c>
      <c r="H310">
        <v>0</v>
      </c>
      <c r="I310">
        <v>0</v>
      </c>
      <c r="J310">
        <v>0</v>
      </c>
      <c r="K310">
        <v>2000000000</v>
      </c>
      <c r="L310">
        <v>5.29</v>
      </c>
      <c r="M310">
        <v>10580000</v>
      </c>
      <c r="N310">
        <v>467000</v>
      </c>
      <c r="O310">
        <v>3337000</v>
      </c>
      <c r="P310">
        <v>142457</v>
      </c>
      <c r="Q310">
        <v>3.31045849565478</v>
      </c>
      <c r="R310">
        <v>15.0205827577335</v>
      </c>
      <c r="S310">
        <v>0.139946059334732</v>
      </c>
      <c r="T310">
        <v>4.2690140845070397E-2</v>
      </c>
      <c r="U310">
        <v>2021</v>
      </c>
      <c r="V310">
        <v>4</v>
      </c>
      <c r="Y310">
        <v>0</v>
      </c>
      <c r="Z310" t="s">
        <v>1052</v>
      </c>
      <c r="AA310" t="s">
        <v>1583</v>
      </c>
    </row>
    <row r="311" spans="1:27" ht="15" customHeight="1" x14ac:dyDescent="0.3">
      <c r="A311">
        <v>351</v>
      </c>
      <c r="B311">
        <v>71</v>
      </c>
      <c r="C311" t="s">
        <v>1054</v>
      </c>
      <c r="D311" t="s">
        <v>1055</v>
      </c>
      <c r="E311" t="s">
        <v>709</v>
      </c>
      <c r="F311">
        <v>2021</v>
      </c>
      <c r="G311">
        <v>0</v>
      </c>
      <c r="H311">
        <v>0</v>
      </c>
      <c r="I311">
        <v>0</v>
      </c>
      <c r="J311">
        <v>0</v>
      </c>
      <c r="K311">
        <v>18480000000</v>
      </c>
      <c r="L311">
        <v>0.29980000000000001</v>
      </c>
      <c r="M311">
        <v>5540304</v>
      </c>
      <c r="N311">
        <v>13147000</v>
      </c>
      <c r="O311">
        <v>20247000</v>
      </c>
      <c r="P311">
        <v>1233000</v>
      </c>
      <c r="Q311">
        <v>0.92296656294759705</v>
      </c>
      <c r="R311">
        <v>16.823517192393702</v>
      </c>
      <c r="S311">
        <v>0.64933076505161302</v>
      </c>
      <c r="T311">
        <v>6.0897910801600202E-2</v>
      </c>
      <c r="U311">
        <v>1991</v>
      </c>
      <c r="V311">
        <v>30</v>
      </c>
      <c r="Y311">
        <v>1</v>
      </c>
      <c r="Z311" t="s">
        <v>1057</v>
      </c>
      <c r="AA311" t="s">
        <v>1584</v>
      </c>
    </row>
    <row r="312" spans="1:27" ht="15" customHeight="1" x14ac:dyDescent="0.3">
      <c r="A312">
        <v>352</v>
      </c>
      <c r="B312">
        <v>71</v>
      </c>
      <c r="C312" t="s">
        <v>1054</v>
      </c>
      <c r="D312" t="s">
        <v>1055</v>
      </c>
      <c r="E312" t="s">
        <v>709</v>
      </c>
      <c r="F312">
        <v>2022</v>
      </c>
      <c r="G312">
        <v>0</v>
      </c>
      <c r="H312">
        <v>0</v>
      </c>
      <c r="I312">
        <v>0</v>
      </c>
      <c r="J312">
        <v>0</v>
      </c>
      <c r="K312">
        <v>18480000000</v>
      </c>
      <c r="L312">
        <v>0.35</v>
      </c>
      <c r="M312">
        <v>6468000</v>
      </c>
      <c r="N312">
        <v>15935000</v>
      </c>
      <c r="O312">
        <v>23631000</v>
      </c>
      <c r="P312">
        <v>1401000</v>
      </c>
      <c r="Q312">
        <v>0.948034361643604</v>
      </c>
      <c r="R312">
        <v>16.978069967353601</v>
      </c>
      <c r="S312">
        <v>0.67432609707587499</v>
      </c>
      <c r="T312">
        <v>5.9286530404976501E-2</v>
      </c>
      <c r="U312">
        <v>1991</v>
      </c>
      <c r="V312">
        <v>31</v>
      </c>
      <c r="Y312">
        <v>1</v>
      </c>
      <c r="Z312" t="s">
        <v>1057</v>
      </c>
      <c r="AA312" t="s">
        <v>1584</v>
      </c>
    </row>
    <row r="313" spans="1:27" ht="15" customHeight="1" x14ac:dyDescent="0.3">
      <c r="A313">
        <v>353</v>
      </c>
      <c r="B313">
        <v>71</v>
      </c>
      <c r="C313" t="s">
        <v>1054</v>
      </c>
      <c r="D313" t="s">
        <v>1055</v>
      </c>
      <c r="E313" t="s">
        <v>709</v>
      </c>
      <c r="F313">
        <v>2023</v>
      </c>
      <c r="G313">
        <v>1</v>
      </c>
      <c r="H313">
        <v>0</v>
      </c>
      <c r="I313">
        <v>0</v>
      </c>
      <c r="J313">
        <v>0</v>
      </c>
      <c r="K313">
        <v>18480000000</v>
      </c>
      <c r="L313">
        <v>0.45</v>
      </c>
      <c r="M313">
        <v>8316000</v>
      </c>
      <c r="N313">
        <v>19260000</v>
      </c>
      <c r="O313">
        <v>28130000</v>
      </c>
      <c r="P313">
        <v>1674000</v>
      </c>
      <c r="Q313">
        <v>0.980305723426946</v>
      </c>
      <c r="R313">
        <v>17.152347180465998</v>
      </c>
      <c r="S313">
        <v>0.684678279416993</v>
      </c>
      <c r="T313">
        <v>5.9509420547458197E-2</v>
      </c>
      <c r="U313">
        <v>1991</v>
      </c>
      <c r="V313">
        <v>32</v>
      </c>
      <c r="Y313">
        <v>1</v>
      </c>
      <c r="Z313" t="s">
        <v>1057</v>
      </c>
      <c r="AA313" t="s">
        <v>1584</v>
      </c>
    </row>
    <row r="314" spans="1:27" ht="15" customHeight="1" x14ac:dyDescent="0.3">
      <c r="A314">
        <v>354</v>
      </c>
      <c r="B314">
        <v>71</v>
      </c>
      <c r="C314" t="s">
        <v>1054</v>
      </c>
      <c r="D314" t="s">
        <v>1055</v>
      </c>
      <c r="E314" t="s">
        <v>709</v>
      </c>
      <c r="F314">
        <v>2024</v>
      </c>
      <c r="G314">
        <v>1</v>
      </c>
      <c r="H314">
        <v>0</v>
      </c>
      <c r="I314">
        <v>0</v>
      </c>
      <c r="J314">
        <v>0</v>
      </c>
      <c r="K314">
        <v>18480000000</v>
      </c>
      <c r="L314">
        <v>0.63249999999999995</v>
      </c>
      <c r="M314">
        <v>11688600</v>
      </c>
      <c r="N314">
        <v>23940000</v>
      </c>
      <c r="O314">
        <v>34580000</v>
      </c>
      <c r="P314">
        <v>2050000</v>
      </c>
      <c r="Q314">
        <v>1.03032388663968</v>
      </c>
      <c r="R314">
        <v>17.358786038219399</v>
      </c>
      <c r="S314">
        <v>0.69230769230769196</v>
      </c>
      <c r="T314">
        <v>5.9282822440717198E-2</v>
      </c>
      <c r="U314">
        <v>1991</v>
      </c>
      <c r="V314">
        <v>33</v>
      </c>
      <c r="Y314">
        <v>1</v>
      </c>
      <c r="Z314" t="s">
        <v>1057</v>
      </c>
      <c r="AA314" t="s">
        <v>1584</v>
      </c>
    </row>
    <row r="315" spans="1:27" ht="15" customHeight="1" x14ac:dyDescent="0.3">
      <c r="A315">
        <v>355</v>
      </c>
      <c r="B315">
        <v>71</v>
      </c>
      <c r="C315" t="s">
        <v>1054</v>
      </c>
      <c r="D315" t="s">
        <v>1055</v>
      </c>
      <c r="E315" t="s">
        <v>709</v>
      </c>
      <c r="F315">
        <v>2025</v>
      </c>
      <c r="G315">
        <v>1</v>
      </c>
      <c r="H315">
        <v>0</v>
      </c>
      <c r="I315">
        <v>0</v>
      </c>
      <c r="J315">
        <v>0</v>
      </c>
      <c r="K315">
        <v>18480000000</v>
      </c>
      <c r="L315">
        <v>0.76919999999999999</v>
      </c>
      <c r="M315">
        <v>14214816</v>
      </c>
      <c r="N315">
        <v>27610000</v>
      </c>
      <c r="O315">
        <v>40120000</v>
      </c>
      <c r="P315">
        <v>2290000</v>
      </c>
      <c r="Q315">
        <v>1.0424929212362899</v>
      </c>
      <c r="R315">
        <v>17.507385521058001</v>
      </c>
      <c r="S315">
        <v>0.68818544366899304</v>
      </c>
      <c r="T315">
        <v>5.7078763708873402E-2</v>
      </c>
      <c r="U315">
        <v>1991</v>
      </c>
      <c r="V315">
        <v>34</v>
      </c>
      <c r="Y315">
        <v>1</v>
      </c>
      <c r="Z315" t="s">
        <v>1057</v>
      </c>
      <c r="AA315" t="s">
        <v>1585</v>
      </c>
    </row>
    <row r="316" spans="1:27" ht="15" customHeight="1" x14ac:dyDescent="0.3">
      <c r="A316">
        <v>356</v>
      </c>
      <c r="B316">
        <v>72</v>
      </c>
      <c r="C316" t="s">
        <v>1059</v>
      </c>
      <c r="D316" t="s">
        <v>1060</v>
      </c>
      <c r="E316" t="s">
        <v>903</v>
      </c>
      <c r="F316">
        <v>2021</v>
      </c>
      <c r="G316">
        <v>0</v>
      </c>
      <c r="H316">
        <v>0</v>
      </c>
      <c r="I316">
        <v>0</v>
      </c>
      <c r="J316">
        <v>0</v>
      </c>
      <c r="K316">
        <v>3000000000</v>
      </c>
      <c r="L316">
        <v>0.92</v>
      </c>
      <c r="M316">
        <v>2760000</v>
      </c>
      <c r="N316">
        <v>4890000</v>
      </c>
      <c r="O316">
        <v>9120000</v>
      </c>
      <c r="P316">
        <v>612000</v>
      </c>
      <c r="Q316">
        <v>0.83881578947368396</v>
      </c>
      <c r="R316">
        <v>16.0259803620505</v>
      </c>
      <c r="S316">
        <v>0.53618421052631604</v>
      </c>
      <c r="T316">
        <v>6.7105263157894696E-2</v>
      </c>
      <c r="U316">
        <v>1963</v>
      </c>
      <c r="V316">
        <v>58</v>
      </c>
      <c r="Y316">
        <v>1</v>
      </c>
      <c r="Z316" t="s">
        <v>1062</v>
      </c>
      <c r="AA316" t="s">
        <v>1586</v>
      </c>
    </row>
    <row r="317" spans="1:27" ht="15" customHeight="1" x14ac:dyDescent="0.3">
      <c r="A317">
        <v>357</v>
      </c>
      <c r="B317">
        <v>72</v>
      </c>
      <c r="C317" t="s">
        <v>1059</v>
      </c>
      <c r="D317" t="s">
        <v>1060</v>
      </c>
      <c r="E317" t="s">
        <v>903</v>
      </c>
      <c r="F317">
        <v>2022</v>
      </c>
      <c r="G317">
        <v>0</v>
      </c>
      <c r="H317">
        <v>0</v>
      </c>
      <c r="I317">
        <v>0</v>
      </c>
      <c r="J317">
        <v>0</v>
      </c>
      <c r="K317">
        <v>3000000000</v>
      </c>
      <c r="L317">
        <v>1.0900000000000001</v>
      </c>
      <c r="M317">
        <v>3270000</v>
      </c>
      <c r="N317">
        <v>5640000</v>
      </c>
      <c r="O317">
        <v>10580000</v>
      </c>
      <c r="P317">
        <v>745000</v>
      </c>
      <c r="Q317">
        <v>0.842155009451796</v>
      </c>
      <c r="R317">
        <v>16.174475984394402</v>
      </c>
      <c r="S317">
        <v>0.53308128544423405</v>
      </c>
      <c r="T317">
        <v>7.0415879017013197E-2</v>
      </c>
      <c r="U317">
        <v>1963</v>
      </c>
      <c r="V317">
        <v>59</v>
      </c>
      <c r="Y317">
        <v>1</v>
      </c>
      <c r="Z317" t="s">
        <v>1062</v>
      </c>
      <c r="AA317" t="s">
        <v>1586</v>
      </c>
    </row>
    <row r="318" spans="1:27" ht="15" customHeight="1" x14ac:dyDescent="0.3">
      <c r="A318">
        <v>358</v>
      </c>
      <c r="B318">
        <v>72</v>
      </c>
      <c r="C318" t="s">
        <v>1059</v>
      </c>
      <c r="D318" t="s">
        <v>1060</v>
      </c>
      <c r="E318" t="s">
        <v>903</v>
      </c>
      <c r="F318">
        <v>2023</v>
      </c>
      <c r="G318">
        <v>1</v>
      </c>
      <c r="H318">
        <v>0</v>
      </c>
      <c r="I318">
        <v>0</v>
      </c>
      <c r="J318">
        <v>0</v>
      </c>
      <c r="K318">
        <v>3000000000</v>
      </c>
      <c r="L318">
        <v>1.51</v>
      </c>
      <c r="M318">
        <v>4530000</v>
      </c>
      <c r="N318">
        <v>6920000</v>
      </c>
      <c r="O318">
        <v>13140000</v>
      </c>
      <c r="P318">
        <v>980000</v>
      </c>
      <c r="Q318">
        <v>0.87138508371385104</v>
      </c>
      <c r="R318">
        <v>16.391171571020699</v>
      </c>
      <c r="S318">
        <v>0.526636225266362</v>
      </c>
      <c r="T318">
        <v>7.4581430745814303E-2</v>
      </c>
      <c r="U318">
        <v>1963</v>
      </c>
      <c r="V318">
        <v>60</v>
      </c>
      <c r="Y318">
        <v>1</v>
      </c>
      <c r="Z318" t="s">
        <v>1062</v>
      </c>
      <c r="AA318" t="s">
        <v>1586</v>
      </c>
    </row>
    <row r="319" spans="1:27" ht="15" customHeight="1" x14ac:dyDescent="0.3">
      <c r="A319">
        <v>359</v>
      </c>
      <c r="B319">
        <v>72</v>
      </c>
      <c r="C319" t="s">
        <v>1059</v>
      </c>
      <c r="D319" t="s">
        <v>1060</v>
      </c>
      <c r="E319" t="s">
        <v>903</v>
      </c>
      <c r="F319">
        <v>2024</v>
      </c>
      <c r="G319">
        <v>1</v>
      </c>
      <c r="H319">
        <v>0</v>
      </c>
      <c r="I319">
        <v>5</v>
      </c>
      <c r="J319">
        <v>0</v>
      </c>
      <c r="K319">
        <v>3000000000</v>
      </c>
      <c r="L319">
        <v>2.06</v>
      </c>
      <c r="M319">
        <v>6180000</v>
      </c>
      <c r="N319">
        <v>8760000</v>
      </c>
      <c r="O319">
        <v>16390000</v>
      </c>
      <c r="P319">
        <v>1240000</v>
      </c>
      <c r="Q319">
        <v>0.91153142159853595</v>
      </c>
      <c r="R319">
        <v>16.61218195072</v>
      </c>
      <c r="S319">
        <v>0.53447223917022602</v>
      </c>
      <c r="T319">
        <v>7.5655887736424704E-2</v>
      </c>
      <c r="U319">
        <v>1963</v>
      </c>
      <c r="V319">
        <v>61</v>
      </c>
      <c r="Y319">
        <v>1</v>
      </c>
      <c r="Z319" t="s">
        <v>1062</v>
      </c>
      <c r="AA319" t="s">
        <v>1586</v>
      </c>
    </row>
    <row r="320" spans="1:27" ht="15" customHeight="1" x14ac:dyDescent="0.3">
      <c r="A320">
        <v>360</v>
      </c>
      <c r="B320">
        <v>72</v>
      </c>
      <c r="C320" t="s">
        <v>1059</v>
      </c>
      <c r="D320" t="s">
        <v>1060</v>
      </c>
      <c r="E320" t="s">
        <v>903</v>
      </c>
      <c r="F320">
        <v>2025</v>
      </c>
      <c r="G320">
        <v>1</v>
      </c>
      <c r="H320">
        <v>0</v>
      </c>
      <c r="I320">
        <v>5</v>
      </c>
      <c r="J320">
        <v>0</v>
      </c>
      <c r="K320">
        <v>3000000000</v>
      </c>
      <c r="L320">
        <v>2.5499999999999998</v>
      </c>
      <c r="M320">
        <v>7650000</v>
      </c>
      <c r="N320">
        <v>10120000</v>
      </c>
      <c r="O320">
        <v>18970000</v>
      </c>
      <c r="P320">
        <v>1460000</v>
      </c>
      <c r="Q320">
        <v>0.93674222456510303</v>
      </c>
      <c r="R320">
        <v>16.758369341911202</v>
      </c>
      <c r="S320">
        <v>0.53347390616763302</v>
      </c>
      <c r="T320">
        <v>7.6963626779124897E-2</v>
      </c>
      <c r="U320">
        <v>1963</v>
      </c>
      <c r="V320">
        <v>62</v>
      </c>
      <c r="Y320">
        <v>1</v>
      </c>
      <c r="Z320" t="s">
        <v>1062</v>
      </c>
      <c r="AA320" t="s">
        <v>1586</v>
      </c>
    </row>
    <row r="321" spans="1:27" ht="15" customHeight="1" x14ac:dyDescent="0.3">
      <c r="A321">
        <v>361</v>
      </c>
      <c r="B321">
        <v>73</v>
      </c>
      <c r="C321" t="s">
        <v>1064</v>
      </c>
      <c r="D321" t="s">
        <v>1065</v>
      </c>
      <c r="E321" t="s">
        <v>709</v>
      </c>
      <c r="F321">
        <v>2021</v>
      </c>
      <c r="G321">
        <v>0</v>
      </c>
      <c r="H321">
        <v>0</v>
      </c>
      <c r="I321">
        <v>0</v>
      </c>
      <c r="J321">
        <v>0</v>
      </c>
      <c r="K321">
        <v>5000000000</v>
      </c>
      <c r="L321">
        <v>1.04</v>
      </c>
      <c r="M321">
        <v>5200000</v>
      </c>
      <c r="N321">
        <v>8118000</v>
      </c>
      <c r="O321">
        <v>11342000</v>
      </c>
      <c r="P321">
        <v>506960</v>
      </c>
      <c r="Q321">
        <v>1.1742197143361</v>
      </c>
      <c r="R321">
        <v>16.244023207556101</v>
      </c>
      <c r="S321">
        <v>0.71574678187268603</v>
      </c>
      <c r="T321">
        <v>4.46975842003174E-2</v>
      </c>
      <c r="U321">
        <v>1993</v>
      </c>
      <c r="V321">
        <v>28</v>
      </c>
      <c r="Y321">
        <v>0</v>
      </c>
      <c r="Z321" t="s">
        <v>832</v>
      </c>
      <c r="AA321" t="s">
        <v>1587</v>
      </c>
    </row>
    <row r="322" spans="1:27" ht="15" customHeight="1" x14ac:dyDescent="0.3">
      <c r="A322">
        <v>362</v>
      </c>
      <c r="B322">
        <v>73</v>
      </c>
      <c r="C322" t="s">
        <v>1064</v>
      </c>
      <c r="D322" t="s">
        <v>1065</v>
      </c>
      <c r="E322" t="s">
        <v>709</v>
      </c>
      <c r="F322">
        <v>2022</v>
      </c>
      <c r="G322">
        <v>0</v>
      </c>
      <c r="H322">
        <v>0</v>
      </c>
      <c r="I322">
        <v>0</v>
      </c>
      <c r="J322">
        <v>0</v>
      </c>
      <c r="K322">
        <v>5000000000</v>
      </c>
      <c r="L322">
        <v>1.6</v>
      </c>
      <c r="M322">
        <v>8000000</v>
      </c>
      <c r="N322">
        <v>9168000</v>
      </c>
      <c r="O322">
        <v>12914000</v>
      </c>
      <c r="P322">
        <v>821680</v>
      </c>
      <c r="Q322">
        <v>1.3294099426978501</v>
      </c>
      <c r="R322">
        <v>16.373822552168502</v>
      </c>
      <c r="S322">
        <v>0.70992721077900001</v>
      </c>
      <c r="T322">
        <v>6.3627071395384899E-2</v>
      </c>
      <c r="U322">
        <v>1993</v>
      </c>
      <c r="V322">
        <v>29</v>
      </c>
      <c r="Y322">
        <v>0</v>
      </c>
      <c r="Z322" t="s">
        <v>832</v>
      </c>
      <c r="AA322" t="s">
        <v>1587</v>
      </c>
    </row>
    <row r="323" spans="1:27" ht="15" customHeight="1" x14ac:dyDescent="0.3">
      <c r="A323">
        <v>363</v>
      </c>
      <c r="B323">
        <v>73</v>
      </c>
      <c r="C323" t="s">
        <v>1064</v>
      </c>
      <c r="D323" t="s">
        <v>1065</v>
      </c>
      <c r="E323" t="s">
        <v>709</v>
      </c>
      <c r="F323">
        <v>2023</v>
      </c>
      <c r="G323">
        <v>1</v>
      </c>
      <c r="H323">
        <v>0</v>
      </c>
      <c r="I323">
        <v>0</v>
      </c>
      <c r="J323">
        <v>0</v>
      </c>
      <c r="K323">
        <v>5000000000</v>
      </c>
      <c r="L323">
        <v>2.98</v>
      </c>
      <c r="M323">
        <v>14900000</v>
      </c>
      <c r="N323">
        <v>13542000</v>
      </c>
      <c r="O323">
        <v>17796000</v>
      </c>
      <c r="P323">
        <v>568270</v>
      </c>
      <c r="Q323">
        <v>1.5982243200719299</v>
      </c>
      <c r="R323">
        <v>16.694484270908099</v>
      </c>
      <c r="S323">
        <v>0.76095751854349303</v>
      </c>
      <c r="T323">
        <v>3.1932456731849898E-2</v>
      </c>
      <c r="U323">
        <v>1993</v>
      </c>
      <c r="V323">
        <v>30</v>
      </c>
      <c r="Y323">
        <v>0</v>
      </c>
      <c r="Z323" t="s">
        <v>832</v>
      </c>
      <c r="AA323" t="s">
        <v>1587</v>
      </c>
    </row>
    <row r="324" spans="1:27" ht="15" customHeight="1" x14ac:dyDescent="0.3">
      <c r="A324">
        <v>364</v>
      </c>
      <c r="B324">
        <v>73</v>
      </c>
      <c r="C324" t="s">
        <v>1064</v>
      </c>
      <c r="D324" t="s">
        <v>1065</v>
      </c>
      <c r="E324" t="s">
        <v>709</v>
      </c>
      <c r="F324">
        <v>2024</v>
      </c>
      <c r="G324">
        <v>1</v>
      </c>
      <c r="H324">
        <v>0</v>
      </c>
      <c r="I324">
        <v>0</v>
      </c>
      <c r="J324">
        <v>0</v>
      </c>
      <c r="K324">
        <v>5000000000</v>
      </c>
      <c r="L324">
        <v>4.38</v>
      </c>
      <c r="M324">
        <v>21900000</v>
      </c>
      <c r="N324">
        <v>18994000</v>
      </c>
      <c r="O324">
        <v>24046000</v>
      </c>
      <c r="P324">
        <v>789140</v>
      </c>
      <c r="Q324">
        <v>1.70065707394161</v>
      </c>
      <c r="R324">
        <v>16.995479220517002</v>
      </c>
      <c r="S324">
        <v>0.78990268651750795</v>
      </c>
      <c r="T324">
        <v>3.2817932296431797E-2</v>
      </c>
      <c r="U324">
        <v>1993</v>
      </c>
      <c r="V324">
        <v>31</v>
      </c>
      <c r="Y324">
        <v>0</v>
      </c>
      <c r="Z324" t="s">
        <v>832</v>
      </c>
      <c r="AA324" t="s">
        <v>1587</v>
      </c>
    </row>
    <row r="325" spans="1:27" ht="15" customHeight="1" x14ac:dyDescent="0.3">
      <c r="A325">
        <v>365</v>
      </c>
      <c r="B325">
        <v>73</v>
      </c>
      <c r="C325" t="s">
        <v>1064</v>
      </c>
      <c r="D325" t="s">
        <v>1065</v>
      </c>
      <c r="E325" t="s">
        <v>709</v>
      </c>
      <c r="F325">
        <v>2025</v>
      </c>
      <c r="G325">
        <v>1</v>
      </c>
      <c r="H325">
        <v>0</v>
      </c>
      <c r="I325">
        <v>0</v>
      </c>
      <c r="J325">
        <v>0</v>
      </c>
      <c r="K325">
        <v>5000000000</v>
      </c>
      <c r="L325">
        <v>3.45</v>
      </c>
      <c r="M325">
        <v>17250000</v>
      </c>
      <c r="N325">
        <v>27688000</v>
      </c>
      <c r="O325">
        <v>32740000</v>
      </c>
      <c r="P325">
        <v>1011000</v>
      </c>
      <c r="Q325">
        <v>1.3725717776420301</v>
      </c>
      <c r="R325">
        <v>17.304108129907299</v>
      </c>
      <c r="S325">
        <v>0.84569334147831399</v>
      </c>
      <c r="T325">
        <v>3.08796579108125E-2</v>
      </c>
      <c r="U325">
        <v>1993</v>
      </c>
      <c r="V325">
        <v>32</v>
      </c>
      <c r="Y325">
        <v>0</v>
      </c>
      <c r="Z325" t="s">
        <v>832</v>
      </c>
      <c r="AA325" t="s">
        <v>1587</v>
      </c>
    </row>
    <row r="326" spans="1:27" ht="15" customHeight="1" x14ac:dyDescent="0.3">
      <c r="A326">
        <v>366</v>
      </c>
      <c r="B326">
        <v>74</v>
      </c>
      <c r="C326" t="s">
        <v>1067</v>
      </c>
      <c r="D326" t="s">
        <v>1068</v>
      </c>
      <c r="E326" t="s">
        <v>709</v>
      </c>
      <c r="F326">
        <v>2021</v>
      </c>
      <c r="G326">
        <v>0</v>
      </c>
      <c r="H326">
        <v>0</v>
      </c>
      <c r="I326">
        <v>40</v>
      </c>
      <c r="J326">
        <v>0</v>
      </c>
      <c r="K326">
        <v>8944000000</v>
      </c>
      <c r="L326">
        <v>2.3233000000000001</v>
      </c>
      <c r="M326">
        <v>20779595.199999999</v>
      </c>
      <c r="N326">
        <v>69671000</v>
      </c>
      <c r="O326">
        <v>104065000</v>
      </c>
      <c r="P326">
        <v>3165000</v>
      </c>
      <c r="Q326">
        <v>0.86917402777110497</v>
      </c>
      <c r="R326">
        <v>18.460526261874499</v>
      </c>
      <c r="S326">
        <v>0.669495027146495</v>
      </c>
      <c r="T326">
        <v>3.04136837553452E-2</v>
      </c>
      <c r="U326">
        <v>1989</v>
      </c>
      <c r="V326">
        <v>32</v>
      </c>
      <c r="Y326">
        <v>1</v>
      </c>
      <c r="Z326" t="s">
        <v>727</v>
      </c>
      <c r="AA326" t="s">
        <v>1588</v>
      </c>
    </row>
    <row r="327" spans="1:27" ht="15" customHeight="1" x14ac:dyDescent="0.3">
      <c r="A327">
        <v>367</v>
      </c>
      <c r="B327">
        <v>74</v>
      </c>
      <c r="C327" t="s">
        <v>1067</v>
      </c>
      <c r="D327" t="s">
        <v>1068</v>
      </c>
      <c r="E327" t="s">
        <v>709</v>
      </c>
      <c r="F327">
        <v>2022</v>
      </c>
      <c r="G327">
        <v>0</v>
      </c>
      <c r="H327">
        <v>0</v>
      </c>
      <c r="I327">
        <v>40</v>
      </c>
      <c r="J327">
        <v>0</v>
      </c>
      <c r="K327">
        <v>8944000000</v>
      </c>
      <c r="L327">
        <v>2.0002</v>
      </c>
      <c r="M327">
        <v>17889788.800000001</v>
      </c>
      <c r="N327">
        <v>72185000</v>
      </c>
      <c r="O327">
        <v>105293000</v>
      </c>
      <c r="P327">
        <v>2749000</v>
      </c>
      <c r="Q327">
        <v>0.85546796843094997</v>
      </c>
      <c r="R327">
        <v>18.472257498161401</v>
      </c>
      <c r="S327">
        <v>0.68556314284900199</v>
      </c>
      <c r="T327">
        <v>2.61080983541166E-2</v>
      </c>
      <c r="U327">
        <v>1989</v>
      </c>
      <c r="V327">
        <v>33</v>
      </c>
      <c r="Y327">
        <v>1</v>
      </c>
      <c r="Z327" t="s">
        <v>727</v>
      </c>
      <c r="AA327" t="s">
        <v>1588</v>
      </c>
    </row>
    <row r="328" spans="1:27" ht="15" customHeight="1" x14ac:dyDescent="0.3">
      <c r="A328">
        <v>368</v>
      </c>
      <c r="B328">
        <v>74</v>
      </c>
      <c r="C328" t="s">
        <v>1067</v>
      </c>
      <c r="D328" t="s">
        <v>1068</v>
      </c>
      <c r="E328" t="s">
        <v>709</v>
      </c>
      <c r="F328">
        <v>2023</v>
      </c>
      <c r="G328">
        <v>1</v>
      </c>
      <c r="H328">
        <v>0</v>
      </c>
      <c r="I328">
        <v>40</v>
      </c>
      <c r="J328">
        <v>0</v>
      </c>
      <c r="K328">
        <v>8944000000</v>
      </c>
      <c r="L328">
        <v>5.4997999999999996</v>
      </c>
      <c r="M328">
        <v>49190211.200000003</v>
      </c>
      <c r="N328">
        <v>99709000</v>
      </c>
      <c r="O328">
        <v>141129000</v>
      </c>
      <c r="P328">
        <v>11485000</v>
      </c>
      <c r="Q328">
        <v>1.0550575090874299</v>
      </c>
      <c r="R328">
        <v>18.765184923699401</v>
      </c>
      <c r="S328">
        <v>0.70650964720220499</v>
      </c>
      <c r="T328">
        <v>8.1379447172445094E-2</v>
      </c>
      <c r="U328">
        <v>1989</v>
      </c>
      <c r="V328">
        <v>34</v>
      </c>
      <c r="Y328">
        <v>1</v>
      </c>
      <c r="Z328" t="s">
        <v>727</v>
      </c>
      <c r="AA328" t="s">
        <v>1588</v>
      </c>
    </row>
    <row r="329" spans="1:27" ht="15" customHeight="1" x14ac:dyDescent="0.3">
      <c r="A329">
        <v>369</v>
      </c>
      <c r="B329">
        <v>74</v>
      </c>
      <c r="C329" t="s">
        <v>1067</v>
      </c>
      <c r="D329" t="s">
        <v>1068</v>
      </c>
      <c r="E329" t="s">
        <v>709</v>
      </c>
      <c r="F329">
        <v>2024</v>
      </c>
      <c r="G329">
        <v>1</v>
      </c>
      <c r="H329">
        <v>0</v>
      </c>
      <c r="I329">
        <v>40</v>
      </c>
      <c r="J329">
        <v>0</v>
      </c>
      <c r="K329">
        <v>8944000000</v>
      </c>
      <c r="L329">
        <v>8.1998999999999995</v>
      </c>
      <c r="M329">
        <v>73339905.599999994</v>
      </c>
      <c r="N329">
        <v>140730000</v>
      </c>
      <c r="O329">
        <v>193609000</v>
      </c>
      <c r="P329">
        <v>24871000</v>
      </c>
      <c r="Q329">
        <v>1.1056815829842599</v>
      </c>
      <c r="R329">
        <v>19.081351219329498</v>
      </c>
      <c r="S329">
        <v>0.72687736623814003</v>
      </c>
      <c r="T329">
        <v>0.12845993729630301</v>
      </c>
      <c r="U329">
        <v>1989</v>
      </c>
      <c r="V329">
        <v>35</v>
      </c>
      <c r="Y329">
        <v>1</v>
      </c>
      <c r="Z329" t="s">
        <v>727</v>
      </c>
      <c r="AA329" t="s">
        <v>1588</v>
      </c>
    </row>
    <row r="330" spans="1:27" ht="15" customHeight="1" x14ac:dyDescent="0.3">
      <c r="A330">
        <v>370</v>
      </c>
      <c r="B330">
        <v>74</v>
      </c>
      <c r="C330" t="s">
        <v>1067</v>
      </c>
      <c r="D330" t="s">
        <v>1068</v>
      </c>
      <c r="E330" t="s">
        <v>709</v>
      </c>
      <c r="F330">
        <v>2025</v>
      </c>
      <c r="G330">
        <v>1</v>
      </c>
      <c r="H330">
        <v>0</v>
      </c>
      <c r="I330">
        <v>40</v>
      </c>
      <c r="J330">
        <v>0</v>
      </c>
      <c r="K330">
        <v>8944000000</v>
      </c>
      <c r="L330">
        <v>13.700799999999999</v>
      </c>
      <c r="M330">
        <v>122539955.2</v>
      </c>
      <c r="N330">
        <v>171881000</v>
      </c>
      <c r="O330">
        <v>227935000</v>
      </c>
      <c r="P330">
        <v>2631000</v>
      </c>
      <c r="Q330">
        <v>1.2916882233970199</v>
      </c>
      <c r="R330">
        <v>19.2445710585542</v>
      </c>
      <c r="S330">
        <v>0.75407901375392095</v>
      </c>
      <c r="T330">
        <v>1.15427643845833E-2</v>
      </c>
      <c r="U330">
        <v>1989</v>
      </c>
      <c r="V330">
        <v>36</v>
      </c>
      <c r="Y330">
        <v>1</v>
      </c>
      <c r="Z330" t="s">
        <v>727</v>
      </c>
      <c r="AA330" t="s">
        <v>1588</v>
      </c>
    </row>
    <row r="331" spans="1:27" ht="15" customHeight="1" x14ac:dyDescent="0.3">
      <c r="A331">
        <v>371</v>
      </c>
      <c r="B331">
        <v>75</v>
      </c>
      <c r="C331" t="s">
        <v>1071</v>
      </c>
      <c r="D331" t="s">
        <v>1072</v>
      </c>
      <c r="E331" t="s">
        <v>898</v>
      </c>
      <c r="F331">
        <v>2021</v>
      </c>
      <c r="G331">
        <v>0</v>
      </c>
      <c r="H331">
        <v>0</v>
      </c>
      <c r="I331">
        <v>50</v>
      </c>
      <c r="J331">
        <v>26.6666666666667</v>
      </c>
      <c r="K331">
        <v>1725000000</v>
      </c>
      <c r="L331">
        <v>4.0232000000000001</v>
      </c>
      <c r="M331">
        <v>6940020</v>
      </c>
      <c r="N331">
        <v>10351000</v>
      </c>
      <c r="O331">
        <v>17622000</v>
      </c>
      <c r="P331">
        <v>1050000</v>
      </c>
      <c r="Q331">
        <v>0.98121779593689695</v>
      </c>
      <c r="R331">
        <v>16.684658679408798</v>
      </c>
      <c r="S331">
        <v>0.58739076154806502</v>
      </c>
      <c r="T331">
        <v>5.9584610146407903E-2</v>
      </c>
      <c r="U331">
        <v>1944</v>
      </c>
      <c r="V331">
        <v>77</v>
      </c>
      <c r="Y331">
        <v>0</v>
      </c>
      <c r="Z331" t="s">
        <v>832</v>
      </c>
      <c r="AA331" t="s">
        <v>1589</v>
      </c>
    </row>
    <row r="332" spans="1:27" ht="15" customHeight="1" x14ac:dyDescent="0.3">
      <c r="A332">
        <v>372</v>
      </c>
      <c r="B332">
        <v>75</v>
      </c>
      <c r="C332" t="s">
        <v>1071</v>
      </c>
      <c r="D332" t="s">
        <v>1072</v>
      </c>
      <c r="E332" t="s">
        <v>898</v>
      </c>
      <c r="F332">
        <v>2022</v>
      </c>
      <c r="G332">
        <v>0</v>
      </c>
      <c r="H332">
        <v>0</v>
      </c>
      <c r="I332">
        <v>50</v>
      </c>
      <c r="J332">
        <v>26.6666666666667</v>
      </c>
      <c r="K332">
        <v>1725000000</v>
      </c>
      <c r="L332">
        <v>4.3014000000000001</v>
      </c>
      <c r="M332">
        <v>7419915</v>
      </c>
      <c r="N332">
        <v>9733000</v>
      </c>
      <c r="O332">
        <v>17957000</v>
      </c>
      <c r="P332">
        <v>1491000</v>
      </c>
      <c r="Q332">
        <v>0.95522164058584402</v>
      </c>
      <c r="R332">
        <v>16.703490569024002</v>
      </c>
      <c r="S332">
        <v>0.54201704070835899</v>
      </c>
      <c r="T332">
        <v>8.3031686807373203E-2</v>
      </c>
      <c r="U332">
        <v>1944</v>
      </c>
      <c r="V332">
        <v>78</v>
      </c>
      <c r="Y332">
        <v>0</v>
      </c>
      <c r="Z332" t="s">
        <v>832</v>
      </c>
      <c r="AA332" t="s">
        <v>1589</v>
      </c>
    </row>
    <row r="333" spans="1:27" ht="15" customHeight="1" x14ac:dyDescent="0.3">
      <c r="A333">
        <v>373</v>
      </c>
      <c r="B333">
        <v>75</v>
      </c>
      <c r="C333" t="s">
        <v>1071</v>
      </c>
      <c r="D333" t="s">
        <v>1072</v>
      </c>
      <c r="E333" t="s">
        <v>898</v>
      </c>
      <c r="F333">
        <v>2023</v>
      </c>
      <c r="G333">
        <v>1</v>
      </c>
      <c r="H333">
        <v>0</v>
      </c>
      <c r="I333">
        <v>0</v>
      </c>
      <c r="J333">
        <v>0</v>
      </c>
      <c r="K333">
        <v>1725000000</v>
      </c>
      <c r="L333">
        <v>5.2522000000000002</v>
      </c>
      <c r="M333">
        <v>9060045</v>
      </c>
      <c r="N333">
        <v>11593000</v>
      </c>
      <c r="O333">
        <v>20382000</v>
      </c>
      <c r="P333">
        <v>1083000</v>
      </c>
      <c r="Q333">
        <v>1.0132982533608099</v>
      </c>
      <c r="R333">
        <v>16.830162716370801</v>
      </c>
      <c r="S333">
        <v>0.56878618388774405</v>
      </c>
      <c r="T333">
        <v>5.3135119222843703E-2</v>
      </c>
      <c r="U333">
        <v>1944</v>
      </c>
      <c r="V333">
        <v>79</v>
      </c>
      <c r="Y333">
        <v>0</v>
      </c>
      <c r="Z333" t="s">
        <v>832</v>
      </c>
      <c r="AA333" t="s">
        <v>1589</v>
      </c>
    </row>
    <row r="334" spans="1:27" ht="15" customHeight="1" x14ac:dyDescent="0.3">
      <c r="A334">
        <v>374</v>
      </c>
      <c r="B334">
        <v>75</v>
      </c>
      <c r="C334" t="s">
        <v>1071</v>
      </c>
      <c r="D334" t="s">
        <v>1072</v>
      </c>
      <c r="E334" t="s">
        <v>898</v>
      </c>
      <c r="F334">
        <v>2024</v>
      </c>
      <c r="G334">
        <v>1</v>
      </c>
      <c r="H334">
        <v>0</v>
      </c>
      <c r="I334">
        <v>0</v>
      </c>
      <c r="J334">
        <v>0</v>
      </c>
      <c r="K334">
        <v>1725000000</v>
      </c>
      <c r="L334">
        <v>9.4029000000000007</v>
      </c>
      <c r="M334">
        <v>16220002.5</v>
      </c>
      <c r="N334">
        <v>12563000</v>
      </c>
      <c r="O334">
        <v>22456000</v>
      </c>
      <c r="P334">
        <v>1621000</v>
      </c>
      <c r="Q334">
        <v>1.2817510910224399</v>
      </c>
      <c r="R334">
        <v>16.927068397023898</v>
      </c>
      <c r="S334">
        <v>0.55944959030994001</v>
      </c>
      <c r="T334">
        <v>7.2185607410046301E-2</v>
      </c>
      <c r="U334">
        <v>1944</v>
      </c>
      <c r="V334">
        <v>80</v>
      </c>
      <c r="Y334">
        <v>0</v>
      </c>
      <c r="Z334" t="s">
        <v>832</v>
      </c>
      <c r="AA334" t="s">
        <v>1589</v>
      </c>
    </row>
    <row r="335" spans="1:27" ht="15" customHeight="1" x14ac:dyDescent="0.3">
      <c r="A335">
        <v>375</v>
      </c>
      <c r="B335">
        <v>75</v>
      </c>
      <c r="C335" t="s">
        <v>1071</v>
      </c>
      <c r="D335" t="s">
        <v>1072</v>
      </c>
      <c r="E335" t="s">
        <v>898</v>
      </c>
      <c r="F335">
        <v>2025</v>
      </c>
      <c r="G335">
        <v>1</v>
      </c>
      <c r="H335">
        <v>0</v>
      </c>
      <c r="I335">
        <v>0</v>
      </c>
      <c r="J335">
        <v>0</v>
      </c>
      <c r="K335">
        <v>1725000000</v>
      </c>
      <c r="L335">
        <v>19.0029</v>
      </c>
      <c r="M335">
        <v>32780002.5</v>
      </c>
      <c r="N335">
        <v>11964000</v>
      </c>
      <c r="O335">
        <v>25615000</v>
      </c>
      <c r="P335">
        <v>4437000</v>
      </c>
      <c r="Q335">
        <v>1.7467890884247499</v>
      </c>
      <c r="R335">
        <v>17.058688675355398</v>
      </c>
      <c r="S335">
        <v>0.46707007612726897</v>
      </c>
      <c r="T335">
        <v>0.17321881709935599</v>
      </c>
      <c r="U335">
        <v>1944</v>
      </c>
      <c r="V335">
        <v>81</v>
      </c>
      <c r="Y335">
        <v>0</v>
      </c>
      <c r="Z335" t="s">
        <v>832</v>
      </c>
      <c r="AA335" t="s">
        <v>1589</v>
      </c>
    </row>
    <row r="336" spans="1:27" ht="15" customHeight="1" x14ac:dyDescent="0.3">
      <c r="A336">
        <v>376</v>
      </c>
      <c r="B336">
        <v>76</v>
      </c>
      <c r="C336" t="s">
        <v>1075</v>
      </c>
      <c r="D336" t="s">
        <v>1076</v>
      </c>
      <c r="E336" t="s">
        <v>709</v>
      </c>
      <c r="F336">
        <v>2021</v>
      </c>
      <c r="G336">
        <v>0</v>
      </c>
      <c r="H336">
        <v>0</v>
      </c>
      <c r="I336">
        <v>5</v>
      </c>
      <c r="J336">
        <v>0</v>
      </c>
      <c r="K336">
        <v>20061000000</v>
      </c>
      <c r="L336">
        <v>0.33</v>
      </c>
      <c r="M336">
        <v>6620130</v>
      </c>
      <c r="N336">
        <v>63904000</v>
      </c>
      <c r="O336">
        <v>83780000</v>
      </c>
      <c r="P336">
        <v>-5575000</v>
      </c>
      <c r="Q336">
        <v>0.84177763189305299</v>
      </c>
      <c r="R336">
        <v>18.2437048734832</v>
      </c>
      <c r="S336">
        <v>0.76275960849844804</v>
      </c>
      <c r="T336">
        <v>-6.6543327763189303E-2</v>
      </c>
      <c r="U336">
        <v>1995</v>
      </c>
      <c r="V336">
        <v>26</v>
      </c>
      <c r="Y336">
        <v>1</v>
      </c>
      <c r="Z336" t="s">
        <v>727</v>
      </c>
      <c r="AA336" t="s">
        <v>1590</v>
      </c>
    </row>
    <row r="337" spans="1:27" ht="15" customHeight="1" x14ac:dyDescent="0.3">
      <c r="A337">
        <v>377</v>
      </c>
      <c r="B337">
        <v>76</v>
      </c>
      <c r="C337" t="s">
        <v>1075</v>
      </c>
      <c r="D337" t="s">
        <v>1076</v>
      </c>
      <c r="E337" t="s">
        <v>709</v>
      </c>
      <c r="F337">
        <v>2022</v>
      </c>
      <c r="G337">
        <v>0</v>
      </c>
      <c r="H337">
        <v>0</v>
      </c>
      <c r="I337">
        <v>5</v>
      </c>
      <c r="J337">
        <v>0</v>
      </c>
      <c r="K337">
        <v>20061000000</v>
      </c>
      <c r="L337">
        <v>0.2702</v>
      </c>
      <c r="M337">
        <v>5420482.2000000002</v>
      </c>
      <c r="N337">
        <v>71456000</v>
      </c>
      <c r="O337">
        <v>90399000</v>
      </c>
      <c r="P337">
        <v>954620</v>
      </c>
      <c r="Q337">
        <v>0.850412971382427</v>
      </c>
      <c r="R337">
        <v>18.3197437633543</v>
      </c>
      <c r="S337">
        <v>0.79045122180555105</v>
      </c>
      <c r="T337">
        <v>1.05600725671744E-2</v>
      </c>
      <c r="U337">
        <v>1995</v>
      </c>
      <c r="V337">
        <v>27</v>
      </c>
      <c r="Y337">
        <v>1</v>
      </c>
      <c r="Z337" t="s">
        <v>727</v>
      </c>
      <c r="AA337" t="s">
        <v>1590</v>
      </c>
    </row>
    <row r="338" spans="1:27" ht="15" customHeight="1" x14ac:dyDescent="0.3">
      <c r="A338">
        <v>378</v>
      </c>
      <c r="B338">
        <v>76</v>
      </c>
      <c r="C338" t="s">
        <v>1075</v>
      </c>
      <c r="D338" t="s">
        <v>1076</v>
      </c>
      <c r="E338" t="s">
        <v>709</v>
      </c>
      <c r="F338">
        <v>2023</v>
      </c>
      <c r="G338">
        <v>1</v>
      </c>
      <c r="H338">
        <v>0</v>
      </c>
      <c r="I338">
        <v>5</v>
      </c>
      <c r="J338">
        <v>0</v>
      </c>
      <c r="K338">
        <v>20061000000</v>
      </c>
      <c r="L338">
        <v>0.52990000000000004</v>
      </c>
      <c r="M338">
        <v>10630323.9</v>
      </c>
      <c r="N338">
        <v>80458000</v>
      </c>
      <c r="O338">
        <v>110459000</v>
      </c>
      <c r="P338">
        <v>5847000</v>
      </c>
      <c r="Q338">
        <v>0.82463469613159601</v>
      </c>
      <c r="R338">
        <v>18.520154969345501</v>
      </c>
      <c r="S338">
        <v>0.72839696176862001</v>
      </c>
      <c r="T338">
        <v>5.2933667695706101E-2</v>
      </c>
      <c r="U338">
        <v>1995</v>
      </c>
      <c r="V338">
        <v>28</v>
      </c>
      <c r="Y338">
        <v>1</v>
      </c>
      <c r="Z338" t="s">
        <v>727</v>
      </c>
      <c r="AA338" t="s">
        <v>1590</v>
      </c>
    </row>
    <row r="339" spans="1:27" ht="15" customHeight="1" x14ac:dyDescent="0.3">
      <c r="A339">
        <v>379</v>
      </c>
      <c r="B339">
        <v>76</v>
      </c>
      <c r="C339" t="s">
        <v>1075</v>
      </c>
      <c r="D339" t="s">
        <v>1076</v>
      </c>
      <c r="E339" t="s">
        <v>709</v>
      </c>
      <c r="F339">
        <v>2024</v>
      </c>
      <c r="G339">
        <v>1</v>
      </c>
      <c r="H339">
        <v>0</v>
      </c>
      <c r="I339">
        <v>5</v>
      </c>
      <c r="J339">
        <v>0</v>
      </c>
      <c r="K339">
        <v>20061000000</v>
      </c>
      <c r="L339">
        <v>0.61009999999999998</v>
      </c>
      <c r="M339">
        <v>12239216.1</v>
      </c>
      <c r="N339">
        <v>92348000</v>
      </c>
      <c r="O339">
        <v>147134000</v>
      </c>
      <c r="P339">
        <v>10751000</v>
      </c>
      <c r="Q339">
        <v>0.71082969334076396</v>
      </c>
      <c r="R339">
        <v>18.806854294146099</v>
      </c>
      <c r="S339">
        <v>0.62764554759606905</v>
      </c>
      <c r="T339">
        <v>7.3069446898745394E-2</v>
      </c>
      <c r="U339">
        <v>1995</v>
      </c>
      <c r="V339">
        <v>29</v>
      </c>
      <c r="Y339">
        <v>1</v>
      </c>
      <c r="Z339" t="s">
        <v>727</v>
      </c>
      <c r="AA339" t="s">
        <v>1590</v>
      </c>
    </row>
    <row r="340" spans="1:27" ht="15" customHeight="1" x14ac:dyDescent="0.3">
      <c r="A340">
        <v>380</v>
      </c>
      <c r="B340">
        <v>76</v>
      </c>
      <c r="C340" t="s">
        <v>1075</v>
      </c>
      <c r="D340" t="s">
        <v>1076</v>
      </c>
      <c r="E340" t="s">
        <v>709</v>
      </c>
      <c r="F340">
        <v>2025</v>
      </c>
      <c r="G340">
        <v>1</v>
      </c>
      <c r="H340">
        <v>0</v>
      </c>
      <c r="I340">
        <v>5</v>
      </c>
      <c r="J340">
        <v>0</v>
      </c>
      <c r="K340">
        <v>20061000000</v>
      </c>
      <c r="L340">
        <v>3.1</v>
      </c>
      <c r="M340">
        <v>62189100</v>
      </c>
      <c r="N340">
        <v>105140000</v>
      </c>
      <c r="O340">
        <v>174321000</v>
      </c>
      <c r="P340">
        <v>20054000</v>
      </c>
      <c r="Q340">
        <v>0.95989066148083102</v>
      </c>
      <c r="R340">
        <v>18.976408985160599</v>
      </c>
      <c r="S340">
        <v>0.60314018391358504</v>
      </c>
      <c r="T340">
        <v>0.115040643410719</v>
      </c>
      <c r="U340">
        <v>1995</v>
      </c>
      <c r="V340">
        <v>30</v>
      </c>
      <c r="Y340">
        <v>1</v>
      </c>
      <c r="Z340" t="s">
        <v>727</v>
      </c>
      <c r="AA340" t="s">
        <v>1590</v>
      </c>
    </row>
    <row r="341" spans="1:27" ht="15" customHeight="1" x14ac:dyDescent="0.3">
      <c r="A341">
        <v>381</v>
      </c>
      <c r="B341">
        <v>77</v>
      </c>
      <c r="C341" t="s">
        <v>1079</v>
      </c>
      <c r="D341" t="s">
        <v>1080</v>
      </c>
      <c r="E341" t="s">
        <v>806</v>
      </c>
      <c r="F341">
        <v>2021</v>
      </c>
      <c r="G341">
        <v>0</v>
      </c>
      <c r="H341">
        <v>0</v>
      </c>
      <c r="I341">
        <v>0</v>
      </c>
      <c r="J341">
        <v>0</v>
      </c>
      <c r="K341">
        <v>718750000</v>
      </c>
      <c r="L341">
        <v>0.35</v>
      </c>
      <c r="M341">
        <v>251562.5</v>
      </c>
      <c r="N341">
        <v>333360</v>
      </c>
      <c r="O341">
        <v>692510</v>
      </c>
      <c r="P341">
        <v>14300</v>
      </c>
      <c r="Q341">
        <v>0.84464123261757995</v>
      </c>
      <c r="R341">
        <v>13.4480779573726</v>
      </c>
      <c r="S341">
        <v>0.481379330262379</v>
      </c>
      <c r="T341">
        <v>2.06495213065515E-2</v>
      </c>
      <c r="U341">
        <v>2004</v>
      </c>
      <c r="V341">
        <v>17</v>
      </c>
      <c r="Y341">
        <v>0</v>
      </c>
      <c r="Z341" t="s">
        <v>1082</v>
      </c>
      <c r="AA341" t="s">
        <v>1591</v>
      </c>
    </row>
    <row r="342" spans="1:27" ht="15" customHeight="1" x14ac:dyDescent="0.3">
      <c r="A342">
        <v>382</v>
      </c>
      <c r="B342">
        <v>77</v>
      </c>
      <c r="C342" t="s">
        <v>1079</v>
      </c>
      <c r="D342" t="s">
        <v>1080</v>
      </c>
      <c r="E342" t="s">
        <v>806</v>
      </c>
      <c r="F342">
        <v>2022</v>
      </c>
      <c r="G342">
        <v>0</v>
      </c>
      <c r="H342">
        <v>0</v>
      </c>
      <c r="I342">
        <v>0</v>
      </c>
      <c r="J342">
        <v>0</v>
      </c>
      <c r="K342">
        <v>718740000</v>
      </c>
      <c r="L342">
        <v>0.56999999999999995</v>
      </c>
      <c r="M342">
        <v>409681.8</v>
      </c>
      <c r="N342">
        <v>273280</v>
      </c>
      <c r="O342">
        <v>653720</v>
      </c>
      <c r="P342">
        <v>19760</v>
      </c>
      <c r="Q342">
        <v>1.0447313834669301</v>
      </c>
      <c r="R342">
        <v>13.390434404206999</v>
      </c>
      <c r="S342">
        <v>0.41803830386098001</v>
      </c>
      <c r="T342">
        <v>3.0227008505170402E-2</v>
      </c>
      <c r="U342">
        <v>2004</v>
      </c>
      <c r="V342">
        <v>18</v>
      </c>
      <c r="Y342">
        <v>0</v>
      </c>
      <c r="Z342" t="s">
        <v>1082</v>
      </c>
      <c r="AA342" t="s">
        <v>1591</v>
      </c>
    </row>
    <row r="343" spans="1:27" ht="15" customHeight="1" x14ac:dyDescent="0.3">
      <c r="A343">
        <v>383</v>
      </c>
      <c r="B343">
        <v>77</v>
      </c>
      <c r="C343" t="s">
        <v>1079</v>
      </c>
      <c r="D343" t="s">
        <v>1080</v>
      </c>
      <c r="E343" t="s">
        <v>806</v>
      </c>
      <c r="F343">
        <v>2023</v>
      </c>
      <c r="G343">
        <v>1</v>
      </c>
      <c r="H343">
        <v>0</v>
      </c>
      <c r="I343">
        <v>0</v>
      </c>
      <c r="J343">
        <v>0</v>
      </c>
      <c r="K343">
        <v>1117000000</v>
      </c>
      <c r="L343">
        <v>0.83979999999999999</v>
      </c>
      <c r="M343">
        <v>938056.6</v>
      </c>
      <c r="N343">
        <v>477000</v>
      </c>
      <c r="O343">
        <v>1069000</v>
      </c>
      <c r="P343">
        <v>36070</v>
      </c>
      <c r="Q343">
        <v>1.3237199251637</v>
      </c>
      <c r="R343">
        <v>13.8822341900072</v>
      </c>
      <c r="S343">
        <v>0.44621141253508001</v>
      </c>
      <c r="T343">
        <v>3.3741814780168397E-2</v>
      </c>
      <c r="U343">
        <v>2004</v>
      </c>
      <c r="V343">
        <v>19</v>
      </c>
      <c r="Y343">
        <v>0</v>
      </c>
      <c r="Z343" t="s">
        <v>1082</v>
      </c>
      <c r="AA343" t="s">
        <v>1591</v>
      </c>
    </row>
    <row r="344" spans="1:27" ht="15" customHeight="1" x14ac:dyDescent="0.3">
      <c r="A344">
        <v>384</v>
      </c>
      <c r="B344">
        <v>77</v>
      </c>
      <c r="C344" t="s">
        <v>1079</v>
      </c>
      <c r="D344" t="s">
        <v>1080</v>
      </c>
      <c r="E344" t="s">
        <v>806</v>
      </c>
      <c r="F344">
        <v>2024</v>
      </c>
      <c r="G344">
        <v>1</v>
      </c>
      <c r="H344">
        <v>0</v>
      </c>
      <c r="I344">
        <v>0</v>
      </c>
      <c r="J344">
        <v>0</v>
      </c>
      <c r="K344">
        <v>1117000000</v>
      </c>
      <c r="L344">
        <v>1.6114999999999999</v>
      </c>
      <c r="M344">
        <v>1800045.5</v>
      </c>
      <c r="N344">
        <v>652390</v>
      </c>
      <c r="O344">
        <v>1314000</v>
      </c>
      <c r="P344">
        <v>115760</v>
      </c>
      <c r="Q344">
        <v>1.8663892694063899</v>
      </c>
      <c r="R344">
        <v>14.0885864780267</v>
      </c>
      <c r="S344">
        <v>0.49649162861491603</v>
      </c>
      <c r="T344">
        <v>8.8097412480974094E-2</v>
      </c>
      <c r="U344">
        <v>2004</v>
      </c>
      <c r="V344">
        <v>20</v>
      </c>
      <c r="Y344">
        <v>0</v>
      </c>
      <c r="Z344" t="s">
        <v>1082</v>
      </c>
      <c r="AA344" t="s">
        <v>1591</v>
      </c>
    </row>
    <row r="345" spans="1:27" ht="15" customHeight="1" x14ac:dyDescent="0.3">
      <c r="A345">
        <v>385</v>
      </c>
      <c r="B345">
        <v>77</v>
      </c>
      <c r="C345" t="s">
        <v>1079</v>
      </c>
      <c r="D345" t="s">
        <v>1080</v>
      </c>
      <c r="E345" t="s">
        <v>806</v>
      </c>
      <c r="F345">
        <v>2025</v>
      </c>
      <c r="G345">
        <v>1</v>
      </c>
      <c r="H345">
        <v>0</v>
      </c>
      <c r="I345">
        <v>0</v>
      </c>
      <c r="J345">
        <v>0</v>
      </c>
      <c r="K345">
        <v>1117000000</v>
      </c>
      <c r="L345">
        <v>3.2677</v>
      </c>
      <c r="M345">
        <v>3650020.9</v>
      </c>
      <c r="N345">
        <v>964320</v>
      </c>
      <c r="O345">
        <v>1894000</v>
      </c>
      <c r="P345">
        <v>346380</v>
      </c>
      <c r="Q345">
        <v>2.43629403379092</v>
      </c>
      <c r="R345">
        <v>14.4542015527282</v>
      </c>
      <c r="S345">
        <v>0.50914466737064401</v>
      </c>
      <c r="T345">
        <v>0.182882787750792</v>
      </c>
      <c r="U345">
        <v>2004</v>
      </c>
      <c r="V345">
        <v>21</v>
      </c>
      <c r="Y345">
        <v>0</v>
      </c>
      <c r="Z345" t="s">
        <v>1082</v>
      </c>
      <c r="AA345" t="s">
        <v>1591</v>
      </c>
    </row>
    <row r="346" spans="1:27" ht="15" customHeight="1" x14ac:dyDescent="0.3">
      <c r="A346">
        <v>388</v>
      </c>
      <c r="B346">
        <v>78</v>
      </c>
      <c r="C346" t="s">
        <v>1084</v>
      </c>
      <c r="D346" t="s">
        <v>1085</v>
      </c>
      <c r="E346" t="s">
        <v>898</v>
      </c>
      <c r="F346">
        <v>2023</v>
      </c>
      <c r="G346">
        <v>1</v>
      </c>
      <c r="H346">
        <v>0</v>
      </c>
      <c r="I346">
        <v>0</v>
      </c>
      <c r="J346">
        <v>0</v>
      </c>
      <c r="K346">
        <v>4000000000</v>
      </c>
      <c r="L346">
        <v>12</v>
      </c>
      <c r="M346">
        <v>48000000</v>
      </c>
      <c r="N346">
        <v>29505000</v>
      </c>
      <c r="O346">
        <v>41735000</v>
      </c>
      <c r="P346">
        <v>2913000</v>
      </c>
      <c r="Q346">
        <v>1.8570743979872999</v>
      </c>
      <c r="R346">
        <v>17.546850663267001</v>
      </c>
      <c r="S346">
        <v>0.70696058464118905</v>
      </c>
      <c r="T346">
        <v>6.9797532047442198E-2</v>
      </c>
      <c r="U346">
        <v>2005</v>
      </c>
      <c r="V346">
        <v>18</v>
      </c>
      <c r="Y346">
        <v>0</v>
      </c>
      <c r="Z346" t="s">
        <v>1087</v>
      </c>
      <c r="AA346" t="s">
        <v>1592</v>
      </c>
    </row>
    <row r="347" spans="1:27" ht="15" customHeight="1" x14ac:dyDescent="0.3">
      <c r="A347">
        <v>389</v>
      </c>
      <c r="B347">
        <v>78</v>
      </c>
      <c r="C347" t="s">
        <v>1084</v>
      </c>
      <c r="D347" t="s">
        <v>1085</v>
      </c>
      <c r="E347" t="s">
        <v>898</v>
      </c>
      <c r="F347">
        <v>2024</v>
      </c>
      <c r="G347">
        <v>1</v>
      </c>
      <c r="H347">
        <v>0</v>
      </c>
      <c r="I347">
        <v>0</v>
      </c>
      <c r="J347">
        <v>0</v>
      </c>
      <c r="K347">
        <v>4000000000</v>
      </c>
      <c r="L347">
        <v>13.9</v>
      </c>
      <c r="M347">
        <v>55600000</v>
      </c>
      <c r="N347">
        <v>40879000</v>
      </c>
      <c r="O347">
        <v>54838000</v>
      </c>
      <c r="P347">
        <v>2329000</v>
      </c>
      <c r="Q347">
        <v>1.75934570917977</v>
      </c>
      <c r="R347">
        <v>17.819893942263199</v>
      </c>
      <c r="S347">
        <v>0.74545023523833798</v>
      </c>
      <c r="T347">
        <v>4.2470549618877397E-2</v>
      </c>
      <c r="U347">
        <v>2005</v>
      </c>
      <c r="V347">
        <v>19</v>
      </c>
      <c r="Y347">
        <v>0</v>
      </c>
      <c r="Z347" t="s">
        <v>1087</v>
      </c>
      <c r="AA347" t="s">
        <v>1593</v>
      </c>
    </row>
    <row r="348" spans="1:27" ht="15" customHeight="1" x14ac:dyDescent="0.3">
      <c r="A348">
        <v>390</v>
      </c>
      <c r="B348">
        <v>78</v>
      </c>
      <c r="C348" t="s">
        <v>1084</v>
      </c>
      <c r="D348" t="s">
        <v>1085</v>
      </c>
      <c r="E348" t="s">
        <v>898</v>
      </c>
      <c r="F348">
        <v>2025</v>
      </c>
      <c r="G348">
        <v>1</v>
      </c>
      <c r="H348">
        <v>0</v>
      </c>
      <c r="I348">
        <v>0</v>
      </c>
      <c r="J348">
        <v>0</v>
      </c>
      <c r="K348">
        <v>4000000000</v>
      </c>
      <c r="L348">
        <v>65.2</v>
      </c>
      <c r="M348">
        <v>260800000</v>
      </c>
      <c r="N348">
        <v>62136000</v>
      </c>
      <c r="O348">
        <v>81958000</v>
      </c>
      <c r="P348">
        <v>6463000</v>
      </c>
      <c r="Q348">
        <v>3.9402620854584098</v>
      </c>
      <c r="R348">
        <v>18.221717478889801</v>
      </c>
      <c r="S348">
        <v>0.75814441543229505</v>
      </c>
      <c r="T348">
        <v>7.8857463578906301E-2</v>
      </c>
      <c r="U348">
        <v>2005</v>
      </c>
      <c r="V348">
        <v>20</v>
      </c>
      <c r="Y348">
        <v>0</v>
      </c>
      <c r="Z348" t="s">
        <v>1087</v>
      </c>
      <c r="AA348" t="s">
        <v>1593</v>
      </c>
    </row>
    <row r="349" spans="1:27" ht="15" customHeight="1" x14ac:dyDescent="0.3">
      <c r="A349">
        <v>391</v>
      </c>
      <c r="B349">
        <v>79</v>
      </c>
      <c r="C349" t="s">
        <v>1089</v>
      </c>
      <c r="D349" t="s">
        <v>1090</v>
      </c>
      <c r="E349" t="s">
        <v>772</v>
      </c>
      <c r="F349">
        <v>2021</v>
      </c>
      <c r="G349">
        <v>0</v>
      </c>
      <c r="H349">
        <v>0</v>
      </c>
      <c r="I349">
        <v>0</v>
      </c>
      <c r="J349">
        <v>0</v>
      </c>
      <c r="K349">
        <v>497730000</v>
      </c>
      <c r="L349">
        <v>0.46</v>
      </c>
      <c r="M349">
        <v>228955.8</v>
      </c>
      <c r="N349">
        <v>968500</v>
      </c>
      <c r="O349">
        <v>2023000</v>
      </c>
      <c r="P349">
        <v>33670</v>
      </c>
      <c r="Q349">
        <v>0.59192081067721203</v>
      </c>
      <c r="R349">
        <v>14.5200921161499</v>
      </c>
      <c r="S349">
        <v>0.47874443895205099</v>
      </c>
      <c r="T349">
        <v>1.6643598615917E-2</v>
      </c>
      <c r="U349">
        <v>1960</v>
      </c>
      <c r="V349">
        <v>61</v>
      </c>
      <c r="Y349">
        <v>0</v>
      </c>
      <c r="Z349" t="s">
        <v>975</v>
      </c>
      <c r="AA349" t="s">
        <v>1594</v>
      </c>
    </row>
    <row r="350" spans="1:27" ht="15" customHeight="1" x14ac:dyDescent="0.3">
      <c r="A350">
        <v>392</v>
      </c>
      <c r="B350">
        <v>79</v>
      </c>
      <c r="C350" t="s">
        <v>1089</v>
      </c>
      <c r="D350" t="s">
        <v>1090</v>
      </c>
      <c r="E350" t="s">
        <v>772</v>
      </c>
      <c r="F350">
        <v>2022</v>
      </c>
      <c r="G350">
        <v>0</v>
      </c>
      <c r="H350">
        <v>0</v>
      </c>
      <c r="I350">
        <v>0</v>
      </c>
      <c r="J350">
        <v>0</v>
      </c>
      <c r="K350">
        <v>497730000</v>
      </c>
      <c r="L350">
        <v>2.2703000000000002</v>
      </c>
      <c r="M350">
        <v>1129996.419</v>
      </c>
      <c r="N350">
        <v>490150</v>
      </c>
      <c r="O350">
        <v>1939000</v>
      </c>
      <c r="P350">
        <v>393620</v>
      </c>
      <c r="Q350">
        <v>0.83555771995874195</v>
      </c>
      <c r="R350">
        <v>14.4776829342248</v>
      </c>
      <c r="S350">
        <v>0.25278494069107799</v>
      </c>
      <c r="T350">
        <v>0.20300154718927299</v>
      </c>
      <c r="U350">
        <v>1960</v>
      </c>
      <c r="V350">
        <v>62</v>
      </c>
      <c r="Y350">
        <v>0</v>
      </c>
      <c r="Z350" t="s">
        <v>975</v>
      </c>
      <c r="AA350" t="s">
        <v>1594</v>
      </c>
    </row>
    <row r="351" spans="1:27" ht="15" customHeight="1" x14ac:dyDescent="0.3">
      <c r="A351">
        <v>393</v>
      </c>
      <c r="B351">
        <v>79</v>
      </c>
      <c r="C351" t="s">
        <v>1089</v>
      </c>
      <c r="D351" t="s">
        <v>1090</v>
      </c>
      <c r="E351" t="s">
        <v>772</v>
      </c>
      <c r="F351">
        <v>2023</v>
      </c>
      <c r="G351">
        <v>1</v>
      </c>
      <c r="H351">
        <v>0</v>
      </c>
      <c r="I351">
        <v>0</v>
      </c>
      <c r="J351">
        <v>0</v>
      </c>
      <c r="K351">
        <v>497730000</v>
      </c>
      <c r="L351">
        <v>3.5962999999999998</v>
      </c>
      <c r="M351">
        <v>1789986.399</v>
      </c>
      <c r="N351">
        <v>767650</v>
      </c>
      <c r="O351">
        <v>2452000</v>
      </c>
      <c r="P351">
        <v>235960</v>
      </c>
      <c r="Q351">
        <v>1.04308172879282</v>
      </c>
      <c r="R351">
        <v>14.712414576038199</v>
      </c>
      <c r="S351">
        <v>0.31307096247960797</v>
      </c>
      <c r="T351">
        <v>9.6231647634584E-2</v>
      </c>
      <c r="U351">
        <v>1960</v>
      </c>
      <c r="V351">
        <v>63</v>
      </c>
      <c r="Y351">
        <v>0</v>
      </c>
      <c r="Z351" t="s">
        <v>975</v>
      </c>
      <c r="AA351" t="s">
        <v>1594</v>
      </c>
    </row>
    <row r="352" spans="1:27" ht="15" customHeight="1" x14ac:dyDescent="0.3">
      <c r="A352">
        <v>394</v>
      </c>
      <c r="B352">
        <v>79</v>
      </c>
      <c r="C352" t="s">
        <v>1089</v>
      </c>
      <c r="D352" t="s">
        <v>1090</v>
      </c>
      <c r="E352" t="s">
        <v>772</v>
      </c>
      <c r="F352">
        <v>2024</v>
      </c>
      <c r="G352">
        <v>1</v>
      </c>
      <c r="H352">
        <v>0</v>
      </c>
      <c r="I352">
        <v>0</v>
      </c>
      <c r="J352">
        <v>0</v>
      </c>
      <c r="K352">
        <v>497730000</v>
      </c>
      <c r="L352">
        <v>8.4382999999999999</v>
      </c>
      <c r="M352">
        <v>4199995.0590000004</v>
      </c>
      <c r="N352">
        <v>1010000</v>
      </c>
      <c r="O352">
        <v>2840000</v>
      </c>
      <c r="P352">
        <v>295400</v>
      </c>
      <c r="Q352">
        <v>1.8345053024647899</v>
      </c>
      <c r="R352">
        <v>14.8593146101374</v>
      </c>
      <c r="S352">
        <v>0.35563380281690099</v>
      </c>
      <c r="T352">
        <v>0.104014084507042</v>
      </c>
      <c r="U352">
        <v>1960</v>
      </c>
      <c r="V352">
        <v>64</v>
      </c>
      <c r="Y352">
        <v>0</v>
      </c>
      <c r="Z352" t="s">
        <v>975</v>
      </c>
      <c r="AA352" t="s">
        <v>1594</v>
      </c>
    </row>
    <row r="353" spans="1:27" ht="15" customHeight="1" x14ac:dyDescent="0.3">
      <c r="A353">
        <v>395</v>
      </c>
      <c r="B353">
        <v>79</v>
      </c>
      <c r="C353" t="s">
        <v>1089</v>
      </c>
      <c r="D353" t="s">
        <v>1090</v>
      </c>
      <c r="E353" t="s">
        <v>772</v>
      </c>
      <c r="F353">
        <v>2025</v>
      </c>
      <c r="G353">
        <v>1</v>
      </c>
      <c r="H353">
        <v>0</v>
      </c>
      <c r="I353">
        <v>0</v>
      </c>
      <c r="J353">
        <v>0</v>
      </c>
      <c r="K353">
        <v>497730000</v>
      </c>
      <c r="L353">
        <v>12.9588</v>
      </c>
      <c r="M353">
        <v>6449983.5240000002</v>
      </c>
      <c r="N353">
        <v>1276000</v>
      </c>
      <c r="O353">
        <v>3417000</v>
      </c>
      <c r="P353">
        <v>461030</v>
      </c>
      <c r="Q353">
        <v>2.2610428808896699</v>
      </c>
      <c r="R353">
        <v>15.044273531097399</v>
      </c>
      <c r="S353">
        <v>0.37342698273339198</v>
      </c>
      <c r="T353">
        <v>0.13492244659057701</v>
      </c>
      <c r="U353">
        <v>1960</v>
      </c>
      <c r="V353">
        <v>65</v>
      </c>
      <c r="Y353">
        <v>0</v>
      </c>
      <c r="Z353" t="s">
        <v>975</v>
      </c>
      <c r="AA353" t="s">
        <v>1594</v>
      </c>
    </row>
    <row r="354" spans="1:27" ht="15" customHeight="1" x14ac:dyDescent="0.3">
      <c r="A354">
        <v>400</v>
      </c>
      <c r="B354">
        <v>80</v>
      </c>
      <c r="C354" t="s">
        <v>1092</v>
      </c>
      <c r="D354" t="s">
        <v>1093</v>
      </c>
      <c r="E354" t="s">
        <v>780</v>
      </c>
      <c r="F354">
        <v>2025</v>
      </c>
      <c r="G354">
        <v>1</v>
      </c>
      <c r="H354">
        <v>0</v>
      </c>
      <c r="I354">
        <v>0</v>
      </c>
      <c r="J354">
        <v>0</v>
      </c>
      <c r="K354">
        <v>2500000000</v>
      </c>
      <c r="L354">
        <v>101.01</v>
      </c>
      <c r="M354">
        <v>252525000</v>
      </c>
      <c r="N354">
        <v>17790000</v>
      </c>
      <c r="O354">
        <v>270330000</v>
      </c>
      <c r="P354">
        <v>28680000</v>
      </c>
      <c r="Q354">
        <v>0.99994451226279002</v>
      </c>
      <c r="R354">
        <v>19.415153992879301</v>
      </c>
      <c r="S354">
        <v>6.5808456331150803E-2</v>
      </c>
      <c r="T354">
        <v>0.106092553545666</v>
      </c>
      <c r="U354">
        <v>2024</v>
      </c>
      <c r="V354">
        <v>1</v>
      </c>
      <c r="Y354">
        <v>0</v>
      </c>
      <c r="Z354" t="s">
        <v>1082</v>
      </c>
      <c r="AA354" t="s">
        <v>1595</v>
      </c>
    </row>
    <row r="355" spans="1:27" ht="15" customHeight="1" x14ac:dyDescent="0.3">
      <c r="A355">
        <v>401</v>
      </c>
      <c r="B355">
        <v>81</v>
      </c>
      <c r="C355" t="s">
        <v>1096</v>
      </c>
      <c r="D355" t="s">
        <v>1097</v>
      </c>
      <c r="E355" t="s">
        <v>898</v>
      </c>
      <c r="F355">
        <v>2021</v>
      </c>
      <c r="G355">
        <v>0</v>
      </c>
      <c r="H355">
        <v>0</v>
      </c>
      <c r="I355">
        <v>0</v>
      </c>
      <c r="J355">
        <v>0</v>
      </c>
      <c r="K355">
        <v>989160000</v>
      </c>
      <c r="L355">
        <v>1.9916</v>
      </c>
      <c r="M355">
        <v>1970011.0560000001</v>
      </c>
      <c r="N355">
        <v>547890</v>
      </c>
      <c r="O355">
        <v>1615000</v>
      </c>
      <c r="P355">
        <v>-93930</v>
      </c>
      <c r="Q355">
        <v>1.5590718613003101</v>
      </c>
      <c r="R355">
        <v>14.294845514638901</v>
      </c>
      <c r="S355">
        <v>0.33925077399380799</v>
      </c>
      <c r="T355">
        <v>-5.8160990712074298E-2</v>
      </c>
      <c r="U355">
        <v>1955</v>
      </c>
      <c r="V355">
        <v>66</v>
      </c>
      <c r="Y355">
        <v>0</v>
      </c>
      <c r="Z355" t="s">
        <v>975</v>
      </c>
      <c r="AA355" t="s">
        <v>1596</v>
      </c>
    </row>
    <row r="356" spans="1:27" ht="15" customHeight="1" x14ac:dyDescent="0.3">
      <c r="A356">
        <v>402</v>
      </c>
      <c r="B356">
        <v>81</v>
      </c>
      <c r="C356" t="s">
        <v>1096</v>
      </c>
      <c r="D356" t="s">
        <v>1097</v>
      </c>
      <c r="E356" t="s">
        <v>898</v>
      </c>
      <c r="F356">
        <v>2022</v>
      </c>
      <c r="G356">
        <v>0</v>
      </c>
      <c r="H356">
        <v>0</v>
      </c>
      <c r="I356">
        <v>0</v>
      </c>
      <c r="J356">
        <v>0</v>
      </c>
      <c r="K356">
        <v>989160000</v>
      </c>
      <c r="L356">
        <v>2.1736</v>
      </c>
      <c r="M356">
        <v>2150038.176</v>
      </c>
      <c r="N356">
        <v>608790</v>
      </c>
      <c r="O356">
        <v>1568000</v>
      </c>
      <c r="P356">
        <v>-107480</v>
      </c>
      <c r="Q356">
        <v>1.7594567448979599</v>
      </c>
      <c r="R356">
        <v>14.2653114798925</v>
      </c>
      <c r="S356">
        <v>0.38825892857142902</v>
      </c>
      <c r="T356">
        <v>-6.85459183673469E-2</v>
      </c>
      <c r="U356">
        <v>1955</v>
      </c>
      <c r="V356">
        <v>67</v>
      </c>
      <c r="Y356">
        <v>0</v>
      </c>
      <c r="Z356" t="s">
        <v>975</v>
      </c>
      <c r="AA356" t="s">
        <v>1596</v>
      </c>
    </row>
    <row r="357" spans="1:27" ht="15" customHeight="1" x14ac:dyDescent="0.3">
      <c r="A357">
        <v>403</v>
      </c>
      <c r="B357">
        <v>81</v>
      </c>
      <c r="C357" t="s">
        <v>1096</v>
      </c>
      <c r="D357" t="s">
        <v>1097</v>
      </c>
      <c r="E357" t="s">
        <v>898</v>
      </c>
      <c r="F357">
        <v>2023</v>
      </c>
      <c r="G357">
        <v>1</v>
      </c>
      <c r="H357">
        <v>0</v>
      </c>
      <c r="I357">
        <v>0</v>
      </c>
      <c r="J357">
        <v>0</v>
      </c>
      <c r="K357">
        <v>989160000</v>
      </c>
      <c r="L357">
        <v>2.8003999999999998</v>
      </c>
      <c r="M357">
        <v>2770043.6639999999</v>
      </c>
      <c r="N357">
        <v>664930</v>
      </c>
      <c r="O357">
        <v>1525000</v>
      </c>
      <c r="P357">
        <v>-98720</v>
      </c>
      <c r="Q357">
        <v>2.2524417468852498</v>
      </c>
      <c r="R357">
        <v>14.2375049680236</v>
      </c>
      <c r="S357">
        <v>0.43601967213114801</v>
      </c>
      <c r="T357">
        <v>-6.4734426229508202E-2</v>
      </c>
      <c r="U357">
        <v>1955</v>
      </c>
      <c r="V357">
        <v>68</v>
      </c>
      <c r="Y357">
        <v>0</v>
      </c>
      <c r="Z357" t="s">
        <v>975</v>
      </c>
      <c r="AA357" t="s">
        <v>1596</v>
      </c>
    </row>
    <row r="358" spans="1:27" ht="15" customHeight="1" x14ac:dyDescent="0.3">
      <c r="A358">
        <v>404</v>
      </c>
      <c r="B358">
        <v>81</v>
      </c>
      <c r="C358" t="s">
        <v>1096</v>
      </c>
      <c r="D358" t="s">
        <v>1097</v>
      </c>
      <c r="E358" t="s">
        <v>898</v>
      </c>
      <c r="F358">
        <v>2024</v>
      </c>
      <c r="G358">
        <v>1</v>
      </c>
      <c r="H358">
        <v>0</v>
      </c>
      <c r="I358">
        <v>0</v>
      </c>
      <c r="J358">
        <v>0</v>
      </c>
      <c r="K358">
        <v>989160000</v>
      </c>
      <c r="L358">
        <v>4.0134999999999996</v>
      </c>
      <c r="M358">
        <v>3969993.66</v>
      </c>
      <c r="N358">
        <v>773500</v>
      </c>
      <c r="O358">
        <v>1555000</v>
      </c>
      <c r="P358">
        <v>-78750</v>
      </c>
      <c r="Q358">
        <v>3.0504782379421198</v>
      </c>
      <c r="R358">
        <v>14.2569861035955</v>
      </c>
      <c r="S358">
        <v>0.49742765273311901</v>
      </c>
      <c r="T358">
        <v>-5.0643086816720299E-2</v>
      </c>
      <c r="U358">
        <v>1955</v>
      </c>
      <c r="V358">
        <v>69</v>
      </c>
      <c r="Y358">
        <v>0</v>
      </c>
      <c r="Z358" t="s">
        <v>975</v>
      </c>
      <c r="AA358" t="s">
        <v>1596</v>
      </c>
    </row>
    <row r="359" spans="1:27" ht="15" customHeight="1" x14ac:dyDescent="0.3">
      <c r="A359">
        <v>405</v>
      </c>
      <c r="B359">
        <v>81</v>
      </c>
      <c r="C359" t="s">
        <v>1096</v>
      </c>
      <c r="D359" t="s">
        <v>1097</v>
      </c>
      <c r="E359" t="s">
        <v>898</v>
      </c>
      <c r="F359">
        <v>2025</v>
      </c>
      <c r="G359">
        <v>1</v>
      </c>
      <c r="H359">
        <v>0</v>
      </c>
      <c r="I359">
        <v>0</v>
      </c>
      <c r="J359">
        <v>0</v>
      </c>
      <c r="K359">
        <v>1256000000</v>
      </c>
      <c r="L359">
        <v>4.0525000000000002</v>
      </c>
      <c r="M359">
        <v>5089940</v>
      </c>
      <c r="N359">
        <v>916490</v>
      </c>
      <c r="O359">
        <v>2111000</v>
      </c>
      <c r="P359">
        <v>12310</v>
      </c>
      <c r="Q359">
        <v>2.84530080530554</v>
      </c>
      <c r="R359">
        <v>14.5626723268305</v>
      </c>
      <c r="S359">
        <v>0.43414969208905702</v>
      </c>
      <c r="T359">
        <v>5.8313595452392196E-3</v>
      </c>
      <c r="U359">
        <v>1955</v>
      </c>
      <c r="V359">
        <v>70</v>
      </c>
      <c r="Y359">
        <v>0</v>
      </c>
      <c r="Z359" t="s">
        <v>975</v>
      </c>
      <c r="AA359" t="s">
        <v>1596</v>
      </c>
    </row>
    <row r="360" spans="1:27" ht="15" customHeight="1" x14ac:dyDescent="0.3">
      <c r="A360">
        <v>406</v>
      </c>
      <c r="B360">
        <v>82</v>
      </c>
      <c r="C360" t="s">
        <v>1099</v>
      </c>
      <c r="D360" t="s">
        <v>1100</v>
      </c>
      <c r="E360" t="s">
        <v>752</v>
      </c>
      <c r="F360">
        <v>2021</v>
      </c>
      <c r="G360">
        <v>0</v>
      </c>
      <c r="H360">
        <v>0</v>
      </c>
      <c r="I360">
        <v>25</v>
      </c>
      <c r="J360">
        <v>33.3333333333333</v>
      </c>
      <c r="K360">
        <v>20355000000</v>
      </c>
      <c r="L360">
        <v>197.00319999999999</v>
      </c>
      <c r="M360">
        <v>4010000136</v>
      </c>
      <c r="N360">
        <v>1997978000</v>
      </c>
      <c r="O360">
        <v>2262959000</v>
      </c>
      <c r="P360">
        <v>298654000</v>
      </c>
      <c r="Q360">
        <v>2.65492133794735</v>
      </c>
      <c r="R360">
        <v>21.539939085890602</v>
      </c>
      <c r="S360">
        <v>0.88290508135587098</v>
      </c>
      <c r="T360">
        <v>0.131974993802362</v>
      </c>
      <c r="U360">
        <v>2000</v>
      </c>
      <c r="V360">
        <v>21</v>
      </c>
      <c r="Y360">
        <v>1</v>
      </c>
      <c r="Z360" t="s">
        <v>722</v>
      </c>
      <c r="AA360" t="s">
        <v>1597</v>
      </c>
    </row>
    <row r="361" spans="1:27" ht="15" customHeight="1" x14ac:dyDescent="0.3">
      <c r="A361">
        <v>407</v>
      </c>
      <c r="B361">
        <v>82</v>
      </c>
      <c r="C361" t="s">
        <v>1099</v>
      </c>
      <c r="D361" t="s">
        <v>1100</v>
      </c>
      <c r="E361" t="s">
        <v>752</v>
      </c>
      <c r="F361">
        <v>2022</v>
      </c>
      <c r="G361">
        <v>0</v>
      </c>
      <c r="H361">
        <v>0</v>
      </c>
      <c r="I361">
        <v>40</v>
      </c>
      <c r="J361">
        <v>46.6666666666667</v>
      </c>
      <c r="K361">
        <v>20326000000</v>
      </c>
      <c r="L361">
        <v>214.9956</v>
      </c>
      <c r="M361">
        <v>4370000565.6000004</v>
      </c>
      <c r="N361">
        <v>2276827000</v>
      </c>
      <c r="O361">
        <v>2539369000</v>
      </c>
      <c r="P361">
        <v>351382000</v>
      </c>
      <c r="Q361">
        <v>2.6175115021093802</v>
      </c>
      <c r="R361">
        <v>21.655181461917401</v>
      </c>
      <c r="S361">
        <v>0.89661132352171002</v>
      </c>
      <c r="T361">
        <v>0.138373745603731</v>
      </c>
      <c r="U361">
        <v>2000</v>
      </c>
      <c r="V361">
        <v>22</v>
      </c>
      <c r="Y361">
        <v>1</v>
      </c>
      <c r="Z361" t="s">
        <v>722</v>
      </c>
      <c r="AA361" t="s">
        <v>1597</v>
      </c>
    </row>
    <row r="362" spans="1:27" ht="15" customHeight="1" x14ac:dyDescent="0.3">
      <c r="A362">
        <v>408</v>
      </c>
      <c r="B362">
        <v>82</v>
      </c>
      <c r="C362" t="s">
        <v>1099</v>
      </c>
      <c r="D362" t="s">
        <v>1100</v>
      </c>
      <c r="E362" t="s">
        <v>752</v>
      </c>
      <c r="F362">
        <v>2023</v>
      </c>
      <c r="G362">
        <v>1</v>
      </c>
      <c r="H362">
        <v>1</v>
      </c>
      <c r="I362">
        <v>85</v>
      </c>
      <c r="J362">
        <v>80</v>
      </c>
      <c r="K362">
        <v>20967000000</v>
      </c>
      <c r="L362">
        <v>264.22469999999998</v>
      </c>
      <c r="M362">
        <v>5539999284.8999996</v>
      </c>
      <c r="N362">
        <v>3229671000</v>
      </c>
      <c r="O362">
        <v>3188827000</v>
      </c>
      <c r="P362">
        <v>-133841000</v>
      </c>
      <c r="Q362">
        <v>2.7501241945392501</v>
      </c>
      <c r="R362">
        <v>21.8829189745219</v>
      </c>
      <c r="S362">
        <v>1.01280847157905</v>
      </c>
      <c r="T362">
        <v>-4.1971859871984298E-2</v>
      </c>
      <c r="U362">
        <v>2000</v>
      </c>
      <c r="V362">
        <v>23</v>
      </c>
      <c r="Y362">
        <v>1</v>
      </c>
      <c r="Z362" t="s">
        <v>722</v>
      </c>
      <c r="AA362" t="s">
        <v>1597</v>
      </c>
    </row>
    <row r="363" spans="1:27" ht="15" customHeight="1" x14ac:dyDescent="0.3">
      <c r="A363">
        <v>409</v>
      </c>
      <c r="B363">
        <v>82</v>
      </c>
      <c r="C363" t="s">
        <v>1099</v>
      </c>
      <c r="D363" t="s">
        <v>1100</v>
      </c>
      <c r="E363" t="s">
        <v>752</v>
      </c>
      <c r="F363">
        <v>2024</v>
      </c>
      <c r="G363">
        <v>1</v>
      </c>
      <c r="H363">
        <v>1</v>
      </c>
      <c r="I363">
        <v>95</v>
      </c>
      <c r="J363">
        <v>86.6666666666667</v>
      </c>
      <c r="K363">
        <v>20967000000</v>
      </c>
      <c r="L363">
        <v>199.83779999999999</v>
      </c>
      <c r="M363">
        <v>4189999152.5999999</v>
      </c>
      <c r="N363">
        <v>4654998000</v>
      </c>
      <c r="O363">
        <v>4196991000</v>
      </c>
      <c r="P363">
        <v>-399448000</v>
      </c>
      <c r="Q363">
        <v>2.1074615486666501</v>
      </c>
      <c r="R363">
        <v>22.157633676906698</v>
      </c>
      <c r="S363">
        <v>1.10912746775011</v>
      </c>
      <c r="T363">
        <v>-9.5174852650386901E-2</v>
      </c>
      <c r="U363">
        <v>2000</v>
      </c>
      <c r="V363">
        <v>24</v>
      </c>
      <c r="Y363">
        <v>1</v>
      </c>
      <c r="Z363" t="s">
        <v>722</v>
      </c>
      <c r="AA363" t="s">
        <v>1597</v>
      </c>
    </row>
    <row r="364" spans="1:27" ht="15" customHeight="1" x14ac:dyDescent="0.3">
      <c r="A364">
        <v>410</v>
      </c>
      <c r="B364">
        <v>82</v>
      </c>
      <c r="C364" t="s">
        <v>1099</v>
      </c>
      <c r="D364" t="s">
        <v>1100</v>
      </c>
      <c r="E364" t="s">
        <v>752</v>
      </c>
      <c r="F364">
        <v>2025</v>
      </c>
      <c r="G364">
        <v>1</v>
      </c>
      <c r="H364">
        <v>1</v>
      </c>
      <c r="I364">
        <v>95</v>
      </c>
      <c r="J364">
        <v>86.6666666666667</v>
      </c>
      <c r="K364">
        <v>20970000000</v>
      </c>
      <c r="L364">
        <v>511.20650000000001</v>
      </c>
      <c r="M364">
        <v>10720000305</v>
      </c>
      <c r="N364">
        <v>4854777000</v>
      </c>
      <c r="O364">
        <v>5403489000</v>
      </c>
      <c r="P364">
        <v>1112846000</v>
      </c>
      <c r="Q364">
        <v>2.88235569740218</v>
      </c>
      <c r="R364">
        <v>22.4103106929878</v>
      </c>
      <c r="S364">
        <v>0.89845227777830206</v>
      </c>
      <c r="T364">
        <v>0.20594952631531199</v>
      </c>
      <c r="U364">
        <v>2000</v>
      </c>
      <c r="V364">
        <v>25</v>
      </c>
      <c r="Y364">
        <v>1</v>
      </c>
      <c r="Z364" t="s">
        <v>722</v>
      </c>
      <c r="AA364" t="s">
        <v>1598</v>
      </c>
    </row>
    <row r="365" spans="1:27" ht="15" customHeight="1" x14ac:dyDescent="0.3">
      <c r="A365">
        <v>411</v>
      </c>
      <c r="B365">
        <v>83</v>
      </c>
      <c r="C365" t="s">
        <v>1103</v>
      </c>
      <c r="D365" t="s">
        <v>1104</v>
      </c>
      <c r="E365" t="s">
        <v>806</v>
      </c>
      <c r="F365">
        <v>2021</v>
      </c>
      <c r="G365">
        <v>0</v>
      </c>
      <c r="H365">
        <v>0</v>
      </c>
      <c r="I365">
        <v>0</v>
      </c>
      <c r="J365">
        <v>0</v>
      </c>
      <c r="K365">
        <v>3722000000</v>
      </c>
      <c r="L365">
        <v>0.36</v>
      </c>
      <c r="M365">
        <v>1339920</v>
      </c>
      <c r="N365">
        <v>14036000</v>
      </c>
      <c r="O365">
        <v>13015000</v>
      </c>
      <c r="P365">
        <v>-253260</v>
      </c>
      <c r="Q365">
        <v>1.1813999231655801</v>
      </c>
      <c r="R365">
        <v>16.381613096410799</v>
      </c>
      <c r="S365">
        <v>1.0784479446792199</v>
      </c>
      <c r="T365">
        <v>-1.9459085670380301E-2</v>
      </c>
      <c r="U365">
        <v>1999</v>
      </c>
      <c r="V365">
        <v>22</v>
      </c>
      <c r="Y365">
        <v>0</v>
      </c>
      <c r="Z365" t="s">
        <v>885</v>
      </c>
      <c r="AA365" t="s">
        <v>1599</v>
      </c>
    </row>
    <row r="366" spans="1:27" ht="15" customHeight="1" x14ac:dyDescent="0.3">
      <c r="A366">
        <v>412</v>
      </c>
      <c r="B366">
        <v>83</v>
      </c>
      <c r="C366" t="s">
        <v>1103</v>
      </c>
      <c r="D366" t="s">
        <v>1104</v>
      </c>
      <c r="E366" t="s">
        <v>806</v>
      </c>
      <c r="F366">
        <v>2022</v>
      </c>
      <c r="G366">
        <v>0</v>
      </c>
      <c r="H366">
        <v>0</v>
      </c>
      <c r="I366">
        <v>0</v>
      </c>
      <c r="J366">
        <v>0</v>
      </c>
      <c r="K366">
        <v>3722000000</v>
      </c>
      <c r="L366">
        <v>0.36</v>
      </c>
      <c r="M366">
        <v>1339920</v>
      </c>
      <c r="N366">
        <v>14271000</v>
      </c>
      <c r="O366">
        <v>17115000</v>
      </c>
      <c r="P366">
        <v>-636570</v>
      </c>
      <c r="Q366">
        <v>0.91211919368974603</v>
      </c>
      <c r="R366">
        <v>16.655465829946401</v>
      </c>
      <c r="S366">
        <v>0.83382997370727396</v>
      </c>
      <c r="T366">
        <v>-3.7193689745836998E-2</v>
      </c>
      <c r="U366">
        <v>1999</v>
      </c>
      <c r="V366">
        <v>23</v>
      </c>
      <c r="Y366">
        <v>0</v>
      </c>
      <c r="Z366" t="s">
        <v>885</v>
      </c>
      <c r="AA366" t="s">
        <v>1600</v>
      </c>
    </row>
    <row r="367" spans="1:27" ht="15" customHeight="1" x14ac:dyDescent="0.3">
      <c r="A367">
        <v>413</v>
      </c>
      <c r="B367">
        <v>83</v>
      </c>
      <c r="C367" t="s">
        <v>1103</v>
      </c>
      <c r="D367" t="s">
        <v>1104</v>
      </c>
      <c r="E367" t="s">
        <v>806</v>
      </c>
      <c r="F367">
        <v>2023</v>
      </c>
      <c r="G367">
        <v>1</v>
      </c>
      <c r="H367">
        <v>0</v>
      </c>
      <c r="I367">
        <v>0</v>
      </c>
      <c r="J367">
        <v>0</v>
      </c>
      <c r="K367">
        <v>3722000000</v>
      </c>
      <c r="L367">
        <v>0.36</v>
      </c>
      <c r="M367">
        <v>1339920</v>
      </c>
      <c r="N367">
        <v>11970000</v>
      </c>
      <c r="O367">
        <v>16144000</v>
      </c>
      <c r="P367">
        <v>-1098000</v>
      </c>
      <c r="Q367">
        <v>0.82444995044598601</v>
      </c>
      <c r="R367">
        <v>16.5970590215755</v>
      </c>
      <c r="S367">
        <v>0.74145193260654096</v>
      </c>
      <c r="T367">
        <v>-6.8012884043607502E-2</v>
      </c>
      <c r="U367">
        <v>1999</v>
      </c>
      <c r="V367">
        <v>24</v>
      </c>
      <c r="Y367">
        <v>0</v>
      </c>
      <c r="Z367" t="s">
        <v>885</v>
      </c>
      <c r="AA367" t="s">
        <v>1600</v>
      </c>
    </row>
    <row r="368" spans="1:27" ht="15" customHeight="1" x14ac:dyDescent="0.3">
      <c r="A368">
        <v>414</v>
      </c>
      <c r="B368">
        <v>83</v>
      </c>
      <c r="C368" t="s">
        <v>1103</v>
      </c>
      <c r="D368" t="s">
        <v>1104</v>
      </c>
      <c r="E368" t="s">
        <v>806</v>
      </c>
      <c r="F368">
        <v>2024</v>
      </c>
      <c r="G368">
        <v>1</v>
      </c>
      <c r="H368">
        <v>0</v>
      </c>
      <c r="I368">
        <v>0</v>
      </c>
      <c r="J368">
        <v>0</v>
      </c>
      <c r="K368">
        <v>4511000000</v>
      </c>
      <c r="L368">
        <v>0.29709999999999998</v>
      </c>
      <c r="M368">
        <v>1340218.1000000001</v>
      </c>
      <c r="N368">
        <v>9745000</v>
      </c>
      <c r="O368">
        <v>16908000</v>
      </c>
      <c r="P368">
        <v>510940</v>
      </c>
      <c r="Q368">
        <v>0.65561971256210105</v>
      </c>
      <c r="R368">
        <v>16.6432974406688</v>
      </c>
      <c r="S368">
        <v>0.57635438845516895</v>
      </c>
      <c r="T368">
        <v>3.0218831322450901E-2</v>
      </c>
      <c r="U368">
        <v>1999</v>
      </c>
      <c r="V368">
        <v>25</v>
      </c>
      <c r="Y368">
        <v>0</v>
      </c>
      <c r="Z368" t="s">
        <v>885</v>
      </c>
      <c r="AA368" t="s">
        <v>1601</v>
      </c>
    </row>
    <row r="369" spans="1:27" ht="15" customHeight="1" x14ac:dyDescent="0.3">
      <c r="A369">
        <v>415</v>
      </c>
      <c r="B369">
        <v>83</v>
      </c>
      <c r="C369" t="s">
        <v>1103</v>
      </c>
      <c r="D369" t="s">
        <v>1104</v>
      </c>
      <c r="E369" t="s">
        <v>806</v>
      </c>
      <c r="F369">
        <v>2025</v>
      </c>
      <c r="G369">
        <v>1</v>
      </c>
      <c r="H369">
        <v>0</v>
      </c>
      <c r="I369">
        <v>0</v>
      </c>
      <c r="J369">
        <v>0</v>
      </c>
      <c r="K369">
        <v>9942000000</v>
      </c>
      <c r="L369">
        <v>0.16289999999999999</v>
      </c>
      <c r="M369">
        <v>1619551.8</v>
      </c>
      <c r="N369">
        <v>5924000</v>
      </c>
      <c r="O369">
        <v>15866000</v>
      </c>
      <c r="P369">
        <v>-471050</v>
      </c>
      <c r="Q369">
        <v>0.47545391403000098</v>
      </c>
      <c r="R369">
        <v>16.579689012844099</v>
      </c>
      <c r="S369">
        <v>0.37337703264843097</v>
      </c>
      <c r="T369">
        <v>-2.9689272658515099E-2</v>
      </c>
      <c r="U369">
        <v>1999</v>
      </c>
      <c r="V369">
        <v>26</v>
      </c>
      <c r="Y369">
        <v>0</v>
      </c>
      <c r="Z369" t="s">
        <v>885</v>
      </c>
      <c r="AA369" t="s">
        <v>1601</v>
      </c>
    </row>
    <row r="370" spans="1:27" ht="15" customHeight="1" x14ac:dyDescent="0.3">
      <c r="A370">
        <v>416</v>
      </c>
      <c r="B370">
        <v>84</v>
      </c>
      <c r="C370" t="s">
        <v>1108</v>
      </c>
      <c r="D370" t="s">
        <v>1109</v>
      </c>
      <c r="E370" t="s">
        <v>758</v>
      </c>
      <c r="F370">
        <v>2021</v>
      </c>
      <c r="G370">
        <v>0</v>
      </c>
      <c r="H370">
        <v>0</v>
      </c>
      <c r="I370">
        <v>0</v>
      </c>
      <c r="J370">
        <v>0</v>
      </c>
      <c r="K370">
        <v>426190000</v>
      </c>
      <c r="L370">
        <v>2</v>
      </c>
      <c r="M370">
        <v>852380</v>
      </c>
      <c r="N370">
        <v>3951000</v>
      </c>
      <c r="O370">
        <v>4318000</v>
      </c>
      <c r="P370">
        <v>14030</v>
      </c>
      <c r="Q370">
        <v>1.1124085224641</v>
      </c>
      <c r="R370">
        <v>15.278302890056899</v>
      </c>
      <c r="S370">
        <v>0.91500694766095403</v>
      </c>
      <c r="T370">
        <v>3.24918943955535E-3</v>
      </c>
      <c r="U370">
        <v>2002</v>
      </c>
      <c r="V370">
        <v>19</v>
      </c>
      <c r="Y370">
        <v>0</v>
      </c>
      <c r="Z370" t="s">
        <v>1111</v>
      </c>
      <c r="AA370" t="s">
        <v>1602</v>
      </c>
    </row>
    <row r="371" spans="1:27" ht="15" customHeight="1" x14ac:dyDescent="0.3">
      <c r="A371">
        <v>417</v>
      </c>
      <c r="B371">
        <v>84</v>
      </c>
      <c r="C371" t="s">
        <v>1108</v>
      </c>
      <c r="D371" t="s">
        <v>1109</v>
      </c>
      <c r="E371" t="s">
        <v>758</v>
      </c>
      <c r="F371">
        <v>2022</v>
      </c>
      <c r="G371">
        <v>0</v>
      </c>
      <c r="H371">
        <v>0</v>
      </c>
      <c r="I371">
        <v>0</v>
      </c>
      <c r="J371">
        <v>0</v>
      </c>
      <c r="K371">
        <v>426190000</v>
      </c>
      <c r="L371">
        <v>3.9887999999999999</v>
      </c>
      <c r="M371">
        <v>1699986.672</v>
      </c>
      <c r="N371">
        <v>3711000</v>
      </c>
      <c r="O371">
        <v>4269000</v>
      </c>
      <c r="P371">
        <v>189760</v>
      </c>
      <c r="Q371">
        <v>1.26750683345046</v>
      </c>
      <c r="R371">
        <v>15.266890165740101</v>
      </c>
      <c r="S371">
        <v>0.869290231904427</v>
      </c>
      <c r="T371">
        <v>4.4450691028343897E-2</v>
      </c>
      <c r="U371">
        <v>2002</v>
      </c>
      <c r="V371">
        <v>20</v>
      </c>
      <c r="Y371">
        <v>0</v>
      </c>
      <c r="Z371" t="s">
        <v>1111</v>
      </c>
      <c r="AA371" t="s">
        <v>1602</v>
      </c>
    </row>
    <row r="372" spans="1:27" ht="15" customHeight="1" x14ac:dyDescent="0.3">
      <c r="A372">
        <v>418</v>
      </c>
      <c r="B372">
        <v>84</v>
      </c>
      <c r="C372" t="s">
        <v>1108</v>
      </c>
      <c r="D372" t="s">
        <v>1109</v>
      </c>
      <c r="E372" t="s">
        <v>758</v>
      </c>
      <c r="F372">
        <v>2023</v>
      </c>
      <c r="G372">
        <v>1</v>
      </c>
      <c r="H372">
        <v>0</v>
      </c>
      <c r="I372">
        <v>0</v>
      </c>
      <c r="J372">
        <v>0</v>
      </c>
      <c r="K372">
        <v>426190000</v>
      </c>
      <c r="L372">
        <v>18.559799999999999</v>
      </c>
      <c r="M372">
        <v>7910001.1619999995</v>
      </c>
      <c r="N372">
        <v>3433000</v>
      </c>
      <c r="O372">
        <v>4234000</v>
      </c>
      <c r="P372">
        <v>265990</v>
      </c>
      <c r="Q372">
        <v>2.67902719933869</v>
      </c>
      <c r="R372">
        <v>15.2586577306769</v>
      </c>
      <c r="S372">
        <v>0.81081719414265496</v>
      </c>
      <c r="T372">
        <v>6.2822390174775603E-2</v>
      </c>
      <c r="U372">
        <v>2002</v>
      </c>
      <c r="V372">
        <v>21</v>
      </c>
      <c r="Y372">
        <v>0</v>
      </c>
      <c r="Z372" t="s">
        <v>1111</v>
      </c>
      <c r="AA372" t="s">
        <v>1602</v>
      </c>
    </row>
    <row r="373" spans="1:27" ht="15" customHeight="1" x14ac:dyDescent="0.3">
      <c r="A373">
        <v>419</v>
      </c>
      <c r="B373">
        <v>84</v>
      </c>
      <c r="C373" t="s">
        <v>1108</v>
      </c>
      <c r="D373" t="s">
        <v>1109</v>
      </c>
      <c r="E373" t="s">
        <v>758</v>
      </c>
      <c r="F373">
        <v>2024</v>
      </c>
      <c r="G373">
        <v>1</v>
      </c>
      <c r="H373">
        <v>0</v>
      </c>
      <c r="I373">
        <v>0</v>
      </c>
      <c r="J373">
        <v>0</v>
      </c>
      <c r="K373">
        <v>426190000</v>
      </c>
      <c r="L373">
        <v>7.3441000000000001</v>
      </c>
      <c r="M373">
        <v>3129981.9789999998</v>
      </c>
      <c r="N373">
        <v>3236000</v>
      </c>
      <c r="O373">
        <v>4406000</v>
      </c>
      <c r="P373">
        <v>378470</v>
      </c>
      <c r="Q373">
        <v>1.4448438445301901</v>
      </c>
      <c r="R373">
        <v>15.298477806344399</v>
      </c>
      <c r="S373">
        <v>0.734453018610985</v>
      </c>
      <c r="T373">
        <v>8.5898774398547401E-2</v>
      </c>
      <c r="U373">
        <v>2002</v>
      </c>
      <c r="V373">
        <v>22</v>
      </c>
      <c r="Y373">
        <v>0</v>
      </c>
      <c r="Z373" t="s">
        <v>1111</v>
      </c>
      <c r="AA373" t="s">
        <v>1602</v>
      </c>
    </row>
    <row r="374" spans="1:27" ht="15" customHeight="1" x14ac:dyDescent="0.3">
      <c r="A374">
        <v>420</v>
      </c>
      <c r="B374">
        <v>84</v>
      </c>
      <c r="C374" t="s">
        <v>1108</v>
      </c>
      <c r="D374" t="s">
        <v>1109</v>
      </c>
      <c r="E374" t="s">
        <v>758</v>
      </c>
      <c r="F374">
        <v>2025</v>
      </c>
      <c r="G374">
        <v>1</v>
      </c>
      <c r="H374">
        <v>0</v>
      </c>
      <c r="I374">
        <v>0</v>
      </c>
      <c r="J374">
        <v>0</v>
      </c>
      <c r="K374">
        <v>426190000</v>
      </c>
      <c r="L374">
        <v>13.350899999999999</v>
      </c>
      <c r="M374">
        <v>5690020.0710000005</v>
      </c>
      <c r="N374">
        <v>1473000</v>
      </c>
      <c r="O374">
        <v>3159000</v>
      </c>
      <c r="P374">
        <v>547110</v>
      </c>
      <c r="Q374">
        <v>2.2674960655270699</v>
      </c>
      <c r="R374">
        <v>14.965766079784199</v>
      </c>
      <c r="S374">
        <v>0.46628679962013297</v>
      </c>
      <c r="T374">
        <v>0.17319088319088299</v>
      </c>
      <c r="U374">
        <v>2002</v>
      </c>
      <c r="V374">
        <v>23</v>
      </c>
      <c r="Y374">
        <v>0</v>
      </c>
      <c r="Z374" t="s">
        <v>1111</v>
      </c>
      <c r="AA374" t="s">
        <v>1602</v>
      </c>
    </row>
    <row r="375" spans="1:27" ht="15" customHeight="1" x14ac:dyDescent="0.3">
      <c r="A375">
        <v>421</v>
      </c>
      <c r="B375">
        <v>85</v>
      </c>
      <c r="C375" t="s">
        <v>1113</v>
      </c>
      <c r="D375" t="s">
        <v>1114</v>
      </c>
      <c r="E375" t="s">
        <v>715</v>
      </c>
      <c r="F375">
        <v>2021</v>
      </c>
      <c r="G375">
        <v>0</v>
      </c>
      <c r="H375">
        <v>0</v>
      </c>
      <c r="I375">
        <v>15</v>
      </c>
      <c r="J375">
        <v>0</v>
      </c>
      <c r="K375">
        <v>2227000000</v>
      </c>
      <c r="L375">
        <v>2.7256</v>
      </c>
      <c r="M375">
        <v>6069911.2000000002</v>
      </c>
      <c r="N375">
        <v>9423000</v>
      </c>
      <c r="O375">
        <v>16442000</v>
      </c>
      <c r="P375">
        <v>743190</v>
      </c>
      <c r="Q375">
        <v>0.94227656002919402</v>
      </c>
      <c r="R375">
        <v>16.615349594694202</v>
      </c>
      <c r="S375">
        <v>0.57310546162267395</v>
      </c>
      <c r="T375">
        <v>4.5200705510278598E-2</v>
      </c>
      <c r="U375">
        <v>1979</v>
      </c>
      <c r="V375">
        <v>42</v>
      </c>
      <c r="Y375">
        <v>1</v>
      </c>
      <c r="Z375" t="s">
        <v>722</v>
      </c>
      <c r="AA375" t="s">
        <v>1603</v>
      </c>
    </row>
    <row r="376" spans="1:27" ht="15" customHeight="1" x14ac:dyDescent="0.3">
      <c r="A376">
        <v>422</v>
      </c>
      <c r="B376">
        <v>85</v>
      </c>
      <c r="C376" t="s">
        <v>1113</v>
      </c>
      <c r="D376" t="s">
        <v>1114</v>
      </c>
      <c r="E376" t="s">
        <v>715</v>
      </c>
      <c r="F376">
        <v>2022</v>
      </c>
      <c r="G376">
        <v>0</v>
      </c>
      <c r="H376">
        <v>0</v>
      </c>
      <c r="I376">
        <v>15</v>
      </c>
      <c r="J376">
        <v>0</v>
      </c>
      <c r="K376">
        <v>2227000000</v>
      </c>
      <c r="L376">
        <v>5.5994999999999999</v>
      </c>
      <c r="M376">
        <v>12470086.5</v>
      </c>
      <c r="N376">
        <v>9701000</v>
      </c>
      <c r="O376">
        <v>18727000</v>
      </c>
      <c r="P376">
        <v>2658000</v>
      </c>
      <c r="Q376">
        <v>1.1839102098574299</v>
      </c>
      <c r="R376">
        <v>16.745476890742601</v>
      </c>
      <c r="S376">
        <v>0.51802210711806496</v>
      </c>
      <c r="T376">
        <v>0.14193410583649299</v>
      </c>
      <c r="U376">
        <v>1979</v>
      </c>
      <c r="V376">
        <v>43</v>
      </c>
      <c r="Y376">
        <v>1</v>
      </c>
      <c r="Z376" t="s">
        <v>722</v>
      </c>
      <c r="AA376" t="s">
        <v>1603</v>
      </c>
    </row>
    <row r="377" spans="1:27" ht="15" customHeight="1" x14ac:dyDescent="0.3">
      <c r="A377">
        <v>423</v>
      </c>
      <c r="B377">
        <v>85</v>
      </c>
      <c r="C377" t="s">
        <v>1113</v>
      </c>
      <c r="D377" t="s">
        <v>1114</v>
      </c>
      <c r="E377" t="s">
        <v>715</v>
      </c>
      <c r="F377">
        <v>2023</v>
      </c>
      <c r="G377">
        <v>1</v>
      </c>
      <c r="H377">
        <v>0</v>
      </c>
      <c r="I377">
        <v>15</v>
      </c>
      <c r="J377">
        <v>0</v>
      </c>
      <c r="K377">
        <v>2227000000</v>
      </c>
      <c r="L377">
        <v>22.2317</v>
      </c>
      <c r="M377">
        <v>49509995.899999999</v>
      </c>
      <c r="N377">
        <v>15184000</v>
      </c>
      <c r="O377">
        <v>27311000</v>
      </c>
      <c r="P377">
        <v>5540000</v>
      </c>
      <c r="Q377">
        <v>2.3687889824612798</v>
      </c>
      <c r="R377">
        <v>17.122800109403499</v>
      </c>
      <c r="S377">
        <v>0.55596646040057096</v>
      </c>
      <c r="T377">
        <v>0.202848669034455</v>
      </c>
      <c r="U377">
        <v>1979</v>
      </c>
      <c r="V377">
        <v>44</v>
      </c>
      <c r="Y377">
        <v>1</v>
      </c>
      <c r="Z377" t="s">
        <v>722</v>
      </c>
      <c r="AA377" t="s">
        <v>1603</v>
      </c>
    </row>
    <row r="378" spans="1:27" ht="15" customHeight="1" x14ac:dyDescent="0.3">
      <c r="A378">
        <v>424</v>
      </c>
      <c r="B378">
        <v>85</v>
      </c>
      <c r="C378" t="s">
        <v>1113</v>
      </c>
      <c r="D378" t="s">
        <v>1114</v>
      </c>
      <c r="E378" t="s">
        <v>715</v>
      </c>
      <c r="F378">
        <v>2024</v>
      </c>
      <c r="G378">
        <v>1</v>
      </c>
      <c r="H378">
        <v>0</v>
      </c>
      <c r="I378">
        <v>15</v>
      </c>
      <c r="J378">
        <v>0</v>
      </c>
      <c r="K378">
        <v>2227000000</v>
      </c>
      <c r="L378">
        <v>40.300899999999999</v>
      </c>
      <c r="M378">
        <v>89750104.299999997</v>
      </c>
      <c r="N378">
        <v>26878000</v>
      </c>
      <c r="O378">
        <v>46953000</v>
      </c>
      <c r="P378">
        <v>12865000</v>
      </c>
      <c r="Q378">
        <v>2.4839329606201899</v>
      </c>
      <c r="R378">
        <v>17.664657659340701</v>
      </c>
      <c r="S378">
        <v>0.57244478521074305</v>
      </c>
      <c r="T378">
        <v>0.273997401656976</v>
      </c>
      <c r="U378">
        <v>1979</v>
      </c>
      <c r="V378">
        <v>45</v>
      </c>
      <c r="Y378">
        <v>1</v>
      </c>
      <c r="Z378" t="s">
        <v>722</v>
      </c>
      <c r="AA378" t="s">
        <v>1603</v>
      </c>
    </row>
    <row r="379" spans="1:27" ht="15" customHeight="1" x14ac:dyDescent="0.3">
      <c r="A379">
        <v>425</v>
      </c>
      <c r="B379">
        <v>85</v>
      </c>
      <c r="C379" t="s">
        <v>1113</v>
      </c>
      <c r="D379" t="s">
        <v>1114</v>
      </c>
      <c r="E379" t="s">
        <v>715</v>
      </c>
      <c r="F379">
        <v>2025</v>
      </c>
      <c r="G379">
        <v>1</v>
      </c>
      <c r="H379">
        <v>0</v>
      </c>
      <c r="I379">
        <v>15</v>
      </c>
      <c r="J379">
        <v>0</v>
      </c>
      <c r="K379">
        <v>2227000000</v>
      </c>
      <c r="L379">
        <v>94.521799999999999</v>
      </c>
      <c r="M379">
        <v>210500048.59999999</v>
      </c>
      <c r="N379">
        <v>29124000</v>
      </c>
      <c r="O379">
        <v>55120000</v>
      </c>
      <c r="P379">
        <v>17514000</v>
      </c>
      <c r="Q379">
        <v>4.3473158309143702</v>
      </c>
      <c r="R379">
        <v>17.8250231846697</v>
      </c>
      <c r="S379">
        <v>0.52837445573294595</v>
      </c>
      <c r="T379">
        <v>0.31774310595065303</v>
      </c>
      <c r="U379">
        <v>1979</v>
      </c>
      <c r="V379">
        <v>46</v>
      </c>
      <c r="Y379">
        <v>1</v>
      </c>
      <c r="Z379" t="s">
        <v>722</v>
      </c>
      <c r="AA379" t="s">
        <v>1603</v>
      </c>
    </row>
    <row r="380" spans="1:27" ht="15" customHeight="1" x14ac:dyDescent="0.3">
      <c r="A380">
        <v>426</v>
      </c>
      <c r="B380">
        <v>86</v>
      </c>
      <c r="C380" t="s">
        <v>1117</v>
      </c>
      <c r="D380" t="s">
        <v>1118</v>
      </c>
      <c r="E380" t="s">
        <v>806</v>
      </c>
      <c r="F380">
        <v>2021</v>
      </c>
      <c r="G380">
        <v>0</v>
      </c>
      <c r="H380">
        <v>0</v>
      </c>
      <c r="I380">
        <v>35</v>
      </c>
      <c r="J380">
        <v>0</v>
      </c>
      <c r="K380">
        <v>2702000000</v>
      </c>
      <c r="L380">
        <v>12.942299999999999</v>
      </c>
      <c r="M380">
        <v>34970094.600000001</v>
      </c>
      <c r="N380">
        <v>25891000</v>
      </c>
      <c r="O380">
        <v>40521000</v>
      </c>
      <c r="P380">
        <v>2971000</v>
      </c>
      <c r="Q380">
        <v>1.5019642802497499</v>
      </c>
      <c r="R380">
        <v>17.517330916211002</v>
      </c>
      <c r="S380">
        <v>0.63895264184003397</v>
      </c>
      <c r="T380">
        <v>7.3320006909997307E-2</v>
      </c>
      <c r="U380">
        <v>1973</v>
      </c>
      <c r="V380">
        <v>48</v>
      </c>
      <c r="Y380">
        <v>1</v>
      </c>
      <c r="Z380" t="s">
        <v>1012</v>
      </c>
      <c r="AA380" t="s">
        <v>1604</v>
      </c>
    </row>
    <row r="381" spans="1:27" ht="15" customHeight="1" x14ac:dyDescent="0.3">
      <c r="A381">
        <v>427</v>
      </c>
      <c r="B381">
        <v>86</v>
      </c>
      <c r="C381" t="s">
        <v>1117</v>
      </c>
      <c r="D381" t="s">
        <v>1118</v>
      </c>
      <c r="E381" t="s">
        <v>806</v>
      </c>
      <c r="F381">
        <v>2022</v>
      </c>
      <c r="G381">
        <v>0</v>
      </c>
      <c r="H381">
        <v>0</v>
      </c>
      <c r="I381">
        <v>35</v>
      </c>
      <c r="J381">
        <v>0</v>
      </c>
      <c r="K381">
        <v>2702000000</v>
      </c>
      <c r="L381">
        <v>10.884499999999999</v>
      </c>
      <c r="M381">
        <v>29409919</v>
      </c>
      <c r="N381">
        <v>36488000</v>
      </c>
      <c r="O381">
        <v>55531000</v>
      </c>
      <c r="P381">
        <v>5469000</v>
      </c>
      <c r="Q381">
        <v>1.1866870576794899</v>
      </c>
      <c r="R381">
        <v>17.832451981339499</v>
      </c>
      <c r="S381">
        <v>0.65707442689668805</v>
      </c>
      <c r="T381">
        <v>9.8485530604527194E-2</v>
      </c>
      <c r="U381">
        <v>1973</v>
      </c>
      <c r="V381">
        <v>49</v>
      </c>
      <c r="Y381">
        <v>1</v>
      </c>
      <c r="Z381" t="s">
        <v>1012</v>
      </c>
      <c r="AA381" t="s">
        <v>1604</v>
      </c>
    </row>
    <row r="382" spans="1:27" ht="15" customHeight="1" x14ac:dyDescent="0.3">
      <c r="A382">
        <v>428</v>
      </c>
      <c r="B382">
        <v>86</v>
      </c>
      <c r="C382" t="s">
        <v>1117</v>
      </c>
      <c r="D382" t="s">
        <v>1118</v>
      </c>
      <c r="E382" t="s">
        <v>806</v>
      </c>
      <c r="F382">
        <v>2023</v>
      </c>
      <c r="G382">
        <v>1</v>
      </c>
      <c r="H382">
        <v>0</v>
      </c>
      <c r="I382">
        <v>35</v>
      </c>
      <c r="J382">
        <v>0</v>
      </c>
      <c r="K382">
        <v>2702000000</v>
      </c>
      <c r="L382">
        <v>52.705399999999997</v>
      </c>
      <c r="M382">
        <v>142409990.80000001</v>
      </c>
      <c r="N382">
        <v>38214000</v>
      </c>
      <c r="O382">
        <v>65686000</v>
      </c>
      <c r="P382">
        <v>13728000</v>
      </c>
      <c r="Q382">
        <v>2.7498095606369701</v>
      </c>
      <c r="R382">
        <v>18.0003963709459</v>
      </c>
      <c r="S382">
        <v>0.58176780440276499</v>
      </c>
      <c r="T382">
        <v>0.20899430624486201</v>
      </c>
      <c r="U382">
        <v>1973</v>
      </c>
      <c r="V382">
        <v>50</v>
      </c>
      <c r="Y382">
        <v>1</v>
      </c>
      <c r="Z382" t="s">
        <v>1012</v>
      </c>
      <c r="AA382" t="s">
        <v>1604</v>
      </c>
    </row>
    <row r="383" spans="1:27" ht="15" customHeight="1" x14ac:dyDescent="0.3">
      <c r="A383">
        <v>429</v>
      </c>
      <c r="B383">
        <v>86</v>
      </c>
      <c r="C383" t="s">
        <v>1117</v>
      </c>
      <c r="D383" t="s">
        <v>1118</v>
      </c>
      <c r="E383" t="s">
        <v>806</v>
      </c>
      <c r="F383">
        <v>2024</v>
      </c>
      <c r="G383">
        <v>1</v>
      </c>
      <c r="H383">
        <v>0</v>
      </c>
      <c r="I383">
        <v>35</v>
      </c>
      <c r="J383">
        <v>0</v>
      </c>
      <c r="K383">
        <v>2702000000</v>
      </c>
      <c r="L383">
        <v>31.354600000000001</v>
      </c>
      <c r="M383">
        <v>84720129.200000003</v>
      </c>
      <c r="N383">
        <v>35447000</v>
      </c>
      <c r="O383">
        <v>78502000</v>
      </c>
      <c r="P383">
        <v>15584000</v>
      </c>
      <c r="Q383">
        <v>1.5307524547145299</v>
      </c>
      <c r="R383">
        <v>18.178634660135099</v>
      </c>
      <c r="S383">
        <v>0.45154263585641102</v>
      </c>
      <c r="T383">
        <v>0.19851723522967599</v>
      </c>
      <c r="U383">
        <v>1973</v>
      </c>
      <c r="V383">
        <v>51</v>
      </c>
      <c r="Y383">
        <v>1</v>
      </c>
      <c r="Z383" t="s">
        <v>1012</v>
      </c>
      <c r="AA383" t="s">
        <v>1604</v>
      </c>
    </row>
    <row r="384" spans="1:27" ht="15" customHeight="1" x14ac:dyDescent="0.3">
      <c r="A384">
        <v>430</v>
      </c>
      <c r="B384">
        <v>86</v>
      </c>
      <c r="C384" t="s">
        <v>1117</v>
      </c>
      <c r="D384" t="s">
        <v>1118</v>
      </c>
      <c r="E384" t="s">
        <v>806</v>
      </c>
      <c r="F384">
        <v>2025</v>
      </c>
      <c r="G384">
        <v>1</v>
      </c>
      <c r="H384">
        <v>1</v>
      </c>
      <c r="I384">
        <v>75</v>
      </c>
      <c r="J384">
        <v>46.6666666666667</v>
      </c>
      <c r="K384">
        <v>2702000000</v>
      </c>
      <c r="L384">
        <v>107.5167</v>
      </c>
      <c r="M384">
        <v>290510123.39999998</v>
      </c>
      <c r="N384">
        <v>64086000</v>
      </c>
      <c r="O384">
        <v>135266000</v>
      </c>
      <c r="P384">
        <v>33529000</v>
      </c>
      <c r="Q384">
        <v>2.6214726790176401</v>
      </c>
      <c r="R384">
        <v>18.722753768139501</v>
      </c>
      <c r="S384">
        <v>0.47377759377818501</v>
      </c>
      <c r="T384">
        <v>0.247874558277764</v>
      </c>
      <c r="U384">
        <v>1973</v>
      </c>
      <c r="V384">
        <v>52</v>
      </c>
      <c r="Y384">
        <v>1</v>
      </c>
      <c r="Z384" t="s">
        <v>1012</v>
      </c>
      <c r="AA384" t="s">
        <v>1604</v>
      </c>
    </row>
    <row r="385" spans="1:27" ht="15" customHeight="1" x14ac:dyDescent="0.3">
      <c r="A385">
        <v>431</v>
      </c>
      <c r="B385">
        <v>87</v>
      </c>
      <c r="C385" t="s">
        <v>1121</v>
      </c>
      <c r="D385" t="s">
        <v>1122</v>
      </c>
      <c r="E385" t="s">
        <v>806</v>
      </c>
      <c r="F385">
        <v>2021</v>
      </c>
      <c r="G385">
        <v>0</v>
      </c>
      <c r="H385">
        <v>0</v>
      </c>
      <c r="I385">
        <v>25</v>
      </c>
      <c r="J385">
        <v>13.3333333333333</v>
      </c>
      <c r="K385">
        <v>10095000000</v>
      </c>
      <c r="L385">
        <v>39.999000000000002</v>
      </c>
      <c r="M385">
        <v>403789905</v>
      </c>
      <c r="N385">
        <v>313610000</v>
      </c>
      <c r="O385">
        <v>485522000</v>
      </c>
      <c r="P385">
        <v>12666000</v>
      </c>
      <c r="Q385">
        <v>1.4775847541409</v>
      </c>
      <c r="R385">
        <v>20.000735158778198</v>
      </c>
      <c r="S385">
        <v>0.64592335671709999</v>
      </c>
      <c r="T385">
        <v>2.6087386359423499E-2</v>
      </c>
      <c r="U385">
        <v>1946</v>
      </c>
      <c r="V385">
        <v>75</v>
      </c>
      <c r="Y385">
        <v>1</v>
      </c>
      <c r="Z385" t="s">
        <v>1124</v>
      </c>
      <c r="AA385" t="s">
        <v>1605</v>
      </c>
    </row>
    <row r="386" spans="1:27" ht="15" customHeight="1" x14ac:dyDescent="0.3">
      <c r="A386">
        <v>432</v>
      </c>
      <c r="B386">
        <v>87</v>
      </c>
      <c r="C386" t="s">
        <v>1121</v>
      </c>
      <c r="D386" t="s">
        <v>1122</v>
      </c>
      <c r="E386" t="s">
        <v>806</v>
      </c>
      <c r="F386">
        <v>2022</v>
      </c>
      <c r="G386">
        <v>0</v>
      </c>
      <c r="H386">
        <v>0</v>
      </c>
      <c r="I386">
        <v>30</v>
      </c>
      <c r="J386">
        <v>13.3333333333333</v>
      </c>
      <c r="K386">
        <v>10276000000</v>
      </c>
      <c r="L386">
        <v>41.000399999999999</v>
      </c>
      <c r="M386">
        <v>421320110.39999998</v>
      </c>
      <c r="N386">
        <v>439975000</v>
      </c>
      <c r="O386">
        <v>619889000</v>
      </c>
      <c r="P386">
        <v>13182000</v>
      </c>
      <c r="Q386">
        <v>1.3894344155163301</v>
      </c>
      <c r="R386">
        <v>20.2450509877172</v>
      </c>
      <c r="S386">
        <v>0.70976416745578597</v>
      </c>
      <c r="T386">
        <v>2.1265097460997098E-2</v>
      </c>
      <c r="U386">
        <v>1946</v>
      </c>
      <c r="V386">
        <v>76</v>
      </c>
      <c r="Y386">
        <v>1</v>
      </c>
      <c r="Z386" t="s">
        <v>1124</v>
      </c>
      <c r="AA386" t="s">
        <v>1606</v>
      </c>
    </row>
    <row r="387" spans="1:27" ht="15" customHeight="1" x14ac:dyDescent="0.3">
      <c r="A387">
        <v>433</v>
      </c>
      <c r="B387">
        <v>87</v>
      </c>
      <c r="C387" t="s">
        <v>1121</v>
      </c>
      <c r="D387" t="s">
        <v>1122</v>
      </c>
      <c r="E387" t="s">
        <v>806</v>
      </c>
      <c r="F387">
        <v>2023</v>
      </c>
      <c r="G387">
        <v>1</v>
      </c>
      <c r="H387">
        <v>0</v>
      </c>
      <c r="I387">
        <v>35</v>
      </c>
      <c r="J387">
        <v>20</v>
      </c>
      <c r="K387">
        <v>10276000000</v>
      </c>
      <c r="L387">
        <v>36.000399999999999</v>
      </c>
      <c r="M387">
        <v>369940110.39999998</v>
      </c>
      <c r="N387">
        <v>732589000</v>
      </c>
      <c r="O387">
        <v>795873000</v>
      </c>
      <c r="P387">
        <v>-106308000</v>
      </c>
      <c r="Q387">
        <v>1.3853078448445899</v>
      </c>
      <c r="R387">
        <v>20.494950183340901</v>
      </c>
      <c r="S387">
        <v>0.92048480096698904</v>
      </c>
      <c r="T387">
        <v>-0.13357407526075099</v>
      </c>
      <c r="U387">
        <v>1946</v>
      </c>
      <c r="V387">
        <v>77</v>
      </c>
      <c r="Y387">
        <v>1</v>
      </c>
      <c r="Z387" t="s">
        <v>1124</v>
      </c>
      <c r="AA387" t="s">
        <v>1607</v>
      </c>
    </row>
    <row r="388" spans="1:27" ht="15" customHeight="1" x14ac:dyDescent="0.3">
      <c r="A388">
        <v>434</v>
      </c>
      <c r="B388">
        <v>87</v>
      </c>
      <c r="C388" t="s">
        <v>1121</v>
      </c>
      <c r="D388" t="s">
        <v>1122</v>
      </c>
      <c r="E388" t="s">
        <v>806</v>
      </c>
      <c r="F388">
        <v>2024</v>
      </c>
      <c r="G388">
        <v>1</v>
      </c>
      <c r="H388">
        <v>0</v>
      </c>
      <c r="I388">
        <v>45</v>
      </c>
      <c r="J388">
        <v>33.3333333333333</v>
      </c>
      <c r="K388">
        <v>30983000000</v>
      </c>
      <c r="L388">
        <v>32.000100000000003</v>
      </c>
      <c r="M388">
        <v>991459098.29999995</v>
      </c>
      <c r="N388">
        <v>674332000</v>
      </c>
      <c r="O388">
        <v>1138276000</v>
      </c>
      <c r="P388">
        <v>-144887000</v>
      </c>
      <c r="Q388">
        <v>1.4634333837311899</v>
      </c>
      <c r="R388">
        <v>20.8527806740004</v>
      </c>
      <c r="S388">
        <v>0.59241519631442596</v>
      </c>
      <c r="T388">
        <v>-0.12728635234336799</v>
      </c>
      <c r="U388">
        <v>1946</v>
      </c>
      <c r="V388">
        <v>78</v>
      </c>
      <c r="Y388">
        <v>1</v>
      </c>
      <c r="Z388" t="s">
        <v>1124</v>
      </c>
      <c r="AA388" t="s">
        <v>1608</v>
      </c>
    </row>
    <row r="389" spans="1:27" ht="15" customHeight="1" x14ac:dyDescent="0.3">
      <c r="A389">
        <v>435</v>
      </c>
      <c r="B389">
        <v>87</v>
      </c>
      <c r="C389" t="s">
        <v>1121</v>
      </c>
      <c r="D389" t="s">
        <v>1122</v>
      </c>
      <c r="E389" t="s">
        <v>806</v>
      </c>
      <c r="F389">
        <v>2025</v>
      </c>
      <c r="G389">
        <v>1</v>
      </c>
      <c r="H389">
        <v>0</v>
      </c>
      <c r="I389">
        <v>45</v>
      </c>
      <c r="J389">
        <v>33.3333333333333</v>
      </c>
      <c r="K389">
        <v>30983000000</v>
      </c>
      <c r="L389">
        <v>75.202500000000001</v>
      </c>
      <c r="M389">
        <v>2329999057.5</v>
      </c>
      <c r="N389">
        <v>505896000</v>
      </c>
      <c r="O389">
        <v>1066118000</v>
      </c>
      <c r="P389">
        <v>99100000</v>
      </c>
      <c r="Q389">
        <v>2.6600198641238602</v>
      </c>
      <c r="R389">
        <v>20.787289850747801</v>
      </c>
      <c r="S389">
        <v>0.47452158203876099</v>
      </c>
      <c r="T389">
        <v>9.2954063246282304E-2</v>
      </c>
      <c r="U389">
        <v>1946</v>
      </c>
      <c r="V389">
        <v>79</v>
      </c>
      <c r="Y389">
        <v>1</v>
      </c>
      <c r="Z389" t="s">
        <v>1124</v>
      </c>
      <c r="AA389" t="s">
        <v>1609</v>
      </c>
    </row>
    <row r="390" spans="1:27" ht="15" customHeight="1" x14ac:dyDescent="0.3">
      <c r="A390">
        <v>436</v>
      </c>
      <c r="B390">
        <v>88</v>
      </c>
      <c r="C390" t="s">
        <v>1126</v>
      </c>
      <c r="D390" t="s">
        <v>1127</v>
      </c>
      <c r="E390" t="s">
        <v>752</v>
      </c>
      <c r="F390">
        <v>2021</v>
      </c>
      <c r="G390">
        <v>0</v>
      </c>
      <c r="H390">
        <v>0</v>
      </c>
      <c r="I390">
        <v>0</v>
      </c>
      <c r="J390">
        <v>0</v>
      </c>
      <c r="K390">
        <v>108000000</v>
      </c>
      <c r="L390">
        <v>3</v>
      </c>
      <c r="M390">
        <v>324000</v>
      </c>
      <c r="N390">
        <v>5967000</v>
      </c>
      <c r="O390">
        <v>5128000</v>
      </c>
      <c r="P390">
        <v>7550</v>
      </c>
      <c r="Q390">
        <v>1.22679407176287</v>
      </c>
      <c r="R390">
        <v>15.450226277582599</v>
      </c>
      <c r="S390">
        <v>1.1636115444617801</v>
      </c>
      <c r="T390">
        <v>1.4723088923556901E-3</v>
      </c>
      <c r="U390">
        <v>1949</v>
      </c>
      <c r="V390">
        <v>72</v>
      </c>
      <c r="Y390">
        <v>0</v>
      </c>
      <c r="Z390" t="s">
        <v>1129</v>
      </c>
      <c r="AA390" t="s">
        <v>1610</v>
      </c>
    </row>
    <row r="391" spans="1:27" ht="15" customHeight="1" x14ac:dyDescent="0.3">
      <c r="A391">
        <v>437</v>
      </c>
      <c r="B391">
        <v>88</v>
      </c>
      <c r="C391" t="s">
        <v>1126</v>
      </c>
      <c r="D391" t="s">
        <v>1127</v>
      </c>
      <c r="E391" t="s">
        <v>752</v>
      </c>
      <c r="F391">
        <v>2022</v>
      </c>
      <c r="G391">
        <v>0</v>
      </c>
      <c r="H391">
        <v>0</v>
      </c>
      <c r="I391">
        <v>0</v>
      </c>
      <c r="J391">
        <v>0</v>
      </c>
      <c r="K391">
        <v>108000000</v>
      </c>
      <c r="L391">
        <v>3.6</v>
      </c>
      <c r="M391">
        <v>388800</v>
      </c>
      <c r="N391">
        <v>6155000</v>
      </c>
      <c r="O391">
        <v>4310000</v>
      </c>
      <c r="P391">
        <v>-1011000</v>
      </c>
      <c r="Q391">
        <v>1.5182830626450099</v>
      </c>
      <c r="R391">
        <v>15.2764484620799</v>
      </c>
      <c r="S391">
        <v>1.42807424593968</v>
      </c>
      <c r="T391">
        <v>-0.23457076566125301</v>
      </c>
      <c r="U391">
        <v>1949</v>
      </c>
      <c r="V391">
        <v>73</v>
      </c>
      <c r="Y391">
        <v>0</v>
      </c>
      <c r="Z391" t="s">
        <v>1129</v>
      </c>
      <c r="AA391" t="s">
        <v>1610</v>
      </c>
    </row>
    <row r="392" spans="1:27" ht="15" customHeight="1" x14ac:dyDescent="0.3">
      <c r="A392">
        <v>438</v>
      </c>
      <c r="B392">
        <v>88</v>
      </c>
      <c r="C392" t="s">
        <v>1126</v>
      </c>
      <c r="D392" t="s">
        <v>1127</v>
      </c>
      <c r="E392" t="s">
        <v>752</v>
      </c>
      <c r="F392">
        <v>2023</v>
      </c>
      <c r="G392">
        <v>1</v>
      </c>
      <c r="H392">
        <v>0</v>
      </c>
      <c r="I392">
        <v>0</v>
      </c>
      <c r="J392">
        <v>0</v>
      </c>
      <c r="K392">
        <v>108000000</v>
      </c>
      <c r="L392">
        <v>3.96</v>
      </c>
      <c r="M392">
        <v>427680</v>
      </c>
      <c r="N392">
        <v>8065000</v>
      </c>
      <c r="O392">
        <v>5460000</v>
      </c>
      <c r="P392">
        <v>-738900</v>
      </c>
      <c r="Q392">
        <v>1.5554358974358999</v>
      </c>
      <c r="R392">
        <v>15.5129593477211</v>
      </c>
      <c r="S392">
        <v>1.4771062271062301</v>
      </c>
      <c r="T392">
        <v>-0.13532967032967</v>
      </c>
      <c r="U392">
        <v>1949</v>
      </c>
      <c r="V392">
        <v>74</v>
      </c>
      <c r="Y392">
        <v>0</v>
      </c>
      <c r="Z392" t="s">
        <v>1129</v>
      </c>
      <c r="AA392" t="s">
        <v>1610</v>
      </c>
    </row>
    <row r="393" spans="1:27" ht="15" customHeight="1" x14ac:dyDescent="0.3">
      <c r="A393">
        <v>439</v>
      </c>
      <c r="B393">
        <v>88</v>
      </c>
      <c r="C393" t="s">
        <v>1126</v>
      </c>
      <c r="D393" t="s">
        <v>1127</v>
      </c>
      <c r="E393" t="s">
        <v>752</v>
      </c>
      <c r="F393">
        <v>2024</v>
      </c>
      <c r="G393">
        <v>1</v>
      </c>
      <c r="H393">
        <v>0</v>
      </c>
      <c r="I393">
        <v>0</v>
      </c>
      <c r="J393">
        <v>0</v>
      </c>
      <c r="K393">
        <v>108000000</v>
      </c>
      <c r="L393">
        <v>5</v>
      </c>
      <c r="M393">
        <v>540000</v>
      </c>
      <c r="N393">
        <v>9237000</v>
      </c>
      <c r="O393">
        <v>4428000</v>
      </c>
      <c r="P393">
        <v>-2172000</v>
      </c>
      <c r="Q393">
        <v>2.2079945799458001</v>
      </c>
      <c r="R393">
        <v>15.303458572810699</v>
      </c>
      <c r="S393">
        <v>2.0860433604335999</v>
      </c>
      <c r="T393">
        <v>-0.49051490514905199</v>
      </c>
      <c r="U393">
        <v>1949</v>
      </c>
      <c r="V393">
        <v>75</v>
      </c>
      <c r="Y393">
        <v>0</v>
      </c>
      <c r="Z393" t="s">
        <v>1129</v>
      </c>
      <c r="AA393" t="s">
        <v>1610</v>
      </c>
    </row>
    <row r="394" spans="1:27" ht="15" customHeight="1" x14ac:dyDescent="0.3">
      <c r="A394">
        <v>440</v>
      </c>
      <c r="B394">
        <v>88</v>
      </c>
      <c r="C394" t="s">
        <v>1126</v>
      </c>
      <c r="D394" t="s">
        <v>1127</v>
      </c>
      <c r="E394" t="s">
        <v>752</v>
      </c>
      <c r="F394">
        <v>2025</v>
      </c>
      <c r="G394">
        <v>1</v>
      </c>
      <c r="H394">
        <v>0</v>
      </c>
      <c r="I394">
        <v>0</v>
      </c>
      <c r="J394">
        <v>0</v>
      </c>
      <c r="K394">
        <v>108000000</v>
      </c>
      <c r="L394">
        <v>72.685199999999995</v>
      </c>
      <c r="M394">
        <v>7850001.5999999996</v>
      </c>
      <c r="N394">
        <v>12450000</v>
      </c>
      <c r="O394">
        <v>7767000</v>
      </c>
      <c r="P394">
        <v>212410</v>
      </c>
      <c r="Q394">
        <v>2.6136219389725799</v>
      </c>
      <c r="R394">
        <v>15.865394547401801</v>
      </c>
      <c r="S394">
        <v>1.6029354963306299</v>
      </c>
      <c r="T394">
        <v>2.73477533153084E-2</v>
      </c>
      <c r="U394">
        <v>1949</v>
      </c>
      <c r="V394">
        <v>76</v>
      </c>
      <c r="Y394">
        <v>0</v>
      </c>
      <c r="Z394" t="s">
        <v>1129</v>
      </c>
      <c r="AA394" t="s">
        <v>1610</v>
      </c>
    </row>
    <row r="395" spans="1:27" ht="15" customHeight="1" x14ac:dyDescent="0.3">
      <c r="A395">
        <v>441</v>
      </c>
      <c r="B395">
        <v>89</v>
      </c>
      <c r="C395" t="s">
        <v>1131</v>
      </c>
      <c r="D395" t="s">
        <v>1132</v>
      </c>
      <c r="E395" t="s">
        <v>898</v>
      </c>
      <c r="F395">
        <v>2021</v>
      </c>
      <c r="G395">
        <v>0</v>
      </c>
      <c r="H395">
        <v>0</v>
      </c>
      <c r="I395">
        <v>30</v>
      </c>
      <c r="J395">
        <v>6.6666666666666696</v>
      </c>
      <c r="K395">
        <v>1899000000</v>
      </c>
      <c r="L395">
        <v>1.7483</v>
      </c>
      <c r="M395">
        <v>3320021.7</v>
      </c>
      <c r="N395">
        <v>4860603</v>
      </c>
      <c r="O395">
        <v>6274670</v>
      </c>
      <c r="P395">
        <v>270576</v>
      </c>
      <c r="Q395">
        <v>1.3037537750989301</v>
      </c>
      <c r="R395">
        <v>15.6520314519578</v>
      </c>
      <c r="S395">
        <v>0.77463882562748299</v>
      </c>
      <c r="T395">
        <v>4.31219490427385E-2</v>
      </c>
      <c r="U395">
        <v>1957</v>
      </c>
      <c r="V395">
        <v>64</v>
      </c>
      <c r="Y395">
        <v>0</v>
      </c>
      <c r="Z395" t="s">
        <v>975</v>
      </c>
      <c r="AA395" t="s">
        <v>1611</v>
      </c>
    </row>
    <row r="396" spans="1:27" ht="15" customHeight="1" x14ac:dyDescent="0.3">
      <c r="A396">
        <v>442</v>
      </c>
      <c r="B396">
        <v>89</v>
      </c>
      <c r="C396" t="s">
        <v>1131</v>
      </c>
      <c r="D396" t="s">
        <v>1132</v>
      </c>
      <c r="E396" t="s">
        <v>898</v>
      </c>
      <c r="F396">
        <v>2022</v>
      </c>
      <c r="G396">
        <v>0</v>
      </c>
      <c r="H396">
        <v>0</v>
      </c>
      <c r="I396">
        <v>30</v>
      </c>
      <c r="J396">
        <v>6.6666666666666696</v>
      </c>
      <c r="K396">
        <v>1899000000</v>
      </c>
      <c r="L396">
        <v>1.4322999999999999</v>
      </c>
      <c r="M396">
        <v>2719937.7</v>
      </c>
      <c r="N396">
        <v>5733000</v>
      </c>
      <c r="O396">
        <v>6512000</v>
      </c>
      <c r="P396">
        <v>-325040</v>
      </c>
      <c r="Q396">
        <v>1.29805554361179</v>
      </c>
      <c r="R396">
        <v>15.689157186664501</v>
      </c>
      <c r="S396">
        <v>0.88037469287469305</v>
      </c>
      <c r="T396">
        <v>-4.9914004914004897E-2</v>
      </c>
      <c r="U396">
        <v>1957</v>
      </c>
      <c r="V396">
        <v>65</v>
      </c>
      <c r="Y396">
        <v>0</v>
      </c>
      <c r="Z396" t="s">
        <v>975</v>
      </c>
      <c r="AA396" t="s">
        <v>1612</v>
      </c>
    </row>
    <row r="397" spans="1:27" ht="15" customHeight="1" x14ac:dyDescent="0.3">
      <c r="A397">
        <v>443</v>
      </c>
      <c r="B397">
        <v>89</v>
      </c>
      <c r="C397" t="s">
        <v>1131</v>
      </c>
      <c r="D397" t="s">
        <v>1132</v>
      </c>
      <c r="E397" t="s">
        <v>898</v>
      </c>
      <c r="F397">
        <v>2023</v>
      </c>
      <c r="G397">
        <v>1</v>
      </c>
      <c r="H397">
        <v>0</v>
      </c>
      <c r="I397">
        <v>30</v>
      </c>
      <c r="J397">
        <v>6.6666666666666696</v>
      </c>
      <c r="K397">
        <v>4273000000</v>
      </c>
      <c r="L397">
        <v>1.9400999999999999</v>
      </c>
      <c r="M397">
        <v>8290047.2999999998</v>
      </c>
      <c r="N397">
        <v>7642000</v>
      </c>
      <c r="O397">
        <v>10179000</v>
      </c>
      <c r="P397">
        <v>-1798000</v>
      </c>
      <c r="Q397">
        <v>1.5651878671775199</v>
      </c>
      <c r="R397">
        <v>16.135837332434502</v>
      </c>
      <c r="S397">
        <v>0.75076137145102695</v>
      </c>
      <c r="T397">
        <v>-0.17663817663817699</v>
      </c>
      <c r="U397">
        <v>1957</v>
      </c>
      <c r="V397">
        <v>66</v>
      </c>
      <c r="Y397">
        <v>0</v>
      </c>
      <c r="Z397" t="s">
        <v>975</v>
      </c>
      <c r="AA397" t="s">
        <v>1613</v>
      </c>
    </row>
    <row r="398" spans="1:27" ht="15" customHeight="1" x14ac:dyDescent="0.3">
      <c r="A398">
        <v>444</v>
      </c>
      <c r="B398">
        <v>89</v>
      </c>
      <c r="C398" t="s">
        <v>1131</v>
      </c>
      <c r="D398" t="s">
        <v>1132</v>
      </c>
      <c r="E398" t="s">
        <v>898</v>
      </c>
      <c r="F398">
        <v>2024</v>
      </c>
      <c r="G398">
        <v>1</v>
      </c>
      <c r="H398">
        <v>0</v>
      </c>
      <c r="I398">
        <v>30</v>
      </c>
      <c r="J398">
        <v>6.6666666666666696</v>
      </c>
      <c r="K398">
        <v>4273000000</v>
      </c>
      <c r="L398">
        <v>2.2911000000000001</v>
      </c>
      <c r="M398">
        <v>9789870.3000000007</v>
      </c>
      <c r="N398">
        <v>10336000</v>
      </c>
      <c r="O398">
        <v>11987000</v>
      </c>
      <c r="P398">
        <v>-885330</v>
      </c>
      <c r="Q398">
        <v>1.6789747476432799</v>
      </c>
      <c r="R398">
        <v>16.299333287189199</v>
      </c>
      <c r="S398">
        <v>0.86226745641111202</v>
      </c>
      <c r="T398">
        <v>-7.3857512304997097E-2</v>
      </c>
      <c r="U398">
        <v>1957</v>
      </c>
      <c r="V398">
        <v>67</v>
      </c>
      <c r="Y398">
        <v>0</v>
      </c>
      <c r="Z398" t="s">
        <v>975</v>
      </c>
      <c r="AA398" t="s">
        <v>1612</v>
      </c>
    </row>
    <row r="399" spans="1:27" ht="15" customHeight="1" x14ac:dyDescent="0.3">
      <c r="A399">
        <v>445</v>
      </c>
      <c r="B399">
        <v>89</v>
      </c>
      <c r="C399" t="s">
        <v>1131</v>
      </c>
      <c r="D399" t="s">
        <v>1132</v>
      </c>
      <c r="E399" t="s">
        <v>898</v>
      </c>
      <c r="F399">
        <v>2025</v>
      </c>
      <c r="G399">
        <v>1</v>
      </c>
      <c r="H399">
        <v>0</v>
      </c>
      <c r="I399">
        <v>30</v>
      </c>
      <c r="J399">
        <v>6.6666666666666696</v>
      </c>
      <c r="K399">
        <v>4273000000</v>
      </c>
      <c r="L399">
        <v>5.7991999999999999</v>
      </c>
      <c r="M399">
        <v>24779981.600000001</v>
      </c>
      <c r="N399">
        <v>11386000</v>
      </c>
      <c r="O399">
        <v>14014000</v>
      </c>
      <c r="P399">
        <v>976420</v>
      </c>
      <c r="Q399">
        <v>2.5807036963036998</v>
      </c>
      <c r="R399">
        <v>16.455567387912598</v>
      </c>
      <c r="S399">
        <v>0.81247324104467</v>
      </c>
      <c r="T399">
        <v>6.9674611103182502E-2</v>
      </c>
      <c r="U399">
        <v>1957</v>
      </c>
      <c r="V399">
        <v>68</v>
      </c>
      <c r="Y399">
        <v>0</v>
      </c>
      <c r="Z399" t="s">
        <v>975</v>
      </c>
      <c r="AA399" t="s">
        <v>1612</v>
      </c>
    </row>
    <row r="400" spans="1:27" ht="15" customHeight="1" x14ac:dyDescent="0.3">
      <c r="A400">
        <v>446</v>
      </c>
      <c r="B400">
        <v>90</v>
      </c>
      <c r="C400" t="s">
        <v>1135</v>
      </c>
      <c r="D400" t="s">
        <v>1136</v>
      </c>
      <c r="E400" t="s">
        <v>709</v>
      </c>
      <c r="F400">
        <v>2021</v>
      </c>
      <c r="G400">
        <v>0</v>
      </c>
      <c r="H400">
        <v>0</v>
      </c>
      <c r="I400">
        <v>10</v>
      </c>
      <c r="J400">
        <v>0</v>
      </c>
      <c r="K400">
        <v>5016000000</v>
      </c>
      <c r="L400">
        <v>4.4996</v>
      </c>
      <c r="M400">
        <v>22569993.600000001</v>
      </c>
      <c r="N400">
        <v>15348000</v>
      </c>
      <c r="O400">
        <v>38257000</v>
      </c>
      <c r="P400">
        <v>4432000</v>
      </c>
      <c r="Q400">
        <v>0.99113870925582304</v>
      </c>
      <c r="R400">
        <v>17.459837108029099</v>
      </c>
      <c r="S400">
        <v>0.40118148312727098</v>
      </c>
      <c r="T400">
        <v>0.115848080089918</v>
      </c>
      <c r="U400">
        <v>1948</v>
      </c>
      <c r="V400">
        <v>73</v>
      </c>
      <c r="Y400">
        <v>1</v>
      </c>
      <c r="Z400" t="s">
        <v>727</v>
      </c>
      <c r="AA400" t="s">
        <v>1614</v>
      </c>
    </row>
    <row r="401" spans="1:27" ht="15" customHeight="1" x14ac:dyDescent="0.3">
      <c r="A401">
        <v>447</v>
      </c>
      <c r="B401">
        <v>90</v>
      </c>
      <c r="C401" t="s">
        <v>1135</v>
      </c>
      <c r="D401" t="s">
        <v>1136</v>
      </c>
      <c r="E401" t="s">
        <v>709</v>
      </c>
      <c r="F401">
        <v>2022</v>
      </c>
      <c r="G401">
        <v>0</v>
      </c>
      <c r="H401">
        <v>0</v>
      </c>
      <c r="I401">
        <v>10</v>
      </c>
      <c r="J401">
        <v>0</v>
      </c>
      <c r="K401">
        <v>5016000000</v>
      </c>
      <c r="L401">
        <v>4.4996</v>
      </c>
      <c r="M401">
        <v>22569993.600000001</v>
      </c>
      <c r="N401">
        <v>17186000</v>
      </c>
      <c r="O401">
        <v>44201000</v>
      </c>
      <c r="P401">
        <v>5401000</v>
      </c>
      <c r="Q401">
        <v>0.89943651953575698</v>
      </c>
      <c r="R401">
        <v>17.604257971226399</v>
      </c>
      <c r="S401">
        <v>0.38881473269835498</v>
      </c>
      <c r="T401">
        <v>0.122191805615258</v>
      </c>
      <c r="U401">
        <v>1948</v>
      </c>
      <c r="V401">
        <v>74</v>
      </c>
      <c r="Y401">
        <v>1</v>
      </c>
      <c r="Z401" t="s">
        <v>727</v>
      </c>
      <c r="AA401" t="s">
        <v>1614</v>
      </c>
    </row>
    <row r="402" spans="1:27" ht="15" customHeight="1" x14ac:dyDescent="0.3">
      <c r="A402">
        <v>448</v>
      </c>
      <c r="B402">
        <v>90</v>
      </c>
      <c r="C402" t="s">
        <v>1135</v>
      </c>
      <c r="D402" t="s">
        <v>1136</v>
      </c>
      <c r="E402" t="s">
        <v>709</v>
      </c>
      <c r="F402">
        <v>2023</v>
      </c>
      <c r="G402">
        <v>1</v>
      </c>
      <c r="H402">
        <v>0</v>
      </c>
      <c r="I402">
        <v>10</v>
      </c>
      <c r="J402">
        <v>0</v>
      </c>
      <c r="K402">
        <v>5016000000</v>
      </c>
      <c r="L402">
        <v>6.2998000000000003</v>
      </c>
      <c r="M402">
        <v>31599796.800000001</v>
      </c>
      <c r="N402">
        <v>35930000</v>
      </c>
      <c r="O402">
        <v>74468000</v>
      </c>
      <c r="P402">
        <v>13021000</v>
      </c>
      <c r="Q402">
        <v>0.90682973626255603</v>
      </c>
      <c r="R402">
        <v>18.1258800608739</v>
      </c>
      <c r="S402">
        <v>0.48248912284471202</v>
      </c>
      <c r="T402">
        <v>0.174853628404147</v>
      </c>
      <c r="U402">
        <v>1948</v>
      </c>
      <c r="V402">
        <v>75</v>
      </c>
      <c r="Y402">
        <v>1</v>
      </c>
      <c r="Z402" t="s">
        <v>727</v>
      </c>
      <c r="AA402" t="s">
        <v>1614</v>
      </c>
    </row>
    <row r="403" spans="1:27" ht="15" customHeight="1" x14ac:dyDescent="0.3">
      <c r="A403">
        <v>449</v>
      </c>
      <c r="B403">
        <v>90</v>
      </c>
      <c r="C403" t="s">
        <v>1135</v>
      </c>
      <c r="D403" t="s">
        <v>1136</v>
      </c>
      <c r="E403" t="s">
        <v>709</v>
      </c>
      <c r="F403">
        <v>2024</v>
      </c>
      <c r="G403">
        <v>1</v>
      </c>
      <c r="H403">
        <v>0</v>
      </c>
      <c r="I403">
        <v>10</v>
      </c>
      <c r="J403">
        <v>0</v>
      </c>
      <c r="K403">
        <v>5016000000</v>
      </c>
      <c r="L403">
        <v>10.951000000000001</v>
      </c>
      <c r="M403">
        <v>54930216</v>
      </c>
      <c r="N403">
        <v>58793000</v>
      </c>
      <c r="O403">
        <v>124232000</v>
      </c>
      <c r="P403">
        <v>29214000</v>
      </c>
      <c r="Q403">
        <v>0.91541000708352105</v>
      </c>
      <c r="R403">
        <v>18.637661343231201</v>
      </c>
      <c r="S403">
        <v>0.47325165818790699</v>
      </c>
      <c r="T403">
        <v>0.23515680340008999</v>
      </c>
      <c r="U403">
        <v>1948</v>
      </c>
      <c r="V403">
        <v>76</v>
      </c>
      <c r="Y403">
        <v>1</v>
      </c>
      <c r="Z403" t="s">
        <v>727</v>
      </c>
      <c r="AA403" t="s">
        <v>1614</v>
      </c>
    </row>
    <row r="404" spans="1:27" ht="15" customHeight="1" x14ac:dyDescent="0.3">
      <c r="A404">
        <v>450</v>
      </c>
      <c r="B404">
        <v>90</v>
      </c>
      <c r="C404" t="s">
        <v>1135</v>
      </c>
      <c r="D404" t="s">
        <v>1136</v>
      </c>
      <c r="E404" t="s">
        <v>709</v>
      </c>
      <c r="F404">
        <v>2025</v>
      </c>
      <c r="G404">
        <v>1</v>
      </c>
      <c r="H404">
        <v>0</v>
      </c>
      <c r="I404">
        <v>10</v>
      </c>
      <c r="J404">
        <v>0</v>
      </c>
      <c r="K404">
        <v>5016000000</v>
      </c>
      <c r="L404">
        <v>26.802199999999999</v>
      </c>
      <c r="M404">
        <v>134439835.19999999</v>
      </c>
      <c r="N404">
        <v>101582000</v>
      </c>
      <c r="O404">
        <v>186040000</v>
      </c>
      <c r="P404">
        <v>23833000</v>
      </c>
      <c r="Q404">
        <v>1.2686617673618601</v>
      </c>
      <c r="R404">
        <v>19.041472262320202</v>
      </c>
      <c r="S404">
        <v>0.546022360782627</v>
      </c>
      <c r="T404">
        <v>0.12810685874005601</v>
      </c>
      <c r="U404">
        <v>1948</v>
      </c>
      <c r="V404">
        <v>77</v>
      </c>
      <c r="Y404">
        <v>1</v>
      </c>
      <c r="Z404" t="s">
        <v>727</v>
      </c>
      <c r="AA404" t="s">
        <v>1614</v>
      </c>
    </row>
    <row r="405" spans="1:27" ht="15" customHeight="1" x14ac:dyDescent="0.3">
      <c r="A405">
        <v>451</v>
      </c>
      <c r="B405">
        <v>91</v>
      </c>
      <c r="C405" t="s">
        <v>1139</v>
      </c>
      <c r="D405" t="s">
        <v>1140</v>
      </c>
      <c r="E405" t="s">
        <v>806</v>
      </c>
      <c r="F405">
        <v>2021</v>
      </c>
      <c r="G405">
        <v>0</v>
      </c>
      <c r="H405">
        <v>0</v>
      </c>
      <c r="I405">
        <v>30</v>
      </c>
      <c r="J405">
        <v>0</v>
      </c>
      <c r="K405">
        <v>792660000</v>
      </c>
      <c r="L405">
        <v>1551.7372</v>
      </c>
      <c r="M405">
        <v>1230000008.9519999</v>
      </c>
      <c r="N405">
        <v>288860000</v>
      </c>
      <c r="O405">
        <v>310239000</v>
      </c>
      <c r="P405">
        <v>40037000</v>
      </c>
      <c r="Q405">
        <v>4.8957739322006599</v>
      </c>
      <c r="R405">
        <v>19.5528535261424</v>
      </c>
      <c r="S405">
        <v>0.93108861232791496</v>
      </c>
      <c r="T405">
        <v>0.129052117883309</v>
      </c>
      <c r="U405">
        <v>1961</v>
      </c>
      <c r="V405">
        <v>60</v>
      </c>
      <c r="Y405">
        <v>1</v>
      </c>
      <c r="Z405" t="s">
        <v>722</v>
      </c>
      <c r="AA405" t="s">
        <v>1615</v>
      </c>
    </row>
    <row r="406" spans="1:27" ht="15" customHeight="1" x14ac:dyDescent="0.3">
      <c r="A406">
        <v>452</v>
      </c>
      <c r="B406">
        <v>91</v>
      </c>
      <c r="C406" t="s">
        <v>1139</v>
      </c>
      <c r="D406" t="s">
        <v>1140</v>
      </c>
      <c r="E406" t="s">
        <v>806</v>
      </c>
      <c r="F406">
        <v>2022</v>
      </c>
      <c r="G406">
        <v>0</v>
      </c>
      <c r="H406">
        <v>0</v>
      </c>
      <c r="I406">
        <v>30</v>
      </c>
      <c r="J406">
        <v>0</v>
      </c>
      <c r="K406">
        <v>792660000</v>
      </c>
      <c r="L406">
        <v>1099.9924000000001</v>
      </c>
      <c r="M406">
        <v>871919975.78400004</v>
      </c>
      <c r="N406">
        <v>384753000</v>
      </c>
      <c r="O406">
        <v>415044000</v>
      </c>
      <c r="P406">
        <v>48965000</v>
      </c>
      <c r="Q406">
        <v>3.0278066320293799</v>
      </c>
      <c r="R406">
        <v>19.843895096671201</v>
      </c>
      <c r="S406">
        <v>0.92701737647092797</v>
      </c>
      <c r="T406">
        <v>0.11797544356742901</v>
      </c>
      <c r="U406">
        <v>1961</v>
      </c>
      <c r="V406">
        <v>61</v>
      </c>
      <c r="Y406">
        <v>1</v>
      </c>
      <c r="Z406" t="s">
        <v>722</v>
      </c>
      <c r="AA406" t="s">
        <v>1615</v>
      </c>
    </row>
    <row r="407" spans="1:27" ht="15" customHeight="1" x14ac:dyDescent="0.3">
      <c r="A407">
        <v>453</v>
      </c>
      <c r="B407">
        <v>91</v>
      </c>
      <c r="C407" t="s">
        <v>1139</v>
      </c>
      <c r="D407" t="s">
        <v>1140</v>
      </c>
      <c r="E407" t="s">
        <v>806</v>
      </c>
      <c r="F407">
        <v>2023</v>
      </c>
      <c r="G407">
        <v>1</v>
      </c>
      <c r="H407">
        <v>0</v>
      </c>
      <c r="I407">
        <v>30</v>
      </c>
      <c r="J407">
        <v>0</v>
      </c>
      <c r="K407">
        <v>792660000</v>
      </c>
      <c r="L407">
        <v>1099.9924000000001</v>
      </c>
      <c r="M407">
        <v>871919975.78400004</v>
      </c>
      <c r="N407">
        <v>659810000</v>
      </c>
      <c r="O407">
        <v>581774000</v>
      </c>
      <c r="P407">
        <v>-79474000</v>
      </c>
      <c r="Q407">
        <v>2.6328608287479298</v>
      </c>
      <c r="R407">
        <v>20.181592614130299</v>
      </c>
      <c r="S407">
        <v>1.1341345608432101</v>
      </c>
      <c r="T407">
        <v>-0.136606311041745</v>
      </c>
      <c r="U407">
        <v>1961</v>
      </c>
      <c r="V407">
        <v>62</v>
      </c>
      <c r="Y407">
        <v>1</v>
      </c>
      <c r="Z407" t="s">
        <v>722</v>
      </c>
      <c r="AA407" t="s">
        <v>1616</v>
      </c>
    </row>
    <row r="408" spans="1:27" ht="15" customHeight="1" x14ac:dyDescent="0.3">
      <c r="A408">
        <v>454</v>
      </c>
      <c r="B408">
        <v>91</v>
      </c>
      <c r="C408" t="s">
        <v>1139</v>
      </c>
      <c r="D408" t="s">
        <v>1140</v>
      </c>
      <c r="E408" t="s">
        <v>806</v>
      </c>
      <c r="F408">
        <v>2024</v>
      </c>
      <c r="G408">
        <v>1</v>
      </c>
      <c r="H408">
        <v>0</v>
      </c>
      <c r="I408">
        <v>30</v>
      </c>
      <c r="J408">
        <v>0</v>
      </c>
      <c r="K408">
        <v>792660000</v>
      </c>
      <c r="L408">
        <v>874.9905</v>
      </c>
      <c r="M408">
        <v>693569969.73000002</v>
      </c>
      <c r="N408">
        <v>950988000</v>
      </c>
      <c r="O408">
        <v>858698000</v>
      </c>
      <c r="P408">
        <v>-164595000</v>
      </c>
      <c r="Q408">
        <v>1.9151761966721701</v>
      </c>
      <c r="R408">
        <v>20.570927846537899</v>
      </c>
      <c r="S408">
        <v>1.1074766681650601</v>
      </c>
      <c r="T408">
        <v>-0.19167972907820899</v>
      </c>
      <c r="U408">
        <v>1961</v>
      </c>
      <c r="V408">
        <v>63</v>
      </c>
      <c r="Y408">
        <v>1</v>
      </c>
      <c r="Z408" t="s">
        <v>722</v>
      </c>
      <c r="AA408" t="s">
        <v>1616</v>
      </c>
    </row>
    <row r="409" spans="1:27" ht="15" customHeight="1" x14ac:dyDescent="0.3">
      <c r="A409">
        <v>455</v>
      </c>
      <c r="B409">
        <v>91</v>
      </c>
      <c r="C409" t="s">
        <v>1139</v>
      </c>
      <c r="D409" t="s">
        <v>1140</v>
      </c>
      <c r="E409" t="s">
        <v>806</v>
      </c>
      <c r="F409">
        <v>2025</v>
      </c>
      <c r="G409">
        <v>1</v>
      </c>
      <c r="H409">
        <v>0</v>
      </c>
      <c r="I409">
        <v>30</v>
      </c>
      <c r="J409">
        <v>0</v>
      </c>
      <c r="K409">
        <v>792660000</v>
      </c>
      <c r="L409">
        <v>1955.4412</v>
      </c>
      <c r="M409">
        <v>1550000021.592</v>
      </c>
      <c r="N409">
        <v>833269000</v>
      </c>
      <c r="O409">
        <v>846160000</v>
      </c>
      <c r="P409">
        <v>104966000</v>
      </c>
      <c r="Q409">
        <v>2.8165701777347101</v>
      </c>
      <c r="R409">
        <v>20.556219024984099</v>
      </c>
      <c r="S409">
        <v>0.98476529261605406</v>
      </c>
      <c r="T409">
        <v>0.124049825092181</v>
      </c>
      <c r="U409">
        <v>1961</v>
      </c>
      <c r="V409">
        <v>64</v>
      </c>
      <c r="Y409">
        <v>1</v>
      </c>
      <c r="Z409" t="s">
        <v>722</v>
      </c>
      <c r="AA409" t="s">
        <v>1615</v>
      </c>
    </row>
    <row r="410" spans="1:27" ht="15" customHeight="1" x14ac:dyDescent="0.3">
      <c r="A410">
        <v>456</v>
      </c>
      <c r="B410">
        <v>92</v>
      </c>
      <c r="C410" t="s">
        <v>1143</v>
      </c>
      <c r="D410" t="s">
        <v>1144</v>
      </c>
      <c r="E410" t="s">
        <v>709</v>
      </c>
      <c r="F410">
        <v>2021</v>
      </c>
      <c r="G410">
        <v>0</v>
      </c>
      <c r="H410">
        <v>0</v>
      </c>
      <c r="I410">
        <v>25</v>
      </c>
      <c r="J410">
        <v>0</v>
      </c>
      <c r="K410">
        <v>2619000000</v>
      </c>
      <c r="L410">
        <v>14.9255</v>
      </c>
      <c r="M410">
        <v>39089884.5</v>
      </c>
      <c r="N410">
        <v>3755000</v>
      </c>
      <c r="O410">
        <v>37869000</v>
      </c>
      <c r="P410">
        <v>2248000</v>
      </c>
      <c r="Q410">
        <v>1.13139730386332</v>
      </c>
      <c r="R410">
        <v>17.4496433934031</v>
      </c>
      <c r="S410">
        <v>9.9157622329610007E-2</v>
      </c>
      <c r="T410">
        <v>5.9362539280149999E-2</v>
      </c>
      <c r="U410">
        <v>1960</v>
      </c>
      <c r="V410">
        <v>61</v>
      </c>
      <c r="Y410">
        <v>1</v>
      </c>
      <c r="Z410" t="s">
        <v>722</v>
      </c>
      <c r="AA410" t="s">
        <v>1617</v>
      </c>
    </row>
    <row r="411" spans="1:27" ht="15" customHeight="1" x14ac:dyDescent="0.3">
      <c r="A411">
        <v>457</v>
      </c>
      <c r="B411">
        <v>92</v>
      </c>
      <c r="C411" t="s">
        <v>1143</v>
      </c>
      <c r="D411" t="s">
        <v>1144</v>
      </c>
      <c r="E411" t="s">
        <v>709</v>
      </c>
      <c r="F411">
        <v>2022</v>
      </c>
      <c r="G411">
        <v>0</v>
      </c>
      <c r="H411">
        <v>0</v>
      </c>
      <c r="I411">
        <v>25</v>
      </c>
      <c r="J411">
        <v>0</v>
      </c>
      <c r="K411">
        <v>2939000000</v>
      </c>
      <c r="L411">
        <v>16.740400000000001</v>
      </c>
      <c r="M411">
        <v>49200035.600000001</v>
      </c>
      <c r="N411">
        <v>20256000</v>
      </c>
      <c r="O411">
        <v>57063000</v>
      </c>
      <c r="P411">
        <v>591510</v>
      </c>
      <c r="Q411">
        <v>1.2171816343339801</v>
      </c>
      <c r="R411">
        <v>17.859666478603099</v>
      </c>
      <c r="S411">
        <v>0.35497607907050099</v>
      </c>
      <c r="T411">
        <v>1.03659113611272E-2</v>
      </c>
      <c r="U411">
        <v>1960</v>
      </c>
      <c r="V411">
        <v>62</v>
      </c>
      <c r="Y411">
        <v>1</v>
      </c>
      <c r="Z411" t="s">
        <v>722</v>
      </c>
      <c r="AA411" t="s">
        <v>1618</v>
      </c>
    </row>
    <row r="412" spans="1:27" ht="15" customHeight="1" x14ac:dyDescent="0.3">
      <c r="A412">
        <v>458</v>
      </c>
      <c r="B412">
        <v>92</v>
      </c>
      <c r="C412" t="s">
        <v>1143</v>
      </c>
      <c r="D412" t="s">
        <v>1144</v>
      </c>
      <c r="E412" t="s">
        <v>709</v>
      </c>
      <c r="F412">
        <v>2023</v>
      </c>
      <c r="G412">
        <v>1</v>
      </c>
      <c r="H412">
        <v>0</v>
      </c>
      <c r="I412">
        <v>25</v>
      </c>
      <c r="J412">
        <v>0</v>
      </c>
      <c r="K412">
        <v>2939000000</v>
      </c>
      <c r="L412">
        <v>17.628399999999999</v>
      </c>
      <c r="M412">
        <v>51809867.600000001</v>
      </c>
      <c r="N412">
        <v>20378000</v>
      </c>
      <c r="O412">
        <v>59841000</v>
      </c>
      <c r="P412">
        <v>5251000</v>
      </c>
      <c r="Q412">
        <v>1.2063278955899801</v>
      </c>
      <c r="R412">
        <v>17.9072016027208</v>
      </c>
      <c r="S412">
        <v>0.34053575307899298</v>
      </c>
      <c r="T412">
        <v>8.7749202052104805E-2</v>
      </c>
      <c r="U412">
        <v>1960</v>
      </c>
      <c r="V412">
        <v>63</v>
      </c>
      <c r="Y412">
        <v>1</v>
      </c>
      <c r="Z412" t="s">
        <v>722</v>
      </c>
      <c r="AA412" t="s">
        <v>1617</v>
      </c>
    </row>
    <row r="413" spans="1:27" ht="15" customHeight="1" x14ac:dyDescent="0.3">
      <c r="A413">
        <v>459</v>
      </c>
      <c r="B413">
        <v>92</v>
      </c>
      <c r="C413" t="s">
        <v>1143</v>
      </c>
      <c r="D413" t="s">
        <v>1144</v>
      </c>
      <c r="E413" t="s">
        <v>709</v>
      </c>
      <c r="F413">
        <v>2024</v>
      </c>
      <c r="G413">
        <v>1</v>
      </c>
      <c r="H413">
        <v>0</v>
      </c>
      <c r="I413">
        <v>25</v>
      </c>
      <c r="J413">
        <v>0</v>
      </c>
      <c r="K413">
        <v>2939000000</v>
      </c>
      <c r="L413">
        <v>20.442299999999999</v>
      </c>
      <c r="M413">
        <v>60079919.700000003</v>
      </c>
      <c r="N413">
        <v>19493000</v>
      </c>
      <c r="O413">
        <v>68040000</v>
      </c>
      <c r="P413">
        <v>9920000</v>
      </c>
      <c r="Q413">
        <v>1.1695020532039999</v>
      </c>
      <c r="R413">
        <v>18.035606325491901</v>
      </c>
      <c r="S413">
        <v>0.286493239271017</v>
      </c>
      <c r="T413">
        <v>0.145796590241035</v>
      </c>
      <c r="U413">
        <v>1960</v>
      </c>
      <c r="V413">
        <v>64</v>
      </c>
      <c r="Y413">
        <v>1</v>
      </c>
      <c r="Z413" t="s">
        <v>722</v>
      </c>
      <c r="AA413" t="s">
        <v>1617</v>
      </c>
    </row>
    <row r="414" spans="1:27" ht="15" customHeight="1" x14ac:dyDescent="0.3">
      <c r="A414">
        <v>460</v>
      </c>
      <c r="B414">
        <v>92</v>
      </c>
      <c r="C414" t="s">
        <v>1143</v>
      </c>
      <c r="D414" t="s">
        <v>1144</v>
      </c>
      <c r="E414" t="s">
        <v>709</v>
      </c>
      <c r="F414">
        <v>2025</v>
      </c>
      <c r="G414">
        <v>1</v>
      </c>
      <c r="H414">
        <v>0</v>
      </c>
      <c r="I414">
        <v>35</v>
      </c>
      <c r="J414">
        <v>6.6666666666666696</v>
      </c>
      <c r="K414">
        <v>2939000000</v>
      </c>
      <c r="L414">
        <v>52.5077</v>
      </c>
      <c r="M414">
        <v>154320130.30000001</v>
      </c>
      <c r="N414">
        <v>15846000</v>
      </c>
      <c r="O414">
        <v>71050000</v>
      </c>
      <c r="P414">
        <v>10479000</v>
      </c>
      <c r="Q414">
        <v>2.39501942716397</v>
      </c>
      <c r="R414">
        <v>18.078894412507399</v>
      </c>
      <c r="S414">
        <v>0.223026038001407</v>
      </c>
      <c r="T414">
        <v>0.14748768472906401</v>
      </c>
      <c r="U414">
        <v>1960</v>
      </c>
      <c r="V414">
        <v>65</v>
      </c>
      <c r="Y414">
        <v>1</v>
      </c>
      <c r="Z414" t="s">
        <v>722</v>
      </c>
      <c r="AA414" t="s">
        <v>1617</v>
      </c>
    </row>
    <row r="415" spans="1:27" ht="15" customHeight="1" x14ac:dyDescent="0.3">
      <c r="A415">
        <v>463</v>
      </c>
      <c r="B415">
        <v>93</v>
      </c>
      <c r="C415" t="s">
        <v>1147</v>
      </c>
      <c r="D415" t="s">
        <v>1148</v>
      </c>
      <c r="E415" t="s">
        <v>780</v>
      </c>
      <c r="F415">
        <v>2023</v>
      </c>
      <c r="G415">
        <v>1</v>
      </c>
      <c r="H415">
        <v>0</v>
      </c>
      <c r="I415">
        <v>65</v>
      </c>
      <c r="J415">
        <v>26.6666666666667</v>
      </c>
      <c r="K415">
        <v>960649000</v>
      </c>
      <c r="L415">
        <v>107.54</v>
      </c>
      <c r="M415">
        <v>103308193.45999999</v>
      </c>
      <c r="N415">
        <v>4491893</v>
      </c>
      <c r="O415">
        <v>107797894</v>
      </c>
      <c r="P415">
        <v>20400000</v>
      </c>
      <c r="Q415">
        <v>1.0000203386162601</v>
      </c>
      <c r="R415">
        <v>18.495768680070199</v>
      </c>
      <c r="S415">
        <v>4.1669580298108598E-2</v>
      </c>
      <c r="T415">
        <v>0.18924302918199901</v>
      </c>
      <c r="U415">
        <v>2017</v>
      </c>
      <c r="V415">
        <v>6</v>
      </c>
      <c r="Y415">
        <v>1</v>
      </c>
      <c r="Z415" t="s">
        <v>1150</v>
      </c>
      <c r="AA415" t="s">
        <v>1619</v>
      </c>
    </row>
    <row r="416" spans="1:27" ht="15" customHeight="1" x14ac:dyDescent="0.3">
      <c r="A416">
        <v>464</v>
      </c>
      <c r="B416">
        <v>93</v>
      </c>
      <c r="C416" t="s">
        <v>1147</v>
      </c>
      <c r="D416" t="s">
        <v>1148</v>
      </c>
      <c r="E416" t="s">
        <v>780</v>
      </c>
      <c r="F416">
        <v>2024</v>
      </c>
      <c r="G416">
        <v>1</v>
      </c>
      <c r="H416">
        <v>0</v>
      </c>
      <c r="I416">
        <v>65</v>
      </c>
      <c r="J416">
        <v>26.6666666666667</v>
      </c>
      <c r="K416">
        <v>1055000000</v>
      </c>
      <c r="L416">
        <v>107.79</v>
      </c>
      <c r="M416">
        <v>113718450</v>
      </c>
      <c r="N416">
        <v>6990000</v>
      </c>
      <c r="O416">
        <v>120740000</v>
      </c>
      <c r="P416">
        <v>19590000</v>
      </c>
      <c r="Q416">
        <v>0.99973869471591903</v>
      </c>
      <c r="R416">
        <v>18.6091500313326</v>
      </c>
      <c r="S416">
        <v>5.7892993208547301E-2</v>
      </c>
      <c r="T416">
        <v>0.162249461653139</v>
      </c>
      <c r="U416">
        <v>2017</v>
      </c>
      <c r="V416">
        <v>7</v>
      </c>
      <c r="Y416">
        <v>1</v>
      </c>
      <c r="Z416" t="s">
        <v>1150</v>
      </c>
      <c r="AA416" t="s">
        <v>1620</v>
      </c>
    </row>
    <row r="417" spans="1:27" ht="15" customHeight="1" x14ac:dyDescent="0.3">
      <c r="A417">
        <v>465</v>
      </c>
      <c r="B417">
        <v>93</v>
      </c>
      <c r="C417" t="s">
        <v>1147</v>
      </c>
      <c r="D417" t="s">
        <v>1148</v>
      </c>
      <c r="E417" t="s">
        <v>780</v>
      </c>
      <c r="F417">
        <v>2025</v>
      </c>
      <c r="G417">
        <v>1</v>
      </c>
      <c r="H417">
        <v>0</v>
      </c>
      <c r="I417">
        <v>65</v>
      </c>
      <c r="J417">
        <v>26.6666666666667</v>
      </c>
      <c r="K417">
        <v>1196000000</v>
      </c>
      <c r="L417">
        <v>109.12</v>
      </c>
      <c r="M417">
        <v>130507520</v>
      </c>
      <c r="N417">
        <v>7240000</v>
      </c>
      <c r="O417">
        <v>137790000</v>
      </c>
      <c r="P417">
        <v>23630000</v>
      </c>
      <c r="Q417">
        <v>0.99969170476812497</v>
      </c>
      <c r="R417">
        <v>18.741241344970099</v>
      </c>
      <c r="S417">
        <v>5.2543725959793897E-2</v>
      </c>
      <c r="T417">
        <v>0.171492851440598</v>
      </c>
      <c r="U417">
        <v>2017</v>
      </c>
      <c r="V417">
        <v>8</v>
      </c>
      <c r="Y417">
        <v>1</v>
      </c>
      <c r="Z417" t="s">
        <v>1150</v>
      </c>
      <c r="AA417" t="s">
        <v>1620</v>
      </c>
    </row>
    <row r="418" spans="1:27" ht="15" customHeight="1" x14ac:dyDescent="0.3">
      <c r="A418">
        <v>466</v>
      </c>
      <c r="B418">
        <v>94</v>
      </c>
      <c r="C418" t="s">
        <v>1152</v>
      </c>
      <c r="D418" t="s">
        <v>1153</v>
      </c>
      <c r="E418" t="s">
        <v>806</v>
      </c>
      <c r="F418">
        <v>2021</v>
      </c>
      <c r="G418">
        <v>0</v>
      </c>
      <c r="H418">
        <v>0</v>
      </c>
      <c r="I418">
        <v>5</v>
      </c>
      <c r="J418">
        <v>0</v>
      </c>
      <c r="K418">
        <v>178200000</v>
      </c>
      <c r="L418">
        <v>8.0246999999999993</v>
      </c>
      <c r="M418">
        <v>1430001.54</v>
      </c>
      <c r="N418">
        <v>4577449</v>
      </c>
      <c r="O418">
        <v>7365270</v>
      </c>
      <c r="P418">
        <v>69919</v>
      </c>
      <c r="Q418">
        <v>0.81564566404218697</v>
      </c>
      <c r="R418">
        <v>15.8122862670847</v>
      </c>
      <c r="S418">
        <v>0.62149099761448001</v>
      </c>
      <c r="T418">
        <v>9.4930667850601502E-3</v>
      </c>
      <c r="U418">
        <v>1971</v>
      </c>
      <c r="V418">
        <v>50</v>
      </c>
      <c r="Y418">
        <v>1</v>
      </c>
      <c r="Z418" t="s">
        <v>1154</v>
      </c>
      <c r="AA418" t="s">
        <v>1621</v>
      </c>
    </row>
    <row r="419" spans="1:27" ht="15" customHeight="1" x14ac:dyDescent="0.3">
      <c r="A419">
        <v>467</v>
      </c>
      <c r="B419">
        <v>94</v>
      </c>
      <c r="C419" t="s">
        <v>1152</v>
      </c>
      <c r="D419" t="s">
        <v>1153</v>
      </c>
      <c r="E419" t="s">
        <v>806</v>
      </c>
      <c r="F419">
        <v>2022</v>
      </c>
      <c r="G419">
        <v>0</v>
      </c>
      <c r="H419">
        <v>0</v>
      </c>
      <c r="I419">
        <v>5</v>
      </c>
      <c r="J419">
        <v>0</v>
      </c>
      <c r="K419">
        <v>178200000</v>
      </c>
      <c r="L419">
        <v>8.0246999999999993</v>
      </c>
      <c r="M419">
        <v>1430001.54</v>
      </c>
      <c r="N419">
        <v>10461000</v>
      </c>
      <c r="O419">
        <v>13315000</v>
      </c>
      <c r="P419">
        <v>80670</v>
      </c>
      <c r="Q419">
        <v>0.89305306346226099</v>
      </c>
      <c r="R419">
        <v>16.404401777230198</v>
      </c>
      <c r="S419">
        <v>0.78565527600450602</v>
      </c>
      <c r="T419">
        <v>6.0585805482538503E-3</v>
      </c>
      <c r="U419">
        <v>1971</v>
      </c>
      <c r="V419">
        <v>51</v>
      </c>
      <c r="Y419">
        <v>1</v>
      </c>
      <c r="Z419" t="s">
        <v>1154</v>
      </c>
      <c r="AA419" t="s">
        <v>1622</v>
      </c>
    </row>
    <row r="420" spans="1:27" ht="15" customHeight="1" x14ac:dyDescent="0.3">
      <c r="A420">
        <v>468</v>
      </c>
      <c r="B420">
        <v>94</v>
      </c>
      <c r="C420" t="s">
        <v>1152</v>
      </c>
      <c r="D420" t="s">
        <v>1153</v>
      </c>
      <c r="E420" t="s">
        <v>806</v>
      </c>
      <c r="F420">
        <v>2023</v>
      </c>
      <c r="G420">
        <v>1</v>
      </c>
      <c r="H420">
        <v>0</v>
      </c>
      <c r="I420">
        <v>5</v>
      </c>
      <c r="J420">
        <v>0</v>
      </c>
      <c r="K420">
        <v>179420000</v>
      </c>
      <c r="L420">
        <v>6.1308999999999996</v>
      </c>
      <c r="M420">
        <v>1100006.078</v>
      </c>
      <c r="N420">
        <v>11248000</v>
      </c>
      <c r="O420">
        <v>17828000</v>
      </c>
      <c r="P420">
        <v>272820</v>
      </c>
      <c r="Q420">
        <v>0.69261869407673304</v>
      </c>
      <c r="R420">
        <v>16.696280813048599</v>
      </c>
      <c r="S420">
        <v>0.63091765761723095</v>
      </c>
      <c r="T420">
        <v>1.5302894323535999E-2</v>
      </c>
      <c r="U420">
        <v>1971</v>
      </c>
      <c r="V420">
        <v>52</v>
      </c>
      <c r="Y420">
        <v>1</v>
      </c>
      <c r="Z420" t="s">
        <v>1154</v>
      </c>
      <c r="AA420" t="s">
        <v>1623</v>
      </c>
    </row>
    <row r="421" spans="1:27" ht="15" customHeight="1" x14ac:dyDescent="0.3">
      <c r="A421">
        <v>469</v>
      </c>
      <c r="B421">
        <v>94</v>
      </c>
      <c r="C421" t="s">
        <v>1152</v>
      </c>
      <c r="D421" t="s">
        <v>1153</v>
      </c>
      <c r="E421" t="s">
        <v>806</v>
      </c>
      <c r="F421">
        <v>2024</v>
      </c>
      <c r="G421">
        <v>1</v>
      </c>
      <c r="H421">
        <v>0</v>
      </c>
      <c r="I421">
        <v>5</v>
      </c>
      <c r="J421">
        <v>0</v>
      </c>
      <c r="K421">
        <v>178200000</v>
      </c>
      <c r="L421">
        <v>45.5107</v>
      </c>
      <c r="M421">
        <v>8110006.7400000002</v>
      </c>
      <c r="N421">
        <v>9847000</v>
      </c>
      <c r="O421">
        <v>17924000</v>
      </c>
      <c r="P421">
        <v>1526000</v>
      </c>
      <c r="Q421">
        <v>1.0018414829279201</v>
      </c>
      <c r="R421">
        <v>16.7016511548882</v>
      </c>
      <c r="S421">
        <v>0.54937513947779504</v>
      </c>
      <c r="T421">
        <v>8.5137246150412904E-2</v>
      </c>
      <c r="U421">
        <v>1971</v>
      </c>
      <c r="V421">
        <v>53</v>
      </c>
      <c r="Y421">
        <v>1</v>
      </c>
      <c r="Z421" t="s">
        <v>1154</v>
      </c>
      <c r="AA421" t="s">
        <v>1622</v>
      </c>
    </row>
    <row r="422" spans="1:27" ht="15" customHeight="1" x14ac:dyDescent="0.3">
      <c r="A422">
        <v>470</v>
      </c>
      <c r="B422">
        <v>94</v>
      </c>
      <c r="C422" t="s">
        <v>1152</v>
      </c>
      <c r="D422" t="s">
        <v>1153</v>
      </c>
      <c r="E422" t="s">
        <v>806</v>
      </c>
      <c r="F422">
        <v>2025</v>
      </c>
      <c r="G422">
        <v>1</v>
      </c>
      <c r="H422">
        <v>0</v>
      </c>
      <c r="I422">
        <v>5</v>
      </c>
      <c r="J422">
        <v>0</v>
      </c>
      <c r="K422">
        <v>178200000</v>
      </c>
      <c r="L422">
        <v>43.883299999999998</v>
      </c>
      <c r="M422">
        <v>7820004.0599999996</v>
      </c>
      <c r="N422">
        <v>20856000</v>
      </c>
      <c r="O422">
        <v>30549000</v>
      </c>
      <c r="P422">
        <v>1745000</v>
      </c>
      <c r="Q422">
        <v>0.93868879701463204</v>
      </c>
      <c r="R422">
        <v>17.234842509821899</v>
      </c>
      <c r="S422">
        <v>0.68270647157026398</v>
      </c>
      <c r="T422">
        <v>5.71213460342401E-2</v>
      </c>
      <c r="U422">
        <v>1971</v>
      </c>
      <c r="V422">
        <v>54</v>
      </c>
      <c r="Y422">
        <v>1</v>
      </c>
      <c r="Z422" t="s">
        <v>1154</v>
      </c>
      <c r="AA422" t="s">
        <v>1622</v>
      </c>
    </row>
    <row r="423" spans="1:27" ht="15" customHeight="1" x14ac:dyDescent="0.3">
      <c r="A423">
        <v>471</v>
      </c>
      <c r="B423">
        <v>95</v>
      </c>
      <c r="C423" t="s">
        <v>1156</v>
      </c>
      <c r="D423" t="s">
        <v>1157</v>
      </c>
      <c r="E423" t="s">
        <v>709</v>
      </c>
      <c r="F423">
        <v>2021</v>
      </c>
      <c r="G423">
        <v>0</v>
      </c>
      <c r="H423">
        <v>0</v>
      </c>
      <c r="I423">
        <v>5</v>
      </c>
      <c r="J423">
        <v>0</v>
      </c>
      <c r="K423">
        <v>2541000000</v>
      </c>
      <c r="L423">
        <v>1.5308999999999999</v>
      </c>
      <c r="M423">
        <v>3890016.9</v>
      </c>
      <c r="N423">
        <v>26236000</v>
      </c>
      <c r="O423">
        <v>31967000</v>
      </c>
      <c r="P423">
        <v>707490</v>
      </c>
      <c r="Q423">
        <v>0.94240988832233197</v>
      </c>
      <c r="R423">
        <v>17.280214678659899</v>
      </c>
      <c r="S423">
        <v>0.82072136891169001</v>
      </c>
      <c r="T423">
        <v>2.2131886007445201E-2</v>
      </c>
      <c r="U423">
        <v>1993</v>
      </c>
      <c r="V423">
        <v>28</v>
      </c>
      <c r="Y423">
        <v>0</v>
      </c>
      <c r="Z423" t="s">
        <v>1159</v>
      </c>
      <c r="AA423" t="s">
        <v>1624</v>
      </c>
    </row>
    <row r="424" spans="1:27" ht="15" customHeight="1" x14ac:dyDescent="0.3">
      <c r="A424">
        <v>472</v>
      </c>
      <c r="B424">
        <v>95</v>
      </c>
      <c r="C424" t="s">
        <v>1156</v>
      </c>
      <c r="D424" t="s">
        <v>1157</v>
      </c>
      <c r="E424" t="s">
        <v>709</v>
      </c>
      <c r="F424">
        <v>2022</v>
      </c>
      <c r="G424">
        <v>0</v>
      </c>
      <c r="H424">
        <v>0</v>
      </c>
      <c r="I424">
        <v>5</v>
      </c>
      <c r="J424">
        <v>0</v>
      </c>
      <c r="K424">
        <v>5993000000</v>
      </c>
      <c r="L424">
        <v>1.6902999999999999</v>
      </c>
      <c r="M424">
        <v>10129967.9</v>
      </c>
      <c r="N424">
        <v>23918000</v>
      </c>
      <c r="O424">
        <v>34496000</v>
      </c>
      <c r="P424">
        <v>882170</v>
      </c>
      <c r="Q424">
        <v>0.98701205647031498</v>
      </c>
      <c r="R424">
        <v>17.356353933250801</v>
      </c>
      <c r="S424">
        <v>0.69335575139146599</v>
      </c>
      <c r="T424">
        <v>2.5573109925788502E-2</v>
      </c>
      <c r="U424">
        <v>1993</v>
      </c>
      <c r="V424">
        <v>29</v>
      </c>
      <c r="Y424">
        <v>0</v>
      </c>
      <c r="Z424" t="s">
        <v>1159</v>
      </c>
      <c r="AA424" t="s">
        <v>1625</v>
      </c>
    </row>
    <row r="425" spans="1:27" ht="15" customHeight="1" x14ac:dyDescent="0.3">
      <c r="A425">
        <v>473</v>
      </c>
      <c r="B425">
        <v>95</v>
      </c>
      <c r="C425" t="s">
        <v>1156</v>
      </c>
      <c r="D425" t="s">
        <v>1157</v>
      </c>
      <c r="E425" t="s">
        <v>709</v>
      </c>
      <c r="F425">
        <v>2023</v>
      </c>
      <c r="G425">
        <v>1</v>
      </c>
      <c r="H425">
        <v>0</v>
      </c>
      <c r="I425">
        <v>5</v>
      </c>
      <c r="J425">
        <v>0</v>
      </c>
      <c r="K425">
        <v>5993000000</v>
      </c>
      <c r="L425">
        <v>1.9406000000000001</v>
      </c>
      <c r="M425">
        <v>11630015.800000001</v>
      </c>
      <c r="N425">
        <v>33900000</v>
      </c>
      <c r="O425">
        <v>44891000</v>
      </c>
      <c r="P425">
        <v>1019000</v>
      </c>
      <c r="Q425">
        <v>1.0142348310351701</v>
      </c>
      <c r="R425">
        <v>17.6197478871863</v>
      </c>
      <c r="S425">
        <v>0.75516250473368796</v>
      </c>
      <c r="T425">
        <v>2.2699427502171899E-2</v>
      </c>
      <c r="U425">
        <v>1993</v>
      </c>
      <c r="V425">
        <v>30</v>
      </c>
      <c r="Y425">
        <v>1</v>
      </c>
      <c r="Z425" t="s">
        <v>1159</v>
      </c>
      <c r="AA425" t="s">
        <v>1626</v>
      </c>
    </row>
    <row r="426" spans="1:27" ht="15" customHeight="1" x14ac:dyDescent="0.3">
      <c r="A426">
        <v>474</v>
      </c>
      <c r="B426">
        <v>95</v>
      </c>
      <c r="C426" t="s">
        <v>1156</v>
      </c>
      <c r="D426" t="s">
        <v>1157</v>
      </c>
      <c r="E426" t="s">
        <v>709</v>
      </c>
      <c r="F426">
        <v>2024</v>
      </c>
      <c r="G426">
        <v>1</v>
      </c>
      <c r="H426">
        <v>0</v>
      </c>
      <c r="I426">
        <v>5</v>
      </c>
      <c r="J426">
        <v>0</v>
      </c>
      <c r="K426">
        <v>5993000000</v>
      </c>
      <c r="L426">
        <v>1.7102999999999999</v>
      </c>
      <c r="M426">
        <v>10249827.9</v>
      </c>
      <c r="N426">
        <v>56782000</v>
      </c>
      <c r="O426">
        <v>68628000</v>
      </c>
      <c r="P426">
        <v>1574000</v>
      </c>
      <c r="Q426">
        <v>0.97674167832371594</v>
      </c>
      <c r="R426">
        <v>18.0442111726855</v>
      </c>
      <c r="S426">
        <v>0.82738823803695305</v>
      </c>
      <c r="T426">
        <v>2.2935245089467898E-2</v>
      </c>
      <c r="U426">
        <v>1993</v>
      </c>
      <c r="V426">
        <v>31</v>
      </c>
      <c r="Y426">
        <v>1</v>
      </c>
      <c r="Z426" t="s">
        <v>1159</v>
      </c>
      <c r="AA426" t="s">
        <v>1626</v>
      </c>
    </row>
    <row r="427" spans="1:27" ht="15" customHeight="1" x14ac:dyDescent="0.3">
      <c r="A427">
        <v>475</v>
      </c>
      <c r="B427">
        <v>95</v>
      </c>
      <c r="C427" t="s">
        <v>1156</v>
      </c>
      <c r="D427" t="s">
        <v>1157</v>
      </c>
      <c r="E427" t="s">
        <v>709</v>
      </c>
      <c r="F427">
        <v>2025</v>
      </c>
      <c r="G427">
        <v>1</v>
      </c>
      <c r="H427">
        <v>0</v>
      </c>
      <c r="I427">
        <v>5</v>
      </c>
      <c r="J427">
        <v>0</v>
      </c>
      <c r="K427">
        <v>5993000000</v>
      </c>
      <c r="L427">
        <v>3.7092999999999998</v>
      </c>
      <c r="M427">
        <v>22229834.899999999</v>
      </c>
      <c r="N427">
        <v>53881000</v>
      </c>
      <c r="O427">
        <v>67733000</v>
      </c>
      <c r="P427">
        <v>2906000</v>
      </c>
      <c r="Q427">
        <v>1.1236891160881699</v>
      </c>
      <c r="R427">
        <v>18.0310840637285</v>
      </c>
      <c r="S427">
        <v>0.79549111954291096</v>
      </c>
      <c r="T427">
        <v>4.29037544476105E-2</v>
      </c>
      <c r="U427">
        <v>1993</v>
      </c>
      <c r="V427">
        <v>32</v>
      </c>
      <c r="Y427">
        <v>1</v>
      </c>
      <c r="Z427" t="s">
        <v>1159</v>
      </c>
      <c r="AA427" t="s">
        <v>1626</v>
      </c>
    </row>
    <row r="428" spans="1:27" ht="15" customHeight="1" x14ac:dyDescent="0.3">
      <c r="A428">
        <v>476</v>
      </c>
      <c r="B428">
        <v>96</v>
      </c>
      <c r="C428" t="s">
        <v>1161</v>
      </c>
      <c r="D428" t="s">
        <v>2142</v>
      </c>
      <c r="E428" t="s">
        <v>780</v>
      </c>
      <c r="F428">
        <v>2021</v>
      </c>
      <c r="G428">
        <v>0</v>
      </c>
      <c r="H428">
        <v>0</v>
      </c>
      <c r="I428">
        <v>0</v>
      </c>
      <c r="J428">
        <v>0</v>
      </c>
      <c r="K428">
        <v>2668000000</v>
      </c>
      <c r="L428">
        <v>4.4489999999999998</v>
      </c>
      <c r="M428">
        <v>11869932</v>
      </c>
      <c r="N428">
        <v>892210</v>
      </c>
      <c r="O428">
        <v>25821000</v>
      </c>
      <c r="P428">
        <v>-4480000</v>
      </c>
      <c r="Q428">
        <v>0.494254366600829</v>
      </c>
      <c r="R428">
        <v>17.066698672299701</v>
      </c>
      <c r="S428">
        <v>3.4553657875372797E-2</v>
      </c>
      <c r="T428">
        <v>-0.173502188141435</v>
      </c>
      <c r="U428">
        <v>2013</v>
      </c>
      <c r="V428">
        <v>8</v>
      </c>
      <c r="Y428">
        <v>0</v>
      </c>
      <c r="Z428" t="s">
        <v>717</v>
      </c>
      <c r="AA428" t="s">
        <v>1627</v>
      </c>
    </row>
    <row r="429" spans="1:27" ht="15" customHeight="1" x14ac:dyDescent="0.3">
      <c r="A429">
        <v>477</v>
      </c>
      <c r="B429">
        <v>96</v>
      </c>
      <c r="C429" t="s">
        <v>1161</v>
      </c>
      <c r="D429" t="s">
        <v>2142</v>
      </c>
      <c r="E429" t="s">
        <v>780</v>
      </c>
      <c r="F429">
        <v>2022</v>
      </c>
      <c r="G429">
        <v>0</v>
      </c>
      <c r="H429">
        <v>0</v>
      </c>
      <c r="I429">
        <v>0</v>
      </c>
      <c r="J429">
        <v>0</v>
      </c>
      <c r="K429">
        <v>2668000000</v>
      </c>
      <c r="L429">
        <v>2.9984999999999999</v>
      </c>
      <c r="M429">
        <v>7999998</v>
      </c>
      <c r="N429">
        <v>650260</v>
      </c>
      <c r="O429">
        <v>26773000</v>
      </c>
      <c r="P429">
        <v>1677000</v>
      </c>
      <c r="Q429">
        <v>0.32309632839054298</v>
      </c>
      <c r="R429">
        <v>17.102904474962902</v>
      </c>
      <c r="S429">
        <v>2.42879019908116E-2</v>
      </c>
      <c r="T429">
        <v>6.2637732043476599E-2</v>
      </c>
      <c r="U429">
        <v>2013</v>
      </c>
      <c r="V429">
        <v>9</v>
      </c>
      <c r="Y429">
        <v>0</v>
      </c>
      <c r="Z429" t="s">
        <v>717</v>
      </c>
      <c r="AA429" t="s">
        <v>1628</v>
      </c>
    </row>
    <row r="430" spans="1:27" ht="15" customHeight="1" x14ac:dyDescent="0.3">
      <c r="A430">
        <v>478</v>
      </c>
      <c r="B430">
        <v>96</v>
      </c>
      <c r="C430" t="s">
        <v>1161</v>
      </c>
      <c r="D430" t="s">
        <v>2142</v>
      </c>
      <c r="E430" t="s">
        <v>780</v>
      </c>
      <c r="F430">
        <v>2023</v>
      </c>
      <c r="G430">
        <v>1</v>
      </c>
      <c r="H430">
        <v>0</v>
      </c>
      <c r="I430">
        <v>0</v>
      </c>
      <c r="J430">
        <v>0</v>
      </c>
      <c r="K430">
        <v>2668000000</v>
      </c>
      <c r="L430">
        <v>6.4017999999999997</v>
      </c>
      <c r="M430">
        <v>17080002.399999999</v>
      </c>
      <c r="N430">
        <v>600510</v>
      </c>
      <c r="O430">
        <v>29552000</v>
      </c>
      <c r="P430">
        <v>3803000</v>
      </c>
      <c r="Q430">
        <v>0.59828479967514903</v>
      </c>
      <c r="R430">
        <v>17.2016619814212</v>
      </c>
      <c r="S430">
        <v>2.0320452084461298E-2</v>
      </c>
      <c r="T430">
        <v>0.128688413643747</v>
      </c>
      <c r="U430">
        <v>2013</v>
      </c>
      <c r="V430">
        <v>10</v>
      </c>
      <c r="Y430">
        <v>0</v>
      </c>
      <c r="Z430" t="s">
        <v>717</v>
      </c>
      <c r="AA430" t="s">
        <v>1628</v>
      </c>
    </row>
    <row r="431" spans="1:27" ht="15" customHeight="1" x14ac:dyDescent="0.3">
      <c r="A431">
        <v>479</v>
      </c>
      <c r="B431">
        <v>96</v>
      </c>
      <c r="C431" t="s">
        <v>1161</v>
      </c>
      <c r="D431" t="s">
        <v>2142</v>
      </c>
      <c r="E431" t="s">
        <v>780</v>
      </c>
      <c r="F431">
        <v>2024</v>
      </c>
      <c r="G431">
        <v>1</v>
      </c>
      <c r="H431">
        <v>0</v>
      </c>
      <c r="I431">
        <v>0</v>
      </c>
      <c r="J431">
        <v>0</v>
      </c>
      <c r="K431">
        <v>2668000000</v>
      </c>
      <c r="L431">
        <v>5</v>
      </c>
      <c r="M431">
        <v>13340000</v>
      </c>
      <c r="N431">
        <v>897340</v>
      </c>
      <c r="O431">
        <v>33426000</v>
      </c>
      <c r="P431">
        <v>4698000</v>
      </c>
      <c r="Q431">
        <v>0.42593609764853702</v>
      </c>
      <c r="R431">
        <v>17.324844598231</v>
      </c>
      <c r="S431">
        <v>2.6845569317297899E-2</v>
      </c>
      <c r="T431">
        <v>0.14054927302100201</v>
      </c>
      <c r="U431">
        <v>2013</v>
      </c>
      <c r="V431">
        <v>11</v>
      </c>
      <c r="Y431">
        <v>0</v>
      </c>
      <c r="Z431" t="s">
        <v>717</v>
      </c>
      <c r="AA431" t="s">
        <v>1628</v>
      </c>
    </row>
    <row r="432" spans="1:27" ht="15" customHeight="1" x14ac:dyDescent="0.3">
      <c r="A432">
        <v>480</v>
      </c>
      <c r="B432">
        <v>96</v>
      </c>
      <c r="C432" t="s">
        <v>1161</v>
      </c>
      <c r="D432" t="s">
        <v>2142</v>
      </c>
      <c r="E432" t="s">
        <v>780</v>
      </c>
      <c r="F432">
        <v>2025</v>
      </c>
      <c r="G432">
        <v>1</v>
      </c>
      <c r="H432">
        <v>0</v>
      </c>
      <c r="I432">
        <v>0</v>
      </c>
      <c r="J432">
        <v>0</v>
      </c>
      <c r="K432">
        <v>2668000000</v>
      </c>
      <c r="L432">
        <v>6.9002999999999997</v>
      </c>
      <c r="M432">
        <v>18410000.399999999</v>
      </c>
      <c r="N432">
        <v>812060</v>
      </c>
      <c r="O432">
        <v>36290000</v>
      </c>
      <c r="P432">
        <v>4335000</v>
      </c>
      <c r="Q432">
        <v>0.52967926150454703</v>
      </c>
      <c r="R432">
        <v>17.4070527791893</v>
      </c>
      <c r="S432">
        <v>2.23769633507853E-2</v>
      </c>
      <c r="T432">
        <v>0.119454395150179</v>
      </c>
      <c r="U432">
        <v>2013</v>
      </c>
      <c r="V432">
        <v>12</v>
      </c>
      <c r="Y432">
        <v>0</v>
      </c>
      <c r="Z432" t="s">
        <v>717</v>
      </c>
      <c r="AA432" t="s">
        <v>1628</v>
      </c>
    </row>
    <row r="433" spans="1:27" ht="15" customHeight="1" x14ac:dyDescent="0.3">
      <c r="A433">
        <v>481</v>
      </c>
      <c r="B433">
        <v>97</v>
      </c>
      <c r="C433" t="s">
        <v>1164</v>
      </c>
      <c r="D433" t="s">
        <v>1165</v>
      </c>
      <c r="E433" t="s">
        <v>715</v>
      </c>
      <c r="F433">
        <v>2021</v>
      </c>
      <c r="G433">
        <v>0</v>
      </c>
      <c r="H433">
        <v>0</v>
      </c>
      <c r="I433">
        <v>0</v>
      </c>
      <c r="J433">
        <v>0</v>
      </c>
      <c r="K433">
        <v>5632000000</v>
      </c>
      <c r="L433">
        <v>0.2</v>
      </c>
      <c r="M433">
        <v>1126400</v>
      </c>
      <c r="N433">
        <v>828560</v>
      </c>
      <c r="O433">
        <v>3484000</v>
      </c>
      <c r="P433">
        <v>-91930</v>
      </c>
      <c r="Q433">
        <v>0.56112514351320297</v>
      </c>
      <c r="R433">
        <v>15.0636916169545</v>
      </c>
      <c r="S433">
        <v>0.237818599311137</v>
      </c>
      <c r="T433">
        <v>-2.6386337543054E-2</v>
      </c>
      <c r="U433">
        <v>2000</v>
      </c>
      <c r="V433">
        <v>21</v>
      </c>
      <c r="Y433">
        <v>0</v>
      </c>
      <c r="Z433" t="s">
        <v>1167</v>
      </c>
      <c r="AA433" t="s">
        <v>1629</v>
      </c>
    </row>
    <row r="434" spans="1:27" ht="15" customHeight="1" x14ac:dyDescent="0.3">
      <c r="A434">
        <v>482</v>
      </c>
      <c r="B434">
        <v>97</v>
      </c>
      <c r="C434" t="s">
        <v>1164</v>
      </c>
      <c r="D434" t="s">
        <v>1165</v>
      </c>
      <c r="E434" t="s">
        <v>715</v>
      </c>
      <c r="F434">
        <v>2022</v>
      </c>
      <c r="G434">
        <v>0</v>
      </c>
      <c r="H434">
        <v>0</v>
      </c>
      <c r="I434">
        <v>0</v>
      </c>
      <c r="J434">
        <v>0</v>
      </c>
      <c r="K434">
        <v>5632000000</v>
      </c>
      <c r="L434">
        <v>0.22</v>
      </c>
      <c r="M434">
        <v>1239040</v>
      </c>
      <c r="N434">
        <v>843060</v>
      </c>
      <c r="O434">
        <v>3457000</v>
      </c>
      <c r="P434">
        <v>-40880</v>
      </c>
      <c r="Q434">
        <v>0.60228521839745397</v>
      </c>
      <c r="R434">
        <v>15.055911718903801</v>
      </c>
      <c r="S434">
        <v>0.243870407868094</v>
      </c>
      <c r="T434">
        <v>-1.1825282036447801E-2</v>
      </c>
      <c r="U434">
        <v>2000</v>
      </c>
      <c r="V434">
        <v>22</v>
      </c>
      <c r="Y434">
        <v>0</v>
      </c>
      <c r="Z434" t="s">
        <v>1167</v>
      </c>
      <c r="AA434" t="s">
        <v>1630</v>
      </c>
    </row>
    <row r="435" spans="1:27" ht="15" customHeight="1" x14ac:dyDescent="0.3">
      <c r="A435">
        <v>483</v>
      </c>
      <c r="B435">
        <v>97</v>
      </c>
      <c r="C435" t="s">
        <v>1164</v>
      </c>
      <c r="D435" t="s">
        <v>1165</v>
      </c>
      <c r="E435" t="s">
        <v>715</v>
      </c>
      <c r="F435">
        <v>2023</v>
      </c>
      <c r="G435">
        <v>1</v>
      </c>
      <c r="H435">
        <v>0</v>
      </c>
      <c r="I435">
        <v>0</v>
      </c>
      <c r="J435">
        <v>0</v>
      </c>
      <c r="K435">
        <v>5632000000</v>
      </c>
      <c r="L435">
        <v>0.74</v>
      </c>
      <c r="M435">
        <v>4167680</v>
      </c>
      <c r="N435">
        <v>909880</v>
      </c>
      <c r="O435">
        <v>3329000</v>
      </c>
      <c r="P435">
        <v>-187520</v>
      </c>
      <c r="Q435">
        <v>1.5252508260738999</v>
      </c>
      <c r="R435">
        <v>15.0181825165572</v>
      </c>
      <c r="S435">
        <v>0.27331931510964302</v>
      </c>
      <c r="T435">
        <v>-5.6329227996395302E-2</v>
      </c>
      <c r="U435">
        <v>2000</v>
      </c>
      <c r="V435">
        <v>23</v>
      </c>
      <c r="Y435">
        <v>0</v>
      </c>
      <c r="Z435" t="s">
        <v>1167</v>
      </c>
      <c r="AA435" t="s">
        <v>1631</v>
      </c>
    </row>
    <row r="436" spans="1:27" ht="15" customHeight="1" x14ac:dyDescent="0.3">
      <c r="A436">
        <v>484</v>
      </c>
      <c r="B436">
        <v>97</v>
      </c>
      <c r="C436" t="s">
        <v>1164</v>
      </c>
      <c r="D436" t="s">
        <v>1165</v>
      </c>
      <c r="E436" t="s">
        <v>715</v>
      </c>
      <c r="F436">
        <v>2024</v>
      </c>
      <c r="G436">
        <v>1</v>
      </c>
      <c r="H436">
        <v>0</v>
      </c>
      <c r="I436">
        <v>0</v>
      </c>
      <c r="J436">
        <v>0</v>
      </c>
      <c r="K436">
        <v>5632000000</v>
      </c>
      <c r="L436">
        <v>0.63</v>
      </c>
      <c r="M436">
        <v>3548160</v>
      </c>
      <c r="N436">
        <v>926890</v>
      </c>
      <c r="O436">
        <v>4838000</v>
      </c>
      <c r="P436">
        <v>-121030</v>
      </c>
      <c r="Q436">
        <v>0.92497933030177804</v>
      </c>
      <c r="R436">
        <v>15.392011970152099</v>
      </c>
      <c r="S436">
        <v>0.19158536585365901</v>
      </c>
      <c r="T436">
        <v>-2.5016535758577901E-2</v>
      </c>
      <c r="U436">
        <v>2000</v>
      </c>
      <c r="V436">
        <v>24</v>
      </c>
      <c r="Y436">
        <v>0</v>
      </c>
      <c r="Z436" t="s">
        <v>1167</v>
      </c>
      <c r="AA436" t="s">
        <v>1632</v>
      </c>
    </row>
    <row r="437" spans="1:27" ht="15" customHeight="1" x14ac:dyDescent="0.3">
      <c r="A437">
        <v>485</v>
      </c>
      <c r="B437">
        <v>97</v>
      </c>
      <c r="C437" t="s">
        <v>1164</v>
      </c>
      <c r="D437" t="s">
        <v>1165</v>
      </c>
      <c r="E437" t="s">
        <v>715</v>
      </c>
      <c r="F437">
        <v>2025</v>
      </c>
      <c r="G437">
        <v>1</v>
      </c>
      <c r="H437">
        <v>0</v>
      </c>
      <c r="I437">
        <v>0</v>
      </c>
      <c r="J437">
        <v>0</v>
      </c>
      <c r="K437">
        <v>5632000000</v>
      </c>
      <c r="L437">
        <v>0.76</v>
      </c>
      <c r="M437">
        <v>4280320</v>
      </c>
      <c r="N437">
        <v>852560</v>
      </c>
      <c r="O437">
        <v>4448000</v>
      </c>
      <c r="P437">
        <v>-166790</v>
      </c>
      <c r="Q437">
        <v>1.15397482014388</v>
      </c>
      <c r="R437">
        <v>15.3079651149126</v>
      </c>
      <c r="S437">
        <v>0.191672661870504</v>
      </c>
      <c r="T437">
        <v>-3.7497751798561199E-2</v>
      </c>
      <c r="U437">
        <v>2000</v>
      </c>
      <c r="V437">
        <v>25</v>
      </c>
      <c r="Y437">
        <v>0</v>
      </c>
      <c r="Z437" t="s">
        <v>1167</v>
      </c>
      <c r="AA437" t="s">
        <v>1633</v>
      </c>
    </row>
    <row r="438" spans="1:27" ht="15" customHeight="1" x14ac:dyDescent="0.3">
      <c r="A438">
        <v>486</v>
      </c>
      <c r="B438">
        <v>98</v>
      </c>
      <c r="C438" t="s">
        <v>1169</v>
      </c>
      <c r="D438" t="s">
        <v>1170</v>
      </c>
      <c r="E438" t="s">
        <v>766</v>
      </c>
      <c r="F438">
        <v>2021</v>
      </c>
      <c r="G438">
        <v>0</v>
      </c>
      <c r="H438">
        <v>0</v>
      </c>
      <c r="I438">
        <v>15</v>
      </c>
      <c r="J438">
        <v>6.6666666666666696</v>
      </c>
      <c r="K438">
        <v>14590000000</v>
      </c>
      <c r="L438">
        <v>3.77</v>
      </c>
      <c r="M438">
        <v>55004300</v>
      </c>
      <c r="N438">
        <v>1124996000</v>
      </c>
      <c r="O438">
        <v>998051000</v>
      </c>
      <c r="P438">
        <v>35817000</v>
      </c>
      <c r="Q438">
        <v>1.1823046116881799</v>
      </c>
      <c r="R438">
        <v>20.721314935174501</v>
      </c>
      <c r="S438">
        <v>1.1271928989600699</v>
      </c>
      <c r="T438">
        <v>3.5886943653180098E-2</v>
      </c>
      <c r="U438">
        <v>1956</v>
      </c>
      <c r="V438">
        <v>65</v>
      </c>
      <c r="Y438">
        <v>1</v>
      </c>
      <c r="Z438" t="s">
        <v>1172</v>
      </c>
      <c r="AA438" t="s">
        <v>1634</v>
      </c>
    </row>
    <row r="439" spans="1:27" ht="15" customHeight="1" x14ac:dyDescent="0.3">
      <c r="A439">
        <v>487</v>
      </c>
      <c r="B439">
        <v>98</v>
      </c>
      <c r="C439" t="s">
        <v>1169</v>
      </c>
      <c r="D439" t="s">
        <v>1170</v>
      </c>
      <c r="E439" t="s">
        <v>766</v>
      </c>
      <c r="F439">
        <v>2022</v>
      </c>
      <c r="G439">
        <v>0</v>
      </c>
      <c r="H439">
        <v>0</v>
      </c>
      <c r="I439">
        <v>15</v>
      </c>
      <c r="J439">
        <v>6.6666666666666696</v>
      </c>
      <c r="K439">
        <v>14590000000</v>
      </c>
      <c r="L439">
        <v>3.34</v>
      </c>
      <c r="M439">
        <v>48730600</v>
      </c>
      <c r="N439">
        <v>1449536000</v>
      </c>
      <c r="O439">
        <v>1252330000</v>
      </c>
      <c r="P439">
        <v>-78719000</v>
      </c>
      <c r="Q439">
        <v>1.1963832216748</v>
      </c>
      <c r="R439">
        <v>20.948271653168401</v>
      </c>
      <c r="S439">
        <v>1.1574712735461099</v>
      </c>
      <c r="T439">
        <v>-6.2858032627182897E-2</v>
      </c>
      <c r="U439">
        <v>1956</v>
      </c>
      <c r="V439">
        <v>66</v>
      </c>
      <c r="Y439">
        <v>0</v>
      </c>
      <c r="Z439" t="s">
        <v>1172</v>
      </c>
      <c r="AA439" t="s">
        <v>1635</v>
      </c>
    </row>
    <row r="440" spans="1:27" ht="15" customHeight="1" x14ac:dyDescent="0.3">
      <c r="A440">
        <v>488</v>
      </c>
      <c r="B440">
        <v>98</v>
      </c>
      <c r="C440" t="s">
        <v>1169</v>
      </c>
      <c r="D440" t="s">
        <v>1170</v>
      </c>
      <c r="E440" t="s">
        <v>766</v>
      </c>
      <c r="F440">
        <v>2023</v>
      </c>
      <c r="G440">
        <v>1</v>
      </c>
      <c r="H440">
        <v>0</v>
      </c>
      <c r="I440">
        <v>15</v>
      </c>
      <c r="J440">
        <v>6.6666666666666696</v>
      </c>
      <c r="K440">
        <v>14590000000</v>
      </c>
      <c r="L440">
        <v>8.9499999999999993</v>
      </c>
      <c r="M440">
        <v>130580500</v>
      </c>
      <c r="N440">
        <v>2943297000</v>
      </c>
      <c r="O440">
        <v>2676118000</v>
      </c>
      <c r="P440">
        <v>61996000</v>
      </c>
      <c r="Q440">
        <v>1.1486330199191499</v>
      </c>
      <c r="R440">
        <v>21.707633073905399</v>
      </c>
      <c r="S440">
        <v>1.0998382732002101</v>
      </c>
      <c r="T440">
        <v>2.3166392513334601E-2</v>
      </c>
      <c r="U440">
        <v>1956</v>
      </c>
      <c r="V440">
        <v>67</v>
      </c>
      <c r="Y440">
        <v>0</v>
      </c>
      <c r="Z440" t="s">
        <v>1172</v>
      </c>
      <c r="AA440" t="s">
        <v>1636</v>
      </c>
    </row>
    <row r="441" spans="1:27" ht="15" customHeight="1" x14ac:dyDescent="0.3">
      <c r="A441">
        <v>489</v>
      </c>
      <c r="B441">
        <v>98</v>
      </c>
      <c r="C441" t="s">
        <v>1169</v>
      </c>
      <c r="D441" t="s">
        <v>1170</v>
      </c>
      <c r="E441" t="s">
        <v>766</v>
      </c>
      <c r="F441">
        <v>2024</v>
      </c>
      <c r="G441">
        <v>1</v>
      </c>
      <c r="H441">
        <v>0</v>
      </c>
      <c r="I441">
        <v>65</v>
      </c>
      <c r="J441">
        <v>20</v>
      </c>
      <c r="K441">
        <v>13467000000</v>
      </c>
      <c r="L441">
        <v>60.93</v>
      </c>
      <c r="M441">
        <v>820544310</v>
      </c>
      <c r="N441">
        <v>6795139000</v>
      </c>
      <c r="O441">
        <v>6434159000</v>
      </c>
      <c r="P441">
        <v>224856000</v>
      </c>
      <c r="Q441">
        <v>1.1836330606688501</v>
      </c>
      <c r="R441">
        <v>22.584886977922899</v>
      </c>
      <c r="S441">
        <v>1.0561036803722099</v>
      </c>
      <c r="T441">
        <v>3.4947224648940102E-2</v>
      </c>
      <c r="U441">
        <v>1956</v>
      </c>
      <c r="V441">
        <v>68</v>
      </c>
      <c r="Y441">
        <v>0</v>
      </c>
      <c r="Z441" t="s">
        <v>1172</v>
      </c>
      <c r="AA441" t="s">
        <v>1637</v>
      </c>
    </row>
    <row r="442" spans="1:27" ht="15" customHeight="1" x14ac:dyDescent="0.3">
      <c r="A442">
        <v>490</v>
      </c>
      <c r="B442">
        <v>98</v>
      </c>
      <c r="C442" t="s">
        <v>1169</v>
      </c>
      <c r="D442" t="s">
        <v>1170</v>
      </c>
      <c r="E442" t="s">
        <v>766</v>
      </c>
      <c r="F442">
        <v>2025</v>
      </c>
      <c r="G442">
        <v>1</v>
      </c>
      <c r="H442">
        <v>0</v>
      </c>
      <c r="I442">
        <v>65</v>
      </c>
      <c r="J442">
        <v>20</v>
      </c>
      <c r="K442">
        <v>14590000000</v>
      </c>
      <c r="L442">
        <v>40.200000000000003</v>
      </c>
      <c r="M442">
        <v>586518000</v>
      </c>
      <c r="N442">
        <v>7257906000</v>
      </c>
      <c r="O442">
        <v>6704080000</v>
      </c>
      <c r="P442">
        <v>244310000</v>
      </c>
      <c r="Q442">
        <v>1.17009701554874</v>
      </c>
      <c r="R442">
        <v>22.625982133229201</v>
      </c>
      <c r="S442">
        <v>1.08261029104665</v>
      </c>
      <c r="T442">
        <v>3.6441987565780799E-2</v>
      </c>
      <c r="U442">
        <v>1956</v>
      </c>
      <c r="V442">
        <v>69</v>
      </c>
      <c r="Y442">
        <v>0</v>
      </c>
      <c r="Z442" t="s">
        <v>1172</v>
      </c>
      <c r="AA442" t="s">
        <v>1638</v>
      </c>
    </row>
    <row r="443" spans="1:27" ht="15" customHeight="1" x14ac:dyDescent="0.3">
      <c r="A443">
        <v>491</v>
      </c>
      <c r="B443">
        <v>99</v>
      </c>
      <c r="C443" t="s">
        <v>1174</v>
      </c>
      <c r="D443" t="s">
        <v>1175</v>
      </c>
      <c r="E443" t="s">
        <v>903</v>
      </c>
      <c r="F443">
        <v>2021</v>
      </c>
      <c r="G443">
        <v>0</v>
      </c>
      <c r="H443">
        <v>0</v>
      </c>
      <c r="I443">
        <v>45</v>
      </c>
      <c r="J443">
        <v>0</v>
      </c>
      <c r="K443">
        <v>953910000</v>
      </c>
      <c r="L443">
        <v>142.02000000000001</v>
      </c>
      <c r="M443">
        <v>135474298.19999999</v>
      </c>
      <c r="N443">
        <v>31720000</v>
      </c>
      <c r="O443">
        <v>65772000</v>
      </c>
      <c r="P443">
        <v>11539000</v>
      </c>
      <c r="Q443">
        <v>2.5420284954083798</v>
      </c>
      <c r="R443">
        <v>18.0017047738163</v>
      </c>
      <c r="S443">
        <v>0.482272091467494</v>
      </c>
      <c r="T443">
        <v>0.17543939670376499</v>
      </c>
      <c r="U443">
        <v>1979</v>
      </c>
      <c r="V443">
        <v>42</v>
      </c>
      <c r="Y443">
        <v>1</v>
      </c>
      <c r="Z443" t="s">
        <v>722</v>
      </c>
      <c r="AA443" t="s">
        <v>1639</v>
      </c>
    </row>
    <row r="444" spans="1:27" ht="15" customHeight="1" x14ac:dyDescent="0.3">
      <c r="A444">
        <v>492</v>
      </c>
      <c r="B444">
        <v>99</v>
      </c>
      <c r="C444" t="s">
        <v>1174</v>
      </c>
      <c r="D444" t="s">
        <v>1175</v>
      </c>
      <c r="E444" t="s">
        <v>903</v>
      </c>
      <c r="F444">
        <v>2022</v>
      </c>
      <c r="G444">
        <v>0</v>
      </c>
      <c r="H444">
        <v>0</v>
      </c>
      <c r="I444">
        <v>45</v>
      </c>
      <c r="J444">
        <v>0</v>
      </c>
      <c r="K444">
        <v>953910000</v>
      </c>
      <c r="L444">
        <v>165.02</v>
      </c>
      <c r="M444">
        <v>157414228.19999999</v>
      </c>
      <c r="N444">
        <v>38464000</v>
      </c>
      <c r="O444">
        <v>72498000</v>
      </c>
      <c r="P444">
        <v>16231000</v>
      </c>
      <c r="Q444">
        <v>2.70184319843306</v>
      </c>
      <c r="R444">
        <v>18.0990695332375</v>
      </c>
      <c r="S444">
        <v>0.53055256696736497</v>
      </c>
      <c r="T444">
        <v>0.22388203812519</v>
      </c>
      <c r="U444">
        <v>1979</v>
      </c>
      <c r="V444">
        <v>43</v>
      </c>
      <c r="Y444">
        <v>1</v>
      </c>
      <c r="Z444" t="s">
        <v>722</v>
      </c>
      <c r="AA444" t="s">
        <v>1640</v>
      </c>
    </row>
    <row r="445" spans="1:27" ht="15" customHeight="1" x14ac:dyDescent="0.3">
      <c r="A445">
        <v>493</v>
      </c>
      <c r="B445">
        <v>99</v>
      </c>
      <c r="C445" t="s">
        <v>1174</v>
      </c>
      <c r="D445" t="s">
        <v>1175</v>
      </c>
      <c r="E445" t="s">
        <v>903</v>
      </c>
      <c r="F445">
        <v>2023</v>
      </c>
      <c r="G445">
        <v>1</v>
      </c>
      <c r="H445">
        <v>0</v>
      </c>
      <c r="I445">
        <v>45</v>
      </c>
      <c r="J445">
        <v>0</v>
      </c>
      <c r="K445">
        <v>953910000</v>
      </c>
      <c r="L445">
        <v>260.02999999999997</v>
      </c>
      <c r="M445">
        <v>248045217.30000001</v>
      </c>
      <c r="N445">
        <v>56226000</v>
      </c>
      <c r="O445">
        <v>95100000</v>
      </c>
      <c r="P445">
        <v>20647000</v>
      </c>
      <c r="Q445">
        <v>3.1994870378548899</v>
      </c>
      <c r="R445">
        <v>18.3704395275156</v>
      </c>
      <c r="S445">
        <v>0.59123028391167198</v>
      </c>
      <c r="T445">
        <v>0.217108307045216</v>
      </c>
      <c r="U445">
        <v>1979</v>
      </c>
      <c r="V445">
        <v>44</v>
      </c>
      <c r="Y445">
        <v>1</v>
      </c>
      <c r="Z445" t="s">
        <v>722</v>
      </c>
      <c r="AA445" t="s">
        <v>1641</v>
      </c>
    </row>
    <row r="446" spans="1:27" ht="15" customHeight="1" x14ac:dyDescent="0.3">
      <c r="A446">
        <v>494</v>
      </c>
      <c r="B446">
        <v>99</v>
      </c>
      <c r="C446" t="s">
        <v>1174</v>
      </c>
      <c r="D446" t="s">
        <v>1175</v>
      </c>
      <c r="E446" t="s">
        <v>903</v>
      </c>
      <c r="F446">
        <v>2024</v>
      </c>
      <c r="G446">
        <v>1</v>
      </c>
      <c r="H446">
        <v>0</v>
      </c>
      <c r="I446">
        <v>45</v>
      </c>
      <c r="J446">
        <v>0</v>
      </c>
      <c r="K446">
        <v>953910000</v>
      </c>
      <c r="L446">
        <v>444.05</v>
      </c>
      <c r="M446">
        <v>423583735.5</v>
      </c>
      <c r="N446">
        <v>61560000</v>
      </c>
      <c r="O446">
        <v>117038000</v>
      </c>
      <c r="P446">
        <v>39958000</v>
      </c>
      <c r="Q446">
        <v>4.1451813556280896</v>
      </c>
      <c r="R446">
        <v>18.578009226355199</v>
      </c>
      <c r="S446">
        <v>0.52598301406380799</v>
      </c>
      <c r="T446">
        <v>0.341410482065654</v>
      </c>
      <c r="U446">
        <v>1979</v>
      </c>
      <c r="V446">
        <v>45</v>
      </c>
      <c r="Y446">
        <v>1</v>
      </c>
      <c r="Z446" t="s">
        <v>722</v>
      </c>
      <c r="AA446" t="s">
        <v>1642</v>
      </c>
    </row>
    <row r="447" spans="1:27" ht="15" customHeight="1" x14ac:dyDescent="0.3">
      <c r="A447">
        <v>495</v>
      </c>
      <c r="B447">
        <v>99</v>
      </c>
      <c r="C447" t="s">
        <v>1174</v>
      </c>
      <c r="D447" t="s">
        <v>1175</v>
      </c>
      <c r="E447" t="s">
        <v>903</v>
      </c>
      <c r="F447">
        <v>2025</v>
      </c>
      <c r="G447">
        <v>1</v>
      </c>
      <c r="H447">
        <v>0</v>
      </c>
      <c r="I447">
        <v>45</v>
      </c>
      <c r="J447">
        <v>0</v>
      </c>
      <c r="K447">
        <v>953910000</v>
      </c>
      <c r="L447">
        <v>1090.24</v>
      </c>
      <c r="M447">
        <v>1039990838.4</v>
      </c>
      <c r="N447">
        <v>90043000</v>
      </c>
      <c r="O447">
        <v>138853000</v>
      </c>
      <c r="P447">
        <v>57952000</v>
      </c>
      <c r="Q447">
        <v>8.1383465852376293</v>
      </c>
      <c r="R447">
        <v>18.748926377533401</v>
      </c>
      <c r="S447">
        <v>0.64847716649982401</v>
      </c>
      <c r="T447">
        <v>0.417362246404471</v>
      </c>
      <c r="U447">
        <v>1979</v>
      </c>
      <c r="V447">
        <v>46</v>
      </c>
      <c r="Y447">
        <v>1</v>
      </c>
      <c r="Z447" t="s">
        <v>722</v>
      </c>
      <c r="AA447" t="s">
        <v>1643</v>
      </c>
    </row>
    <row r="448" spans="1:27" ht="15" customHeight="1" x14ac:dyDescent="0.3">
      <c r="A448">
        <v>496</v>
      </c>
      <c r="B448">
        <v>100</v>
      </c>
      <c r="C448" t="s">
        <v>1178</v>
      </c>
      <c r="D448" t="s">
        <v>1179</v>
      </c>
      <c r="E448" t="s">
        <v>752</v>
      </c>
      <c r="F448">
        <v>2021</v>
      </c>
      <c r="G448">
        <v>0</v>
      </c>
      <c r="H448">
        <v>0</v>
      </c>
      <c r="I448">
        <v>0</v>
      </c>
      <c r="J448">
        <v>0</v>
      </c>
      <c r="K448">
        <v>2942000000</v>
      </c>
      <c r="L448">
        <v>0.2</v>
      </c>
      <c r="M448">
        <v>588400</v>
      </c>
      <c r="N448">
        <v>15881000</v>
      </c>
      <c r="O448">
        <v>4711000</v>
      </c>
      <c r="P448">
        <v>-1616000</v>
      </c>
      <c r="Q448">
        <v>3.4959456590957299</v>
      </c>
      <c r="R448">
        <v>15.3654107576822</v>
      </c>
      <c r="S448">
        <v>3.3710464869454499</v>
      </c>
      <c r="T448">
        <v>-0.34302695818297602</v>
      </c>
      <c r="U448">
        <v>1988</v>
      </c>
      <c r="V448">
        <v>33</v>
      </c>
      <c r="Y448">
        <v>0</v>
      </c>
      <c r="Z448" t="s">
        <v>1181</v>
      </c>
      <c r="AA448" t="s">
        <v>1644</v>
      </c>
    </row>
    <row r="449" spans="1:27" ht="15" customHeight="1" x14ac:dyDescent="0.3">
      <c r="A449">
        <v>497</v>
      </c>
      <c r="B449">
        <v>100</v>
      </c>
      <c r="C449" t="s">
        <v>1178</v>
      </c>
      <c r="D449" t="s">
        <v>1179</v>
      </c>
      <c r="E449" t="s">
        <v>752</v>
      </c>
      <c r="F449">
        <v>2022</v>
      </c>
      <c r="G449">
        <v>0</v>
      </c>
      <c r="H449">
        <v>0</v>
      </c>
      <c r="I449">
        <v>0</v>
      </c>
      <c r="J449">
        <v>0</v>
      </c>
      <c r="K449">
        <v>2942000000</v>
      </c>
      <c r="L449">
        <v>0.2</v>
      </c>
      <c r="M449">
        <v>588400</v>
      </c>
      <c r="N449">
        <v>17772000</v>
      </c>
      <c r="O449">
        <v>4673000</v>
      </c>
      <c r="P449">
        <v>-1794000</v>
      </c>
      <c r="Q449">
        <v>3.9290391611384599</v>
      </c>
      <c r="R449">
        <v>15.3573118216826</v>
      </c>
      <c r="S449">
        <v>3.8031243312647098</v>
      </c>
      <c r="T449">
        <v>-0.38390755403381099</v>
      </c>
      <c r="U449">
        <v>1988</v>
      </c>
      <c r="V449">
        <v>34</v>
      </c>
      <c r="Y449">
        <v>0</v>
      </c>
      <c r="Z449" t="s">
        <v>1181</v>
      </c>
      <c r="AA449" t="s">
        <v>1645</v>
      </c>
    </row>
    <row r="450" spans="1:27" ht="15" customHeight="1" x14ac:dyDescent="0.3">
      <c r="A450">
        <v>498</v>
      </c>
      <c r="B450">
        <v>100</v>
      </c>
      <c r="C450" t="s">
        <v>1178</v>
      </c>
      <c r="D450" t="s">
        <v>1179</v>
      </c>
      <c r="E450" t="s">
        <v>752</v>
      </c>
      <c r="F450">
        <v>2023</v>
      </c>
      <c r="G450">
        <v>1</v>
      </c>
      <c r="H450">
        <v>0</v>
      </c>
      <c r="I450">
        <v>0</v>
      </c>
      <c r="J450">
        <v>0</v>
      </c>
      <c r="K450">
        <v>2942000000</v>
      </c>
      <c r="L450">
        <v>0.76</v>
      </c>
      <c r="M450">
        <v>2235920</v>
      </c>
      <c r="N450">
        <v>5425000</v>
      </c>
      <c r="O450">
        <v>2875000</v>
      </c>
      <c r="P450">
        <v>6620</v>
      </c>
      <c r="Q450">
        <v>2.6646678260869598</v>
      </c>
      <c r="R450">
        <v>14.8715632322136</v>
      </c>
      <c r="S450">
        <v>1.88695652173913</v>
      </c>
      <c r="T450">
        <v>2.3026086956521698E-3</v>
      </c>
      <c r="U450">
        <v>1988</v>
      </c>
      <c r="V450">
        <v>35</v>
      </c>
      <c r="Y450">
        <v>0</v>
      </c>
      <c r="Z450" t="s">
        <v>1181</v>
      </c>
      <c r="AA450" t="s">
        <v>1646</v>
      </c>
    </row>
    <row r="451" spans="1:27" ht="15" customHeight="1" x14ac:dyDescent="0.3">
      <c r="A451">
        <v>499</v>
      </c>
      <c r="B451">
        <v>100</v>
      </c>
      <c r="C451" t="s">
        <v>1178</v>
      </c>
      <c r="D451" t="s">
        <v>1179</v>
      </c>
      <c r="E451" t="s">
        <v>752</v>
      </c>
      <c r="F451">
        <v>2024</v>
      </c>
      <c r="G451">
        <v>1</v>
      </c>
      <c r="H451">
        <v>0</v>
      </c>
      <c r="I451">
        <v>0</v>
      </c>
      <c r="J451">
        <v>0</v>
      </c>
      <c r="K451">
        <v>2942000000</v>
      </c>
      <c r="L451">
        <v>0.73</v>
      </c>
      <c r="M451">
        <v>2147660</v>
      </c>
      <c r="N451">
        <v>5507000</v>
      </c>
      <c r="O451">
        <v>2870000</v>
      </c>
      <c r="P451">
        <v>-79350</v>
      </c>
      <c r="Q451">
        <v>2.6671289198606298</v>
      </c>
      <c r="R451">
        <v>14.869822587735801</v>
      </c>
      <c r="S451">
        <v>1.9188153310104501</v>
      </c>
      <c r="T451">
        <v>-2.7648083623693399E-2</v>
      </c>
      <c r="U451">
        <v>1988</v>
      </c>
      <c r="V451">
        <v>36</v>
      </c>
      <c r="Y451">
        <v>0</v>
      </c>
      <c r="Z451" t="s">
        <v>1181</v>
      </c>
      <c r="AA451" t="s">
        <v>1647</v>
      </c>
    </row>
    <row r="452" spans="1:27" ht="15" customHeight="1" x14ac:dyDescent="0.3">
      <c r="A452">
        <v>500</v>
      </c>
      <c r="B452">
        <v>100</v>
      </c>
      <c r="C452" t="s">
        <v>1178</v>
      </c>
      <c r="D452" t="s">
        <v>1179</v>
      </c>
      <c r="E452" t="s">
        <v>752</v>
      </c>
      <c r="F452">
        <v>2025</v>
      </c>
      <c r="G452">
        <v>1</v>
      </c>
      <c r="H452">
        <v>0</v>
      </c>
      <c r="I452">
        <v>0</v>
      </c>
      <c r="J452">
        <v>0</v>
      </c>
      <c r="K452">
        <v>2942000000</v>
      </c>
      <c r="L452">
        <v>1.1299999999999999</v>
      </c>
      <c r="M452">
        <v>3324460</v>
      </c>
      <c r="N452">
        <v>5122000</v>
      </c>
      <c r="O452">
        <v>2431000</v>
      </c>
      <c r="P452">
        <v>-58920</v>
      </c>
      <c r="Q452">
        <v>3.4744796380090501</v>
      </c>
      <c r="R452">
        <v>14.7038132532983</v>
      </c>
      <c r="S452">
        <v>2.10695187165775</v>
      </c>
      <c r="T452">
        <v>-2.4236939531057201E-2</v>
      </c>
      <c r="U452">
        <v>1988</v>
      </c>
      <c r="V452">
        <v>37</v>
      </c>
      <c r="Y452">
        <v>0</v>
      </c>
      <c r="Z452" t="s">
        <v>1181</v>
      </c>
      <c r="AA452" t="s">
        <v>1648</v>
      </c>
    </row>
    <row r="453" spans="1:27" ht="15" customHeight="1" x14ac:dyDescent="0.3">
      <c r="A453">
        <v>501</v>
      </c>
      <c r="B453">
        <v>101</v>
      </c>
      <c r="C453" t="s">
        <v>1183</v>
      </c>
      <c r="D453" t="s">
        <v>1184</v>
      </c>
      <c r="E453" t="s">
        <v>898</v>
      </c>
      <c r="F453">
        <v>2021</v>
      </c>
      <c r="G453">
        <v>0</v>
      </c>
      <c r="H453">
        <v>0</v>
      </c>
      <c r="I453">
        <v>0</v>
      </c>
      <c r="J453">
        <v>0</v>
      </c>
      <c r="K453">
        <v>216930000</v>
      </c>
      <c r="L453">
        <v>2.2000000000000002</v>
      </c>
      <c r="M453">
        <v>477246</v>
      </c>
      <c r="N453">
        <v>1027000</v>
      </c>
      <c r="O453">
        <v>2335000</v>
      </c>
      <c r="P453">
        <v>-69790</v>
      </c>
      <c r="Q453">
        <v>0.64421670235546002</v>
      </c>
      <c r="R453">
        <v>14.6635224490851</v>
      </c>
      <c r="S453">
        <v>0.43982869379014999</v>
      </c>
      <c r="T453">
        <v>-2.9888650963597399E-2</v>
      </c>
      <c r="U453">
        <v>1967</v>
      </c>
      <c r="V453">
        <v>54</v>
      </c>
      <c r="Y453">
        <v>0</v>
      </c>
      <c r="Z453" t="s">
        <v>1186</v>
      </c>
      <c r="AA453" t="s">
        <v>1649</v>
      </c>
    </row>
    <row r="454" spans="1:27" ht="15" customHeight="1" x14ac:dyDescent="0.3">
      <c r="A454">
        <v>502</v>
      </c>
      <c r="B454">
        <v>101</v>
      </c>
      <c r="C454" t="s">
        <v>1183</v>
      </c>
      <c r="D454" t="s">
        <v>1184</v>
      </c>
      <c r="E454" t="s">
        <v>898</v>
      </c>
      <c r="F454">
        <v>2022</v>
      </c>
      <c r="G454">
        <v>0</v>
      </c>
      <c r="H454">
        <v>0</v>
      </c>
      <c r="I454">
        <v>0</v>
      </c>
      <c r="J454">
        <v>0</v>
      </c>
      <c r="K454">
        <v>216930000</v>
      </c>
      <c r="L454">
        <v>2.1</v>
      </c>
      <c r="M454">
        <v>455553</v>
      </c>
      <c r="N454">
        <v>1225000</v>
      </c>
      <c r="O454">
        <v>2237000</v>
      </c>
      <c r="P454">
        <v>-296190</v>
      </c>
      <c r="Q454">
        <v>0.75125301743406403</v>
      </c>
      <c r="R454">
        <v>14.620646240472301</v>
      </c>
      <c r="S454">
        <v>0.54760840411265099</v>
      </c>
      <c r="T454">
        <v>-0.132405006705409</v>
      </c>
      <c r="U454">
        <v>1967</v>
      </c>
      <c r="V454">
        <v>55</v>
      </c>
      <c r="Y454">
        <v>0</v>
      </c>
      <c r="Z454" t="s">
        <v>1186</v>
      </c>
      <c r="AA454" t="s">
        <v>1650</v>
      </c>
    </row>
    <row r="455" spans="1:27" ht="15" customHeight="1" x14ac:dyDescent="0.3">
      <c r="A455">
        <v>506</v>
      </c>
      <c r="B455">
        <v>102</v>
      </c>
      <c r="C455" t="s">
        <v>1190</v>
      </c>
      <c r="D455" t="s">
        <v>1191</v>
      </c>
      <c r="E455" t="s">
        <v>772</v>
      </c>
      <c r="F455">
        <v>2021</v>
      </c>
      <c r="G455">
        <v>0</v>
      </c>
      <c r="H455">
        <v>0</v>
      </c>
      <c r="I455">
        <v>0</v>
      </c>
      <c r="J455">
        <v>0</v>
      </c>
      <c r="K455">
        <v>123000000</v>
      </c>
      <c r="L455">
        <v>10</v>
      </c>
      <c r="M455">
        <v>1230000</v>
      </c>
      <c r="N455">
        <v>405250</v>
      </c>
      <c r="O455">
        <v>204940</v>
      </c>
      <c r="P455">
        <v>-22410</v>
      </c>
      <c r="Q455">
        <v>7.9791646335512798</v>
      </c>
      <c r="R455">
        <v>12.2304725323537</v>
      </c>
      <c r="S455">
        <v>1.97740802186006</v>
      </c>
      <c r="T455">
        <v>-0.10934907777886201</v>
      </c>
      <c r="U455">
        <v>1982</v>
      </c>
      <c r="V455">
        <v>39</v>
      </c>
      <c r="Y455">
        <v>0</v>
      </c>
      <c r="Z455" t="s">
        <v>1167</v>
      </c>
      <c r="AA455" t="s">
        <v>1651</v>
      </c>
    </row>
    <row r="456" spans="1:27" ht="15" customHeight="1" x14ac:dyDescent="0.3">
      <c r="A456">
        <v>507</v>
      </c>
      <c r="B456">
        <v>102</v>
      </c>
      <c r="C456" t="s">
        <v>1190</v>
      </c>
      <c r="D456" t="s">
        <v>1191</v>
      </c>
      <c r="E456" t="s">
        <v>772</v>
      </c>
      <c r="F456">
        <v>2022</v>
      </c>
      <c r="G456">
        <v>0</v>
      </c>
      <c r="H456">
        <v>0</v>
      </c>
      <c r="I456">
        <v>0</v>
      </c>
      <c r="J456">
        <v>0</v>
      </c>
      <c r="K456">
        <v>135330000</v>
      </c>
      <c r="L456">
        <v>9.0890000000000004</v>
      </c>
      <c r="M456">
        <v>1230014.3700000001</v>
      </c>
      <c r="N456">
        <v>415380</v>
      </c>
      <c r="O456">
        <v>195710</v>
      </c>
      <c r="P456">
        <v>-19370</v>
      </c>
      <c r="Q456">
        <v>8.4073086198967903</v>
      </c>
      <c r="R456">
        <v>12.184389250699001</v>
      </c>
      <c r="S456">
        <v>2.12242603852639</v>
      </c>
      <c r="T456">
        <v>-9.8972970211026495E-2</v>
      </c>
      <c r="U456">
        <v>1982</v>
      </c>
      <c r="V456">
        <v>40</v>
      </c>
      <c r="Y456">
        <v>0</v>
      </c>
      <c r="Z456" t="s">
        <v>1167</v>
      </c>
      <c r="AA456" t="s">
        <v>1652</v>
      </c>
    </row>
    <row r="457" spans="1:27" ht="15" customHeight="1" x14ac:dyDescent="0.3">
      <c r="A457">
        <v>508</v>
      </c>
      <c r="B457">
        <v>102</v>
      </c>
      <c r="C457" t="s">
        <v>1190</v>
      </c>
      <c r="D457" t="s">
        <v>1191</v>
      </c>
      <c r="E457" t="s">
        <v>772</v>
      </c>
      <c r="F457">
        <v>2023</v>
      </c>
      <c r="G457">
        <v>1</v>
      </c>
      <c r="H457">
        <v>0</v>
      </c>
      <c r="I457">
        <v>0</v>
      </c>
      <c r="J457">
        <v>0</v>
      </c>
      <c r="K457">
        <v>123000000</v>
      </c>
      <c r="L457">
        <v>10</v>
      </c>
      <c r="M457">
        <v>1230000</v>
      </c>
      <c r="N457">
        <v>405870</v>
      </c>
      <c r="O457">
        <v>186670</v>
      </c>
      <c r="P457">
        <v>470</v>
      </c>
      <c r="Q457">
        <v>8.7634327958429292</v>
      </c>
      <c r="R457">
        <v>12.137097631026601</v>
      </c>
      <c r="S457">
        <v>2.17426474527241</v>
      </c>
      <c r="T457">
        <v>2.5178121819253202E-3</v>
      </c>
      <c r="U457">
        <v>1982</v>
      </c>
      <c r="V457">
        <v>41</v>
      </c>
      <c r="Y457">
        <v>0</v>
      </c>
      <c r="Z457" t="s">
        <v>1167</v>
      </c>
      <c r="AA457" t="s">
        <v>1653</v>
      </c>
    </row>
    <row r="458" spans="1:27" ht="15" customHeight="1" x14ac:dyDescent="0.3">
      <c r="A458">
        <v>509</v>
      </c>
      <c r="B458">
        <v>102</v>
      </c>
      <c r="C458" t="s">
        <v>1190</v>
      </c>
      <c r="D458" t="s">
        <v>1191</v>
      </c>
      <c r="E458" t="s">
        <v>772</v>
      </c>
      <c r="F458">
        <v>2024</v>
      </c>
      <c r="G458">
        <v>1</v>
      </c>
      <c r="H458">
        <v>0</v>
      </c>
      <c r="I458">
        <v>0</v>
      </c>
      <c r="J458">
        <v>0</v>
      </c>
      <c r="K458">
        <v>123000000</v>
      </c>
      <c r="L458">
        <v>10</v>
      </c>
      <c r="M458">
        <v>1230000</v>
      </c>
      <c r="N458">
        <v>390830</v>
      </c>
      <c r="O458">
        <v>170920</v>
      </c>
      <c r="P458">
        <v>-710</v>
      </c>
      <c r="Q458">
        <v>9.4829744909899407</v>
      </c>
      <c r="R458">
        <v>12.048950889758</v>
      </c>
      <c r="S458">
        <v>2.28662532178797</v>
      </c>
      <c r="T458">
        <v>-4.1539901708401604E-3</v>
      </c>
      <c r="U458">
        <v>1982</v>
      </c>
      <c r="V458">
        <v>42</v>
      </c>
      <c r="Y458">
        <v>0</v>
      </c>
      <c r="Z458" t="s">
        <v>1167</v>
      </c>
      <c r="AA458" t="s">
        <v>1654</v>
      </c>
    </row>
    <row r="459" spans="1:27" ht="15" customHeight="1" x14ac:dyDescent="0.3">
      <c r="A459">
        <v>510</v>
      </c>
      <c r="B459">
        <v>102</v>
      </c>
      <c r="C459" t="s">
        <v>1190</v>
      </c>
      <c r="D459" t="s">
        <v>1191</v>
      </c>
      <c r="E459" t="s">
        <v>772</v>
      </c>
      <c r="F459">
        <v>2025</v>
      </c>
      <c r="G459">
        <v>1</v>
      </c>
      <c r="H459">
        <v>0</v>
      </c>
      <c r="I459">
        <v>0</v>
      </c>
      <c r="J459">
        <v>0</v>
      </c>
      <c r="K459">
        <v>123000000</v>
      </c>
      <c r="L459">
        <v>10</v>
      </c>
      <c r="M459">
        <v>1230000</v>
      </c>
      <c r="N459">
        <v>379650</v>
      </c>
      <c r="O459">
        <v>161740</v>
      </c>
      <c r="P459">
        <v>1990</v>
      </c>
      <c r="Q459">
        <v>9.9520835909484404</v>
      </c>
      <c r="R459">
        <v>11.993745386649801</v>
      </c>
      <c r="S459">
        <v>2.3472857672808201</v>
      </c>
      <c r="T459">
        <v>1.2303697291949999E-2</v>
      </c>
      <c r="U459">
        <v>1982</v>
      </c>
      <c r="V459">
        <v>43</v>
      </c>
      <c r="Y459">
        <v>0</v>
      </c>
      <c r="Z459" t="s">
        <v>1167</v>
      </c>
      <c r="AA459" t="s">
        <v>1655</v>
      </c>
    </row>
    <row r="460" spans="1:27" ht="15" customHeight="1" x14ac:dyDescent="0.3">
      <c r="A460">
        <v>511</v>
      </c>
      <c r="B460">
        <v>103</v>
      </c>
      <c r="C460" t="s">
        <v>1194</v>
      </c>
      <c r="D460" t="s">
        <v>1195</v>
      </c>
      <c r="E460" t="s">
        <v>903</v>
      </c>
      <c r="F460">
        <v>2021</v>
      </c>
      <c r="G460">
        <v>0</v>
      </c>
      <c r="H460">
        <v>0</v>
      </c>
      <c r="I460">
        <v>0</v>
      </c>
      <c r="J460">
        <v>0</v>
      </c>
      <c r="K460">
        <v>1000000000</v>
      </c>
      <c r="L460">
        <v>87.8</v>
      </c>
      <c r="M460">
        <v>87800000</v>
      </c>
      <c r="N460">
        <v>110825000</v>
      </c>
      <c r="O460">
        <v>140606000</v>
      </c>
      <c r="P460">
        <v>19320000</v>
      </c>
      <c r="Q460">
        <v>1.4126353071703901</v>
      </c>
      <c r="R460">
        <v>18.7614722106835</v>
      </c>
      <c r="S460">
        <v>0.78819538284283697</v>
      </c>
      <c r="T460">
        <v>0.137405231640186</v>
      </c>
      <c r="U460">
        <v>1991</v>
      </c>
      <c r="V460">
        <v>30</v>
      </c>
      <c r="Y460">
        <v>1</v>
      </c>
      <c r="Z460" t="s">
        <v>1197</v>
      </c>
      <c r="AA460" t="s">
        <v>1656</v>
      </c>
    </row>
    <row r="461" spans="1:27" ht="15" customHeight="1" x14ac:dyDescent="0.3">
      <c r="A461">
        <v>512</v>
      </c>
      <c r="B461">
        <v>103</v>
      </c>
      <c r="C461" t="s">
        <v>1194</v>
      </c>
      <c r="D461" t="s">
        <v>1195</v>
      </c>
      <c r="E461" t="s">
        <v>903</v>
      </c>
      <c r="F461">
        <v>2022</v>
      </c>
      <c r="G461">
        <v>0</v>
      </c>
      <c r="H461">
        <v>0</v>
      </c>
      <c r="I461">
        <v>0</v>
      </c>
      <c r="J461">
        <v>0</v>
      </c>
      <c r="K461">
        <v>1000000000</v>
      </c>
      <c r="L461">
        <v>137.5</v>
      </c>
      <c r="M461">
        <v>137500000</v>
      </c>
      <c r="N461">
        <v>98209000</v>
      </c>
      <c r="O461">
        <v>132369000</v>
      </c>
      <c r="P461">
        <v>13032000</v>
      </c>
      <c r="Q461">
        <v>1.7806963866162</v>
      </c>
      <c r="R461">
        <v>18.701104035079599</v>
      </c>
      <c r="S461">
        <v>0.74193353428672904</v>
      </c>
      <c r="T461">
        <v>9.8452054484055904E-2</v>
      </c>
      <c r="U461">
        <v>1991</v>
      </c>
      <c r="V461">
        <v>31</v>
      </c>
      <c r="Y461">
        <v>1</v>
      </c>
      <c r="Z461" t="s">
        <v>1197</v>
      </c>
      <c r="AA461" t="s">
        <v>1657</v>
      </c>
    </row>
    <row r="462" spans="1:27" ht="15" customHeight="1" x14ac:dyDescent="0.3">
      <c r="A462">
        <v>513</v>
      </c>
      <c r="B462">
        <v>103</v>
      </c>
      <c r="C462" t="s">
        <v>1194</v>
      </c>
      <c r="D462" t="s">
        <v>1195</v>
      </c>
      <c r="E462" t="s">
        <v>903</v>
      </c>
      <c r="F462">
        <v>2023</v>
      </c>
      <c r="G462">
        <v>1</v>
      </c>
      <c r="H462">
        <v>0</v>
      </c>
      <c r="I462">
        <v>5</v>
      </c>
      <c r="J462">
        <v>0</v>
      </c>
      <c r="K462">
        <v>1000000000</v>
      </c>
      <c r="L462">
        <v>193</v>
      </c>
      <c r="M462">
        <v>193000000</v>
      </c>
      <c r="N462">
        <v>113155000</v>
      </c>
      <c r="O462">
        <v>187067000</v>
      </c>
      <c r="P462">
        <v>32354000</v>
      </c>
      <c r="Q462">
        <v>1.6366061357695401</v>
      </c>
      <c r="R462">
        <v>19.0469773994188</v>
      </c>
      <c r="S462">
        <v>0.60489022649638902</v>
      </c>
      <c r="T462">
        <v>0.17295407527784201</v>
      </c>
      <c r="U462">
        <v>1991</v>
      </c>
      <c r="V462">
        <v>32</v>
      </c>
      <c r="Y462">
        <v>1</v>
      </c>
      <c r="Z462" t="s">
        <v>1197</v>
      </c>
      <c r="AA462" t="s">
        <v>1658</v>
      </c>
    </row>
    <row r="463" spans="1:27" ht="15" customHeight="1" x14ac:dyDescent="0.3">
      <c r="A463">
        <v>514</v>
      </c>
      <c r="B463">
        <v>103</v>
      </c>
      <c r="C463" t="s">
        <v>1194</v>
      </c>
      <c r="D463" t="s">
        <v>1195</v>
      </c>
      <c r="E463" t="s">
        <v>903</v>
      </c>
      <c r="F463">
        <v>2024</v>
      </c>
      <c r="G463">
        <v>1</v>
      </c>
      <c r="H463">
        <v>0</v>
      </c>
      <c r="I463">
        <v>10</v>
      </c>
      <c r="J463">
        <v>0</v>
      </c>
      <c r="K463">
        <v>1000000000</v>
      </c>
      <c r="L463">
        <v>475</v>
      </c>
      <c r="M463">
        <v>475000000</v>
      </c>
      <c r="N463">
        <v>263912000</v>
      </c>
      <c r="O463">
        <v>475096000</v>
      </c>
      <c r="P463">
        <v>76069000</v>
      </c>
      <c r="Q463">
        <v>1.5552898782561799</v>
      </c>
      <c r="R463">
        <v>19.979027446841599</v>
      </c>
      <c r="S463">
        <v>0.55549194268105795</v>
      </c>
      <c r="T463">
        <v>0.16011290349739801</v>
      </c>
      <c r="U463">
        <v>1991</v>
      </c>
      <c r="V463">
        <v>33</v>
      </c>
      <c r="Y463">
        <v>1</v>
      </c>
      <c r="Z463" t="s">
        <v>1197</v>
      </c>
      <c r="AA463" t="s">
        <v>1659</v>
      </c>
    </row>
    <row r="464" spans="1:27" ht="15" customHeight="1" x14ac:dyDescent="0.3">
      <c r="A464">
        <v>515</v>
      </c>
      <c r="B464">
        <v>103</v>
      </c>
      <c r="C464" t="s">
        <v>1194</v>
      </c>
      <c r="D464" t="s">
        <v>1195</v>
      </c>
      <c r="E464" t="s">
        <v>903</v>
      </c>
      <c r="F464">
        <v>2025</v>
      </c>
      <c r="G464">
        <v>1</v>
      </c>
      <c r="H464">
        <v>0</v>
      </c>
      <c r="I464">
        <v>10</v>
      </c>
      <c r="J464">
        <v>0</v>
      </c>
      <c r="K464">
        <v>1167000000</v>
      </c>
      <c r="L464">
        <v>1242.5</v>
      </c>
      <c r="M464">
        <v>1449997500</v>
      </c>
      <c r="N464">
        <v>483259000</v>
      </c>
      <c r="O464">
        <v>926008000</v>
      </c>
      <c r="P464">
        <v>121354000</v>
      </c>
      <c r="Q464">
        <v>2.0877319634387601</v>
      </c>
      <c r="R464">
        <v>20.646393431882</v>
      </c>
      <c r="S464">
        <v>0.52187346113640498</v>
      </c>
      <c r="T464">
        <v>0.13105070366562699</v>
      </c>
      <c r="U464">
        <v>1991</v>
      </c>
      <c r="V464">
        <v>34</v>
      </c>
      <c r="Y464">
        <v>1</v>
      </c>
      <c r="Z464" t="s">
        <v>1197</v>
      </c>
      <c r="AA464" t="s">
        <v>1660</v>
      </c>
    </row>
    <row r="465" spans="1:27" ht="15" customHeight="1" x14ac:dyDescent="0.3">
      <c r="A465">
        <v>516</v>
      </c>
      <c r="B465">
        <v>104</v>
      </c>
      <c r="C465" t="s">
        <v>1199</v>
      </c>
      <c r="D465" t="s">
        <v>1200</v>
      </c>
      <c r="E465" t="s">
        <v>709</v>
      </c>
      <c r="F465">
        <v>2021</v>
      </c>
      <c r="G465">
        <v>0</v>
      </c>
      <c r="H465">
        <v>0</v>
      </c>
      <c r="I465">
        <v>0</v>
      </c>
      <c r="J465">
        <v>0</v>
      </c>
      <c r="K465">
        <v>13253000000</v>
      </c>
      <c r="L465">
        <v>0.51</v>
      </c>
      <c r="M465">
        <v>6759030</v>
      </c>
      <c r="N465">
        <v>8584000</v>
      </c>
      <c r="O465">
        <v>21579000</v>
      </c>
      <c r="P465">
        <v>688280</v>
      </c>
      <c r="Q465">
        <v>0.71101672922749004</v>
      </c>
      <c r="R465">
        <v>16.887231177517599</v>
      </c>
      <c r="S465">
        <v>0.397794151721581</v>
      </c>
      <c r="T465">
        <v>3.1895824644330099E-2</v>
      </c>
      <c r="U465">
        <v>1970</v>
      </c>
      <c r="V465">
        <v>51</v>
      </c>
      <c r="Y465">
        <v>0</v>
      </c>
      <c r="Z465" t="s">
        <v>1167</v>
      </c>
      <c r="AA465" t="s">
        <v>1661</v>
      </c>
    </row>
    <row r="466" spans="1:27" ht="15" customHeight="1" x14ac:dyDescent="0.3">
      <c r="A466">
        <v>517</v>
      </c>
      <c r="B466">
        <v>104</v>
      </c>
      <c r="C466" t="s">
        <v>1199</v>
      </c>
      <c r="D466" t="s">
        <v>1200</v>
      </c>
      <c r="E466" t="s">
        <v>709</v>
      </c>
      <c r="F466">
        <v>2022</v>
      </c>
      <c r="G466">
        <v>0</v>
      </c>
      <c r="H466">
        <v>0</v>
      </c>
      <c r="I466">
        <v>0</v>
      </c>
      <c r="J466">
        <v>0</v>
      </c>
      <c r="K466">
        <v>13253000000</v>
      </c>
      <c r="L466">
        <v>0.42030000000000001</v>
      </c>
      <c r="M466">
        <v>5570235.9000000004</v>
      </c>
      <c r="N466">
        <v>8915000</v>
      </c>
      <c r="O466">
        <v>22039000</v>
      </c>
      <c r="P466">
        <v>502260</v>
      </c>
      <c r="Q466">
        <v>0.65725468033939805</v>
      </c>
      <c r="R466">
        <v>16.9083241691688</v>
      </c>
      <c r="S466">
        <v>0.40451018648759002</v>
      </c>
      <c r="T466">
        <v>2.2789600254094999E-2</v>
      </c>
      <c r="U466">
        <v>1970</v>
      </c>
      <c r="V466">
        <v>52</v>
      </c>
      <c r="Y466">
        <v>0</v>
      </c>
      <c r="Z466" t="s">
        <v>1167</v>
      </c>
      <c r="AA466" t="s">
        <v>1662</v>
      </c>
    </row>
    <row r="467" spans="1:27" ht="15" customHeight="1" x14ac:dyDescent="0.3">
      <c r="A467">
        <v>518</v>
      </c>
      <c r="B467">
        <v>104</v>
      </c>
      <c r="C467" t="s">
        <v>1199</v>
      </c>
      <c r="D467" t="s">
        <v>1200</v>
      </c>
      <c r="E467" t="s">
        <v>709</v>
      </c>
      <c r="F467">
        <v>2023</v>
      </c>
      <c r="G467">
        <v>1</v>
      </c>
      <c r="H467">
        <v>0</v>
      </c>
      <c r="I467">
        <v>0</v>
      </c>
      <c r="J467">
        <v>0</v>
      </c>
      <c r="K467">
        <v>13253000000</v>
      </c>
      <c r="L467">
        <v>0.51</v>
      </c>
      <c r="M467">
        <v>6759030</v>
      </c>
      <c r="N467">
        <v>11902000</v>
      </c>
      <c r="O467">
        <v>27851000</v>
      </c>
      <c r="P467">
        <v>1310000</v>
      </c>
      <c r="Q467">
        <v>0.67003087860400001</v>
      </c>
      <c r="R467">
        <v>17.142379430335701</v>
      </c>
      <c r="S467">
        <v>0.42734551721661701</v>
      </c>
      <c r="T467">
        <v>4.7036013069548702E-2</v>
      </c>
      <c r="U467">
        <v>1970</v>
      </c>
      <c r="V467">
        <v>53</v>
      </c>
      <c r="Y467">
        <v>0</v>
      </c>
      <c r="Z467" t="s">
        <v>1167</v>
      </c>
      <c r="AA467" t="s">
        <v>1663</v>
      </c>
    </row>
    <row r="468" spans="1:27" ht="15" customHeight="1" x14ac:dyDescent="0.3">
      <c r="A468">
        <v>519</v>
      </c>
      <c r="B468">
        <v>104</v>
      </c>
      <c r="C468" t="s">
        <v>1199</v>
      </c>
      <c r="D468" t="s">
        <v>1200</v>
      </c>
      <c r="E468" t="s">
        <v>709</v>
      </c>
      <c r="F468">
        <v>2024</v>
      </c>
      <c r="G468">
        <v>1</v>
      </c>
      <c r="H468">
        <v>0</v>
      </c>
      <c r="I468">
        <v>0</v>
      </c>
      <c r="J468">
        <v>0</v>
      </c>
      <c r="K468">
        <v>13253000000</v>
      </c>
      <c r="L468">
        <v>1.2104999999999999</v>
      </c>
      <c r="M468">
        <v>16042756.5</v>
      </c>
      <c r="N468">
        <v>18630000</v>
      </c>
      <c r="O468">
        <v>38004000</v>
      </c>
      <c r="P468">
        <v>3236000</v>
      </c>
      <c r="Q468">
        <v>0.912344924218503</v>
      </c>
      <c r="R468">
        <v>17.453201975308801</v>
      </c>
      <c r="S468">
        <v>0.49021155667824401</v>
      </c>
      <c r="T468">
        <v>8.5148931691400906E-2</v>
      </c>
      <c r="U468">
        <v>1970</v>
      </c>
      <c r="V468">
        <v>54</v>
      </c>
      <c r="Y468">
        <v>0</v>
      </c>
      <c r="Z468" t="s">
        <v>1167</v>
      </c>
      <c r="AA468" t="s">
        <v>1664</v>
      </c>
    </row>
    <row r="469" spans="1:27" ht="15" customHeight="1" x14ac:dyDescent="0.3">
      <c r="A469">
        <v>520</v>
      </c>
      <c r="B469">
        <v>104</v>
      </c>
      <c r="C469" t="s">
        <v>1199</v>
      </c>
      <c r="D469" t="s">
        <v>1200</v>
      </c>
      <c r="E469" t="s">
        <v>709</v>
      </c>
      <c r="F469">
        <v>2025</v>
      </c>
      <c r="G469">
        <v>1</v>
      </c>
      <c r="H469">
        <v>0</v>
      </c>
      <c r="I469">
        <v>0</v>
      </c>
      <c r="J469">
        <v>0</v>
      </c>
      <c r="K469">
        <v>13253000000</v>
      </c>
      <c r="L469">
        <v>1.5802</v>
      </c>
      <c r="M469">
        <v>20942390.600000001</v>
      </c>
      <c r="N469">
        <v>17102000</v>
      </c>
      <c r="O469">
        <v>37347000</v>
      </c>
      <c r="P469">
        <v>609330</v>
      </c>
      <c r="Q469">
        <v>1.01867326960666</v>
      </c>
      <c r="R469">
        <v>17.435763145031999</v>
      </c>
      <c r="S469">
        <v>0.45792165368034898</v>
      </c>
      <c r="T469">
        <v>1.6315366696120201E-2</v>
      </c>
      <c r="U469">
        <v>1970</v>
      </c>
      <c r="V469">
        <v>55</v>
      </c>
      <c r="Y469">
        <v>0</v>
      </c>
      <c r="Z469" t="s">
        <v>1167</v>
      </c>
      <c r="AA469" t="s">
        <v>1665</v>
      </c>
    </row>
    <row r="470" spans="1:27" ht="15" customHeight="1" x14ac:dyDescent="0.3">
      <c r="A470">
        <v>521</v>
      </c>
      <c r="B470">
        <v>105</v>
      </c>
      <c r="C470" t="s">
        <v>1203</v>
      </c>
      <c r="D470" t="s">
        <v>1204</v>
      </c>
      <c r="E470" t="s">
        <v>806</v>
      </c>
      <c r="F470">
        <v>2021</v>
      </c>
      <c r="G470">
        <v>0</v>
      </c>
      <c r="H470">
        <v>0</v>
      </c>
      <c r="I470">
        <v>0</v>
      </c>
      <c r="J470">
        <v>0</v>
      </c>
      <c r="K470">
        <v>3970000000</v>
      </c>
      <c r="L470">
        <v>6.101</v>
      </c>
      <c r="M470">
        <v>24220970</v>
      </c>
      <c r="N470">
        <v>55576000</v>
      </c>
      <c r="O470">
        <v>87345000</v>
      </c>
      <c r="P470">
        <v>1560000</v>
      </c>
      <c r="Q470">
        <v>0.91358371973209695</v>
      </c>
      <c r="R470">
        <v>18.285376351921499</v>
      </c>
      <c r="S470">
        <v>0.63628141278836803</v>
      </c>
      <c r="T470">
        <v>1.7860209513996202E-2</v>
      </c>
      <c r="U470">
        <v>1948</v>
      </c>
      <c r="V470">
        <v>73</v>
      </c>
      <c r="Y470">
        <v>1</v>
      </c>
      <c r="Z470" t="s">
        <v>1012</v>
      </c>
      <c r="AA470" t="s">
        <v>1666</v>
      </c>
    </row>
    <row r="471" spans="1:27" ht="15" customHeight="1" x14ac:dyDescent="0.3">
      <c r="A471">
        <v>522</v>
      </c>
      <c r="B471">
        <v>105</v>
      </c>
      <c r="C471" t="s">
        <v>1203</v>
      </c>
      <c r="D471" t="s">
        <v>1204</v>
      </c>
      <c r="E471" t="s">
        <v>806</v>
      </c>
      <c r="F471">
        <v>2022</v>
      </c>
      <c r="G471">
        <v>0</v>
      </c>
      <c r="H471">
        <v>0</v>
      </c>
      <c r="I471">
        <v>0</v>
      </c>
      <c r="J471">
        <v>0</v>
      </c>
      <c r="K471">
        <v>3970000000</v>
      </c>
      <c r="L471">
        <v>6.101</v>
      </c>
      <c r="M471">
        <v>24220970</v>
      </c>
      <c r="N471">
        <v>71733000</v>
      </c>
      <c r="O471">
        <v>109473000</v>
      </c>
      <c r="P471">
        <v>5970000</v>
      </c>
      <c r="Q471">
        <v>0.87650808875247799</v>
      </c>
      <c r="R471">
        <v>18.511188501473701</v>
      </c>
      <c r="S471">
        <v>0.65525746074374502</v>
      </c>
      <c r="T471">
        <v>5.45339946836206E-2</v>
      </c>
      <c r="U471">
        <v>1948</v>
      </c>
      <c r="V471">
        <v>74</v>
      </c>
      <c r="Y471">
        <v>1</v>
      </c>
      <c r="Z471" t="s">
        <v>1012</v>
      </c>
      <c r="AA471" t="s">
        <v>1667</v>
      </c>
    </row>
    <row r="472" spans="1:27" ht="15" customHeight="1" x14ac:dyDescent="0.3">
      <c r="A472">
        <v>523</v>
      </c>
      <c r="B472">
        <v>105</v>
      </c>
      <c r="C472" t="s">
        <v>1203</v>
      </c>
      <c r="D472" t="s">
        <v>1204</v>
      </c>
      <c r="E472" t="s">
        <v>806</v>
      </c>
      <c r="F472">
        <v>2023</v>
      </c>
      <c r="G472">
        <v>1</v>
      </c>
      <c r="H472">
        <v>0</v>
      </c>
      <c r="I472">
        <v>0</v>
      </c>
      <c r="J472">
        <v>0</v>
      </c>
      <c r="K472">
        <v>3970000000</v>
      </c>
      <c r="L472">
        <v>11.349</v>
      </c>
      <c r="M472">
        <v>45055530</v>
      </c>
      <c r="N472">
        <v>118006000</v>
      </c>
      <c r="O472">
        <v>166366000</v>
      </c>
      <c r="P472">
        <v>12893000</v>
      </c>
      <c r="Q472">
        <v>0.98013734777538697</v>
      </c>
      <c r="R472">
        <v>18.9297007385507</v>
      </c>
      <c r="S472">
        <v>0.70931560535205496</v>
      </c>
      <c r="T472">
        <v>7.7497806042100006E-2</v>
      </c>
      <c r="U472">
        <v>1948</v>
      </c>
      <c r="V472">
        <v>75</v>
      </c>
      <c r="Y472">
        <v>1</v>
      </c>
      <c r="Z472" t="s">
        <v>1012</v>
      </c>
      <c r="AA472" t="s">
        <v>1668</v>
      </c>
    </row>
    <row r="473" spans="1:27" ht="15" customHeight="1" x14ac:dyDescent="0.3">
      <c r="A473">
        <v>524</v>
      </c>
      <c r="B473">
        <v>105</v>
      </c>
      <c r="C473" t="s">
        <v>1203</v>
      </c>
      <c r="D473" t="s">
        <v>1204</v>
      </c>
      <c r="E473" t="s">
        <v>806</v>
      </c>
      <c r="F473">
        <v>2024</v>
      </c>
      <c r="G473">
        <v>1</v>
      </c>
      <c r="H473">
        <v>0</v>
      </c>
      <c r="I473">
        <v>5</v>
      </c>
      <c r="J473">
        <v>0</v>
      </c>
      <c r="K473">
        <v>3970000000</v>
      </c>
      <c r="L473">
        <v>26.702999999999999</v>
      </c>
      <c r="M473">
        <v>106010910</v>
      </c>
      <c r="N473">
        <v>184567000</v>
      </c>
      <c r="O473">
        <v>157060000</v>
      </c>
      <c r="P473">
        <v>-82702000</v>
      </c>
      <c r="Q473">
        <v>1.8501076658601801</v>
      </c>
      <c r="R473">
        <v>18.872138455910999</v>
      </c>
      <c r="S473">
        <v>1.1751368903603701</v>
      </c>
      <c r="T473">
        <v>-0.52656309690564096</v>
      </c>
      <c r="U473">
        <v>1948</v>
      </c>
      <c r="V473">
        <v>76</v>
      </c>
      <c r="Y473">
        <v>1</v>
      </c>
      <c r="Z473" t="s">
        <v>1012</v>
      </c>
      <c r="AA473" t="s">
        <v>1669</v>
      </c>
    </row>
    <row r="474" spans="1:27" ht="15" customHeight="1" x14ac:dyDescent="0.3">
      <c r="A474">
        <v>525</v>
      </c>
      <c r="B474">
        <v>105</v>
      </c>
      <c r="C474" t="s">
        <v>1203</v>
      </c>
      <c r="D474" t="s">
        <v>1204</v>
      </c>
      <c r="E474" t="s">
        <v>806</v>
      </c>
      <c r="F474">
        <v>2025</v>
      </c>
      <c r="G474">
        <v>1</v>
      </c>
      <c r="H474">
        <v>0</v>
      </c>
      <c r="I474">
        <v>5</v>
      </c>
      <c r="J474">
        <v>0</v>
      </c>
      <c r="K474">
        <v>3970000000</v>
      </c>
      <c r="L474">
        <v>24.3</v>
      </c>
      <c r="M474">
        <v>96471000</v>
      </c>
      <c r="N474">
        <v>186244000</v>
      </c>
      <c r="O474">
        <v>168902000</v>
      </c>
      <c r="P474">
        <v>9208000</v>
      </c>
      <c r="Q474">
        <v>1.6738404518596599</v>
      </c>
      <c r="R474">
        <v>18.944829223034102</v>
      </c>
      <c r="S474">
        <v>1.1026749239203799</v>
      </c>
      <c r="T474">
        <v>5.45168204047317E-2</v>
      </c>
      <c r="U474">
        <v>1948</v>
      </c>
      <c r="V474">
        <v>77</v>
      </c>
      <c r="Y474">
        <v>1</v>
      </c>
      <c r="Z474" t="s">
        <v>1012</v>
      </c>
      <c r="AA474" t="s">
        <v>1670</v>
      </c>
    </row>
    <row r="475" spans="1:27" ht="15" customHeight="1" x14ac:dyDescent="0.3">
      <c r="A475">
        <v>526</v>
      </c>
      <c r="B475">
        <v>106</v>
      </c>
      <c r="C475" t="s">
        <v>1207</v>
      </c>
      <c r="D475" t="s">
        <v>1208</v>
      </c>
      <c r="E475" t="s">
        <v>715</v>
      </c>
      <c r="F475">
        <v>2021</v>
      </c>
      <c r="G475">
        <v>0</v>
      </c>
      <c r="H475">
        <v>0</v>
      </c>
      <c r="I475">
        <v>0</v>
      </c>
      <c r="J475">
        <v>0</v>
      </c>
      <c r="K475">
        <v>954420000</v>
      </c>
      <c r="L475">
        <v>3.448</v>
      </c>
      <c r="M475">
        <v>3290840.16</v>
      </c>
      <c r="N475">
        <v>3310000</v>
      </c>
      <c r="O475">
        <v>7540000</v>
      </c>
      <c r="P475">
        <v>150070</v>
      </c>
      <c r="Q475">
        <v>0.87544299204244003</v>
      </c>
      <c r="R475">
        <v>15.835732739984101</v>
      </c>
      <c r="S475">
        <v>0.43899204244031798</v>
      </c>
      <c r="T475">
        <v>1.99031830238727E-2</v>
      </c>
      <c r="U475">
        <v>1992</v>
      </c>
      <c r="V475">
        <v>29</v>
      </c>
      <c r="Y475">
        <v>1</v>
      </c>
      <c r="Z475" t="s">
        <v>727</v>
      </c>
      <c r="AA475" t="s">
        <v>1671</v>
      </c>
    </row>
    <row r="476" spans="1:27" ht="15" customHeight="1" x14ac:dyDescent="0.3">
      <c r="A476">
        <v>527</v>
      </c>
      <c r="B476">
        <v>106</v>
      </c>
      <c r="C476" t="s">
        <v>1207</v>
      </c>
      <c r="D476" t="s">
        <v>1208</v>
      </c>
      <c r="E476" t="s">
        <v>715</v>
      </c>
      <c r="F476">
        <v>2022</v>
      </c>
      <c r="G476">
        <v>0</v>
      </c>
      <c r="H476">
        <v>0</v>
      </c>
      <c r="I476">
        <v>0</v>
      </c>
      <c r="J476">
        <v>0</v>
      </c>
      <c r="K476">
        <v>954450000</v>
      </c>
      <c r="L476">
        <v>3.448</v>
      </c>
      <c r="M476">
        <v>3290943.6</v>
      </c>
      <c r="N476">
        <v>3559000</v>
      </c>
      <c r="O476">
        <v>7752000</v>
      </c>
      <c r="P476">
        <v>87810</v>
      </c>
      <c r="Q476">
        <v>0.88363565531475696</v>
      </c>
      <c r="R476">
        <v>15.8634614325527</v>
      </c>
      <c r="S476">
        <v>0.45910732714138303</v>
      </c>
      <c r="T476">
        <v>1.1327399380805001E-2</v>
      </c>
      <c r="U476">
        <v>1992</v>
      </c>
      <c r="V476">
        <v>30</v>
      </c>
      <c r="Y476">
        <v>1</v>
      </c>
      <c r="Z476" t="s">
        <v>727</v>
      </c>
      <c r="AA476" t="s">
        <v>1672</v>
      </c>
    </row>
    <row r="477" spans="1:27" ht="15" customHeight="1" x14ac:dyDescent="0.3">
      <c r="A477">
        <v>528</v>
      </c>
      <c r="B477">
        <v>106</v>
      </c>
      <c r="C477" t="s">
        <v>1207</v>
      </c>
      <c r="D477" t="s">
        <v>1208</v>
      </c>
      <c r="E477" t="s">
        <v>715</v>
      </c>
      <c r="F477">
        <v>2023</v>
      </c>
      <c r="G477">
        <v>1</v>
      </c>
      <c r="H477">
        <v>0</v>
      </c>
      <c r="I477">
        <v>0</v>
      </c>
      <c r="J477">
        <v>0</v>
      </c>
      <c r="K477">
        <v>954420000</v>
      </c>
      <c r="L477">
        <v>2.2629999999999999</v>
      </c>
      <c r="M477">
        <v>2159852.46</v>
      </c>
      <c r="N477">
        <v>4080000</v>
      </c>
      <c r="O477">
        <v>8658000</v>
      </c>
      <c r="P477">
        <v>313900</v>
      </c>
      <c r="Q477">
        <v>0.72070367983368</v>
      </c>
      <c r="R477">
        <v>15.9739943069841</v>
      </c>
      <c r="S477">
        <v>0.47124047124047103</v>
      </c>
      <c r="T477">
        <v>3.6255486255486302E-2</v>
      </c>
      <c r="U477">
        <v>1992</v>
      </c>
      <c r="V477">
        <v>31</v>
      </c>
      <c r="Y477">
        <v>1</v>
      </c>
      <c r="Z477" t="s">
        <v>727</v>
      </c>
      <c r="AA477" t="s">
        <v>1673</v>
      </c>
    </row>
    <row r="478" spans="1:27" ht="15" customHeight="1" x14ac:dyDescent="0.3">
      <c r="A478">
        <v>529</v>
      </c>
      <c r="B478">
        <v>106</v>
      </c>
      <c r="C478" t="s">
        <v>1207</v>
      </c>
      <c r="D478" t="s">
        <v>1208</v>
      </c>
      <c r="E478" t="s">
        <v>715</v>
      </c>
      <c r="F478">
        <v>2024</v>
      </c>
      <c r="G478">
        <v>1</v>
      </c>
      <c r="H478">
        <v>0</v>
      </c>
      <c r="I478">
        <v>5</v>
      </c>
      <c r="J478">
        <v>0</v>
      </c>
      <c r="K478">
        <v>954420000</v>
      </c>
      <c r="L478">
        <v>3.1850000000000001</v>
      </c>
      <c r="M478">
        <v>3039827.7</v>
      </c>
      <c r="N478">
        <v>4570000</v>
      </c>
      <c r="O478">
        <v>9244000</v>
      </c>
      <c r="P478">
        <v>343000</v>
      </c>
      <c r="Q478">
        <v>0.82321805495456502</v>
      </c>
      <c r="R478">
        <v>16.039485250376401</v>
      </c>
      <c r="S478">
        <v>0.494374729554306</v>
      </c>
      <c r="T478">
        <v>3.7105149286023403E-2</v>
      </c>
      <c r="U478">
        <v>1992</v>
      </c>
      <c r="V478">
        <v>32</v>
      </c>
      <c r="Y478">
        <v>1</v>
      </c>
      <c r="Z478" t="s">
        <v>727</v>
      </c>
      <c r="AA478" t="s">
        <v>1674</v>
      </c>
    </row>
    <row r="479" spans="1:27" ht="15" customHeight="1" x14ac:dyDescent="0.3">
      <c r="A479">
        <v>530</v>
      </c>
      <c r="B479">
        <v>106</v>
      </c>
      <c r="C479" t="s">
        <v>1207</v>
      </c>
      <c r="D479" t="s">
        <v>1208</v>
      </c>
      <c r="E479" t="s">
        <v>715</v>
      </c>
      <c r="F479">
        <v>2025</v>
      </c>
      <c r="G479">
        <v>1</v>
      </c>
      <c r="H479">
        <v>0</v>
      </c>
      <c r="I479">
        <v>5</v>
      </c>
      <c r="J479">
        <v>0</v>
      </c>
      <c r="K479">
        <v>954420000</v>
      </c>
      <c r="L479">
        <v>4.4109999999999996</v>
      </c>
      <c r="M479">
        <v>4209946.62</v>
      </c>
      <c r="N479">
        <v>5396000</v>
      </c>
      <c r="O479">
        <v>10279000</v>
      </c>
      <c r="P479">
        <v>546520</v>
      </c>
      <c r="Q479">
        <v>0.93452151182021603</v>
      </c>
      <c r="R479">
        <v>16.1456135369951</v>
      </c>
      <c r="S479">
        <v>0.52495378927911296</v>
      </c>
      <c r="T479">
        <v>5.3168596166942299E-2</v>
      </c>
      <c r="U479">
        <v>1992</v>
      </c>
      <c r="V479">
        <v>33</v>
      </c>
      <c r="Y479">
        <v>1</v>
      </c>
      <c r="Z479" t="s">
        <v>727</v>
      </c>
      <c r="AA479" t="s">
        <v>1675</v>
      </c>
    </row>
    <row r="480" spans="1:27" ht="15" customHeight="1" x14ac:dyDescent="0.3">
      <c r="A480">
        <v>531</v>
      </c>
      <c r="B480">
        <v>107</v>
      </c>
      <c r="C480" t="s">
        <v>1211</v>
      </c>
      <c r="D480" t="s">
        <v>1212</v>
      </c>
      <c r="E480" t="s">
        <v>709</v>
      </c>
      <c r="F480">
        <v>2021</v>
      </c>
      <c r="G480">
        <v>0</v>
      </c>
      <c r="H480">
        <v>0</v>
      </c>
      <c r="I480">
        <v>0</v>
      </c>
      <c r="J480">
        <v>0</v>
      </c>
      <c r="K480">
        <v>16005000000</v>
      </c>
      <c r="L480">
        <v>0.21240000000000001</v>
      </c>
      <c r="M480">
        <v>3399462</v>
      </c>
      <c r="N480">
        <v>5146000</v>
      </c>
      <c r="O480">
        <v>11869000</v>
      </c>
      <c r="P480">
        <v>322430</v>
      </c>
      <c r="Q480">
        <v>0.71998163282500605</v>
      </c>
      <c r="R480">
        <v>16.289440517038599</v>
      </c>
      <c r="S480">
        <v>0.43356643356643398</v>
      </c>
      <c r="T480">
        <v>2.71657258404246E-2</v>
      </c>
      <c r="U480">
        <v>1993</v>
      </c>
      <c r="V480">
        <v>28</v>
      </c>
      <c r="Y480">
        <v>0</v>
      </c>
      <c r="Z480" t="s">
        <v>1167</v>
      </c>
      <c r="AA480" t="s">
        <v>1676</v>
      </c>
    </row>
    <row r="481" spans="1:27" ht="15" customHeight="1" x14ac:dyDescent="0.3">
      <c r="A481">
        <v>532</v>
      </c>
      <c r="B481">
        <v>107</v>
      </c>
      <c r="C481" t="s">
        <v>1211</v>
      </c>
      <c r="D481" t="s">
        <v>1212</v>
      </c>
      <c r="E481" t="s">
        <v>709</v>
      </c>
      <c r="F481">
        <v>2022</v>
      </c>
      <c r="G481">
        <v>0</v>
      </c>
      <c r="H481">
        <v>0</v>
      </c>
      <c r="I481">
        <v>0</v>
      </c>
      <c r="J481">
        <v>0</v>
      </c>
      <c r="K481">
        <v>16005000000</v>
      </c>
      <c r="L481">
        <v>0.10440000000000001</v>
      </c>
      <c r="M481">
        <v>1670922</v>
      </c>
      <c r="N481">
        <v>5349000</v>
      </c>
      <c r="O481">
        <v>12371000</v>
      </c>
      <c r="P481">
        <v>594590</v>
      </c>
      <c r="Q481">
        <v>0.56744984237329199</v>
      </c>
      <c r="R481">
        <v>16.330865581845</v>
      </c>
      <c r="S481">
        <v>0.43238218414032797</v>
      </c>
      <c r="T481">
        <v>4.8063212351467099E-2</v>
      </c>
      <c r="U481">
        <v>1993</v>
      </c>
      <c r="V481">
        <v>29</v>
      </c>
      <c r="Y481">
        <v>0</v>
      </c>
      <c r="Z481" t="s">
        <v>1167</v>
      </c>
      <c r="AA481" t="s">
        <v>1677</v>
      </c>
    </row>
    <row r="482" spans="1:27" ht="15" customHeight="1" x14ac:dyDescent="0.3">
      <c r="A482">
        <v>533</v>
      </c>
      <c r="B482">
        <v>107</v>
      </c>
      <c r="C482" t="s">
        <v>1211</v>
      </c>
      <c r="D482" t="s">
        <v>1212</v>
      </c>
      <c r="E482" t="s">
        <v>709</v>
      </c>
      <c r="F482">
        <v>2023</v>
      </c>
      <c r="G482">
        <v>1</v>
      </c>
      <c r="H482">
        <v>0</v>
      </c>
      <c r="I482">
        <v>0</v>
      </c>
      <c r="J482">
        <v>0</v>
      </c>
      <c r="K482">
        <v>16005000000</v>
      </c>
      <c r="L482">
        <v>0.15809999999999999</v>
      </c>
      <c r="M482">
        <v>2530390.5</v>
      </c>
      <c r="N482">
        <v>7048000</v>
      </c>
      <c r="O482">
        <v>18848000</v>
      </c>
      <c r="P482">
        <v>1943000</v>
      </c>
      <c r="Q482">
        <v>0.50819134656196896</v>
      </c>
      <c r="R482">
        <v>16.751917365433499</v>
      </c>
      <c r="S482">
        <v>0.37393887945670601</v>
      </c>
      <c r="T482">
        <v>0.103087860780985</v>
      </c>
      <c r="U482">
        <v>1993</v>
      </c>
      <c r="V482">
        <v>30</v>
      </c>
      <c r="Y482">
        <v>0</v>
      </c>
      <c r="Z482" t="s">
        <v>1167</v>
      </c>
      <c r="AA482" t="s">
        <v>1678</v>
      </c>
    </row>
    <row r="483" spans="1:27" ht="15" customHeight="1" x14ac:dyDescent="0.3">
      <c r="A483">
        <v>534</v>
      </c>
      <c r="B483">
        <v>107</v>
      </c>
      <c r="C483" t="s">
        <v>1211</v>
      </c>
      <c r="D483" t="s">
        <v>1212</v>
      </c>
      <c r="E483" t="s">
        <v>709</v>
      </c>
      <c r="F483">
        <v>2024</v>
      </c>
      <c r="G483">
        <v>1</v>
      </c>
      <c r="H483">
        <v>0</v>
      </c>
      <c r="I483">
        <v>5</v>
      </c>
      <c r="J483">
        <v>0</v>
      </c>
      <c r="K483">
        <v>16005000000</v>
      </c>
      <c r="L483">
        <v>0.56230000000000002</v>
      </c>
      <c r="M483">
        <v>8999611.5</v>
      </c>
      <c r="N483">
        <v>7790000</v>
      </c>
      <c r="O483">
        <v>21857000</v>
      </c>
      <c r="P483">
        <v>2266000</v>
      </c>
      <c r="Q483">
        <v>0.76815718076588702</v>
      </c>
      <c r="R483">
        <v>16.9000317943323</v>
      </c>
      <c r="S483">
        <v>0.35640755821933501</v>
      </c>
      <c r="T483">
        <v>0.103673880221439</v>
      </c>
      <c r="U483">
        <v>1993</v>
      </c>
      <c r="V483">
        <v>31</v>
      </c>
      <c r="Y483">
        <v>0</v>
      </c>
      <c r="Z483" t="s">
        <v>1167</v>
      </c>
      <c r="AA483" t="s">
        <v>1679</v>
      </c>
    </row>
    <row r="484" spans="1:27" ht="15" customHeight="1" x14ac:dyDescent="0.3">
      <c r="A484">
        <v>535</v>
      </c>
      <c r="B484">
        <v>107</v>
      </c>
      <c r="C484" t="s">
        <v>1211</v>
      </c>
      <c r="D484" t="s">
        <v>1212</v>
      </c>
      <c r="E484" t="s">
        <v>709</v>
      </c>
      <c r="F484">
        <v>2025</v>
      </c>
      <c r="G484">
        <v>1</v>
      </c>
      <c r="H484">
        <v>0</v>
      </c>
      <c r="I484">
        <v>10</v>
      </c>
      <c r="J484">
        <v>0</v>
      </c>
      <c r="K484">
        <v>16024000000</v>
      </c>
      <c r="L484">
        <v>1.079</v>
      </c>
      <c r="M484">
        <v>17289896</v>
      </c>
      <c r="N484">
        <v>7655000</v>
      </c>
      <c r="O484">
        <v>22245000</v>
      </c>
      <c r="P484">
        <v>618530</v>
      </c>
      <c r="Q484">
        <v>1.1213709148123201</v>
      </c>
      <c r="R484">
        <v>16.9176278222223</v>
      </c>
      <c r="S484">
        <v>0.34412227466846501</v>
      </c>
      <c r="T484">
        <v>2.7805349516745299E-2</v>
      </c>
      <c r="U484">
        <v>1993</v>
      </c>
      <c r="V484">
        <v>32</v>
      </c>
      <c r="Y484">
        <v>0</v>
      </c>
      <c r="Z484" t="s">
        <v>1167</v>
      </c>
      <c r="AA484" t="s">
        <v>1680</v>
      </c>
    </row>
    <row r="485" spans="1:27" ht="15" customHeight="1" x14ac:dyDescent="0.3">
      <c r="A485">
        <v>536</v>
      </c>
      <c r="B485">
        <v>108</v>
      </c>
      <c r="C485" t="s">
        <v>1216</v>
      </c>
      <c r="D485" t="s">
        <v>1217</v>
      </c>
      <c r="E485" t="s">
        <v>780</v>
      </c>
      <c r="F485">
        <v>2021</v>
      </c>
      <c r="G485">
        <v>0</v>
      </c>
      <c r="H485">
        <v>0</v>
      </c>
      <c r="I485">
        <v>0</v>
      </c>
      <c r="J485">
        <v>0</v>
      </c>
      <c r="K485">
        <v>91000000</v>
      </c>
      <c r="L485">
        <v>81</v>
      </c>
      <c r="M485">
        <v>7371000</v>
      </c>
      <c r="N485">
        <v>4421501</v>
      </c>
      <c r="O485">
        <v>18586180</v>
      </c>
      <c r="P485">
        <v>4898754</v>
      </c>
      <c r="Q485">
        <v>0.63447685323181002</v>
      </c>
      <c r="R485">
        <v>16.737928851761399</v>
      </c>
      <c r="S485">
        <v>0.23789186373961699</v>
      </c>
      <c r="T485">
        <v>0.26356970609345198</v>
      </c>
      <c r="U485">
        <v>2008</v>
      </c>
      <c r="V485">
        <v>13</v>
      </c>
      <c r="Y485">
        <v>0</v>
      </c>
      <c r="Z485" t="s">
        <v>1219</v>
      </c>
      <c r="AA485" t="s">
        <v>1681</v>
      </c>
    </row>
    <row r="486" spans="1:27" ht="15" customHeight="1" x14ac:dyDescent="0.3">
      <c r="A486">
        <v>537</v>
      </c>
      <c r="B486">
        <v>108</v>
      </c>
      <c r="C486" t="s">
        <v>1216</v>
      </c>
      <c r="D486" t="s">
        <v>1217</v>
      </c>
      <c r="E486" t="s">
        <v>780</v>
      </c>
      <c r="F486">
        <v>2022</v>
      </c>
      <c r="G486">
        <v>0</v>
      </c>
      <c r="H486">
        <v>0</v>
      </c>
      <c r="I486">
        <v>0</v>
      </c>
      <c r="J486">
        <v>0</v>
      </c>
      <c r="K486">
        <v>91000000</v>
      </c>
      <c r="L486">
        <v>81</v>
      </c>
      <c r="M486">
        <v>7371000</v>
      </c>
      <c r="N486">
        <v>1558227</v>
      </c>
      <c r="O486">
        <v>20907432</v>
      </c>
      <c r="P486">
        <v>1033885</v>
      </c>
      <c r="Q486">
        <v>0.42708387141950299</v>
      </c>
      <c r="R486">
        <v>16.855615251811098</v>
      </c>
      <c r="S486">
        <v>7.4529813130565198E-2</v>
      </c>
      <c r="T486">
        <v>4.9450597280431198E-2</v>
      </c>
      <c r="U486">
        <v>2008</v>
      </c>
      <c r="V486">
        <v>14</v>
      </c>
      <c r="Y486">
        <v>0</v>
      </c>
      <c r="Z486" t="s">
        <v>1219</v>
      </c>
      <c r="AA486" t="s">
        <v>1682</v>
      </c>
    </row>
    <row r="487" spans="1:27" ht="15" customHeight="1" x14ac:dyDescent="0.3">
      <c r="A487">
        <v>538</v>
      </c>
      <c r="B487">
        <v>108</v>
      </c>
      <c r="C487" t="s">
        <v>1216</v>
      </c>
      <c r="D487" t="s">
        <v>1217</v>
      </c>
      <c r="E487" t="s">
        <v>780</v>
      </c>
      <c r="F487">
        <v>2023</v>
      </c>
      <c r="G487">
        <v>1</v>
      </c>
      <c r="H487">
        <v>0</v>
      </c>
      <c r="I487">
        <v>0</v>
      </c>
      <c r="J487">
        <v>0</v>
      </c>
      <c r="K487">
        <v>91000000</v>
      </c>
      <c r="L487">
        <v>81</v>
      </c>
      <c r="M487">
        <v>7371000</v>
      </c>
      <c r="N487">
        <v>1583266</v>
      </c>
      <c r="O487">
        <v>21668265</v>
      </c>
      <c r="P487">
        <v>735794</v>
      </c>
      <c r="Q487">
        <v>0.41324333074198599</v>
      </c>
      <c r="R487">
        <v>16.891359305701801</v>
      </c>
      <c r="S487">
        <v>7.30684251830961E-2</v>
      </c>
      <c r="T487">
        <v>3.3957218079066299E-2</v>
      </c>
      <c r="U487">
        <v>2008</v>
      </c>
      <c r="V487">
        <v>15</v>
      </c>
      <c r="Y487">
        <v>0</v>
      </c>
      <c r="Z487" t="s">
        <v>1219</v>
      </c>
      <c r="AA487" t="s">
        <v>1683</v>
      </c>
    </row>
    <row r="488" spans="1:27" ht="15" customHeight="1" x14ac:dyDescent="0.3">
      <c r="A488">
        <v>539</v>
      </c>
      <c r="B488">
        <v>108</v>
      </c>
      <c r="C488" t="s">
        <v>1216</v>
      </c>
      <c r="D488" t="s">
        <v>1217</v>
      </c>
      <c r="E488" t="s">
        <v>780</v>
      </c>
      <c r="F488">
        <v>2024</v>
      </c>
      <c r="G488">
        <v>1</v>
      </c>
      <c r="H488">
        <v>0</v>
      </c>
      <c r="I488">
        <v>0</v>
      </c>
      <c r="J488">
        <v>0</v>
      </c>
      <c r="K488">
        <v>101000000</v>
      </c>
      <c r="L488">
        <v>81</v>
      </c>
      <c r="M488">
        <v>8181000</v>
      </c>
      <c r="N488">
        <v>5911112</v>
      </c>
      <c r="O488">
        <v>10722766</v>
      </c>
      <c r="P488">
        <v>-2338179</v>
      </c>
      <c r="Q488">
        <v>1.3142235874586801</v>
      </c>
      <c r="R488">
        <v>16.187879702712902</v>
      </c>
      <c r="S488">
        <v>0.55126746214549505</v>
      </c>
      <c r="T488">
        <v>-0.21805744898284601</v>
      </c>
      <c r="U488">
        <v>2008</v>
      </c>
      <c r="V488">
        <v>16</v>
      </c>
      <c r="Y488">
        <v>0</v>
      </c>
      <c r="Z488" t="s">
        <v>1219</v>
      </c>
      <c r="AA488" t="s">
        <v>1684</v>
      </c>
    </row>
    <row r="489" spans="1:27" ht="15" customHeight="1" x14ac:dyDescent="0.3">
      <c r="A489">
        <v>540</v>
      </c>
      <c r="B489">
        <v>108</v>
      </c>
      <c r="C489" t="s">
        <v>1216</v>
      </c>
      <c r="D489" t="s">
        <v>1217</v>
      </c>
      <c r="E489" t="s">
        <v>780</v>
      </c>
      <c r="F489">
        <v>2025</v>
      </c>
      <c r="G489">
        <v>1</v>
      </c>
      <c r="H489">
        <v>0</v>
      </c>
      <c r="I489">
        <v>0</v>
      </c>
      <c r="J489">
        <v>0</v>
      </c>
      <c r="K489">
        <v>101000000</v>
      </c>
      <c r="L489">
        <v>81</v>
      </c>
      <c r="M489">
        <v>8181000</v>
      </c>
      <c r="N489">
        <v>7730586</v>
      </c>
      <c r="O489">
        <v>9775962</v>
      </c>
      <c r="P489">
        <v>-5984281</v>
      </c>
      <c r="Q489">
        <v>1.6276235525465399</v>
      </c>
      <c r="R489">
        <v>16.095437073315601</v>
      </c>
      <c r="S489">
        <v>0.79077496414163595</v>
      </c>
      <c r="T489">
        <v>-0.61214241626553001</v>
      </c>
      <c r="U489">
        <v>2008</v>
      </c>
      <c r="V489">
        <v>17</v>
      </c>
      <c r="Y489">
        <v>0</v>
      </c>
      <c r="Z489" t="s">
        <v>1219</v>
      </c>
      <c r="AA489" t="s">
        <v>1685</v>
      </c>
    </row>
    <row r="490" spans="1:27" ht="15" customHeight="1" x14ac:dyDescent="0.3">
      <c r="A490">
        <v>541</v>
      </c>
      <c r="B490">
        <v>109</v>
      </c>
      <c r="C490" t="s">
        <v>1221</v>
      </c>
      <c r="D490" t="s">
        <v>1222</v>
      </c>
      <c r="E490" t="s">
        <v>709</v>
      </c>
      <c r="F490">
        <v>2021</v>
      </c>
      <c r="G490">
        <v>0</v>
      </c>
      <c r="H490">
        <v>0</v>
      </c>
      <c r="I490">
        <v>0</v>
      </c>
      <c r="J490">
        <v>0</v>
      </c>
      <c r="K490">
        <v>5145000000</v>
      </c>
      <c r="L490">
        <v>0.88049999999999995</v>
      </c>
      <c r="M490">
        <v>4530172.5</v>
      </c>
      <c r="N490">
        <v>12254000</v>
      </c>
      <c r="O490">
        <v>14263000</v>
      </c>
      <c r="P490">
        <v>-1697000</v>
      </c>
      <c r="Q490">
        <v>1.17676312837412</v>
      </c>
      <c r="R490">
        <v>16.473179329505601</v>
      </c>
      <c r="S490">
        <v>0.859146042207109</v>
      </c>
      <c r="T490">
        <v>-0.118979176891257</v>
      </c>
      <c r="U490">
        <v>1969</v>
      </c>
      <c r="V490">
        <v>52</v>
      </c>
      <c r="Y490">
        <v>1</v>
      </c>
      <c r="Z490" t="s">
        <v>1223</v>
      </c>
      <c r="AA490" t="s">
        <v>1686</v>
      </c>
    </row>
    <row r="491" spans="1:27" ht="15" customHeight="1" x14ac:dyDescent="0.3">
      <c r="A491">
        <v>542</v>
      </c>
      <c r="B491">
        <v>109</v>
      </c>
      <c r="C491" t="s">
        <v>1221</v>
      </c>
      <c r="D491" t="s">
        <v>1222</v>
      </c>
      <c r="E491" t="s">
        <v>709</v>
      </c>
      <c r="F491">
        <v>2022</v>
      </c>
      <c r="G491">
        <v>0</v>
      </c>
      <c r="H491">
        <v>0</v>
      </c>
      <c r="I491">
        <v>0</v>
      </c>
      <c r="J491">
        <v>0</v>
      </c>
      <c r="K491">
        <v>5145000000</v>
      </c>
      <c r="L491">
        <v>1.0591999999999999</v>
      </c>
      <c r="M491">
        <v>5449584</v>
      </c>
      <c r="N491">
        <v>5523000</v>
      </c>
      <c r="O491">
        <v>7628000</v>
      </c>
      <c r="P491">
        <v>-289210</v>
      </c>
      <c r="Q491">
        <v>1.4384614577871</v>
      </c>
      <c r="R491">
        <v>15.847336245702399</v>
      </c>
      <c r="S491">
        <v>0.72404299947561601</v>
      </c>
      <c r="T491">
        <v>-3.7914263240692199E-2</v>
      </c>
      <c r="U491">
        <v>1969</v>
      </c>
      <c r="V491">
        <v>53</v>
      </c>
      <c r="Y491">
        <v>1</v>
      </c>
      <c r="Z491" t="s">
        <v>1223</v>
      </c>
      <c r="AA491" t="s">
        <v>1687</v>
      </c>
    </row>
    <row r="492" spans="1:27" ht="15" customHeight="1" x14ac:dyDescent="0.3">
      <c r="A492">
        <v>543</v>
      </c>
      <c r="B492">
        <v>109</v>
      </c>
      <c r="C492" t="s">
        <v>1221</v>
      </c>
      <c r="D492" t="s">
        <v>1222</v>
      </c>
      <c r="E492" t="s">
        <v>709</v>
      </c>
      <c r="F492">
        <v>2023</v>
      </c>
      <c r="G492">
        <v>1</v>
      </c>
      <c r="H492">
        <v>0</v>
      </c>
      <c r="I492">
        <v>25</v>
      </c>
      <c r="J492">
        <v>20</v>
      </c>
      <c r="K492">
        <v>5145000000</v>
      </c>
      <c r="L492">
        <v>0.62980000000000003</v>
      </c>
      <c r="M492">
        <v>3240321</v>
      </c>
      <c r="N492">
        <v>4279000</v>
      </c>
      <c r="O492">
        <v>8070000</v>
      </c>
      <c r="P492">
        <v>-206220</v>
      </c>
      <c r="Q492">
        <v>0.93176220570012402</v>
      </c>
      <c r="R492">
        <v>15.903664040246101</v>
      </c>
      <c r="S492">
        <v>0.53023543990086697</v>
      </c>
      <c r="T492">
        <v>-2.5553903345724899E-2</v>
      </c>
      <c r="U492">
        <v>1969</v>
      </c>
      <c r="V492">
        <v>54</v>
      </c>
      <c r="Y492">
        <v>0</v>
      </c>
      <c r="Z492" t="s">
        <v>1223</v>
      </c>
      <c r="AA492" t="s">
        <v>1688</v>
      </c>
    </row>
    <row r="493" spans="1:27" ht="15" customHeight="1" x14ac:dyDescent="0.3">
      <c r="A493">
        <v>544</v>
      </c>
      <c r="B493">
        <v>109</v>
      </c>
      <c r="C493" t="s">
        <v>1221</v>
      </c>
      <c r="D493" t="s">
        <v>1222</v>
      </c>
      <c r="E493" t="s">
        <v>709</v>
      </c>
      <c r="F493">
        <v>2024</v>
      </c>
      <c r="G493">
        <v>1</v>
      </c>
      <c r="H493">
        <v>0</v>
      </c>
      <c r="I493">
        <v>25</v>
      </c>
      <c r="J493">
        <v>20</v>
      </c>
      <c r="K493">
        <v>7738000000</v>
      </c>
      <c r="L493">
        <v>1.0688</v>
      </c>
      <c r="M493">
        <v>8270374.4000000004</v>
      </c>
      <c r="N493">
        <v>2949000</v>
      </c>
      <c r="O493">
        <v>9205000</v>
      </c>
      <c r="P493">
        <v>1006000</v>
      </c>
      <c r="Q493">
        <v>1.2188348071700199</v>
      </c>
      <c r="R493">
        <v>16.035257372649301</v>
      </c>
      <c r="S493">
        <v>0.32036936447582798</v>
      </c>
      <c r="T493">
        <v>0.109288430200978</v>
      </c>
      <c r="U493">
        <v>1969</v>
      </c>
      <c r="V493">
        <v>55</v>
      </c>
      <c r="Y493">
        <v>0</v>
      </c>
      <c r="Z493" t="s">
        <v>1223</v>
      </c>
      <c r="AA493" t="s">
        <v>1689</v>
      </c>
    </row>
    <row r="494" spans="1:27" ht="15" customHeight="1" x14ac:dyDescent="0.3">
      <c r="A494">
        <v>545</v>
      </c>
      <c r="B494">
        <v>109</v>
      </c>
      <c r="C494" t="s">
        <v>1221</v>
      </c>
      <c r="D494" t="s">
        <v>1222</v>
      </c>
      <c r="E494" t="s">
        <v>709</v>
      </c>
      <c r="F494">
        <v>2025</v>
      </c>
      <c r="G494">
        <v>1</v>
      </c>
      <c r="H494">
        <v>0</v>
      </c>
      <c r="I494">
        <v>25</v>
      </c>
      <c r="J494">
        <v>20</v>
      </c>
      <c r="K494">
        <v>8267000000</v>
      </c>
      <c r="L494">
        <v>1.8605</v>
      </c>
      <c r="M494">
        <v>15380753.5</v>
      </c>
      <c r="N494">
        <v>4896000</v>
      </c>
      <c r="O494">
        <v>12004000</v>
      </c>
      <c r="P494">
        <v>851430</v>
      </c>
      <c r="Q494">
        <v>1.6891664028657101</v>
      </c>
      <c r="R494">
        <v>16.300750485542402</v>
      </c>
      <c r="S494">
        <v>0.40786404531822701</v>
      </c>
      <c r="T494">
        <v>7.0928857047650798E-2</v>
      </c>
      <c r="U494">
        <v>1969</v>
      </c>
      <c r="V494">
        <v>56</v>
      </c>
      <c r="Y494">
        <v>0</v>
      </c>
      <c r="Z494" t="s">
        <v>1223</v>
      </c>
      <c r="AA494" t="s">
        <v>1690</v>
      </c>
    </row>
    <row r="495" spans="1:27" ht="15" customHeight="1" x14ac:dyDescent="0.3">
      <c r="A495">
        <v>546</v>
      </c>
      <c r="B495">
        <v>110</v>
      </c>
      <c r="C495" t="s">
        <v>1225</v>
      </c>
      <c r="D495" t="s">
        <v>1226</v>
      </c>
      <c r="E495" t="s">
        <v>715</v>
      </c>
      <c r="F495">
        <v>2021</v>
      </c>
      <c r="G495">
        <v>0</v>
      </c>
      <c r="H495">
        <v>0</v>
      </c>
      <c r="I495">
        <v>0</v>
      </c>
      <c r="J495">
        <v>0</v>
      </c>
      <c r="K495">
        <v>1176000000</v>
      </c>
      <c r="L495">
        <v>0.2</v>
      </c>
      <c r="M495">
        <v>235200</v>
      </c>
      <c r="N495">
        <v>17302000</v>
      </c>
      <c r="O495">
        <v>9195000</v>
      </c>
      <c r="P495">
        <v>-766430</v>
      </c>
      <c r="Q495">
        <v>1.9072539423599799</v>
      </c>
      <c r="R495">
        <v>16.034170416020601</v>
      </c>
      <c r="S495">
        <v>1.8816748232735201</v>
      </c>
      <c r="T495">
        <v>-8.33529091897771E-2</v>
      </c>
      <c r="U495">
        <v>1957</v>
      </c>
      <c r="V495">
        <v>64</v>
      </c>
      <c r="Y495">
        <v>0</v>
      </c>
      <c r="Z495" t="s">
        <v>1228</v>
      </c>
      <c r="AA495" t="s">
        <v>1691</v>
      </c>
    </row>
    <row r="496" spans="1:27" ht="15" customHeight="1" x14ac:dyDescent="0.3">
      <c r="A496">
        <v>547</v>
      </c>
      <c r="B496">
        <v>110</v>
      </c>
      <c r="C496" t="s">
        <v>1225</v>
      </c>
      <c r="D496" t="s">
        <v>1226</v>
      </c>
      <c r="E496" t="s">
        <v>715</v>
      </c>
      <c r="F496">
        <v>2022</v>
      </c>
      <c r="G496">
        <v>0</v>
      </c>
      <c r="H496">
        <v>0</v>
      </c>
      <c r="I496">
        <v>0</v>
      </c>
      <c r="J496">
        <v>0</v>
      </c>
      <c r="K496">
        <v>1176000000</v>
      </c>
      <c r="L496">
        <v>0.2601</v>
      </c>
      <c r="M496">
        <v>305877.59999999998</v>
      </c>
      <c r="N496">
        <v>17240000</v>
      </c>
      <c r="O496">
        <v>9244000</v>
      </c>
      <c r="P496">
        <v>123350</v>
      </c>
      <c r="Q496">
        <v>1.89808282128949</v>
      </c>
      <c r="R496">
        <v>16.039485250376401</v>
      </c>
      <c r="S496">
        <v>1.8649935093033301</v>
      </c>
      <c r="T496">
        <v>1.33437905668542E-2</v>
      </c>
      <c r="U496">
        <v>1957</v>
      </c>
      <c r="V496">
        <v>65</v>
      </c>
      <c r="Y496">
        <v>0</v>
      </c>
      <c r="Z496" t="s">
        <v>1228</v>
      </c>
      <c r="AA496" t="s">
        <v>1692</v>
      </c>
    </row>
    <row r="497" spans="1:27" ht="15" customHeight="1" x14ac:dyDescent="0.3">
      <c r="A497">
        <v>548</v>
      </c>
      <c r="B497">
        <v>110</v>
      </c>
      <c r="C497" t="s">
        <v>1225</v>
      </c>
      <c r="D497" t="s">
        <v>1226</v>
      </c>
      <c r="E497" t="s">
        <v>715</v>
      </c>
      <c r="F497">
        <v>2023</v>
      </c>
      <c r="G497">
        <v>1</v>
      </c>
      <c r="H497">
        <v>0</v>
      </c>
      <c r="I497">
        <v>0</v>
      </c>
      <c r="J497">
        <v>0</v>
      </c>
      <c r="K497">
        <v>1176000000</v>
      </c>
      <c r="L497">
        <v>0.61019999999999996</v>
      </c>
      <c r="M497">
        <v>717595.2</v>
      </c>
      <c r="N497">
        <v>19855000</v>
      </c>
      <c r="O497">
        <v>10607000</v>
      </c>
      <c r="P497">
        <v>-1243000</v>
      </c>
      <c r="Q497">
        <v>1.93953004619591</v>
      </c>
      <c r="R497">
        <v>16.177024718487601</v>
      </c>
      <c r="S497">
        <v>1.87187706231734</v>
      </c>
      <c r="T497">
        <v>-0.11718676345809401</v>
      </c>
      <c r="U497">
        <v>1957</v>
      </c>
      <c r="V497">
        <v>66</v>
      </c>
      <c r="Y497">
        <v>0</v>
      </c>
      <c r="Z497" t="s">
        <v>1228</v>
      </c>
      <c r="AA497" t="s">
        <v>1693</v>
      </c>
    </row>
    <row r="498" spans="1:27" ht="15" customHeight="1" x14ac:dyDescent="0.3">
      <c r="A498">
        <v>549</v>
      </c>
      <c r="B498">
        <v>110</v>
      </c>
      <c r="C498" t="s">
        <v>1225</v>
      </c>
      <c r="D498" t="s">
        <v>1226</v>
      </c>
      <c r="E498" t="s">
        <v>715</v>
      </c>
      <c r="F498">
        <v>2024</v>
      </c>
      <c r="G498">
        <v>1</v>
      </c>
      <c r="H498">
        <v>0</v>
      </c>
      <c r="I498">
        <v>5</v>
      </c>
      <c r="J498">
        <v>0</v>
      </c>
      <c r="K498">
        <v>1176000000</v>
      </c>
      <c r="L498">
        <v>2.5</v>
      </c>
      <c r="M498">
        <v>2940000</v>
      </c>
      <c r="N498">
        <v>21140000</v>
      </c>
      <c r="O498">
        <v>12661000</v>
      </c>
      <c r="P498">
        <v>809250</v>
      </c>
      <c r="Q498">
        <v>1.9019034831371899</v>
      </c>
      <c r="R498">
        <v>16.354036960502398</v>
      </c>
      <c r="S498">
        <v>1.66969433694021</v>
      </c>
      <c r="T498">
        <v>6.3916752231261406E-2</v>
      </c>
      <c r="U498">
        <v>1957</v>
      </c>
      <c r="V498">
        <v>67</v>
      </c>
      <c r="Y498">
        <v>0</v>
      </c>
      <c r="Z498" t="s">
        <v>1228</v>
      </c>
      <c r="AA498" t="s">
        <v>1694</v>
      </c>
    </row>
    <row r="499" spans="1:27" ht="15" customHeight="1" x14ac:dyDescent="0.3">
      <c r="A499">
        <v>550</v>
      </c>
      <c r="B499">
        <v>110</v>
      </c>
      <c r="C499" t="s">
        <v>1225</v>
      </c>
      <c r="D499" t="s">
        <v>1226</v>
      </c>
      <c r="E499" t="s">
        <v>715</v>
      </c>
      <c r="F499">
        <v>2025</v>
      </c>
      <c r="G499">
        <v>1</v>
      </c>
      <c r="H499">
        <v>0</v>
      </c>
      <c r="I499">
        <v>5</v>
      </c>
      <c r="J499">
        <v>0</v>
      </c>
      <c r="K499">
        <v>1176000000</v>
      </c>
      <c r="L499">
        <v>3.5030000000000001</v>
      </c>
      <c r="M499">
        <v>4119528</v>
      </c>
      <c r="N499">
        <v>24949000</v>
      </c>
      <c r="O499">
        <v>19288000</v>
      </c>
      <c r="P499">
        <v>2802000</v>
      </c>
      <c r="Q499">
        <v>1.50707839070925</v>
      </c>
      <c r="R499">
        <v>16.774993698843101</v>
      </c>
      <c r="S499">
        <v>1.2934985483201999</v>
      </c>
      <c r="T499">
        <v>0.145271671505599</v>
      </c>
      <c r="U499">
        <v>1957</v>
      </c>
      <c r="V499">
        <v>68</v>
      </c>
      <c r="Y499">
        <v>0</v>
      </c>
      <c r="Z499" t="s">
        <v>1228</v>
      </c>
      <c r="AA499" t="s">
        <v>1695</v>
      </c>
    </row>
    <row r="500" spans="1:27" ht="15" customHeight="1" x14ac:dyDescent="0.3">
      <c r="A500">
        <v>551</v>
      </c>
      <c r="B500">
        <v>111</v>
      </c>
      <c r="C500" t="s">
        <v>1230</v>
      </c>
      <c r="D500" t="s">
        <v>1231</v>
      </c>
      <c r="E500" t="s">
        <v>870</v>
      </c>
      <c r="F500">
        <v>2021</v>
      </c>
      <c r="G500">
        <v>0</v>
      </c>
      <c r="H500">
        <v>0</v>
      </c>
      <c r="I500">
        <v>0</v>
      </c>
      <c r="J500">
        <v>0</v>
      </c>
      <c r="K500">
        <v>649830000</v>
      </c>
      <c r="L500">
        <v>1.04</v>
      </c>
      <c r="M500">
        <v>675823.2</v>
      </c>
      <c r="N500">
        <v>20583000</v>
      </c>
      <c r="O500">
        <v>23448000</v>
      </c>
      <c r="P500">
        <v>66420</v>
      </c>
      <c r="Q500">
        <v>0.90663694984646903</v>
      </c>
      <c r="R500">
        <v>16.970295761372899</v>
      </c>
      <c r="S500">
        <v>0.87781473899692897</v>
      </c>
      <c r="T500">
        <v>2.8326509723643799E-3</v>
      </c>
      <c r="U500">
        <v>1969</v>
      </c>
      <c r="V500">
        <v>52</v>
      </c>
      <c r="Y500">
        <v>0</v>
      </c>
      <c r="Z500" t="s">
        <v>1233</v>
      </c>
      <c r="AA500" t="s">
        <v>1696</v>
      </c>
    </row>
    <row r="501" spans="1:27" ht="15" customHeight="1" x14ac:dyDescent="0.3">
      <c r="A501">
        <v>552</v>
      </c>
      <c r="B501">
        <v>111</v>
      </c>
      <c r="C501" t="s">
        <v>1230</v>
      </c>
      <c r="D501" t="s">
        <v>1231</v>
      </c>
      <c r="E501" t="s">
        <v>870</v>
      </c>
      <c r="F501">
        <v>2022</v>
      </c>
      <c r="G501">
        <v>0</v>
      </c>
      <c r="H501">
        <v>0</v>
      </c>
      <c r="I501">
        <v>0</v>
      </c>
      <c r="J501">
        <v>0</v>
      </c>
      <c r="K501">
        <v>649830000</v>
      </c>
      <c r="L501">
        <v>0.92</v>
      </c>
      <c r="M501">
        <v>597843.6</v>
      </c>
      <c r="N501">
        <v>14917000</v>
      </c>
      <c r="O501">
        <v>17924000</v>
      </c>
      <c r="P501">
        <v>-587180</v>
      </c>
      <c r="Q501">
        <v>0.865590470877036</v>
      </c>
      <c r="R501">
        <v>16.7016511548882</v>
      </c>
      <c r="S501">
        <v>0.83223610801160497</v>
      </c>
      <c r="T501">
        <v>-3.2759428698951099E-2</v>
      </c>
      <c r="U501">
        <v>1969</v>
      </c>
      <c r="V501">
        <v>53</v>
      </c>
      <c r="Y501">
        <v>0</v>
      </c>
      <c r="Z501" t="s">
        <v>1233</v>
      </c>
      <c r="AA501" t="s">
        <v>1697</v>
      </c>
    </row>
    <row r="502" spans="1:27" ht="15" customHeight="1" x14ac:dyDescent="0.3">
      <c r="A502">
        <v>553</v>
      </c>
      <c r="B502">
        <v>111</v>
      </c>
      <c r="C502" t="s">
        <v>1230</v>
      </c>
      <c r="D502" t="s">
        <v>1231</v>
      </c>
      <c r="E502" t="s">
        <v>870</v>
      </c>
      <c r="F502">
        <v>2023</v>
      </c>
      <c r="G502">
        <v>1</v>
      </c>
      <c r="H502">
        <v>0</v>
      </c>
      <c r="I502">
        <v>0</v>
      </c>
      <c r="J502">
        <v>0</v>
      </c>
      <c r="K502">
        <v>649830000</v>
      </c>
      <c r="L502">
        <v>1.9851000000000001</v>
      </c>
      <c r="M502">
        <v>1289977.5330000001</v>
      </c>
      <c r="N502">
        <v>13411000</v>
      </c>
      <c r="O502">
        <v>15527000</v>
      </c>
      <c r="P502">
        <v>76100</v>
      </c>
      <c r="Q502">
        <v>0.94680089734011696</v>
      </c>
      <c r="R502">
        <v>16.558091001963302</v>
      </c>
      <c r="S502">
        <v>0.86372125974109604</v>
      </c>
      <c r="T502">
        <v>4.9011399497649296E-3</v>
      </c>
      <c r="U502">
        <v>1969</v>
      </c>
      <c r="V502">
        <v>54</v>
      </c>
      <c r="Y502">
        <v>0</v>
      </c>
      <c r="Z502" t="s">
        <v>1233</v>
      </c>
      <c r="AA502" t="s">
        <v>1698</v>
      </c>
    </row>
    <row r="503" spans="1:27" ht="15" customHeight="1" x14ac:dyDescent="0.3">
      <c r="A503">
        <v>554</v>
      </c>
      <c r="B503">
        <v>111</v>
      </c>
      <c r="C503" t="s">
        <v>1230</v>
      </c>
      <c r="D503" t="s">
        <v>1231</v>
      </c>
      <c r="E503" t="s">
        <v>870</v>
      </c>
      <c r="F503">
        <v>2024</v>
      </c>
      <c r="G503">
        <v>1</v>
      </c>
      <c r="H503">
        <v>0</v>
      </c>
      <c r="I503">
        <v>0</v>
      </c>
      <c r="J503">
        <v>0</v>
      </c>
      <c r="K503">
        <v>649830000</v>
      </c>
      <c r="L503">
        <v>2.0621</v>
      </c>
      <c r="M503">
        <v>1340014.443</v>
      </c>
      <c r="N503">
        <v>9561000</v>
      </c>
      <c r="O503">
        <v>12006000</v>
      </c>
      <c r="P503">
        <v>157830</v>
      </c>
      <c r="Q503">
        <v>0.90796388830584696</v>
      </c>
      <c r="R503">
        <v>16.300917082793902</v>
      </c>
      <c r="S503">
        <v>0.79635182408795602</v>
      </c>
      <c r="T503">
        <v>1.31459270364818E-2</v>
      </c>
      <c r="U503">
        <v>1969</v>
      </c>
      <c r="V503">
        <v>55</v>
      </c>
      <c r="Y503">
        <v>0</v>
      </c>
      <c r="Z503" t="s">
        <v>1233</v>
      </c>
      <c r="AA503" t="s">
        <v>1699</v>
      </c>
    </row>
    <row r="504" spans="1:27" ht="15" customHeight="1" x14ac:dyDescent="0.3">
      <c r="A504">
        <v>555</v>
      </c>
      <c r="B504">
        <v>111</v>
      </c>
      <c r="C504" t="s">
        <v>1230</v>
      </c>
      <c r="D504" t="s">
        <v>1231</v>
      </c>
      <c r="E504" t="s">
        <v>870</v>
      </c>
      <c r="F504">
        <v>2025</v>
      </c>
      <c r="G504">
        <v>1</v>
      </c>
      <c r="H504">
        <v>0</v>
      </c>
      <c r="I504">
        <v>0</v>
      </c>
      <c r="J504">
        <v>0</v>
      </c>
      <c r="K504">
        <v>649830000</v>
      </c>
      <c r="L504">
        <v>7.0941999999999998</v>
      </c>
      <c r="M504">
        <v>4610023.9859999996</v>
      </c>
      <c r="N504">
        <v>19866000</v>
      </c>
      <c r="O504">
        <v>22998000</v>
      </c>
      <c r="P504">
        <v>462570</v>
      </c>
      <c r="Q504">
        <v>1.0642675009131199</v>
      </c>
      <c r="R504">
        <v>16.950917813590699</v>
      </c>
      <c r="S504">
        <v>0.86381424471693202</v>
      </c>
      <c r="T504">
        <v>2.0113488129402599E-2</v>
      </c>
      <c r="U504">
        <v>1969</v>
      </c>
      <c r="V504">
        <v>56</v>
      </c>
      <c r="Y504">
        <v>0</v>
      </c>
      <c r="Z504" t="s">
        <v>1233</v>
      </c>
      <c r="AA504" t="s">
        <v>1700</v>
      </c>
    </row>
    <row r="505" spans="1:27" ht="15" customHeight="1" x14ac:dyDescent="0.3">
      <c r="A505">
        <v>556</v>
      </c>
      <c r="B505">
        <v>112</v>
      </c>
      <c r="C505" t="s">
        <v>1235</v>
      </c>
      <c r="D505" t="s">
        <v>1236</v>
      </c>
      <c r="E505" t="s">
        <v>766</v>
      </c>
      <c r="F505">
        <v>2021</v>
      </c>
      <c r="G505">
        <v>0</v>
      </c>
      <c r="H505">
        <v>0</v>
      </c>
      <c r="I505">
        <v>70</v>
      </c>
      <c r="J505">
        <v>73.3333333333333</v>
      </c>
      <c r="K505">
        <v>584400000</v>
      </c>
      <c r="L505">
        <v>470.35</v>
      </c>
      <c r="M505">
        <v>274872540</v>
      </c>
      <c r="N505">
        <v>601750240</v>
      </c>
      <c r="O505">
        <v>1307236270</v>
      </c>
      <c r="P505">
        <v>58596256.200000003</v>
      </c>
      <c r="Q505">
        <v>0.67059245533326595</v>
      </c>
      <c r="R505">
        <v>20.991181028013099</v>
      </c>
      <c r="S505">
        <v>0.46032247865950099</v>
      </c>
      <c r="T505">
        <v>4.4824533670565901E-2</v>
      </c>
      <c r="U505">
        <v>1988</v>
      </c>
      <c r="V505">
        <v>33</v>
      </c>
      <c r="Y505">
        <v>1</v>
      </c>
      <c r="Z505" t="s">
        <v>711</v>
      </c>
      <c r="AA505" t="s">
        <v>1701</v>
      </c>
    </row>
    <row r="506" spans="1:27" ht="15" customHeight="1" x14ac:dyDescent="0.3">
      <c r="A506">
        <v>557</v>
      </c>
      <c r="B506">
        <v>112</v>
      </c>
      <c r="C506" t="s">
        <v>1235</v>
      </c>
      <c r="D506" t="s">
        <v>1236</v>
      </c>
      <c r="E506" t="s">
        <v>766</v>
      </c>
      <c r="F506">
        <v>2022</v>
      </c>
      <c r="G506">
        <v>0</v>
      </c>
      <c r="H506">
        <v>0</v>
      </c>
      <c r="I506">
        <v>70</v>
      </c>
      <c r="J506">
        <v>73.3333333333333</v>
      </c>
      <c r="K506">
        <v>588450000</v>
      </c>
      <c r="L506">
        <v>562.62</v>
      </c>
      <c r="M506">
        <v>331073739</v>
      </c>
      <c r="N506">
        <v>725478000</v>
      </c>
      <c r="O506">
        <v>1537718000</v>
      </c>
      <c r="P506">
        <v>28802215</v>
      </c>
      <c r="Q506">
        <v>0.68709070128593197</v>
      </c>
      <c r="R506">
        <v>21.153565336211798</v>
      </c>
      <c r="S506">
        <v>0.471788715486195</v>
      </c>
      <c r="T506">
        <v>1.8730492196878799E-2</v>
      </c>
      <c r="U506">
        <v>1988</v>
      </c>
      <c r="V506">
        <v>34</v>
      </c>
      <c r="Y506">
        <v>1</v>
      </c>
      <c r="Z506" t="s">
        <v>711</v>
      </c>
      <c r="AA506" t="s">
        <v>1702</v>
      </c>
    </row>
    <row r="507" spans="1:27" ht="15" customHeight="1" x14ac:dyDescent="0.3">
      <c r="A507">
        <v>558</v>
      </c>
      <c r="B507">
        <v>112</v>
      </c>
      <c r="C507" t="s">
        <v>1235</v>
      </c>
      <c r="D507" t="s">
        <v>1236</v>
      </c>
      <c r="E507" t="s">
        <v>766</v>
      </c>
      <c r="F507">
        <v>2023</v>
      </c>
      <c r="G507">
        <v>1</v>
      </c>
      <c r="H507">
        <v>1</v>
      </c>
      <c r="I507">
        <v>70</v>
      </c>
      <c r="J507">
        <v>73.3333333333333</v>
      </c>
      <c r="K507">
        <v>588450000</v>
      </c>
      <c r="L507">
        <v>1404.44</v>
      </c>
      <c r="M507">
        <v>826442718</v>
      </c>
      <c r="N507">
        <v>1440822780</v>
      </c>
      <c r="O507">
        <v>3053429050</v>
      </c>
      <c r="P507">
        <v>74766290.700000003</v>
      </c>
      <c r="Q507">
        <v>0.74253092535423404</v>
      </c>
      <c r="R507">
        <v>21.839531074726299</v>
      </c>
      <c r="S507">
        <v>0.47187039764359401</v>
      </c>
      <c r="T507">
        <v>2.4486008836524301E-2</v>
      </c>
      <c r="U507">
        <v>1988</v>
      </c>
      <c r="V507">
        <v>35</v>
      </c>
      <c r="Y507">
        <v>1</v>
      </c>
      <c r="Z507" t="s">
        <v>711</v>
      </c>
      <c r="AA507" t="s">
        <v>1703</v>
      </c>
    </row>
    <row r="508" spans="1:27" ht="15" customHeight="1" x14ac:dyDescent="0.3">
      <c r="A508">
        <v>559</v>
      </c>
      <c r="B508">
        <v>112</v>
      </c>
      <c r="C508" t="s">
        <v>1235</v>
      </c>
      <c r="D508" t="s">
        <v>1236</v>
      </c>
      <c r="E508" t="s">
        <v>766</v>
      </c>
      <c r="F508">
        <v>2024</v>
      </c>
      <c r="G508">
        <v>1</v>
      </c>
      <c r="H508">
        <v>1</v>
      </c>
      <c r="I508">
        <v>70</v>
      </c>
      <c r="J508">
        <v>73.3333333333333</v>
      </c>
      <c r="K508">
        <v>588450000</v>
      </c>
      <c r="L508">
        <v>3756.07</v>
      </c>
      <c r="M508">
        <v>2210259391.5</v>
      </c>
      <c r="N508">
        <v>7658115000</v>
      </c>
      <c r="O508">
        <v>10480980000</v>
      </c>
      <c r="P508">
        <v>235392250</v>
      </c>
      <c r="Q508">
        <v>0.94155073204032502</v>
      </c>
      <c r="R508">
        <v>23.0728280229178</v>
      </c>
      <c r="S508">
        <v>0.73066783831283</v>
      </c>
      <c r="T508">
        <v>2.2458992384299901E-2</v>
      </c>
      <c r="U508">
        <v>1988</v>
      </c>
      <c r="V508">
        <v>36</v>
      </c>
      <c r="Y508">
        <v>1</v>
      </c>
      <c r="Z508" t="s">
        <v>711</v>
      </c>
      <c r="AA508" t="s">
        <v>1704</v>
      </c>
    </row>
    <row r="509" spans="1:27" ht="15" customHeight="1" x14ac:dyDescent="0.3">
      <c r="A509">
        <v>560</v>
      </c>
      <c r="B509">
        <v>112</v>
      </c>
      <c r="C509" t="s">
        <v>1235</v>
      </c>
      <c r="D509" t="s">
        <v>1236</v>
      </c>
      <c r="E509" t="s">
        <v>766</v>
      </c>
      <c r="F509">
        <v>2025</v>
      </c>
      <c r="G509">
        <v>1</v>
      </c>
      <c r="H509">
        <v>1</v>
      </c>
      <c r="I509">
        <v>70</v>
      </c>
      <c r="J509">
        <v>73.3333333333333</v>
      </c>
      <c r="K509">
        <v>588450000</v>
      </c>
      <c r="L509">
        <v>5809</v>
      </c>
      <c r="M509">
        <v>3418306050</v>
      </c>
      <c r="N509">
        <v>6149272000</v>
      </c>
      <c r="O509">
        <v>8820724600</v>
      </c>
      <c r="P509">
        <v>232251042</v>
      </c>
      <c r="Q509">
        <v>1.08467030588394</v>
      </c>
      <c r="R509">
        <v>22.900369857785702</v>
      </c>
      <c r="S509">
        <v>0.697139098980598</v>
      </c>
      <c r="T509">
        <v>2.6330154554422901E-2</v>
      </c>
      <c r="U509">
        <v>1988</v>
      </c>
      <c r="V509">
        <v>37</v>
      </c>
      <c r="Y509">
        <v>1</v>
      </c>
      <c r="Z509" t="s">
        <v>711</v>
      </c>
      <c r="AA509" t="s">
        <v>1705</v>
      </c>
    </row>
    <row r="510" spans="1:27" ht="15" customHeight="1" x14ac:dyDescent="0.3">
      <c r="A510">
        <v>561</v>
      </c>
      <c r="B510">
        <v>113</v>
      </c>
      <c r="C510" t="s">
        <v>1239</v>
      </c>
      <c r="D510" t="s">
        <v>1240</v>
      </c>
      <c r="E510" t="s">
        <v>780</v>
      </c>
      <c r="F510">
        <v>2021</v>
      </c>
      <c r="G510">
        <v>0</v>
      </c>
      <c r="H510">
        <v>0</v>
      </c>
      <c r="I510">
        <v>0</v>
      </c>
      <c r="J510">
        <v>0</v>
      </c>
      <c r="K510">
        <v>20000000</v>
      </c>
      <c r="L510">
        <v>68</v>
      </c>
      <c r="M510">
        <v>1360000</v>
      </c>
      <c r="N510">
        <v>462769</v>
      </c>
      <c r="O510">
        <v>2866214</v>
      </c>
      <c r="P510">
        <v>160520</v>
      </c>
      <c r="Q510">
        <v>0.63595007211603904</v>
      </c>
      <c r="R510">
        <v>14.8685025531103</v>
      </c>
      <c r="S510">
        <v>0.16145654162599199</v>
      </c>
      <c r="T510">
        <v>5.6004192289898801E-2</v>
      </c>
      <c r="U510">
        <v>2007</v>
      </c>
      <c r="V510">
        <v>14</v>
      </c>
      <c r="Y510">
        <v>0</v>
      </c>
      <c r="Z510" t="s">
        <v>1242</v>
      </c>
      <c r="AA510" t="s">
        <v>1706</v>
      </c>
    </row>
    <row r="511" spans="1:27" ht="15" customHeight="1" x14ac:dyDescent="0.3">
      <c r="A511">
        <v>562</v>
      </c>
      <c r="B511">
        <v>113</v>
      </c>
      <c r="C511" t="s">
        <v>1239</v>
      </c>
      <c r="D511" t="s">
        <v>1240</v>
      </c>
      <c r="E511" t="s">
        <v>780</v>
      </c>
      <c r="F511">
        <v>2022</v>
      </c>
      <c r="G511">
        <v>0</v>
      </c>
      <c r="H511">
        <v>0</v>
      </c>
      <c r="I511">
        <v>0</v>
      </c>
      <c r="J511">
        <v>0</v>
      </c>
      <c r="K511">
        <v>20000000</v>
      </c>
      <c r="L511">
        <v>77</v>
      </c>
      <c r="M511">
        <v>1540000</v>
      </c>
      <c r="N511">
        <v>511236</v>
      </c>
      <c r="O511">
        <v>2956305</v>
      </c>
      <c r="P511">
        <v>186620</v>
      </c>
      <c r="Q511">
        <v>0.69385127718554096</v>
      </c>
      <c r="R511">
        <v>14.899450735700499</v>
      </c>
      <c r="S511">
        <v>0.17293073617235</v>
      </c>
      <c r="T511">
        <v>6.3126098288234803E-2</v>
      </c>
      <c r="U511">
        <v>2007</v>
      </c>
      <c r="V511">
        <v>15</v>
      </c>
      <c r="Y511">
        <v>0</v>
      </c>
      <c r="Z511" t="s">
        <v>1242</v>
      </c>
      <c r="AA511" t="s">
        <v>1707</v>
      </c>
    </row>
    <row r="512" spans="1:27" ht="15" customHeight="1" x14ac:dyDescent="0.3">
      <c r="A512">
        <v>563</v>
      </c>
      <c r="B512">
        <v>113</v>
      </c>
      <c r="C512" t="s">
        <v>1239</v>
      </c>
      <c r="D512" t="s">
        <v>1240</v>
      </c>
      <c r="E512" t="s">
        <v>780</v>
      </c>
      <c r="F512">
        <v>2023</v>
      </c>
      <c r="G512">
        <v>1</v>
      </c>
      <c r="H512">
        <v>0</v>
      </c>
      <c r="I512">
        <v>0</v>
      </c>
      <c r="J512">
        <v>0</v>
      </c>
      <c r="K512">
        <v>20000000</v>
      </c>
      <c r="L512">
        <v>101.5</v>
      </c>
      <c r="M512">
        <v>2030000</v>
      </c>
      <c r="N512">
        <v>706452</v>
      </c>
      <c r="O512">
        <v>3300025</v>
      </c>
      <c r="P512">
        <v>317500</v>
      </c>
      <c r="Q512">
        <v>0.82922159680608498</v>
      </c>
      <c r="R512">
        <v>15.009440602165601</v>
      </c>
      <c r="S512">
        <v>0.214074741858016</v>
      </c>
      <c r="T512">
        <v>9.6211392337936796E-2</v>
      </c>
      <c r="U512">
        <v>2007</v>
      </c>
      <c r="V512">
        <v>16</v>
      </c>
      <c r="Y512">
        <v>0</v>
      </c>
      <c r="Z512" t="s">
        <v>1242</v>
      </c>
      <c r="AA512" t="s">
        <v>1708</v>
      </c>
    </row>
    <row r="513" spans="1:27" ht="15" customHeight="1" x14ac:dyDescent="0.3">
      <c r="A513">
        <v>564</v>
      </c>
      <c r="B513">
        <v>113</v>
      </c>
      <c r="C513" t="s">
        <v>1239</v>
      </c>
      <c r="D513" t="s">
        <v>1240</v>
      </c>
      <c r="E513" t="s">
        <v>780</v>
      </c>
      <c r="F513">
        <v>2024</v>
      </c>
      <c r="G513">
        <v>1</v>
      </c>
      <c r="H513">
        <v>0</v>
      </c>
      <c r="I513">
        <v>0</v>
      </c>
      <c r="J513">
        <v>0</v>
      </c>
      <c r="K513">
        <v>20000000</v>
      </c>
      <c r="L513">
        <v>179.5</v>
      </c>
      <c r="M513">
        <v>3590000</v>
      </c>
      <c r="N513">
        <v>692210</v>
      </c>
      <c r="O513">
        <v>3470000</v>
      </c>
      <c r="P513">
        <v>477090</v>
      </c>
      <c r="Q513">
        <v>1.23406628242075</v>
      </c>
      <c r="R513">
        <v>15.059665151922999</v>
      </c>
      <c r="S513">
        <v>0.19948414985590801</v>
      </c>
      <c r="T513">
        <v>0.137489913544669</v>
      </c>
      <c r="U513">
        <v>2007</v>
      </c>
      <c r="V513">
        <v>17</v>
      </c>
      <c r="Y513">
        <v>0</v>
      </c>
      <c r="Z513" t="s">
        <v>1242</v>
      </c>
      <c r="AA513" t="s">
        <v>1709</v>
      </c>
    </row>
    <row r="514" spans="1:27" ht="15" customHeight="1" x14ac:dyDescent="0.3">
      <c r="A514">
        <v>565</v>
      </c>
      <c r="B514">
        <v>113</v>
      </c>
      <c r="C514" t="s">
        <v>1239</v>
      </c>
      <c r="D514" t="s">
        <v>1240</v>
      </c>
      <c r="E514" t="s">
        <v>780</v>
      </c>
      <c r="F514">
        <v>2025</v>
      </c>
      <c r="G514">
        <v>1</v>
      </c>
      <c r="H514">
        <v>0</v>
      </c>
      <c r="I514">
        <v>0</v>
      </c>
      <c r="J514">
        <v>0</v>
      </c>
      <c r="K514">
        <v>20000000</v>
      </c>
      <c r="L514">
        <v>419</v>
      </c>
      <c r="M514">
        <v>8380000</v>
      </c>
      <c r="N514">
        <v>619910</v>
      </c>
      <c r="O514">
        <v>7080000</v>
      </c>
      <c r="P514">
        <v>628490</v>
      </c>
      <c r="Q514">
        <v>1.2711737288135601</v>
      </c>
      <c r="R514">
        <v>15.772784465669901</v>
      </c>
      <c r="S514">
        <v>8.7557909604519799E-2</v>
      </c>
      <c r="T514">
        <v>8.8769774011299402E-2</v>
      </c>
      <c r="U514">
        <v>2007</v>
      </c>
      <c r="V514">
        <v>18</v>
      </c>
      <c r="Y514">
        <v>0</v>
      </c>
      <c r="Z514" t="s">
        <v>1242</v>
      </c>
      <c r="AA514" t="s">
        <v>1710</v>
      </c>
    </row>
    <row r="515" spans="1:27" ht="15" customHeight="1" x14ac:dyDescent="0.3">
      <c r="A515">
        <v>566</v>
      </c>
      <c r="B515">
        <v>114</v>
      </c>
      <c r="C515" t="s">
        <v>1244</v>
      </c>
      <c r="D515" t="s">
        <v>1245</v>
      </c>
      <c r="E515" t="s">
        <v>715</v>
      </c>
      <c r="F515">
        <v>2021</v>
      </c>
      <c r="G515">
        <v>0</v>
      </c>
      <c r="H515">
        <v>0</v>
      </c>
      <c r="I515">
        <v>5</v>
      </c>
      <c r="J515">
        <v>0</v>
      </c>
      <c r="K515">
        <v>1354000000</v>
      </c>
      <c r="L515">
        <v>5.3</v>
      </c>
      <c r="M515">
        <v>7176200</v>
      </c>
      <c r="N515">
        <v>5266000</v>
      </c>
      <c r="O515">
        <v>24608000</v>
      </c>
      <c r="P515">
        <v>282030</v>
      </c>
      <c r="Q515">
        <v>0.505616059817945</v>
      </c>
      <c r="R515">
        <v>17.0185821512875</v>
      </c>
      <c r="S515">
        <v>0.21399544863459</v>
      </c>
      <c r="T515">
        <v>1.1460907022106601E-2</v>
      </c>
      <c r="U515">
        <v>2009</v>
      </c>
      <c r="V515">
        <v>12</v>
      </c>
      <c r="Y515">
        <v>0</v>
      </c>
      <c r="Z515" t="s">
        <v>1247</v>
      </c>
      <c r="AA515" t="s">
        <v>1711</v>
      </c>
    </row>
    <row r="516" spans="1:27" ht="15" customHeight="1" x14ac:dyDescent="0.3">
      <c r="A516">
        <v>567</v>
      </c>
      <c r="B516">
        <v>114</v>
      </c>
      <c r="C516" t="s">
        <v>1244</v>
      </c>
      <c r="D516" t="s">
        <v>1245</v>
      </c>
      <c r="E516" t="s">
        <v>715</v>
      </c>
      <c r="F516">
        <v>2022</v>
      </c>
      <c r="G516">
        <v>0</v>
      </c>
      <c r="H516">
        <v>0</v>
      </c>
      <c r="I516">
        <v>5</v>
      </c>
      <c r="J516">
        <v>0</v>
      </c>
      <c r="K516">
        <v>1354000000</v>
      </c>
      <c r="L516">
        <v>5</v>
      </c>
      <c r="M516">
        <v>6770000</v>
      </c>
      <c r="N516">
        <v>9681000</v>
      </c>
      <c r="O516">
        <v>29219000</v>
      </c>
      <c r="P516">
        <v>309340</v>
      </c>
      <c r="Q516">
        <v>0.56302405968719005</v>
      </c>
      <c r="R516">
        <v>17.190329740566401</v>
      </c>
      <c r="S516">
        <v>0.331325507375338</v>
      </c>
      <c r="T516">
        <v>1.05869468496526E-2</v>
      </c>
      <c r="U516">
        <v>2009</v>
      </c>
      <c r="V516">
        <v>13</v>
      </c>
      <c r="Y516">
        <v>0</v>
      </c>
      <c r="Z516" t="s">
        <v>1247</v>
      </c>
      <c r="AA516" t="s">
        <v>1712</v>
      </c>
    </row>
    <row r="517" spans="1:27" ht="15" customHeight="1" x14ac:dyDescent="0.3">
      <c r="A517">
        <v>568</v>
      </c>
      <c r="B517">
        <v>114</v>
      </c>
      <c r="C517" t="s">
        <v>1244</v>
      </c>
      <c r="D517" t="s">
        <v>1245</v>
      </c>
      <c r="E517" t="s">
        <v>715</v>
      </c>
      <c r="F517">
        <v>2023</v>
      </c>
      <c r="G517">
        <v>1</v>
      </c>
      <c r="H517">
        <v>0</v>
      </c>
      <c r="I517">
        <v>0</v>
      </c>
      <c r="J517">
        <v>0</v>
      </c>
      <c r="K517">
        <v>1354000000</v>
      </c>
      <c r="L517">
        <v>25.34</v>
      </c>
      <c r="M517">
        <v>34310360</v>
      </c>
      <c r="N517">
        <v>11286000</v>
      </c>
      <c r="O517">
        <v>34066000</v>
      </c>
      <c r="P517">
        <v>1955000</v>
      </c>
      <c r="Q517">
        <v>1.33847120295896</v>
      </c>
      <c r="R517">
        <v>17.343810377402701</v>
      </c>
      <c r="S517">
        <v>0.33129806845535098</v>
      </c>
      <c r="T517">
        <v>5.73885986027124E-2</v>
      </c>
      <c r="U517">
        <v>2009</v>
      </c>
      <c r="V517">
        <v>14</v>
      </c>
      <c r="Y517">
        <v>0</v>
      </c>
      <c r="Z517" t="s">
        <v>1247</v>
      </c>
      <c r="AA517" t="s">
        <v>1713</v>
      </c>
    </row>
    <row r="518" spans="1:27" ht="15" customHeight="1" x14ac:dyDescent="0.3">
      <c r="A518">
        <v>569</v>
      </c>
      <c r="B518">
        <v>114</v>
      </c>
      <c r="C518" t="s">
        <v>1244</v>
      </c>
      <c r="D518" t="s">
        <v>1245</v>
      </c>
      <c r="E518" t="s">
        <v>715</v>
      </c>
      <c r="F518">
        <v>2024</v>
      </c>
      <c r="G518">
        <v>1</v>
      </c>
      <c r="H518">
        <v>0</v>
      </c>
      <c r="I518">
        <v>0</v>
      </c>
      <c r="J518">
        <v>0</v>
      </c>
      <c r="K518">
        <v>1354000000</v>
      </c>
      <c r="L518">
        <v>33.450000000000003</v>
      </c>
      <c r="M518">
        <v>45291300</v>
      </c>
      <c r="N518">
        <v>12514000</v>
      </c>
      <c r="O518">
        <v>41780000</v>
      </c>
      <c r="P518">
        <v>4834000</v>
      </c>
      <c r="Q518">
        <v>1.3835639061752001</v>
      </c>
      <c r="R518">
        <v>17.547928314092701</v>
      </c>
      <c r="S518">
        <v>0.299521302058401</v>
      </c>
      <c r="T518">
        <v>0.115701292484442</v>
      </c>
      <c r="U518">
        <v>2009</v>
      </c>
      <c r="V518">
        <v>15</v>
      </c>
      <c r="Y518">
        <v>0</v>
      </c>
      <c r="Z518" t="s">
        <v>1247</v>
      </c>
      <c r="AA518" t="s">
        <v>1714</v>
      </c>
    </row>
    <row r="519" spans="1:27" ht="15" customHeight="1" x14ac:dyDescent="0.3">
      <c r="A519">
        <v>570</v>
      </c>
      <c r="B519">
        <v>114</v>
      </c>
      <c r="C519" t="s">
        <v>1244</v>
      </c>
      <c r="D519" t="s">
        <v>1245</v>
      </c>
      <c r="E519" t="s">
        <v>715</v>
      </c>
      <c r="F519">
        <v>2025</v>
      </c>
      <c r="G519">
        <v>1</v>
      </c>
      <c r="H519">
        <v>0</v>
      </c>
      <c r="I519">
        <v>0</v>
      </c>
      <c r="J519">
        <v>0</v>
      </c>
      <c r="K519">
        <v>1354000000</v>
      </c>
      <c r="L519">
        <v>88.42</v>
      </c>
      <c r="M519">
        <v>119720680</v>
      </c>
      <c r="N519">
        <v>20483000</v>
      </c>
      <c r="O519">
        <v>82692000</v>
      </c>
      <c r="P519">
        <v>9742000</v>
      </c>
      <c r="Q519">
        <v>1.69549267160064</v>
      </c>
      <c r="R519">
        <v>18.230633420127301</v>
      </c>
      <c r="S519">
        <v>0.24770231703187701</v>
      </c>
      <c r="T519">
        <v>0.11781067092342699</v>
      </c>
      <c r="U519">
        <v>2009</v>
      </c>
      <c r="V519">
        <v>16</v>
      </c>
      <c r="Y519">
        <v>0</v>
      </c>
      <c r="Z519" t="s">
        <v>1247</v>
      </c>
      <c r="AA519" t="s">
        <v>1715</v>
      </c>
    </row>
    <row r="520" spans="1:27" ht="15" customHeight="1" x14ac:dyDescent="0.3">
      <c r="A520">
        <v>571</v>
      </c>
      <c r="B520">
        <v>115</v>
      </c>
      <c r="C520" t="s">
        <v>1249</v>
      </c>
      <c r="D520" t="s">
        <v>1250</v>
      </c>
      <c r="E520" t="s">
        <v>709</v>
      </c>
      <c r="F520">
        <v>2021</v>
      </c>
      <c r="G520">
        <v>0</v>
      </c>
      <c r="H520">
        <v>0</v>
      </c>
      <c r="I520">
        <v>0</v>
      </c>
      <c r="J520">
        <v>0</v>
      </c>
      <c r="K520">
        <v>8593000000</v>
      </c>
      <c r="L520">
        <v>0.39679999999999999</v>
      </c>
      <c r="M520">
        <v>3409702.4</v>
      </c>
      <c r="N520">
        <v>6780000</v>
      </c>
      <c r="O520">
        <v>16397000</v>
      </c>
      <c r="P520">
        <v>974730</v>
      </c>
      <c r="Q520">
        <v>0.62143699457217805</v>
      </c>
      <c r="R520">
        <v>16.612608949232001</v>
      </c>
      <c r="S520">
        <v>0.41349027261084298</v>
      </c>
      <c r="T520">
        <v>5.9445630298225298E-2</v>
      </c>
      <c r="U520">
        <v>1980</v>
      </c>
      <c r="V520">
        <v>41</v>
      </c>
      <c r="Y520">
        <v>0</v>
      </c>
      <c r="Z520" t="s">
        <v>832</v>
      </c>
      <c r="AA520" t="s">
        <v>1716</v>
      </c>
    </row>
    <row r="521" spans="1:27" ht="15" customHeight="1" x14ac:dyDescent="0.3">
      <c r="A521">
        <v>572</v>
      </c>
      <c r="B521">
        <v>115</v>
      </c>
      <c r="C521" t="s">
        <v>1249</v>
      </c>
      <c r="D521" t="s">
        <v>1250</v>
      </c>
      <c r="E521" t="s">
        <v>709</v>
      </c>
      <c r="F521">
        <v>2022</v>
      </c>
      <c r="G521">
        <v>0</v>
      </c>
      <c r="H521">
        <v>0</v>
      </c>
      <c r="I521">
        <v>0</v>
      </c>
      <c r="J521">
        <v>0</v>
      </c>
      <c r="K521">
        <v>8593000000</v>
      </c>
      <c r="L521">
        <v>0.37</v>
      </c>
      <c r="M521">
        <v>3179410</v>
      </c>
      <c r="N521">
        <v>6749000</v>
      </c>
      <c r="O521">
        <v>17154000</v>
      </c>
      <c r="P521">
        <v>1387000</v>
      </c>
      <c r="Q521">
        <v>0.57878104232248995</v>
      </c>
      <c r="R521">
        <v>16.6577419405325</v>
      </c>
      <c r="S521">
        <v>0.39343593331001497</v>
      </c>
      <c r="T521">
        <v>8.0855777078232494E-2</v>
      </c>
      <c r="U521">
        <v>1980</v>
      </c>
      <c r="V521">
        <v>42</v>
      </c>
      <c r="Y521">
        <v>0</v>
      </c>
      <c r="Z521" t="s">
        <v>832</v>
      </c>
      <c r="AA521" t="s">
        <v>1717</v>
      </c>
    </row>
    <row r="522" spans="1:27" ht="15" customHeight="1" x14ac:dyDescent="0.3">
      <c r="A522">
        <v>573</v>
      </c>
      <c r="B522">
        <v>115</v>
      </c>
      <c r="C522" t="s">
        <v>1249</v>
      </c>
      <c r="D522" t="s">
        <v>1250</v>
      </c>
      <c r="E522" t="s">
        <v>709</v>
      </c>
      <c r="F522">
        <v>2023</v>
      </c>
      <c r="G522">
        <v>1</v>
      </c>
      <c r="H522">
        <v>0</v>
      </c>
      <c r="I522">
        <v>0</v>
      </c>
      <c r="J522">
        <v>0</v>
      </c>
      <c r="K522">
        <v>14228000000</v>
      </c>
      <c r="L522">
        <v>0.3352</v>
      </c>
      <c r="M522">
        <v>4769225.5999999996</v>
      </c>
      <c r="N522">
        <v>9132000</v>
      </c>
      <c r="O522">
        <v>22761000</v>
      </c>
      <c r="P522">
        <v>1298000</v>
      </c>
      <c r="Q522">
        <v>0.61074757699573801</v>
      </c>
      <c r="R522">
        <v>16.940559102988299</v>
      </c>
      <c r="S522">
        <v>0.401212600500857</v>
      </c>
      <c r="T522">
        <v>5.70273713808708E-2</v>
      </c>
      <c r="U522">
        <v>1980</v>
      </c>
      <c r="V522">
        <v>43</v>
      </c>
      <c r="Y522">
        <v>0</v>
      </c>
      <c r="Z522" t="s">
        <v>832</v>
      </c>
      <c r="AA522" t="s">
        <v>1718</v>
      </c>
    </row>
    <row r="523" spans="1:27" ht="15" customHeight="1" x14ac:dyDescent="0.3">
      <c r="A523">
        <v>574</v>
      </c>
      <c r="B523">
        <v>115</v>
      </c>
      <c r="C523" t="s">
        <v>1249</v>
      </c>
      <c r="D523" t="s">
        <v>1250</v>
      </c>
      <c r="E523" t="s">
        <v>709</v>
      </c>
      <c r="F523">
        <v>2024</v>
      </c>
      <c r="G523">
        <v>1</v>
      </c>
      <c r="H523">
        <v>0</v>
      </c>
      <c r="I523">
        <v>0</v>
      </c>
      <c r="J523">
        <v>0</v>
      </c>
      <c r="K523">
        <v>14228000000</v>
      </c>
      <c r="L523">
        <v>1.1206</v>
      </c>
      <c r="M523">
        <v>15943896.800000001</v>
      </c>
      <c r="N523">
        <v>12538000</v>
      </c>
      <c r="O523">
        <v>28312000</v>
      </c>
      <c r="P523">
        <v>2340000</v>
      </c>
      <c r="Q523">
        <v>1.0060008759536601</v>
      </c>
      <c r="R523">
        <v>17.158796301007399</v>
      </c>
      <c r="S523">
        <v>0.44285108787793198</v>
      </c>
      <c r="T523">
        <v>8.2650466233399306E-2</v>
      </c>
      <c r="U523">
        <v>1980</v>
      </c>
      <c r="V523">
        <v>44</v>
      </c>
      <c r="Y523">
        <v>0</v>
      </c>
      <c r="Z523" t="s">
        <v>832</v>
      </c>
      <c r="AA523" t="s">
        <v>1719</v>
      </c>
    </row>
    <row r="524" spans="1:27" ht="15" customHeight="1" x14ac:dyDescent="0.3">
      <c r="A524">
        <v>575</v>
      </c>
      <c r="B524">
        <v>115</v>
      </c>
      <c r="C524" t="s">
        <v>1249</v>
      </c>
      <c r="D524" t="s">
        <v>1250</v>
      </c>
      <c r="E524" t="s">
        <v>709</v>
      </c>
      <c r="F524">
        <v>2025</v>
      </c>
      <c r="G524">
        <v>1</v>
      </c>
      <c r="H524">
        <v>0</v>
      </c>
      <c r="I524">
        <v>0</v>
      </c>
      <c r="J524">
        <v>0</v>
      </c>
      <c r="K524">
        <v>14228000000</v>
      </c>
      <c r="L524">
        <v>3.8195999999999999</v>
      </c>
      <c r="M524">
        <v>54345268.799999997</v>
      </c>
      <c r="N524">
        <v>12486000</v>
      </c>
      <c r="O524">
        <v>28315000</v>
      </c>
      <c r="P524">
        <v>663000</v>
      </c>
      <c r="Q524">
        <v>2.36027790217199</v>
      </c>
      <c r="R524">
        <v>17.158902257529999</v>
      </c>
      <c r="S524">
        <v>0.440967684972629</v>
      </c>
      <c r="T524">
        <v>2.3415150980045901E-2</v>
      </c>
      <c r="U524">
        <v>1980</v>
      </c>
      <c r="V524">
        <v>45</v>
      </c>
      <c r="Y524">
        <v>0</v>
      </c>
      <c r="Z524" t="s">
        <v>832</v>
      </c>
      <c r="AA524" t="s">
        <v>1720</v>
      </c>
    </row>
    <row r="525" spans="1:27" ht="15" customHeight="1" x14ac:dyDescent="0.3">
      <c r="A525">
        <v>579</v>
      </c>
      <c r="B525">
        <v>116</v>
      </c>
      <c r="C525" t="s">
        <v>1253</v>
      </c>
      <c r="D525" t="s">
        <v>1254</v>
      </c>
      <c r="E525" t="s">
        <v>709</v>
      </c>
      <c r="F525">
        <v>2024</v>
      </c>
      <c r="G525">
        <v>1</v>
      </c>
      <c r="H525">
        <v>0</v>
      </c>
      <c r="I525">
        <v>0</v>
      </c>
      <c r="J525">
        <v>0</v>
      </c>
      <c r="K525">
        <v>9341087609</v>
      </c>
      <c r="L525">
        <v>0.48</v>
      </c>
      <c r="M525">
        <v>4483722.0523199998</v>
      </c>
      <c r="N525">
        <v>22680000</v>
      </c>
      <c r="O525">
        <v>2000000</v>
      </c>
      <c r="P525">
        <v>-9920000</v>
      </c>
      <c r="Q525">
        <v>13.58186102616</v>
      </c>
      <c r="R525">
        <v>14.508657738524199</v>
      </c>
      <c r="S525">
        <v>11.34</v>
      </c>
      <c r="T525">
        <v>-4.96</v>
      </c>
      <c r="U525">
        <v>1991</v>
      </c>
      <c r="V525">
        <v>33</v>
      </c>
      <c r="Y525">
        <v>0</v>
      </c>
      <c r="Z525" t="s">
        <v>1256</v>
      </c>
      <c r="AA525" t="s">
        <v>1721</v>
      </c>
    </row>
    <row r="526" spans="1:27" ht="15" customHeight="1" x14ac:dyDescent="0.3">
      <c r="A526">
        <v>581</v>
      </c>
      <c r="B526">
        <v>117</v>
      </c>
      <c r="C526" t="s">
        <v>1259</v>
      </c>
      <c r="D526" t="s">
        <v>1260</v>
      </c>
      <c r="E526" t="s">
        <v>709</v>
      </c>
      <c r="F526">
        <v>2021</v>
      </c>
      <c r="G526">
        <v>0</v>
      </c>
      <c r="H526">
        <v>0</v>
      </c>
      <c r="I526">
        <v>0</v>
      </c>
      <c r="J526">
        <v>0</v>
      </c>
      <c r="K526">
        <v>12957000000</v>
      </c>
      <c r="L526">
        <v>36</v>
      </c>
      <c r="M526">
        <v>466452000</v>
      </c>
      <c r="N526">
        <v>2365898000</v>
      </c>
      <c r="O526">
        <v>2742764000</v>
      </c>
      <c r="P526">
        <v>54378000</v>
      </c>
      <c r="Q526">
        <v>1.0326626716698899</v>
      </c>
      <c r="R526">
        <v>21.732232008014901</v>
      </c>
      <c r="S526">
        <v>0.86259627149838602</v>
      </c>
      <c r="T526">
        <v>1.9825985757432999E-2</v>
      </c>
      <c r="U526">
        <v>2012</v>
      </c>
      <c r="V526">
        <v>9</v>
      </c>
      <c r="Y526">
        <v>1</v>
      </c>
      <c r="Z526" t="s">
        <v>711</v>
      </c>
      <c r="AA526" t="s">
        <v>1722</v>
      </c>
    </row>
    <row r="527" spans="1:27" ht="15" customHeight="1" x14ac:dyDescent="0.3">
      <c r="A527">
        <v>582</v>
      </c>
      <c r="B527">
        <v>117</v>
      </c>
      <c r="C527" t="s">
        <v>1259</v>
      </c>
      <c r="D527" t="s">
        <v>1260</v>
      </c>
      <c r="E527" t="s">
        <v>709</v>
      </c>
      <c r="F527">
        <v>2022</v>
      </c>
      <c r="G527">
        <v>0</v>
      </c>
      <c r="H527">
        <v>0</v>
      </c>
      <c r="I527">
        <v>0</v>
      </c>
      <c r="J527">
        <v>0</v>
      </c>
      <c r="K527">
        <v>12957000000</v>
      </c>
      <c r="L527">
        <v>33.451000000000001</v>
      </c>
      <c r="M527">
        <v>433424607</v>
      </c>
      <c r="N527">
        <v>2621456000</v>
      </c>
      <c r="O527">
        <v>3029026000</v>
      </c>
      <c r="P527">
        <v>78042000</v>
      </c>
      <c r="Q527">
        <v>1.0085356173898801</v>
      </c>
      <c r="R527">
        <v>21.8315069526457</v>
      </c>
      <c r="S527">
        <v>0.86544519591446201</v>
      </c>
      <c r="T527">
        <v>2.57647177673615E-2</v>
      </c>
      <c r="U527">
        <v>2012</v>
      </c>
      <c r="V527">
        <v>10</v>
      </c>
      <c r="Y527">
        <v>1</v>
      </c>
      <c r="Z527" t="s">
        <v>711</v>
      </c>
      <c r="AA527" t="s">
        <v>1723</v>
      </c>
    </row>
    <row r="528" spans="1:27" ht="15" customHeight="1" x14ac:dyDescent="0.3">
      <c r="A528">
        <v>583</v>
      </c>
      <c r="B528">
        <v>117</v>
      </c>
      <c r="C528" t="s">
        <v>1259</v>
      </c>
      <c r="D528" t="s">
        <v>1260</v>
      </c>
      <c r="E528" t="s">
        <v>709</v>
      </c>
      <c r="F528">
        <v>2023</v>
      </c>
      <c r="G528">
        <v>1</v>
      </c>
      <c r="H528">
        <v>0</v>
      </c>
      <c r="I528">
        <v>10</v>
      </c>
      <c r="J528">
        <v>0</v>
      </c>
      <c r="K528">
        <v>12957000000</v>
      </c>
      <c r="L528">
        <v>69.652000000000001</v>
      </c>
      <c r="M528">
        <v>902480964</v>
      </c>
      <c r="N528">
        <v>4638672000</v>
      </c>
      <c r="O528">
        <v>5145596000</v>
      </c>
      <c r="P528">
        <v>137582000</v>
      </c>
      <c r="Q528">
        <v>1.07687291501315</v>
      </c>
      <c r="R528">
        <v>22.361407040145401</v>
      </c>
      <c r="S528">
        <v>0.90148390973562598</v>
      </c>
      <c r="T528">
        <v>2.6737816183003901E-2</v>
      </c>
      <c r="U528">
        <v>2012</v>
      </c>
      <c r="V528">
        <v>11</v>
      </c>
      <c r="Y528">
        <v>1</v>
      </c>
      <c r="Z528" t="s">
        <v>711</v>
      </c>
      <c r="AA528" t="s">
        <v>1724</v>
      </c>
    </row>
    <row r="529" spans="1:27" ht="15" customHeight="1" x14ac:dyDescent="0.3">
      <c r="A529">
        <v>584</v>
      </c>
      <c r="B529">
        <v>117</v>
      </c>
      <c r="C529" t="s">
        <v>1259</v>
      </c>
      <c r="D529" t="s">
        <v>1260</v>
      </c>
      <c r="E529" t="s">
        <v>709</v>
      </c>
      <c r="F529">
        <v>2024</v>
      </c>
      <c r="G529">
        <v>1</v>
      </c>
      <c r="H529">
        <v>0</v>
      </c>
      <c r="I529">
        <v>10</v>
      </c>
      <c r="J529">
        <v>0</v>
      </c>
      <c r="K529">
        <v>12957000000</v>
      </c>
      <c r="L529">
        <v>57.593000000000004</v>
      </c>
      <c r="M529">
        <v>746232501</v>
      </c>
      <c r="N529">
        <v>6241444000</v>
      </c>
      <c r="O529">
        <v>6912092000</v>
      </c>
      <c r="P529">
        <v>221606000</v>
      </c>
      <c r="Q529">
        <v>1.0109351121194601</v>
      </c>
      <c r="R529">
        <v>22.6565381785448</v>
      </c>
      <c r="S529">
        <v>0.90297467105472595</v>
      </c>
      <c r="T529">
        <v>3.2060626507864801E-2</v>
      </c>
      <c r="U529">
        <v>2012</v>
      </c>
      <c r="V529">
        <v>12</v>
      </c>
      <c r="Y529">
        <v>1</v>
      </c>
      <c r="Z529" t="s">
        <v>711</v>
      </c>
      <c r="AA529" t="s">
        <v>1725</v>
      </c>
    </row>
    <row r="530" spans="1:27" ht="15" customHeight="1" x14ac:dyDescent="0.3">
      <c r="A530">
        <v>585</v>
      </c>
      <c r="B530">
        <v>117</v>
      </c>
      <c r="C530" t="s">
        <v>1259</v>
      </c>
      <c r="D530" t="s">
        <v>1260</v>
      </c>
      <c r="E530" t="s">
        <v>709</v>
      </c>
      <c r="F530">
        <v>2025</v>
      </c>
      <c r="G530">
        <v>1</v>
      </c>
      <c r="H530">
        <v>0</v>
      </c>
      <c r="I530">
        <v>0</v>
      </c>
      <c r="J530">
        <v>0</v>
      </c>
      <c r="K530">
        <v>15902000000</v>
      </c>
      <c r="L530">
        <v>99.986999999999995</v>
      </c>
      <c r="M530">
        <v>1589993274</v>
      </c>
      <c r="N530">
        <v>7496207000</v>
      </c>
      <c r="O530">
        <v>8620110000</v>
      </c>
      <c r="P530">
        <v>376530000</v>
      </c>
      <c r="Q530">
        <v>1.0540701074580301</v>
      </c>
      <c r="R530">
        <v>22.877363682561501</v>
      </c>
      <c r="S530">
        <v>0.86961848514694096</v>
      </c>
      <c r="T530">
        <v>4.3680417071243899E-2</v>
      </c>
      <c r="U530">
        <v>2012</v>
      </c>
      <c r="V530">
        <v>13</v>
      </c>
      <c r="Y530">
        <v>1</v>
      </c>
      <c r="Z530" t="s">
        <v>711</v>
      </c>
      <c r="AA530" t="s">
        <v>1726</v>
      </c>
    </row>
    <row r="531" spans="1:27" ht="15" customHeight="1" x14ac:dyDescent="0.3">
      <c r="A531">
        <v>586</v>
      </c>
      <c r="B531">
        <v>118</v>
      </c>
      <c r="C531" t="s">
        <v>1263</v>
      </c>
      <c r="D531" t="s">
        <v>1264</v>
      </c>
      <c r="E531" t="s">
        <v>709</v>
      </c>
      <c r="F531">
        <v>2021</v>
      </c>
      <c r="G531">
        <v>0</v>
      </c>
      <c r="H531">
        <v>0</v>
      </c>
      <c r="I531">
        <v>0</v>
      </c>
      <c r="J531">
        <v>0</v>
      </c>
      <c r="K531">
        <v>28790000000</v>
      </c>
      <c r="L531">
        <v>1.5098</v>
      </c>
      <c r="M531">
        <v>43467142</v>
      </c>
      <c r="N531">
        <v>1487638000</v>
      </c>
      <c r="O531">
        <v>1629129000</v>
      </c>
      <c r="P531">
        <v>13515000</v>
      </c>
      <c r="Q531">
        <v>0.93983051188702704</v>
      </c>
      <c r="R531">
        <v>21.2113113531179</v>
      </c>
      <c r="S531">
        <v>0.91314929634178799</v>
      </c>
      <c r="T531">
        <v>8.2958439755231195E-3</v>
      </c>
      <c r="U531">
        <v>2021</v>
      </c>
      <c r="V531">
        <v>0</v>
      </c>
      <c r="Y531">
        <v>1</v>
      </c>
      <c r="Z531" t="s">
        <v>732</v>
      </c>
      <c r="AA531" t="s">
        <v>1727</v>
      </c>
    </row>
    <row r="532" spans="1:27" ht="15" customHeight="1" x14ac:dyDescent="0.3">
      <c r="A532">
        <v>587</v>
      </c>
      <c r="B532">
        <v>118</v>
      </c>
      <c r="C532" t="s">
        <v>1263</v>
      </c>
      <c r="D532" t="s">
        <v>1264</v>
      </c>
      <c r="E532" t="s">
        <v>709</v>
      </c>
      <c r="F532">
        <v>2022</v>
      </c>
      <c r="G532">
        <v>0</v>
      </c>
      <c r="H532">
        <v>0</v>
      </c>
      <c r="I532">
        <v>0</v>
      </c>
      <c r="J532">
        <v>0</v>
      </c>
      <c r="K532">
        <v>28790000000</v>
      </c>
      <c r="L532">
        <v>1.4000999999999999</v>
      </c>
      <c r="M532">
        <v>40308879</v>
      </c>
      <c r="N532">
        <v>1703994000</v>
      </c>
      <c r="O532">
        <v>1857992000</v>
      </c>
      <c r="P532">
        <v>19298000</v>
      </c>
      <c r="Q532">
        <v>0.93881075860391205</v>
      </c>
      <c r="R532">
        <v>21.342762171623701</v>
      </c>
      <c r="S532">
        <v>0.91711589716209796</v>
      </c>
      <c r="T532">
        <v>1.0386481750190499E-2</v>
      </c>
      <c r="U532">
        <v>2021</v>
      </c>
      <c r="V532">
        <v>1</v>
      </c>
      <c r="Y532">
        <v>1</v>
      </c>
      <c r="Z532" t="s">
        <v>732</v>
      </c>
      <c r="AA532" t="s">
        <v>1728</v>
      </c>
    </row>
    <row r="533" spans="1:27" ht="15" customHeight="1" x14ac:dyDescent="0.3">
      <c r="A533">
        <v>588</v>
      </c>
      <c r="B533">
        <v>118</v>
      </c>
      <c r="C533" t="s">
        <v>1263</v>
      </c>
      <c r="D533" t="s">
        <v>1264</v>
      </c>
      <c r="E533" t="s">
        <v>709</v>
      </c>
      <c r="F533">
        <v>2023</v>
      </c>
      <c r="G533">
        <v>1</v>
      </c>
      <c r="H533">
        <v>0</v>
      </c>
      <c r="I533">
        <v>0</v>
      </c>
      <c r="J533">
        <v>0</v>
      </c>
      <c r="K533">
        <v>28790000000</v>
      </c>
      <c r="L533">
        <v>4.29</v>
      </c>
      <c r="M533">
        <v>123509100</v>
      </c>
      <c r="N533">
        <v>2347488000</v>
      </c>
      <c r="O533">
        <v>2531092000</v>
      </c>
      <c r="P533">
        <v>21584000</v>
      </c>
      <c r="Q533">
        <v>0.97625732292623102</v>
      </c>
      <c r="R533">
        <v>21.651916667117799</v>
      </c>
      <c r="S533">
        <v>0.92746055852572695</v>
      </c>
      <c r="T533">
        <v>8.5275446329094295E-3</v>
      </c>
      <c r="U533">
        <v>2021</v>
      </c>
      <c r="V533">
        <v>2</v>
      </c>
      <c r="Y533">
        <v>1</v>
      </c>
      <c r="Z533" t="s">
        <v>732</v>
      </c>
      <c r="AA533" t="s">
        <v>1729</v>
      </c>
    </row>
    <row r="534" spans="1:27" ht="15" customHeight="1" x14ac:dyDescent="0.3">
      <c r="A534">
        <v>589</v>
      </c>
      <c r="B534">
        <v>118</v>
      </c>
      <c r="C534" t="s">
        <v>1263</v>
      </c>
      <c r="D534" t="s">
        <v>1264</v>
      </c>
      <c r="E534" t="s">
        <v>709</v>
      </c>
      <c r="F534">
        <v>2024</v>
      </c>
      <c r="G534">
        <v>1</v>
      </c>
      <c r="H534">
        <v>1</v>
      </c>
      <c r="I534">
        <v>60</v>
      </c>
      <c r="J534">
        <v>53.3333333333333</v>
      </c>
      <c r="K534">
        <v>45457000000</v>
      </c>
      <c r="L534">
        <v>3.5464000000000002</v>
      </c>
      <c r="M534">
        <v>161208704.80000001</v>
      </c>
      <c r="N534">
        <v>3236781000</v>
      </c>
      <c r="O534">
        <v>3541940000</v>
      </c>
      <c r="P534">
        <v>43675000</v>
      </c>
      <c r="Q534">
        <v>0.95935834734637004</v>
      </c>
      <c r="R534">
        <v>21.9879404365814</v>
      </c>
      <c r="S534">
        <v>0.91384410803119198</v>
      </c>
      <c r="T534">
        <v>1.2330813057251099E-2</v>
      </c>
      <c r="U534">
        <v>2021</v>
      </c>
      <c r="V534">
        <v>3</v>
      </c>
      <c r="Y534">
        <v>1</v>
      </c>
      <c r="Z534" t="s">
        <v>732</v>
      </c>
      <c r="AA534" t="s">
        <v>1730</v>
      </c>
    </row>
    <row r="535" spans="1:27" ht="15" customHeight="1" x14ac:dyDescent="0.3">
      <c r="A535">
        <v>590</v>
      </c>
      <c r="B535">
        <v>118</v>
      </c>
      <c r="C535" t="s">
        <v>1263</v>
      </c>
      <c r="D535" t="s">
        <v>1264</v>
      </c>
      <c r="E535" t="s">
        <v>709</v>
      </c>
      <c r="F535">
        <v>2025</v>
      </c>
      <c r="G535">
        <v>1</v>
      </c>
      <c r="H535">
        <v>1</v>
      </c>
      <c r="I535">
        <v>60</v>
      </c>
      <c r="J535">
        <v>53.3333333333333</v>
      </c>
      <c r="K535">
        <v>54690000000</v>
      </c>
      <c r="L535">
        <v>6.7184999999999997</v>
      </c>
      <c r="M535">
        <v>367434765</v>
      </c>
      <c r="N535">
        <v>3482939000</v>
      </c>
      <c r="O535">
        <v>3911642000</v>
      </c>
      <c r="P535">
        <v>78634000</v>
      </c>
      <c r="Q535">
        <v>0.98433695235913699</v>
      </c>
      <c r="R535">
        <v>22.087223071638999</v>
      </c>
      <c r="S535">
        <v>0.89040331400470696</v>
      </c>
      <c r="T535">
        <v>2.0102555397452E-2</v>
      </c>
      <c r="U535">
        <v>2021</v>
      </c>
      <c r="V535">
        <v>4</v>
      </c>
      <c r="Y535">
        <v>1</v>
      </c>
      <c r="Z535" t="s">
        <v>732</v>
      </c>
      <c r="AA535" t="s">
        <v>1731</v>
      </c>
    </row>
    <row r="536" spans="1:27" ht="15" customHeight="1" x14ac:dyDescent="0.3">
      <c r="A536">
        <v>591</v>
      </c>
      <c r="B536">
        <v>119</v>
      </c>
      <c r="C536" t="s">
        <v>1267</v>
      </c>
      <c r="D536" t="s">
        <v>1268</v>
      </c>
      <c r="E536" t="s">
        <v>709</v>
      </c>
      <c r="F536">
        <v>2021</v>
      </c>
      <c r="G536">
        <v>0</v>
      </c>
      <c r="H536">
        <v>0</v>
      </c>
      <c r="I536">
        <v>0</v>
      </c>
      <c r="J536">
        <v>0</v>
      </c>
      <c r="K536">
        <v>5811000000</v>
      </c>
      <c r="L536">
        <v>0.44919999999999999</v>
      </c>
      <c r="M536">
        <v>2610301.2000000002</v>
      </c>
      <c r="N536">
        <v>4577000</v>
      </c>
      <c r="O536">
        <v>11906000</v>
      </c>
      <c r="P536">
        <v>198730</v>
      </c>
      <c r="Q536">
        <v>0.60367051906601699</v>
      </c>
      <c r="R536">
        <v>16.292553032695501</v>
      </c>
      <c r="S536">
        <v>0.38442801948597299</v>
      </c>
      <c r="T536">
        <v>1.6691584075256199E-2</v>
      </c>
      <c r="U536">
        <v>1984</v>
      </c>
      <c r="V536">
        <v>37</v>
      </c>
      <c r="Y536">
        <v>0</v>
      </c>
      <c r="Z536" t="s">
        <v>743</v>
      </c>
      <c r="AA536" t="s">
        <v>1732</v>
      </c>
    </row>
    <row r="537" spans="1:27" ht="15" customHeight="1" x14ac:dyDescent="0.3">
      <c r="A537">
        <v>592</v>
      </c>
      <c r="B537">
        <v>119</v>
      </c>
      <c r="C537" t="s">
        <v>1267</v>
      </c>
      <c r="D537" t="s">
        <v>1268</v>
      </c>
      <c r="E537" t="s">
        <v>709</v>
      </c>
      <c r="F537">
        <v>2022</v>
      </c>
      <c r="G537">
        <v>0</v>
      </c>
      <c r="H537">
        <v>0</v>
      </c>
      <c r="I537">
        <v>0</v>
      </c>
      <c r="J537">
        <v>0</v>
      </c>
      <c r="K537">
        <v>5811000000</v>
      </c>
      <c r="L537">
        <v>0.2908</v>
      </c>
      <c r="M537">
        <v>1689838.8</v>
      </c>
      <c r="N537">
        <v>5346000</v>
      </c>
      <c r="O537">
        <v>13067000</v>
      </c>
      <c r="P537">
        <v>432900</v>
      </c>
      <c r="Q537">
        <v>0.53844331522154998</v>
      </c>
      <c r="R537">
        <v>16.385600525971299</v>
      </c>
      <c r="S537">
        <v>0.40912221626999301</v>
      </c>
      <c r="T537">
        <v>3.3129256906711597E-2</v>
      </c>
      <c r="U537">
        <v>1984</v>
      </c>
      <c r="V537">
        <v>38</v>
      </c>
      <c r="Y537">
        <v>0</v>
      </c>
      <c r="Z537" t="s">
        <v>743</v>
      </c>
      <c r="AA537" t="s">
        <v>1733</v>
      </c>
    </row>
    <row r="538" spans="1:27" ht="15" customHeight="1" x14ac:dyDescent="0.3">
      <c r="A538">
        <v>593</v>
      </c>
      <c r="B538">
        <v>119</v>
      </c>
      <c r="C538" t="s">
        <v>1267</v>
      </c>
      <c r="D538" t="s">
        <v>1268</v>
      </c>
      <c r="E538" t="s">
        <v>709</v>
      </c>
      <c r="F538">
        <v>2023</v>
      </c>
      <c r="G538">
        <v>1</v>
      </c>
      <c r="H538">
        <v>0</v>
      </c>
      <c r="I538">
        <v>0</v>
      </c>
      <c r="J538">
        <v>0</v>
      </c>
      <c r="K538">
        <v>5811000000</v>
      </c>
      <c r="L538">
        <v>1.0994999999999999</v>
      </c>
      <c r="M538">
        <v>6389194.5</v>
      </c>
      <c r="N538">
        <v>6633000</v>
      </c>
      <c r="O538">
        <v>16749000</v>
      </c>
      <c r="P538">
        <v>2633000</v>
      </c>
      <c r="Q538">
        <v>0.77749086512627597</v>
      </c>
      <c r="R538">
        <v>16.633849112960601</v>
      </c>
      <c r="S538">
        <v>0.39602364320257899</v>
      </c>
      <c r="T538">
        <v>0.157203415129261</v>
      </c>
      <c r="U538">
        <v>1984</v>
      </c>
      <c r="V538">
        <v>39</v>
      </c>
      <c r="Y538">
        <v>0</v>
      </c>
      <c r="Z538" t="s">
        <v>743</v>
      </c>
      <c r="AA538" t="s">
        <v>1734</v>
      </c>
    </row>
    <row r="539" spans="1:27" ht="15" customHeight="1" x14ac:dyDescent="0.3">
      <c r="A539">
        <v>594</v>
      </c>
      <c r="B539">
        <v>119</v>
      </c>
      <c r="C539" t="s">
        <v>1267</v>
      </c>
      <c r="D539" t="s">
        <v>1268</v>
      </c>
      <c r="E539" t="s">
        <v>709</v>
      </c>
      <c r="F539">
        <v>2024</v>
      </c>
      <c r="G539">
        <v>1</v>
      </c>
      <c r="H539">
        <v>0</v>
      </c>
      <c r="I539">
        <v>0</v>
      </c>
      <c r="J539">
        <v>0</v>
      </c>
      <c r="K539">
        <v>5811000000</v>
      </c>
      <c r="L539">
        <v>10.75</v>
      </c>
      <c r="M539">
        <v>62468250</v>
      </c>
      <c r="N539">
        <v>9668000</v>
      </c>
      <c r="O539">
        <v>23316000</v>
      </c>
      <c r="P539">
        <v>3663000</v>
      </c>
      <c r="Q539">
        <v>3.0938518613827402</v>
      </c>
      <c r="R539">
        <v>16.964650378147599</v>
      </c>
      <c r="S539">
        <v>0.41465088351346702</v>
      </c>
      <c r="T539">
        <v>0.15710241893978399</v>
      </c>
      <c r="U539">
        <v>1984</v>
      </c>
      <c r="V539">
        <v>40</v>
      </c>
      <c r="Y539">
        <v>0</v>
      </c>
      <c r="Z539" t="s">
        <v>743</v>
      </c>
      <c r="AA539" t="s">
        <v>1735</v>
      </c>
    </row>
    <row r="540" spans="1:27" ht="15" customHeight="1" x14ac:dyDescent="0.3">
      <c r="A540">
        <v>595</v>
      </c>
      <c r="B540">
        <v>119</v>
      </c>
      <c r="C540" t="s">
        <v>1267</v>
      </c>
      <c r="D540" t="s">
        <v>1268</v>
      </c>
      <c r="E540" t="s">
        <v>709</v>
      </c>
      <c r="F540">
        <v>2025</v>
      </c>
      <c r="G540">
        <v>1</v>
      </c>
      <c r="H540">
        <v>0</v>
      </c>
      <c r="I540">
        <v>0</v>
      </c>
      <c r="J540">
        <v>0</v>
      </c>
      <c r="K540">
        <v>5811000000</v>
      </c>
      <c r="L540">
        <v>5.5</v>
      </c>
      <c r="M540">
        <v>31960500</v>
      </c>
      <c r="N540">
        <v>9883000</v>
      </c>
      <c r="O540">
        <v>24378000</v>
      </c>
      <c r="P540">
        <v>1443000</v>
      </c>
      <c r="Q540">
        <v>1.71644515546804</v>
      </c>
      <c r="R540">
        <v>17.009191644197902</v>
      </c>
      <c r="S540">
        <v>0.40540651407006301</v>
      </c>
      <c r="T540">
        <v>5.9192714742800898E-2</v>
      </c>
      <c r="U540">
        <v>1984</v>
      </c>
      <c r="V540">
        <v>41</v>
      </c>
      <c r="Y540">
        <v>0</v>
      </c>
      <c r="Z540" t="s">
        <v>743</v>
      </c>
      <c r="AA540" t="s">
        <v>1736</v>
      </c>
    </row>
    <row r="541" spans="1:27" ht="15" customHeight="1" x14ac:dyDescent="0.3">
      <c r="A541">
        <v>596</v>
      </c>
      <c r="B541">
        <v>120</v>
      </c>
      <c r="C541" t="s">
        <v>1271</v>
      </c>
      <c r="D541" t="s">
        <v>1272</v>
      </c>
      <c r="E541" t="s">
        <v>715</v>
      </c>
      <c r="F541">
        <v>2021</v>
      </c>
      <c r="G541">
        <v>0</v>
      </c>
      <c r="H541">
        <v>0</v>
      </c>
      <c r="I541">
        <v>0</v>
      </c>
      <c r="J541">
        <v>0</v>
      </c>
      <c r="K541">
        <v>3212000000</v>
      </c>
      <c r="L541">
        <v>0.2</v>
      </c>
      <c r="M541">
        <v>642400</v>
      </c>
      <c r="N541">
        <v>2035000</v>
      </c>
      <c r="O541">
        <v>2235000</v>
      </c>
      <c r="P541">
        <v>-214820</v>
      </c>
      <c r="Q541">
        <v>1.1979418344518999</v>
      </c>
      <c r="R541">
        <v>14.6197517860298</v>
      </c>
      <c r="S541">
        <v>0.91051454138702503</v>
      </c>
      <c r="T541">
        <v>-9.6116331096196897E-2</v>
      </c>
      <c r="U541">
        <v>1997</v>
      </c>
      <c r="V541">
        <v>24</v>
      </c>
      <c r="Y541">
        <v>0</v>
      </c>
      <c r="Z541" t="s">
        <v>1274</v>
      </c>
      <c r="AA541" t="s">
        <v>1737</v>
      </c>
    </row>
    <row r="542" spans="1:27" ht="15" customHeight="1" x14ac:dyDescent="0.3">
      <c r="A542">
        <v>597</v>
      </c>
      <c r="B542">
        <v>120</v>
      </c>
      <c r="C542" t="s">
        <v>1271</v>
      </c>
      <c r="D542" t="s">
        <v>1272</v>
      </c>
      <c r="E542" t="s">
        <v>715</v>
      </c>
      <c r="F542">
        <v>2022</v>
      </c>
      <c r="G542">
        <v>0</v>
      </c>
      <c r="H542">
        <v>0</v>
      </c>
      <c r="I542">
        <v>0</v>
      </c>
      <c r="J542">
        <v>0</v>
      </c>
      <c r="K542">
        <v>3212000000</v>
      </c>
      <c r="L542">
        <v>0.2</v>
      </c>
      <c r="M542">
        <v>642400</v>
      </c>
      <c r="N542">
        <v>1892000</v>
      </c>
      <c r="O542">
        <v>2545000</v>
      </c>
      <c r="P542">
        <v>-264090</v>
      </c>
      <c r="Q542">
        <v>0.995834970530452</v>
      </c>
      <c r="R542">
        <v>14.7496412079668</v>
      </c>
      <c r="S542">
        <v>0.74341846758349694</v>
      </c>
      <c r="T542">
        <v>-0.103768172888016</v>
      </c>
      <c r="U542">
        <v>1997</v>
      </c>
      <c r="V542">
        <v>25</v>
      </c>
      <c r="Y542">
        <v>0</v>
      </c>
      <c r="Z542" t="s">
        <v>1274</v>
      </c>
      <c r="AA542" t="s">
        <v>1738</v>
      </c>
    </row>
    <row r="543" spans="1:27" ht="15" customHeight="1" x14ac:dyDescent="0.3">
      <c r="A543">
        <v>598</v>
      </c>
      <c r="B543">
        <v>120</v>
      </c>
      <c r="C543" t="s">
        <v>1271</v>
      </c>
      <c r="D543" t="s">
        <v>1272</v>
      </c>
      <c r="E543" t="s">
        <v>715</v>
      </c>
      <c r="F543">
        <v>2023</v>
      </c>
      <c r="G543">
        <v>1</v>
      </c>
      <c r="H543">
        <v>0</v>
      </c>
      <c r="I543">
        <v>0</v>
      </c>
      <c r="J543">
        <v>0</v>
      </c>
      <c r="K543">
        <v>3212000000</v>
      </c>
      <c r="L543">
        <v>0.47010000000000002</v>
      </c>
      <c r="M543">
        <v>1509961.2</v>
      </c>
      <c r="N543">
        <v>1888000</v>
      </c>
      <c r="O543">
        <v>2250000</v>
      </c>
      <c r="P543">
        <v>-290740</v>
      </c>
      <c r="Q543">
        <v>1.51020497777778</v>
      </c>
      <c r="R543">
        <v>14.626440774180599</v>
      </c>
      <c r="S543">
        <v>0.83911111111111103</v>
      </c>
      <c r="T543">
        <v>-0.12921777777777799</v>
      </c>
      <c r="U543">
        <v>1997</v>
      </c>
      <c r="V543">
        <v>26</v>
      </c>
      <c r="Y543">
        <v>0</v>
      </c>
      <c r="Z543" t="s">
        <v>1274</v>
      </c>
      <c r="AA543" t="s">
        <v>1739</v>
      </c>
    </row>
    <row r="544" spans="1:27" ht="15" customHeight="1" x14ac:dyDescent="0.3">
      <c r="A544">
        <v>599</v>
      </c>
      <c r="B544">
        <v>120</v>
      </c>
      <c r="C544" t="s">
        <v>1271</v>
      </c>
      <c r="D544" t="s">
        <v>1272</v>
      </c>
      <c r="E544" t="s">
        <v>715</v>
      </c>
      <c r="F544">
        <v>2024</v>
      </c>
      <c r="G544">
        <v>1</v>
      </c>
      <c r="H544">
        <v>0</v>
      </c>
      <c r="I544">
        <v>0</v>
      </c>
      <c r="J544">
        <v>0</v>
      </c>
      <c r="K544">
        <v>5000000000</v>
      </c>
      <c r="L544">
        <v>2.0499999999999998</v>
      </c>
      <c r="M544">
        <v>10250000</v>
      </c>
      <c r="N544">
        <v>1784000</v>
      </c>
      <c r="O544">
        <v>2954000</v>
      </c>
      <c r="P544">
        <v>-265590</v>
      </c>
      <c r="Q544">
        <v>4.0737982396750203</v>
      </c>
      <c r="R544">
        <v>14.898670742073501</v>
      </c>
      <c r="S544">
        <v>0.60392687880839502</v>
      </c>
      <c r="T544">
        <v>-8.9908598510494306E-2</v>
      </c>
      <c r="U544">
        <v>1997</v>
      </c>
      <c r="V544">
        <v>27</v>
      </c>
      <c r="Y544">
        <v>0</v>
      </c>
      <c r="Z544" t="s">
        <v>1274</v>
      </c>
      <c r="AA544" t="s">
        <v>1740</v>
      </c>
    </row>
    <row r="545" spans="1:27" ht="15" customHeight="1" x14ac:dyDescent="0.3">
      <c r="A545">
        <v>600</v>
      </c>
      <c r="B545">
        <v>120</v>
      </c>
      <c r="C545" t="s">
        <v>1271</v>
      </c>
      <c r="D545" t="s">
        <v>1272</v>
      </c>
      <c r="E545" t="s">
        <v>715</v>
      </c>
      <c r="F545">
        <v>2025</v>
      </c>
      <c r="G545">
        <v>1</v>
      </c>
      <c r="H545">
        <v>0</v>
      </c>
      <c r="I545">
        <v>0</v>
      </c>
      <c r="J545">
        <v>0</v>
      </c>
      <c r="K545">
        <v>5000000000</v>
      </c>
      <c r="L545">
        <v>2.5</v>
      </c>
      <c r="M545">
        <v>12500000</v>
      </c>
      <c r="N545">
        <v>8676000</v>
      </c>
      <c r="O545">
        <v>13395000</v>
      </c>
      <c r="P545">
        <v>72740</v>
      </c>
      <c r="Q545">
        <v>1.5808883911907401</v>
      </c>
      <c r="R545">
        <v>16.410392060960799</v>
      </c>
      <c r="S545">
        <v>0.64770436730123204</v>
      </c>
      <c r="T545">
        <v>5.4303844718178399E-3</v>
      </c>
      <c r="U545">
        <v>1997</v>
      </c>
      <c r="V545">
        <v>28</v>
      </c>
      <c r="Y545">
        <v>0</v>
      </c>
      <c r="Z545" t="s">
        <v>1274</v>
      </c>
      <c r="AA545" t="s">
        <v>1741</v>
      </c>
    </row>
    <row r="546" spans="1:27" ht="15" customHeight="1" x14ac:dyDescent="0.3">
      <c r="A546">
        <v>601</v>
      </c>
      <c r="B546">
        <v>121</v>
      </c>
      <c r="C546" t="s">
        <v>1276</v>
      </c>
      <c r="D546" t="s">
        <v>1277</v>
      </c>
      <c r="E546" t="s">
        <v>758</v>
      </c>
      <c r="F546">
        <v>2021</v>
      </c>
      <c r="G546">
        <v>0</v>
      </c>
      <c r="H546">
        <v>0</v>
      </c>
      <c r="I546">
        <v>0</v>
      </c>
      <c r="J546">
        <v>0</v>
      </c>
      <c r="K546">
        <v>220000000</v>
      </c>
      <c r="L546">
        <v>0.35</v>
      </c>
      <c r="M546">
        <v>77000</v>
      </c>
      <c r="N546">
        <v>815770</v>
      </c>
      <c r="O546">
        <v>437287</v>
      </c>
      <c r="P546">
        <v>16497</v>
      </c>
      <c r="Q546">
        <v>2.04161111581181</v>
      </c>
      <c r="R546">
        <v>12.988345009083501</v>
      </c>
      <c r="S546">
        <v>1.86552538721709</v>
      </c>
      <c r="T546">
        <v>3.7725795644508099E-2</v>
      </c>
      <c r="U546">
        <v>1948</v>
      </c>
      <c r="V546">
        <v>73</v>
      </c>
      <c r="Y546">
        <v>0</v>
      </c>
      <c r="Z546" t="s">
        <v>861</v>
      </c>
      <c r="AA546" t="s">
        <v>1742</v>
      </c>
    </row>
    <row r="547" spans="1:27" ht="15" customHeight="1" x14ac:dyDescent="0.3">
      <c r="A547">
        <v>602</v>
      </c>
      <c r="B547">
        <v>121</v>
      </c>
      <c r="C547" t="s">
        <v>1276</v>
      </c>
      <c r="D547" t="s">
        <v>1277</v>
      </c>
      <c r="E547" t="s">
        <v>758</v>
      </c>
      <c r="F547">
        <v>2022</v>
      </c>
      <c r="G547">
        <v>0</v>
      </c>
      <c r="H547">
        <v>0</v>
      </c>
      <c r="I547">
        <v>0</v>
      </c>
      <c r="J547">
        <v>0</v>
      </c>
      <c r="K547">
        <v>220000000</v>
      </c>
      <c r="L547">
        <v>0.19539999999999999</v>
      </c>
      <c r="M547">
        <v>42988</v>
      </c>
      <c r="N547">
        <v>706711</v>
      </c>
      <c r="O547">
        <v>397434</v>
      </c>
      <c r="P547">
        <v>69205</v>
      </c>
      <c r="Q547">
        <v>1.8863484251473199</v>
      </c>
      <c r="R547">
        <v>12.8927841615549</v>
      </c>
      <c r="S547">
        <v>1.7781845539133501</v>
      </c>
      <c r="T547">
        <v>0.174129541005551</v>
      </c>
      <c r="U547">
        <v>1948</v>
      </c>
      <c r="V547">
        <v>74</v>
      </c>
      <c r="Y547">
        <v>0</v>
      </c>
      <c r="Z547" t="s">
        <v>861</v>
      </c>
      <c r="AA547" t="s">
        <v>1743</v>
      </c>
    </row>
    <row r="548" spans="1:27" ht="15" customHeight="1" x14ac:dyDescent="0.3">
      <c r="A548">
        <v>603</v>
      </c>
      <c r="B548">
        <v>121</v>
      </c>
      <c r="C548" t="s">
        <v>1276</v>
      </c>
      <c r="D548" t="s">
        <v>1277</v>
      </c>
      <c r="E548" t="s">
        <v>758</v>
      </c>
      <c r="F548">
        <v>2023</v>
      </c>
      <c r="G548">
        <v>1</v>
      </c>
      <c r="H548">
        <v>0</v>
      </c>
      <c r="I548">
        <v>0</v>
      </c>
      <c r="J548">
        <v>0</v>
      </c>
      <c r="K548">
        <v>396000000</v>
      </c>
      <c r="L548">
        <v>0.53890000000000005</v>
      </c>
      <c r="M548">
        <v>213404.4</v>
      </c>
      <c r="N548">
        <v>501660</v>
      </c>
      <c r="O548">
        <v>1026000</v>
      </c>
      <c r="P548">
        <v>36750</v>
      </c>
      <c r="Q548">
        <v>0.69694385964912298</v>
      </c>
      <c r="R548">
        <v>13.8411783047129</v>
      </c>
      <c r="S548">
        <v>0.48894736842105302</v>
      </c>
      <c r="T548">
        <v>3.5818713450292403E-2</v>
      </c>
      <c r="U548">
        <v>1948</v>
      </c>
      <c r="V548">
        <v>75</v>
      </c>
      <c r="Y548">
        <v>0</v>
      </c>
      <c r="Z548" t="s">
        <v>861</v>
      </c>
      <c r="AA548" t="s">
        <v>1744</v>
      </c>
    </row>
    <row r="549" spans="1:27" ht="15" customHeight="1" x14ac:dyDescent="0.3">
      <c r="A549">
        <v>604</v>
      </c>
      <c r="B549">
        <v>121</v>
      </c>
      <c r="C549" t="s">
        <v>1276</v>
      </c>
      <c r="D549" t="s">
        <v>1277</v>
      </c>
      <c r="E549" t="s">
        <v>758</v>
      </c>
      <c r="F549">
        <v>2024</v>
      </c>
      <c r="G549">
        <v>1</v>
      </c>
      <c r="H549">
        <v>0</v>
      </c>
      <c r="I549">
        <v>0</v>
      </c>
      <c r="J549">
        <v>0</v>
      </c>
      <c r="K549">
        <v>396000000</v>
      </c>
      <c r="L549">
        <v>2.702</v>
      </c>
      <c r="M549">
        <v>1069992</v>
      </c>
      <c r="N549">
        <v>512039</v>
      </c>
      <c r="O549">
        <v>1023513</v>
      </c>
      <c r="P549">
        <v>-12455</v>
      </c>
      <c r="Q549">
        <v>1.5456872555600201</v>
      </c>
      <c r="R549">
        <v>13.838751385517201</v>
      </c>
      <c r="S549">
        <v>0.50027601017280698</v>
      </c>
      <c r="T549">
        <v>-1.2168873282508401E-2</v>
      </c>
      <c r="U549">
        <v>1948</v>
      </c>
      <c r="V549">
        <v>76</v>
      </c>
      <c r="Y549">
        <v>0</v>
      </c>
      <c r="Z549" t="s">
        <v>861</v>
      </c>
      <c r="AA549" t="s">
        <v>1745</v>
      </c>
    </row>
    <row r="550" spans="1:27" ht="15" customHeight="1" x14ac:dyDescent="0.3">
      <c r="A550">
        <v>605</v>
      </c>
      <c r="B550">
        <v>121</v>
      </c>
      <c r="C550" t="s">
        <v>1276</v>
      </c>
      <c r="D550" t="s">
        <v>1277</v>
      </c>
      <c r="E550" t="s">
        <v>758</v>
      </c>
      <c r="F550">
        <v>2025</v>
      </c>
      <c r="G550">
        <v>1</v>
      </c>
      <c r="H550">
        <v>0</v>
      </c>
      <c r="I550">
        <v>0</v>
      </c>
      <c r="J550">
        <v>0</v>
      </c>
      <c r="K550">
        <v>396000000</v>
      </c>
      <c r="L550">
        <v>1.89</v>
      </c>
      <c r="M550">
        <v>748440</v>
      </c>
      <c r="N550">
        <v>590466</v>
      </c>
      <c r="O550">
        <v>1028500</v>
      </c>
      <c r="P550">
        <v>-4386</v>
      </c>
      <c r="Q550">
        <v>1.3018045697617899</v>
      </c>
      <c r="R550">
        <v>13.8436119880751</v>
      </c>
      <c r="S550">
        <v>0.57410403500243101</v>
      </c>
      <c r="T550">
        <v>-4.2644628099173599E-3</v>
      </c>
      <c r="U550">
        <v>1948</v>
      </c>
      <c r="V550">
        <v>77</v>
      </c>
      <c r="Y550">
        <v>0</v>
      </c>
      <c r="Z550" t="s">
        <v>861</v>
      </c>
      <c r="AA550" t="s">
        <v>1746</v>
      </c>
    </row>
    <row r="551" spans="1:27" ht="15" customHeight="1" x14ac:dyDescent="0.3">
      <c r="A551">
        <v>606</v>
      </c>
      <c r="B551">
        <v>122</v>
      </c>
      <c r="C551" t="s">
        <v>1281</v>
      </c>
      <c r="D551" t="s">
        <v>1282</v>
      </c>
      <c r="E551" t="s">
        <v>715</v>
      </c>
      <c r="F551">
        <v>2021</v>
      </c>
      <c r="G551">
        <v>0</v>
      </c>
      <c r="H551">
        <v>0</v>
      </c>
      <c r="I551">
        <v>0</v>
      </c>
      <c r="J551">
        <v>0</v>
      </c>
      <c r="K551">
        <v>889980000</v>
      </c>
      <c r="L551">
        <v>0.37</v>
      </c>
      <c r="M551">
        <v>329292.59999999998</v>
      </c>
      <c r="N551">
        <v>1028000</v>
      </c>
      <c r="O551">
        <v>1794000</v>
      </c>
      <c r="P551">
        <v>-77240</v>
      </c>
      <c r="Q551">
        <v>0.75657335562987704</v>
      </c>
      <c r="R551">
        <v>14.3999583216009</v>
      </c>
      <c r="S551">
        <v>0.57302118171683403</v>
      </c>
      <c r="T551">
        <v>-4.3054626532887399E-2</v>
      </c>
      <c r="U551">
        <v>1995</v>
      </c>
      <c r="V551">
        <v>26</v>
      </c>
      <c r="Y551">
        <v>0</v>
      </c>
      <c r="Z551" t="s">
        <v>1284</v>
      </c>
      <c r="AA551" t="s">
        <v>1747</v>
      </c>
    </row>
    <row r="552" spans="1:27" ht="15" customHeight="1" x14ac:dyDescent="0.3">
      <c r="A552">
        <v>607</v>
      </c>
      <c r="B552">
        <v>122</v>
      </c>
      <c r="C552" t="s">
        <v>1281</v>
      </c>
      <c r="D552" t="s">
        <v>1282</v>
      </c>
      <c r="E552" t="s">
        <v>715</v>
      </c>
      <c r="F552">
        <v>2022</v>
      </c>
      <c r="G552">
        <v>0</v>
      </c>
      <c r="H552">
        <v>0</v>
      </c>
      <c r="I552">
        <v>0</v>
      </c>
      <c r="J552">
        <v>0</v>
      </c>
      <c r="K552">
        <v>889980000</v>
      </c>
      <c r="L552">
        <v>0.48</v>
      </c>
      <c r="M552">
        <v>427190.4</v>
      </c>
      <c r="N552">
        <v>1377000</v>
      </c>
      <c r="O552">
        <v>2090000</v>
      </c>
      <c r="P552">
        <v>-53700</v>
      </c>
      <c r="Q552">
        <v>0.86324899521531095</v>
      </c>
      <c r="R552">
        <v>14.552674623941</v>
      </c>
      <c r="S552">
        <v>0.65885167464114802</v>
      </c>
      <c r="T552">
        <v>-2.5693779904306199E-2</v>
      </c>
      <c r="U552">
        <v>1995</v>
      </c>
      <c r="V552">
        <v>27</v>
      </c>
      <c r="Y552">
        <v>0</v>
      </c>
      <c r="Z552" t="s">
        <v>1284</v>
      </c>
      <c r="AA552" t="s">
        <v>1748</v>
      </c>
    </row>
    <row r="553" spans="1:27" ht="15" customHeight="1" x14ac:dyDescent="0.3">
      <c r="A553">
        <v>608</v>
      </c>
      <c r="B553">
        <v>122</v>
      </c>
      <c r="C553" t="s">
        <v>1281</v>
      </c>
      <c r="D553" t="s">
        <v>1282</v>
      </c>
      <c r="E553" t="s">
        <v>715</v>
      </c>
      <c r="F553">
        <v>2023</v>
      </c>
      <c r="G553">
        <v>1</v>
      </c>
      <c r="H553">
        <v>0</v>
      </c>
      <c r="I553">
        <v>5</v>
      </c>
      <c r="J553">
        <v>0</v>
      </c>
      <c r="K553">
        <v>889980000</v>
      </c>
      <c r="L553">
        <v>1.1460999999999999</v>
      </c>
      <c r="M553">
        <v>1020006.078</v>
      </c>
      <c r="N553">
        <v>1382000</v>
      </c>
      <c r="O553">
        <v>2560000</v>
      </c>
      <c r="P553">
        <v>348230</v>
      </c>
      <c r="Q553">
        <v>0.93828362421875</v>
      </c>
      <c r="R553">
        <v>14.755517816455701</v>
      </c>
      <c r="S553">
        <v>0.53984374999999996</v>
      </c>
      <c r="T553">
        <v>0.13602734375</v>
      </c>
      <c r="U553">
        <v>1995</v>
      </c>
      <c r="V553">
        <v>28</v>
      </c>
      <c r="Y553">
        <v>0</v>
      </c>
      <c r="Z553" t="s">
        <v>1284</v>
      </c>
      <c r="AA553" t="s">
        <v>1749</v>
      </c>
    </row>
    <row r="554" spans="1:27" ht="15" customHeight="1" x14ac:dyDescent="0.3">
      <c r="A554">
        <v>609</v>
      </c>
      <c r="B554">
        <v>122</v>
      </c>
      <c r="C554" t="s">
        <v>1281</v>
      </c>
      <c r="D554" t="s">
        <v>1282</v>
      </c>
      <c r="E554" t="s">
        <v>715</v>
      </c>
      <c r="F554">
        <v>2024</v>
      </c>
      <c r="G554">
        <v>1</v>
      </c>
      <c r="H554">
        <v>0</v>
      </c>
      <c r="I554">
        <v>5</v>
      </c>
      <c r="J554">
        <v>0</v>
      </c>
      <c r="K554">
        <v>889980000</v>
      </c>
      <c r="L554">
        <v>2.4944000000000002</v>
      </c>
      <c r="M554">
        <v>2219966.1120000002</v>
      </c>
      <c r="N554">
        <v>2646000</v>
      </c>
      <c r="O554">
        <v>5120000</v>
      </c>
      <c r="P554">
        <v>1380000</v>
      </c>
      <c r="Q554">
        <v>0.95038400624999997</v>
      </c>
      <c r="R554">
        <v>15.448664997015699</v>
      </c>
      <c r="S554">
        <v>0.51679687500000004</v>
      </c>
      <c r="T554">
        <v>0.26953125</v>
      </c>
      <c r="U554">
        <v>1995</v>
      </c>
      <c r="V554">
        <v>29</v>
      </c>
      <c r="Y554">
        <v>0</v>
      </c>
      <c r="Z554" t="s">
        <v>1284</v>
      </c>
      <c r="AA554" t="s">
        <v>1750</v>
      </c>
    </row>
    <row r="555" spans="1:27" ht="15" customHeight="1" x14ac:dyDescent="0.3">
      <c r="A555">
        <v>610</v>
      </c>
      <c r="B555">
        <v>122</v>
      </c>
      <c r="C555" t="s">
        <v>1281</v>
      </c>
      <c r="D555" t="s">
        <v>1282</v>
      </c>
      <c r="E555" t="s">
        <v>715</v>
      </c>
      <c r="F555">
        <v>2025</v>
      </c>
      <c r="G555">
        <v>1</v>
      </c>
      <c r="H555">
        <v>0</v>
      </c>
      <c r="I555">
        <v>0</v>
      </c>
      <c r="J555">
        <v>0</v>
      </c>
      <c r="K555">
        <v>889980000</v>
      </c>
      <c r="L555">
        <v>13.303699999999999</v>
      </c>
      <c r="M555">
        <v>11840026.926000001</v>
      </c>
      <c r="N555">
        <v>5974000</v>
      </c>
      <c r="O555">
        <v>11727000</v>
      </c>
      <c r="P555">
        <v>3388000</v>
      </c>
      <c r="Q555">
        <v>1.51906087882664</v>
      </c>
      <c r="R555">
        <v>16.277404433443198</v>
      </c>
      <c r="S555">
        <v>0.50942269975270704</v>
      </c>
      <c r="T555">
        <v>0.28890594354907501</v>
      </c>
      <c r="U555">
        <v>1995</v>
      </c>
      <c r="V555">
        <v>30</v>
      </c>
      <c r="Y555">
        <v>0</v>
      </c>
      <c r="Z555" t="s">
        <v>1284</v>
      </c>
      <c r="AA555" t="s">
        <v>1751</v>
      </c>
    </row>
    <row r="556" spans="1:27" ht="15" customHeight="1" x14ac:dyDescent="0.3">
      <c r="A556">
        <v>611</v>
      </c>
      <c r="B556">
        <v>123</v>
      </c>
      <c r="C556" t="s">
        <v>1286</v>
      </c>
      <c r="D556" t="s">
        <v>1287</v>
      </c>
      <c r="E556" t="s">
        <v>766</v>
      </c>
      <c r="F556">
        <v>2021</v>
      </c>
      <c r="G556">
        <v>0</v>
      </c>
      <c r="H556">
        <v>0</v>
      </c>
      <c r="I556">
        <v>0</v>
      </c>
      <c r="J556">
        <v>0</v>
      </c>
      <c r="K556">
        <v>339520000</v>
      </c>
      <c r="L556">
        <v>221.9015</v>
      </c>
      <c r="M556">
        <v>75339997.280000001</v>
      </c>
      <c r="N556">
        <v>167110000</v>
      </c>
      <c r="O556">
        <v>208729000</v>
      </c>
      <c r="P556">
        <v>16862000</v>
      </c>
      <c r="Q556">
        <v>1.16155396365622</v>
      </c>
      <c r="R556">
        <v>19.156547317832398</v>
      </c>
      <c r="S556">
        <v>0.80060748626209099</v>
      </c>
      <c r="T556">
        <v>8.0784174695418501E-2</v>
      </c>
      <c r="U556">
        <v>1956</v>
      </c>
      <c r="V556">
        <v>65</v>
      </c>
      <c r="Y556">
        <v>1</v>
      </c>
      <c r="Z556" t="s">
        <v>711</v>
      </c>
      <c r="AA556" t="s">
        <v>1752</v>
      </c>
    </row>
    <row r="557" spans="1:27" ht="15" customHeight="1" x14ac:dyDescent="0.3">
      <c r="A557">
        <v>612</v>
      </c>
      <c r="B557">
        <v>123</v>
      </c>
      <c r="C557" t="s">
        <v>1286</v>
      </c>
      <c r="D557" t="s">
        <v>1287</v>
      </c>
      <c r="E557" t="s">
        <v>766</v>
      </c>
      <c r="F557">
        <v>2022</v>
      </c>
      <c r="G557">
        <v>0</v>
      </c>
      <c r="H557">
        <v>0</v>
      </c>
      <c r="I557">
        <v>0</v>
      </c>
      <c r="J557">
        <v>0</v>
      </c>
      <c r="K557">
        <v>339520000</v>
      </c>
      <c r="L557">
        <v>193.0078</v>
      </c>
      <c r="M557">
        <v>65530008.255999997</v>
      </c>
      <c r="N557">
        <v>257529000</v>
      </c>
      <c r="O557">
        <v>307816000</v>
      </c>
      <c r="P557">
        <v>16118000</v>
      </c>
      <c r="Q557">
        <v>1.04951986984432</v>
      </c>
      <c r="R557">
        <v>19.545012759824399</v>
      </c>
      <c r="S557">
        <v>0.83663292356472696</v>
      </c>
      <c r="T557">
        <v>5.2362450294981398E-2</v>
      </c>
      <c r="U557">
        <v>1956</v>
      </c>
      <c r="V557">
        <v>66</v>
      </c>
      <c r="Y557">
        <v>1</v>
      </c>
      <c r="Z557" t="s">
        <v>711</v>
      </c>
      <c r="AA557" t="s">
        <v>1753</v>
      </c>
    </row>
    <row r="558" spans="1:27" ht="15" customHeight="1" x14ac:dyDescent="0.3">
      <c r="A558">
        <v>613</v>
      </c>
      <c r="B558">
        <v>123</v>
      </c>
      <c r="C558" t="s">
        <v>1286</v>
      </c>
      <c r="D558" t="s">
        <v>1287</v>
      </c>
      <c r="E558" t="s">
        <v>766</v>
      </c>
      <c r="F558">
        <v>2023</v>
      </c>
      <c r="G558">
        <v>1</v>
      </c>
      <c r="H558">
        <v>0</v>
      </c>
      <c r="I558">
        <v>0</v>
      </c>
      <c r="J558">
        <v>0</v>
      </c>
      <c r="K558">
        <v>339520000</v>
      </c>
      <c r="L558">
        <v>385.01409999999998</v>
      </c>
      <c r="M558">
        <v>130719987.23199999</v>
      </c>
      <c r="N558">
        <v>319038000</v>
      </c>
      <c r="O558">
        <v>375116000</v>
      </c>
      <c r="P558">
        <v>12913000</v>
      </c>
      <c r="Q558">
        <v>1.1989837469796001</v>
      </c>
      <c r="R558">
        <v>19.742745869434302</v>
      </c>
      <c r="S558">
        <v>0.85050491048102494</v>
      </c>
      <c r="T558">
        <v>3.4424018170379302E-2</v>
      </c>
      <c r="U558">
        <v>1956</v>
      </c>
      <c r="V558">
        <v>67</v>
      </c>
      <c r="Y558">
        <v>1</v>
      </c>
      <c r="Z558" t="s">
        <v>711</v>
      </c>
      <c r="AA558" t="s">
        <v>1754</v>
      </c>
    </row>
    <row r="559" spans="1:27" ht="15" customHeight="1" x14ac:dyDescent="0.3">
      <c r="A559">
        <v>614</v>
      </c>
      <c r="B559">
        <v>123</v>
      </c>
      <c r="C559" t="s">
        <v>1286</v>
      </c>
      <c r="D559" t="s">
        <v>1287</v>
      </c>
      <c r="E559" t="s">
        <v>766</v>
      </c>
      <c r="F559">
        <v>2024</v>
      </c>
      <c r="G559">
        <v>1</v>
      </c>
      <c r="H559">
        <v>0</v>
      </c>
      <c r="I559">
        <v>20</v>
      </c>
      <c r="J559">
        <v>13.3333333333333</v>
      </c>
      <c r="K559">
        <v>339520000</v>
      </c>
      <c r="L559">
        <v>698.01480000000004</v>
      </c>
      <c r="M559">
        <v>236989984.896</v>
      </c>
      <c r="N559">
        <v>396042000</v>
      </c>
      <c r="O559">
        <v>471123000</v>
      </c>
      <c r="P559">
        <v>27496000</v>
      </c>
      <c r="Q559">
        <v>1.3436660593857701</v>
      </c>
      <c r="R559">
        <v>19.9706297643847</v>
      </c>
      <c r="S559">
        <v>0.84063397456715105</v>
      </c>
      <c r="T559">
        <v>5.8362678111660897E-2</v>
      </c>
      <c r="U559">
        <v>1956</v>
      </c>
      <c r="V559">
        <v>68</v>
      </c>
      <c r="Y559">
        <v>1</v>
      </c>
      <c r="Z559" t="s">
        <v>711</v>
      </c>
      <c r="AA559" t="s">
        <v>1755</v>
      </c>
    </row>
    <row r="560" spans="1:27" ht="15" customHeight="1" x14ac:dyDescent="0.3">
      <c r="A560">
        <v>615</v>
      </c>
      <c r="B560">
        <v>123</v>
      </c>
      <c r="C560" t="s">
        <v>1286</v>
      </c>
      <c r="D560" t="s">
        <v>1287</v>
      </c>
      <c r="E560" t="s">
        <v>766</v>
      </c>
      <c r="F560">
        <v>2025</v>
      </c>
      <c r="G560">
        <v>1</v>
      </c>
      <c r="H560">
        <v>0</v>
      </c>
      <c r="I560">
        <v>0</v>
      </c>
      <c r="J560">
        <v>0</v>
      </c>
      <c r="K560">
        <v>339520000</v>
      </c>
      <c r="L560">
        <v>639.99180000000001</v>
      </c>
      <c r="M560">
        <v>217290015.93599999</v>
      </c>
      <c r="N560">
        <v>341010000</v>
      </c>
      <c r="O560">
        <v>388550000</v>
      </c>
      <c r="P560">
        <v>-13853000</v>
      </c>
      <c r="Q560">
        <v>1.4368807513473201</v>
      </c>
      <c r="R560">
        <v>19.7779324196195</v>
      </c>
      <c r="S560">
        <v>0.87764766439325703</v>
      </c>
      <c r="T560">
        <v>-3.5653069103075502E-2</v>
      </c>
      <c r="U560">
        <v>1956</v>
      </c>
      <c r="V560">
        <v>69</v>
      </c>
      <c r="Y560">
        <v>1</v>
      </c>
      <c r="Z560" t="s">
        <v>711</v>
      </c>
      <c r="AA560" t="s">
        <v>1756</v>
      </c>
    </row>
    <row r="561" spans="1:27" ht="15" customHeight="1" x14ac:dyDescent="0.3">
      <c r="A561">
        <v>616</v>
      </c>
      <c r="B561">
        <v>124</v>
      </c>
      <c r="C561" t="s">
        <v>1290</v>
      </c>
      <c r="D561" t="s">
        <v>1291</v>
      </c>
      <c r="E561" t="s">
        <v>715</v>
      </c>
      <c r="F561">
        <v>2021</v>
      </c>
      <c r="G561">
        <v>0</v>
      </c>
      <c r="H561">
        <v>0</v>
      </c>
      <c r="I561">
        <v>0</v>
      </c>
      <c r="J561">
        <v>0</v>
      </c>
      <c r="K561">
        <v>10243000000</v>
      </c>
      <c r="L561">
        <v>5.3792999999999997</v>
      </c>
      <c r="M561">
        <v>55100169.899999999</v>
      </c>
      <c r="N561">
        <v>53670000</v>
      </c>
      <c r="O561">
        <v>115890000</v>
      </c>
      <c r="P561">
        <v>1144000</v>
      </c>
      <c r="Q561">
        <v>0.93856389593580103</v>
      </c>
      <c r="R561">
        <v>18.568152023310599</v>
      </c>
      <c r="S561">
        <v>0.46311157131762898</v>
      </c>
      <c r="T561">
        <v>9.8714298041245995E-3</v>
      </c>
      <c r="U561">
        <v>1994</v>
      </c>
      <c r="V561">
        <v>27</v>
      </c>
      <c r="Y561">
        <v>1</v>
      </c>
      <c r="Z561" t="s">
        <v>732</v>
      </c>
      <c r="AA561" t="s">
        <v>1757</v>
      </c>
    </row>
    <row r="562" spans="1:27" ht="15" customHeight="1" x14ac:dyDescent="0.3">
      <c r="A562">
        <v>617</v>
      </c>
      <c r="B562">
        <v>124</v>
      </c>
      <c r="C562" t="s">
        <v>1290</v>
      </c>
      <c r="D562" t="s">
        <v>1291</v>
      </c>
      <c r="E562" t="s">
        <v>715</v>
      </c>
      <c r="F562">
        <v>2022</v>
      </c>
      <c r="G562">
        <v>0</v>
      </c>
      <c r="H562">
        <v>0</v>
      </c>
      <c r="I562">
        <v>0</v>
      </c>
      <c r="J562">
        <v>0</v>
      </c>
      <c r="K562">
        <v>10243000000</v>
      </c>
      <c r="L562">
        <v>6.2500999999999998</v>
      </c>
      <c r="M562">
        <v>64019774.299999997</v>
      </c>
      <c r="N562">
        <v>57698000</v>
      </c>
      <c r="O562">
        <v>120487000</v>
      </c>
      <c r="P562">
        <v>2678000</v>
      </c>
      <c r="Q562">
        <v>1.01021499663864</v>
      </c>
      <c r="R562">
        <v>18.607052421257698</v>
      </c>
      <c r="S562">
        <v>0.47887323943662002</v>
      </c>
      <c r="T562">
        <v>2.2226464265854399E-2</v>
      </c>
      <c r="U562">
        <v>1994</v>
      </c>
      <c r="V562">
        <v>28</v>
      </c>
      <c r="Y562">
        <v>1</v>
      </c>
      <c r="Z562" t="s">
        <v>732</v>
      </c>
      <c r="AA562" t="s">
        <v>1758</v>
      </c>
    </row>
    <row r="563" spans="1:27" ht="15" customHeight="1" x14ac:dyDescent="0.3">
      <c r="A563">
        <v>618</v>
      </c>
      <c r="B563">
        <v>124</v>
      </c>
      <c r="C563" t="s">
        <v>1290</v>
      </c>
      <c r="D563" t="s">
        <v>1291</v>
      </c>
      <c r="E563" t="s">
        <v>715</v>
      </c>
      <c r="F563">
        <v>2023</v>
      </c>
      <c r="G563">
        <v>1</v>
      </c>
      <c r="H563">
        <v>0</v>
      </c>
      <c r="I563">
        <v>0</v>
      </c>
      <c r="J563">
        <v>0</v>
      </c>
      <c r="K563">
        <v>10243000000</v>
      </c>
      <c r="L563">
        <v>70.176699999999997</v>
      </c>
      <c r="M563">
        <v>718819938.10000002</v>
      </c>
      <c r="N563">
        <v>59299000</v>
      </c>
      <c r="O563">
        <v>126095000</v>
      </c>
      <c r="P563">
        <v>6156000</v>
      </c>
      <c r="Q563">
        <v>6.1708944692493803</v>
      </c>
      <c r="R563">
        <v>18.6525461490784</v>
      </c>
      <c r="S563">
        <v>0.47027241365637001</v>
      </c>
      <c r="T563">
        <v>4.8820333875252801E-2</v>
      </c>
      <c r="U563">
        <v>1994</v>
      </c>
      <c r="V563">
        <v>29</v>
      </c>
      <c r="Y563">
        <v>1</v>
      </c>
      <c r="Z563" t="s">
        <v>732</v>
      </c>
      <c r="AA563" t="s">
        <v>1759</v>
      </c>
    </row>
    <row r="564" spans="1:27" ht="15" customHeight="1" x14ac:dyDescent="0.3">
      <c r="A564">
        <v>619</v>
      </c>
      <c r="B564">
        <v>124</v>
      </c>
      <c r="C564" t="s">
        <v>1290</v>
      </c>
      <c r="D564" t="s">
        <v>1291</v>
      </c>
      <c r="E564" t="s">
        <v>715</v>
      </c>
      <c r="F564">
        <v>2024</v>
      </c>
      <c r="G564">
        <v>1</v>
      </c>
      <c r="H564">
        <v>0</v>
      </c>
      <c r="I564">
        <v>10</v>
      </c>
      <c r="J564">
        <v>13.3333333333333</v>
      </c>
      <c r="K564">
        <v>10243000000</v>
      </c>
      <c r="L564">
        <v>116.1769</v>
      </c>
      <c r="M564">
        <v>1189999986.7</v>
      </c>
      <c r="N564">
        <v>60177000</v>
      </c>
      <c r="O564">
        <v>140696000</v>
      </c>
      <c r="P564">
        <v>14944000</v>
      </c>
      <c r="Q564">
        <v>8.8856611893728292</v>
      </c>
      <c r="R564">
        <v>18.762112092398301</v>
      </c>
      <c r="S564">
        <v>0.42770938761585298</v>
      </c>
      <c r="T564">
        <v>0.10621481776312</v>
      </c>
      <c r="U564">
        <v>1994</v>
      </c>
      <c r="V564">
        <v>30</v>
      </c>
      <c r="Y564">
        <v>1</v>
      </c>
      <c r="Z564" t="s">
        <v>732</v>
      </c>
      <c r="AA564" t="s">
        <v>1760</v>
      </c>
    </row>
    <row r="565" spans="1:27" ht="15" customHeight="1" x14ac:dyDescent="0.3">
      <c r="A565">
        <v>620</v>
      </c>
      <c r="B565">
        <v>124</v>
      </c>
      <c r="C565" t="s">
        <v>1290</v>
      </c>
      <c r="D565" t="s">
        <v>1291</v>
      </c>
      <c r="E565" t="s">
        <v>715</v>
      </c>
      <c r="F565">
        <v>2025</v>
      </c>
      <c r="G565">
        <v>1</v>
      </c>
      <c r="H565">
        <v>0</v>
      </c>
      <c r="I565">
        <v>0</v>
      </c>
      <c r="J565">
        <v>0</v>
      </c>
      <c r="K565">
        <v>10243000000</v>
      </c>
      <c r="L565">
        <v>170.8484</v>
      </c>
      <c r="M565">
        <v>1750000161.2</v>
      </c>
      <c r="N565">
        <v>64676000</v>
      </c>
      <c r="O565">
        <v>159906000</v>
      </c>
      <c r="P565">
        <v>21871000</v>
      </c>
      <c r="Q565">
        <v>11.3483931884982</v>
      </c>
      <c r="R565">
        <v>18.890096700552402</v>
      </c>
      <c r="S565">
        <v>0.40446262179030201</v>
      </c>
      <c r="T565">
        <v>0.13677410478656199</v>
      </c>
      <c r="U565">
        <v>1994</v>
      </c>
      <c r="V565">
        <v>31</v>
      </c>
      <c r="Y565">
        <v>1</v>
      </c>
      <c r="Z565" t="s">
        <v>732</v>
      </c>
      <c r="AA565" t="s">
        <v>1761</v>
      </c>
    </row>
    <row r="566" spans="1:27" ht="15" customHeight="1" x14ac:dyDescent="0.3">
      <c r="A566">
        <v>621</v>
      </c>
      <c r="B566">
        <v>125</v>
      </c>
      <c r="C566" t="s">
        <v>1294</v>
      </c>
      <c r="D566" t="s">
        <v>1295</v>
      </c>
      <c r="E566" t="s">
        <v>870</v>
      </c>
      <c r="F566">
        <v>2021</v>
      </c>
      <c r="G566">
        <v>0</v>
      </c>
      <c r="H566">
        <v>0</v>
      </c>
      <c r="I566">
        <v>0</v>
      </c>
      <c r="J566">
        <v>0</v>
      </c>
      <c r="K566">
        <v>10162000000</v>
      </c>
      <c r="L566">
        <v>3.8397999999999999</v>
      </c>
      <c r="M566">
        <v>39020047.600000001</v>
      </c>
      <c r="N566">
        <v>269708000</v>
      </c>
      <c r="O566">
        <v>416000000</v>
      </c>
      <c r="P566">
        <v>13964000</v>
      </c>
      <c r="Q566">
        <v>0.74213472980769202</v>
      </c>
      <c r="R566">
        <v>19.8461958182255</v>
      </c>
      <c r="S566">
        <v>0.64833653846153905</v>
      </c>
      <c r="T566">
        <v>3.3567307692307702E-2</v>
      </c>
      <c r="U566">
        <v>2004</v>
      </c>
      <c r="V566">
        <v>17</v>
      </c>
      <c r="Y566">
        <v>1</v>
      </c>
      <c r="Z566" t="s">
        <v>732</v>
      </c>
      <c r="AA566" t="s">
        <v>1762</v>
      </c>
    </row>
    <row r="567" spans="1:27" ht="15" customHeight="1" x14ac:dyDescent="0.3">
      <c r="A567">
        <v>622</v>
      </c>
      <c r="B567">
        <v>125</v>
      </c>
      <c r="C567" t="s">
        <v>1294</v>
      </c>
      <c r="D567" t="s">
        <v>1295</v>
      </c>
      <c r="E567" t="s">
        <v>870</v>
      </c>
      <c r="F567">
        <v>2022</v>
      </c>
      <c r="G567">
        <v>0</v>
      </c>
      <c r="H567">
        <v>0</v>
      </c>
      <c r="I567">
        <v>0</v>
      </c>
      <c r="J567">
        <v>0</v>
      </c>
      <c r="K567">
        <v>10162000000</v>
      </c>
      <c r="L567">
        <v>4.5198</v>
      </c>
      <c r="M567">
        <v>45930207.600000001</v>
      </c>
      <c r="N567">
        <v>287929000</v>
      </c>
      <c r="O567">
        <v>442703000</v>
      </c>
      <c r="P567">
        <v>7788000</v>
      </c>
      <c r="Q567">
        <v>0.754138118783925</v>
      </c>
      <c r="R567">
        <v>19.9084096742776</v>
      </c>
      <c r="S567">
        <v>0.65038863527014701</v>
      </c>
      <c r="T567">
        <v>1.75919295780693E-2</v>
      </c>
      <c r="U567">
        <v>2004</v>
      </c>
      <c r="V567">
        <v>18</v>
      </c>
      <c r="Y567">
        <v>1</v>
      </c>
      <c r="Z567" t="s">
        <v>732</v>
      </c>
      <c r="AA567" t="s">
        <v>1763</v>
      </c>
    </row>
    <row r="568" spans="1:27" ht="15" customHeight="1" x14ac:dyDescent="0.3">
      <c r="A568">
        <v>623</v>
      </c>
      <c r="B568">
        <v>125</v>
      </c>
      <c r="C568" t="s">
        <v>1294</v>
      </c>
      <c r="D568" t="s">
        <v>1295</v>
      </c>
      <c r="E568" t="s">
        <v>870</v>
      </c>
      <c r="F568">
        <v>2023</v>
      </c>
      <c r="G568">
        <v>1</v>
      </c>
      <c r="H568">
        <v>0</v>
      </c>
      <c r="I568">
        <v>10</v>
      </c>
      <c r="J568">
        <v>0</v>
      </c>
      <c r="K568">
        <v>10162000000</v>
      </c>
      <c r="L568">
        <v>34.639800000000001</v>
      </c>
      <c r="M568">
        <v>352009647.60000002</v>
      </c>
      <c r="N568">
        <v>342626000</v>
      </c>
      <c r="O568">
        <v>529924000</v>
      </c>
      <c r="P568">
        <v>16378000</v>
      </c>
      <c r="Q568">
        <v>1.31082126418128</v>
      </c>
      <c r="R568">
        <v>20.0882441580018</v>
      </c>
      <c r="S568">
        <v>0.64655686475796503</v>
      </c>
      <c r="T568">
        <v>3.09063186419185E-2</v>
      </c>
      <c r="U568">
        <v>2004</v>
      </c>
      <c r="V568">
        <v>19</v>
      </c>
      <c r="Y568">
        <v>1</v>
      </c>
      <c r="Z568" t="s">
        <v>732</v>
      </c>
      <c r="AA568" t="s">
        <v>1764</v>
      </c>
    </row>
    <row r="569" spans="1:27" ht="15" customHeight="1" x14ac:dyDescent="0.3">
      <c r="A569">
        <v>624</v>
      </c>
      <c r="B569">
        <v>125</v>
      </c>
      <c r="C569" t="s">
        <v>1294</v>
      </c>
      <c r="D569" t="s">
        <v>1295</v>
      </c>
      <c r="E569" t="s">
        <v>870</v>
      </c>
      <c r="F569">
        <v>2024</v>
      </c>
      <c r="G569">
        <v>1</v>
      </c>
      <c r="H569">
        <v>0</v>
      </c>
      <c r="I569">
        <v>10</v>
      </c>
      <c r="J569">
        <v>0</v>
      </c>
      <c r="K569">
        <v>10162000000</v>
      </c>
      <c r="L569">
        <v>43.500300000000003</v>
      </c>
      <c r="M569">
        <v>442050048.60000002</v>
      </c>
      <c r="N569">
        <v>511370000</v>
      </c>
      <c r="O569">
        <v>751563000</v>
      </c>
      <c r="P569">
        <v>51525000</v>
      </c>
      <c r="Q569">
        <v>1.2685830044853199</v>
      </c>
      <c r="R569">
        <v>20.437665595978899</v>
      </c>
      <c r="S569">
        <v>0.680408694946398</v>
      </c>
      <c r="T569">
        <v>6.8557126947441496E-2</v>
      </c>
      <c r="U569">
        <v>2004</v>
      </c>
      <c r="V569">
        <v>20</v>
      </c>
      <c r="Y569">
        <v>1</v>
      </c>
      <c r="Z569" t="s">
        <v>732</v>
      </c>
      <c r="AA569" t="s">
        <v>1765</v>
      </c>
    </row>
    <row r="570" spans="1:27" ht="15" customHeight="1" x14ac:dyDescent="0.3">
      <c r="A570">
        <v>625</v>
      </c>
      <c r="B570">
        <v>125</v>
      </c>
      <c r="C570" t="s">
        <v>1294</v>
      </c>
      <c r="D570" t="s">
        <v>1295</v>
      </c>
      <c r="E570" t="s">
        <v>870</v>
      </c>
      <c r="F570">
        <v>2025</v>
      </c>
      <c r="G570">
        <v>1</v>
      </c>
      <c r="H570">
        <v>0</v>
      </c>
      <c r="I570">
        <v>0</v>
      </c>
      <c r="J570">
        <v>0</v>
      </c>
      <c r="K570">
        <v>10162000000</v>
      </c>
      <c r="L570">
        <v>45.399500000000003</v>
      </c>
      <c r="M570">
        <v>461349719</v>
      </c>
      <c r="N570">
        <v>648957000</v>
      </c>
      <c r="O570">
        <v>1002343000</v>
      </c>
      <c r="P570">
        <v>85789000</v>
      </c>
      <c r="Q570">
        <v>1.1077113513039001</v>
      </c>
      <c r="R570">
        <v>20.725606096401801</v>
      </c>
      <c r="S570">
        <v>0.64744004796761201</v>
      </c>
      <c r="T570">
        <v>8.5588466223637999E-2</v>
      </c>
      <c r="U570">
        <v>2004</v>
      </c>
      <c r="V570">
        <v>21</v>
      </c>
      <c r="Y570">
        <v>1</v>
      </c>
      <c r="Z570" t="s">
        <v>732</v>
      </c>
      <c r="AA570" t="s">
        <v>1766</v>
      </c>
    </row>
    <row r="571" spans="1:27" ht="15" customHeight="1" x14ac:dyDescent="0.3">
      <c r="A571">
        <v>626</v>
      </c>
      <c r="B571">
        <v>126</v>
      </c>
      <c r="C571" t="s">
        <v>1298</v>
      </c>
      <c r="D571" t="s">
        <v>1299</v>
      </c>
      <c r="E571" t="s">
        <v>715</v>
      </c>
      <c r="F571">
        <v>2021</v>
      </c>
      <c r="G571">
        <v>0</v>
      </c>
      <c r="H571">
        <v>0</v>
      </c>
      <c r="I571">
        <v>0</v>
      </c>
      <c r="J571">
        <v>0</v>
      </c>
      <c r="K571">
        <v>498150000</v>
      </c>
      <c r="L571">
        <v>0.76239999999999997</v>
      </c>
      <c r="M571">
        <v>379789.56</v>
      </c>
      <c r="N571">
        <v>288960</v>
      </c>
      <c r="O571">
        <v>649590</v>
      </c>
      <c r="P571">
        <v>-39710</v>
      </c>
      <c r="Q571">
        <v>1.0294948505980701</v>
      </c>
      <c r="R571">
        <v>13.3840966736224</v>
      </c>
      <c r="S571">
        <v>0.44483443402761702</v>
      </c>
      <c r="T571">
        <v>-6.1130867162364003E-2</v>
      </c>
      <c r="U571">
        <v>1984</v>
      </c>
      <c r="V571">
        <v>37</v>
      </c>
      <c r="Y571">
        <v>0</v>
      </c>
      <c r="Z571" t="s">
        <v>885</v>
      </c>
      <c r="AA571" t="s">
        <v>1767</v>
      </c>
    </row>
    <row r="572" spans="1:27" ht="15" customHeight="1" x14ac:dyDescent="0.3">
      <c r="A572">
        <v>627</v>
      </c>
      <c r="B572">
        <v>126</v>
      </c>
      <c r="C572" t="s">
        <v>1298</v>
      </c>
      <c r="D572" t="s">
        <v>1299</v>
      </c>
      <c r="E572" t="s">
        <v>715</v>
      </c>
      <c r="F572">
        <v>2022</v>
      </c>
      <c r="G572">
        <v>0</v>
      </c>
      <c r="H572">
        <v>0</v>
      </c>
      <c r="I572">
        <v>0</v>
      </c>
      <c r="J572">
        <v>0</v>
      </c>
      <c r="K572">
        <v>498150000</v>
      </c>
      <c r="L572">
        <v>0.82</v>
      </c>
      <c r="M572">
        <v>408483</v>
      </c>
      <c r="N572">
        <v>318080</v>
      </c>
      <c r="O572">
        <v>697030</v>
      </c>
      <c r="P572">
        <v>25220</v>
      </c>
      <c r="Q572">
        <v>1.0423697688765201</v>
      </c>
      <c r="R572">
        <v>13.4545837304233</v>
      </c>
      <c r="S572">
        <v>0.45633616917492797</v>
      </c>
      <c r="T572">
        <v>3.6182086854224402E-2</v>
      </c>
      <c r="U572">
        <v>1984</v>
      </c>
      <c r="V572">
        <v>38</v>
      </c>
      <c r="Y572">
        <v>0</v>
      </c>
      <c r="Z572" t="s">
        <v>885</v>
      </c>
      <c r="AA572" t="s">
        <v>1768</v>
      </c>
    </row>
    <row r="573" spans="1:27" ht="15" customHeight="1" x14ac:dyDescent="0.3">
      <c r="A573">
        <v>628</v>
      </c>
      <c r="B573">
        <v>126</v>
      </c>
      <c r="C573" t="s">
        <v>1298</v>
      </c>
      <c r="D573" t="s">
        <v>1299</v>
      </c>
      <c r="E573" t="s">
        <v>715</v>
      </c>
      <c r="F573">
        <v>2023</v>
      </c>
      <c r="G573">
        <v>1</v>
      </c>
      <c r="H573">
        <v>0</v>
      </c>
      <c r="I573">
        <v>5</v>
      </c>
      <c r="J573">
        <v>0</v>
      </c>
      <c r="K573">
        <v>498150000</v>
      </c>
      <c r="L573">
        <v>1.1499999999999999</v>
      </c>
      <c r="M573">
        <v>572872.5</v>
      </c>
      <c r="N573">
        <v>334310</v>
      </c>
      <c r="O573">
        <v>719910</v>
      </c>
      <c r="P573">
        <v>16030</v>
      </c>
      <c r="Q573">
        <v>1.2601332110958301</v>
      </c>
      <c r="R573">
        <v>13.486881483179101</v>
      </c>
      <c r="S573">
        <v>0.46437749163089798</v>
      </c>
      <c r="T573">
        <v>2.2266672222916801E-2</v>
      </c>
      <c r="U573">
        <v>1984</v>
      </c>
      <c r="V573">
        <v>39</v>
      </c>
      <c r="Y573">
        <v>0</v>
      </c>
      <c r="Z573" t="s">
        <v>885</v>
      </c>
      <c r="AA573" t="s">
        <v>1769</v>
      </c>
    </row>
    <row r="574" spans="1:27" ht="15" customHeight="1" x14ac:dyDescent="0.3">
      <c r="A574">
        <v>629</v>
      </c>
      <c r="B574">
        <v>126</v>
      </c>
      <c r="C574" t="s">
        <v>1298</v>
      </c>
      <c r="D574" t="s">
        <v>1299</v>
      </c>
      <c r="E574" t="s">
        <v>715</v>
      </c>
      <c r="F574">
        <v>2024</v>
      </c>
      <c r="G574">
        <v>1</v>
      </c>
      <c r="H574">
        <v>0</v>
      </c>
      <c r="I574">
        <v>0</v>
      </c>
      <c r="J574">
        <v>0</v>
      </c>
      <c r="K574">
        <v>498150000</v>
      </c>
      <c r="L574">
        <v>1.38</v>
      </c>
      <c r="M574">
        <v>687447</v>
      </c>
      <c r="N574">
        <v>392790</v>
      </c>
      <c r="O574">
        <v>607860</v>
      </c>
      <c r="P574">
        <v>-97890</v>
      </c>
      <c r="Q574">
        <v>1.7771147961701701</v>
      </c>
      <c r="R574">
        <v>13.317699871275799</v>
      </c>
      <c r="S574">
        <v>0.64618497680386899</v>
      </c>
      <c r="T574">
        <v>-0.161040371138091</v>
      </c>
      <c r="U574">
        <v>1984</v>
      </c>
      <c r="V574">
        <v>40</v>
      </c>
      <c r="Y574">
        <v>0</v>
      </c>
      <c r="Z574" t="s">
        <v>885</v>
      </c>
      <c r="AA574" t="s">
        <v>1770</v>
      </c>
    </row>
    <row r="575" spans="1:27" ht="15" customHeight="1" x14ac:dyDescent="0.3">
      <c r="A575">
        <v>630</v>
      </c>
      <c r="B575">
        <v>126</v>
      </c>
      <c r="C575" t="s">
        <v>1298</v>
      </c>
      <c r="D575" t="s">
        <v>1299</v>
      </c>
      <c r="E575" t="s">
        <v>715</v>
      </c>
      <c r="F575">
        <v>2025</v>
      </c>
      <c r="G575">
        <v>1</v>
      </c>
      <c r="H575">
        <v>0</v>
      </c>
      <c r="I575">
        <v>0</v>
      </c>
      <c r="J575">
        <v>0</v>
      </c>
      <c r="K575">
        <v>498150000</v>
      </c>
      <c r="L575">
        <v>2.1478999999999999</v>
      </c>
      <c r="M575">
        <v>1069976.385</v>
      </c>
      <c r="N575">
        <v>436670</v>
      </c>
      <c r="O575">
        <v>475010</v>
      </c>
      <c r="P575">
        <v>-176720</v>
      </c>
      <c r="Q575">
        <v>3.1718203511505001</v>
      </c>
      <c r="R575">
        <v>13.0710911354268</v>
      </c>
      <c r="S575">
        <v>0.91928590977032099</v>
      </c>
      <c r="T575">
        <v>-0.37203427296267499</v>
      </c>
      <c r="U575">
        <v>1984</v>
      </c>
      <c r="V575">
        <v>41</v>
      </c>
      <c r="Y575">
        <v>0</v>
      </c>
      <c r="Z575" t="s">
        <v>885</v>
      </c>
      <c r="AA575" t="s">
        <v>1771</v>
      </c>
    </row>
    <row r="576" spans="1:27" ht="15" customHeight="1" x14ac:dyDescent="0.3">
      <c r="A576">
        <v>634</v>
      </c>
      <c r="B576">
        <v>127</v>
      </c>
      <c r="C576" t="s">
        <v>1302</v>
      </c>
      <c r="D576" t="s">
        <v>1303</v>
      </c>
      <c r="E576" t="s">
        <v>959</v>
      </c>
      <c r="F576">
        <v>2024</v>
      </c>
      <c r="G576">
        <v>1</v>
      </c>
      <c r="H576">
        <v>0</v>
      </c>
      <c r="I576">
        <v>5</v>
      </c>
      <c r="J576">
        <v>0</v>
      </c>
      <c r="K576">
        <v>7500000000</v>
      </c>
      <c r="L576">
        <v>360</v>
      </c>
      <c r="M576">
        <v>2700000000</v>
      </c>
      <c r="N576">
        <v>270157000</v>
      </c>
      <c r="O576">
        <v>396782000</v>
      </c>
      <c r="P576">
        <v>80013000</v>
      </c>
      <c r="Q576">
        <v>7.48561426677621</v>
      </c>
      <c r="R576">
        <v>19.798897569442801</v>
      </c>
      <c r="S576">
        <v>0.68087009995413095</v>
      </c>
      <c r="T576">
        <v>0.20165481297034599</v>
      </c>
      <c r="U576">
        <v>2012</v>
      </c>
      <c r="V576">
        <v>12</v>
      </c>
      <c r="Y576">
        <v>1</v>
      </c>
      <c r="Z576" t="s">
        <v>732</v>
      </c>
      <c r="AA576" t="s">
        <v>1772</v>
      </c>
    </row>
    <row r="577" spans="1:27" ht="15" customHeight="1" x14ac:dyDescent="0.3">
      <c r="A577">
        <v>635</v>
      </c>
      <c r="B577">
        <v>127</v>
      </c>
      <c r="C577" t="s">
        <v>1302</v>
      </c>
      <c r="D577" t="s">
        <v>1303</v>
      </c>
      <c r="E577" t="s">
        <v>959</v>
      </c>
      <c r="F577">
        <v>2025</v>
      </c>
      <c r="G577">
        <v>1</v>
      </c>
      <c r="H577">
        <v>0</v>
      </c>
      <c r="I577">
        <v>5</v>
      </c>
      <c r="J577">
        <v>0</v>
      </c>
      <c r="K577">
        <v>7500000000</v>
      </c>
      <c r="L577">
        <v>306.66669999999999</v>
      </c>
      <c r="M577">
        <v>2300000250</v>
      </c>
      <c r="N577">
        <v>380080000</v>
      </c>
      <c r="O577">
        <v>563479000</v>
      </c>
      <c r="P577">
        <v>91417000</v>
      </c>
      <c r="Q577">
        <v>4.7563090195020603</v>
      </c>
      <c r="R577">
        <v>20.149640623668901</v>
      </c>
      <c r="S577">
        <v>0.67452380656599398</v>
      </c>
      <c r="T577">
        <v>0.162236747065995</v>
      </c>
      <c r="U577">
        <v>2012</v>
      </c>
      <c r="V577">
        <v>13</v>
      </c>
      <c r="Y577">
        <v>1</v>
      </c>
      <c r="Z577" t="s">
        <v>732</v>
      </c>
      <c r="AA577" t="s">
        <v>1773</v>
      </c>
    </row>
    <row r="578" spans="1:27" ht="15" customHeight="1" x14ac:dyDescent="0.3">
      <c r="A578">
        <v>637</v>
      </c>
      <c r="B578">
        <v>128</v>
      </c>
      <c r="C578" t="s">
        <v>1306</v>
      </c>
      <c r="D578" t="s">
        <v>1307</v>
      </c>
      <c r="E578" t="s">
        <v>772</v>
      </c>
      <c r="F578">
        <v>2022</v>
      </c>
      <c r="G578">
        <v>0</v>
      </c>
      <c r="H578">
        <v>0</v>
      </c>
      <c r="I578">
        <v>0</v>
      </c>
      <c r="J578">
        <v>0</v>
      </c>
      <c r="K578">
        <v>989910000</v>
      </c>
      <c r="L578">
        <v>0.48</v>
      </c>
      <c r="M578">
        <v>475156.8</v>
      </c>
      <c r="N578">
        <v>3172000</v>
      </c>
      <c r="O578">
        <v>4346000</v>
      </c>
      <c r="P578">
        <v>66240</v>
      </c>
      <c r="Q578">
        <v>0.83919852738150003</v>
      </c>
      <c r="R578">
        <v>15.284766439798499</v>
      </c>
      <c r="S578">
        <v>0.72986654394845796</v>
      </c>
      <c r="T578">
        <v>1.52416014726185E-2</v>
      </c>
      <c r="U578">
        <v>1980</v>
      </c>
      <c r="V578">
        <v>42</v>
      </c>
      <c r="Y578">
        <v>0</v>
      </c>
      <c r="Z578" t="s">
        <v>1309</v>
      </c>
      <c r="AA578" t="s">
        <v>1774</v>
      </c>
    </row>
    <row r="579" spans="1:27" ht="15" customHeight="1" x14ac:dyDescent="0.3">
      <c r="A579">
        <v>638</v>
      </c>
      <c r="B579">
        <v>128</v>
      </c>
      <c r="C579" t="s">
        <v>1306</v>
      </c>
      <c r="D579" t="s">
        <v>1307</v>
      </c>
      <c r="E579" t="s">
        <v>772</v>
      </c>
      <c r="F579">
        <v>2023</v>
      </c>
      <c r="G579">
        <v>1</v>
      </c>
      <c r="H579">
        <v>0</v>
      </c>
      <c r="I579">
        <v>0</v>
      </c>
      <c r="J579">
        <v>0</v>
      </c>
      <c r="K579">
        <v>989910000</v>
      </c>
      <c r="L579">
        <v>0.39500000000000002</v>
      </c>
      <c r="M579">
        <v>391014.45</v>
      </c>
      <c r="N579">
        <v>4395000</v>
      </c>
      <c r="O579">
        <v>5662000</v>
      </c>
      <c r="P579">
        <v>122900</v>
      </c>
      <c r="Q579">
        <v>0.84528690392087602</v>
      </c>
      <c r="R579">
        <v>15.549287744654</v>
      </c>
      <c r="S579">
        <v>0.77622748145531595</v>
      </c>
      <c r="T579">
        <v>2.17061109148711E-2</v>
      </c>
      <c r="U579">
        <v>1980</v>
      </c>
      <c r="V579">
        <v>43</v>
      </c>
      <c r="Y579">
        <v>0</v>
      </c>
      <c r="Z579" t="s">
        <v>1309</v>
      </c>
      <c r="AA579" t="s">
        <v>1775</v>
      </c>
    </row>
    <row r="580" spans="1:27" ht="15" customHeight="1" x14ac:dyDescent="0.3">
      <c r="A580">
        <v>639</v>
      </c>
      <c r="B580">
        <v>128</v>
      </c>
      <c r="C580" t="s">
        <v>1306</v>
      </c>
      <c r="D580" t="s">
        <v>1307</v>
      </c>
      <c r="E580" t="s">
        <v>772</v>
      </c>
      <c r="F580">
        <v>2024</v>
      </c>
      <c r="G580">
        <v>1</v>
      </c>
      <c r="H580">
        <v>0</v>
      </c>
      <c r="I580">
        <v>0</v>
      </c>
      <c r="J580">
        <v>0</v>
      </c>
      <c r="K580">
        <v>989910000</v>
      </c>
      <c r="L580">
        <v>1.0708</v>
      </c>
      <c r="M580">
        <v>1059995.628</v>
      </c>
      <c r="N580">
        <v>5537000</v>
      </c>
      <c r="O580">
        <v>6342000</v>
      </c>
      <c r="P580">
        <v>7000</v>
      </c>
      <c r="Q580">
        <v>1.04020744686219</v>
      </c>
      <c r="R580">
        <v>15.6627047340804</v>
      </c>
      <c r="S580">
        <v>0.87306843267108203</v>
      </c>
      <c r="T580">
        <v>1.1037527593819E-3</v>
      </c>
      <c r="U580">
        <v>1980</v>
      </c>
      <c r="V580">
        <v>44</v>
      </c>
      <c r="Y580">
        <v>0</v>
      </c>
      <c r="Z580" t="s">
        <v>1309</v>
      </c>
      <c r="AA580" t="s">
        <v>1776</v>
      </c>
    </row>
    <row r="581" spans="1:27" ht="15" customHeight="1" x14ac:dyDescent="0.3">
      <c r="A581">
        <v>640</v>
      </c>
      <c r="B581">
        <v>128</v>
      </c>
      <c r="C581" t="s">
        <v>1306</v>
      </c>
      <c r="D581" t="s">
        <v>1307</v>
      </c>
      <c r="E581" t="s">
        <v>772</v>
      </c>
      <c r="F581">
        <v>2025</v>
      </c>
      <c r="G581">
        <v>1</v>
      </c>
      <c r="H581">
        <v>0</v>
      </c>
      <c r="I581">
        <v>0</v>
      </c>
      <c r="J581">
        <v>0</v>
      </c>
      <c r="K581">
        <v>989910000</v>
      </c>
      <c r="L581">
        <v>2.0507</v>
      </c>
      <c r="M581">
        <v>2030008.4369999999</v>
      </c>
      <c r="N581">
        <v>6065000</v>
      </c>
      <c r="O581">
        <v>5477000</v>
      </c>
      <c r="P581">
        <v>-1385000</v>
      </c>
      <c r="Q581">
        <v>1.47800044495162</v>
      </c>
      <c r="R581">
        <v>15.5160680637659</v>
      </c>
      <c r="S581">
        <v>1.1073580427241201</v>
      </c>
      <c r="T581">
        <v>-0.25287566185868199</v>
      </c>
      <c r="U581">
        <v>1980</v>
      </c>
      <c r="V581">
        <v>45</v>
      </c>
      <c r="Y581">
        <v>0</v>
      </c>
      <c r="Z581" t="s">
        <v>1309</v>
      </c>
      <c r="AA581" t="s">
        <v>1777</v>
      </c>
    </row>
    <row r="582" spans="1:27" ht="15" customHeight="1" x14ac:dyDescent="0.3">
      <c r="A582">
        <v>641</v>
      </c>
      <c r="B582">
        <v>129</v>
      </c>
      <c r="C582" t="s">
        <v>1311</v>
      </c>
      <c r="D582" t="s">
        <v>1312</v>
      </c>
      <c r="E582" t="s">
        <v>870</v>
      </c>
      <c r="F582">
        <v>2021</v>
      </c>
      <c r="G582">
        <v>0</v>
      </c>
      <c r="H582">
        <v>0</v>
      </c>
      <c r="I582">
        <v>5</v>
      </c>
      <c r="J582">
        <v>0</v>
      </c>
      <c r="K582">
        <v>2881000000</v>
      </c>
      <c r="L582">
        <v>9.5001999999999995</v>
      </c>
      <c r="M582">
        <v>27370076.199999999</v>
      </c>
      <c r="N582">
        <v>48093000</v>
      </c>
      <c r="O582">
        <v>98932000</v>
      </c>
      <c r="P582">
        <v>1807000</v>
      </c>
      <c r="Q582">
        <v>0.76277722273885096</v>
      </c>
      <c r="R582">
        <v>18.409943303409602</v>
      </c>
      <c r="S582">
        <v>0.48612178061698902</v>
      </c>
      <c r="T582">
        <v>1.8265070957829602E-2</v>
      </c>
      <c r="U582">
        <v>1931</v>
      </c>
      <c r="V582">
        <v>90</v>
      </c>
      <c r="Y582">
        <v>1</v>
      </c>
      <c r="Z582" t="s">
        <v>727</v>
      </c>
      <c r="AA582" t="s">
        <v>1778</v>
      </c>
    </row>
    <row r="583" spans="1:27" ht="15" customHeight="1" x14ac:dyDescent="0.3">
      <c r="A583">
        <v>642</v>
      </c>
      <c r="B583">
        <v>129</v>
      </c>
      <c r="C583" t="s">
        <v>1311</v>
      </c>
      <c r="D583" t="s">
        <v>1312</v>
      </c>
      <c r="E583" t="s">
        <v>870</v>
      </c>
      <c r="F583">
        <v>2022</v>
      </c>
      <c r="G583">
        <v>0</v>
      </c>
      <c r="H583">
        <v>0</v>
      </c>
      <c r="I583">
        <v>5</v>
      </c>
      <c r="J583">
        <v>0</v>
      </c>
      <c r="K583">
        <v>2926000000</v>
      </c>
      <c r="L583">
        <v>10.249499999999999</v>
      </c>
      <c r="M583">
        <v>29990037</v>
      </c>
      <c r="N583">
        <v>48547000</v>
      </c>
      <c r="O583">
        <v>93828000</v>
      </c>
      <c r="P583">
        <v>-3079000</v>
      </c>
      <c r="Q583">
        <v>0.83703198405593204</v>
      </c>
      <c r="R583">
        <v>18.356973876894699</v>
      </c>
      <c r="S583">
        <v>0.51740418638359598</v>
      </c>
      <c r="T583">
        <v>-3.2815364283582699E-2</v>
      </c>
      <c r="U583">
        <v>1931</v>
      </c>
      <c r="V583">
        <v>91</v>
      </c>
      <c r="Y583">
        <v>1</v>
      </c>
      <c r="Z583" t="s">
        <v>727</v>
      </c>
      <c r="AA583" t="s">
        <v>1779</v>
      </c>
    </row>
    <row r="584" spans="1:27" ht="15" customHeight="1" x14ac:dyDescent="0.3">
      <c r="A584">
        <v>643</v>
      </c>
      <c r="B584">
        <v>129</v>
      </c>
      <c r="C584" t="s">
        <v>1311</v>
      </c>
      <c r="D584" t="s">
        <v>1312</v>
      </c>
      <c r="E584" t="s">
        <v>870</v>
      </c>
      <c r="F584">
        <v>2023</v>
      </c>
      <c r="G584">
        <v>1</v>
      </c>
      <c r="H584">
        <v>0</v>
      </c>
      <c r="I584">
        <v>0</v>
      </c>
      <c r="J584">
        <v>0</v>
      </c>
      <c r="K584">
        <v>2926000000</v>
      </c>
      <c r="L584">
        <v>12.850300000000001</v>
      </c>
      <c r="M584">
        <v>37599977.799999997</v>
      </c>
      <c r="N584">
        <v>59164000</v>
      </c>
      <c r="O584">
        <v>112345000</v>
      </c>
      <c r="P584">
        <v>9187000</v>
      </c>
      <c r="Q584">
        <v>0.86131094218701298</v>
      </c>
      <c r="R584">
        <v>18.537085051822501</v>
      </c>
      <c r="S584">
        <v>0.52662779829988005</v>
      </c>
      <c r="T584">
        <v>8.1774889848235402E-2</v>
      </c>
      <c r="U584">
        <v>1931</v>
      </c>
      <c r="V584">
        <v>92</v>
      </c>
      <c r="Y584">
        <v>1</v>
      </c>
      <c r="Z584" t="s">
        <v>727</v>
      </c>
      <c r="AA584" t="s">
        <v>1780</v>
      </c>
    </row>
    <row r="585" spans="1:27" ht="15" customHeight="1" x14ac:dyDescent="0.3">
      <c r="A585">
        <v>644</v>
      </c>
      <c r="B585">
        <v>129</v>
      </c>
      <c r="C585" t="s">
        <v>1311</v>
      </c>
      <c r="D585" t="s">
        <v>1312</v>
      </c>
      <c r="E585" t="s">
        <v>870</v>
      </c>
      <c r="F585">
        <v>2024</v>
      </c>
      <c r="G585">
        <v>1</v>
      </c>
      <c r="H585">
        <v>0</v>
      </c>
      <c r="I585">
        <v>0</v>
      </c>
      <c r="J585">
        <v>0</v>
      </c>
      <c r="K585">
        <v>2926000000</v>
      </c>
      <c r="L585">
        <v>31.452500000000001</v>
      </c>
      <c r="M585">
        <v>92030015</v>
      </c>
      <c r="N585">
        <v>91316000</v>
      </c>
      <c r="O585">
        <v>157726000</v>
      </c>
      <c r="P585">
        <v>14539000</v>
      </c>
      <c r="Q585">
        <v>1.1624336824619901</v>
      </c>
      <c r="R585">
        <v>18.87636990835</v>
      </c>
      <c r="S585">
        <v>0.57895337483991205</v>
      </c>
      <c r="T585">
        <v>9.2178841788925103E-2</v>
      </c>
      <c r="U585">
        <v>1931</v>
      </c>
      <c r="V585">
        <v>93</v>
      </c>
      <c r="Y585">
        <v>1</v>
      </c>
      <c r="Z585" t="s">
        <v>727</v>
      </c>
      <c r="AA585" t="s">
        <v>1781</v>
      </c>
    </row>
    <row r="586" spans="1:27" ht="15" customHeight="1" x14ac:dyDescent="0.3">
      <c r="A586">
        <v>645</v>
      </c>
      <c r="B586">
        <v>129</v>
      </c>
      <c r="C586" t="s">
        <v>1311</v>
      </c>
      <c r="D586" t="s">
        <v>1312</v>
      </c>
      <c r="E586" t="s">
        <v>870</v>
      </c>
      <c r="F586">
        <v>2025</v>
      </c>
      <c r="G586">
        <v>1</v>
      </c>
      <c r="H586">
        <v>0</v>
      </c>
      <c r="I586">
        <v>0</v>
      </c>
      <c r="J586">
        <v>0</v>
      </c>
      <c r="K586">
        <v>2926000000</v>
      </c>
      <c r="L586">
        <v>91.004800000000003</v>
      </c>
      <c r="M586">
        <v>266280044.80000001</v>
      </c>
      <c r="N586">
        <v>527288000</v>
      </c>
      <c r="O586">
        <v>597058000</v>
      </c>
      <c r="P586">
        <v>10587000</v>
      </c>
      <c r="Q586">
        <v>1.3291305782687799</v>
      </c>
      <c r="R586">
        <v>20.207524819066698</v>
      </c>
      <c r="S586">
        <v>0.88314368118340303</v>
      </c>
      <c r="T586">
        <v>1.77319456401221E-2</v>
      </c>
      <c r="U586">
        <v>1931</v>
      </c>
      <c r="V586">
        <v>94</v>
      </c>
      <c r="Y586">
        <v>1</v>
      </c>
      <c r="Z586" t="s">
        <v>727</v>
      </c>
      <c r="AA586" t="s">
        <v>1782</v>
      </c>
    </row>
    <row r="587" spans="1:27" ht="15" customHeight="1" x14ac:dyDescent="0.3">
      <c r="A587">
        <v>646</v>
      </c>
      <c r="B587">
        <v>130</v>
      </c>
      <c r="C587" t="s">
        <v>1314</v>
      </c>
      <c r="D587" t="s">
        <v>1315</v>
      </c>
      <c r="E587" t="s">
        <v>709</v>
      </c>
      <c r="F587">
        <v>2021</v>
      </c>
      <c r="G587">
        <v>0</v>
      </c>
      <c r="H587">
        <v>0</v>
      </c>
      <c r="I587">
        <v>45</v>
      </c>
      <c r="J587">
        <v>80</v>
      </c>
      <c r="K587">
        <v>34199000000</v>
      </c>
      <c r="L587">
        <v>8.5396999999999998</v>
      </c>
      <c r="M587">
        <v>292049200.30000001</v>
      </c>
      <c r="N587">
        <v>7736511000</v>
      </c>
      <c r="O587">
        <v>8541318000</v>
      </c>
      <c r="P587">
        <v>115883000</v>
      </c>
      <c r="Q587">
        <v>0.93996736806895598</v>
      </c>
      <c r="R587">
        <v>22.868181165391501</v>
      </c>
      <c r="S587">
        <v>0.90577484645812301</v>
      </c>
      <c r="T587">
        <v>1.3567344056268599E-2</v>
      </c>
      <c r="U587">
        <v>1961</v>
      </c>
      <c r="V587">
        <v>60</v>
      </c>
      <c r="Y587">
        <v>1</v>
      </c>
      <c r="Z587" t="s">
        <v>722</v>
      </c>
      <c r="AA587" t="s">
        <v>1783</v>
      </c>
    </row>
    <row r="588" spans="1:27" ht="15" customHeight="1" x14ac:dyDescent="0.3">
      <c r="A588">
        <v>647</v>
      </c>
      <c r="B588">
        <v>130</v>
      </c>
      <c r="C588" t="s">
        <v>1314</v>
      </c>
      <c r="D588" t="s">
        <v>1315</v>
      </c>
      <c r="E588" t="s">
        <v>709</v>
      </c>
      <c r="F588">
        <v>2022</v>
      </c>
      <c r="G588">
        <v>0</v>
      </c>
      <c r="H588">
        <v>0</v>
      </c>
      <c r="I588">
        <v>90</v>
      </c>
      <c r="J588">
        <v>86.6666666666667</v>
      </c>
      <c r="K588">
        <v>34199000000</v>
      </c>
      <c r="L588">
        <v>7.6002000000000001</v>
      </c>
      <c r="M588">
        <v>259919239.80000001</v>
      </c>
      <c r="N588">
        <v>9935467000</v>
      </c>
      <c r="O588">
        <v>10857571000</v>
      </c>
      <c r="P588">
        <v>165451000</v>
      </c>
      <c r="Q588">
        <v>0.93901170342795803</v>
      </c>
      <c r="R588">
        <v>23.108128461610502</v>
      </c>
      <c r="S588">
        <v>0.91507271746139196</v>
      </c>
      <c r="T588">
        <v>1.52383069841312E-2</v>
      </c>
      <c r="U588">
        <v>1961</v>
      </c>
      <c r="V588">
        <v>61</v>
      </c>
      <c r="Y588">
        <v>1</v>
      </c>
      <c r="Z588" t="s">
        <v>722</v>
      </c>
      <c r="AA588" t="s">
        <v>1784</v>
      </c>
    </row>
    <row r="589" spans="1:27" ht="15" customHeight="1" x14ac:dyDescent="0.3">
      <c r="A589">
        <v>648</v>
      </c>
      <c r="B589">
        <v>130</v>
      </c>
      <c r="C589" t="s">
        <v>1314</v>
      </c>
      <c r="D589" t="s">
        <v>1315</v>
      </c>
      <c r="E589" t="s">
        <v>709</v>
      </c>
      <c r="F589">
        <v>2023</v>
      </c>
      <c r="G589">
        <v>1</v>
      </c>
      <c r="H589">
        <v>0</v>
      </c>
      <c r="I589">
        <v>90</v>
      </c>
      <c r="J589">
        <v>93.3333333333333</v>
      </c>
      <c r="K589">
        <v>34199000000</v>
      </c>
      <c r="L589">
        <v>25.650500000000001</v>
      </c>
      <c r="M589">
        <v>877221449.5</v>
      </c>
      <c r="N589">
        <v>18623002000</v>
      </c>
      <c r="O589">
        <v>20653197000</v>
      </c>
      <c r="P589">
        <v>598285000</v>
      </c>
      <c r="Q589">
        <v>0.94417457256133297</v>
      </c>
      <c r="R589">
        <v>23.751135962772299</v>
      </c>
      <c r="S589">
        <v>0.90170069069694203</v>
      </c>
      <c r="T589">
        <v>2.8968154421806998E-2</v>
      </c>
      <c r="U589">
        <v>1961</v>
      </c>
      <c r="V589">
        <v>62</v>
      </c>
      <c r="Y589">
        <v>1</v>
      </c>
      <c r="Z589" t="s">
        <v>722</v>
      </c>
      <c r="AA589" t="s">
        <v>1785</v>
      </c>
    </row>
    <row r="590" spans="1:27" ht="15" customHeight="1" x14ac:dyDescent="0.3">
      <c r="A590">
        <v>649</v>
      </c>
      <c r="B590">
        <v>130</v>
      </c>
      <c r="C590" t="s">
        <v>1314</v>
      </c>
      <c r="D590" t="s">
        <v>1315</v>
      </c>
      <c r="E590" t="s">
        <v>709</v>
      </c>
      <c r="F590">
        <v>2024</v>
      </c>
      <c r="G590">
        <v>1</v>
      </c>
      <c r="H590">
        <v>0</v>
      </c>
      <c r="I590">
        <v>90</v>
      </c>
      <c r="J590">
        <v>93.3333333333333</v>
      </c>
      <c r="K590">
        <v>34199000000</v>
      </c>
      <c r="L590">
        <v>33.9191</v>
      </c>
      <c r="M590">
        <v>1159999300.9000001</v>
      </c>
      <c r="N590">
        <v>26904716000</v>
      </c>
      <c r="O590">
        <v>30323355000</v>
      </c>
      <c r="P590">
        <v>743121000</v>
      </c>
      <c r="Q590">
        <v>0.92551484823826402</v>
      </c>
      <c r="R590">
        <v>24.135184044633299</v>
      </c>
      <c r="S590">
        <v>0.88726052905425501</v>
      </c>
      <c r="T590">
        <v>2.45065560852353E-2</v>
      </c>
      <c r="U590">
        <v>1961</v>
      </c>
      <c r="V590">
        <v>63</v>
      </c>
      <c r="Y590">
        <v>1</v>
      </c>
      <c r="Z590" t="s">
        <v>722</v>
      </c>
      <c r="AA590" t="s">
        <v>1786</v>
      </c>
    </row>
    <row r="591" spans="1:27" ht="15" customHeight="1" x14ac:dyDescent="0.3">
      <c r="A591">
        <v>650</v>
      </c>
      <c r="B591">
        <v>130</v>
      </c>
      <c r="C591" t="s">
        <v>1314</v>
      </c>
      <c r="D591" t="s">
        <v>1315</v>
      </c>
      <c r="E591" t="s">
        <v>709</v>
      </c>
      <c r="F591">
        <v>2025</v>
      </c>
      <c r="G591">
        <v>1</v>
      </c>
      <c r="H591">
        <v>0</v>
      </c>
      <c r="I591">
        <v>45</v>
      </c>
      <c r="J591">
        <v>80</v>
      </c>
      <c r="K591">
        <v>44196000000</v>
      </c>
      <c r="L591">
        <v>38.691299999999998</v>
      </c>
      <c r="M591">
        <v>1710000694.8</v>
      </c>
      <c r="N591">
        <v>28920246000</v>
      </c>
      <c r="O591">
        <v>33173188000</v>
      </c>
      <c r="P591">
        <v>373654000</v>
      </c>
      <c r="Q591">
        <v>0.92334347530300698</v>
      </c>
      <c r="R591">
        <v>24.225007796230599</v>
      </c>
      <c r="S591">
        <v>0.87179580087388597</v>
      </c>
      <c r="T591">
        <v>1.1263735038067499E-2</v>
      </c>
      <c r="U591">
        <v>1961</v>
      </c>
      <c r="V591">
        <v>64</v>
      </c>
      <c r="Y591">
        <v>1</v>
      </c>
      <c r="Z591" t="s">
        <v>722</v>
      </c>
      <c r="AA591" t="s">
        <v>1787</v>
      </c>
    </row>
    <row r="592" spans="1:27" ht="15" customHeight="1" x14ac:dyDescent="0.3">
      <c r="A592">
        <v>651</v>
      </c>
      <c r="B592">
        <v>131</v>
      </c>
      <c r="C592" t="s">
        <v>1318</v>
      </c>
      <c r="D592" t="s">
        <v>1319</v>
      </c>
      <c r="E592" t="s">
        <v>709</v>
      </c>
      <c r="F592">
        <v>2021</v>
      </c>
      <c r="G592">
        <v>0</v>
      </c>
      <c r="H592">
        <v>0</v>
      </c>
      <c r="I592">
        <v>0</v>
      </c>
      <c r="J592">
        <v>0</v>
      </c>
      <c r="K592">
        <v>18000000000</v>
      </c>
      <c r="L592">
        <v>3.3</v>
      </c>
      <c r="M592">
        <v>59400000</v>
      </c>
      <c r="N592">
        <v>423051000</v>
      </c>
      <c r="O592">
        <v>453598000</v>
      </c>
      <c r="P592">
        <v>11259000</v>
      </c>
      <c r="Q592">
        <v>1.06360918698936</v>
      </c>
      <c r="R592">
        <v>19.932721901196999</v>
      </c>
      <c r="S592">
        <v>0.93265622864298403</v>
      </c>
      <c r="T592">
        <v>2.4821538013835999E-2</v>
      </c>
      <c r="U592">
        <v>2012</v>
      </c>
      <c r="V592">
        <v>9</v>
      </c>
      <c r="Y592">
        <v>1</v>
      </c>
      <c r="Z592" t="s">
        <v>711</v>
      </c>
      <c r="AA592" t="s">
        <v>1788</v>
      </c>
    </row>
    <row r="593" spans="1:27" ht="15" customHeight="1" x14ac:dyDescent="0.3">
      <c r="A593">
        <v>652</v>
      </c>
      <c r="B593">
        <v>131</v>
      </c>
      <c r="C593" t="s">
        <v>1318</v>
      </c>
      <c r="D593" t="s">
        <v>1319</v>
      </c>
      <c r="E593" t="s">
        <v>709</v>
      </c>
      <c r="F593">
        <v>2022</v>
      </c>
      <c r="G593">
        <v>0</v>
      </c>
      <c r="H593">
        <v>0</v>
      </c>
      <c r="I593">
        <v>0</v>
      </c>
      <c r="J593">
        <v>0</v>
      </c>
      <c r="K593">
        <v>18000000000</v>
      </c>
      <c r="L593">
        <v>4.6666999999999996</v>
      </c>
      <c r="M593">
        <v>84000600</v>
      </c>
      <c r="N593">
        <v>568928000</v>
      </c>
      <c r="O593">
        <v>601915000</v>
      </c>
      <c r="P593">
        <v>9653000</v>
      </c>
      <c r="Q593">
        <v>1.08475216600351</v>
      </c>
      <c r="R593">
        <v>20.2156267972907</v>
      </c>
      <c r="S593">
        <v>0.94519658091258696</v>
      </c>
      <c r="T593">
        <v>1.60371481023068E-2</v>
      </c>
      <c r="U593">
        <v>2012</v>
      </c>
      <c r="V593">
        <v>10</v>
      </c>
      <c r="Y593">
        <v>1</v>
      </c>
      <c r="Z593" t="s">
        <v>711</v>
      </c>
      <c r="AA593" t="s">
        <v>1789</v>
      </c>
    </row>
    <row r="594" spans="1:27" ht="15" customHeight="1" x14ac:dyDescent="0.3">
      <c r="A594">
        <v>653</v>
      </c>
      <c r="B594">
        <v>131</v>
      </c>
      <c r="C594" t="s">
        <v>1318</v>
      </c>
      <c r="D594" t="s">
        <v>1319</v>
      </c>
      <c r="E594" t="s">
        <v>709</v>
      </c>
      <c r="F594">
        <v>2023</v>
      </c>
      <c r="G594">
        <v>1</v>
      </c>
      <c r="H594">
        <v>0</v>
      </c>
      <c r="I594">
        <v>0</v>
      </c>
      <c r="J594">
        <v>0</v>
      </c>
      <c r="K594">
        <v>18000000000</v>
      </c>
      <c r="L594">
        <v>7.6666999999999996</v>
      </c>
      <c r="M594">
        <v>138000600</v>
      </c>
      <c r="N594">
        <v>841235000</v>
      </c>
      <c r="O594">
        <v>931948000</v>
      </c>
      <c r="P594">
        <v>11420000</v>
      </c>
      <c r="Q594">
        <v>1.0507405992609</v>
      </c>
      <c r="R594">
        <v>20.6527875771019</v>
      </c>
      <c r="S594">
        <v>0.90266302411722499</v>
      </c>
      <c r="T594">
        <v>1.2253902578255401E-2</v>
      </c>
      <c r="U594">
        <v>2012</v>
      </c>
      <c r="V594">
        <v>11</v>
      </c>
      <c r="Y594">
        <v>1</v>
      </c>
      <c r="Z594" t="s">
        <v>711</v>
      </c>
      <c r="AA594" t="s">
        <v>1790</v>
      </c>
    </row>
    <row r="595" spans="1:27" ht="15" customHeight="1" x14ac:dyDescent="0.3">
      <c r="A595">
        <v>654</v>
      </c>
      <c r="B595">
        <v>131</v>
      </c>
      <c r="C595" t="s">
        <v>1318</v>
      </c>
      <c r="D595" t="s">
        <v>1319</v>
      </c>
      <c r="E595" t="s">
        <v>709</v>
      </c>
      <c r="F595">
        <v>2024</v>
      </c>
      <c r="G595">
        <v>1</v>
      </c>
      <c r="H595">
        <v>0</v>
      </c>
      <c r="I595">
        <v>0</v>
      </c>
      <c r="J595">
        <v>0</v>
      </c>
      <c r="K595">
        <v>18000000000</v>
      </c>
      <c r="L595">
        <v>20.399999999999999</v>
      </c>
      <c r="M595">
        <v>367200000</v>
      </c>
      <c r="N595">
        <v>1568200000</v>
      </c>
      <c r="O595">
        <v>1701704000</v>
      </c>
      <c r="P595">
        <v>24103000</v>
      </c>
      <c r="Q595">
        <v>1.13733058158176</v>
      </c>
      <c r="R595">
        <v>21.254895938929501</v>
      </c>
      <c r="S595">
        <v>0.92154687301669402</v>
      </c>
      <c r="T595">
        <v>1.41640379290405E-2</v>
      </c>
      <c r="U595">
        <v>2012</v>
      </c>
      <c r="V595">
        <v>12</v>
      </c>
      <c r="Y595">
        <v>1</v>
      </c>
      <c r="Z595" t="s">
        <v>711</v>
      </c>
      <c r="AA595" t="s">
        <v>1791</v>
      </c>
    </row>
    <row r="596" spans="1:27" ht="15" customHeight="1" x14ac:dyDescent="0.3">
      <c r="A596">
        <v>655</v>
      </c>
      <c r="B596">
        <v>131</v>
      </c>
      <c r="C596" t="s">
        <v>1318</v>
      </c>
      <c r="D596" t="s">
        <v>1319</v>
      </c>
      <c r="E596" t="s">
        <v>709</v>
      </c>
      <c r="F596">
        <v>2025</v>
      </c>
      <c r="G596">
        <v>1</v>
      </c>
      <c r="H596">
        <v>0</v>
      </c>
      <c r="I596">
        <v>0</v>
      </c>
      <c r="J596">
        <v>0</v>
      </c>
      <c r="K596">
        <v>18000000000</v>
      </c>
      <c r="L596">
        <v>18.7</v>
      </c>
      <c r="M596">
        <v>336600000</v>
      </c>
      <c r="N596">
        <v>1611340000</v>
      </c>
      <c r="O596">
        <v>1761337000</v>
      </c>
      <c r="P596">
        <v>28147000</v>
      </c>
      <c r="Q596">
        <v>1.10594395053303</v>
      </c>
      <c r="R596">
        <v>21.289339016692502</v>
      </c>
      <c r="S596">
        <v>0.91483912505102705</v>
      </c>
      <c r="T596">
        <v>1.5980473924070201E-2</v>
      </c>
      <c r="U596">
        <v>2012</v>
      </c>
      <c r="V596">
        <v>13</v>
      </c>
      <c r="Y596">
        <v>1</v>
      </c>
      <c r="Z596" t="s">
        <v>711</v>
      </c>
      <c r="AA596" t="s">
        <v>1792</v>
      </c>
    </row>
    <row r="597" spans="1:27" ht="15" customHeight="1" x14ac:dyDescent="0.3">
      <c r="A597">
        <v>661</v>
      </c>
      <c r="B597">
        <v>133</v>
      </c>
      <c r="C597" t="s">
        <v>1326</v>
      </c>
      <c r="D597" t="s">
        <v>1327</v>
      </c>
      <c r="E597" t="s">
        <v>806</v>
      </c>
      <c r="F597">
        <v>2021</v>
      </c>
      <c r="G597">
        <v>0</v>
      </c>
      <c r="H597">
        <v>0</v>
      </c>
      <c r="I597">
        <v>65</v>
      </c>
      <c r="J597">
        <v>46.6666666666667</v>
      </c>
      <c r="K597">
        <v>5745000000</v>
      </c>
      <c r="L597">
        <v>14.499599999999999</v>
      </c>
      <c r="M597">
        <v>83300202</v>
      </c>
      <c r="N597">
        <v>42527000</v>
      </c>
      <c r="O597">
        <v>108289000</v>
      </c>
      <c r="P597">
        <v>3409000</v>
      </c>
      <c r="Q597">
        <v>1.1619573733250801</v>
      </c>
      <c r="R597">
        <v>18.500314137098901</v>
      </c>
      <c r="S597">
        <v>0.39271763521687297</v>
      </c>
      <c r="T597">
        <v>3.1480575127667602E-2</v>
      </c>
      <c r="U597">
        <v>1923</v>
      </c>
      <c r="V597">
        <v>98</v>
      </c>
      <c r="Y597">
        <v>0</v>
      </c>
      <c r="Z597" t="s">
        <v>717</v>
      </c>
      <c r="AA597" t="s">
        <v>1793</v>
      </c>
    </row>
    <row r="598" spans="1:27" ht="15" customHeight="1" x14ac:dyDescent="0.3">
      <c r="A598">
        <v>662</v>
      </c>
      <c r="B598">
        <v>133</v>
      </c>
      <c r="C598" t="s">
        <v>1326</v>
      </c>
      <c r="D598" t="s">
        <v>1327</v>
      </c>
      <c r="E598" t="s">
        <v>806</v>
      </c>
      <c r="F598">
        <v>2022</v>
      </c>
      <c r="G598">
        <v>0</v>
      </c>
      <c r="H598">
        <v>0</v>
      </c>
      <c r="I598">
        <v>65</v>
      </c>
      <c r="J598">
        <v>46.6666666666667</v>
      </c>
      <c r="K598">
        <v>5745000000</v>
      </c>
      <c r="L598">
        <v>11.5997</v>
      </c>
      <c r="M598">
        <v>66640276.5</v>
      </c>
      <c r="N598">
        <v>57825000</v>
      </c>
      <c r="O598">
        <v>125390000</v>
      </c>
      <c r="P598">
        <v>4467000</v>
      </c>
      <c r="Q598">
        <v>0.99262522130951403</v>
      </c>
      <c r="R598">
        <v>18.646939438166701</v>
      </c>
      <c r="S598">
        <v>0.46116117712736299</v>
      </c>
      <c r="T598">
        <v>3.56248504665444E-2</v>
      </c>
      <c r="U598">
        <v>1923</v>
      </c>
      <c r="V598">
        <v>99</v>
      </c>
      <c r="Y598">
        <v>0</v>
      </c>
      <c r="Z598" t="s">
        <v>717</v>
      </c>
      <c r="AA598" t="s">
        <v>1794</v>
      </c>
    </row>
    <row r="599" spans="1:27" ht="15" customHeight="1" x14ac:dyDescent="0.3">
      <c r="A599">
        <v>663</v>
      </c>
      <c r="B599">
        <v>133</v>
      </c>
      <c r="C599" t="s">
        <v>1326</v>
      </c>
      <c r="D599" t="s">
        <v>1327</v>
      </c>
      <c r="E599" t="s">
        <v>806</v>
      </c>
      <c r="F599">
        <v>2023</v>
      </c>
      <c r="G599">
        <v>1</v>
      </c>
      <c r="H599">
        <v>0</v>
      </c>
      <c r="I599">
        <v>65</v>
      </c>
      <c r="J599">
        <v>46.6666666666667</v>
      </c>
      <c r="K599">
        <v>5745000000</v>
      </c>
      <c r="L599">
        <v>14.800700000000001</v>
      </c>
      <c r="M599">
        <v>85030021.5</v>
      </c>
      <c r="N599">
        <v>41793000</v>
      </c>
      <c r="O599">
        <v>116302000</v>
      </c>
      <c r="P599">
        <v>8440000</v>
      </c>
      <c r="Q599">
        <v>1.09046294560713</v>
      </c>
      <c r="R599">
        <v>18.571700814245599</v>
      </c>
      <c r="S599">
        <v>0.35934893638974402</v>
      </c>
      <c r="T599">
        <v>7.2569689257278497E-2</v>
      </c>
      <c r="U599">
        <v>1923</v>
      </c>
      <c r="V599">
        <v>100</v>
      </c>
      <c r="Y599">
        <v>0</v>
      </c>
      <c r="Z599" t="s">
        <v>717</v>
      </c>
      <c r="AA599" t="s">
        <v>1795</v>
      </c>
    </row>
    <row r="600" spans="1:27" ht="15" customHeight="1" x14ac:dyDescent="0.3">
      <c r="A600">
        <v>664</v>
      </c>
      <c r="B600">
        <v>133</v>
      </c>
      <c r="C600" t="s">
        <v>1326</v>
      </c>
      <c r="D600" t="s">
        <v>1327</v>
      </c>
      <c r="E600" t="s">
        <v>806</v>
      </c>
      <c r="F600">
        <v>2024</v>
      </c>
      <c r="G600">
        <v>1</v>
      </c>
      <c r="H600">
        <v>1</v>
      </c>
      <c r="I600">
        <v>65</v>
      </c>
      <c r="J600">
        <v>46.6666666666667</v>
      </c>
      <c r="K600">
        <v>5745000000</v>
      </c>
      <c r="L600">
        <v>32.950400000000002</v>
      </c>
      <c r="M600">
        <v>189300048</v>
      </c>
      <c r="N600">
        <v>56541000</v>
      </c>
      <c r="O600">
        <v>141647000</v>
      </c>
      <c r="P600">
        <v>15143000</v>
      </c>
      <c r="Q600">
        <v>1.7355895147797</v>
      </c>
      <c r="R600">
        <v>18.768848605054298</v>
      </c>
      <c r="S600">
        <v>0.39916835513636001</v>
      </c>
      <c r="T600">
        <v>0.10690660585822501</v>
      </c>
      <c r="U600">
        <v>1923</v>
      </c>
      <c r="V600">
        <v>101</v>
      </c>
      <c r="Y600">
        <v>0</v>
      </c>
      <c r="Z600" t="s">
        <v>717</v>
      </c>
      <c r="AA600" t="s">
        <v>1796</v>
      </c>
    </row>
    <row r="601" spans="1:27" ht="15" customHeight="1" x14ac:dyDescent="0.3">
      <c r="A601">
        <v>665</v>
      </c>
      <c r="B601">
        <v>133</v>
      </c>
      <c r="C601" t="s">
        <v>1326</v>
      </c>
      <c r="D601" t="s">
        <v>1327</v>
      </c>
      <c r="E601" t="s">
        <v>806</v>
      </c>
      <c r="F601">
        <v>2025</v>
      </c>
      <c r="G601">
        <v>1</v>
      </c>
      <c r="H601">
        <v>1</v>
      </c>
      <c r="I601">
        <v>65</v>
      </c>
      <c r="J601">
        <v>46.6666666666667</v>
      </c>
      <c r="K601">
        <v>5745000000</v>
      </c>
      <c r="L601">
        <v>72</v>
      </c>
      <c r="M601">
        <v>413640000</v>
      </c>
      <c r="N601">
        <v>72723000</v>
      </c>
      <c r="O601">
        <v>180179000</v>
      </c>
      <c r="P601">
        <v>32199000</v>
      </c>
      <c r="Q601">
        <v>2.69933233062677</v>
      </c>
      <c r="R601">
        <v>19.0094613591666</v>
      </c>
      <c r="S601">
        <v>0.40361529368017401</v>
      </c>
      <c r="T601">
        <v>0.17870562052181399</v>
      </c>
      <c r="U601">
        <v>1923</v>
      </c>
      <c r="V601">
        <v>102</v>
      </c>
      <c r="Y601">
        <v>0</v>
      </c>
      <c r="Z601" t="s">
        <v>717</v>
      </c>
      <c r="AA601" t="s">
        <v>1797</v>
      </c>
    </row>
    <row r="602" spans="1:27" ht="15" customHeight="1" x14ac:dyDescent="0.3">
      <c r="A602">
        <v>666</v>
      </c>
      <c r="B602">
        <v>134</v>
      </c>
      <c r="C602" t="s">
        <v>1330</v>
      </c>
      <c r="D602" t="s">
        <v>1331</v>
      </c>
      <c r="E602" t="s">
        <v>806</v>
      </c>
      <c r="F602">
        <v>2021</v>
      </c>
      <c r="G602">
        <v>0</v>
      </c>
      <c r="H602">
        <v>0</v>
      </c>
      <c r="I602">
        <v>0</v>
      </c>
      <c r="J602">
        <v>0</v>
      </c>
      <c r="K602">
        <v>273350000</v>
      </c>
      <c r="L602">
        <v>9.9139999999999997</v>
      </c>
      <c r="M602">
        <v>2709991.9</v>
      </c>
      <c r="N602">
        <v>1486000</v>
      </c>
      <c r="O602">
        <v>112230</v>
      </c>
      <c r="P602">
        <v>38550</v>
      </c>
      <c r="Q602">
        <v>37.387435623273603</v>
      </c>
      <c r="R602">
        <v>11.6283056160103</v>
      </c>
      <c r="S602">
        <v>13.2406664884612</v>
      </c>
      <c r="T602">
        <v>0.343491045175087</v>
      </c>
      <c r="U602">
        <v>1984</v>
      </c>
      <c r="V602">
        <v>37</v>
      </c>
      <c r="Y602">
        <v>0</v>
      </c>
      <c r="Z602" t="s">
        <v>1332</v>
      </c>
      <c r="AA602" t="s">
        <v>1798</v>
      </c>
    </row>
    <row r="603" spans="1:27" ht="15" customHeight="1" x14ac:dyDescent="0.3">
      <c r="A603">
        <v>667</v>
      </c>
      <c r="B603">
        <v>134</v>
      </c>
      <c r="C603" t="s">
        <v>1330</v>
      </c>
      <c r="D603" t="s">
        <v>1331</v>
      </c>
      <c r="E603" t="s">
        <v>806</v>
      </c>
      <c r="F603">
        <v>2022</v>
      </c>
      <c r="G603">
        <v>0</v>
      </c>
      <c r="H603">
        <v>0</v>
      </c>
      <c r="I603">
        <v>0</v>
      </c>
      <c r="J603">
        <v>0</v>
      </c>
      <c r="K603">
        <v>273350000</v>
      </c>
      <c r="L603">
        <v>8.9628999999999994</v>
      </c>
      <c r="M603">
        <v>2450008.7149999999</v>
      </c>
      <c r="N603">
        <v>1578000</v>
      </c>
      <c r="O603">
        <v>192670</v>
      </c>
      <c r="P603">
        <v>-11440</v>
      </c>
      <c r="Q603">
        <v>20.9062579280635</v>
      </c>
      <c r="R603">
        <v>12.1687341598748</v>
      </c>
      <c r="S603">
        <v>8.1901697202470505</v>
      </c>
      <c r="T603">
        <v>-5.9376135360979902E-2</v>
      </c>
      <c r="U603">
        <v>1984</v>
      </c>
      <c r="V603">
        <v>38</v>
      </c>
      <c r="Y603">
        <v>0</v>
      </c>
      <c r="Z603" t="s">
        <v>1332</v>
      </c>
      <c r="AA603" t="s">
        <v>1799</v>
      </c>
    </row>
    <row r="604" spans="1:27" ht="15" customHeight="1" x14ac:dyDescent="0.3">
      <c r="A604">
        <v>668</v>
      </c>
      <c r="B604">
        <v>134</v>
      </c>
      <c r="C604" t="s">
        <v>1330</v>
      </c>
      <c r="D604" t="s">
        <v>1331</v>
      </c>
      <c r="E604" t="s">
        <v>806</v>
      </c>
      <c r="F604">
        <v>2023</v>
      </c>
      <c r="G604">
        <v>1</v>
      </c>
      <c r="H604">
        <v>0</v>
      </c>
      <c r="I604">
        <v>5</v>
      </c>
      <c r="J604">
        <v>0</v>
      </c>
      <c r="K604">
        <v>273350000</v>
      </c>
      <c r="L604">
        <v>8.0848999999999993</v>
      </c>
      <c r="M604">
        <v>2210007.415</v>
      </c>
      <c r="N604">
        <v>1437000</v>
      </c>
      <c r="O604">
        <v>112860</v>
      </c>
      <c r="P604">
        <v>61240</v>
      </c>
      <c r="Q604">
        <v>32.314437488924298</v>
      </c>
      <c r="R604">
        <v>11.6339033915231</v>
      </c>
      <c r="S604">
        <v>12.7325890483785</v>
      </c>
      <c r="T604">
        <v>0.542619174198122</v>
      </c>
      <c r="U604">
        <v>1984</v>
      </c>
      <c r="V604">
        <v>39</v>
      </c>
      <c r="Y604">
        <v>0</v>
      </c>
      <c r="Z604" t="s">
        <v>1332</v>
      </c>
      <c r="AA604" t="s">
        <v>1800</v>
      </c>
    </row>
    <row r="605" spans="1:27" ht="15" customHeight="1" x14ac:dyDescent="0.3">
      <c r="A605">
        <v>669</v>
      </c>
      <c r="B605">
        <v>134</v>
      </c>
      <c r="C605" t="s">
        <v>1330</v>
      </c>
      <c r="D605" t="s">
        <v>1331</v>
      </c>
      <c r="E605" t="s">
        <v>806</v>
      </c>
      <c r="F605">
        <v>2024</v>
      </c>
      <c r="G605">
        <v>1</v>
      </c>
      <c r="H605">
        <v>0</v>
      </c>
      <c r="I605">
        <v>0</v>
      </c>
      <c r="J605">
        <v>0</v>
      </c>
      <c r="K605">
        <v>273350000</v>
      </c>
      <c r="L605">
        <v>7.2069000000000001</v>
      </c>
      <c r="M605">
        <v>1970006.115</v>
      </c>
      <c r="N605">
        <v>2204000</v>
      </c>
      <c r="O605">
        <v>775760</v>
      </c>
      <c r="P605">
        <v>-103760</v>
      </c>
      <c r="Q605">
        <v>5.38053794343611</v>
      </c>
      <c r="R605">
        <v>13.5615984729784</v>
      </c>
      <c r="S605">
        <v>2.8410848716097798</v>
      </c>
      <c r="T605">
        <v>-0.13375270702279099</v>
      </c>
      <c r="U605">
        <v>1984</v>
      </c>
      <c r="V605">
        <v>40</v>
      </c>
      <c r="Y605">
        <v>0</v>
      </c>
      <c r="Z605" t="s">
        <v>1332</v>
      </c>
      <c r="AA605" t="s">
        <v>1801</v>
      </c>
    </row>
    <row r="606" spans="1:27" ht="15" customHeight="1" x14ac:dyDescent="0.3">
      <c r="A606">
        <v>670</v>
      </c>
      <c r="B606">
        <v>134</v>
      </c>
      <c r="C606" t="s">
        <v>1330</v>
      </c>
      <c r="D606" t="s">
        <v>1331</v>
      </c>
      <c r="E606" t="s">
        <v>806</v>
      </c>
      <c r="F606">
        <v>2025</v>
      </c>
      <c r="G606">
        <v>1</v>
      </c>
      <c r="H606">
        <v>0</v>
      </c>
      <c r="I606">
        <v>0</v>
      </c>
      <c r="J606">
        <v>0</v>
      </c>
      <c r="K606">
        <v>273350000</v>
      </c>
      <c r="L606">
        <v>6.9142000000000001</v>
      </c>
      <c r="M606">
        <v>1889996.57</v>
      </c>
      <c r="N606">
        <v>15955000</v>
      </c>
      <c r="O606">
        <v>14608000</v>
      </c>
      <c r="P606">
        <v>80780</v>
      </c>
      <c r="Q606">
        <v>1.22159067428806</v>
      </c>
      <c r="R606">
        <v>16.497079881816902</v>
      </c>
      <c r="S606">
        <v>1.09220974808324</v>
      </c>
      <c r="T606">
        <v>5.5298466593647301E-3</v>
      </c>
      <c r="U606">
        <v>1984</v>
      </c>
      <c r="V606">
        <v>41</v>
      </c>
      <c r="Y606">
        <v>0</v>
      </c>
      <c r="Z606" t="s">
        <v>1332</v>
      </c>
      <c r="AA606" t="s">
        <v>1802</v>
      </c>
    </row>
    <row r="607" spans="1:27" ht="15" customHeight="1" x14ac:dyDescent="0.3">
      <c r="A607">
        <v>671</v>
      </c>
      <c r="B607">
        <v>135</v>
      </c>
      <c r="C607" t="s">
        <v>1335</v>
      </c>
      <c r="D607" t="s">
        <v>1336</v>
      </c>
      <c r="E607" t="s">
        <v>709</v>
      </c>
      <c r="F607">
        <v>2021</v>
      </c>
      <c r="G607">
        <v>0</v>
      </c>
      <c r="H607">
        <v>0</v>
      </c>
      <c r="I607">
        <v>0</v>
      </c>
      <c r="J607">
        <v>0</v>
      </c>
      <c r="K607">
        <v>11689000000</v>
      </c>
      <c r="L607">
        <v>0.53979999999999995</v>
      </c>
      <c r="M607">
        <v>6309722.2000000002</v>
      </c>
      <c r="N607">
        <v>815022000</v>
      </c>
      <c r="O607">
        <v>538869000</v>
      </c>
      <c r="P607">
        <v>3173000</v>
      </c>
      <c r="Q607">
        <v>1.52417697473783</v>
      </c>
      <c r="R607">
        <v>20.104983056662</v>
      </c>
      <c r="S607">
        <v>1.5124677797386801</v>
      </c>
      <c r="T607">
        <v>5.8882585563467199E-3</v>
      </c>
      <c r="U607">
        <v>1987</v>
      </c>
      <c r="V607">
        <v>34</v>
      </c>
      <c r="Y607">
        <v>1</v>
      </c>
      <c r="Z607" t="s">
        <v>727</v>
      </c>
      <c r="AA607" t="s">
        <v>1803</v>
      </c>
    </row>
    <row r="608" spans="1:27" ht="15" customHeight="1" x14ac:dyDescent="0.3">
      <c r="A608">
        <v>672</v>
      </c>
      <c r="B608">
        <v>135</v>
      </c>
      <c r="C608" t="s">
        <v>1335</v>
      </c>
      <c r="D608" t="s">
        <v>1336</v>
      </c>
      <c r="E608" t="s">
        <v>709</v>
      </c>
      <c r="F608">
        <v>2022</v>
      </c>
      <c r="G608">
        <v>0</v>
      </c>
      <c r="H608">
        <v>0</v>
      </c>
      <c r="I608">
        <v>5</v>
      </c>
      <c r="J608">
        <v>0</v>
      </c>
      <c r="K608">
        <v>11689000000</v>
      </c>
      <c r="L608">
        <v>0.55010000000000003</v>
      </c>
      <c r="M608">
        <v>6430118.9000000004</v>
      </c>
      <c r="N608">
        <v>785092000</v>
      </c>
      <c r="O608">
        <v>510144000</v>
      </c>
      <c r="P608">
        <v>941380</v>
      </c>
      <c r="Q608">
        <v>1.5515660654638701</v>
      </c>
      <c r="R608">
        <v>20.050203596769698</v>
      </c>
      <c r="S608">
        <v>1.5389615481119101</v>
      </c>
      <c r="T608">
        <v>1.8453221051310999E-3</v>
      </c>
      <c r="U608">
        <v>1987</v>
      </c>
      <c r="V608">
        <v>35</v>
      </c>
      <c r="Y608">
        <v>1</v>
      </c>
      <c r="Z608" t="s">
        <v>727</v>
      </c>
      <c r="AA608" t="s">
        <v>1804</v>
      </c>
    </row>
    <row r="609" spans="1:27" ht="15" customHeight="1" x14ac:dyDescent="0.3">
      <c r="A609">
        <v>673</v>
      </c>
      <c r="B609">
        <v>135</v>
      </c>
      <c r="C609" t="s">
        <v>1335</v>
      </c>
      <c r="D609" t="s">
        <v>1336</v>
      </c>
      <c r="E609" t="s">
        <v>709</v>
      </c>
      <c r="F609">
        <v>2023</v>
      </c>
      <c r="G609">
        <v>1</v>
      </c>
      <c r="H609">
        <v>0</v>
      </c>
      <c r="I609">
        <v>5</v>
      </c>
      <c r="J609">
        <v>0</v>
      </c>
      <c r="K609">
        <v>11689000000</v>
      </c>
      <c r="L609">
        <v>1.6203000000000001</v>
      </c>
      <c r="M609">
        <v>18939686.699999999</v>
      </c>
      <c r="N609">
        <v>799458000</v>
      </c>
      <c r="O609">
        <v>472585000</v>
      </c>
      <c r="P609">
        <v>-62637000</v>
      </c>
      <c r="Q609">
        <v>1.73174706497244</v>
      </c>
      <c r="R609">
        <v>19.973728182898999</v>
      </c>
      <c r="S609">
        <v>1.69167028153665</v>
      </c>
      <c r="T609">
        <v>-0.132541235968133</v>
      </c>
      <c r="U609">
        <v>1987</v>
      </c>
      <c r="V609">
        <v>36</v>
      </c>
      <c r="Y609">
        <v>1</v>
      </c>
      <c r="Z609" t="s">
        <v>727</v>
      </c>
      <c r="AA609" t="s">
        <v>1805</v>
      </c>
    </row>
    <row r="610" spans="1:27" ht="15" customHeight="1" x14ac:dyDescent="0.3">
      <c r="A610">
        <v>674</v>
      </c>
      <c r="B610">
        <v>135</v>
      </c>
      <c r="C610" t="s">
        <v>1335</v>
      </c>
      <c r="D610" t="s">
        <v>1336</v>
      </c>
      <c r="E610" t="s">
        <v>709</v>
      </c>
      <c r="F610">
        <v>2024</v>
      </c>
      <c r="G610">
        <v>1</v>
      </c>
      <c r="H610">
        <v>0</v>
      </c>
      <c r="I610">
        <v>0</v>
      </c>
      <c r="J610">
        <v>0</v>
      </c>
      <c r="K610">
        <v>11689000000</v>
      </c>
      <c r="L610">
        <v>1.51</v>
      </c>
      <c r="M610">
        <v>17650390</v>
      </c>
      <c r="N610">
        <v>861414000</v>
      </c>
      <c r="O610">
        <v>414708000</v>
      </c>
      <c r="P610">
        <v>-114912000</v>
      </c>
      <c r="Q610">
        <v>2.1197189106552101</v>
      </c>
      <c r="R610">
        <v>19.843085216084301</v>
      </c>
      <c r="S610">
        <v>2.07715790387453</v>
      </c>
      <c r="T610">
        <v>-0.27709135102288801</v>
      </c>
      <c r="U610">
        <v>1987</v>
      </c>
      <c r="V610">
        <v>37</v>
      </c>
      <c r="Y610">
        <v>1</v>
      </c>
      <c r="Z610" t="s">
        <v>727</v>
      </c>
      <c r="AA610" t="s">
        <v>1806</v>
      </c>
    </row>
    <row r="611" spans="1:27" ht="15" customHeight="1" x14ac:dyDescent="0.3">
      <c r="A611">
        <v>676</v>
      </c>
      <c r="B611">
        <v>136</v>
      </c>
      <c r="C611" t="s">
        <v>1339</v>
      </c>
      <c r="D611" t="s">
        <v>1340</v>
      </c>
      <c r="E611" t="s">
        <v>709</v>
      </c>
      <c r="F611">
        <v>2021</v>
      </c>
      <c r="G611">
        <v>0</v>
      </c>
      <c r="H611">
        <v>0</v>
      </c>
      <c r="I611">
        <v>0</v>
      </c>
      <c r="J611">
        <v>0</v>
      </c>
      <c r="K611">
        <v>16000000000</v>
      </c>
      <c r="L611">
        <v>0.2</v>
      </c>
      <c r="M611">
        <v>3200000</v>
      </c>
      <c r="N611">
        <v>2318000</v>
      </c>
      <c r="O611">
        <v>12320000</v>
      </c>
      <c r="P611">
        <v>151430</v>
      </c>
      <c r="Q611">
        <v>0.44788961038961</v>
      </c>
      <c r="R611">
        <v>16.326734516069699</v>
      </c>
      <c r="S611">
        <v>0.18814935064935101</v>
      </c>
      <c r="T611">
        <v>1.22913961038961E-2</v>
      </c>
      <c r="U611">
        <v>1961</v>
      </c>
      <c r="V611">
        <v>60</v>
      </c>
      <c r="Y611">
        <v>0</v>
      </c>
      <c r="Z611" t="s">
        <v>1342</v>
      </c>
      <c r="AA611" t="s">
        <v>1807</v>
      </c>
    </row>
    <row r="612" spans="1:27" ht="15" customHeight="1" x14ac:dyDescent="0.3">
      <c r="A612">
        <v>677</v>
      </c>
      <c r="B612">
        <v>136</v>
      </c>
      <c r="C612" t="s">
        <v>1339</v>
      </c>
      <c r="D612" t="s">
        <v>1340</v>
      </c>
      <c r="E612" t="s">
        <v>709</v>
      </c>
      <c r="F612">
        <v>2022</v>
      </c>
      <c r="G612">
        <v>0</v>
      </c>
      <c r="H612">
        <v>0</v>
      </c>
      <c r="I612">
        <v>0</v>
      </c>
      <c r="J612">
        <v>0</v>
      </c>
      <c r="K612">
        <v>16000000000</v>
      </c>
      <c r="L612">
        <v>0.2</v>
      </c>
      <c r="M612">
        <v>3200000</v>
      </c>
      <c r="N612">
        <v>3145000</v>
      </c>
      <c r="O612">
        <v>13487000</v>
      </c>
      <c r="P612">
        <v>314510</v>
      </c>
      <c r="Q612">
        <v>0.47045302884258899</v>
      </c>
      <c r="R612">
        <v>16.417236816498999</v>
      </c>
      <c r="S612">
        <v>0.23318751390227599</v>
      </c>
      <c r="T612">
        <v>2.3319492844961799E-2</v>
      </c>
      <c r="U612">
        <v>1961</v>
      </c>
      <c r="V612">
        <v>61</v>
      </c>
      <c r="Y612">
        <v>0</v>
      </c>
      <c r="Z612" t="s">
        <v>1342</v>
      </c>
      <c r="AA612" t="s">
        <v>1808</v>
      </c>
    </row>
    <row r="613" spans="1:27" ht="15" customHeight="1" x14ac:dyDescent="0.3">
      <c r="A613">
        <v>678</v>
      </c>
      <c r="B613">
        <v>136</v>
      </c>
      <c r="C613" t="s">
        <v>1339</v>
      </c>
      <c r="D613" t="s">
        <v>1340</v>
      </c>
      <c r="E613" t="s">
        <v>709</v>
      </c>
      <c r="F613">
        <v>2023</v>
      </c>
      <c r="G613">
        <v>1</v>
      </c>
      <c r="H613">
        <v>0</v>
      </c>
      <c r="I613">
        <v>0</v>
      </c>
      <c r="J613">
        <v>0</v>
      </c>
      <c r="K613">
        <v>16000000000</v>
      </c>
      <c r="L613">
        <v>0.26</v>
      </c>
      <c r="M613">
        <v>4160000</v>
      </c>
      <c r="N613">
        <v>4898000</v>
      </c>
      <c r="O613">
        <v>17122000</v>
      </c>
      <c r="P613">
        <v>530060</v>
      </c>
      <c r="Q613">
        <v>0.52902698282910898</v>
      </c>
      <c r="R613">
        <v>16.655874744284599</v>
      </c>
      <c r="S613">
        <v>0.28606471206634698</v>
      </c>
      <c r="T613">
        <v>3.0957832028968599E-2</v>
      </c>
      <c r="U613">
        <v>1961</v>
      </c>
      <c r="V613">
        <v>62</v>
      </c>
      <c r="Y613">
        <v>0</v>
      </c>
      <c r="Z613" t="s">
        <v>1342</v>
      </c>
      <c r="AA613" t="s">
        <v>1809</v>
      </c>
    </row>
    <row r="614" spans="1:27" ht="15" customHeight="1" x14ac:dyDescent="0.3">
      <c r="A614">
        <v>679</v>
      </c>
      <c r="B614">
        <v>136</v>
      </c>
      <c r="C614" t="s">
        <v>1339</v>
      </c>
      <c r="D614" t="s">
        <v>1340</v>
      </c>
      <c r="E614" t="s">
        <v>709</v>
      </c>
      <c r="F614">
        <v>2024</v>
      </c>
      <c r="G614">
        <v>1</v>
      </c>
      <c r="H614">
        <v>0</v>
      </c>
      <c r="I614">
        <v>0</v>
      </c>
      <c r="J614">
        <v>0</v>
      </c>
      <c r="K614">
        <v>16000000000</v>
      </c>
      <c r="L614">
        <v>0.66</v>
      </c>
      <c r="M614">
        <v>10560000</v>
      </c>
      <c r="N614">
        <v>7225000</v>
      </c>
      <c r="O614">
        <v>22194000</v>
      </c>
      <c r="P614">
        <v>1941000</v>
      </c>
      <c r="Q614">
        <v>0.80134270523564899</v>
      </c>
      <c r="R614">
        <v>16.915332540042598</v>
      </c>
      <c r="S614">
        <v>0.32553843381094</v>
      </c>
      <c r="T614">
        <v>8.7456069207894005E-2</v>
      </c>
      <c r="U614">
        <v>1961</v>
      </c>
      <c r="V614">
        <v>63</v>
      </c>
      <c r="Y614">
        <v>0</v>
      </c>
      <c r="Z614" t="s">
        <v>1342</v>
      </c>
      <c r="AA614" t="s">
        <v>1810</v>
      </c>
    </row>
    <row r="615" spans="1:27" ht="15" customHeight="1" x14ac:dyDescent="0.3">
      <c r="A615">
        <v>680</v>
      </c>
      <c r="B615">
        <v>136</v>
      </c>
      <c r="C615" t="s">
        <v>1339</v>
      </c>
      <c r="D615" t="s">
        <v>1340</v>
      </c>
      <c r="E615" t="s">
        <v>709</v>
      </c>
      <c r="F615">
        <v>2025</v>
      </c>
      <c r="G615">
        <v>1</v>
      </c>
      <c r="H615">
        <v>0</v>
      </c>
      <c r="I615">
        <v>5</v>
      </c>
      <c r="J615">
        <v>0</v>
      </c>
      <c r="K615">
        <v>16000000000</v>
      </c>
      <c r="L615">
        <v>1.21</v>
      </c>
      <c r="M615">
        <v>19360000</v>
      </c>
      <c r="N615">
        <v>9302000</v>
      </c>
      <c r="O615">
        <v>28307000</v>
      </c>
      <c r="P615">
        <v>4495000</v>
      </c>
      <c r="Q615">
        <v>1.01254106758046</v>
      </c>
      <c r="R615">
        <v>17.158619681850901</v>
      </c>
      <c r="S615">
        <v>0.328611297558908</v>
      </c>
      <c r="T615">
        <v>0.15879464443423899</v>
      </c>
      <c r="U615">
        <v>1961</v>
      </c>
      <c r="V615">
        <v>64</v>
      </c>
      <c r="Y615">
        <v>0</v>
      </c>
      <c r="Z615" t="s">
        <v>1342</v>
      </c>
      <c r="AA615" t="s">
        <v>1811</v>
      </c>
    </row>
    <row r="616" spans="1:27" ht="15" customHeight="1" x14ac:dyDescent="0.3">
      <c r="A616">
        <v>681</v>
      </c>
      <c r="B616">
        <v>137</v>
      </c>
      <c r="C616" t="s">
        <v>1345</v>
      </c>
      <c r="D616" t="s">
        <v>1346</v>
      </c>
      <c r="E616" t="s">
        <v>780</v>
      </c>
      <c r="F616">
        <v>2021</v>
      </c>
      <c r="G616">
        <v>0</v>
      </c>
      <c r="H616">
        <v>0</v>
      </c>
      <c r="I616">
        <v>0</v>
      </c>
      <c r="J616">
        <v>0</v>
      </c>
      <c r="K616">
        <v>18560000000</v>
      </c>
      <c r="L616">
        <v>1.1901999999999999</v>
      </c>
      <c r="M616">
        <v>22090112</v>
      </c>
      <c r="N616">
        <v>11501000</v>
      </c>
      <c r="O616">
        <v>19595000</v>
      </c>
      <c r="P616">
        <v>-1928000</v>
      </c>
      <c r="Q616">
        <v>1.7142695585608601</v>
      </c>
      <c r="R616">
        <v>16.790784989615901</v>
      </c>
      <c r="S616">
        <v>0.586935442714978</v>
      </c>
      <c r="T616">
        <v>-9.8392447052819604E-2</v>
      </c>
      <c r="U616">
        <v>1997</v>
      </c>
      <c r="V616">
        <v>24</v>
      </c>
      <c r="Y616">
        <v>0</v>
      </c>
      <c r="Z616" t="s">
        <v>1309</v>
      </c>
      <c r="AA616" t="s">
        <v>1812</v>
      </c>
    </row>
    <row r="617" spans="1:27" ht="15" customHeight="1" x14ac:dyDescent="0.3">
      <c r="A617">
        <v>682</v>
      </c>
      <c r="B617">
        <v>137</v>
      </c>
      <c r="C617" t="s">
        <v>1345</v>
      </c>
      <c r="D617" t="s">
        <v>1346</v>
      </c>
      <c r="E617" t="s">
        <v>780</v>
      </c>
      <c r="F617">
        <v>2022</v>
      </c>
      <c r="G617">
        <v>0</v>
      </c>
      <c r="H617">
        <v>0</v>
      </c>
      <c r="I617">
        <v>0</v>
      </c>
      <c r="J617">
        <v>0</v>
      </c>
      <c r="K617">
        <v>18560000000</v>
      </c>
      <c r="L617">
        <v>0.91</v>
      </c>
      <c r="M617">
        <v>16889600</v>
      </c>
      <c r="N617">
        <v>11238000</v>
      </c>
      <c r="O617">
        <v>19428000</v>
      </c>
      <c r="P617">
        <v>159660</v>
      </c>
      <c r="Q617">
        <v>1.44778669960881</v>
      </c>
      <c r="R617">
        <v>16.782225882447801</v>
      </c>
      <c r="S617">
        <v>0.57844348363187204</v>
      </c>
      <c r="T617">
        <v>8.2180358245830792E-3</v>
      </c>
      <c r="U617">
        <v>1997</v>
      </c>
      <c r="V617">
        <v>25</v>
      </c>
      <c r="Y617">
        <v>0</v>
      </c>
      <c r="Z617" t="s">
        <v>1309</v>
      </c>
      <c r="AA617" t="s">
        <v>1813</v>
      </c>
    </row>
    <row r="618" spans="1:27" ht="15" customHeight="1" x14ac:dyDescent="0.3">
      <c r="A618">
        <v>683</v>
      </c>
      <c r="B618">
        <v>137</v>
      </c>
      <c r="C618" t="s">
        <v>1345</v>
      </c>
      <c r="D618" t="s">
        <v>1346</v>
      </c>
      <c r="E618" t="s">
        <v>780</v>
      </c>
      <c r="F618">
        <v>2023</v>
      </c>
      <c r="G618">
        <v>1</v>
      </c>
      <c r="H618">
        <v>0</v>
      </c>
      <c r="I618">
        <v>0</v>
      </c>
      <c r="J618">
        <v>0</v>
      </c>
      <c r="K618">
        <v>18560000000</v>
      </c>
      <c r="L618">
        <v>1.2802</v>
      </c>
      <c r="M618">
        <v>23760512</v>
      </c>
      <c r="N618">
        <v>10829000</v>
      </c>
      <c r="O618">
        <v>19664000</v>
      </c>
      <c r="P618">
        <v>253510</v>
      </c>
      <c r="Q618">
        <v>1.75902725793328</v>
      </c>
      <c r="R618">
        <v>16.794300110788001</v>
      </c>
      <c r="S618">
        <v>0.55070179007322995</v>
      </c>
      <c r="T618">
        <v>1.28920870626526E-2</v>
      </c>
      <c r="U618">
        <v>1997</v>
      </c>
      <c r="V618">
        <v>26</v>
      </c>
      <c r="Y618">
        <v>0</v>
      </c>
      <c r="Z618" t="s">
        <v>1309</v>
      </c>
      <c r="AA618" t="s">
        <v>1814</v>
      </c>
    </row>
    <row r="619" spans="1:27" ht="15" customHeight="1" x14ac:dyDescent="0.3">
      <c r="A619">
        <v>684</v>
      </c>
      <c r="B619">
        <v>137</v>
      </c>
      <c r="C619" t="s">
        <v>1345</v>
      </c>
      <c r="D619" t="s">
        <v>1346</v>
      </c>
      <c r="E619" t="s">
        <v>780</v>
      </c>
      <c r="F619">
        <v>2024</v>
      </c>
      <c r="G619">
        <v>1</v>
      </c>
      <c r="H619">
        <v>0</v>
      </c>
      <c r="I619">
        <v>0</v>
      </c>
      <c r="J619">
        <v>0</v>
      </c>
      <c r="K619">
        <v>18560000000</v>
      </c>
      <c r="L619">
        <v>1.59</v>
      </c>
      <c r="M619">
        <v>29510400</v>
      </c>
      <c r="N619">
        <v>21503000</v>
      </c>
      <c r="O619">
        <v>30988000</v>
      </c>
      <c r="P619">
        <v>432190</v>
      </c>
      <c r="Q619">
        <v>1.64623079901898</v>
      </c>
      <c r="R619">
        <v>17.249110590733899</v>
      </c>
      <c r="S619">
        <v>0.69391377307344804</v>
      </c>
      <c r="T619">
        <v>1.39470117464825E-2</v>
      </c>
      <c r="U619">
        <v>1997</v>
      </c>
      <c r="V619">
        <v>27</v>
      </c>
      <c r="Y619">
        <v>0</v>
      </c>
      <c r="Z619" t="s">
        <v>1309</v>
      </c>
      <c r="AA619" t="s">
        <v>1815</v>
      </c>
    </row>
    <row r="620" spans="1:27" ht="15" customHeight="1" x14ac:dyDescent="0.3">
      <c r="A620">
        <v>685</v>
      </c>
      <c r="B620">
        <v>137</v>
      </c>
      <c r="C620" t="s">
        <v>1345</v>
      </c>
      <c r="D620" t="s">
        <v>1346</v>
      </c>
      <c r="E620" t="s">
        <v>780</v>
      </c>
      <c r="F620">
        <v>2025</v>
      </c>
      <c r="G620">
        <v>1</v>
      </c>
      <c r="H620">
        <v>0</v>
      </c>
      <c r="I620">
        <v>0</v>
      </c>
      <c r="J620">
        <v>0</v>
      </c>
      <c r="K620">
        <v>18560000000</v>
      </c>
      <c r="L620">
        <v>4.8997999999999999</v>
      </c>
      <c r="M620">
        <v>90940288</v>
      </c>
      <c r="N620">
        <v>18538000</v>
      </c>
      <c r="O620">
        <v>29989000</v>
      </c>
      <c r="P620">
        <v>974620</v>
      </c>
      <c r="Q620">
        <v>3.6506148254359898</v>
      </c>
      <c r="R620">
        <v>17.2163412057211</v>
      </c>
      <c r="S620">
        <v>0.61815999199706595</v>
      </c>
      <c r="T620">
        <v>3.24992497248991E-2</v>
      </c>
      <c r="U620">
        <v>1997</v>
      </c>
      <c r="V620">
        <v>28</v>
      </c>
      <c r="Y620">
        <v>0</v>
      </c>
      <c r="Z620" t="s">
        <v>1309</v>
      </c>
      <c r="AA620" t="s">
        <v>1816</v>
      </c>
    </row>
    <row r="621" spans="1:27" ht="15" customHeight="1" x14ac:dyDescent="0.3">
      <c r="A621">
        <v>686</v>
      </c>
      <c r="B621">
        <v>138</v>
      </c>
      <c r="C621" t="s">
        <v>1350</v>
      </c>
      <c r="D621" t="s">
        <v>1351</v>
      </c>
      <c r="E621" t="s">
        <v>780</v>
      </c>
      <c r="F621">
        <v>2021</v>
      </c>
      <c r="G621">
        <v>0</v>
      </c>
      <c r="H621">
        <v>0</v>
      </c>
      <c r="I621">
        <v>0</v>
      </c>
      <c r="J621">
        <v>0</v>
      </c>
      <c r="K621">
        <v>2668000000</v>
      </c>
      <c r="L621">
        <v>4.4489999999999998</v>
      </c>
      <c r="M621">
        <v>11869932</v>
      </c>
      <c r="N621">
        <v>892210</v>
      </c>
      <c r="O621">
        <v>25821000</v>
      </c>
      <c r="P621">
        <v>-4480000</v>
      </c>
      <c r="Q621">
        <v>0.494254366600829</v>
      </c>
      <c r="R621">
        <v>17.066698672299701</v>
      </c>
      <c r="S621">
        <v>3.4553657875372797E-2</v>
      </c>
      <c r="T621">
        <v>-0.173502188141435</v>
      </c>
      <c r="U621">
        <v>2013</v>
      </c>
      <c r="V621">
        <v>8</v>
      </c>
      <c r="Y621">
        <v>0</v>
      </c>
      <c r="Z621" t="s">
        <v>717</v>
      </c>
      <c r="AA621" t="s">
        <v>1817</v>
      </c>
    </row>
    <row r="622" spans="1:27" ht="15" customHeight="1" x14ac:dyDescent="0.3">
      <c r="A622">
        <v>687</v>
      </c>
      <c r="B622">
        <v>138</v>
      </c>
      <c r="C622" t="s">
        <v>1350</v>
      </c>
      <c r="D622" t="s">
        <v>1351</v>
      </c>
      <c r="E622" t="s">
        <v>780</v>
      </c>
      <c r="F622">
        <v>2022</v>
      </c>
      <c r="G622">
        <v>0</v>
      </c>
      <c r="H622">
        <v>0</v>
      </c>
      <c r="I622">
        <v>0</v>
      </c>
      <c r="J622">
        <v>0</v>
      </c>
      <c r="K622">
        <v>2668000000</v>
      </c>
      <c r="L622">
        <v>2.9984999999999999</v>
      </c>
      <c r="M622">
        <v>7999998</v>
      </c>
      <c r="N622">
        <v>650260</v>
      </c>
      <c r="O622">
        <v>26773000</v>
      </c>
      <c r="P622">
        <v>1677000</v>
      </c>
      <c r="Q622">
        <v>0.32309632839054298</v>
      </c>
      <c r="R622">
        <v>17.102904474962902</v>
      </c>
      <c r="S622">
        <v>2.42879019908116E-2</v>
      </c>
      <c r="T622">
        <v>6.2637732043476599E-2</v>
      </c>
      <c r="U622">
        <v>2013</v>
      </c>
      <c r="V622">
        <v>9</v>
      </c>
      <c r="Y622">
        <v>0</v>
      </c>
      <c r="Z622" t="s">
        <v>717</v>
      </c>
      <c r="AA622" t="s">
        <v>1818</v>
      </c>
    </row>
    <row r="623" spans="1:27" ht="15" customHeight="1" x14ac:dyDescent="0.3">
      <c r="A623">
        <v>688</v>
      </c>
      <c r="B623">
        <v>138</v>
      </c>
      <c r="C623" t="s">
        <v>1350</v>
      </c>
      <c r="D623" t="s">
        <v>1351</v>
      </c>
      <c r="E623" t="s">
        <v>780</v>
      </c>
      <c r="F623">
        <v>2023</v>
      </c>
      <c r="G623">
        <v>1</v>
      </c>
      <c r="H623">
        <v>0</v>
      </c>
      <c r="I623">
        <v>0</v>
      </c>
      <c r="J623">
        <v>0</v>
      </c>
      <c r="K623">
        <v>2668000000</v>
      </c>
      <c r="L623">
        <v>6.4017999999999997</v>
      </c>
      <c r="M623">
        <v>17080002.399999999</v>
      </c>
      <c r="N623">
        <v>600510</v>
      </c>
      <c r="O623">
        <v>29552000</v>
      </c>
      <c r="P623">
        <v>3803000</v>
      </c>
      <c r="Q623">
        <v>0.59828479967514903</v>
      </c>
      <c r="R623">
        <v>17.2016619814212</v>
      </c>
      <c r="S623">
        <v>2.0320452084461298E-2</v>
      </c>
      <c r="T623">
        <v>0.128688413643747</v>
      </c>
      <c r="U623">
        <v>2013</v>
      </c>
      <c r="V623">
        <v>10</v>
      </c>
      <c r="Y623">
        <v>0</v>
      </c>
      <c r="Z623" t="s">
        <v>717</v>
      </c>
      <c r="AA623" t="s">
        <v>1819</v>
      </c>
    </row>
    <row r="624" spans="1:27" ht="15" customHeight="1" x14ac:dyDescent="0.3">
      <c r="A624">
        <v>689</v>
      </c>
      <c r="B624">
        <v>138</v>
      </c>
      <c r="C624" t="s">
        <v>1350</v>
      </c>
      <c r="D624" t="s">
        <v>1351</v>
      </c>
      <c r="E624" t="s">
        <v>780</v>
      </c>
      <c r="F624">
        <v>2024</v>
      </c>
      <c r="G624">
        <v>1</v>
      </c>
      <c r="H624">
        <v>0</v>
      </c>
      <c r="I624">
        <v>0</v>
      </c>
      <c r="J624">
        <v>0</v>
      </c>
      <c r="K624">
        <v>2668000000</v>
      </c>
      <c r="L624">
        <v>5</v>
      </c>
      <c r="M624">
        <v>13340000</v>
      </c>
      <c r="N624">
        <v>897340</v>
      </c>
      <c r="O624">
        <v>33426000</v>
      </c>
      <c r="P624">
        <v>4698000</v>
      </c>
      <c r="Q624">
        <v>0.42593609764853702</v>
      </c>
      <c r="R624">
        <v>17.324844598231</v>
      </c>
      <c r="S624">
        <v>2.6845569317297899E-2</v>
      </c>
      <c r="T624">
        <v>0.14054927302100201</v>
      </c>
      <c r="U624">
        <v>2013</v>
      </c>
      <c r="V624">
        <v>11</v>
      </c>
      <c r="Y624">
        <v>0</v>
      </c>
      <c r="Z624" t="s">
        <v>717</v>
      </c>
      <c r="AA624" t="s">
        <v>1820</v>
      </c>
    </row>
    <row r="625" spans="1:27" ht="15" customHeight="1" x14ac:dyDescent="0.3">
      <c r="A625">
        <v>690</v>
      </c>
      <c r="B625">
        <v>138</v>
      </c>
      <c r="C625" t="s">
        <v>1350</v>
      </c>
      <c r="D625" t="s">
        <v>1351</v>
      </c>
      <c r="E625" t="s">
        <v>780</v>
      </c>
      <c r="F625">
        <v>2025</v>
      </c>
      <c r="G625">
        <v>1</v>
      </c>
      <c r="H625">
        <v>0</v>
      </c>
      <c r="I625">
        <v>0</v>
      </c>
      <c r="J625">
        <v>0</v>
      </c>
      <c r="K625">
        <v>2668000000</v>
      </c>
      <c r="L625">
        <v>6.9002999999999997</v>
      </c>
      <c r="M625">
        <v>18410000.399999999</v>
      </c>
      <c r="N625">
        <v>812060</v>
      </c>
      <c r="O625">
        <v>36290000</v>
      </c>
      <c r="P625">
        <v>4335000</v>
      </c>
      <c r="Q625">
        <v>0.52967926150454703</v>
      </c>
      <c r="R625">
        <v>17.4070527791893</v>
      </c>
      <c r="S625">
        <v>2.23769633507853E-2</v>
      </c>
      <c r="T625">
        <v>0.119454395150179</v>
      </c>
      <c r="U625">
        <v>2013</v>
      </c>
      <c r="V625">
        <v>12</v>
      </c>
      <c r="Y625">
        <v>0</v>
      </c>
      <c r="Z625" t="s">
        <v>717</v>
      </c>
      <c r="AA625" t="s">
        <v>1821</v>
      </c>
    </row>
    <row r="626" spans="1:27" ht="15" customHeight="1" x14ac:dyDescent="0.3">
      <c r="A626">
        <v>691</v>
      </c>
      <c r="B626">
        <v>139</v>
      </c>
      <c r="C626" t="s">
        <v>1354</v>
      </c>
      <c r="D626" t="s">
        <v>1355</v>
      </c>
      <c r="E626" t="s">
        <v>715</v>
      </c>
      <c r="F626">
        <v>2021</v>
      </c>
      <c r="G626">
        <v>0</v>
      </c>
      <c r="H626">
        <v>0</v>
      </c>
      <c r="I626">
        <v>0</v>
      </c>
      <c r="J626">
        <v>0</v>
      </c>
      <c r="K626">
        <v>431409504</v>
      </c>
      <c r="L626">
        <v>2.94</v>
      </c>
      <c r="M626">
        <v>1268343.9417600001</v>
      </c>
      <c r="N626">
        <v>1124536</v>
      </c>
      <c r="O626">
        <v>3785015</v>
      </c>
      <c r="P626">
        <v>57106</v>
      </c>
      <c r="Q626">
        <v>0.63219827180605603</v>
      </c>
      <c r="R626">
        <v>15.146560407857701</v>
      </c>
      <c r="S626">
        <v>0.29710212509065398</v>
      </c>
      <c r="T626">
        <v>1.5087390670842801E-2</v>
      </c>
      <c r="U626">
        <v>1978</v>
      </c>
      <c r="V626">
        <v>43</v>
      </c>
      <c r="Z626" t="s">
        <v>832</v>
      </c>
      <c r="AA626" t="s">
        <v>1822</v>
      </c>
    </row>
    <row r="627" spans="1:27" ht="15" customHeight="1" x14ac:dyDescent="0.3">
      <c r="A627">
        <v>692</v>
      </c>
      <c r="B627">
        <v>139</v>
      </c>
      <c r="C627" t="s">
        <v>1354</v>
      </c>
      <c r="D627" t="s">
        <v>1355</v>
      </c>
      <c r="E627" t="s">
        <v>715</v>
      </c>
      <c r="F627">
        <v>2022</v>
      </c>
      <c r="G627">
        <v>0</v>
      </c>
      <c r="H627">
        <v>0</v>
      </c>
      <c r="I627">
        <v>0</v>
      </c>
      <c r="J627">
        <v>0</v>
      </c>
      <c r="K627">
        <v>431410000</v>
      </c>
      <c r="L627">
        <v>2.9438</v>
      </c>
      <c r="M627">
        <v>1269984.7579999999</v>
      </c>
      <c r="N627">
        <v>1115000</v>
      </c>
      <c r="O627">
        <v>4287000</v>
      </c>
      <c r="P627">
        <v>207490</v>
      </c>
      <c r="Q627">
        <v>0.55632954466993201</v>
      </c>
      <c r="R627">
        <v>15.2710977455801</v>
      </c>
      <c r="S627">
        <v>0.260088640074644</v>
      </c>
      <c r="T627">
        <v>4.8399813389316503E-2</v>
      </c>
      <c r="U627">
        <v>1978</v>
      </c>
      <c r="V627">
        <v>44</v>
      </c>
      <c r="Y627">
        <v>0</v>
      </c>
      <c r="Z627" t="s">
        <v>832</v>
      </c>
      <c r="AA627" t="s">
        <v>1823</v>
      </c>
    </row>
    <row r="628" spans="1:27" ht="15" customHeight="1" x14ac:dyDescent="0.3">
      <c r="A628">
        <v>693</v>
      </c>
      <c r="B628">
        <v>139</v>
      </c>
      <c r="C628" t="s">
        <v>1354</v>
      </c>
      <c r="D628" t="s">
        <v>1355</v>
      </c>
      <c r="E628" t="s">
        <v>715</v>
      </c>
      <c r="F628">
        <v>2023</v>
      </c>
      <c r="G628">
        <v>1</v>
      </c>
      <c r="H628">
        <v>0</v>
      </c>
      <c r="I628">
        <v>0</v>
      </c>
      <c r="J628">
        <v>0</v>
      </c>
      <c r="K628">
        <v>431410000</v>
      </c>
      <c r="L628">
        <v>1.9</v>
      </c>
      <c r="M628">
        <v>819679</v>
      </c>
      <c r="N628">
        <v>964620</v>
      </c>
      <c r="O628">
        <v>4236000</v>
      </c>
      <c r="P628">
        <v>142290</v>
      </c>
      <c r="Q628">
        <v>0.421222615675165</v>
      </c>
      <c r="R628">
        <v>15.2591299857034</v>
      </c>
      <c r="S628">
        <v>0.22771954674221001</v>
      </c>
      <c r="T628">
        <v>3.3590651558073698E-2</v>
      </c>
      <c r="U628">
        <v>1978</v>
      </c>
      <c r="V628">
        <v>45</v>
      </c>
      <c r="Y628">
        <v>0</v>
      </c>
      <c r="Z628" t="s">
        <v>832</v>
      </c>
      <c r="AA628" t="s">
        <v>1824</v>
      </c>
    </row>
    <row r="629" spans="1:27" ht="15" customHeight="1" x14ac:dyDescent="0.3">
      <c r="A629">
        <v>694</v>
      </c>
      <c r="B629">
        <v>139</v>
      </c>
      <c r="C629" t="s">
        <v>1354</v>
      </c>
      <c r="D629" t="s">
        <v>1355</v>
      </c>
      <c r="E629" t="s">
        <v>715</v>
      </c>
      <c r="F629">
        <v>2024</v>
      </c>
      <c r="G629">
        <v>1</v>
      </c>
      <c r="H629">
        <v>0</v>
      </c>
      <c r="I629">
        <v>5</v>
      </c>
      <c r="J629">
        <v>0</v>
      </c>
      <c r="K629">
        <v>431410000</v>
      </c>
      <c r="L629">
        <v>2.4106999999999998</v>
      </c>
      <c r="M629">
        <v>1040000.0870000001</v>
      </c>
      <c r="N629">
        <v>2041000</v>
      </c>
      <c r="O629">
        <v>5112000</v>
      </c>
      <c r="P629">
        <v>-157720</v>
      </c>
      <c r="Q629">
        <v>0.60269954753521104</v>
      </c>
      <c r="R629">
        <v>15.4471012750395</v>
      </c>
      <c r="S629">
        <v>0.39925665101721403</v>
      </c>
      <c r="T629">
        <v>-3.08528951486698E-2</v>
      </c>
      <c r="U629">
        <v>1978</v>
      </c>
      <c r="V629">
        <v>46</v>
      </c>
      <c r="Y629">
        <v>0</v>
      </c>
      <c r="Z629" t="s">
        <v>832</v>
      </c>
      <c r="AA629" t="s">
        <v>1825</v>
      </c>
    </row>
    <row r="630" spans="1:27" ht="15" customHeight="1" x14ac:dyDescent="0.3">
      <c r="A630">
        <v>695</v>
      </c>
      <c r="B630">
        <v>139</v>
      </c>
      <c r="C630" t="s">
        <v>1354</v>
      </c>
      <c r="D630" t="s">
        <v>1355</v>
      </c>
      <c r="E630" t="s">
        <v>715</v>
      </c>
      <c r="F630">
        <v>2025</v>
      </c>
      <c r="G630">
        <v>1</v>
      </c>
      <c r="H630">
        <v>0</v>
      </c>
      <c r="I630">
        <v>5</v>
      </c>
      <c r="J630">
        <v>0</v>
      </c>
      <c r="K630">
        <v>431410000</v>
      </c>
      <c r="L630">
        <v>3.8477999999999999</v>
      </c>
      <c r="M630">
        <v>1659979.398</v>
      </c>
      <c r="N630">
        <v>1099000</v>
      </c>
      <c r="O630">
        <v>4508000</v>
      </c>
      <c r="P630">
        <v>450630</v>
      </c>
      <c r="Q630">
        <v>0.61201850000000002</v>
      </c>
      <c r="R630">
        <v>15.321364154141801</v>
      </c>
      <c r="S630">
        <v>0.243788819875776</v>
      </c>
      <c r="T630">
        <v>9.9962289263531498E-2</v>
      </c>
      <c r="U630">
        <v>1978</v>
      </c>
      <c r="V630">
        <v>47</v>
      </c>
      <c r="Y630">
        <v>0</v>
      </c>
      <c r="Z630" t="s">
        <v>832</v>
      </c>
      <c r="AA630" t="s">
        <v>1826</v>
      </c>
    </row>
    <row r="631" spans="1:27" ht="15" customHeight="1" x14ac:dyDescent="0.3">
      <c r="A631">
        <v>696</v>
      </c>
      <c r="B631">
        <v>140</v>
      </c>
      <c r="C631" t="s">
        <v>1357</v>
      </c>
      <c r="D631" t="s">
        <v>1358</v>
      </c>
      <c r="E631" t="s">
        <v>709</v>
      </c>
      <c r="F631">
        <v>2021</v>
      </c>
      <c r="G631">
        <v>0</v>
      </c>
      <c r="H631">
        <v>0</v>
      </c>
      <c r="I631">
        <v>0</v>
      </c>
      <c r="J631">
        <v>0</v>
      </c>
      <c r="K631">
        <v>13867000000</v>
      </c>
      <c r="L631">
        <v>0.2099</v>
      </c>
      <c r="M631">
        <v>2910683.3</v>
      </c>
      <c r="N631">
        <v>5762000</v>
      </c>
      <c r="O631">
        <v>16565000</v>
      </c>
      <c r="P631">
        <v>505300</v>
      </c>
      <c r="Q631">
        <v>0.52355468155750096</v>
      </c>
      <c r="R631">
        <v>16.622802593716099</v>
      </c>
      <c r="S631">
        <v>0.34784183519468798</v>
      </c>
      <c r="T631">
        <v>3.0504074856625402E-2</v>
      </c>
      <c r="U631">
        <v>1973</v>
      </c>
      <c r="V631">
        <v>48</v>
      </c>
      <c r="Y631">
        <v>1</v>
      </c>
      <c r="Z631" t="s">
        <v>722</v>
      </c>
      <c r="AA631" t="s">
        <v>1827</v>
      </c>
    </row>
    <row r="632" spans="1:27" ht="15" customHeight="1" x14ac:dyDescent="0.3">
      <c r="A632">
        <v>697</v>
      </c>
      <c r="B632">
        <v>140</v>
      </c>
      <c r="C632" t="s">
        <v>1357</v>
      </c>
      <c r="D632" t="s">
        <v>1358</v>
      </c>
      <c r="E632" t="s">
        <v>709</v>
      </c>
      <c r="F632">
        <v>2022</v>
      </c>
      <c r="G632">
        <v>0</v>
      </c>
      <c r="H632">
        <v>0</v>
      </c>
      <c r="I632">
        <v>0</v>
      </c>
      <c r="J632">
        <v>0</v>
      </c>
      <c r="K632">
        <v>13867000000</v>
      </c>
      <c r="L632">
        <v>0.19980000000000001</v>
      </c>
      <c r="M632">
        <v>2770626.6</v>
      </c>
      <c r="N632">
        <v>4791000</v>
      </c>
      <c r="O632">
        <v>17250000</v>
      </c>
      <c r="P632">
        <v>540610</v>
      </c>
      <c r="Q632">
        <v>0.43835516521739099</v>
      </c>
      <c r="R632">
        <v>16.663322701441601</v>
      </c>
      <c r="S632">
        <v>0.27773913043478299</v>
      </c>
      <c r="T632">
        <v>3.13397101449275E-2</v>
      </c>
      <c r="U632">
        <v>1973</v>
      </c>
      <c r="V632">
        <v>49</v>
      </c>
      <c r="Y632">
        <v>1</v>
      </c>
      <c r="Z632" t="s">
        <v>722</v>
      </c>
      <c r="AA632" t="s">
        <v>1828</v>
      </c>
    </row>
    <row r="633" spans="1:27" ht="15" customHeight="1" x14ac:dyDescent="0.3">
      <c r="A633">
        <v>698</v>
      </c>
      <c r="B633">
        <v>140</v>
      </c>
      <c r="C633" t="s">
        <v>1357</v>
      </c>
      <c r="D633" t="s">
        <v>1358</v>
      </c>
      <c r="E633" t="s">
        <v>709</v>
      </c>
      <c r="F633">
        <v>2023</v>
      </c>
      <c r="G633">
        <v>1</v>
      </c>
      <c r="H633">
        <v>0</v>
      </c>
      <c r="I633">
        <v>0</v>
      </c>
      <c r="J633">
        <v>0</v>
      </c>
      <c r="K633">
        <v>13867000000</v>
      </c>
      <c r="L633">
        <v>0.36990000000000001</v>
      </c>
      <c r="M633">
        <v>5129403.3</v>
      </c>
      <c r="N633">
        <v>8311000</v>
      </c>
      <c r="O633">
        <v>24680000</v>
      </c>
      <c r="P633">
        <v>2575000</v>
      </c>
      <c r="Q633">
        <v>0.54458684359805498</v>
      </c>
      <c r="R633">
        <v>17.021503757001501</v>
      </c>
      <c r="S633">
        <v>0.33675040518638599</v>
      </c>
      <c r="T633">
        <v>0.104335494327391</v>
      </c>
      <c r="U633">
        <v>1973</v>
      </c>
      <c r="V633">
        <v>50</v>
      </c>
      <c r="Y633">
        <v>1</v>
      </c>
      <c r="Z633" t="s">
        <v>722</v>
      </c>
      <c r="AA633" t="s">
        <v>1829</v>
      </c>
    </row>
    <row r="634" spans="1:27" ht="15" customHeight="1" x14ac:dyDescent="0.3">
      <c r="A634">
        <v>699</v>
      </c>
      <c r="B634">
        <v>140</v>
      </c>
      <c r="C634" t="s">
        <v>1357</v>
      </c>
      <c r="D634" t="s">
        <v>1358</v>
      </c>
      <c r="E634" t="s">
        <v>709</v>
      </c>
      <c r="F634">
        <v>2024</v>
      </c>
      <c r="G634">
        <v>1</v>
      </c>
      <c r="H634">
        <v>0</v>
      </c>
      <c r="I634">
        <v>0</v>
      </c>
      <c r="J634">
        <v>0</v>
      </c>
      <c r="K634">
        <v>13867000000</v>
      </c>
      <c r="L634">
        <v>1.3601000000000001</v>
      </c>
      <c r="M634">
        <v>18860506.699999999</v>
      </c>
      <c r="N634">
        <v>22255000</v>
      </c>
      <c r="O634">
        <v>37540000</v>
      </c>
      <c r="P634">
        <v>-1224000</v>
      </c>
      <c r="Q634">
        <v>1.09524525039957</v>
      </c>
      <c r="R634">
        <v>17.440917589122598</v>
      </c>
      <c r="S634">
        <v>0.59283431006926002</v>
      </c>
      <c r="T634">
        <v>-3.2605221097496001E-2</v>
      </c>
      <c r="U634">
        <v>1973</v>
      </c>
      <c r="V634">
        <v>51</v>
      </c>
      <c r="Y634">
        <v>1</v>
      </c>
      <c r="Z634" t="s">
        <v>722</v>
      </c>
      <c r="AA634" t="s">
        <v>1830</v>
      </c>
    </row>
    <row r="635" spans="1:27" ht="15" customHeight="1" x14ac:dyDescent="0.3">
      <c r="A635">
        <v>700</v>
      </c>
      <c r="B635">
        <v>140</v>
      </c>
      <c r="C635" t="s">
        <v>1357</v>
      </c>
      <c r="D635" t="s">
        <v>1358</v>
      </c>
      <c r="E635" t="s">
        <v>709</v>
      </c>
      <c r="F635">
        <v>2025</v>
      </c>
      <c r="G635">
        <v>1</v>
      </c>
      <c r="H635">
        <v>0</v>
      </c>
      <c r="I635">
        <v>5</v>
      </c>
      <c r="J635">
        <v>0</v>
      </c>
      <c r="K635">
        <v>13867000000</v>
      </c>
      <c r="L635">
        <v>1.7098</v>
      </c>
      <c r="M635">
        <v>23709796.600000001</v>
      </c>
      <c r="N635">
        <v>16270000</v>
      </c>
      <c r="O635">
        <v>35397000</v>
      </c>
      <c r="P635">
        <v>3733000</v>
      </c>
      <c r="Q635">
        <v>1.1294685029804801</v>
      </c>
      <c r="R635">
        <v>17.382137628750201</v>
      </c>
      <c r="S635">
        <v>0.45964347261067301</v>
      </c>
      <c r="T635">
        <v>0.105460914766788</v>
      </c>
      <c r="U635">
        <v>1973</v>
      </c>
      <c r="V635">
        <v>52</v>
      </c>
      <c r="Y635">
        <v>1</v>
      </c>
      <c r="Z635" t="s">
        <v>722</v>
      </c>
      <c r="AA635" t="s">
        <v>1831</v>
      </c>
    </row>
    <row r="636" spans="1:27" ht="15" customHeight="1" x14ac:dyDescent="0.3">
      <c r="A636">
        <v>703</v>
      </c>
      <c r="B636">
        <v>141</v>
      </c>
      <c r="C636" t="s">
        <v>1361</v>
      </c>
      <c r="D636" t="s">
        <v>1362</v>
      </c>
      <c r="E636" t="s">
        <v>1363</v>
      </c>
      <c r="F636">
        <v>2023</v>
      </c>
      <c r="G636">
        <v>1</v>
      </c>
      <c r="H636">
        <v>0</v>
      </c>
      <c r="I636">
        <v>0</v>
      </c>
      <c r="J636">
        <v>0</v>
      </c>
      <c r="K636">
        <v>5701000000</v>
      </c>
      <c r="L636">
        <v>6.7637</v>
      </c>
      <c r="M636">
        <v>38559853.700000003</v>
      </c>
      <c r="N636">
        <v>186747000</v>
      </c>
      <c r="O636">
        <v>219277000</v>
      </c>
      <c r="P636">
        <v>-2463000</v>
      </c>
      <c r="Q636">
        <v>1.0274987969554501</v>
      </c>
      <c r="R636">
        <v>19.205846328726899</v>
      </c>
      <c r="S636">
        <v>0.85164882773843098</v>
      </c>
      <c r="T636">
        <v>-1.12323681918304E-2</v>
      </c>
      <c r="U636">
        <v>2009</v>
      </c>
      <c r="V636">
        <v>14</v>
      </c>
      <c r="Y636">
        <v>1</v>
      </c>
      <c r="Z636" t="s">
        <v>711</v>
      </c>
      <c r="AA636" t="s">
        <v>1832</v>
      </c>
    </row>
    <row r="637" spans="1:27" ht="15" customHeight="1" x14ac:dyDescent="0.3">
      <c r="A637">
        <v>704</v>
      </c>
      <c r="B637">
        <v>141</v>
      </c>
      <c r="C637" t="s">
        <v>1361</v>
      </c>
      <c r="D637" t="s">
        <v>1362</v>
      </c>
      <c r="E637" t="s">
        <v>1363</v>
      </c>
      <c r="F637">
        <v>2024</v>
      </c>
      <c r="G637">
        <v>1</v>
      </c>
      <c r="H637">
        <v>0</v>
      </c>
      <c r="I637">
        <v>5</v>
      </c>
      <c r="J637">
        <v>0</v>
      </c>
      <c r="K637">
        <v>7601000000</v>
      </c>
      <c r="L637">
        <v>7.4002999999999997</v>
      </c>
      <c r="M637">
        <v>56249680.299999997</v>
      </c>
      <c r="N637">
        <v>237143000</v>
      </c>
      <c r="O637">
        <v>295669000</v>
      </c>
      <c r="P637">
        <v>6265000</v>
      </c>
      <c r="Q637">
        <v>0.99230112152440697</v>
      </c>
      <c r="R637">
        <v>19.504751143344599</v>
      </c>
      <c r="S637">
        <v>0.80205567712543402</v>
      </c>
      <c r="T637">
        <v>2.11892352596992E-2</v>
      </c>
      <c r="U637">
        <v>2009</v>
      </c>
      <c r="V637">
        <v>15</v>
      </c>
      <c r="Y637">
        <v>1</v>
      </c>
      <c r="Z637" t="s">
        <v>711</v>
      </c>
      <c r="AA637" t="s">
        <v>1833</v>
      </c>
    </row>
    <row r="638" spans="1:27" ht="15" customHeight="1" x14ac:dyDescent="0.3">
      <c r="A638">
        <v>705</v>
      </c>
      <c r="B638">
        <v>141</v>
      </c>
      <c r="C638" t="s">
        <v>1361</v>
      </c>
      <c r="D638" t="s">
        <v>1362</v>
      </c>
      <c r="E638" t="s">
        <v>1363</v>
      </c>
      <c r="F638">
        <v>2025</v>
      </c>
      <c r="G638">
        <v>1</v>
      </c>
      <c r="H638">
        <v>0</v>
      </c>
      <c r="I638">
        <v>5</v>
      </c>
      <c r="J638">
        <v>0</v>
      </c>
      <c r="K638">
        <v>7601000000</v>
      </c>
      <c r="L638">
        <v>10.9999</v>
      </c>
      <c r="M638">
        <v>83610239.900000006</v>
      </c>
      <c r="N638">
        <v>376185000</v>
      </c>
      <c r="O638">
        <v>445806000</v>
      </c>
      <c r="P638">
        <v>7246000</v>
      </c>
      <c r="Q638">
        <v>1.03137965819213</v>
      </c>
      <c r="R638">
        <v>19.915394437775699</v>
      </c>
      <c r="S638">
        <v>0.84383117320089895</v>
      </c>
      <c r="T638">
        <v>1.62537067693122E-2</v>
      </c>
      <c r="U638">
        <v>2009</v>
      </c>
      <c r="V638">
        <v>16</v>
      </c>
      <c r="Y638">
        <v>1</v>
      </c>
      <c r="Z638" t="s">
        <v>711</v>
      </c>
      <c r="AA638" t="s">
        <v>1834</v>
      </c>
    </row>
    <row r="639" spans="1:27" ht="15" customHeight="1" x14ac:dyDescent="0.3">
      <c r="A639">
        <v>706</v>
      </c>
      <c r="B639">
        <v>142</v>
      </c>
      <c r="C639" t="s">
        <v>1366</v>
      </c>
      <c r="D639" t="s">
        <v>1367</v>
      </c>
      <c r="E639" t="s">
        <v>806</v>
      </c>
      <c r="F639">
        <v>2021</v>
      </c>
      <c r="G639">
        <v>0</v>
      </c>
      <c r="H639">
        <v>0</v>
      </c>
      <c r="I639">
        <v>0</v>
      </c>
      <c r="J639">
        <v>0</v>
      </c>
      <c r="K639">
        <v>1501000000</v>
      </c>
      <c r="L639">
        <v>18.747499999999999</v>
      </c>
      <c r="M639">
        <v>28139997.5</v>
      </c>
      <c r="N639">
        <v>18854000</v>
      </c>
      <c r="O639">
        <v>31790000</v>
      </c>
      <c r="P639">
        <v>4237000</v>
      </c>
      <c r="Q639">
        <v>1.4782635262661199</v>
      </c>
      <c r="R639">
        <v>17.274662332887001</v>
      </c>
      <c r="S639">
        <v>0.59307958477508704</v>
      </c>
      <c r="T639">
        <v>0.13328090594526601</v>
      </c>
      <c r="U639">
        <v>1962</v>
      </c>
      <c r="V639">
        <v>59</v>
      </c>
      <c r="Y639">
        <v>1</v>
      </c>
      <c r="Z639" t="s">
        <v>711</v>
      </c>
      <c r="AA639" t="s">
        <v>1835</v>
      </c>
    </row>
    <row r="640" spans="1:27" ht="15" customHeight="1" x14ac:dyDescent="0.3">
      <c r="A640">
        <v>707</v>
      </c>
      <c r="B640">
        <v>142</v>
      </c>
      <c r="C640" t="s">
        <v>1366</v>
      </c>
      <c r="D640" t="s">
        <v>1367</v>
      </c>
      <c r="E640" t="s">
        <v>806</v>
      </c>
      <c r="F640">
        <v>2022</v>
      </c>
      <c r="G640">
        <v>0</v>
      </c>
      <c r="H640">
        <v>0</v>
      </c>
      <c r="I640">
        <v>0</v>
      </c>
      <c r="J640">
        <v>0</v>
      </c>
      <c r="K640">
        <v>1501000000</v>
      </c>
      <c r="L640">
        <v>17.042000000000002</v>
      </c>
      <c r="M640">
        <v>25580042</v>
      </c>
      <c r="N640">
        <v>23768000</v>
      </c>
      <c r="O640">
        <v>39437000</v>
      </c>
      <c r="P640">
        <v>4223000</v>
      </c>
      <c r="Q640">
        <v>1.25131328447904</v>
      </c>
      <c r="R640">
        <v>17.490215019896901</v>
      </c>
      <c r="S640">
        <v>0.60268275984481601</v>
      </c>
      <c r="T640">
        <v>0.107082181707534</v>
      </c>
      <c r="U640">
        <v>1962</v>
      </c>
      <c r="V640">
        <v>60</v>
      </c>
      <c r="Y640">
        <v>1</v>
      </c>
      <c r="Z640" t="s">
        <v>711</v>
      </c>
      <c r="AA640" t="s">
        <v>1836</v>
      </c>
    </row>
    <row r="641" spans="1:27" ht="15" customHeight="1" x14ac:dyDescent="0.3">
      <c r="A641">
        <v>708</v>
      </c>
      <c r="B641">
        <v>142</v>
      </c>
      <c r="C641" t="s">
        <v>1366</v>
      </c>
      <c r="D641" t="s">
        <v>1367</v>
      </c>
      <c r="E641" t="s">
        <v>806</v>
      </c>
      <c r="F641">
        <v>2023</v>
      </c>
      <c r="G641">
        <v>1</v>
      </c>
      <c r="H641">
        <v>0</v>
      </c>
      <c r="I641">
        <v>0</v>
      </c>
      <c r="J641">
        <v>0</v>
      </c>
      <c r="K641">
        <v>1501000000</v>
      </c>
      <c r="L641">
        <v>18.334399999999999</v>
      </c>
      <c r="M641">
        <v>27519934.399999999</v>
      </c>
      <c r="N641">
        <v>32255000</v>
      </c>
      <c r="O641">
        <v>49661000</v>
      </c>
      <c r="P641">
        <v>3939000</v>
      </c>
      <c r="Q641">
        <v>1.2036594994059699</v>
      </c>
      <c r="R641">
        <v>17.720730474772701</v>
      </c>
      <c r="S641">
        <v>0.64950363464287897</v>
      </c>
      <c r="T641">
        <v>7.9317774511185796E-2</v>
      </c>
      <c r="U641">
        <v>1962</v>
      </c>
      <c r="V641">
        <v>61</v>
      </c>
      <c r="Y641">
        <v>1</v>
      </c>
      <c r="Z641" t="s">
        <v>711</v>
      </c>
      <c r="AA641" t="s">
        <v>1837</v>
      </c>
    </row>
    <row r="642" spans="1:27" ht="15" customHeight="1" x14ac:dyDescent="0.3">
      <c r="A642">
        <v>709</v>
      </c>
      <c r="B642">
        <v>142</v>
      </c>
      <c r="C642" t="s">
        <v>1366</v>
      </c>
      <c r="D642" t="s">
        <v>1367</v>
      </c>
      <c r="E642" t="s">
        <v>806</v>
      </c>
      <c r="F642">
        <v>2024</v>
      </c>
      <c r="G642">
        <v>1</v>
      </c>
      <c r="H642">
        <v>0</v>
      </c>
      <c r="I642">
        <v>30</v>
      </c>
      <c r="J642">
        <v>0</v>
      </c>
      <c r="K642">
        <v>1501000000</v>
      </c>
      <c r="L642">
        <v>19.167200000000001</v>
      </c>
      <c r="M642">
        <v>28769967.199999999</v>
      </c>
      <c r="N642">
        <v>27181000</v>
      </c>
      <c r="O642">
        <v>52211000</v>
      </c>
      <c r="P642">
        <v>359700</v>
      </c>
      <c r="Q642">
        <v>1.0716317864051601</v>
      </c>
      <c r="R642">
        <v>17.770803758622201</v>
      </c>
      <c r="S642">
        <v>0.52059910746777505</v>
      </c>
      <c r="T642">
        <v>6.8893528183716097E-3</v>
      </c>
      <c r="U642">
        <v>1962</v>
      </c>
      <c r="V642">
        <v>62</v>
      </c>
      <c r="Y642">
        <v>1</v>
      </c>
      <c r="Z642" t="s">
        <v>711</v>
      </c>
      <c r="AA642" t="s">
        <v>1838</v>
      </c>
    </row>
    <row r="643" spans="1:27" ht="15" customHeight="1" x14ac:dyDescent="0.3">
      <c r="A643">
        <v>710</v>
      </c>
      <c r="B643">
        <v>142</v>
      </c>
      <c r="C643" t="s">
        <v>1366</v>
      </c>
      <c r="D643" t="s">
        <v>1367</v>
      </c>
      <c r="E643" t="s">
        <v>806</v>
      </c>
      <c r="F643">
        <v>2025</v>
      </c>
      <c r="G643">
        <v>1</v>
      </c>
      <c r="H643">
        <v>0</v>
      </c>
      <c r="I643">
        <v>0</v>
      </c>
      <c r="J643">
        <v>0</v>
      </c>
      <c r="K643">
        <v>1501000000</v>
      </c>
      <c r="L643">
        <v>76.668899999999994</v>
      </c>
      <c r="M643">
        <v>115080018.90000001</v>
      </c>
      <c r="N643">
        <v>29721000</v>
      </c>
      <c r="O643">
        <v>65275000</v>
      </c>
      <c r="P643">
        <v>13511000</v>
      </c>
      <c r="Q643">
        <v>2.21832277135197</v>
      </c>
      <c r="R643">
        <v>17.994119672549498</v>
      </c>
      <c r="S643">
        <v>0.455319800842589</v>
      </c>
      <c r="T643">
        <v>0.20698582918422101</v>
      </c>
      <c r="U643">
        <v>1962</v>
      </c>
      <c r="V643">
        <v>63</v>
      </c>
      <c r="Y643">
        <v>1</v>
      </c>
      <c r="Z643" t="s">
        <v>711</v>
      </c>
      <c r="AA643" t="s">
        <v>1839</v>
      </c>
    </row>
    <row r="644" spans="1:27" ht="15" customHeight="1" x14ac:dyDescent="0.3">
      <c r="A644">
        <v>711</v>
      </c>
      <c r="B644">
        <v>143</v>
      </c>
      <c r="C644" t="s">
        <v>1370</v>
      </c>
      <c r="D644" t="s">
        <v>1371</v>
      </c>
      <c r="E644" t="s">
        <v>709</v>
      </c>
      <c r="F644">
        <v>2021</v>
      </c>
      <c r="G644">
        <v>0</v>
      </c>
      <c r="H644">
        <v>0</v>
      </c>
      <c r="I644">
        <v>0</v>
      </c>
      <c r="J644">
        <v>0</v>
      </c>
      <c r="K644">
        <v>23992000000</v>
      </c>
      <c r="L644">
        <v>0.56020000000000003</v>
      </c>
      <c r="M644">
        <v>13440318.4</v>
      </c>
      <c r="N644">
        <v>18213000</v>
      </c>
      <c r="O644">
        <v>39802000</v>
      </c>
      <c r="P644">
        <v>-2583000</v>
      </c>
      <c r="Q644">
        <v>0.79526954424400798</v>
      </c>
      <c r="R644">
        <v>17.499427720248399</v>
      </c>
      <c r="S644">
        <v>0.45759007085071102</v>
      </c>
      <c r="T644">
        <v>-6.4896236370031696E-2</v>
      </c>
      <c r="U644">
        <v>1958</v>
      </c>
      <c r="V644">
        <v>63</v>
      </c>
      <c r="Y644">
        <v>1</v>
      </c>
      <c r="Z644" t="s">
        <v>722</v>
      </c>
      <c r="AA644" t="s">
        <v>1840</v>
      </c>
    </row>
    <row r="645" spans="1:27" ht="15" customHeight="1" x14ac:dyDescent="0.3">
      <c r="A645">
        <v>712</v>
      </c>
      <c r="B645">
        <v>143</v>
      </c>
      <c r="C645" t="s">
        <v>1370</v>
      </c>
      <c r="D645" t="s">
        <v>1371</v>
      </c>
      <c r="E645" t="s">
        <v>709</v>
      </c>
      <c r="F645">
        <v>2022</v>
      </c>
      <c r="G645">
        <v>0</v>
      </c>
      <c r="H645">
        <v>0</v>
      </c>
      <c r="I645">
        <v>0</v>
      </c>
      <c r="J645">
        <v>0</v>
      </c>
      <c r="K645">
        <v>23992000000</v>
      </c>
      <c r="L645">
        <v>0.40010000000000001</v>
      </c>
      <c r="M645">
        <v>9599199.1999999993</v>
      </c>
      <c r="N645">
        <v>17199000</v>
      </c>
      <c r="O645">
        <v>36765000</v>
      </c>
      <c r="P645">
        <v>-1968000</v>
      </c>
      <c r="Q645">
        <v>0.72890518699850404</v>
      </c>
      <c r="R645">
        <v>17.420056863612501</v>
      </c>
      <c r="S645">
        <v>0.46780905752753998</v>
      </c>
      <c r="T645">
        <v>-5.3529171766625902E-2</v>
      </c>
      <c r="U645">
        <v>1958</v>
      </c>
      <c r="V645">
        <v>64</v>
      </c>
      <c r="Y645">
        <v>1</v>
      </c>
      <c r="Z645" t="s">
        <v>722</v>
      </c>
      <c r="AA645" t="s">
        <v>1841</v>
      </c>
    </row>
    <row r="646" spans="1:27" ht="15" customHeight="1" x14ac:dyDescent="0.3">
      <c r="A646">
        <v>713</v>
      </c>
      <c r="B646">
        <v>143</v>
      </c>
      <c r="C646" t="s">
        <v>1370</v>
      </c>
      <c r="D646" t="s">
        <v>1371</v>
      </c>
      <c r="E646" t="s">
        <v>709</v>
      </c>
      <c r="F646">
        <v>2023</v>
      </c>
      <c r="G646">
        <v>1</v>
      </c>
      <c r="H646">
        <v>0</v>
      </c>
      <c r="I646">
        <v>5</v>
      </c>
      <c r="J646">
        <v>0</v>
      </c>
      <c r="K646">
        <v>23992000000</v>
      </c>
      <c r="L646">
        <v>0.67979999999999996</v>
      </c>
      <c r="M646">
        <v>16309761.6</v>
      </c>
      <c r="N646">
        <v>23627000</v>
      </c>
      <c r="O646">
        <v>48014000</v>
      </c>
      <c r="P646">
        <v>1819000</v>
      </c>
      <c r="Q646">
        <v>0.83177326613071201</v>
      </c>
      <c r="R646">
        <v>17.687003193012401</v>
      </c>
      <c r="S646">
        <v>0.49208564168784102</v>
      </c>
      <c r="T646">
        <v>3.7884783604781903E-2</v>
      </c>
      <c r="U646">
        <v>1958</v>
      </c>
      <c r="V646">
        <v>65</v>
      </c>
      <c r="Y646">
        <v>1</v>
      </c>
      <c r="Z646" t="s">
        <v>722</v>
      </c>
      <c r="AA646" t="s">
        <v>1842</v>
      </c>
    </row>
    <row r="647" spans="1:27" ht="15" customHeight="1" x14ac:dyDescent="0.3">
      <c r="A647">
        <v>714</v>
      </c>
      <c r="B647">
        <v>143</v>
      </c>
      <c r="C647" t="s">
        <v>1370</v>
      </c>
      <c r="D647" t="s">
        <v>1371</v>
      </c>
      <c r="E647" t="s">
        <v>709</v>
      </c>
      <c r="F647">
        <v>2024</v>
      </c>
      <c r="G647">
        <v>1</v>
      </c>
      <c r="H647">
        <v>0</v>
      </c>
      <c r="I647">
        <v>5</v>
      </c>
      <c r="J647">
        <v>0</v>
      </c>
      <c r="K647">
        <v>23992000000</v>
      </c>
      <c r="L647">
        <v>2.2498999999999998</v>
      </c>
      <c r="M647">
        <v>53979600.799999997</v>
      </c>
      <c r="N647">
        <v>37039000</v>
      </c>
      <c r="O647">
        <v>76798000</v>
      </c>
      <c r="P647">
        <v>11911000</v>
      </c>
      <c r="Q647">
        <v>1.1851688950233099</v>
      </c>
      <c r="R647">
        <v>18.156689156112101</v>
      </c>
      <c r="S647">
        <v>0.48229120550014298</v>
      </c>
      <c r="T647">
        <v>0.15509518477043699</v>
      </c>
      <c r="U647">
        <v>1958</v>
      </c>
      <c r="V647">
        <v>66</v>
      </c>
      <c r="Y647">
        <v>1</v>
      </c>
      <c r="Z647" t="s">
        <v>722</v>
      </c>
      <c r="AA647" t="s">
        <v>1843</v>
      </c>
    </row>
    <row r="648" spans="1:27" ht="15" customHeight="1" x14ac:dyDescent="0.3">
      <c r="A648">
        <v>715</v>
      </c>
      <c r="B648">
        <v>143</v>
      </c>
      <c r="C648" t="s">
        <v>1370</v>
      </c>
      <c r="D648" t="s">
        <v>1371</v>
      </c>
      <c r="E648" t="s">
        <v>709</v>
      </c>
      <c r="F648">
        <v>2025</v>
      </c>
      <c r="G648">
        <v>1</v>
      </c>
      <c r="H648">
        <v>0</v>
      </c>
      <c r="I648">
        <v>0</v>
      </c>
      <c r="J648">
        <v>0</v>
      </c>
      <c r="K648">
        <v>23992000000</v>
      </c>
      <c r="L648">
        <v>3.2498</v>
      </c>
      <c r="M648">
        <v>77969201.599999994</v>
      </c>
      <c r="N648">
        <v>49608000</v>
      </c>
      <c r="O648">
        <v>98100000</v>
      </c>
      <c r="P648">
        <v>7515000</v>
      </c>
      <c r="Q648">
        <v>1.3004811580020399</v>
      </c>
      <c r="R648">
        <v>18.401497924535601</v>
      </c>
      <c r="S648">
        <v>0.50568807339449495</v>
      </c>
      <c r="T648">
        <v>7.6605504587155995E-2</v>
      </c>
      <c r="U648">
        <v>1958</v>
      </c>
      <c r="V648">
        <v>67</v>
      </c>
      <c r="Y648">
        <v>1</v>
      </c>
      <c r="Z648" t="s">
        <v>722</v>
      </c>
      <c r="AA648" t="s">
        <v>1844</v>
      </c>
    </row>
    <row r="649" spans="1:27" ht="15" customHeight="1" x14ac:dyDescent="0.3">
      <c r="A649">
        <v>716</v>
      </c>
      <c r="B649">
        <v>144</v>
      </c>
      <c r="C649" t="s">
        <v>1374</v>
      </c>
      <c r="D649" t="s">
        <v>1375</v>
      </c>
      <c r="E649" t="s">
        <v>709</v>
      </c>
      <c r="F649">
        <v>2021</v>
      </c>
      <c r="G649">
        <v>0</v>
      </c>
      <c r="H649">
        <v>0</v>
      </c>
      <c r="I649">
        <v>0</v>
      </c>
      <c r="J649">
        <v>0</v>
      </c>
      <c r="K649">
        <v>12858000000</v>
      </c>
      <c r="L649">
        <v>2.1597</v>
      </c>
      <c r="M649">
        <v>27769422.600000001</v>
      </c>
      <c r="N649">
        <v>1105344000</v>
      </c>
      <c r="O649">
        <v>1175490000</v>
      </c>
      <c r="P649">
        <v>8927000</v>
      </c>
      <c r="Q649">
        <v>0.96394986141949301</v>
      </c>
      <c r="R649">
        <v>20.884950918889899</v>
      </c>
      <c r="S649">
        <v>0.94032616185590701</v>
      </c>
      <c r="T649">
        <v>7.5942798322401698E-3</v>
      </c>
      <c r="U649">
        <v>1945</v>
      </c>
      <c r="V649">
        <v>76</v>
      </c>
      <c r="Y649">
        <v>1</v>
      </c>
      <c r="Z649" t="s">
        <v>727</v>
      </c>
      <c r="AA649" t="s">
        <v>1845</v>
      </c>
    </row>
    <row r="650" spans="1:27" ht="15" customHeight="1" x14ac:dyDescent="0.3">
      <c r="A650">
        <v>717</v>
      </c>
      <c r="B650">
        <v>144</v>
      </c>
      <c r="C650" t="s">
        <v>1374</v>
      </c>
      <c r="D650" t="s">
        <v>1375</v>
      </c>
      <c r="E650" t="s">
        <v>709</v>
      </c>
      <c r="F650">
        <v>2022</v>
      </c>
      <c r="G650">
        <v>0</v>
      </c>
      <c r="H650">
        <v>0</v>
      </c>
      <c r="I650">
        <v>0</v>
      </c>
      <c r="J650">
        <v>0</v>
      </c>
      <c r="K650">
        <v>12858000000</v>
      </c>
      <c r="L650">
        <v>3.9003000000000001</v>
      </c>
      <c r="M650">
        <v>50150057.399999999</v>
      </c>
      <c r="N650">
        <v>1359322000</v>
      </c>
      <c r="O650">
        <v>1441865000</v>
      </c>
      <c r="P650">
        <v>11352000</v>
      </c>
      <c r="Q650">
        <v>0.97753399756565296</v>
      </c>
      <c r="R650">
        <v>21.0892032514543</v>
      </c>
      <c r="S650">
        <v>0.94275261553612899</v>
      </c>
      <c r="T650">
        <v>7.8731365280383398E-3</v>
      </c>
      <c r="U650">
        <v>1945</v>
      </c>
      <c r="V650">
        <v>77</v>
      </c>
      <c r="Y650">
        <v>1</v>
      </c>
      <c r="Z650" t="s">
        <v>727</v>
      </c>
      <c r="AA650" t="s">
        <v>1846</v>
      </c>
    </row>
    <row r="651" spans="1:27" ht="15" customHeight="1" x14ac:dyDescent="0.3">
      <c r="A651">
        <v>718</v>
      </c>
      <c r="B651">
        <v>144</v>
      </c>
      <c r="C651" t="s">
        <v>1374</v>
      </c>
      <c r="D651" t="s">
        <v>1375</v>
      </c>
      <c r="E651" t="s">
        <v>709</v>
      </c>
      <c r="F651">
        <v>2023</v>
      </c>
      <c r="G651">
        <v>1</v>
      </c>
      <c r="H651">
        <v>0</v>
      </c>
      <c r="I651">
        <v>0</v>
      </c>
      <c r="J651">
        <v>0</v>
      </c>
      <c r="K651">
        <v>12858000000</v>
      </c>
      <c r="L651">
        <v>5.6003999999999996</v>
      </c>
      <c r="M651">
        <v>72009943.200000003</v>
      </c>
      <c r="N651">
        <v>2108941000</v>
      </c>
      <c r="O651">
        <v>2248240000</v>
      </c>
      <c r="P651">
        <v>35989000</v>
      </c>
      <c r="Q651">
        <v>0.97007034088887301</v>
      </c>
      <c r="R651">
        <v>21.533413524845098</v>
      </c>
      <c r="S651">
        <v>0.93804086752303995</v>
      </c>
      <c r="T651">
        <v>1.6007632637085E-2</v>
      </c>
      <c r="U651">
        <v>1945</v>
      </c>
      <c r="V651">
        <v>78</v>
      </c>
      <c r="Y651">
        <v>1</v>
      </c>
      <c r="Z651" t="s">
        <v>727</v>
      </c>
      <c r="AA651" t="s">
        <v>1847</v>
      </c>
    </row>
    <row r="652" spans="1:27" ht="15" customHeight="1" x14ac:dyDescent="0.3">
      <c r="A652">
        <v>719</v>
      </c>
      <c r="B652">
        <v>144</v>
      </c>
      <c r="C652" t="s">
        <v>1374</v>
      </c>
      <c r="D652" t="s">
        <v>1375</v>
      </c>
      <c r="E652" t="s">
        <v>709</v>
      </c>
      <c r="F652">
        <v>2024</v>
      </c>
      <c r="G652">
        <v>1</v>
      </c>
      <c r="H652">
        <v>0</v>
      </c>
      <c r="I652">
        <v>0</v>
      </c>
      <c r="J652">
        <v>0</v>
      </c>
      <c r="K652">
        <v>21430000000</v>
      </c>
      <c r="L652">
        <v>9.0998999999999999</v>
      </c>
      <c r="M652">
        <v>195010857</v>
      </c>
      <c r="N652">
        <v>3336807000</v>
      </c>
      <c r="O652">
        <v>3593228000</v>
      </c>
      <c r="P652">
        <v>86280000</v>
      </c>
      <c r="Q652">
        <v>0.98290947777318904</v>
      </c>
      <c r="R652">
        <v>22.002316799785898</v>
      </c>
      <c r="S652">
        <v>0.92863770403659296</v>
      </c>
      <c r="T652">
        <v>2.4011835597407102E-2</v>
      </c>
      <c r="U652">
        <v>1945</v>
      </c>
      <c r="V652">
        <v>79</v>
      </c>
      <c r="Y652">
        <v>1</v>
      </c>
      <c r="Z652" t="s">
        <v>727</v>
      </c>
      <c r="AA652" t="s">
        <v>1848</v>
      </c>
    </row>
    <row r="653" spans="1:27" ht="15" customHeight="1" x14ac:dyDescent="0.3">
      <c r="A653">
        <v>720</v>
      </c>
      <c r="B653">
        <v>144</v>
      </c>
      <c r="C653" t="s">
        <v>1374</v>
      </c>
      <c r="D653" t="s">
        <v>1375</v>
      </c>
      <c r="E653" t="s">
        <v>709</v>
      </c>
      <c r="F653">
        <v>2025</v>
      </c>
      <c r="G653">
        <v>1</v>
      </c>
      <c r="H653">
        <v>1</v>
      </c>
      <c r="I653">
        <v>60</v>
      </c>
      <c r="J653">
        <v>13.3333333333333</v>
      </c>
      <c r="K653">
        <v>40119000000</v>
      </c>
      <c r="L653">
        <v>20.400099999999998</v>
      </c>
      <c r="M653">
        <v>818431611.89999998</v>
      </c>
      <c r="N653">
        <v>4451847000</v>
      </c>
      <c r="O653">
        <v>5072310000</v>
      </c>
      <c r="P653">
        <v>194476000</v>
      </c>
      <c r="Q653">
        <v>1.03902928091934</v>
      </c>
      <c r="R653">
        <v>22.347062172087401</v>
      </c>
      <c r="S653">
        <v>0.87767644327732297</v>
      </c>
      <c r="T653">
        <v>3.8340716557150503E-2</v>
      </c>
      <c r="U653">
        <v>1945</v>
      </c>
      <c r="V653">
        <v>80</v>
      </c>
      <c r="Y653">
        <v>1</v>
      </c>
      <c r="Z653" t="s">
        <v>727</v>
      </c>
      <c r="AA653" t="s">
        <v>1849</v>
      </c>
    </row>
    <row r="654" spans="1:27" ht="15" customHeight="1" x14ac:dyDescent="0.3">
      <c r="A654">
        <v>721</v>
      </c>
      <c r="B654">
        <v>145</v>
      </c>
      <c r="C654" t="s">
        <v>1377</v>
      </c>
      <c r="D654" t="s">
        <v>1378</v>
      </c>
      <c r="E654" t="s">
        <v>709</v>
      </c>
      <c r="F654">
        <v>2021</v>
      </c>
      <c r="G654">
        <v>0</v>
      </c>
      <c r="H654">
        <v>0</v>
      </c>
      <c r="I654">
        <v>0</v>
      </c>
      <c r="J654">
        <v>0</v>
      </c>
      <c r="K654">
        <v>31396000000</v>
      </c>
      <c r="L654">
        <v>25.150300000000001</v>
      </c>
      <c r="M654">
        <v>789618818.79999995</v>
      </c>
      <c r="N654">
        <v>8168181000</v>
      </c>
      <c r="O654">
        <v>9447843000</v>
      </c>
      <c r="P654">
        <v>244402000</v>
      </c>
      <c r="Q654">
        <v>0.94813173957272601</v>
      </c>
      <c r="R654">
        <v>22.969052298429901</v>
      </c>
      <c r="S654">
        <v>0.864555115913759</v>
      </c>
      <c r="T654">
        <v>2.5868550101859199E-2</v>
      </c>
      <c r="U654">
        <v>1990</v>
      </c>
      <c r="V654">
        <v>31</v>
      </c>
      <c r="Y654">
        <v>0</v>
      </c>
      <c r="Z654" t="s">
        <v>1309</v>
      </c>
      <c r="AA654" t="s">
        <v>1850</v>
      </c>
    </row>
    <row r="655" spans="1:27" ht="15" customHeight="1" x14ac:dyDescent="0.3">
      <c r="A655">
        <v>722</v>
      </c>
      <c r="B655">
        <v>145</v>
      </c>
      <c r="C655" t="s">
        <v>1377</v>
      </c>
      <c r="D655" t="s">
        <v>1378</v>
      </c>
      <c r="E655" t="s">
        <v>709</v>
      </c>
      <c r="F655">
        <v>2022</v>
      </c>
      <c r="G655">
        <v>0</v>
      </c>
      <c r="H655">
        <v>0</v>
      </c>
      <c r="I655">
        <v>0</v>
      </c>
      <c r="J655">
        <v>0</v>
      </c>
      <c r="K655">
        <v>31396000000</v>
      </c>
      <c r="L655">
        <v>24.000499999999999</v>
      </c>
      <c r="M655">
        <v>753519698</v>
      </c>
      <c r="N655">
        <v>10906689000</v>
      </c>
      <c r="O655">
        <v>12285629000</v>
      </c>
      <c r="P655">
        <v>224050000</v>
      </c>
      <c r="Q655">
        <v>0.94909334296192704</v>
      </c>
      <c r="R655">
        <v>23.231696042260001</v>
      </c>
      <c r="S655">
        <v>0.88775991851943403</v>
      </c>
      <c r="T655">
        <v>1.8236754503981802E-2</v>
      </c>
      <c r="U655">
        <v>1990</v>
      </c>
      <c r="V655">
        <v>32</v>
      </c>
      <c r="Y655">
        <v>0</v>
      </c>
      <c r="Z655" t="s">
        <v>1309</v>
      </c>
      <c r="AA655" t="s">
        <v>1851</v>
      </c>
    </row>
    <row r="656" spans="1:27" ht="15" customHeight="1" x14ac:dyDescent="0.3">
      <c r="A656">
        <v>723</v>
      </c>
      <c r="B656">
        <v>145</v>
      </c>
      <c r="C656" t="s">
        <v>1377</v>
      </c>
      <c r="D656" t="s">
        <v>1378</v>
      </c>
      <c r="E656" t="s">
        <v>709</v>
      </c>
      <c r="F656">
        <v>2023</v>
      </c>
      <c r="G656">
        <v>1</v>
      </c>
      <c r="H656">
        <v>0</v>
      </c>
      <c r="I656">
        <v>0</v>
      </c>
      <c r="J656">
        <v>0</v>
      </c>
      <c r="K656">
        <v>31396000000</v>
      </c>
      <c r="L656">
        <v>38.539900000000003</v>
      </c>
      <c r="M656">
        <v>1209998700.4000001</v>
      </c>
      <c r="N656">
        <v>18045075000</v>
      </c>
      <c r="O656">
        <v>20368455000</v>
      </c>
      <c r="P656">
        <v>676569000</v>
      </c>
      <c r="Q656">
        <v>0.94533796011528604</v>
      </c>
      <c r="R656">
        <v>23.737253217475001</v>
      </c>
      <c r="S656">
        <v>0.88593243817461897</v>
      </c>
      <c r="T656">
        <v>3.3216510530622002E-2</v>
      </c>
      <c r="U656">
        <v>1990</v>
      </c>
      <c r="V656">
        <v>33</v>
      </c>
      <c r="Y656">
        <v>0</v>
      </c>
      <c r="Z656" t="s">
        <v>1309</v>
      </c>
      <c r="AA656" t="s">
        <v>1852</v>
      </c>
    </row>
    <row r="657" spans="1:27" ht="15" customHeight="1" x14ac:dyDescent="0.3">
      <c r="A657">
        <v>724</v>
      </c>
      <c r="B657">
        <v>145</v>
      </c>
      <c r="C657" t="s">
        <v>1377</v>
      </c>
      <c r="D657" t="s">
        <v>1378</v>
      </c>
      <c r="E657" t="s">
        <v>709</v>
      </c>
      <c r="F657">
        <v>2024</v>
      </c>
      <c r="G657">
        <v>1</v>
      </c>
      <c r="H657">
        <v>0</v>
      </c>
      <c r="I657">
        <v>5</v>
      </c>
      <c r="J657">
        <v>0</v>
      </c>
      <c r="K657">
        <v>31396000000</v>
      </c>
      <c r="L657">
        <v>45.547199999999997</v>
      </c>
      <c r="M657">
        <v>1429999891.2</v>
      </c>
      <c r="N657">
        <v>25928252000</v>
      </c>
      <c r="O657">
        <v>29957525000</v>
      </c>
      <c r="P657">
        <v>1032711000</v>
      </c>
      <c r="Q657">
        <v>0.913234717861372</v>
      </c>
      <c r="R657">
        <v>24.1230463820362</v>
      </c>
      <c r="S657">
        <v>0.86550047108364303</v>
      </c>
      <c r="T657">
        <v>3.4472507324954299E-2</v>
      </c>
      <c r="U657">
        <v>1990</v>
      </c>
      <c r="V657">
        <v>34</v>
      </c>
      <c r="Y657">
        <v>0</v>
      </c>
      <c r="Z657" t="s">
        <v>1309</v>
      </c>
      <c r="AA657" t="s">
        <v>1853</v>
      </c>
    </row>
    <row r="658" spans="1:27" ht="15" customHeight="1" x14ac:dyDescent="0.3">
      <c r="A658">
        <v>725</v>
      </c>
      <c r="B658">
        <v>145</v>
      </c>
      <c r="C658" t="s">
        <v>1377</v>
      </c>
      <c r="D658" t="s">
        <v>1378</v>
      </c>
      <c r="E658" t="s">
        <v>709</v>
      </c>
      <c r="F658">
        <v>2025</v>
      </c>
      <c r="G658">
        <v>1</v>
      </c>
      <c r="H658">
        <v>1</v>
      </c>
      <c r="I658">
        <v>85</v>
      </c>
      <c r="J658">
        <v>66.6666666666667</v>
      </c>
      <c r="K658">
        <v>41070000000</v>
      </c>
      <c r="L658">
        <v>61.845599999999997</v>
      </c>
      <c r="M658">
        <v>2539998792</v>
      </c>
      <c r="N658">
        <v>26533845000</v>
      </c>
      <c r="O658">
        <v>31458051000</v>
      </c>
      <c r="P658">
        <v>1039747000</v>
      </c>
      <c r="Q658">
        <v>0.92420995159553898</v>
      </c>
      <c r="R658">
        <v>24.171920780972801</v>
      </c>
      <c r="S658">
        <v>0.84346754349149</v>
      </c>
      <c r="T658">
        <v>3.3051856899844197E-2</v>
      </c>
      <c r="U658">
        <v>1990</v>
      </c>
      <c r="V658">
        <v>35</v>
      </c>
      <c r="Y658">
        <v>0</v>
      </c>
      <c r="Z658" t="s">
        <v>1309</v>
      </c>
      <c r="AA658" t="s">
        <v>1854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12"/>
  <sheetViews>
    <sheetView zoomScaleNormal="100" workbookViewId="0">
      <pane ySplit="1" topLeftCell="A2" activePane="bottomLeft" state="frozen"/>
      <selection pane="bottomLeft" activeCell="C2" sqref="C2"/>
    </sheetView>
  </sheetViews>
  <sheetFormatPr defaultColWidth="8.6640625" defaultRowHeight="14.4" x14ac:dyDescent="0.3"/>
  <cols>
    <col min="1" max="1" width="6" customWidth="1"/>
    <col min="2" max="2" width="8" customWidth="1"/>
    <col min="3" max="3" width="12" customWidth="1"/>
    <col min="4" max="4" width="32" customWidth="1"/>
    <col min="5" max="5" width="18" customWidth="1"/>
    <col min="6" max="6" width="7" customWidth="1"/>
    <col min="7" max="7" width="11" customWidth="1"/>
    <col min="8" max="10" width="13" customWidth="1"/>
    <col min="11" max="11" width="16" customWidth="1"/>
    <col min="12" max="12" width="14" customWidth="1"/>
    <col min="13" max="13" width="16" customWidth="1"/>
    <col min="14" max="14" width="15" customWidth="1"/>
    <col min="15" max="15" width="13" customWidth="1"/>
    <col min="16" max="16" width="14" customWidth="1"/>
    <col min="17" max="17" width="10" customWidth="1"/>
    <col min="18" max="18" width="12" customWidth="1"/>
    <col min="19" max="19" width="10" customWidth="1"/>
    <col min="20" max="20" width="9" customWidth="1"/>
    <col min="21" max="21" width="12" customWidth="1"/>
    <col min="22" max="23" width="9" customWidth="1"/>
    <col min="24" max="24" width="26" customWidth="1"/>
    <col min="25" max="25" width="60" customWidth="1"/>
    <col min="26" max="26" width="16" customWidth="1"/>
  </cols>
  <sheetData>
    <row r="1" spans="1:26" ht="34.5" customHeight="1" x14ac:dyDescent="0.3">
      <c r="A1" s="4" t="s">
        <v>130</v>
      </c>
      <c r="B1" s="4" t="s">
        <v>131</v>
      </c>
      <c r="C1" s="4" t="s">
        <v>132</v>
      </c>
      <c r="D1" s="4" t="s">
        <v>133</v>
      </c>
      <c r="E1" s="4" t="s">
        <v>134</v>
      </c>
      <c r="F1" s="4" t="s">
        <v>135</v>
      </c>
      <c r="G1" s="4" t="s">
        <v>1386</v>
      </c>
      <c r="H1" s="4" t="s">
        <v>2144</v>
      </c>
      <c r="I1" s="4" t="s">
        <v>137</v>
      </c>
      <c r="J1" s="4" t="s">
        <v>139</v>
      </c>
      <c r="K1" s="4" t="s">
        <v>1388</v>
      </c>
      <c r="L1" s="4" t="s">
        <v>1389</v>
      </c>
      <c r="M1" s="4" t="s">
        <v>1390</v>
      </c>
      <c r="N1" s="4" t="s">
        <v>1391</v>
      </c>
      <c r="O1" s="4" t="s">
        <v>1392</v>
      </c>
      <c r="P1" s="4" t="s">
        <v>1393</v>
      </c>
      <c r="Q1" s="4" t="s">
        <v>1394</v>
      </c>
      <c r="R1" s="4" t="s">
        <v>1395</v>
      </c>
      <c r="S1" s="4" t="s">
        <v>1396</v>
      </c>
      <c r="T1" s="4" t="s">
        <v>1397</v>
      </c>
      <c r="U1" s="4" t="s">
        <v>700</v>
      </c>
      <c r="V1" s="4" t="s">
        <v>1398</v>
      </c>
      <c r="W1" s="4" t="s">
        <v>1401</v>
      </c>
      <c r="X1" s="4" t="s">
        <v>1402</v>
      </c>
      <c r="Y1" s="4" t="s">
        <v>1403</v>
      </c>
      <c r="Z1" s="4" t="s">
        <v>704</v>
      </c>
    </row>
    <row r="2" spans="1:26" ht="15" customHeight="1" x14ac:dyDescent="0.3">
      <c r="A2">
        <v>1</v>
      </c>
      <c r="B2">
        <v>1</v>
      </c>
      <c r="C2" t="s">
        <v>707</v>
      </c>
      <c r="D2" t="s">
        <v>708</v>
      </c>
      <c r="E2" t="s">
        <v>709</v>
      </c>
      <c r="F2">
        <v>2021</v>
      </c>
      <c r="G2">
        <v>0</v>
      </c>
      <c r="H2">
        <v>0</v>
      </c>
      <c r="I2">
        <v>5</v>
      </c>
      <c r="J2">
        <v>0</v>
      </c>
      <c r="K2">
        <v>10153846154</v>
      </c>
      <c r="L2">
        <v>0.66180000000000005</v>
      </c>
      <c r="M2">
        <v>6719815.3847172</v>
      </c>
      <c r="N2">
        <v>27528179</v>
      </c>
      <c r="O2">
        <v>34460435</v>
      </c>
      <c r="P2">
        <v>622198</v>
      </c>
      <c r="Q2">
        <v>0.99383523117793504</v>
      </c>
      <c r="R2">
        <v>17.3553224123158</v>
      </c>
      <c r="S2">
        <v>0.79883434437203105</v>
      </c>
      <c r="T2">
        <v>1.80554308150782E-2</v>
      </c>
      <c r="U2">
        <v>1991</v>
      </c>
      <c r="V2">
        <v>30</v>
      </c>
      <c r="W2">
        <v>1</v>
      </c>
      <c r="X2" t="s">
        <v>711</v>
      </c>
      <c r="Y2" t="s">
        <v>1404</v>
      </c>
      <c r="Z2" t="s">
        <v>2141</v>
      </c>
    </row>
    <row r="3" spans="1:26" ht="15" customHeight="1" x14ac:dyDescent="0.3">
      <c r="A3">
        <v>2</v>
      </c>
      <c r="B3">
        <v>1</v>
      </c>
      <c r="C3" t="s">
        <v>707</v>
      </c>
      <c r="D3" t="s">
        <v>708</v>
      </c>
      <c r="E3" t="s">
        <v>709</v>
      </c>
      <c r="F3">
        <v>2022</v>
      </c>
      <c r="G3">
        <v>0</v>
      </c>
      <c r="H3">
        <v>0</v>
      </c>
      <c r="I3">
        <v>0</v>
      </c>
      <c r="J3">
        <v>0</v>
      </c>
      <c r="K3">
        <v>10153846154</v>
      </c>
      <c r="L3">
        <v>1.6998</v>
      </c>
      <c r="M3">
        <v>17259507.6925692</v>
      </c>
      <c r="N3">
        <v>32159818</v>
      </c>
      <c r="O3">
        <v>39858233</v>
      </c>
      <c r="P3">
        <v>766160</v>
      </c>
      <c r="Q3">
        <v>1.2398774850999801</v>
      </c>
      <c r="R3">
        <v>17.500839541610802</v>
      </c>
      <c r="S3">
        <v>0.80685508562308805</v>
      </c>
      <c r="T3">
        <v>1.9222126580473401E-2</v>
      </c>
      <c r="U3">
        <v>1991</v>
      </c>
      <c r="V3">
        <v>31</v>
      </c>
      <c r="W3">
        <v>1</v>
      </c>
      <c r="X3" t="s">
        <v>711</v>
      </c>
      <c r="Y3" t="s">
        <v>1405</v>
      </c>
      <c r="Z3" t="s">
        <v>2141</v>
      </c>
    </row>
    <row r="4" spans="1:26" ht="15" customHeight="1" x14ac:dyDescent="0.3">
      <c r="A4">
        <v>3</v>
      </c>
      <c r="B4">
        <v>1</v>
      </c>
      <c r="C4" t="s">
        <v>707</v>
      </c>
      <c r="D4" t="s">
        <v>708</v>
      </c>
      <c r="E4" t="s">
        <v>709</v>
      </c>
      <c r="F4">
        <v>2023</v>
      </c>
      <c r="G4">
        <v>1</v>
      </c>
      <c r="H4">
        <v>0</v>
      </c>
      <c r="I4">
        <v>10</v>
      </c>
      <c r="J4">
        <v>0</v>
      </c>
      <c r="K4">
        <v>10153846154</v>
      </c>
      <c r="L4">
        <v>2.2198000000000002</v>
      </c>
      <c r="M4">
        <v>22539507.692649201</v>
      </c>
      <c r="N4">
        <v>48972544</v>
      </c>
      <c r="O4">
        <v>57552242</v>
      </c>
      <c r="P4">
        <v>871284</v>
      </c>
      <c r="Q4">
        <v>1.24255892051346</v>
      </c>
      <c r="R4">
        <v>17.8682036498017</v>
      </c>
      <c r="S4">
        <v>0.85092330547261696</v>
      </c>
      <c r="T4">
        <v>1.51390105706047E-2</v>
      </c>
      <c r="U4">
        <v>1991</v>
      </c>
      <c r="V4">
        <v>32</v>
      </c>
      <c r="W4">
        <v>1</v>
      </c>
      <c r="X4" t="s">
        <v>711</v>
      </c>
      <c r="Y4" t="s">
        <v>1406</v>
      </c>
      <c r="Z4" t="s">
        <v>2141</v>
      </c>
    </row>
    <row r="5" spans="1:26" ht="15" customHeight="1" x14ac:dyDescent="0.3">
      <c r="A5">
        <v>4</v>
      </c>
      <c r="B5">
        <v>1</v>
      </c>
      <c r="C5" t="s">
        <v>707</v>
      </c>
      <c r="D5" t="s">
        <v>708</v>
      </c>
      <c r="E5" t="s">
        <v>709</v>
      </c>
      <c r="F5">
        <v>2024</v>
      </c>
      <c r="G5">
        <v>1</v>
      </c>
      <c r="H5">
        <v>0</v>
      </c>
      <c r="I5">
        <v>10</v>
      </c>
      <c r="J5">
        <v>0</v>
      </c>
      <c r="K5">
        <v>10153846154</v>
      </c>
      <c r="L5">
        <v>3</v>
      </c>
      <c r="M5">
        <v>30461538.462000001</v>
      </c>
      <c r="N5">
        <v>75019725</v>
      </c>
      <c r="O5">
        <v>84251461</v>
      </c>
      <c r="P5">
        <v>1068195</v>
      </c>
      <c r="Q5">
        <v>1.25198141622731</v>
      </c>
      <c r="R5">
        <v>18.249316468292701</v>
      </c>
      <c r="S5">
        <v>0.89042639865912798</v>
      </c>
      <c r="T5">
        <v>1.26786525399245E-2</v>
      </c>
      <c r="U5">
        <v>1991</v>
      </c>
      <c r="V5">
        <v>33</v>
      </c>
      <c r="W5">
        <v>1</v>
      </c>
      <c r="X5" t="s">
        <v>711</v>
      </c>
      <c r="Y5" t="s">
        <v>1407</v>
      </c>
      <c r="Z5" t="s">
        <v>2141</v>
      </c>
    </row>
    <row r="6" spans="1:26" ht="15" customHeight="1" x14ac:dyDescent="0.3">
      <c r="A6">
        <v>5</v>
      </c>
      <c r="B6">
        <v>1</v>
      </c>
      <c r="C6" t="s">
        <v>707</v>
      </c>
      <c r="D6" t="s">
        <v>708</v>
      </c>
      <c r="E6" t="s">
        <v>709</v>
      </c>
      <c r="F6">
        <v>2025</v>
      </c>
      <c r="G6">
        <v>1</v>
      </c>
      <c r="H6">
        <v>0</v>
      </c>
      <c r="I6">
        <v>0</v>
      </c>
      <c r="J6">
        <v>0</v>
      </c>
      <c r="K6">
        <v>10153846154</v>
      </c>
      <c r="L6">
        <v>6.4</v>
      </c>
      <c r="M6">
        <v>64984615.385600001</v>
      </c>
      <c r="N6">
        <v>154067848</v>
      </c>
      <c r="O6">
        <v>165570637</v>
      </c>
      <c r="P6">
        <v>2880283</v>
      </c>
      <c r="Q6">
        <v>1.32301516352564</v>
      </c>
      <c r="R6">
        <v>18.924908471391699</v>
      </c>
      <c r="S6">
        <v>0.93052639520859004</v>
      </c>
      <c r="T6">
        <v>1.7396097835874098E-2</v>
      </c>
      <c r="U6">
        <v>1991</v>
      </c>
      <c r="V6">
        <v>34</v>
      </c>
      <c r="W6">
        <v>1</v>
      </c>
      <c r="X6" t="s">
        <v>711</v>
      </c>
      <c r="Y6" t="s">
        <v>1408</v>
      </c>
      <c r="Z6" t="s">
        <v>2141</v>
      </c>
    </row>
    <row r="7" spans="1:26" ht="15" customHeight="1" x14ac:dyDescent="0.3">
      <c r="A7">
        <v>6</v>
      </c>
      <c r="B7">
        <v>2</v>
      </c>
      <c r="C7" t="s">
        <v>713</v>
      </c>
      <c r="D7" t="s">
        <v>714</v>
      </c>
      <c r="E7" t="s">
        <v>715</v>
      </c>
      <c r="F7">
        <v>2021</v>
      </c>
      <c r="G7">
        <v>0</v>
      </c>
      <c r="H7">
        <v>0</v>
      </c>
      <c r="I7">
        <v>5</v>
      </c>
      <c r="J7">
        <v>0</v>
      </c>
      <c r="K7">
        <v>1657700000</v>
      </c>
      <c r="L7">
        <v>0.31</v>
      </c>
      <c r="M7">
        <v>513887</v>
      </c>
      <c r="N7">
        <v>5022365</v>
      </c>
      <c r="O7">
        <v>6081390</v>
      </c>
      <c r="P7">
        <v>-153160</v>
      </c>
      <c r="Q7">
        <v>0.91035963817482501</v>
      </c>
      <c r="R7">
        <v>15.6207438462342</v>
      </c>
      <c r="S7">
        <v>0.82585806863233602</v>
      </c>
      <c r="T7">
        <v>-2.5185031711500199E-2</v>
      </c>
      <c r="U7">
        <v>1993</v>
      </c>
      <c r="V7">
        <v>28</v>
      </c>
      <c r="W7">
        <v>0</v>
      </c>
      <c r="X7" t="s">
        <v>717</v>
      </c>
      <c r="Y7" t="s">
        <v>1409</v>
      </c>
      <c r="Z7" t="s">
        <v>2141</v>
      </c>
    </row>
    <row r="8" spans="1:26" ht="15" customHeight="1" x14ac:dyDescent="0.3">
      <c r="A8">
        <v>7</v>
      </c>
      <c r="B8">
        <v>2</v>
      </c>
      <c r="C8" t="s">
        <v>713</v>
      </c>
      <c r="D8" t="s">
        <v>714</v>
      </c>
      <c r="E8" t="s">
        <v>715</v>
      </c>
      <c r="F8">
        <v>2022</v>
      </c>
      <c r="G8">
        <v>0</v>
      </c>
      <c r="H8">
        <v>0</v>
      </c>
      <c r="I8">
        <v>0</v>
      </c>
      <c r="J8">
        <v>0</v>
      </c>
      <c r="K8">
        <v>2392622000</v>
      </c>
      <c r="L8">
        <v>0.25</v>
      </c>
      <c r="M8">
        <v>598155.5</v>
      </c>
      <c r="N8">
        <v>5385835</v>
      </c>
      <c r="O8">
        <v>6642902</v>
      </c>
      <c r="P8">
        <v>15878</v>
      </c>
      <c r="Q8">
        <v>0.90080969130660105</v>
      </c>
      <c r="R8">
        <v>15.709059474167599</v>
      </c>
      <c r="S8">
        <v>0.81076538536922604</v>
      </c>
      <c r="T8">
        <v>2.39022041872663E-3</v>
      </c>
      <c r="U8">
        <v>1993</v>
      </c>
      <c r="V8">
        <v>29</v>
      </c>
      <c r="W8">
        <v>0</v>
      </c>
      <c r="X8" t="s">
        <v>717</v>
      </c>
      <c r="Y8" t="s">
        <v>1410</v>
      </c>
      <c r="Z8" t="s">
        <v>2141</v>
      </c>
    </row>
    <row r="9" spans="1:26" ht="15" customHeight="1" x14ac:dyDescent="0.3">
      <c r="A9">
        <v>8</v>
      </c>
      <c r="B9">
        <v>2</v>
      </c>
      <c r="C9" t="s">
        <v>713</v>
      </c>
      <c r="D9" t="s">
        <v>714</v>
      </c>
      <c r="E9" t="s">
        <v>715</v>
      </c>
      <c r="F9">
        <v>2023</v>
      </c>
      <c r="G9">
        <v>1</v>
      </c>
      <c r="H9">
        <v>0</v>
      </c>
      <c r="I9">
        <v>5</v>
      </c>
      <c r="J9">
        <v>0</v>
      </c>
      <c r="K9">
        <v>2392622000</v>
      </c>
      <c r="L9">
        <v>0.81079999999999997</v>
      </c>
      <c r="M9">
        <v>1939937.9176</v>
      </c>
      <c r="N9">
        <v>6407895</v>
      </c>
      <c r="O9">
        <v>7023496</v>
      </c>
      <c r="P9">
        <v>-175326</v>
      </c>
      <c r="Q9">
        <v>1.18855807956607</v>
      </c>
      <c r="R9">
        <v>15.764771657736301</v>
      </c>
      <c r="S9">
        <v>0.91235119945964205</v>
      </c>
      <c r="T9">
        <v>-2.4962782067506E-2</v>
      </c>
      <c r="U9">
        <v>1993</v>
      </c>
      <c r="V9">
        <v>30</v>
      </c>
      <c r="W9">
        <v>0</v>
      </c>
      <c r="X9" t="s">
        <v>717</v>
      </c>
      <c r="Y9" t="s">
        <v>1411</v>
      </c>
      <c r="Z9" t="s">
        <v>2141</v>
      </c>
    </row>
    <row r="10" spans="1:26" ht="15" customHeight="1" x14ac:dyDescent="0.3">
      <c r="A10">
        <v>9</v>
      </c>
      <c r="B10">
        <v>2</v>
      </c>
      <c r="C10" t="s">
        <v>713</v>
      </c>
      <c r="D10" t="s">
        <v>714</v>
      </c>
      <c r="E10" t="s">
        <v>715</v>
      </c>
      <c r="F10">
        <v>2024</v>
      </c>
      <c r="G10">
        <v>1</v>
      </c>
      <c r="H10">
        <v>0</v>
      </c>
      <c r="I10">
        <v>0</v>
      </c>
      <c r="J10">
        <v>0</v>
      </c>
      <c r="K10">
        <v>2392622000</v>
      </c>
      <c r="L10">
        <v>1.2287999999999999</v>
      </c>
      <c r="M10">
        <v>2940053.9136000001</v>
      </c>
      <c r="N10">
        <v>10734736</v>
      </c>
      <c r="O10">
        <v>12003865</v>
      </c>
      <c r="P10">
        <v>532807</v>
      </c>
      <c r="Q10">
        <v>1.1391989091513399</v>
      </c>
      <c r="R10">
        <v>16.300739239227902</v>
      </c>
      <c r="S10">
        <v>0.89427330280705397</v>
      </c>
      <c r="T10">
        <v>4.4386287249981601E-2</v>
      </c>
      <c r="U10">
        <v>1993</v>
      </c>
      <c r="V10">
        <v>31</v>
      </c>
      <c r="W10">
        <v>0</v>
      </c>
      <c r="X10" t="s">
        <v>717</v>
      </c>
      <c r="Y10" t="s">
        <v>1412</v>
      </c>
      <c r="Z10" t="s">
        <v>2141</v>
      </c>
    </row>
    <row r="11" spans="1:26" ht="15" customHeight="1" x14ac:dyDescent="0.3">
      <c r="A11">
        <v>10</v>
      </c>
      <c r="B11">
        <v>2</v>
      </c>
      <c r="C11" t="s">
        <v>713</v>
      </c>
      <c r="D11" t="s">
        <v>714</v>
      </c>
      <c r="E11" t="s">
        <v>715</v>
      </c>
      <c r="F11">
        <v>2025</v>
      </c>
      <c r="G11">
        <v>1</v>
      </c>
      <c r="H11">
        <v>0</v>
      </c>
      <c r="I11">
        <v>0</v>
      </c>
      <c r="J11">
        <v>0</v>
      </c>
      <c r="K11">
        <v>2392622000</v>
      </c>
      <c r="L11">
        <v>4.1001000000000003</v>
      </c>
      <c r="M11">
        <v>9809989.4622000009</v>
      </c>
      <c r="N11">
        <v>12152000</v>
      </c>
      <c r="O11">
        <v>14462677</v>
      </c>
      <c r="P11">
        <v>971297</v>
      </c>
      <c r="Q11">
        <v>1.5185286556700399</v>
      </c>
      <c r="R11">
        <v>16.4870818889571</v>
      </c>
      <c r="S11">
        <v>0.84023172196959095</v>
      </c>
      <c r="T11">
        <v>6.7158866923461E-2</v>
      </c>
      <c r="U11">
        <v>1993</v>
      </c>
      <c r="V11">
        <v>32</v>
      </c>
      <c r="W11">
        <v>0</v>
      </c>
      <c r="X11" t="s">
        <v>717</v>
      </c>
      <c r="Y11" t="s">
        <v>1413</v>
      </c>
      <c r="Z11" t="s">
        <v>2141</v>
      </c>
    </row>
    <row r="12" spans="1:26" ht="15" customHeight="1" x14ac:dyDescent="0.3">
      <c r="A12">
        <v>11</v>
      </c>
      <c r="B12">
        <v>3</v>
      </c>
      <c r="C12" t="s">
        <v>719</v>
      </c>
      <c r="D12" t="s">
        <v>720</v>
      </c>
      <c r="E12" t="s">
        <v>715</v>
      </c>
      <c r="F12">
        <v>2021</v>
      </c>
      <c r="G12">
        <v>0</v>
      </c>
      <c r="H12">
        <v>0</v>
      </c>
      <c r="I12">
        <v>0</v>
      </c>
      <c r="J12">
        <v>0</v>
      </c>
      <c r="K12">
        <v>604800000</v>
      </c>
      <c r="L12">
        <v>0.5</v>
      </c>
      <c r="M12">
        <v>302400</v>
      </c>
      <c r="N12">
        <v>2267930</v>
      </c>
      <c r="O12">
        <v>2278858</v>
      </c>
      <c r="P12">
        <v>-205452</v>
      </c>
      <c r="Q12">
        <v>1.12790266001655</v>
      </c>
      <c r="R12">
        <v>14.6391849982568</v>
      </c>
      <c r="S12">
        <v>0.99520461564520502</v>
      </c>
      <c r="T12">
        <v>-9.0155683241342793E-2</v>
      </c>
      <c r="U12">
        <v>1964</v>
      </c>
      <c r="V12">
        <v>57</v>
      </c>
      <c r="W12">
        <v>1</v>
      </c>
      <c r="X12" t="s">
        <v>722</v>
      </c>
      <c r="Y12" t="s">
        <v>1414</v>
      </c>
      <c r="Z12" t="s">
        <v>2141</v>
      </c>
    </row>
    <row r="13" spans="1:26" ht="15" customHeight="1" x14ac:dyDescent="0.3">
      <c r="A13">
        <v>12</v>
      </c>
      <c r="B13">
        <v>3</v>
      </c>
      <c r="C13" t="s">
        <v>719</v>
      </c>
      <c r="D13" t="s">
        <v>720</v>
      </c>
      <c r="E13" t="s">
        <v>715</v>
      </c>
      <c r="F13">
        <v>2022</v>
      </c>
      <c r="G13">
        <v>0</v>
      </c>
      <c r="H13">
        <v>0</v>
      </c>
      <c r="I13">
        <v>0</v>
      </c>
      <c r="J13">
        <v>0</v>
      </c>
      <c r="K13">
        <v>604800000</v>
      </c>
      <c r="L13">
        <v>1.6125</v>
      </c>
      <c r="M13">
        <v>975240</v>
      </c>
      <c r="N13">
        <v>2107843</v>
      </c>
      <c r="O13">
        <v>2357293</v>
      </c>
      <c r="P13">
        <v>238523</v>
      </c>
      <c r="Q13">
        <v>1.3078912973482699</v>
      </c>
      <c r="R13">
        <v>14.673024484756599</v>
      </c>
      <c r="S13">
        <v>0.89417946771996504</v>
      </c>
      <c r="T13">
        <v>0.10118513057138</v>
      </c>
      <c r="U13">
        <v>1964</v>
      </c>
      <c r="V13">
        <v>58</v>
      </c>
      <c r="W13">
        <v>1</v>
      </c>
      <c r="X13" t="s">
        <v>722</v>
      </c>
      <c r="Y13" t="s">
        <v>1415</v>
      </c>
      <c r="Z13" t="s">
        <v>2141</v>
      </c>
    </row>
    <row r="14" spans="1:26" ht="15" customHeight="1" x14ac:dyDescent="0.3">
      <c r="A14">
        <v>13</v>
      </c>
      <c r="B14">
        <v>3</v>
      </c>
      <c r="C14" t="s">
        <v>719</v>
      </c>
      <c r="D14" t="s">
        <v>720</v>
      </c>
      <c r="E14" t="s">
        <v>715</v>
      </c>
      <c r="F14">
        <v>2023</v>
      </c>
      <c r="G14">
        <v>1</v>
      </c>
      <c r="H14">
        <v>0</v>
      </c>
      <c r="I14">
        <v>5</v>
      </c>
      <c r="J14">
        <v>0</v>
      </c>
      <c r="K14">
        <v>756000000</v>
      </c>
      <c r="L14">
        <v>1.9443999999999999</v>
      </c>
      <c r="M14">
        <v>1469966.4</v>
      </c>
      <c r="N14">
        <v>2511113</v>
      </c>
      <c r="O14">
        <v>2654389</v>
      </c>
      <c r="P14">
        <v>17690</v>
      </c>
      <c r="Q14">
        <v>1.49981008812197</v>
      </c>
      <c r="R14">
        <v>14.791725054346999</v>
      </c>
      <c r="S14">
        <v>0.94602298306691301</v>
      </c>
      <c r="T14">
        <v>6.66443388666846E-3</v>
      </c>
      <c r="U14">
        <v>1964</v>
      </c>
      <c r="V14">
        <v>59</v>
      </c>
      <c r="W14">
        <v>1</v>
      </c>
      <c r="X14" t="s">
        <v>722</v>
      </c>
      <c r="Y14" t="s">
        <v>1416</v>
      </c>
      <c r="Z14" t="s">
        <v>2141</v>
      </c>
    </row>
    <row r="15" spans="1:26" ht="15" customHeight="1" x14ac:dyDescent="0.3">
      <c r="A15">
        <v>14</v>
      </c>
      <c r="B15">
        <v>3</v>
      </c>
      <c r="C15" t="s">
        <v>719</v>
      </c>
      <c r="D15" t="s">
        <v>720</v>
      </c>
      <c r="E15" t="s">
        <v>715</v>
      </c>
      <c r="F15">
        <v>2024</v>
      </c>
      <c r="G15">
        <v>1</v>
      </c>
      <c r="H15">
        <v>0</v>
      </c>
      <c r="I15">
        <v>0</v>
      </c>
      <c r="J15">
        <v>0</v>
      </c>
      <c r="K15">
        <v>756000000</v>
      </c>
      <c r="L15">
        <v>3.0026000000000002</v>
      </c>
      <c r="M15">
        <v>2269965.6</v>
      </c>
      <c r="N15">
        <v>2965000</v>
      </c>
      <c r="O15">
        <v>3106287</v>
      </c>
      <c r="P15">
        <v>73611</v>
      </c>
      <c r="Q15">
        <v>1.68528072261192</v>
      </c>
      <c r="R15">
        <v>14.9489386802249</v>
      </c>
      <c r="S15">
        <v>0.95451579329276404</v>
      </c>
      <c r="T15">
        <v>2.3697423966297999E-2</v>
      </c>
      <c r="U15">
        <v>1964</v>
      </c>
      <c r="V15">
        <v>60</v>
      </c>
      <c r="W15">
        <v>1</v>
      </c>
      <c r="X15" t="s">
        <v>722</v>
      </c>
      <c r="Y15" t="s">
        <v>1417</v>
      </c>
      <c r="Z15" t="s">
        <v>2141</v>
      </c>
    </row>
    <row r="16" spans="1:26" ht="15" customHeight="1" x14ac:dyDescent="0.3">
      <c r="A16">
        <v>16</v>
      </c>
      <c r="B16">
        <v>4</v>
      </c>
      <c r="C16" t="s">
        <v>724</v>
      </c>
      <c r="D16" t="s">
        <v>725</v>
      </c>
      <c r="E16" t="s">
        <v>709</v>
      </c>
      <c r="F16">
        <v>2021</v>
      </c>
      <c r="G16">
        <v>0</v>
      </c>
      <c r="H16">
        <v>0</v>
      </c>
      <c r="I16">
        <v>5</v>
      </c>
      <c r="J16">
        <v>0</v>
      </c>
      <c r="K16">
        <v>35545225622</v>
      </c>
      <c r="L16">
        <v>9.1170000000000009</v>
      </c>
      <c r="M16">
        <v>324065821.99577397</v>
      </c>
      <c r="N16">
        <v>10681936000</v>
      </c>
      <c r="O16">
        <v>11731965000</v>
      </c>
      <c r="P16">
        <v>160215000</v>
      </c>
      <c r="Q16">
        <v>0.93812092194238295</v>
      </c>
      <c r="R16">
        <v>23.1855830047636</v>
      </c>
      <c r="S16">
        <v>0.91049845443623501</v>
      </c>
      <c r="T16">
        <v>1.36562800860725E-2</v>
      </c>
      <c r="U16">
        <v>2021</v>
      </c>
      <c r="V16">
        <v>0</v>
      </c>
      <c r="W16">
        <v>1</v>
      </c>
      <c r="X16" t="s">
        <v>727</v>
      </c>
      <c r="Y16" t="s">
        <v>1418</v>
      </c>
      <c r="Z16" t="s">
        <v>2141</v>
      </c>
    </row>
    <row r="17" spans="1:26" ht="15" customHeight="1" x14ac:dyDescent="0.3">
      <c r="A17">
        <v>17</v>
      </c>
      <c r="B17">
        <v>4</v>
      </c>
      <c r="C17" t="s">
        <v>724</v>
      </c>
      <c r="D17" t="s">
        <v>725</v>
      </c>
      <c r="E17" t="s">
        <v>709</v>
      </c>
      <c r="F17">
        <v>2022</v>
      </c>
      <c r="G17">
        <v>0</v>
      </c>
      <c r="H17">
        <v>0</v>
      </c>
      <c r="I17">
        <v>85</v>
      </c>
      <c r="J17">
        <v>80</v>
      </c>
      <c r="K17">
        <v>35545225622</v>
      </c>
      <c r="L17">
        <v>8.2791999999999994</v>
      </c>
      <c r="M17">
        <v>294286031.96966201</v>
      </c>
      <c r="N17">
        <v>13767010000</v>
      </c>
      <c r="O17">
        <v>14998401000</v>
      </c>
      <c r="P17">
        <v>152202000</v>
      </c>
      <c r="Q17">
        <v>0.93751967506200595</v>
      </c>
      <c r="R17">
        <v>23.431209432366401</v>
      </c>
      <c r="S17">
        <v>0.91789851464832795</v>
      </c>
      <c r="T17">
        <v>1.01478817641961E-2</v>
      </c>
      <c r="U17">
        <v>2021</v>
      </c>
      <c r="V17">
        <v>1</v>
      </c>
      <c r="W17">
        <v>1</v>
      </c>
      <c r="X17" t="s">
        <v>727</v>
      </c>
      <c r="Y17" t="s">
        <v>1419</v>
      </c>
      <c r="Z17" t="s">
        <v>2141</v>
      </c>
    </row>
    <row r="18" spans="1:26" ht="15" customHeight="1" x14ac:dyDescent="0.3">
      <c r="A18">
        <v>18</v>
      </c>
      <c r="B18">
        <v>4</v>
      </c>
      <c r="C18" t="s">
        <v>724</v>
      </c>
      <c r="D18" t="s">
        <v>725</v>
      </c>
      <c r="E18" t="s">
        <v>709</v>
      </c>
      <c r="F18">
        <v>2023</v>
      </c>
      <c r="G18">
        <v>1</v>
      </c>
      <c r="H18">
        <v>1</v>
      </c>
      <c r="I18">
        <v>95</v>
      </c>
      <c r="J18">
        <v>86.6666666666667</v>
      </c>
      <c r="K18">
        <v>35545225622</v>
      </c>
      <c r="L18">
        <v>22.3689</v>
      </c>
      <c r="M18">
        <v>795107597.41595602</v>
      </c>
      <c r="N18">
        <v>24503197000</v>
      </c>
      <c r="O18">
        <v>26688831000</v>
      </c>
      <c r="P18">
        <v>619324000</v>
      </c>
      <c r="Q18">
        <v>0.94789856466234701</v>
      </c>
      <c r="R18">
        <v>24.0075110002279</v>
      </c>
      <c r="S18">
        <v>0.91810679156385699</v>
      </c>
      <c r="T18">
        <v>2.3205362572830599E-2</v>
      </c>
      <c r="U18">
        <v>2021</v>
      </c>
      <c r="V18">
        <v>2</v>
      </c>
      <c r="W18">
        <v>1</v>
      </c>
      <c r="X18" t="s">
        <v>727</v>
      </c>
      <c r="Y18" t="s">
        <v>1420</v>
      </c>
      <c r="Z18" t="s">
        <v>2141</v>
      </c>
    </row>
    <row r="19" spans="1:26" ht="15" customHeight="1" x14ac:dyDescent="0.3">
      <c r="A19">
        <v>19</v>
      </c>
      <c r="B19">
        <v>4</v>
      </c>
      <c r="C19" t="s">
        <v>724</v>
      </c>
      <c r="D19" t="s">
        <v>725</v>
      </c>
      <c r="E19" t="s">
        <v>709</v>
      </c>
      <c r="F19">
        <v>2024</v>
      </c>
      <c r="G19">
        <v>1</v>
      </c>
      <c r="H19">
        <v>1</v>
      </c>
      <c r="I19">
        <v>95</v>
      </c>
      <c r="J19">
        <v>86.6666666666667</v>
      </c>
      <c r="K19">
        <v>53317838433</v>
      </c>
      <c r="L19">
        <v>23.444400000000002</v>
      </c>
      <c r="M19">
        <v>1250004731.3586299</v>
      </c>
      <c r="N19">
        <v>37740174000</v>
      </c>
      <c r="O19">
        <v>41500353000</v>
      </c>
      <c r="P19">
        <v>642217000</v>
      </c>
      <c r="Q19">
        <v>0.939514387536863</v>
      </c>
      <c r="R19">
        <v>24.448967770170999</v>
      </c>
      <c r="S19">
        <v>0.90939404780484601</v>
      </c>
      <c r="T19">
        <v>1.54749768032094E-2</v>
      </c>
      <c r="U19">
        <v>2021</v>
      </c>
      <c r="V19">
        <v>3</v>
      </c>
      <c r="W19">
        <v>1</v>
      </c>
      <c r="X19" t="s">
        <v>727</v>
      </c>
      <c r="Y19" t="s">
        <v>1421</v>
      </c>
      <c r="Z19" t="s">
        <v>2141</v>
      </c>
    </row>
    <row r="20" spans="1:26" ht="15" customHeight="1" x14ac:dyDescent="0.3">
      <c r="A20">
        <v>20</v>
      </c>
      <c r="B20">
        <v>4</v>
      </c>
      <c r="C20" t="s">
        <v>724</v>
      </c>
      <c r="D20" t="s">
        <v>725</v>
      </c>
      <c r="E20" t="s">
        <v>709</v>
      </c>
      <c r="F20">
        <v>2025</v>
      </c>
      <c r="G20">
        <v>1</v>
      </c>
      <c r="H20">
        <v>1</v>
      </c>
      <c r="I20">
        <v>90</v>
      </c>
      <c r="J20">
        <v>60</v>
      </c>
      <c r="K20">
        <v>53317838433</v>
      </c>
      <c r="L20">
        <v>20.444099999999999</v>
      </c>
      <c r="M20">
        <v>1090035220.7081001</v>
      </c>
      <c r="N20">
        <v>47440000000</v>
      </c>
      <c r="O20">
        <v>51560000000</v>
      </c>
      <c r="P20">
        <v>743045000</v>
      </c>
      <c r="Q20">
        <v>0.94123419745360903</v>
      </c>
      <c r="R20">
        <v>24.666012015017401</v>
      </c>
      <c r="S20">
        <v>0.92009309542280804</v>
      </c>
      <c r="T20">
        <v>1.4411268425135799E-2</v>
      </c>
      <c r="U20">
        <v>2021</v>
      </c>
      <c r="V20">
        <v>4</v>
      </c>
      <c r="W20">
        <v>1</v>
      </c>
      <c r="X20" t="s">
        <v>727</v>
      </c>
      <c r="Y20" t="s">
        <v>1422</v>
      </c>
      <c r="Z20" t="s">
        <v>2141</v>
      </c>
    </row>
    <row r="21" spans="1:26" ht="15" customHeight="1" x14ac:dyDescent="0.3">
      <c r="A21">
        <v>21</v>
      </c>
      <c r="B21">
        <v>5</v>
      </c>
      <c r="C21" t="s">
        <v>729</v>
      </c>
      <c r="D21" t="s">
        <v>730</v>
      </c>
      <c r="E21" t="s">
        <v>709</v>
      </c>
      <c r="F21">
        <v>2021</v>
      </c>
      <c r="G21">
        <v>0</v>
      </c>
      <c r="H21">
        <v>0</v>
      </c>
      <c r="I21">
        <v>0</v>
      </c>
      <c r="J21">
        <v>0</v>
      </c>
      <c r="K21">
        <v>20585000000</v>
      </c>
      <c r="L21">
        <v>0.2</v>
      </c>
      <c r="M21">
        <v>4117000</v>
      </c>
      <c r="N21">
        <v>47391703</v>
      </c>
      <c r="O21">
        <v>41587426</v>
      </c>
      <c r="P21">
        <v>2416845</v>
      </c>
      <c r="Q21">
        <v>1.2385643439437699</v>
      </c>
      <c r="R21">
        <v>17.5433084199265</v>
      </c>
      <c r="S21">
        <v>1.1395680752158099</v>
      </c>
      <c r="T21">
        <v>5.8114801334422601E-2</v>
      </c>
      <c r="U21">
        <v>1960</v>
      </c>
      <c r="V21">
        <v>61</v>
      </c>
      <c r="W21">
        <v>1</v>
      </c>
      <c r="X21" t="s">
        <v>732</v>
      </c>
      <c r="Y21" t="s">
        <v>1423</v>
      </c>
      <c r="Z21" t="s">
        <v>733</v>
      </c>
    </row>
    <row r="22" spans="1:26" ht="15" customHeight="1" x14ac:dyDescent="0.3">
      <c r="A22">
        <v>22</v>
      </c>
      <c r="B22">
        <v>5</v>
      </c>
      <c r="C22" t="s">
        <v>729</v>
      </c>
      <c r="D22" t="s">
        <v>730</v>
      </c>
      <c r="E22" t="s">
        <v>709</v>
      </c>
      <c r="F22">
        <v>2022</v>
      </c>
      <c r="G22">
        <v>0</v>
      </c>
      <c r="H22">
        <v>0</v>
      </c>
      <c r="I22">
        <v>0</v>
      </c>
      <c r="J22">
        <v>0</v>
      </c>
      <c r="K22">
        <v>20585000000</v>
      </c>
      <c r="L22">
        <v>0.2</v>
      </c>
      <c r="M22">
        <v>4117000</v>
      </c>
      <c r="N22">
        <v>48396886</v>
      </c>
      <c r="O22">
        <v>53473361</v>
      </c>
      <c r="P22">
        <v>-2901109</v>
      </c>
      <c r="Q22">
        <v>0.98205695355487399</v>
      </c>
      <c r="R22">
        <v>17.794694162626701</v>
      </c>
      <c r="S22">
        <v>0.90506534646288705</v>
      </c>
      <c r="T22">
        <v>-5.4253350560852197E-2</v>
      </c>
      <c r="U22">
        <v>1960</v>
      </c>
      <c r="V22">
        <v>62</v>
      </c>
      <c r="W22">
        <v>1</v>
      </c>
      <c r="X22" t="s">
        <v>732</v>
      </c>
      <c r="Y22" t="s">
        <v>1424</v>
      </c>
      <c r="Z22" t="s">
        <v>733</v>
      </c>
    </row>
    <row r="23" spans="1:26" ht="15" customHeight="1" x14ac:dyDescent="0.3">
      <c r="A23">
        <v>26</v>
      </c>
      <c r="B23">
        <v>6</v>
      </c>
      <c r="C23" t="s">
        <v>736</v>
      </c>
      <c r="D23" t="s">
        <v>737</v>
      </c>
      <c r="E23" t="s">
        <v>709</v>
      </c>
      <c r="F23">
        <v>2021</v>
      </c>
      <c r="G23">
        <v>0</v>
      </c>
      <c r="H23">
        <v>0</v>
      </c>
      <c r="I23">
        <v>0</v>
      </c>
      <c r="J23">
        <v>0</v>
      </c>
      <c r="K23">
        <v>2000000000</v>
      </c>
      <c r="L23">
        <v>6.35</v>
      </c>
      <c r="M23">
        <v>12700000</v>
      </c>
      <c r="N23">
        <v>6993386</v>
      </c>
      <c r="O23">
        <v>15764176</v>
      </c>
      <c r="P23">
        <v>1414667</v>
      </c>
      <c r="Q23">
        <v>1.2492493105887701</v>
      </c>
      <c r="R23">
        <v>16.573250581913701</v>
      </c>
      <c r="S23">
        <v>0.44362521707446001</v>
      </c>
      <c r="T23">
        <v>8.9739355866110607E-2</v>
      </c>
      <c r="U23">
        <v>2006</v>
      </c>
      <c r="V23">
        <v>15</v>
      </c>
      <c r="W23">
        <v>1</v>
      </c>
      <c r="X23" t="s">
        <v>722</v>
      </c>
      <c r="Y23" t="s">
        <v>1425</v>
      </c>
      <c r="Z23" t="s">
        <v>2141</v>
      </c>
    </row>
    <row r="24" spans="1:26" ht="15" customHeight="1" x14ac:dyDescent="0.3">
      <c r="A24">
        <v>27</v>
      </c>
      <c r="B24">
        <v>6</v>
      </c>
      <c r="C24" t="s">
        <v>736</v>
      </c>
      <c r="D24" t="s">
        <v>737</v>
      </c>
      <c r="E24" t="s">
        <v>709</v>
      </c>
      <c r="F24">
        <v>2022</v>
      </c>
      <c r="G24">
        <v>0</v>
      </c>
      <c r="H24">
        <v>0</v>
      </c>
      <c r="I24">
        <v>0</v>
      </c>
      <c r="J24">
        <v>0</v>
      </c>
      <c r="K24">
        <v>2000000000</v>
      </c>
      <c r="L24">
        <v>6</v>
      </c>
      <c r="M24">
        <v>12000000</v>
      </c>
      <c r="N24">
        <v>9885098</v>
      </c>
      <c r="O24">
        <v>19270686</v>
      </c>
      <c r="P24">
        <v>1493249</v>
      </c>
      <c r="Q24">
        <v>1.13566782210037</v>
      </c>
      <c r="R24">
        <v>16.774095639134199</v>
      </c>
      <c r="S24">
        <v>0.512960358546655</v>
      </c>
      <c r="T24">
        <v>7.7488108103676206E-2</v>
      </c>
      <c r="U24">
        <v>2006</v>
      </c>
      <c r="V24">
        <v>16</v>
      </c>
      <c r="W24">
        <v>1</v>
      </c>
      <c r="X24" t="s">
        <v>722</v>
      </c>
      <c r="Y24" t="s">
        <v>1426</v>
      </c>
      <c r="Z24" t="s">
        <v>2141</v>
      </c>
    </row>
    <row r="25" spans="1:26" ht="15" customHeight="1" x14ac:dyDescent="0.3">
      <c r="A25">
        <v>28</v>
      </c>
      <c r="B25">
        <v>6</v>
      </c>
      <c r="C25" t="s">
        <v>736</v>
      </c>
      <c r="D25" t="s">
        <v>737</v>
      </c>
      <c r="E25" t="s">
        <v>709</v>
      </c>
      <c r="F25">
        <v>2023</v>
      </c>
      <c r="G25">
        <v>1</v>
      </c>
      <c r="H25">
        <v>0</v>
      </c>
      <c r="I25">
        <v>0</v>
      </c>
      <c r="J25">
        <v>0</v>
      </c>
      <c r="K25">
        <v>2000000000</v>
      </c>
      <c r="L25">
        <v>7.4</v>
      </c>
      <c r="M25">
        <v>14800000</v>
      </c>
      <c r="N25">
        <v>13235493</v>
      </c>
      <c r="O25">
        <v>22981930</v>
      </c>
      <c r="P25">
        <v>962909</v>
      </c>
      <c r="Q25">
        <v>1.2198928897616499</v>
      </c>
      <c r="R25">
        <v>16.950218812933102</v>
      </c>
      <c r="S25">
        <v>0.57590868129874195</v>
      </c>
      <c r="T25">
        <v>4.1898526363973801E-2</v>
      </c>
      <c r="U25">
        <v>2006</v>
      </c>
      <c r="V25">
        <v>17</v>
      </c>
      <c r="W25">
        <v>1</v>
      </c>
      <c r="X25" t="s">
        <v>722</v>
      </c>
      <c r="Y25" t="s">
        <v>1427</v>
      </c>
      <c r="Z25" t="s">
        <v>2141</v>
      </c>
    </row>
    <row r="26" spans="1:26" ht="15" customHeight="1" x14ac:dyDescent="0.3">
      <c r="A26">
        <v>29</v>
      </c>
      <c r="B26">
        <v>6</v>
      </c>
      <c r="C26" t="s">
        <v>736</v>
      </c>
      <c r="D26" t="s">
        <v>737</v>
      </c>
      <c r="E26" t="s">
        <v>709</v>
      </c>
      <c r="F26">
        <v>2024</v>
      </c>
      <c r="G26">
        <v>1</v>
      </c>
      <c r="H26">
        <v>0</v>
      </c>
      <c r="I26">
        <v>0</v>
      </c>
      <c r="J26">
        <v>0</v>
      </c>
      <c r="K26">
        <v>2000000000</v>
      </c>
      <c r="L26">
        <v>20.55</v>
      </c>
      <c r="M26">
        <v>41100000</v>
      </c>
      <c r="N26">
        <v>24007058</v>
      </c>
      <c r="O26">
        <v>34845257</v>
      </c>
      <c r="P26">
        <v>1810090</v>
      </c>
      <c r="Q26">
        <v>1.8684625571853299</v>
      </c>
      <c r="R26">
        <v>17.366427588347701</v>
      </c>
      <c r="S26">
        <v>0.68896200134210495</v>
      </c>
      <c r="T26">
        <v>5.1946524601612198E-2</v>
      </c>
      <c r="U26">
        <v>2006</v>
      </c>
      <c r="V26">
        <v>18</v>
      </c>
      <c r="W26">
        <v>1</v>
      </c>
      <c r="X26" t="s">
        <v>722</v>
      </c>
      <c r="Y26" t="s">
        <v>1428</v>
      </c>
      <c r="Z26" t="s">
        <v>2141</v>
      </c>
    </row>
    <row r="27" spans="1:26" ht="15" customHeight="1" x14ac:dyDescent="0.3">
      <c r="A27">
        <v>30</v>
      </c>
      <c r="B27">
        <v>6</v>
      </c>
      <c r="C27" t="s">
        <v>736</v>
      </c>
      <c r="D27" t="s">
        <v>737</v>
      </c>
      <c r="E27" t="s">
        <v>709</v>
      </c>
      <c r="F27">
        <v>2025</v>
      </c>
      <c r="G27">
        <v>1</v>
      </c>
      <c r="H27">
        <v>0</v>
      </c>
      <c r="I27">
        <v>0</v>
      </c>
      <c r="J27">
        <v>0</v>
      </c>
      <c r="K27">
        <v>4000000000</v>
      </c>
      <c r="L27">
        <v>14.8</v>
      </c>
      <c r="M27">
        <v>59200000</v>
      </c>
      <c r="N27">
        <v>29177215</v>
      </c>
      <c r="O27">
        <v>41908525</v>
      </c>
      <c r="P27">
        <v>2717172</v>
      </c>
      <c r="Q27">
        <v>2.1088123478457002</v>
      </c>
      <c r="R27">
        <v>17.550999824817598</v>
      </c>
      <c r="S27">
        <v>0.69621192824133005</v>
      </c>
      <c r="T27">
        <v>6.4835782218534296E-2</v>
      </c>
      <c r="U27">
        <v>2006</v>
      </c>
      <c r="V27">
        <v>19</v>
      </c>
      <c r="W27">
        <v>1</v>
      </c>
      <c r="X27" t="s">
        <v>722</v>
      </c>
      <c r="Y27" t="s">
        <v>1429</v>
      </c>
      <c r="Z27" t="s">
        <v>2141</v>
      </c>
    </row>
    <row r="28" spans="1:26" ht="15" customHeight="1" x14ac:dyDescent="0.3">
      <c r="A28">
        <v>31</v>
      </c>
      <c r="B28">
        <v>7</v>
      </c>
      <c r="C28" t="s">
        <v>740</v>
      </c>
      <c r="D28" t="s">
        <v>741</v>
      </c>
      <c r="E28" t="s">
        <v>715</v>
      </c>
      <c r="F28">
        <v>2021</v>
      </c>
      <c r="G28">
        <v>0</v>
      </c>
      <c r="H28">
        <v>0</v>
      </c>
      <c r="I28">
        <v>0</v>
      </c>
      <c r="J28">
        <v>0</v>
      </c>
      <c r="K28">
        <v>4439046986</v>
      </c>
      <c r="L28">
        <v>0.2</v>
      </c>
      <c r="M28">
        <v>887809.39720000001</v>
      </c>
      <c r="N28">
        <v>4969389</v>
      </c>
      <c r="O28">
        <v>1750974</v>
      </c>
      <c r="P28">
        <v>144237</v>
      </c>
      <c r="Q28">
        <v>3.3451087207462802</v>
      </c>
      <c r="R28">
        <v>14.3756827624998</v>
      </c>
      <c r="S28">
        <v>2.8380712677629698</v>
      </c>
      <c r="T28">
        <v>8.2375295121458095E-2</v>
      </c>
      <c r="U28">
        <v>1959</v>
      </c>
      <c r="V28">
        <v>62</v>
      </c>
      <c r="W28">
        <v>0</v>
      </c>
      <c r="X28" t="s">
        <v>743</v>
      </c>
      <c r="Y28" t="s">
        <v>1430</v>
      </c>
      <c r="Z28" t="s">
        <v>733</v>
      </c>
    </row>
    <row r="29" spans="1:26" ht="15" customHeight="1" x14ac:dyDescent="0.3">
      <c r="A29">
        <v>32</v>
      </c>
      <c r="B29">
        <v>7</v>
      </c>
      <c r="C29" t="s">
        <v>740</v>
      </c>
      <c r="D29" t="s">
        <v>741</v>
      </c>
      <c r="E29" t="s">
        <v>715</v>
      </c>
      <c r="F29">
        <v>2022</v>
      </c>
      <c r="G29">
        <v>0</v>
      </c>
      <c r="H29">
        <v>0</v>
      </c>
      <c r="I29">
        <v>0</v>
      </c>
      <c r="J29">
        <v>0</v>
      </c>
      <c r="K29">
        <v>4439046986</v>
      </c>
      <c r="L29">
        <v>0.2</v>
      </c>
      <c r="M29">
        <v>887809.39720000001</v>
      </c>
      <c r="N29">
        <v>4989344</v>
      </c>
      <c r="O29">
        <v>1649374</v>
      </c>
      <c r="P29">
        <v>-121555</v>
      </c>
      <c r="Q29">
        <v>3.56326303021631</v>
      </c>
      <c r="R29">
        <v>14.3159063799493</v>
      </c>
      <c r="S29">
        <v>3.02499251231073</v>
      </c>
      <c r="T29">
        <v>-7.3697657414267495E-2</v>
      </c>
      <c r="U29">
        <v>1959</v>
      </c>
      <c r="V29">
        <v>63</v>
      </c>
      <c r="W29">
        <v>0</v>
      </c>
      <c r="X29" t="s">
        <v>743</v>
      </c>
      <c r="Y29" t="s">
        <v>1431</v>
      </c>
      <c r="Z29" t="s">
        <v>733</v>
      </c>
    </row>
    <row r="30" spans="1:26" ht="15" customHeight="1" x14ac:dyDescent="0.3">
      <c r="A30">
        <v>36</v>
      </c>
      <c r="B30">
        <v>8</v>
      </c>
      <c r="C30" t="s">
        <v>746</v>
      </c>
      <c r="D30" t="s">
        <v>747</v>
      </c>
      <c r="E30" t="s">
        <v>709</v>
      </c>
      <c r="F30">
        <v>2021</v>
      </c>
      <c r="G30">
        <v>0</v>
      </c>
      <c r="H30">
        <v>0</v>
      </c>
      <c r="I30">
        <v>25</v>
      </c>
      <c r="J30">
        <v>0</v>
      </c>
      <c r="K30">
        <v>36605275996</v>
      </c>
      <c r="L30">
        <v>0.7</v>
      </c>
      <c r="M30">
        <v>25623693.1972</v>
      </c>
      <c r="N30">
        <v>184006595</v>
      </c>
      <c r="O30">
        <v>222380851</v>
      </c>
      <c r="P30">
        <v>4916009</v>
      </c>
      <c r="Q30">
        <v>0.94266339594680304</v>
      </c>
      <c r="R30">
        <v>19.219902015014998</v>
      </c>
      <c r="S30">
        <v>0.827439027112995</v>
      </c>
      <c r="T30">
        <v>2.21062603991924E-2</v>
      </c>
      <c r="U30">
        <v>1970</v>
      </c>
      <c r="V30">
        <v>51</v>
      </c>
      <c r="W30">
        <v>1</v>
      </c>
      <c r="X30" t="s">
        <v>722</v>
      </c>
      <c r="Y30" t="s">
        <v>1432</v>
      </c>
      <c r="Z30" t="s">
        <v>2141</v>
      </c>
    </row>
    <row r="31" spans="1:26" ht="15" customHeight="1" x14ac:dyDescent="0.3">
      <c r="A31">
        <v>37</v>
      </c>
      <c r="B31">
        <v>8</v>
      </c>
      <c r="C31" t="s">
        <v>746</v>
      </c>
      <c r="D31" t="s">
        <v>747</v>
      </c>
      <c r="E31" t="s">
        <v>709</v>
      </c>
      <c r="F31">
        <v>2022</v>
      </c>
      <c r="G31">
        <v>0</v>
      </c>
      <c r="H31">
        <v>0</v>
      </c>
      <c r="I31">
        <v>25</v>
      </c>
      <c r="J31">
        <v>0</v>
      </c>
      <c r="K31">
        <v>36605276013</v>
      </c>
      <c r="L31">
        <v>0.59</v>
      </c>
      <c r="M31">
        <v>21597112.84767</v>
      </c>
      <c r="N31">
        <v>225321512</v>
      </c>
      <c r="O31">
        <v>270329520</v>
      </c>
      <c r="P31">
        <v>7552836</v>
      </c>
      <c r="Q31">
        <v>0.913398673025684</v>
      </c>
      <c r="R31">
        <v>19.415152217270201</v>
      </c>
      <c r="S31">
        <v>0.83350686968999899</v>
      </c>
      <c r="T31">
        <v>2.7939368219941401E-2</v>
      </c>
      <c r="U31">
        <v>1970</v>
      </c>
      <c r="V31">
        <v>52</v>
      </c>
      <c r="W31">
        <v>1</v>
      </c>
      <c r="X31" t="s">
        <v>722</v>
      </c>
      <c r="Y31" t="s">
        <v>1433</v>
      </c>
      <c r="Z31" t="s">
        <v>2141</v>
      </c>
    </row>
    <row r="32" spans="1:26" ht="15" customHeight="1" x14ac:dyDescent="0.3">
      <c r="A32">
        <v>38</v>
      </c>
      <c r="B32">
        <v>8</v>
      </c>
      <c r="C32" t="s">
        <v>746</v>
      </c>
      <c r="D32" t="s">
        <v>747</v>
      </c>
      <c r="E32" t="s">
        <v>709</v>
      </c>
      <c r="F32">
        <v>2023</v>
      </c>
      <c r="G32">
        <v>1</v>
      </c>
      <c r="H32">
        <v>0</v>
      </c>
      <c r="I32">
        <v>25</v>
      </c>
      <c r="J32">
        <v>0</v>
      </c>
      <c r="K32">
        <v>36605276013</v>
      </c>
      <c r="L32">
        <v>0.76</v>
      </c>
      <c r="M32">
        <v>27820009.769880001</v>
      </c>
      <c r="N32">
        <v>266265196</v>
      </c>
      <c r="O32">
        <v>318095562</v>
      </c>
      <c r="P32">
        <v>12135796</v>
      </c>
      <c r="Q32">
        <v>0.92451841805287405</v>
      </c>
      <c r="R32">
        <v>19.577862405034502</v>
      </c>
      <c r="S32">
        <v>0.83706039256215703</v>
      </c>
      <c r="T32">
        <v>3.8151415642825003E-2</v>
      </c>
      <c r="U32">
        <v>1970</v>
      </c>
      <c r="V32">
        <v>53</v>
      </c>
      <c r="W32">
        <v>1</v>
      </c>
      <c r="X32" t="s">
        <v>722</v>
      </c>
      <c r="Y32" t="s">
        <v>1434</v>
      </c>
      <c r="Z32" t="s">
        <v>2141</v>
      </c>
    </row>
    <row r="33" spans="1:26" ht="15" customHeight="1" x14ac:dyDescent="0.3">
      <c r="A33">
        <v>39</v>
      </c>
      <c r="B33">
        <v>8</v>
      </c>
      <c r="C33" t="s">
        <v>746</v>
      </c>
      <c r="D33" t="s">
        <v>747</v>
      </c>
      <c r="E33" t="s">
        <v>709</v>
      </c>
      <c r="F33">
        <v>2024</v>
      </c>
      <c r="G33">
        <v>1</v>
      </c>
      <c r="H33">
        <v>0</v>
      </c>
      <c r="I33">
        <v>25</v>
      </c>
      <c r="J33">
        <v>0</v>
      </c>
      <c r="K33">
        <v>36605276013</v>
      </c>
      <c r="L33">
        <v>1.43</v>
      </c>
      <c r="M33">
        <v>52345544.698590003</v>
      </c>
      <c r="N33">
        <v>348675411</v>
      </c>
      <c r="O33">
        <v>416480546</v>
      </c>
      <c r="P33">
        <v>15192468</v>
      </c>
      <c r="Q33">
        <v>0.96288040233838401</v>
      </c>
      <c r="R33">
        <v>19.847350310197001</v>
      </c>
      <c r="S33">
        <v>0.83719495267853405</v>
      </c>
      <c r="T33">
        <v>3.6478217640446502E-2</v>
      </c>
      <c r="U33">
        <v>1970</v>
      </c>
      <c r="V33">
        <v>54</v>
      </c>
      <c r="W33">
        <v>1</v>
      </c>
      <c r="X33" t="s">
        <v>722</v>
      </c>
      <c r="Y33" t="s">
        <v>1435</v>
      </c>
      <c r="Z33" t="s">
        <v>2141</v>
      </c>
    </row>
    <row r="34" spans="1:26" ht="15" customHeight="1" x14ac:dyDescent="0.3">
      <c r="A34">
        <v>40</v>
      </c>
      <c r="B34">
        <v>8</v>
      </c>
      <c r="C34" t="s">
        <v>746</v>
      </c>
      <c r="D34" t="s">
        <v>747</v>
      </c>
      <c r="E34" t="s">
        <v>709</v>
      </c>
      <c r="F34">
        <v>2025</v>
      </c>
      <c r="G34">
        <v>1</v>
      </c>
      <c r="H34">
        <v>0</v>
      </c>
      <c r="I34">
        <v>50</v>
      </c>
      <c r="J34">
        <v>6.6666666666666696</v>
      </c>
      <c r="K34">
        <v>36605276013</v>
      </c>
      <c r="L34">
        <v>3.79</v>
      </c>
      <c r="M34">
        <v>138733996.08927</v>
      </c>
      <c r="N34">
        <v>484694109</v>
      </c>
      <c r="O34">
        <v>579667098</v>
      </c>
      <c r="P34">
        <v>17862313</v>
      </c>
      <c r="Q34">
        <v>1.0754933430589</v>
      </c>
      <c r="R34">
        <v>20.177964527756</v>
      </c>
      <c r="S34">
        <v>0.83615942783766595</v>
      </c>
      <c r="T34">
        <v>3.08147781056223E-2</v>
      </c>
      <c r="U34">
        <v>1970</v>
      </c>
      <c r="V34">
        <v>55</v>
      </c>
      <c r="W34">
        <v>1</v>
      </c>
      <c r="X34" t="s">
        <v>722</v>
      </c>
      <c r="Y34" t="s">
        <v>1436</v>
      </c>
      <c r="Z34" t="s">
        <v>2141</v>
      </c>
    </row>
    <row r="35" spans="1:26" ht="15" customHeight="1" x14ac:dyDescent="0.3">
      <c r="A35">
        <v>41</v>
      </c>
      <c r="B35">
        <v>9</v>
      </c>
      <c r="C35" t="s">
        <v>750</v>
      </c>
      <c r="D35" t="s">
        <v>751</v>
      </c>
      <c r="E35" t="s">
        <v>752</v>
      </c>
      <c r="F35">
        <v>2021</v>
      </c>
      <c r="G35">
        <v>0</v>
      </c>
      <c r="H35">
        <v>0</v>
      </c>
      <c r="I35">
        <v>5</v>
      </c>
      <c r="J35">
        <v>0</v>
      </c>
      <c r="K35">
        <v>3957000000</v>
      </c>
      <c r="L35">
        <v>710.13</v>
      </c>
      <c r="M35">
        <v>2809984410</v>
      </c>
      <c r="N35">
        <v>2656000000</v>
      </c>
      <c r="O35">
        <v>3996000000</v>
      </c>
      <c r="P35">
        <v>180400000</v>
      </c>
      <c r="Q35">
        <v>1.36786396646647</v>
      </c>
      <c r="R35">
        <v>22.108559697732701</v>
      </c>
      <c r="S35">
        <v>0.66466466466466501</v>
      </c>
      <c r="T35">
        <v>4.5145145145145102E-2</v>
      </c>
      <c r="U35">
        <v>2010</v>
      </c>
      <c r="V35">
        <v>11</v>
      </c>
      <c r="W35">
        <v>1</v>
      </c>
      <c r="X35" t="s">
        <v>754</v>
      </c>
      <c r="Y35" t="s">
        <v>1437</v>
      </c>
      <c r="Z35" t="s">
        <v>2141</v>
      </c>
    </row>
    <row r="36" spans="1:26" ht="15" customHeight="1" x14ac:dyDescent="0.3">
      <c r="A36">
        <v>42</v>
      </c>
      <c r="B36">
        <v>9</v>
      </c>
      <c r="C36" t="s">
        <v>750</v>
      </c>
      <c r="D36" t="s">
        <v>751</v>
      </c>
      <c r="E36" t="s">
        <v>752</v>
      </c>
      <c r="F36">
        <v>2022</v>
      </c>
      <c r="G36">
        <v>0</v>
      </c>
      <c r="H36">
        <v>0</v>
      </c>
      <c r="I36">
        <v>60</v>
      </c>
      <c r="J36">
        <v>60</v>
      </c>
      <c r="K36">
        <v>3957000000</v>
      </c>
      <c r="L36">
        <v>573.66999999999996</v>
      </c>
      <c r="M36">
        <v>2270012190</v>
      </c>
      <c r="N36">
        <v>3008857200</v>
      </c>
      <c r="O36">
        <v>4644477120</v>
      </c>
      <c r="P36">
        <v>338300400</v>
      </c>
      <c r="Q36">
        <v>1.1365906761103799</v>
      </c>
      <c r="R36">
        <v>22.258944634522901</v>
      </c>
      <c r="S36">
        <v>0.64783550919936495</v>
      </c>
      <c r="T36">
        <v>7.2839286589057403E-2</v>
      </c>
      <c r="U36">
        <v>2010</v>
      </c>
      <c r="V36">
        <v>12</v>
      </c>
      <c r="W36">
        <v>1</v>
      </c>
      <c r="X36" t="s">
        <v>754</v>
      </c>
      <c r="Y36" t="s">
        <v>1438</v>
      </c>
      <c r="Z36" t="s">
        <v>2141</v>
      </c>
    </row>
    <row r="37" spans="1:26" ht="15" customHeight="1" x14ac:dyDescent="0.3">
      <c r="A37">
        <v>43</v>
      </c>
      <c r="B37">
        <v>9</v>
      </c>
      <c r="C37" t="s">
        <v>750</v>
      </c>
      <c r="D37" t="s">
        <v>751</v>
      </c>
      <c r="E37" t="s">
        <v>752</v>
      </c>
      <c r="F37">
        <v>2023</v>
      </c>
      <c r="G37">
        <v>1</v>
      </c>
      <c r="H37">
        <v>0</v>
      </c>
      <c r="I37">
        <v>55</v>
      </c>
      <c r="J37">
        <v>53.3333333333333</v>
      </c>
      <c r="K37">
        <v>3957000000</v>
      </c>
      <c r="L37">
        <v>1400.05</v>
      </c>
      <c r="M37">
        <v>5539997850</v>
      </c>
      <c r="N37">
        <v>3392038000</v>
      </c>
      <c r="O37">
        <v>5147526000</v>
      </c>
      <c r="P37">
        <v>322700000</v>
      </c>
      <c r="Q37">
        <v>1.7352094676160901</v>
      </c>
      <c r="R37">
        <v>22.361782047849101</v>
      </c>
      <c r="S37">
        <v>0.65896471431130199</v>
      </c>
      <c r="T37">
        <v>6.2690309869245897E-2</v>
      </c>
      <c r="U37">
        <v>2010</v>
      </c>
      <c r="V37">
        <v>13</v>
      </c>
      <c r="W37">
        <v>1</v>
      </c>
      <c r="X37" t="s">
        <v>754</v>
      </c>
      <c r="Y37" t="s">
        <v>1439</v>
      </c>
      <c r="Z37" t="s">
        <v>2141</v>
      </c>
    </row>
    <row r="38" spans="1:26" ht="15" customHeight="1" x14ac:dyDescent="0.3">
      <c r="A38">
        <v>44</v>
      </c>
      <c r="B38">
        <v>9</v>
      </c>
      <c r="C38" t="s">
        <v>750</v>
      </c>
      <c r="D38" t="s">
        <v>751</v>
      </c>
      <c r="E38" t="s">
        <v>752</v>
      </c>
      <c r="F38">
        <v>2024</v>
      </c>
      <c r="G38">
        <v>1</v>
      </c>
      <c r="H38">
        <v>0</v>
      </c>
      <c r="I38">
        <v>85</v>
      </c>
      <c r="J38">
        <v>86.6666666666667</v>
      </c>
      <c r="K38">
        <v>3888000000</v>
      </c>
      <c r="L38">
        <v>2078.19</v>
      </c>
      <c r="M38">
        <v>8080002720</v>
      </c>
      <c r="N38">
        <v>10207350000</v>
      </c>
      <c r="O38">
        <v>13312350000</v>
      </c>
      <c r="P38">
        <v>-120150000</v>
      </c>
      <c r="Q38">
        <v>1.3737133353615301</v>
      </c>
      <c r="R38">
        <v>23.311958012746899</v>
      </c>
      <c r="S38">
        <v>0.76675793530068004</v>
      </c>
      <c r="T38">
        <v>-9.0254538079302307E-3</v>
      </c>
      <c r="U38">
        <v>2010</v>
      </c>
      <c r="V38">
        <v>14</v>
      </c>
      <c r="W38">
        <v>1</v>
      </c>
      <c r="X38" t="s">
        <v>754</v>
      </c>
      <c r="Y38" t="s">
        <v>1440</v>
      </c>
      <c r="Z38" t="s">
        <v>2141</v>
      </c>
    </row>
    <row r="39" spans="1:26" ht="15" customHeight="1" x14ac:dyDescent="0.3">
      <c r="A39">
        <v>45</v>
      </c>
      <c r="B39">
        <v>9</v>
      </c>
      <c r="C39" t="s">
        <v>750</v>
      </c>
      <c r="D39" t="s">
        <v>751</v>
      </c>
      <c r="E39" t="s">
        <v>752</v>
      </c>
      <c r="F39">
        <v>2025</v>
      </c>
      <c r="G39">
        <v>1</v>
      </c>
      <c r="H39">
        <v>0</v>
      </c>
      <c r="I39">
        <v>90</v>
      </c>
      <c r="J39">
        <v>93.3333333333333</v>
      </c>
      <c r="K39">
        <v>3648813500</v>
      </c>
      <c r="L39">
        <v>6900.87</v>
      </c>
      <c r="M39">
        <v>25179987617.744999</v>
      </c>
      <c r="N39">
        <v>13393163000</v>
      </c>
      <c r="O39">
        <v>17410065000</v>
      </c>
      <c r="P39">
        <v>474964000</v>
      </c>
      <c r="Q39">
        <v>2.2155661462346599</v>
      </c>
      <c r="R39">
        <v>23.580314324206</v>
      </c>
      <c r="S39">
        <v>0.76927702452575597</v>
      </c>
      <c r="T39">
        <v>2.7281000961225599E-2</v>
      </c>
      <c r="U39">
        <v>2010</v>
      </c>
      <c r="V39">
        <v>15</v>
      </c>
      <c r="W39">
        <v>1</v>
      </c>
      <c r="X39" t="s">
        <v>754</v>
      </c>
      <c r="Y39" t="s">
        <v>1441</v>
      </c>
      <c r="Z39" t="s">
        <v>2141</v>
      </c>
    </row>
    <row r="40" spans="1:26" ht="15" customHeight="1" x14ac:dyDescent="0.3">
      <c r="A40">
        <v>54</v>
      </c>
      <c r="B40">
        <v>11</v>
      </c>
      <c r="C40" t="s">
        <v>764</v>
      </c>
      <c r="D40" t="s">
        <v>765</v>
      </c>
      <c r="E40" t="s">
        <v>766</v>
      </c>
      <c r="F40">
        <v>2024</v>
      </c>
      <c r="G40">
        <v>1</v>
      </c>
      <c r="H40">
        <v>0</v>
      </c>
      <c r="I40">
        <v>35</v>
      </c>
      <c r="J40">
        <v>0</v>
      </c>
      <c r="K40">
        <v>4344844360</v>
      </c>
      <c r="L40">
        <v>772.9</v>
      </c>
      <c r="M40">
        <v>3358130205.8439999</v>
      </c>
      <c r="N40">
        <v>345725660</v>
      </c>
      <c r="O40">
        <v>1749835623</v>
      </c>
      <c r="P40">
        <v>259072447</v>
      </c>
      <c r="Q40">
        <v>2.1166878860849399</v>
      </c>
      <c r="R40">
        <v>21.282787690755899</v>
      </c>
      <c r="S40">
        <v>0.19757607826458101</v>
      </c>
      <c r="T40">
        <v>0.14805530507821901</v>
      </c>
      <c r="U40">
        <v>1992</v>
      </c>
      <c r="V40">
        <v>32</v>
      </c>
      <c r="W40">
        <v>1</v>
      </c>
      <c r="X40" t="s">
        <v>768</v>
      </c>
      <c r="Y40" t="s">
        <v>1447</v>
      </c>
      <c r="Z40" t="s">
        <v>2141</v>
      </c>
    </row>
    <row r="41" spans="1:26" ht="15" customHeight="1" x14ac:dyDescent="0.3">
      <c r="A41">
        <v>55</v>
      </c>
      <c r="B41">
        <v>11</v>
      </c>
      <c r="C41" t="s">
        <v>764</v>
      </c>
      <c r="D41" t="s">
        <v>765</v>
      </c>
      <c r="E41" t="s">
        <v>766</v>
      </c>
      <c r="F41">
        <v>2025</v>
      </c>
      <c r="G41">
        <v>1</v>
      </c>
      <c r="H41">
        <v>0</v>
      </c>
      <c r="I41">
        <v>30</v>
      </c>
      <c r="J41">
        <v>0</v>
      </c>
      <c r="K41">
        <v>4344844360</v>
      </c>
      <c r="L41">
        <v>670</v>
      </c>
      <c r="M41">
        <v>2911045721.1999998</v>
      </c>
      <c r="N41">
        <v>7747863326</v>
      </c>
      <c r="O41">
        <v>9896139369</v>
      </c>
      <c r="P41">
        <v>757342748</v>
      </c>
      <c r="Q41">
        <v>1.0770774995943799</v>
      </c>
      <c r="R41">
        <v>23.015410555304399</v>
      </c>
      <c r="S41">
        <v>0.78291776591894502</v>
      </c>
      <c r="T41">
        <v>7.6529110975579295E-2</v>
      </c>
      <c r="U41">
        <v>1992</v>
      </c>
      <c r="V41">
        <v>33</v>
      </c>
      <c r="W41">
        <v>1</v>
      </c>
      <c r="X41" t="s">
        <v>768</v>
      </c>
      <c r="Y41" t="s">
        <v>1448</v>
      </c>
      <c r="Z41" t="s">
        <v>2141</v>
      </c>
    </row>
    <row r="42" spans="1:26" ht="15" customHeight="1" x14ac:dyDescent="0.3">
      <c r="A42">
        <v>56</v>
      </c>
      <c r="B42">
        <v>12</v>
      </c>
      <c r="C42" t="s">
        <v>770</v>
      </c>
      <c r="D42" t="s">
        <v>771</v>
      </c>
      <c r="E42" t="s">
        <v>772</v>
      </c>
      <c r="F42">
        <v>2021</v>
      </c>
      <c r="G42">
        <v>0</v>
      </c>
      <c r="H42">
        <v>0</v>
      </c>
      <c r="I42">
        <v>0</v>
      </c>
      <c r="J42">
        <v>0</v>
      </c>
      <c r="K42">
        <v>1079860000</v>
      </c>
      <c r="L42">
        <v>2.028</v>
      </c>
      <c r="M42">
        <v>2189956.08</v>
      </c>
      <c r="N42">
        <v>49472</v>
      </c>
      <c r="O42">
        <v>1347146</v>
      </c>
      <c r="P42">
        <v>-44568</v>
      </c>
      <c r="Q42">
        <v>1.66234994573714</v>
      </c>
      <c r="R42">
        <v>14.1134988385315</v>
      </c>
      <c r="S42">
        <v>3.67235622568007E-2</v>
      </c>
      <c r="T42">
        <v>-3.3083273824811903E-2</v>
      </c>
      <c r="U42">
        <v>1982</v>
      </c>
      <c r="V42">
        <v>39</v>
      </c>
      <c r="W42">
        <v>0</v>
      </c>
      <c r="X42" t="s">
        <v>774</v>
      </c>
      <c r="Y42" t="s">
        <v>1449</v>
      </c>
      <c r="Z42" t="s">
        <v>775</v>
      </c>
    </row>
    <row r="43" spans="1:26" ht="15" customHeight="1" x14ac:dyDescent="0.3">
      <c r="A43">
        <v>57</v>
      </c>
      <c r="B43">
        <v>12</v>
      </c>
      <c r="C43" t="s">
        <v>770</v>
      </c>
      <c r="D43" t="s">
        <v>771</v>
      </c>
      <c r="E43" t="s">
        <v>772</v>
      </c>
      <c r="F43">
        <v>2022</v>
      </c>
      <c r="G43">
        <v>0</v>
      </c>
      <c r="H43">
        <v>0</v>
      </c>
      <c r="I43">
        <v>0</v>
      </c>
      <c r="J43">
        <v>0</v>
      </c>
      <c r="K43">
        <v>1079860000</v>
      </c>
      <c r="L43">
        <v>2.028</v>
      </c>
      <c r="M43">
        <v>2189956.08</v>
      </c>
      <c r="N43">
        <v>49472</v>
      </c>
      <c r="O43">
        <v>1302578</v>
      </c>
      <c r="P43">
        <v>-44568</v>
      </c>
      <c r="Q43">
        <v>1.7192276239887401</v>
      </c>
      <c r="R43">
        <v>14.0798559356535</v>
      </c>
      <c r="S43">
        <v>3.7980067220542597E-2</v>
      </c>
      <c r="T43">
        <v>-3.4215225498971998E-2</v>
      </c>
      <c r="U43">
        <v>1982</v>
      </c>
      <c r="V43">
        <v>40</v>
      </c>
      <c r="W43">
        <v>0</v>
      </c>
      <c r="X43" t="s">
        <v>774</v>
      </c>
      <c r="Y43" t="s">
        <v>1450</v>
      </c>
      <c r="Z43" t="s">
        <v>775</v>
      </c>
    </row>
    <row r="44" spans="1:26" ht="15" customHeight="1" x14ac:dyDescent="0.3">
      <c r="A44">
        <v>58</v>
      </c>
      <c r="B44">
        <v>12</v>
      </c>
      <c r="C44" t="s">
        <v>770</v>
      </c>
      <c r="D44" t="s">
        <v>771</v>
      </c>
      <c r="E44" t="s">
        <v>772</v>
      </c>
      <c r="F44">
        <v>2023</v>
      </c>
      <c r="G44">
        <v>1</v>
      </c>
      <c r="H44">
        <v>0</v>
      </c>
      <c r="I44">
        <v>0</v>
      </c>
      <c r="J44">
        <v>0</v>
      </c>
      <c r="K44">
        <v>1079860000</v>
      </c>
      <c r="L44">
        <v>2.028</v>
      </c>
      <c r="M44">
        <v>2189956.08</v>
      </c>
      <c r="N44">
        <v>48887</v>
      </c>
      <c r="O44">
        <v>1300900</v>
      </c>
      <c r="P44">
        <v>-1093</v>
      </c>
      <c r="Q44">
        <v>1.72099552617419</v>
      </c>
      <c r="R44">
        <v>14.0785668905897</v>
      </c>
      <c r="S44">
        <v>3.7579368129756298E-2</v>
      </c>
      <c r="T44">
        <v>-8.4018756245676101E-4</v>
      </c>
      <c r="U44">
        <v>1982</v>
      </c>
      <c r="V44">
        <v>41</v>
      </c>
      <c r="W44">
        <v>0</v>
      </c>
      <c r="X44" t="s">
        <v>774</v>
      </c>
      <c r="Y44" t="s">
        <v>1451</v>
      </c>
      <c r="Z44" t="s">
        <v>775</v>
      </c>
    </row>
    <row r="45" spans="1:26" ht="15" customHeight="1" x14ac:dyDescent="0.3">
      <c r="A45">
        <v>59</v>
      </c>
      <c r="B45">
        <v>12</v>
      </c>
      <c r="C45" t="s">
        <v>770</v>
      </c>
      <c r="D45" t="s">
        <v>771</v>
      </c>
      <c r="E45" t="s">
        <v>772</v>
      </c>
      <c r="F45">
        <v>2024</v>
      </c>
      <c r="G45">
        <v>1</v>
      </c>
      <c r="H45">
        <v>0</v>
      </c>
      <c r="I45">
        <v>0</v>
      </c>
      <c r="J45">
        <v>0</v>
      </c>
      <c r="K45">
        <v>1079860000</v>
      </c>
      <c r="L45">
        <v>1.8242</v>
      </c>
      <c r="M45">
        <v>1969880.612</v>
      </c>
      <c r="N45">
        <v>40355</v>
      </c>
      <c r="O45">
        <v>1427592</v>
      </c>
      <c r="P45">
        <v>4232</v>
      </c>
      <c r="Q45">
        <v>1.40813034256286</v>
      </c>
      <c r="R45">
        <v>14.171499666771901</v>
      </c>
      <c r="S45">
        <v>2.8267880458842602E-2</v>
      </c>
      <c r="T45">
        <v>2.9644324148636299E-3</v>
      </c>
      <c r="U45">
        <v>1982</v>
      </c>
      <c r="V45">
        <v>42</v>
      </c>
      <c r="W45">
        <v>0</v>
      </c>
      <c r="X45" t="s">
        <v>774</v>
      </c>
      <c r="Y45" t="s">
        <v>1452</v>
      </c>
      <c r="Z45" t="s">
        <v>775</v>
      </c>
    </row>
    <row r="46" spans="1:26" ht="15" customHeight="1" x14ac:dyDescent="0.3">
      <c r="A46">
        <v>60</v>
      </c>
      <c r="B46">
        <v>12</v>
      </c>
      <c r="C46" t="s">
        <v>770</v>
      </c>
      <c r="D46" t="s">
        <v>771</v>
      </c>
      <c r="E46" t="s">
        <v>772</v>
      </c>
      <c r="F46">
        <v>2025</v>
      </c>
      <c r="G46">
        <v>1</v>
      </c>
      <c r="H46">
        <v>0</v>
      </c>
      <c r="I46">
        <v>0</v>
      </c>
      <c r="J46">
        <v>0</v>
      </c>
      <c r="K46">
        <v>1079860000</v>
      </c>
      <c r="L46">
        <v>4.25</v>
      </c>
      <c r="M46">
        <v>4589405</v>
      </c>
      <c r="N46">
        <v>40360</v>
      </c>
      <c r="O46">
        <v>1420000</v>
      </c>
      <c r="P46">
        <v>-11160</v>
      </c>
      <c r="Q46">
        <v>3.2603978873239399</v>
      </c>
      <c r="R46">
        <v>14.166167429577399</v>
      </c>
      <c r="S46">
        <v>2.8422535211267599E-2</v>
      </c>
      <c r="T46">
        <v>-7.8591549295774707E-3</v>
      </c>
      <c r="U46">
        <v>1982</v>
      </c>
      <c r="V46">
        <v>43</v>
      </c>
      <c r="W46">
        <v>0</v>
      </c>
      <c r="X46" t="s">
        <v>774</v>
      </c>
      <c r="Y46" t="s">
        <v>1453</v>
      </c>
      <c r="Z46" t="s">
        <v>775</v>
      </c>
    </row>
    <row r="47" spans="1:26" ht="15" customHeight="1" x14ac:dyDescent="0.3">
      <c r="A47">
        <v>66</v>
      </c>
      <c r="B47">
        <v>14</v>
      </c>
      <c r="C47" t="s">
        <v>786</v>
      </c>
      <c r="D47" t="s">
        <v>787</v>
      </c>
      <c r="E47" t="s">
        <v>752</v>
      </c>
      <c r="F47">
        <v>2021</v>
      </c>
      <c r="G47">
        <v>0</v>
      </c>
      <c r="H47">
        <v>0</v>
      </c>
      <c r="I47">
        <v>0</v>
      </c>
      <c r="J47">
        <v>0</v>
      </c>
      <c r="K47">
        <v>10000000</v>
      </c>
      <c r="L47">
        <v>6.25</v>
      </c>
      <c r="M47">
        <v>62500</v>
      </c>
      <c r="N47">
        <v>767628468</v>
      </c>
      <c r="O47">
        <v>785830318</v>
      </c>
      <c r="P47">
        <v>14419997</v>
      </c>
      <c r="Q47">
        <v>0.97691696338954404</v>
      </c>
      <c r="R47">
        <v>20.482251446680799</v>
      </c>
      <c r="S47">
        <v>0.97683742968033505</v>
      </c>
      <c r="T47">
        <v>1.83500135712504E-2</v>
      </c>
      <c r="U47">
        <v>2015</v>
      </c>
      <c r="V47">
        <v>6</v>
      </c>
      <c r="W47">
        <v>0</v>
      </c>
      <c r="X47" t="s">
        <v>789</v>
      </c>
      <c r="Y47" t="s">
        <v>1454</v>
      </c>
      <c r="Z47" t="s">
        <v>2141</v>
      </c>
    </row>
    <row r="48" spans="1:26" ht="15" customHeight="1" x14ac:dyDescent="0.3">
      <c r="A48">
        <v>67</v>
      </c>
      <c r="B48">
        <v>14</v>
      </c>
      <c r="C48" t="s">
        <v>786</v>
      </c>
      <c r="D48" t="s">
        <v>787</v>
      </c>
      <c r="E48" t="s">
        <v>752</v>
      </c>
      <c r="F48">
        <v>2022</v>
      </c>
      <c r="G48">
        <v>0</v>
      </c>
      <c r="H48">
        <v>0</v>
      </c>
      <c r="I48">
        <v>0</v>
      </c>
      <c r="J48">
        <v>0</v>
      </c>
      <c r="K48">
        <v>10000000</v>
      </c>
      <c r="L48">
        <v>6.25</v>
      </c>
      <c r="M48">
        <v>62500</v>
      </c>
      <c r="N48">
        <v>763128468</v>
      </c>
      <c r="O48">
        <v>786728755</v>
      </c>
      <c r="P48">
        <v>5398437</v>
      </c>
      <c r="Q48">
        <v>0.970081445669289</v>
      </c>
      <c r="R48">
        <v>20.483394090048801</v>
      </c>
      <c r="S48">
        <v>0.97000200278684401</v>
      </c>
      <c r="T48">
        <v>6.86187833569144E-3</v>
      </c>
      <c r="U48">
        <v>2015</v>
      </c>
      <c r="V48">
        <v>7</v>
      </c>
      <c r="W48">
        <v>0</v>
      </c>
      <c r="X48" t="s">
        <v>789</v>
      </c>
      <c r="Y48" t="s">
        <v>1455</v>
      </c>
      <c r="Z48" t="s">
        <v>2141</v>
      </c>
    </row>
    <row r="49" spans="1:26" ht="15" customHeight="1" x14ac:dyDescent="0.3">
      <c r="A49">
        <v>68</v>
      </c>
      <c r="B49">
        <v>14</v>
      </c>
      <c r="C49" t="s">
        <v>786</v>
      </c>
      <c r="D49" t="s">
        <v>787</v>
      </c>
      <c r="E49" t="s">
        <v>752</v>
      </c>
      <c r="F49">
        <v>2023</v>
      </c>
      <c r="G49">
        <v>1</v>
      </c>
      <c r="H49">
        <v>0</v>
      </c>
      <c r="I49">
        <v>0</v>
      </c>
      <c r="J49">
        <v>0</v>
      </c>
      <c r="K49">
        <v>10000000</v>
      </c>
      <c r="L49">
        <v>6.25</v>
      </c>
      <c r="M49">
        <v>62500</v>
      </c>
      <c r="N49">
        <v>747037864</v>
      </c>
      <c r="O49">
        <v>773142364</v>
      </c>
      <c r="P49">
        <v>2504213</v>
      </c>
      <c r="Q49">
        <v>0.96631668213695199</v>
      </c>
      <c r="R49">
        <v>20.465973760357599</v>
      </c>
      <c r="S49">
        <v>0.96623584320881895</v>
      </c>
      <c r="T49">
        <v>3.2390063157889501E-3</v>
      </c>
      <c r="U49">
        <v>2015</v>
      </c>
      <c r="V49">
        <v>8</v>
      </c>
      <c r="W49">
        <v>0</v>
      </c>
      <c r="X49" t="s">
        <v>789</v>
      </c>
      <c r="Y49" t="s">
        <v>1456</v>
      </c>
      <c r="Z49" t="s">
        <v>2141</v>
      </c>
    </row>
    <row r="50" spans="1:26" ht="15" customHeight="1" x14ac:dyDescent="0.3">
      <c r="A50">
        <v>69</v>
      </c>
      <c r="B50">
        <v>14</v>
      </c>
      <c r="C50" t="s">
        <v>786</v>
      </c>
      <c r="D50" t="s">
        <v>787</v>
      </c>
      <c r="E50" t="s">
        <v>752</v>
      </c>
      <c r="F50">
        <v>2024</v>
      </c>
      <c r="G50">
        <v>1</v>
      </c>
      <c r="H50">
        <v>0</v>
      </c>
      <c r="I50">
        <v>0</v>
      </c>
      <c r="J50">
        <v>0</v>
      </c>
      <c r="K50">
        <v>10000000</v>
      </c>
      <c r="L50">
        <v>6.25</v>
      </c>
      <c r="M50">
        <v>62500</v>
      </c>
      <c r="N50">
        <v>8113557</v>
      </c>
      <c r="O50">
        <v>8169037</v>
      </c>
      <c r="P50">
        <v>22363.63</v>
      </c>
      <c r="Q50">
        <v>1.00085934241698</v>
      </c>
      <c r="R50">
        <v>15.9158615896319</v>
      </c>
      <c r="S50">
        <v>0.99320850180994402</v>
      </c>
      <c r="T50">
        <v>2.7376090963965498E-3</v>
      </c>
      <c r="U50">
        <v>2015</v>
      </c>
      <c r="V50">
        <v>9</v>
      </c>
      <c r="W50">
        <v>0</v>
      </c>
      <c r="X50" t="s">
        <v>789</v>
      </c>
      <c r="Y50" t="s">
        <v>1457</v>
      </c>
      <c r="Z50" t="s">
        <v>2141</v>
      </c>
    </row>
    <row r="51" spans="1:26" ht="15" customHeight="1" x14ac:dyDescent="0.3">
      <c r="A51">
        <v>70</v>
      </c>
      <c r="B51">
        <v>14</v>
      </c>
      <c r="C51" t="s">
        <v>786</v>
      </c>
      <c r="D51" t="s">
        <v>787</v>
      </c>
      <c r="E51" t="s">
        <v>752</v>
      </c>
      <c r="F51">
        <v>2025</v>
      </c>
      <c r="G51">
        <v>1</v>
      </c>
      <c r="H51">
        <v>0</v>
      </c>
      <c r="I51">
        <v>0</v>
      </c>
      <c r="J51">
        <v>0</v>
      </c>
      <c r="K51">
        <v>10000000</v>
      </c>
      <c r="L51">
        <v>6.25</v>
      </c>
      <c r="M51">
        <v>62500</v>
      </c>
      <c r="N51">
        <v>7930000</v>
      </c>
      <c r="O51">
        <v>8026400</v>
      </c>
      <c r="P51">
        <v>40919</v>
      </c>
      <c r="Q51">
        <v>0.99577643775540703</v>
      </c>
      <c r="R51">
        <v>15.898246666593501</v>
      </c>
      <c r="S51">
        <v>0.98798963420711705</v>
      </c>
      <c r="T51">
        <v>5.0980514302800799E-3</v>
      </c>
      <c r="U51">
        <v>2015</v>
      </c>
      <c r="V51">
        <v>10</v>
      </c>
      <c r="W51">
        <v>0</v>
      </c>
      <c r="X51" t="s">
        <v>789</v>
      </c>
      <c r="Y51" t="s">
        <v>1458</v>
      </c>
      <c r="Z51" t="s">
        <v>2141</v>
      </c>
    </row>
    <row r="52" spans="1:26" ht="15" customHeight="1" x14ac:dyDescent="0.3">
      <c r="A52">
        <v>71</v>
      </c>
      <c r="B52">
        <v>15</v>
      </c>
      <c r="C52" t="s">
        <v>791</v>
      </c>
      <c r="D52" t="s">
        <v>792</v>
      </c>
      <c r="E52" t="s">
        <v>772</v>
      </c>
      <c r="F52">
        <v>2021</v>
      </c>
      <c r="G52">
        <v>0</v>
      </c>
      <c r="H52">
        <v>0</v>
      </c>
      <c r="I52">
        <v>15</v>
      </c>
      <c r="J52">
        <v>0</v>
      </c>
      <c r="K52">
        <v>289823447</v>
      </c>
      <c r="L52">
        <v>7.5</v>
      </c>
      <c r="M52">
        <v>2173675.8525</v>
      </c>
      <c r="N52">
        <v>1879966</v>
      </c>
      <c r="O52">
        <v>5110669</v>
      </c>
      <c r="P52">
        <v>135635</v>
      </c>
      <c r="Q52">
        <v>0.79317245012345705</v>
      </c>
      <c r="R52">
        <v>15.4468408733758</v>
      </c>
      <c r="S52">
        <v>0.36785125391607199</v>
      </c>
      <c r="T52">
        <v>2.6539578282217102E-2</v>
      </c>
      <c r="U52">
        <v>1959</v>
      </c>
      <c r="V52">
        <v>62</v>
      </c>
      <c r="W52">
        <v>1</v>
      </c>
      <c r="X52" t="s">
        <v>794</v>
      </c>
      <c r="Y52" t="s">
        <v>1459</v>
      </c>
      <c r="Z52" t="s">
        <v>2141</v>
      </c>
    </row>
    <row r="53" spans="1:26" ht="15" customHeight="1" x14ac:dyDescent="0.3">
      <c r="A53">
        <v>72</v>
      </c>
      <c r="B53">
        <v>15</v>
      </c>
      <c r="C53" t="s">
        <v>791</v>
      </c>
      <c r="D53" t="s">
        <v>792</v>
      </c>
      <c r="E53" t="s">
        <v>772</v>
      </c>
      <c r="F53">
        <v>2022</v>
      </c>
      <c r="G53">
        <v>0</v>
      </c>
      <c r="H53">
        <v>0</v>
      </c>
      <c r="I53">
        <v>15</v>
      </c>
      <c r="J53">
        <v>0</v>
      </c>
      <c r="K53">
        <v>289823447</v>
      </c>
      <c r="L53">
        <v>6</v>
      </c>
      <c r="M53">
        <v>1738940.682</v>
      </c>
      <c r="N53">
        <v>2205083</v>
      </c>
      <c r="O53">
        <v>5528528</v>
      </c>
      <c r="P53">
        <v>208670</v>
      </c>
      <c r="Q53">
        <v>0.71339490041472198</v>
      </c>
      <c r="R53">
        <v>15.5254321536167</v>
      </c>
      <c r="S53">
        <v>0.39885535534956101</v>
      </c>
      <c r="T53">
        <v>3.7744224140675402E-2</v>
      </c>
      <c r="U53">
        <v>1959</v>
      </c>
      <c r="V53">
        <v>63</v>
      </c>
      <c r="W53">
        <v>1</v>
      </c>
      <c r="X53" t="s">
        <v>794</v>
      </c>
      <c r="Y53" t="s">
        <v>1459</v>
      </c>
      <c r="Z53" t="s">
        <v>2141</v>
      </c>
    </row>
    <row r="54" spans="1:26" ht="15" customHeight="1" x14ac:dyDescent="0.3">
      <c r="A54">
        <v>73</v>
      </c>
      <c r="B54">
        <v>15</v>
      </c>
      <c r="C54" t="s">
        <v>791</v>
      </c>
      <c r="D54" t="s">
        <v>792</v>
      </c>
      <c r="E54" t="s">
        <v>772</v>
      </c>
      <c r="F54">
        <v>2023</v>
      </c>
      <c r="G54">
        <v>1</v>
      </c>
      <c r="H54">
        <v>0</v>
      </c>
      <c r="I54">
        <v>15</v>
      </c>
      <c r="J54">
        <v>0</v>
      </c>
      <c r="K54">
        <v>289823447</v>
      </c>
      <c r="L54">
        <v>13</v>
      </c>
      <c r="M54">
        <v>3767704.8110000002</v>
      </c>
      <c r="N54">
        <v>3079569</v>
      </c>
      <c r="O54">
        <v>6610970</v>
      </c>
      <c r="P54">
        <v>468797</v>
      </c>
      <c r="Q54">
        <v>1.0357441965399901</v>
      </c>
      <c r="R54">
        <v>15.704240948414</v>
      </c>
      <c r="S54">
        <v>0.46582710252807102</v>
      </c>
      <c r="T54">
        <v>7.0911984171763004E-2</v>
      </c>
      <c r="U54">
        <v>1959</v>
      </c>
      <c r="V54">
        <v>64</v>
      </c>
      <c r="W54">
        <v>1</v>
      </c>
      <c r="X54" t="s">
        <v>794</v>
      </c>
      <c r="Y54" t="s">
        <v>1460</v>
      </c>
      <c r="Z54" t="s">
        <v>2141</v>
      </c>
    </row>
    <row r="55" spans="1:26" ht="15" customHeight="1" x14ac:dyDescent="0.3">
      <c r="A55">
        <v>74</v>
      </c>
      <c r="B55">
        <v>15</v>
      </c>
      <c r="C55" t="s">
        <v>791</v>
      </c>
      <c r="D55" t="s">
        <v>792</v>
      </c>
      <c r="E55" t="s">
        <v>772</v>
      </c>
      <c r="F55">
        <v>2024</v>
      </c>
      <c r="G55">
        <v>1</v>
      </c>
      <c r="H55">
        <v>0</v>
      </c>
      <c r="I55">
        <v>20</v>
      </c>
      <c r="J55">
        <v>6.6666666666666696</v>
      </c>
      <c r="K55">
        <v>289823447</v>
      </c>
      <c r="L55">
        <v>20.0122</v>
      </c>
      <c r="M55">
        <v>5800004.7860533996</v>
      </c>
      <c r="N55">
        <v>3690000</v>
      </c>
      <c r="O55">
        <v>7520000</v>
      </c>
      <c r="P55">
        <v>610860</v>
      </c>
      <c r="Q55">
        <v>1.26196872154965</v>
      </c>
      <c r="R55">
        <v>15.833076695926</v>
      </c>
      <c r="S55">
        <v>0.49069148936170198</v>
      </c>
      <c r="T55">
        <v>8.1231382978723399E-2</v>
      </c>
      <c r="U55">
        <v>1959</v>
      </c>
      <c r="V55">
        <v>65</v>
      </c>
      <c r="W55">
        <v>0</v>
      </c>
      <c r="X55" t="s">
        <v>794</v>
      </c>
      <c r="Y55" t="s">
        <v>1461</v>
      </c>
      <c r="Z55" t="s">
        <v>2141</v>
      </c>
    </row>
    <row r="56" spans="1:26" ht="15" customHeight="1" x14ac:dyDescent="0.3">
      <c r="A56">
        <v>75</v>
      </c>
      <c r="B56">
        <v>15</v>
      </c>
      <c r="C56" t="s">
        <v>791</v>
      </c>
      <c r="D56" t="s">
        <v>792</v>
      </c>
      <c r="E56" t="s">
        <v>772</v>
      </c>
      <c r="F56">
        <v>2025</v>
      </c>
      <c r="G56">
        <v>1</v>
      </c>
      <c r="H56">
        <v>0</v>
      </c>
      <c r="I56">
        <v>15</v>
      </c>
      <c r="J56">
        <v>0</v>
      </c>
      <c r="K56">
        <v>289823447</v>
      </c>
      <c r="L56">
        <v>47.994700000000002</v>
      </c>
      <c r="M56">
        <v>13909989.391730901</v>
      </c>
      <c r="N56">
        <v>4340000</v>
      </c>
      <c r="O56">
        <v>9250000</v>
      </c>
      <c r="P56">
        <v>1480000</v>
      </c>
      <c r="Q56">
        <v>1.97297182613307</v>
      </c>
      <c r="R56">
        <v>16.040134109488601</v>
      </c>
      <c r="S56">
        <v>0.469189189189189</v>
      </c>
      <c r="T56">
        <v>0.16</v>
      </c>
      <c r="U56">
        <v>1959</v>
      </c>
      <c r="V56">
        <v>66</v>
      </c>
      <c r="W56">
        <v>0</v>
      </c>
      <c r="X56" t="s">
        <v>794</v>
      </c>
      <c r="Y56" t="s">
        <v>1462</v>
      </c>
      <c r="Z56" t="s">
        <v>2141</v>
      </c>
    </row>
    <row r="57" spans="1:26" ht="15" customHeight="1" x14ac:dyDescent="0.3">
      <c r="A57">
        <v>76</v>
      </c>
      <c r="B57">
        <v>16</v>
      </c>
      <c r="C57" t="s">
        <v>796</v>
      </c>
      <c r="D57" t="s">
        <v>797</v>
      </c>
      <c r="E57" t="s">
        <v>772</v>
      </c>
      <c r="F57">
        <v>2021</v>
      </c>
      <c r="G57">
        <v>0</v>
      </c>
      <c r="H57">
        <v>0</v>
      </c>
      <c r="I57">
        <v>0</v>
      </c>
      <c r="J57">
        <v>0</v>
      </c>
      <c r="K57">
        <v>599970000</v>
      </c>
      <c r="L57">
        <v>44.12</v>
      </c>
      <c r="M57">
        <v>26470676.399999999</v>
      </c>
      <c r="N57">
        <v>20984992</v>
      </c>
      <c r="O57">
        <v>63112410</v>
      </c>
      <c r="P57">
        <v>5457671</v>
      </c>
      <c r="Q57">
        <v>0.75192293243119701</v>
      </c>
      <c r="R57">
        <v>17.960427980123299</v>
      </c>
      <c r="S57">
        <v>0.33250183284079998</v>
      </c>
      <c r="T57">
        <v>8.6475401589006004E-2</v>
      </c>
      <c r="U57">
        <v>1974</v>
      </c>
      <c r="V57">
        <v>47</v>
      </c>
      <c r="W57">
        <v>1</v>
      </c>
      <c r="X57" t="s">
        <v>722</v>
      </c>
      <c r="Y57" t="s">
        <v>1463</v>
      </c>
      <c r="Z57" t="s">
        <v>2141</v>
      </c>
    </row>
    <row r="58" spans="1:26" ht="15" customHeight="1" x14ac:dyDescent="0.3">
      <c r="A58">
        <v>77</v>
      </c>
      <c r="B58">
        <v>16</v>
      </c>
      <c r="C58" t="s">
        <v>796</v>
      </c>
      <c r="D58" t="s">
        <v>797</v>
      </c>
      <c r="E58" t="s">
        <v>772</v>
      </c>
      <c r="F58">
        <v>2022</v>
      </c>
      <c r="G58">
        <v>0</v>
      </c>
      <c r="H58">
        <v>0</v>
      </c>
      <c r="I58">
        <v>5</v>
      </c>
      <c r="J58">
        <v>0</v>
      </c>
      <c r="K58">
        <v>599970000</v>
      </c>
      <c r="L58">
        <v>39.6</v>
      </c>
      <c r="M58">
        <v>23758812</v>
      </c>
      <c r="N58">
        <v>29681202</v>
      </c>
      <c r="O58">
        <v>75944552</v>
      </c>
      <c r="P58">
        <v>4685414</v>
      </c>
      <c r="Q58">
        <v>0.70367146283251503</v>
      </c>
      <c r="R58">
        <v>18.145514053031</v>
      </c>
      <c r="S58">
        <v>0.390827270927874</v>
      </c>
      <c r="T58">
        <v>6.1695195726482098E-2</v>
      </c>
      <c r="U58">
        <v>1974</v>
      </c>
      <c r="V58">
        <v>48</v>
      </c>
      <c r="W58">
        <v>1</v>
      </c>
      <c r="X58" t="s">
        <v>722</v>
      </c>
      <c r="Y58" t="s">
        <v>1464</v>
      </c>
      <c r="Z58" t="s">
        <v>2141</v>
      </c>
    </row>
    <row r="59" spans="1:26" ht="15" customHeight="1" x14ac:dyDescent="0.3">
      <c r="A59">
        <v>78</v>
      </c>
      <c r="B59">
        <v>16</v>
      </c>
      <c r="C59" t="s">
        <v>796</v>
      </c>
      <c r="D59" t="s">
        <v>797</v>
      </c>
      <c r="E59" t="s">
        <v>772</v>
      </c>
      <c r="F59">
        <v>2023</v>
      </c>
      <c r="G59">
        <v>1</v>
      </c>
      <c r="H59">
        <v>0</v>
      </c>
      <c r="I59">
        <v>5</v>
      </c>
      <c r="J59">
        <v>0</v>
      </c>
      <c r="K59">
        <v>599970000</v>
      </c>
      <c r="L59">
        <v>59.4</v>
      </c>
      <c r="M59">
        <v>35638218</v>
      </c>
      <c r="N59">
        <v>54846891</v>
      </c>
      <c r="O59">
        <v>106851901</v>
      </c>
      <c r="P59">
        <v>6442220</v>
      </c>
      <c r="Q59">
        <v>0.84682732036746799</v>
      </c>
      <c r="R59">
        <v>18.486954330867398</v>
      </c>
      <c r="S59">
        <v>0.51329822386594703</v>
      </c>
      <c r="T59">
        <v>6.02911126494605E-2</v>
      </c>
      <c r="U59">
        <v>1974</v>
      </c>
      <c r="V59">
        <v>49</v>
      </c>
      <c r="W59">
        <v>1</v>
      </c>
      <c r="X59" t="s">
        <v>722</v>
      </c>
      <c r="Y59" t="s">
        <v>1465</v>
      </c>
      <c r="Z59" t="s">
        <v>2141</v>
      </c>
    </row>
    <row r="60" spans="1:26" ht="15" customHeight="1" x14ac:dyDescent="0.3">
      <c r="A60">
        <v>79</v>
      </c>
      <c r="B60">
        <v>16</v>
      </c>
      <c r="C60" t="s">
        <v>796</v>
      </c>
      <c r="D60" t="s">
        <v>797</v>
      </c>
      <c r="E60" t="s">
        <v>772</v>
      </c>
      <c r="F60">
        <v>2024</v>
      </c>
      <c r="G60">
        <v>1</v>
      </c>
      <c r="H60">
        <v>0</v>
      </c>
      <c r="I60">
        <v>5</v>
      </c>
      <c r="J60">
        <v>0</v>
      </c>
      <c r="K60">
        <v>599970000</v>
      </c>
      <c r="L60">
        <v>64.900000000000006</v>
      </c>
      <c r="M60">
        <v>38938053</v>
      </c>
      <c r="N60">
        <v>69560314</v>
      </c>
      <c r="O60">
        <v>134352197</v>
      </c>
      <c r="P60">
        <v>64791883</v>
      </c>
      <c r="Q60">
        <v>0.80756674935505501</v>
      </c>
      <c r="R60">
        <v>18.715975245701902</v>
      </c>
      <c r="S60">
        <v>0.51774601050997304</v>
      </c>
      <c r="T60">
        <v>0.48225398949002701</v>
      </c>
      <c r="U60">
        <v>1974</v>
      </c>
      <c r="V60">
        <v>50</v>
      </c>
      <c r="W60">
        <v>1</v>
      </c>
      <c r="X60" t="s">
        <v>722</v>
      </c>
      <c r="Y60" t="s">
        <v>1466</v>
      </c>
      <c r="Z60" t="s">
        <v>2141</v>
      </c>
    </row>
    <row r="61" spans="1:26" ht="15" customHeight="1" x14ac:dyDescent="0.3">
      <c r="A61">
        <v>80</v>
      </c>
      <c r="B61">
        <v>16</v>
      </c>
      <c r="C61" t="s">
        <v>796</v>
      </c>
      <c r="D61" t="s">
        <v>797</v>
      </c>
      <c r="E61" t="s">
        <v>772</v>
      </c>
      <c r="F61">
        <v>2025</v>
      </c>
      <c r="G61">
        <v>1</v>
      </c>
      <c r="H61">
        <v>0</v>
      </c>
      <c r="I61">
        <v>5</v>
      </c>
      <c r="J61">
        <v>0</v>
      </c>
      <c r="K61">
        <v>599970000</v>
      </c>
      <c r="L61">
        <v>370</v>
      </c>
      <c r="M61">
        <v>221988900</v>
      </c>
      <c r="N61">
        <v>87624904</v>
      </c>
      <c r="O61">
        <v>183892203</v>
      </c>
      <c r="P61">
        <v>96267299</v>
      </c>
      <c r="Q61">
        <v>1.68367010101021</v>
      </c>
      <c r="R61">
        <v>19.029860290633302</v>
      </c>
      <c r="S61">
        <v>0.47650146428448598</v>
      </c>
      <c r="T61">
        <v>0.52349853571551397</v>
      </c>
      <c r="U61">
        <v>1974</v>
      </c>
      <c r="V61">
        <v>51</v>
      </c>
      <c r="W61">
        <v>1</v>
      </c>
      <c r="X61" t="s">
        <v>722</v>
      </c>
      <c r="Y61" t="s">
        <v>1467</v>
      </c>
      <c r="Z61" t="s">
        <v>2141</v>
      </c>
    </row>
    <row r="62" spans="1:26" ht="15" customHeight="1" x14ac:dyDescent="0.3">
      <c r="A62">
        <v>81</v>
      </c>
      <c r="B62">
        <v>17</v>
      </c>
      <c r="C62" t="s">
        <v>800</v>
      </c>
      <c r="D62" t="s">
        <v>801</v>
      </c>
      <c r="E62" t="s">
        <v>772</v>
      </c>
      <c r="F62">
        <v>2021</v>
      </c>
      <c r="G62">
        <v>0</v>
      </c>
      <c r="H62">
        <v>0</v>
      </c>
      <c r="I62">
        <v>25</v>
      </c>
      <c r="J62">
        <v>0</v>
      </c>
      <c r="K62">
        <v>33864354060</v>
      </c>
      <c r="L62">
        <v>67.03</v>
      </c>
      <c r="M62">
        <v>2269927652.6417999</v>
      </c>
      <c r="N62">
        <v>330400000</v>
      </c>
      <c r="O62">
        <v>728500000</v>
      </c>
      <c r="P62">
        <v>90079011</v>
      </c>
      <c r="Q62">
        <v>3.5694271141273899</v>
      </c>
      <c r="R62">
        <v>20.406498183599499</v>
      </c>
      <c r="S62">
        <v>0.45353466026081002</v>
      </c>
      <c r="T62">
        <v>0.12364998078243</v>
      </c>
      <c r="U62">
        <v>2014</v>
      </c>
      <c r="V62">
        <v>7</v>
      </c>
      <c r="W62">
        <v>1</v>
      </c>
      <c r="X62" t="s">
        <v>711</v>
      </c>
      <c r="Y62" t="s">
        <v>1468</v>
      </c>
      <c r="Z62" t="s">
        <v>2141</v>
      </c>
    </row>
    <row r="63" spans="1:26" ht="15" customHeight="1" x14ac:dyDescent="0.3">
      <c r="A63">
        <v>82</v>
      </c>
      <c r="B63">
        <v>17</v>
      </c>
      <c r="C63" t="s">
        <v>800</v>
      </c>
      <c r="D63" t="s">
        <v>801</v>
      </c>
      <c r="E63" t="s">
        <v>772</v>
      </c>
      <c r="F63">
        <v>2022</v>
      </c>
      <c r="G63">
        <v>0</v>
      </c>
      <c r="H63">
        <v>0</v>
      </c>
      <c r="I63">
        <v>25</v>
      </c>
      <c r="J63">
        <v>0</v>
      </c>
      <c r="K63">
        <v>33864354060</v>
      </c>
      <c r="L63">
        <v>97.74</v>
      </c>
      <c r="M63">
        <v>3309901965.8243999</v>
      </c>
      <c r="N63">
        <v>462899342</v>
      </c>
      <c r="O63">
        <v>874011884</v>
      </c>
      <c r="P63">
        <v>411112542</v>
      </c>
      <c r="Q63">
        <v>4.3166476073046196</v>
      </c>
      <c r="R63">
        <v>20.588604530781399</v>
      </c>
      <c r="S63">
        <v>0.52962591295840999</v>
      </c>
      <c r="T63">
        <v>0.47037408704159001</v>
      </c>
      <c r="U63">
        <v>2014</v>
      </c>
      <c r="V63">
        <v>8</v>
      </c>
      <c r="W63">
        <v>1</v>
      </c>
      <c r="X63" t="s">
        <v>711</v>
      </c>
      <c r="Y63" t="s">
        <v>1469</v>
      </c>
      <c r="Z63" t="s">
        <v>2141</v>
      </c>
    </row>
    <row r="64" spans="1:26" ht="15" customHeight="1" x14ac:dyDescent="0.3">
      <c r="A64">
        <v>83</v>
      </c>
      <c r="B64">
        <v>17</v>
      </c>
      <c r="C64" t="s">
        <v>800</v>
      </c>
      <c r="D64" t="s">
        <v>801</v>
      </c>
      <c r="E64" t="s">
        <v>772</v>
      </c>
      <c r="F64">
        <v>2023</v>
      </c>
      <c r="G64">
        <v>1</v>
      </c>
      <c r="H64">
        <v>0</v>
      </c>
      <c r="I64">
        <v>30</v>
      </c>
      <c r="J64">
        <v>0</v>
      </c>
      <c r="K64">
        <v>33864354060</v>
      </c>
      <c r="L64">
        <v>96.86</v>
      </c>
      <c r="M64">
        <v>3280101334.2515998</v>
      </c>
      <c r="N64">
        <v>830462227</v>
      </c>
      <c r="O64">
        <v>1215686377</v>
      </c>
      <c r="P64">
        <v>385224150</v>
      </c>
      <c r="Q64">
        <v>3.38126974112798</v>
      </c>
      <c r="R64">
        <v>20.918574673573598</v>
      </c>
      <c r="S64">
        <v>0.683122096876142</v>
      </c>
      <c r="T64">
        <v>0.316877903123858</v>
      </c>
      <c r="U64">
        <v>2014</v>
      </c>
      <c r="V64">
        <v>9</v>
      </c>
      <c r="W64">
        <v>1</v>
      </c>
      <c r="X64" t="s">
        <v>711</v>
      </c>
      <c r="Y64" t="s">
        <v>1470</v>
      </c>
      <c r="Z64" t="s">
        <v>2141</v>
      </c>
    </row>
    <row r="65" spans="1:26" ht="15" customHeight="1" x14ac:dyDescent="0.3">
      <c r="A65">
        <v>84</v>
      </c>
      <c r="B65">
        <v>17</v>
      </c>
      <c r="C65" t="s">
        <v>800</v>
      </c>
      <c r="D65" t="s">
        <v>801</v>
      </c>
      <c r="E65" t="s">
        <v>772</v>
      </c>
      <c r="F65">
        <v>2024</v>
      </c>
      <c r="G65">
        <v>1</v>
      </c>
      <c r="H65">
        <v>0</v>
      </c>
      <c r="I65">
        <v>30</v>
      </c>
      <c r="J65">
        <v>0</v>
      </c>
      <c r="K65">
        <v>33864354060</v>
      </c>
      <c r="L65">
        <v>93.03</v>
      </c>
      <c r="M65">
        <v>3150400858.2017999</v>
      </c>
      <c r="N65">
        <v>1181803630</v>
      </c>
      <c r="O65">
        <v>1570351865</v>
      </c>
      <c r="P65">
        <v>388548235</v>
      </c>
      <c r="Q65">
        <v>2.7587476315072901</v>
      </c>
      <c r="R65">
        <v>21.174565549030401</v>
      </c>
      <c r="S65">
        <v>0.752572500686017</v>
      </c>
      <c r="T65">
        <v>0.247427499313983</v>
      </c>
      <c r="U65">
        <v>2014</v>
      </c>
      <c r="V65">
        <v>10</v>
      </c>
      <c r="W65">
        <v>1</v>
      </c>
      <c r="X65" t="s">
        <v>711</v>
      </c>
      <c r="Y65" t="s">
        <v>1469</v>
      </c>
      <c r="Z65" t="s">
        <v>2141</v>
      </c>
    </row>
    <row r="66" spans="1:26" ht="15" customHeight="1" x14ac:dyDescent="0.3">
      <c r="A66">
        <v>85</v>
      </c>
      <c r="B66">
        <v>17</v>
      </c>
      <c r="C66" t="s">
        <v>800</v>
      </c>
      <c r="D66" t="s">
        <v>801</v>
      </c>
      <c r="E66" t="s">
        <v>772</v>
      </c>
      <c r="F66">
        <v>2025</v>
      </c>
      <c r="G66">
        <v>1</v>
      </c>
      <c r="H66">
        <v>0</v>
      </c>
      <c r="I66">
        <v>0</v>
      </c>
      <c r="J66">
        <v>0</v>
      </c>
      <c r="K66">
        <v>33864354060</v>
      </c>
      <c r="L66">
        <v>178.36</v>
      </c>
      <c r="M66">
        <v>6040046190.1415997</v>
      </c>
      <c r="N66">
        <v>1180000000</v>
      </c>
      <c r="O66">
        <v>1860000000</v>
      </c>
      <c r="P66">
        <v>672900000</v>
      </c>
      <c r="Q66">
        <v>3.88174526351699</v>
      </c>
      <c r="R66">
        <v>21.343842324671499</v>
      </c>
      <c r="S66">
        <v>0.63440860215053796</v>
      </c>
      <c r="T66">
        <v>0.36177419354838702</v>
      </c>
      <c r="U66">
        <v>2014</v>
      </c>
      <c r="V66">
        <v>11</v>
      </c>
      <c r="W66">
        <v>1</v>
      </c>
      <c r="X66" t="s">
        <v>711</v>
      </c>
      <c r="Y66" t="s">
        <v>1471</v>
      </c>
      <c r="Z66" t="s">
        <v>2141</v>
      </c>
    </row>
    <row r="67" spans="1:26" ht="15" customHeight="1" x14ac:dyDescent="0.3">
      <c r="A67">
        <v>87</v>
      </c>
      <c r="B67">
        <v>18</v>
      </c>
      <c r="C67" t="s">
        <v>804</v>
      </c>
      <c r="D67" t="s">
        <v>805</v>
      </c>
      <c r="E67" t="s">
        <v>806</v>
      </c>
      <c r="F67">
        <v>2022</v>
      </c>
      <c r="G67">
        <v>0</v>
      </c>
      <c r="H67">
        <v>0</v>
      </c>
      <c r="I67">
        <v>5</v>
      </c>
      <c r="J67">
        <v>0</v>
      </c>
      <c r="K67">
        <v>18000000000</v>
      </c>
      <c r="L67">
        <v>65</v>
      </c>
      <c r="M67">
        <v>1170000000</v>
      </c>
      <c r="N67">
        <v>376263289</v>
      </c>
      <c r="O67">
        <v>607224625</v>
      </c>
      <c r="P67">
        <v>230961336</v>
      </c>
      <c r="Q67">
        <v>2.54644364760405</v>
      </c>
      <c r="R67">
        <v>20.22440933823</v>
      </c>
      <c r="S67">
        <v>0.61964431860779701</v>
      </c>
      <c r="T67">
        <v>0.38035568139220299</v>
      </c>
      <c r="U67">
        <v>2005</v>
      </c>
      <c r="V67">
        <v>17</v>
      </c>
      <c r="W67">
        <v>1</v>
      </c>
      <c r="X67" t="s">
        <v>711</v>
      </c>
      <c r="Y67" t="s">
        <v>1472</v>
      </c>
      <c r="Z67" t="s">
        <v>2141</v>
      </c>
    </row>
    <row r="68" spans="1:26" ht="15" customHeight="1" x14ac:dyDescent="0.3">
      <c r="A68">
        <v>88</v>
      </c>
      <c r="B68">
        <v>18</v>
      </c>
      <c r="C68" t="s">
        <v>804</v>
      </c>
      <c r="D68" t="s">
        <v>805</v>
      </c>
      <c r="E68" t="s">
        <v>806</v>
      </c>
      <c r="F68">
        <v>2023</v>
      </c>
      <c r="G68">
        <v>1</v>
      </c>
      <c r="H68">
        <v>0</v>
      </c>
      <c r="I68">
        <v>5</v>
      </c>
      <c r="J68">
        <v>0</v>
      </c>
      <c r="K68">
        <v>18000000000</v>
      </c>
      <c r="L68">
        <v>193.33</v>
      </c>
      <c r="M68">
        <v>3479940000</v>
      </c>
      <c r="N68">
        <v>808381029</v>
      </c>
      <c r="O68">
        <v>1070439862</v>
      </c>
      <c r="P68">
        <v>262058833</v>
      </c>
      <c r="Q68">
        <v>4.0061297988172297</v>
      </c>
      <c r="R68">
        <v>20.791335486928801</v>
      </c>
      <c r="S68">
        <v>0.755185842471924</v>
      </c>
      <c r="T68">
        <v>0.244814157528076</v>
      </c>
      <c r="U68">
        <v>2005</v>
      </c>
      <c r="V68">
        <v>18</v>
      </c>
      <c r="W68">
        <v>1</v>
      </c>
      <c r="X68" t="s">
        <v>711</v>
      </c>
      <c r="Y68" t="s">
        <v>1473</v>
      </c>
      <c r="Z68" t="s">
        <v>2141</v>
      </c>
    </row>
    <row r="69" spans="1:26" ht="15" customHeight="1" x14ac:dyDescent="0.3">
      <c r="A69">
        <v>89</v>
      </c>
      <c r="B69">
        <v>18</v>
      </c>
      <c r="C69" t="s">
        <v>804</v>
      </c>
      <c r="D69" t="s">
        <v>805</v>
      </c>
      <c r="E69" t="s">
        <v>806</v>
      </c>
      <c r="F69">
        <v>2024</v>
      </c>
      <c r="G69">
        <v>1</v>
      </c>
      <c r="H69">
        <v>0</v>
      </c>
      <c r="I69">
        <v>5</v>
      </c>
      <c r="J69">
        <v>0</v>
      </c>
      <c r="K69">
        <v>18000000000</v>
      </c>
      <c r="L69">
        <v>415</v>
      </c>
      <c r="M69">
        <v>7470000000</v>
      </c>
      <c r="N69">
        <v>666447596</v>
      </c>
      <c r="O69">
        <v>1095504241</v>
      </c>
      <c r="P69">
        <v>429056645</v>
      </c>
      <c r="Q69">
        <v>7.4271256025196903</v>
      </c>
      <c r="R69">
        <v>20.814480588283999</v>
      </c>
      <c r="S69">
        <v>0.608347801001347</v>
      </c>
      <c r="T69">
        <v>0.391652198998653</v>
      </c>
      <c r="U69">
        <v>2005</v>
      </c>
      <c r="V69">
        <v>19</v>
      </c>
      <c r="W69">
        <v>1</v>
      </c>
      <c r="X69" t="s">
        <v>711</v>
      </c>
      <c r="Y69" t="s">
        <v>1473</v>
      </c>
      <c r="Z69" t="s">
        <v>2141</v>
      </c>
    </row>
    <row r="70" spans="1:26" ht="15" customHeight="1" x14ac:dyDescent="0.3">
      <c r="A70">
        <v>90</v>
      </c>
      <c r="B70">
        <v>18</v>
      </c>
      <c r="C70" t="s">
        <v>804</v>
      </c>
      <c r="D70" t="s">
        <v>805</v>
      </c>
      <c r="E70" t="s">
        <v>806</v>
      </c>
      <c r="F70">
        <v>2025</v>
      </c>
      <c r="G70">
        <v>1</v>
      </c>
      <c r="H70">
        <v>0</v>
      </c>
      <c r="I70">
        <v>0</v>
      </c>
      <c r="J70">
        <v>0</v>
      </c>
      <c r="K70">
        <v>18000000000</v>
      </c>
      <c r="L70">
        <v>798.89</v>
      </c>
      <c r="M70">
        <v>14380020000</v>
      </c>
      <c r="N70">
        <v>683400000</v>
      </c>
      <c r="O70">
        <v>1386190000</v>
      </c>
      <c r="P70">
        <v>702790000</v>
      </c>
      <c r="Q70">
        <v>10.8667787244173</v>
      </c>
      <c r="R70">
        <v>21.049824813455899</v>
      </c>
      <c r="S70">
        <v>0.49300600927722799</v>
      </c>
      <c r="T70">
        <v>0.50699399072277296</v>
      </c>
      <c r="U70">
        <v>2005</v>
      </c>
      <c r="V70">
        <v>20</v>
      </c>
      <c r="W70">
        <v>1</v>
      </c>
      <c r="X70" t="s">
        <v>711</v>
      </c>
      <c r="Y70" t="s">
        <v>1474</v>
      </c>
      <c r="Z70" t="s">
        <v>2141</v>
      </c>
    </row>
    <row r="71" spans="1:26" ht="15" customHeight="1" x14ac:dyDescent="0.3">
      <c r="A71">
        <v>91</v>
      </c>
      <c r="B71">
        <v>19</v>
      </c>
      <c r="C71" t="s">
        <v>809</v>
      </c>
      <c r="D71" t="s">
        <v>810</v>
      </c>
      <c r="E71" t="s">
        <v>806</v>
      </c>
      <c r="F71">
        <v>2021</v>
      </c>
      <c r="G71">
        <v>0</v>
      </c>
      <c r="H71">
        <v>0</v>
      </c>
      <c r="I71">
        <v>10</v>
      </c>
      <c r="J71">
        <v>0</v>
      </c>
      <c r="K71">
        <v>1878000000</v>
      </c>
      <c r="L71">
        <v>8.8018999999999998</v>
      </c>
      <c r="M71">
        <v>16529968.199999999</v>
      </c>
      <c r="N71">
        <v>30051937</v>
      </c>
      <c r="O71">
        <v>43688291</v>
      </c>
      <c r="P71">
        <v>13636354</v>
      </c>
      <c r="Q71">
        <v>1.06623317446773</v>
      </c>
      <c r="R71">
        <v>17.5925906836599</v>
      </c>
      <c r="S71">
        <v>0.687871654215085</v>
      </c>
      <c r="T71">
        <v>0.312128345784915</v>
      </c>
      <c r="U71">
        <v>1965</v>
      </c>
      <c r="V71">
        <v>56</v>
      </c>
      <c r="W71">
        <v>1</v>
      </c>
      <c r="X71" t="s">
        <v>812</v>
      </c>
      <c r="Y71" t="s">
        <v>1475</v>
      </c>
      <c r="Z71" t="s">
        <v>2141</v>
      </c>
    </row>
    <row r="72" spans="1:26" ht="15" customHeight="1" x14ac:dyDescent="0.3">
      <c r="A72">
        <v>92</v>
      </c>
      <c r="B72">
        <v>19</v>
      </c>
      <c r="C72" t="s">
        <v>809</v>
      </c>
      <c r="D72" t="s">
        <v>810</v>
      </c>
      <c r="E72" t="s">
        <v>806</v>
      </c>
      <c r="F72">
        <v>2022</v>
      </c>
      <c r="G72">
        <v>0</v>
      </c>
      <c r="H72">
        <v>0</v>
      </c>
      <c r="I72">
        <v>0</v>
      </c>
      <c r="J72">
        <v>0</v>
      </c>
      <c r="K72">
        <v>1878000000</v>
      </c>
      <c r="L72">
        <v>11.901</v>
      </c>
      <c r="M72">
        <v>22350078</v>
      </c>
      <c r="N72">
        <v>46763275</v>
      </c>
      <c r="O72">
        <v>59713684</v>
      </c>
      <c r="P72">
        <v>12950409</v>
      </c>
      <c r="Q72">
        <v>1.1574123110542001</v>
      </c>
      <c r="R72">
        <v>17.905071764827898</v>
      </c>
      <c r="S72">
        <v>0.78312493665605998</v>
      </c>
      <c r="T72">
        <v>0.21687506334393999</v>
      </c>
      <c r="U72">
        <v>1965</v>
      </c>
      <c r="V72">
        <v>57</v>
      </c>
      <c r="W72">
        <v>1</v>
      </c>
      <c r="X72" t="s">
        <v>812</v>
      </c>
      <c r="Y72" t="s">
        <v>1476</v>
      </c>
      <c r="Z72" t="s">
        <v>2141</v>
      </c>
    </row>
    <row r="73" spans="1:26" ht="15" customHeight="1" x14ac:dyDescent="0.3">
      <c r="A73">
        <v>93</v>
      </c>
      <c r="B73">
        <v>19</v>
      </c>
      <c r="C73" t="s">
        <v>809</v>
      </c>
      <c r="D73" t="s">
        <v>810</v>
      </c>
      <c r="E73" t="s">
        <v>806</v>
      </c>
      <c r="F73">
        <v>2023</v>
      </c>
      <c r="G73">
        <v>1</v>
      </c>
      <c r="H73">
        <v>0</v>
      </c>
      <c r="I73">
        <v>20</v>
      </c>
      <c r="J73">
        <v>0</v>
      </c>
      <c r="K73">
        <v>1878000000</v>
      </c>
      <c r="L73">
        <v>19.004300000000001</v>
      </c>
      <c r="M73">
        <v>35690075.399999999</v>
      </c>
      <c r="N73">
        <v>74674690</v>
      </c>
      <c r="O73">
        <v>64452683</v>
      </c>
      <c r="P73">
        <v>-10222007</v>
      </c>
      <c r="Q73">
        <v>1.71233779980889</v>
      </c>
      <c r="R73">
        <v>17.981441915652901</v>
      </c>
      <c r="S73">
        <v>1.1585970750046199</v>
      </c>
      <c r="T73">
        <v>-0.15859707500462</v>
      </c>
      <c r="U73">
        <v>1965</v>
      </c>
      <c r="V73">
        <v>58</v>
      </c>
      <c r="W73">
        <v>1</v>
      </c>
      <c r="X73" t="s">
        <v>812</v>
      </c>
      <c r="Y73" t="s">
        <v>1477</v>
      </c>
      <c r="Z73" t="s">
        <v>2141</v>
      </c>
    </row>
    <row r="74" spans="1:26" ht="15" customHeight="1" x14ac:dyDescent="0.3">
      <c r="A74">
        <v>94</v>
      </c>
      <c r="B74">
        <v>19</v>
      </c>
      <c r="C74" t="s">
        <v>809</v>
      </c>
      <c r="D74" t="s">
        <v>810</v>
      </c>
      <c r="E74" t="s">
        <v>806</v>
      </c>
      <c r="F74">
        <v>2024</v>
      </c>
      <c r="G74">
        <v>1</v>
      </c>
      <c r="H74">
        <v>0</v>
      </c>
      <c r="I74">
        <v>10</v>
      </c>
      <c r="J74">
        <v>0</v>
      </c>
      <c r="K74">
        <v>2280000000</v>
      </c>
      <c r="L74">
        <v>21.5044</v>
      </c>
      <c r="M74">
        <v>49030032</v>
      </c>
      <c r="N74">
        <v>68064751</v>
      </c>
      <c r="O74">
        <v>72443944</v>
      </c>
      <c r="P74">
        <v>4379193</v>
      </c>
      <c r="Q74">
        <v>1.6163501948485901</v>
      </c>
      <c r="R74">
        <v>18.098323634555399</v>
      </c>
      <c r="S74">
        <v>0.93955059928818896</v>
      </c>
      <c r="T74">
        <v>6.0449400711811097E-2</v>
      </c>
      <c r="U74">
        <v>1965</v>
      </c>
      <c r="V74">
        <v>59</v>
      </c>
      <c r="W74">
        <v>1</v>
      </c>
      <c r="X74" t="s">
        <v>812</v>
      </c>
      <c r="Y74" t="s">
        <v>1478</v>
      </c>
      <c r="Z74" t="s">
        <v>2141</v>
      </c>
    </row>
    <row r="75" spans="1:26" ht="15" customHeight="1" x14ac:dyDescent="0.3">
      <c r="A75">
        <v>95</v>
      </c>
      <c r="B75">
        <v>19</v>
      </c>
      <c r="C75" t="s">
        <v>809</v>
      </c>
      <c r="D75" t="s">
        <v>810</v>
      </c>
      <c r="E75" t="s">
        <v>806</v>
      </c>
      <c r="F75">
        <v>2025</v>
      </c>
      <c r="G75">
        <v>1</v>
      </c>
      <c r="H75">
        <v>0</v>
      </c>
      <c r="I75">
        <v>50</v>
      </c>
      <c r="J75">
        <v>20</v>
      </c>
      <c r="K75">
        <v>2280000000</v>
      </c>
      <c r="L75">
        <v>59.907899999999998</v>
      </c>
      <c r="M75">
        <v>136590012</v>
      </c>
      <c r="N75">
        <v>61942992</v>
      </c>
      <c r="O75">
        <v>75363153</v>
      </c>
      <c r="P75">
        <v>13420161</v>
      </c>
      <c r="Q75">
        <v>2.63435108666433</v>
      </c>
      <c r="R75">
        <v>18.137829026529101</v>
      </c>
      <c r="S75">
        <v>0.82192675776184698</v>
      </c>
      <c r="T75">
        <v>0.17807324223815299</v>
      </c>
      <c r="U75">
        <v>1965</v>
      </c>
      <c r="V75">
        <v>60</v>
      </c>
      <c r="W75">
        <v>1</v>
      </c>
      <c r="X75" t="s">
        <v>812</v>
      </c>
      <c r="Y75" t="s">
        <v>1479</v>
      </c>
      <c r="Z75" t="s">
        <v>2141</v>
      </c>
    </row>
    <row r="76" spans="1:26" ht="15" customHeight="1" x14ac:dyDescent="0.3">
      <c r="A76">
        <v>96</v>
      </c>
      <c r="B76">
        <v>20</v>
      </c>
      <c r="C76" t="s">
        <v>814</v>
      </c>
      <c r="D76" t="s">
        <v>815</v>
      </c>
      <c r="E76" t="s">
        <v>772</v>
      </c>
      <c r="F76">
        <v>2021</v>
      </c>
      <c r="G76">
        <v>0</v>
      </c>
      <c r="H76">
        <v>0</v>
      </c>
      <c r="I76">
        <v>0</v>
      </c>
      <c r="J76">
        <v>0</v>
      </c>
      <c r="K76">
        <v>788260000</v>
      </c>
      <c r="L76">
        <v>19.446400000000001</v>
      </c>
      <c r="M76">
        <v>15328819.264</v>
      </c>
      <c r="N76">
        <v>7706131</v>
      </c>
      <c r="O76">
        <v>12115919</v>
      </c>
      <c r="P76">
        <v>4409788</v>
      </c>
      <c r="Q76">
        <v>1.90121362349814</v>
      </c>
      <c r="R76">
        <v>16.310030765732201</v>
      </c>
      <c r="S76">
        <v>0.63603355222166802</v>
      </c>
      <c r="T76">
        <v>0.36396644777833198</v>
      </c>
      <c r="U76">
        <v>1965</v>
      </c>
      <c r="V76">
        <v>56</v>
      </c>
      <c r="W76">
        <v>1</v>
      </c>
      <c r="X76" t="s">
        <v>727</v>
      </c>
      <c r="Y76" t="s">
        <v>1480</v>
      </c>
      <c r="Z76" t="s">
        <v>2141</v>
      </c>
    </row>
    <row r="77" spans="1:26" ht="15" customHeight="1" x14ac:dyDescent="0.3">
      <c r="A77">
        <v>97</v>
      </c>
      <c r="B77">
        <v>20</v>
      </c>
      <c r="C77" t="s">
        <v>814</v>
      </c>
      <c r="D77" t="s">
        <v>815</v>
      </c>
      <c r="E77" t="s">
        <v>772</v>
      </c>
      <c r="F77">
        <v>2022</v>
      </c>
      <c r="G77">
        <v>0</v>
      </c>
      <c r="H77">
        <v>0</v>
      </c>
      <c r="I77">
        <v>0</v>
      </c>
      <c r="J77">
        <v>0</v>
      </c>
      <c r="K77">
        <v>814747500</v>
      </c>
      <c r="L77">
        <v>17.7989</v>
      </c>
      <c r="M77">
        <v>14501609.27775</v>
      </c>
      <c r="N77">
        <v>6806603</v>
      </c>
      <c r="O77">
        <v>13406204</v>
      </c>
      <c r="P77">
        <v>6599601</v>
      </c>
      <c r="Q77">
        <v>1.58942921335152</v>
      </c>
      <c r="R77">
        <v>16.411228142851201</v>
      </c>
      <c r="S77">
        <v>0.50772038080279902</v>
      </c>
      <c r="T77">
        <v>0.49227961919720198</v>
      </c>
      <c r="U77">
        <v>1965</v>
      </c>
      <c r="V77">
        <v>57</v>
      </c>
      <c r="W77">
        <v>1</v>
      </c>
      <c r="X77" t="s">
        <v>727</v>
      </c>
      <c r="Y77" t="s">
        <v>1481</v>
      </c>
      <c r="Z77" t="s">
        <v>2141</v>
      </c>
    </row>
    <row r="78" spans="1:26" ht="15" customHeight="1" x14ac:dyDescent="0.3">
      <c r="A78">
        <v>98</v>
      </c>
      <c r="B78">
        <v>20</v>
      </c>
      <c r="C78" t="s">
        <v>814</v>
      </c>
      <c r="D78" t="s">
        <v>815</v>
      </c>
      <c r="E78" t="s">
        <v>772</v>
      </c>
      <c r="F78">
        <v>2023</v>
      </c>
      <c r="G78">
        <v>1</v>
      </c>
      <c r="H78">
        <v>0</v>
      </c>
      <c r="I78">
        <v>0</v>
      </c>
      <c r="J78">
        <v>0</v>
      </c>
      <c r="K78">
        <v>814747500</v>
      </c>
      <c r="L78">
        <v>20.855599999999999</v>
      </c>
      <c r="M78">
        <v>16992047.960999999</v>
      </c>
      <c r="N78">
        <v>7403814</v>
      </c>
      <c r="O78">
        <v>15373521</v>
      </c>
      <c r="P78">
        <v>7969707</v>
      </c>
      <c r="Q78">
        <v>1.5868753788413199</v>
      </c>
      <c r="R78">
        <v>16.548157171907899</v>
      </c>
      <c r="S78">
        <v>0.48159520515827198</v>
      </c>
      <c r="T78">
        <v>0.51840479484172797</v>
      </c>
      <c r="U78">
        <v>1965</v>
      </c>
      <c r="V78">
        <v>58</v>
      </c>
      <c r="W78">
        <v>1</v>
      </c>
      <c r="X78" t="s">
        <v>727</v>
      </c>
      <c r="Y78" t="s">
        <v>1482</v>
      </c>
      <c r="Z78" t="s">
        <v>2141</v>
      </c>
    </row>
    <row r="79" spans="1:26" ht="15" customHeight="1" x14ac:dyDescent="0.3">
      <c r="A79">
        <v>99</v>
      </c>
      <c r="B79">
        <v>20</v>
      </c>
      <c r="C79" t="s">
        <v>814</v>
      </c>
      <c r="D79" t="s">
        <v>815</v>
      </c>
      <c r="E79" t="s">
        <v>772</v>
      </c>
      <c r="F79">
        <v>2024</v>
      </c>
      <c r="G79">
        <v>1</v>
      </c>
      <c r="H79">
        <v>0</v>
      </c>
      <c r="I79">
        <v>0</v>
      </c>
      <c r="J79">
        <v>0</v>
      </c>
      <c r="K79">
        <v>814747500</v>
      </c>
      <c r="L79">
        <v>38.007300000000001</v>
      </c>
      <c r="M79">
        <v>30966352.656750001</v>
      </c>
      <c r="N79">
        <v>9040692</v>
      </c>
      <c r="O79">
        <v>19677179</v>
      </c>
      <c r="P79">
        <v>10636487</v>
      </c>
      <c r="Q79">
        <v>2.0331697270604701</v>
      </c>
      <c r="R79">
        <v>16.794970095817799</v>
      </c>
      <c r="S79">
        <v>0.459450615354975</v>
      </c>
      <c r="T79">
        <v>0.540549384645025</v>
      </c>
      <c r="U79">
        <v>1965</v>
      </c>
      <c r="V79">
        <v>59</v>
      </c>
      <c r="W79">
        <v>1</v>
      </c>
      <c r="X79" t="s">
        <v>727</v>
      </c>
      <c r="Y79" t="s">
        <v>1482</v>
      </c>
      <c r="Z79" t="s">
        <v>2141</v>
      </c>
    </row>
    <row r="80" spans="1:26" ht="15" customHeight="1" x14ac:dyDescent="0.3">
      <c r="A80">
        <v>100</v>
      </c>
      <c r="B80">
        <v>20</v>
      </c>
      <c r="C80" t="s">
        <v>814</v>
      </c>
      <c r="D80" t="s">
        <v>815</v>
      </c>
      <c r="E80" t="s">
        <v>772</v>
      </c>
      <c r="F80">
        <v>2025</v>
      </c>
      <c r="G80">
        <v>1</v>
      </c>
      <c r="H80">
        <v>0</v>
      </c>
      <c r="I80">
        <v>0</v>
      </c>
      <c r="J80">
        <v>0</v>
      </c>
      <c r="K80">
        <v>814747500</v>
      </c>
      <c r="L80">
        <v>69.009799999999998</v>
      </c>
      <c r="M80">
        <v>56225562.0255</v>
      </c>
      <c r="N80">
        <v>10218000</v>
      </c>
      <c r="O80">
        <v>24466000</v>
      </c>
      <c r="P80">
        <v>14248000</v>
      </c>
      <c r="Q80">
        <v>2.7157509206858501</v>
      </c>
      <c r="R80">
        <v>17.012794956589001</v>
      </c>
      <c r="S80">
        <v>0.41764080765143502</v>
      </c>
      <c r="T80">
        <v>0.58235919234856504</v>
      </c>
      <c r="U80">
        <v>1965</v>
      </c>
      <c r="V80">
        <v>60</v>
      </c>
      <c r="W80">
        <v>1</v>
      </c>
      <c r="X80" t="s">
        <v>727</v>
      </c>
      <c r="Y80" t="s">
        <v>1483</v>
      </c>
      <c r="Z80" t="s">
        <v>2141</v>
      </c>
    </row>
    <row r="81" spans="1:26" ht="15" customHeight="1" x14ac:dyDescent="0.3">
      <c r="A81">
        <v>101</v>
      </c>
      <c r="B81">
        <v>21</v>
      </c>
      <c r="C81" t="s">
        <v>818</v>
      </c>
      <c r="D81" t="s">
        <v>819</v>
      </c>
      <c r="E81" t="s">
        <v>715</v>
      </c>
      <c r="F81">
        <v>2021</v>
      </c>
      <c r="G81">
        <v>0</v>
      </c>
      <c r="H81">
        <v>0</v>
      </c>
      <c r="I81">
        <v>10</v>
      </c>
      <c r="J81">
        <v>0</v>
      </c>
      <c r="K81">
        <v>3350509750</v>
      </c>
      <c r="L81">
        <v>1.72</v>
      </c>
      <c r="M81">
        <v>5762876.7699999996</v>
      </c>
      <c r="N81">
        <v>62492729</v>
      </c>
      <c r="O81">
        <v>79799649</v>
      </c>
      <c r="P81">
        <v>-4303635</v>
      </c>
      <c r="Q81">
        <v>0.855337167836415</v>
      </c>
      <c r="R81">
        <v>18.195029663914099</v>
      </c>
      <c r="S81">
        <v>0.78312034931381702</v>
      </c>
      <c r="T81">
        <v>-5.3930500370997898E-2</v>
      </c>
      <c r="U81">
        <v>2008</v>
      </c>
      <c r="V81">
        <v>13</v>
      </c>
      <c r="W81">
        <v>1</v>
      </c>
      <c r="X81" t="s">
        <v>711</v>
      </c>
      <c r="Y81" t="s">
        <v>1484</v>
      </c>
      <c r="Z81" t="s">
        <v>2141</v>
      </c>
    </row>
    <row r="82" spans="1:26" ht="15" customHeight="1" x14ac:dyDescent="0.3">
      <c r="A82">
        <v>102</v>
      </c>
      <c r="B82">
        <v>21</v>
      </c>
      <c r="C82" t="s">
        <v>818</v>
      </c>
      <c r="D82" t="s">
        <v>819</v>
      </c>
      <c r="E82" t="s">
        <v>715</v>
      </c>
      <c r="F82">
        <v>2022</v>
      </c>
      <c r="G82">
        <v>0</v>
      </c>
      <c r="H82">
        <v>0</v>
      </c>
      <c r="I82">
        <v>10</v>
      </c>
      <c r="J82">
        <v>0</v>
      </c>
      <c r="K82">
        <v>3350509750</v>
      </c>
      <c r="L82">
        <v>0.99</v>
      </c>
      <c r="M82">
        <v>3317004.6524999999</v>
      </c>
      <c r="N82">
        <v>62311170</v>
      </c>
      <c r="O82">
        <v>74456376</v>
      </c>
      <c r="P82">
        <v>-5127302</v>
      </c>
      <c r="Q82">
        <v>0.88143122427151199</v>
      </c>
      <c r="R82">
        <v>18.125723954797301</v>
      </c>
      <c r="S82">
        <v>0.836881585534058</v>
      </c>
      <c r="T82">
        <v>-6.8863168951440804E-2</v>
      </c>
      <c r="U82">
        <v>2008</v>
      </c>
      <c r="V82">
        <v>14</v>
      </c>
      <c r="W82">
        <v>1</v>
      </c>
      <c r="X82" t="s">
        <v>711</v>
      </c>
      <c r="Y82" t="s">
        <v>1485</v>
      </c>
      <c r="Z82" t="s">
        <v>2141</v>
      </c>
    </row>
    <row r="83" spans="1:26" ht="15" customHeight="1" x14ac:dyDescent="0.3">
      <c r="A83">
        <v>103</v>
      </c>
      <c r="B83">
        <v>21</v>
      </c>
      <c r="C83" t="s">
        <v>818</v>
      </c>
      <c r="D83" t="s">
        <v>819</v>
      </c>
      <c r="E83" t="s">
        <v>715</v>
      </c>
      <c r="F83">
        <v>2023</v>
      </c>
      <c r="G83">
        <v>1</v>
      </c>
      <c r="H83">
        <v>0</v>
      </c>
      <c r="I83">
        <v>10</v>
      </c>
      <c r="J83">
        <v>0</v>
      </c>
      <c r="K83">
        <v>3350509750</v>
      </c>
      <c r="L83">
        <v>1.79</v>
      </c>
      <c r="M83">
        <v>5997412.4524999997</v>
      </c>
      <c r="N83">
        <v>80066013</v>
      </c>
      <c r="O83">
        <v>79318378</v>
      </c>
      <c r="P83">
        <v>-12654132</v>
      </c>
      <c r="Q83">
        <v>1.0850376372106401</v>
      </c>
      <c r="R83">
        <v>18.188980412591899</v>
      </c>
      <c r="S83">
        <v>1.00942574746044</v>
      </c>
      <c r="T83">
        <v>-0.15953594008188099</v>
      </c>
      <c r="U83">
        <v>2008</v>
      </c>
      <c r="V83">
        <v>15</v>
      </c>
      <c r="W83">
        <v>1</v>
      </c>
      <c r="X83" t="s">
        <v>711</v>
      </c>
      <c r="Y83" t="s">
        <v>1486</v>
      </c>
      <c r="Z83" t="s">
        <v>2141</v>
      </c>
    </row>
    <row r="84" spans="1:26" ht="15" customHeight="1" x14ac:dyDescent="0.3">
      <c r="A84">
        <v>104</v>
      </c>
      <c r="B84">
        <v>21</v>
      </c>
      <c r="C84" t="s">
        <v>818</v>
      </c>
      <c r="D84" t="s">
        <v>819</v>
      </c>
      <c r="E84" t="s">
        <v>715</v>
      </c>
      <c r="F84">
        <v>2024</v>
      </c>
      <c r="G84">
        <v>1</v>
      </c>
      <c r="H84">
        <v>0</v>
      </c>
      <c r="I84">
        <v>0</v>
      </c>
      <c r="J84">
        <v>0</v>
      </c>
      <c r="K84">
        <v>3350509750</v>
      </c>
      <c r="L84">
        <v>2.3199999999999998</v>
      </c>
      <c r="M84">
        <v>7773182.6200000001</v>
      </c>
      <c r="N84">
        <v>130771139</v>
      </c>
      <c r="O84">
        <v>76163688</v>
      </c>
      <c r="P84">
        <v>-53472318</v>
      </c>
      <c r="Q84">
        <v>1.8190337844459401</v>
      </c>
      <c r="R84">
        <v>18.1483953716447</v>
      </c>
      <c r="S84">
        <v>1.71697487915764</v>
      </c>
      <c r="T84">
        <v>-0.70207101840971797</v>
      </c>
      <c r="U84">
        <v>2008</v>
      </c>
      <c r="V84">
        <v>16</v>
      </c>
      <c r="W84">
        <v>1</v>
      </c>
      <c r="X84" t="s">
        <v>711</v>
      </c>
      <c r="Y84" t="s">
        <v>1487</v>
      </c>
      <c r="Z84" t="s">
        <v>2141</v>
      </c>
    </row>
    <row r="85" spans="1:26" ht="15" customHeight="1" x14ac:dyDescent="0.3">
      <c r="A85">
        <v>105</v>
      </c>
      <c r="B85">
        <v>21</v>
      </c>
      <c r="C85" t="s">
        <v>818</v>
      </c>
      <c r="D85" t="s">
        <v>819</v>
      </c>
      <c r="E85" t="s">
        <v>715</v>
      </c>
      <c r="F85">
        <v>2025</v>
      </c>
      <c r="G85">
        <v>1</v>
      </c>
      <c r="H85">
        <v>0</v>
      </c>
      <c r="I85">
        <v>10</v>
      </c>
      <c r="J85">
        <v>0</v>
      </c>
      <c r="K85">
        <v>3350509750</v>
      </c>
      <c r="L85">
        <v>5.4</v>
      </c>
      <c r="M85">
        <v>18092752.649999999</v>
      </c>
      <c r="N85">
        <v>127388834</v>
      </c>
      <c r="O85">
        <v>118627469</v>
      </c>
      <c r="P85">
        <v>-13786202</v>
      </c>
      <c r="Q85">
        <v>1.2263735193574801</v>
      </c>
      <c r="R85">
        <v>18.591498628165699</v>
      </c>
      <c r="S85">
        <v>1.0738561234919399</v>
      </c>
      <c r="T85">
        <v>-0.116214247140348</v>
      </c>
      <c r="U85">
        <v>2008</v>
      </c>
      <c r="V85">
        <v>17</v>
      </c>
      <c r="W85">
        <v>1</v>
      </c>
      <c r="X85" t="s">
        <v>711</v>
      </c>
      <c r="Y85" t="s">
        <v>1488</v>
      </c>
      <c r="Z85" t="s">
        <v>2141</v>
      </c>
    </row>
    <row r="86" spans="1:26" ht="15" customHeight="1" x14ac:dyDescent="0.3">
      <c r="A86">
        <v>106</v>
      </c>
      <c r="B86">
        <v>22</v>
      </c>
      <c r="C86" t="s">
        <v>822</v>
      </c>
      <c r="D86" t="s">
        <v>823</v>
      </c>
      <c r="E86" t="s">
        <v>806</v>
      </c>
      <c r="F86">
        <v>2021</v>
      </c>
      <c r="G86">
        <v>0</v>
      </c>
      <c r="H86">
        <v>0</v>
      </c>
      <c r="I86">
        <v>0</v>
      </c>
      <c r="J86">
        <v>0</v>
      </c>
      <c r="K86">
        <v>7829496000</v>
      </c>
      <c r="L86">
        <v>2.35</v>
      </c>
      <c r="M86">
        <v>18399315.600000001</v>
      </c>
      <c r="N86">
        <v>3940710</v>
      </c>
      <c r="O86">
        <v>13473094</v>
      </c>
      <c r="P86">
        <v>984233</v>
      </c>
      <c r="Q86">
        <v>1.6581214084901399</v>
      </c>
      <c r="R86">
        <v>16.416205217630399</v>
      </c>
      <c r="S86">
        <v>0.29248738263089402</v>
      </c>
      <c r="T86">
        <v>7.3051742977522496E-2</v>
      </c>
      <c r="U86">
        <v>1974</v>
      </c>
      <c r="V86">
        <v>47</v>
      </c>
      <c r="W86">
        <v>1</v>
      </c>
      <c r="X86" t="s">
        <v>825</v>
      </c>
      <c r="Y86" t="s">
        <v>1489</v>
      </c>
      <c r="Z86" t="s">
        <v>826</v>
      </c>
    </row>
    <row r="87" spans="1:26" ht="15" customHeight="1" x14ac:dyDescent="0.3">
      <c r="A87">
        <v>107</v>
      </c>
      <c r="B87">
        <v>22</v>
      </c>
      <c r="C87" t="s">
        <v>822</v>
      </c>
      <c r="D87" t="s">
        <v>823</v>
      </c>
      <c r="E87" t="s">
        <v>806</v>
      </c>
      <c r="F87">
        <v>2022</v>
      </c>
      <c r="G87">
        <v>0</v>
      </c>
      <c r="H87">
        <v>0</v>
      </c>
      <c r="I87">
        <v>0</v>
      </c>
      <c r="J87">
        <v>0</v>
      </c>
      <c r="K87">
        <v>7829496000</v>
      </c>
      <c r="L87">
        <v>5.5000999999999998</v>
      </c>
      <c r="M87">
        <v>43063010.949600004</v>
      </c>
      <c r="N87">
        <v>4539125</v>
      </c>
      <c r="O87">
        <v>15453585</v>
      </c>
      <c r="P87">
        <v>882215</v>
      </c>
      <c r="Q87">
        <v>3.0803296419309798</v>
      </c>
      <c r="R87">
        <v>16.553351573226099</v>
      </c>
      <c r="S87">
        <v>0.29372634246357698</v>
      </c>
      <c r="T87">
        <v>5.7088047854268097E-2</v>
      </c>
      <c r="U87">
        <v>1974</v>
      </c>
      <c r="V87">
        <v>48</v>
      </c>
      <c r="W87">
        <v>1</v>
      </c>
      <c r="X87" t="s">
        <v>825</v>
      </c>
      <c r="Y87" t="s">
        <v>1490</v>
      </c>
      <c r="Z87" t="s">
        <v>826</v>
      </c>
    </row>
    <row r="88" spans="1:26" ht="15" customHeight="1" x14ac:dyDescent="0.3">
      <c r="A88">
        <v>108</v>
      </c>
      <c r="B88">
        <v>22</v>
      </c>
      <c r="C88" t="s">
        <v>822</v>
      </c>
      <c r="D88" t="s">
        <v>823</v>
      </c>
      <c r="E88" t="s">
        <v>806</v>
      </c>
      <c r="F88">
        <v>2023</v>
      </c>
      <c r="G88">
        <v>1</v>
      </c>
      <c r="H88">
        <v>0</v>
      </c>
      <c r="I88">
        <v>10</v>
      </c>
      <c r="J88">
        <v>6.6666666666666696</v>
      </c>
      <c r="K88">
        <v>7829496000</v>
      </c>
      <c r="L88">
        <v>4.1497000000000002</v>
      </c>
      <c r="M88">
        <v>32490059.551199999</v>
      </c>
      <c r="N88">
        <v>9357780</v>
      </c>
      <c r="O88">
        <v>20553079</v>
      </c>
      <c r="P88">
        <v>370563</v>
      </c>
      <c r="Q88">
        <v>2.0360861528922301</v>
      </c>
      <c r="R88">
        <v>16.838521317366901</v>
      </c>
      <c r="S88">
        <v>0.45529820617144501</v>
      </c>
      <c r="T88">
        <v>1.80295614102393E-2</v>
      </c>
      <c r="U88">
        <v>1974</v>
      </c>
      <c r="V88">
        <v>49</v>
      </c>
      <c r="W88">
        <v>1</v>
      </c>
      <c r="X88" t="s">
        <v>825</v>
      </c>
      <c r="Y88" t="s">
        <v>1491</v>
      </c>
      <c r="Z88" t="s">
        <v>826</v>
      </c>
    </row>
    <row r="89" spans="1:26" ht="15" customHeight="1" x14ac:dyDescent="0.3">
      <c r="A89">
        <v>109</v>
      </c>
      <c r="B89">
        <v>22</v>
      </c>
      <c r="C89" t="s">
        <v>822</v>
      </c>
      <c r="D89" t="s">
        <v>823</v>
      </c>
      <c r="E89" t="s">
        <v>806</v>
      </c>
      <c r="F89">
        <v>2024</v>
      </c>
      <c r="G89">
        <v>1</v>
      </c>
      <c r="H89">
        <v>0</v>
      </c>
      <c r="I89">
        <v>35</v>
      </c>
      <c r="J89">
        <v>20</v>
      </c>
      <c r="K89">
        <v>8947995000</v>
      </c>
      <c r="L89">
        <v>3.8098000000000001</v>
      </c>
      <c r="M89">
        <v>34090071.351000004</v>
      </c>
      <c r="N89">
        <v>9289111</v>
      </c>
      <c r="O89">
        <v>21345197</v>
      </c>
      <c r="P89">
        <v>816995</v>
      </c>
      <c r="Q89">
        <v>2.0322690088547799</v>
      </c>
      <c r="R89">
        <v>16.876337307459298</v>
      </c>
      <c r="S89">
        <v>0.43518506762903197</v>
      </c>
      <c r="T89">
        <v>3.8275355341063397E-2</v>
      </c>
      <c r="U89">
        <v>1974</v>
      </c>
      <c r="V89">
        <v>50</v>
      </c>
      <c r="W89">
        <v>1</v>
      </c>
      <c r="X89" t="s">
        <v>825</v>
      </c>
      <c r="Y89" t="s">
        <v>1492</v>
      </c>
      <c r="Z89" t="s">
        <v>826</v>
      </c>
    </row>
    <row r="90" spans="1:26" ht="15" customHeight="1" x14ac:dyDescent="0.3">
      <c r="A90">
        <v>110</v>
      </c>
      <c r="B90">
        <v>22</v>
      </c>
      <c r="C90" t="s">
        <v>822</v>
      </c>
      <c r="D90" t="s">
        <v>823</v>
      </c>
      <c r="E90" t="s">
        <v>806</v>
      </c>
      <c r="F90">
        <v>2025</v>
      </c>
      <c r="G90">
        <v>1</v>
      </c>
      <c r="H90">
        <v>0</v>
      </c>
      <c r="I90">
        <v>0</v>
      </c>
      <c r="J90">
        <v>0</v>
      </c>
      <c r="K90">
        <v>8947995000</v>
      </c>
      <c r="L90">
        <v>14.0006</v>
      </c>
      <c r="M90">
        <v>125277298.79700001</v>
      </c>
      <c r="N90">
        <v>69261481</v>
      </c>
      <c r="O90">
        <v>82338577</v>
      </c>
      <c r="P90">
        <v>1789881</v>
      </c>
      <c r="Q90">
        <v>2.3626687135606002</v>
      </c>
      <c r="R90">
        <v>18.2263502921552</v>
      </c>
      <c r="S90">
        <v>0.84117898952759396</v>
      </c>
      <c r="T90">
        <v>2.1738060884875399E-2</v>
      </c>
      <c r="U90">
        <v>1974</v>
      </c>
      <c r="V90">
        <v>51</v>
      </c>
      <c r="W90">
        <v>1</v>
      </c>
      <c r="X90" t="s">
        <v>825</v>
      </c>
      <c r="Y90" t="s">
        <v>1493</v>
      </c>
      <c r="Z90" t="s">
        <v>826</v>
      </c>
    </row>
    <row r="91" spans="1:26" ht="15" customHeight="1" x14ac:dyDescent="0.3">
      <c r="A91">
        <v>111</v>
      </c>
      <c r="B91">
        <v>23</v>
      </c>
      <c r="C91" t="s">
        <v>829</v>
      </c>
      <c r="D91" t="s">
        <v>830</v>
      </c>
      <c r="E91" t="s">
        <v>752</v>
      </c>
      <c r="F91">
        <v>2021</v>
      </c>
      <c r="G91">
        <v>0</v>
      </c>
      <c r="H91">
        <v>0</v>
      </c>
      <c r="I91">
        <v>0</v>
      </c>
      <c r="J91">
        <v>0</v>
      </c>
      <c r="K91">
        <v>4696060000</v>
      </c>
      <c r="L91">
        <v>0.21929999999999999</v>
      </c>
      <c r="M91">
        <v>1029845.958</v>
      </c>
      <c r="N91">
        <v>7090714</v>
      </c>
      <c r="O91">
        <v>11825349</v>
      </c>
      <c r="P91">
        <v>-359916</v>
      </c>
      <c r="Q91">
        <v>0.68670784752314695</v>
      </c>
      <c r="R91">
        <v>16.2857560056488</v>
      </c>
      <c r="S91">
        <v>0.59961985054309996</v>
      </c>
      <c r="T91">
        <v>-3.0435972756491202E-2</v>
      </c>
      <c r="U91">
        <v>1985</v>
      </c>
      <c r="V91">
        <v>36</v>
      </c>
      <c r="W91">
        <v>0</v>
      </c>
      <c r="X91" t="s">
        <v>832</v>
      </c>
      <c r="Y91" t="s">
        <v>1494</v>
      </c>
      <c r="Z91" t="s">
        <v>2141</v>
      </c>
    </row>
    <row r="92" spans="1:26" ht="15" customHeight="1" x14ac:dyDescent="0.3">
      <c r="A92">
        <v>112</v>
      </c>
      <c r="B92">
        <v>23</v>
      </c>
      <c r="C92" t="s">
        <v>829</v>
      </c>
      <c r="D92" t="s">
        <v>830</v>
      </c>
      <c r="E92" t="s">
        <v>752</v>
      </c>
      <c r="F92">
        <v>2022</v>
      </c>
      <c r="G92">
        <v>0</v>
      </c>
      <c r="H92">
        <v>0</v>
      </c>
      <c r="I92">
        <v>0</v>
      </c>
      <c r="J92">
        <v>0</v>
      </c>
      <c r="K92">
        <v>4696060000</v>
      </c>
      <c r="L92">
        <v>0.21929999999999999</v>
      </c>
      <c r="M92">
        <v>1029845.958</v>
      </c>
      <c r="N92">
        <v>6839428</v>
      </c>
      <c r="O92">
        <v>16288880</v>
      </c>
      <c r="P92">
        <v>-375240</v>
      </c>
      <c r="Q92">
        <v>0.48310712326445998</v>
      </c>
      <c r="R92">
        <v>16.605993224377901</v>
      </c>
      <c r="S92">
        <v>0.41988325778076802</v>
      </c>
      <c r="T92">
        <v>-2.30365746447883E-2</v>
      </c>
      <c r="U92">
        <v>1985</v>
      </c>
      <c r="V92">
        <v>37</v>
      </c>
      <c r="W92">
        <v>0</v>
      </c>
      <c r="X92" t="s">
        <v>832</v>
      </c>
      <c r="Y92" t="s">
        <v>1495</v>
      </c>
      <c r="Z92" t="s">
        <v>2141</v>
      </c>
    </row>
    <row r="93" spans="1:26" ht="15" customHeight="1" x14ac:dyDescent="0.3">
      <c r="A93">
        <v>113</v>
      </c>
      <c r="B93">
        <v>23</v>
      </c>
      <c r="C93" t="s">
        <v>829</v>
      </c>
      <c r="D93" t="s">
        <v>830</v>
      </c>
      <c r="E93" t="s">
        <v>752</v>
      </c>
      <c r="F93">
        <v>2023</v>
      </c>
      <c r="G93">
        <v>1</v>
      </c>
      <c r="H93">
        <v>0</v>
      </c>
      <c r="I93">
        <v>0</v>
      </c>
      <c r="J93">
        <v>0</v>
      </c>
      <c r="K93">
        <v>4696060000</v>
      </c>
      <c r="L93">
        <v>1.9698</v>
      </c>
      <c r="M93">
        <v>9250298.9879999999</v>
      </c>
      <c r="N93">
        <v>9332146</v>
      </c>
      <c r="O93">
        <v>18999495</v>
      </c>
      <c r="P93">
        <v>20220</v>
      </c>
      <c r="Q93">
        <v>0.97804941594500305</v>
      </c>
      <c r="R93">
        <v>16.759922957830099</v>
      </c>
      <c r="S93">
        <v>0.49117863395842898</v>
      </c>
      <c r="T93">
        <v>1.0642388126631799E-3</v>
      </c>
      <c r="U93">
        <v>1985</v>
      </c>
      <c r="V93">
        <v>38</v>
      </c>
      <c r="W93">
        <v>0</v>
      </c>
      <c r="X93" t="s">
        <v>832</v>
      </c>
      <c r="Y93" t="s">
        <v>1496</v>
      </c>
      <c r="Z93" t="s">
        <v>2141</v>
      </c>
    </row>
    <row r="94" spans="1:26" ht="15" customHeight="1" x14ac:dyDescent="0.3">
      <c r="A94">
        <v>114</v>
      </c>
      <c r="B94">
        <v>23</v>
      </c>
      <c r="C94" t="s">
        <v>829</v>
      </c>
      <c r="D94" t="s">
        <v>830</v>
      </c>
      <c r="E94" t="s">
        <v>752</v>
      </c>
      <c r="F94">
        <v>2024</v>
      </c>
      <c r="G94">
        <v>1</v>
      </c>
      <c r="H94">
        <v>0</v>
      </c>
      <c r="I94">
        <v>0</v>
      </c>
      <c r="J94">
        <v>0</v>
      </c>
      <c r="K94">
        <v>4696060000</v>
      </c>
      <c r="L94">
        <v>1.9911000000000001</v>
      </c>
      <c r="M94">
        <v>9350325.0659999996</v>
      </c>
      <c r="N94">
        <v>10398617</v>
      </c>
      <c r="O94">
        <v>20391942</v>
      </c>
      <c r="P94">
        <v>391055</v>
      </c>
      <c r="Q94">
        <v>0.96846794022854699</v>
      </c>
      <c r="R94">
        <v>16.8306503807814</v>
      </c>
      <c r="S94">
        <v>0.50993755278432995</v>
      </c>
      <c r="T94">
        <v>1.9176937635463999E-2</v>
      </c>
      <c r="U94">
        <v>1985</v>
      </c>
      <c r="V94">
        <v>39</v>
      </c>
      <c r="W94">
        <v>0</v>
      </c>
      <c r="X94" t="s">
        <v>832</v>
      </c>
      <c r="Y94" t="s">
        <v>1497</v>
      </c>
      <c r="Z94" t="s">
        <v>2141</v>
      </c>
    </row>
    <row r="95" spans="1:26" ht="15" customHeight="1" x14ac:dyDescent="0.3">
      <c r="A95">
        <v>115</v>
      </c>
      <c r="B95">
        <v>23</v>
      </c>
      <c r="C95" t="s">
        <v>829</v>
      </c>
      <c r="D95" t="s">
        <v>830</v>
      </c>
      <c r="E95" t="s">
        <v>752</v>
      </c>
      <c r="F95">
        <v>2025</v>
      </c>
      <c r="G95">
        <v>1</v>
      </c>
      <c r="H95">
        <v>0</v>
      </c>
      <c r="I95">
        <v>0</v>
      </c>
      <c r="J95">
        <v>0</v>
      </c>
      <c r="K95">
        <v>9000000000</v>
      </c>
      <c r="L95">
        <v>3.9</v>
      </c>
      <c r="M95">
        <v>35100000</v>
      </c>
      <c r="N95">
        <v>14856894</v>
      </c>
      <c r="O95">
        <v>34378390</v>
      </c>
      <c r="P95">
        <v>417093</v>
      </c>
      <c r="Q95">
        <v>1.45314815498922</v>
      </c>
      <c r="R95">
        <v>17.352938727270399</v>
      </c>
      <c r="S95">
        <v>0.43215793409755399</v>
      </c>
      <c r="T95">
        <v>1.21324180684436E-2</v>
      </c>
      <c r="U95">
        <v>1985</v>
      </c>
      <c r="V95">
        <v>40</v>
      </c>
      <c r="W95">
        <v>0</v>
      </c>
      <c r="X95" t="s">
        <v>832</v>
      </c>
      <c r="Y95" t="s">
        <v>1498</v>
      </c>
      <c r="Z95" t="s">
        <v>2141</v>
      </c>
    </row>
    <row r="96" spans="1:26" ht="15" customHeight="1" x14ac:dyDescent="0.3">
      <c r="A96">
        <v>116</v>
      </c>
      <c r="B96">
        <v>24</v>
      </c>
      <c r="C96" t="s">
        <v>834</v>
      </c>
      <c r="D96" t="s">
        <v>835</v>
      </c>
      <c r="E96" t="s">
        <v>772</v>
      </c>
      <c r="F96">
        <v>2021</v>
      </c>
      <c r="G96">
        <v>0</v>
      </c>
      <c r="H96">
        <v>0</v>
      </c>
      <c r="I96">
        <v>0</v>
      </c>
      <c r="J96">
        <v>0</v>
      </c>
      <c r="K96">
        <v>722925000</v>
      </c>
      <c r="L96">
        <v>2.2408000000000001</v>
      </c>
      <c r="M96">
        <v>1619930.34</v>
      </c>
      <c r="N96">
        <v>13597176</v>
      </c>
      <c r="O96">
        <v>6574367</v>
      </c>
      <c r="P96">
        <v>-3814043</v>
      </c>
      <c r="Q96">
        <v>2.3146116333329099</v>
      </c>
      <c r="R96">
        <v>15.6986888576292</v>
      </c>
      <c r="S96">
        <v>2.0682106733621701</v>
      </c>
      <c r="T96">
        <v>-0.58013843766251605</v>
      </c>
      <c r="U96">
        <v>1947</v>
      </c>
      <c r="V96">
        <v>74</v>
      </c>
      <c r="W96">
        <v>0</v>
      </c>
      <c r="X96" t="s">
        <v>837</v>
      </c>
      <c r="Y96" t="s">
        <v>1499</v>
      </c>
      <c r="Z96" t="s">
        <v>2141</v>
      </c>
    </row>
    <row r="97" spans="1:26" ht="15" customHeight="1" x14ac:dyDescent="0.3">
      <c r="A97">
        <v>117</v>
      </c>
      <c r="B97">
        <v>24</v>
      </c>
      <c r="C97" t="s">
        <v>834</v>
      </c>
      <c r="D97" t="s">
        <v>835</v>
      </c>
      <c r="E97" t="s">
        <v>772</v>
      </c>
      <c r="F97">
        <v>2022</v>
      </c>
      <c r="G97">
        <v>0</v>
      </c>
      <c r="H97">
        <v>0</v>
      </c>
      <c r="I97">
        <v>0</v>
      </c>
      <c r="J97">
        <v>0</v>
      </c>
      <c r="K97">
        <v>722925000</v>
      </c>
      <c r="L97">
        <v>2.2408000000000001</v>
      </c>
      <c r="M97">
        <v>1619930.34</v>
      </c>
      <c r="N97">
        <v>14938142</v>
      </c>
      <c r="O97">
        <v>11123983</v>
      </c>
      <c r="P97">
        <v>882215</v>
      </c>
      <c r="Q97">
        <v>1.4885021255426201</v>
      </c>
      <c r="R97">
        <v>16.224613966107601</v>
      </c>
      <c r="S97">
        <v>1.3428770971692401</v>
      </c>
      <c r="T97">
        <v>7.93074746698193E-2</v>
      </c>
      <c r="U97">
        <v>1947</v>
      </c>
      <c r="V97">
        <v>75</v>
      </c>
      <c r="W97">
        <v>0</v>
      </c>
      <c r="X97" t="s">
        <v>837</v>
      </c>
      <c r="Y97" t="s">
        <v>1500</v>
      </c>
      <c r="Z97" t="s">
        <v>2141</v>
      </c>
    </row>
    <row r="98" spans="1:26" ht="15" customHeight="1" x14ac:dyDescent="0.3">
      <c r="A98">
        <v>118</v>
      </c>
      <c r="B98">
        <v>24</v>
      </c>
      <c r="C98" t="s">
        <v>834</v>
      </c>
      <c r="D98" t="s">
        <v>835</v>
      </c>
      <c r="E98" t="s">
        <v>772</v>
      </c>
      <c r="F98">
        <v>2023</v>
      </c>
      <c r="G98">
        <v>1</v>
      </c>
      <c r="H98">
        <v>0</v>
      </c>
      <c r="I98">
        <v>0</v>
      </c>
      <c r="J98">
        <v>0</v>
      </c>
      <c r="K98">
        <v>722925000</v>
      </c>
      <c r="L98">
        <v>4.1500000000000004</v>
      </c>
      <c r="M98">
        <v>3000138.75</v>
      </c>
      <c r="N98">
        <v>12209972</v>
      </c>
      <c r="O98">
        <v>12178914</v>
      </c>
      <c r="P98">
        <v>3788560</v>
      </c>
      <c r="Q98">
        <v>1.2488889198166599</v>
      </c>
      <c r="R98">
        <v>16.3152166537092</v>
      </c>
      <c r="S98">
        <v>1.00255014527568</v>
      </c>
      <c r="T98">
        <v>0.31107535532314301</v>
      </c>
      <c r="U98">
        <v>1947</v>
      </c>
      <c r="V98">
        <v>76</v>
      </c>
      <c r="W98">
        <v>0</v>
      </c>
      <c r="X98" t="s">
        <v>837</v>
      </c>
      <c r="Y98" t="s">
        <v>1501</v>
      </c>
      <c r="Z98" t="s">
        <v>2141</v>
      </c>
    </row>
    <row r="99" spans="1:26" ht="15" customHeight="1" x14ac:dyDescent="0.3">
      <c r="A99">
        <v>119</v>
      </c>
      <c r="B99">
        <v>24</v>
      </c>
      <c r="C99" t="s">
        <v>834</v>
      </c>
      <c r="D99" t="s">
        <v>835</v>
      </c>
      <c r="E99" t="s">
        <v>772</v>
      </c>
      <c r="F99">
        <v>2024</v>
      </c>
      <c r="G99">
        <v>1</v>
      </c>
      <c r="H99">
        <v>0</v>
      </c>
      <c r="I99">
        <v>0</v>
      </c>
      <c r="J99">
        <v>0</v>
      </c>
      <c r="K99">
        <v>722925000</v>
      </c>
      <c r="L99">
        <v>3.6930999999999998</v>
      </c>
      <c r="M99">
        <v>2669834.3174999999</v>
      </c>
      <c r="N99">
        <v>16459643</v>
      </c>
      <c r="O99">
        <v>14561812</v>
      </c>
      <c r="P99">
        <v>-3002959</v>
      </c>
      <c r="Q99">
        <v>1.3136742403692601</v>
      </c>
      <c r="R99">
        <v>16.4939130435389</v>
      </c>
      <c r="S99">
        <v>1.13032931615928</v>
      </c>
      <c r="T99">
        <v>-0.206221519684501</v>
      </c>
      <c r="U99">
        <v>1947</v>
      </c>
      <c r="V99">
        <v>77</v>
      </c>
      <c r="W99">
        <v>0</v>
      </c>
      <c r="X99" t="s">
        <v>837</v>
      </c>
      <c r="Y99" t="s">
        <v>1502</v>
      </c>
      <c r="Z99" t="s">
        <v>2141</v>
      </c>
    </row>
    <row r="100" spans="1:26" ht="15" customHeight="1" x14ac:dyDescent="0.3">
      <c r="A100">
        <v>120</v>
      </c>
      <c r="B100">
        <v>24</v>
      </c>
      <c r="C100" t="s">
        <v>834</v>
      </c>
      <c r="D100" t="s">
        <v>835</v>
      </c>
      <c r="E100" t="s">
        <v>772</v>
      </c>
      <c r="F100">
        <v>2025</v>
      </c>
      <c r="G100">
        <v>1</v>
      </c>
      <c r="H100">
        <v>0</v>
      </c>
      <c r="I100">
        <v>0</v>
      </c>
      <c r="J100">
        <v>0</v>
      </c>
      <c r="K100">
        <v>722925000</v>
      </c>
      <c r="L100">
        <v>13.1959</v>
      </c>
      <c r="M100">
        <v>9539646.0075000003</v>
      </c>
      <c r="N100">
        <v>21009742</v>
      </c>
      <c r="O100">
        <v>23305367</v>
      </c>
      <c r="P100">
        <v>-2576964</v>
      </c>
      <c r="Q100">
        <v>1.3108305914041201</v>
      </c>
      <c r="R100">
        <v>16.964194235358601</v>
      </c>
      <c r="S100">
        <v>0.90149801116626904</v>
      </c>
      <c r="T100">
        <v>-0.110573843355481</v>
      </c>
      <c r="U100">
        <v>1947</v>
      </c>
      <c r="V100">
        <v>78</v>
      </c>
      <c r="W100">
        <v>0</v>
      </c>
      <c r="X100" t="s">
        <v>837</v>
      </c>
      <c r="Y100" t="s">
        <v>1503</v>
      </c>
      <c r="Z100" t="s">
        <v>2141</v>
      </c>
    </row>
    <row r="101" spans="1:26" ht="15" customHeight="1" x14ac:dyDescent="0.3">
      <c r="A101">
        <v>121</v>
      </c>
      <c r="B101">
        <v>25</v>
      </c>
      <c r="C101" t="s">
        <v>839</v>
      </c>
      <c r="D101" t="s">
        <v>840</v>
      </c>
      <c r="E101" t="s">
        <v>715</v>
      </c>
      <c r="F101">
        <v>2021</v>
      </c>
      <c r="G101">
        <v>0</v>
      </c>
      <c r="H101">
        <v>0</v>
      </c>
      <c r="I101">
        <v>0</v>
      </c>
      <c r="J101">
        <v>0</v>
      </c>
      <c r="K101">
        <v>1303000000</v>
      </c>
      <c r="L101">
        <v>2.5173000000000001</v>
      </c>
      <c r="M101">
        <v>3280041.9</v>
      </c>
      <c r="N101">
        <v>44271267</v>
      </c>
      <c r="O101">
        <v>58133823</v>
      </c>
      <c r="P101">
        <v>31280</v>
      </c>
      <c r="Q101">
        <v>0.81796287335171503</v>
      </c>
      <c r="R101">
        <v>17.8782582039007</v>
      </c>
      <c r="S101">
        <v>0.76154060950025604</v>
      </c>
      <c r="T101">
        <v>5.3806886225253104E-4</v>
      </c>
      <c r="U101">
        <v>1990</v>
      </c>
      <c r="V101">
        <v>31</v>
      </c>
      <c r="W101">
        <v>1</v>
      </c>
      <c r="X101" t="s">
        <v>722</v>
      </c>
      <c r="Y101" t="s">
        <v>1504</v>
      </c>
      <c r="Z101" t="s">
        <v>2141</v>
      </c>
    </row>
    <row r="102" spans="1:26" ht="15" customHeight="1" x14ac:dyDescent="0.3">
      <c r="A102">
        <v>122</v>
      </c>
      <c r="B102">
        <v>25</v>
      </c>
      <c r="C102" t="s">
        <v>839</v>
      </c>
      <c r="D102" t="s">
        <v>840</v>
      </c>
      <c r="E102" t="s">
        <v>715</v>
      </c>
      <c r="F102">
        <v>2022</v>
      </c>
      <c r="G102">
        <v>0</v>
      </c>
      <c r="H102">
        <v>0</v>
      </c>
      <c r="I102">
        <v>0</v>
      </c>
      <c r="J102">
        <v>0</v>
      </c>
      <c r="K102">
        <v>1303000000</v>
      </c>
      <c r="L102">
        <v>1.9187000000000001</v>
      </c>
      <c r="M102">
        <v>2500066.1</v>
      </c>
      <c r="N102">
        <v>41039444</v>
      </c>
      <c r="O102">
        <v>57753684</v>
      </c>
      <c r="P102">
        <v>577269</v>
      </c>
      <c r="Q102">
        <v>0.75388281897307197</v>
      </c>
      <c r="R102">
        <v>17.8716976975393</v>
      </c>
      <c r="S102">
        <v>0.71059439255857704</v>
      </c>
      <c r="T102">
        <v>9.9953623737664907E-3</v>
      </c>
      <c r="U102">
        <v>1990</v>
      </c>
      <c r="V102">
        <v>32</v>
      </c>
      <c r="W102">
        <v>1</v>
      </c>
      <c r="X102" t="s">
        <v>722</v>
      </c>
      <c r="Y102" t="s">
        <v>1505</v>
      </c>
      <c r="Z102" t="s">
        <v>2141</v>
      </c>
    </row>
    <row r="103" spans="1:26" ht="15" customHeight="1" x14ac:dyDescent="0.3">
      <c r="A103">
        <v>123</v>
      </c>
      <c r="B103">
        <v>25</v>
      </c>
      <c r="C103" t="s">
        <v>839</v>
      </c>
      <c r="D103" t="s">
        <v>840</v>
      </c>
      <c r="E103" t="s">
        <v>715</v>
      </c>
      <c r="F103">
        <v>2023</v>
      </c>
      <c r="G103">
        <v>1</v>
      </c>
      <c r="H103">
        <v>0</v>
      </c>
      <c r="I103">
        <v>0</v>
      </c>
      <c r="J103">
        <v>0</v>
      </c>
      <c r="K103">
        <v>1303000000</v>
      </c>
      <c r="L103">
        <v>3.3614999999999999</v>
      </c>
      <c r="M103">
        <v>4380034.5</v>
      </c>
      <c r="N103">
        <v>52302101</v>
      </c>
      <c r="O103">
        <v>78698307</v>
      </c>
      <c r="P103">
        <v>273334</v>
      </c>
      <c r="Q103">
        <v>0.72024593235531698</v>
      </c>
      <c r="R103">
        <v>18.181132201085099</v>
      </c>
      <c r="S103">
        <v>0.66458991296979197</v>
      </c>
      <c r="T103">
        <v>3.47318780313787E-3</v>
      </c>
      <c r="U103">
        <v>1990</v>
      </c>
      <c r="V103">
        <v>33</v>
      </c>
      <c r="W103">
        <v>1</v>
      </c>
      <c r="X103" t="s">
        <v>722</v>
      </c>
      <c r="Y103" t="s">
        <v>1506</v>
      </c>
      <c r="Z103" t="s">
        <v>2141</v>
      </c>
    </row>
    <row r="104" spans="1:26" ht="15" customHeight="1" x14ac:dyDescent="0.3">
      <c r="A104">
        <v>124</v>
      </c>
      <c r="B104">
        <v>25</v>
      </c>
      <c r="C104" t="s">
        <v>839</v>
      </c>
      <c r="D104" t="s">
        <v>840</v>
      </c>
      <c r="E104" t="s">
        <v>715</v>
      </c>
      <c r="F104">
        <v>2024</v>
      </c>
      <c r="G104">
        <v>1</v>
      </c>
      <c r="H104">
        <v>0</v>
      </c>
      <c r="I104">
        <v>0</v>
      </c>
      <c r="J104">
        <v>0</v>
      </c>
      <c r="K104">
        <v>2949000000</v>
      </c>
      <c r="L104">
        <v>3.7707999999999999</v>
      </c>
      <c r="M104">
        <v>11120089.199999999</v>
      </c>
      <c r="N104">
        <v>68120000</v>
      </c>
      <c r="O104">
        <v>116270000</v>
      </c>
      <c r="P104">
        <v>1600000</v>
      </c>
      <c r="Q104">
        <v>0.68151792551819101</v>
      </c>
      <c r="R104">
        <v>18.5714256306448</v>
      </c>
      <c r="S104">
        <v>0.58587769846047999</v>
      </c>
      <c r="T104">
        <v>1.37610733637224E-2</v>
      </c>
      <c r="U104">
        <v>1990</v>
      </c>
      <c r="V104">
        <v>34</v>
      </c>
      <c r="W104">
        <v>1</v>
      </c>
      <c r="X104" t="s">
        <v>722</v>
      </c>
      <c r="Y104" t="s">
        <v>1507</v>
      </c>
      <c r="Z104" t="s">
        <v>2141</v>
      </c>
    </row>
    <row r="105" spans="1:26" ht="15" customHeight="1" x14ac:dyDescent="0.3">
      <c r="A105">
        <v>125</v>
      </c>
      <c r="B105">
        <v>25</v>
      </c>
      <c r="C105" t="s">
        <v>839</v>
      </c>
      <c r="D105" t="s">
        <v>840</v>
      </c>
      <c r="E105" t="s">
        <v>715</v>
      </c>
      <c r="F105">
        <v>2025</v>
      </c>
      <c r="G105">
        <v>1</v>
      </c>
      <c r="H105">
        <v>0</v>
      </c>
      <c r="I105">
        <v>0</v>
      </c>
      <c r="J105">
        <v>0</v>
      </c>
      <c r="K105">
        <v>2949000000</v>
      </c>
      <c r="L105">
        <v>6.8498000000000001</v>
      </c>
      <c r="M105">
        <v>20200060.199999999</v>
      </c>
      <c r="N105">
        <v>89980000</v>
      </c>
      <c r="O105">
        <v>135550000</v>
      </c>
      <c r="P105">
        <v>2940000</v>
      </c>
      <c r="Q105">
        <v>0.81283703578015498</v>
      </c>
      <c r="R105">
        <v>18.724851133908999</v>
      </c>
      <c r="S105">
        <v>0.66381409074142395</v>
      </c>
      <c r="T105">
        <v>2.1689413500553301E-2</v>
      </c>
      <c r="U105">
        <v>1990</v>
      </c>
      <c r="V105">
        <v>35</v>
      </c>
      <c r="W105">
        <v>1</v>
      </c>
      <c r="X105" t="s">
        <v>722</v>
      </c>
      <c r="Y105" t="s">
        <v>1508</v>
      </c>
      <c r="Z105" t="s">
        <v>2141</v>
      </c>
    </row>
    <row r="106" spans="1:26" ht="15" customHeight="1" x14ac:dyDescent="0.3">
      <c r="A106">
        <v>136</v>
      </c>
      <c r="B106">
        <v>28</v>
      </c>
      <c r="C106" t="s">
        <v>855</v>
      </c>
      <c r="D106" t="s">
        <v>856</v>
      </c>
      <c r="E106" t="s">
        <v>709</v>
      </c>
      <c r="F106">
        <v>2021</v>
      </c>
      <c r="G106">
        <v>0</v>
      </c>
      <c r="H106">
        <v>0</v>
      </c>
      <c r="I106">
        <v>15</v>
      </c>
      <c r="J106">
        <v>0</v>
      </c>
      <c r="K106">
        <v>10840000000</v>
      </c>
      <c r="L106">
        <v>0.78959999999999997</v>
      </c>
      <c r="M106">
        <v>8559264</v>
      </c>
      <c r="N106">
        <v>6662383</v>
      </c>
      <c r="O106">
        <v>15674166</v>
      </c>
      <c r="P106">
        <v>790638</v>
      </c>
      <c r="Q106">
        <v>0.97112962820477999</v>
      </c>
      <c r="R106">
        <v>16.567524437326199</v>
      </c>
      <c r="S106">
        <v>0.42505502366122699</v>
      </c>
      <c r="T106">
        <v>5.0442109647173598E-2</v>
      </c>
      <c r="U106">
        <v>1991</v>
      </c>
      <c r="V106">
        <v>30</v>
      </c>
      <c r="W106">
        <v>1</v>
      </c>
      <c r="X106" t="s">
        <v>727</v>
      </c>
      <c r="Y106" t="s">
        <v>1509</v>
      </c>
      <c r="Z106" t="s">
        <v>2141</v>
      </c>
    </row>
    <row r="107" spans="1:26" ht="15" customHeight="1" x14ac:dyDescent="0.3">
      <c r="A107">
        <v>137</v>
      </c>
      <c r="B107">
        <v>28</v>
      </c>
      <c r="C107" t="s">
        <v>855</v>
      </c>
      <c r="D107" t="s">
        <v>856</v>
      </c>
      <c r="E107" t="s">
        <v>709</v>
      </c>
      <c r="F107">
        <v>2022</v>
      </c>
      <c r="G107">
        <v>0</v>
      </c>
      <c r="H107">
        <v>0</v>
      </c>
      <c r="I107">
        <v>15</v>
      </c>
      <c r="J107">
        <v>0</v>
      </c>
      <c r="K107">
        <v>10840000000</v>
      </c>
      <c r="L107">
        <v>0.66969999999999996</v>
      </c>
      <c r="M107">
        <v>7259548</v>
      </c>
      <c r="N107">
        <v>8726725</v>
      </c>
      <c r="O107">
        <v>18535742</v>
      </c>
      <c r="P107">
        <v>995985</v>
      </c>
      <c r="Q107">
        <v>0.862456598716145</v>
      </c>
      <c r="R107">
        <v>16.7352114261369</v>
      </c>
      <c r="S107">
        <v>0.47080526908499298</v>
      </c>
      <c r="T107">
        <v>5.3733214456696703E-2</v>
      </c>
      <c r="U107">
        <v>1991</v>
      </c>
      <c r="V107">
        <v>31</v>
      </c>
      <c r="W107">
        <v>1</v>
      </c>
      <c r="X107" t="s">
        <v>727</v>
      </c>
      <c r="Y107" t="s">
        <v>1510</v>
      </c>
      <c r="Z107" t="s">
        <v>2141</v>
      </c>
    </row>
    <row r="108" spans="1:26" ht="15" customHeight="1" x14ac:dyDescent="0.3">
      <c r="A108">
        <v>138</v>
      </c>
      <c r="B108">
        <v>28</v>
      </c>
      <c r="C108" t="s">
        <v>855</v>
      </c>
      <c r="D108" t="s">
        <v>856</v>
      </c>
      <c r="E108" t="s">
        <v>709</v>
      </c>
      <c r="F108">
        <v>2023</v>
      </c>
      <c r="G108">
        <v>1</v>
      </c>
      <c r="H108">
        <v>0</v>
      </c>
      <c r="I108">
        <v>0</v>
      </c>
      <c r="J108">
        <v>0</v>
      </c>
      <c r="K108">
        <v>10840000000</v>
      </c>
      <c r="L108">
        <v>1.4696</v>
      </c>
      <c r="M108">
        <v>15930464</v>
      </c>
      <c r="N108">
        <v>13300000</v>
      </c>
      <c r="O108">
        <v>26200000</v>
      </c>
      <c r="P108">
        <v>3700000</v>
      </c>
      <c r="Q108">
        <v>1.1156665648855</v>
      </c>
      <c r="R108">
        <v>17.081269968731299</v>
      </c>
      <c r="S108">
        <v>0.50763358778626</v>
      </c>
      <c r="T108">
        <v>0.14122137404580201</v>
      </c>
      <c r="U108">
        <v>1991</v>
      </c>
      <c r="V108">
        <v>32</v>
      </c>
      <c r="W108">
        <v>1</v>
      </c>
      <c r="X108" t="s">
        <v>727</v>
      </c>
      <c r="Y108" t="s">
        <v>1511</v>
      </c>
      <c r="Z108" t="s">
        <v>2141</v>
      </c>
    </row>
    <row r="109" spans="1:26" ht="15" customHeight="1" x14ac:dyDescent="0.3">
      <c r="A109">
        <v>139</v>
      </c>
      <c r="B109">
        <v>28</v>
      </c>
      <c r="C109" t="s">
        <v>855</v>
      </c>
      <c r="D109" t="s">
        <v>856</v>
      </c>
      <c r="E109" t="s">
        <v>709</v>
      </c>
      <c r="F109">
        <v>2024</v>
      </c>
      <c r="G109">
        <v>1</v>
      </c>
      <c r="H109">
        <v>0</v>
      </c>
      <c r="I109">
        <v>0</v>
      </c>
      <c r="J109">
        <v>0</v>
      </c>
      <c r="K109">
        <v>10840000000</v>
      </c>
      <c r="L109">
        <v>3.4502000000000002</v>
      </c>
      <c r="M109">
        <v>37400168</v>
      </c>
      <c r="N109">
        <v>21900000</v>
      </c>
      <c r="O109">
        <v>56900000</v>
      </c>
      <c r="P109">
        <v>22630000</v>
      </c>
      <c r="Q109">
        <v>1.04218221441125</v>
      </c>
      <c r="R109">
        <v>17.856805899096599</v>
      </c>
      <c r="S109">
        <v>0.38488576449912099</v>
      </c>
      <c r="T109">
        <v>0.397715289982425</v>
      </c>
      <c r="U109">
        <v>1991</v>
      </c>
      <c r="V109">
        <v>33</v>
      </c>
      <c r="W109">
        <v>1</v>
      </c>
      <c r="X109" t="s">
        <v>727</v>
      </c>
      <c r="Y109" t="s">
        <v>1512</v>
      </c>
      <c r="Z109" t="s">
        <v>2141</v>
      </c>
    </row>
    <row r="110" spans="1:26" ht="15" customHeight="1" x14ac:dyDescent="0.3">
      <c r="A110">
        <v>140</v>
      </c>
      <c r="B110">
        <v>28</v>
      </c>
      <c r="C110" t="s">
        <v>855</v>
      </c>
      <c r="D110" t="s">
        <v>856</v>
      </c>
      <c r="E110" t="s">
        <v>709</v>
      </c>
      <c r="F110">
        <v>2025</v>
      </c>
      <c r="G110">
        <v>1</v>
      </c>
      <c r="H110">
        <v>0</v>
      </c>
      <c r="I110">
        <v>0</v>
      </c>
      <c r="J110">
        <v>0</v>
      </c>
      <c r="K110">
        <v>10840000000</v>
      </c>
      <c r="L110">
        <v>4.3404999999999996</v>
      </c>
      <c r="M110">
        <v>47051020</v>
      </c>
      <c r="N110">
        <v>33782035.796999998</v>
      </c>
      <c r="O110">
        <v>75939296.063999996</v>
      </c>
      <c r="P110">
        <v>8440000</v>
      </c>
      <c r="Q110">
        <v>1.06444304841693</v>
      </c>
      <c r="R110">
        <v>18.145444843090999</v>
      </c>
      <c r="S110">
        <v>0.44485579335011499</v>
      </c>
      <c r="T110">
        <v>0.111141404219588</v>
      </c>
      <c r="U110">
        <v>1991</v>
      </c>
      <c r="V110">
        <v>34</v>
      </c>
      <c r="W110">
        <v>1</v>
      </c>
      <c r="X110" t="s">
        <v>727</v>
      </c>
      <c r="Y110" t="s">
        <v>1513</v>
      </c>
      <c r="Z110" t="s">
        <v>2141</v>
      </c>
    </row>
    <row r="111" spans="1:26" ht="15" customHeight="1" x14ac:dyDescent="0.3">
      <c r="A111">
        <v>141</v>
      </c>
      <c r="B111">
        <v>29</v>
      </c>
      <c r="C111" t="s">
        <v>858</v>
      </c>
      <c r="D111" t="s">
        <v>859</v>
      </c>
      <c r="E111" t="s">
        <v>766</v>
      </c>
      <c r="F111">
        <v>2021</v>
      </c>
      <c r="G111">
        <v>0</v>
      </c>
      <c r="H111">
        <v>0</v>
      </c>
      <c r="I111">
        <v>5</v>
      </c>
      <c r="J111">
        <v>0</v>
      </c>
      <c r="K111">
        <v>693952117</v>
      </c>
      <c r="L111">
        <v>22</v>
      </c>
      <c r="M111">
        <v>15266946.573999999</v>
      </c>
      <c r="N111">
        <v>32191978</v>
      </c>
      <c r="O111">
        <v>53981346</v>
      </c>
      <c r="P111">
        <v>3082690</v>
      </c>
      <c r="Q111">
        <v>0.87917267891022999</v>
      </c>
      <c r="R111">
        <v>17.804149100404398</v>
      </c>
      <c r="S111">
        <v>0.59635374782985195</v>
      </c>
      <c r="T111">
        <v>5.71065790023094E-2</v>
      </c>
      <c r="U111">
        <v>1960</v>
      </c>
      <c r="V111">
        <v>61</v>
      </c>
      <c r="W111">
        <v>0</v>
      </c>
      <c r="X111" t="s">
        <v>861</v>
      </c>
      <c r="Y111" t="s">
        <v>1514</v>
      </c>
      <c r="Z111" t="s">
        <v>2141</v>
      </c>
    </row>
    <row r="112" spans="1:26" ht="15" customHeight="1" x14ac:dyDescent="0.3">
      <c r="A112">
        <v>142</v>
      </c>
      <c r="B112">
        <v>29</v>
      </c>
      <c r="C112" t="s">
        <v>858</v>
      </c>
      <c r="D112" t="s">
        <v>859</v>
      </c>
      <c r="E112" t="s">
        <v>766</v>
      </c>
      <c r="F112">
        <v>2022</v>
      </c>
      <c r="G112">
        <v>0</v>
      </c>
      <c r="H112">
        <v>0</v>
      </c>
      <c r="I112">
        <v>5</v>
      </c>
      <c r="J112">
        <v>0</v>
      </c>
      <c r="K112">
        <v>693952117</v>
      </c>
      <c r="L112">
        <v>26.5</v>
      </c>
      <c r="M112">
        <v>18389731.100499999</v>
      </c>
      <c r="N112">
        <v>33718298</v>
      </c>
      <c r="O112">
        <v>59994291</v>
      </c>
      <c r="P112">
        <v>6221505</v>
      </c>
      <c r="Q112">
        <v>0.868549794187917</v>
      </c>
      <c r="R112">
        <v>17.909759965659301</v>
      </c>
      <c r="S112">
        <v>0.56202511002255195</v>
      </c>
      <c r="T112">
        <v>0.10370161720887699</v>
      </c>
      <c r="U112">
        <v>1960</v>
      </c>
      <c r="V112">
        <v>62</v>
      </c>
      <c r="W112">
        <v>0</v>
      </c>
      <c r="X112" t="s">
        <v>861</v>
      </c>
      <c r="Y112" t="s">
        <v>1515</v>
      </c>
      <c r="Z112" t="s">
        <v>2141</v>
      </c>
    </row>
    <row r="113" spans="1:26" ht="15" customHeight="1" x14ac:dyDescent="0.3">
      <c r="A113">
        <v>143</v>
      </c>
      <c r="B113">
        <v>29</v>
      </c>
      <c r="C113" t="s">
        <v>858</v>
      </c>
      <c r="D113" t="s">
        <v>859</v>
      </c>
      <c r="E113" t="s">
        <v>766</v>
      </c>
      <c r="F113">
        <v>2023</v>
      </c>
      <c r="G113">
        <v>1</v>
      </c>
      <c r="H113">
        <v>0</v>
      </c>
      <c r="I113">
        <v>5</v>
      </c>
      <c r="J113">
        <v>0</v>
      </c>
      <c r="K113">
        <v>693952117</v>
      </c>
      <c r="L113">
        <v>83.9</v>
      </c>
      <c r="M113">
        <v>58222582.616300002</v>
      </c>
      <c r="N113">
        <v>64332404</v>
      </c>
      <c r="O113">
        <v>97477977</v>
      </c>
      <c r="P113">
        <v>9868239</v>
      </c>
      <c r="Q113">
        <v>1.2572582073210199</v>
      </c>
      <c r="R113">
        <v>18.395137033531</v>
      </c>
      <c r="S113">
        <v>0.65996859988179701</v>
      </c>
      <c r="T113">
        <v>0.101235574472375</v>
      </c>
      <c r="U113">
        <v>1960</v>
      </c>
      <c r="V113">
        <v>63</v>
      </c>
      <c r="W113">
        <v>0</v>
      </c>
      <c r="X113" t="s">
        <v>861</v>
      </c>
      <c r="Y113" t="s">
        <v>1516</v>
      </c>
      <c r="Z113" t="s">
        <v>2141</v>
      </c>
    </row>
    <row r="114" spans="1:26" ht="15" customHeight="1" x14ac:dyDescent="0.3">
      <c r="A114">
        <v>144</v>
      </c>
      <c r="B114">
        <v>29</v>
      </c>
      <c r="C114" t="s">
        <v>858</v>
      </c>
      <c r="D114" t="s">
        <v>859</v>
      </c>
      <c r="E114" t="s">
        <v>766</v>
      </c>
      <c r="F114">
        <v>2024</v>
      </c>
      <c r="G114">
        <v>1</v>
      </c>
      <c r="H114">
        <v>0</v>
      </c>
      <c r="I114">
        <v>5</v>
      </c>
      <c r="J114">
        <v>0</v>
      </c>
      <c r="K114">
        <v>693952117</v>
      </c>
      <c r="L114">
        <v>387.2</v>
      </c>
      <c r="M114">
        <v>268698259.70240003</v>
      </c>
      <c r="N114">
        <v>75460000</v>
      </c>
      <c r="O114">
        <v>114950000</v>
      </c>
      <c r="P114">
        <v>8780000</v>
      </c>
      <c r="Q114">
        <v>2.9939822505645899</v>
      </c>
      <c r="R114">
        <v>18.560007809173499</v>
      </c>
      <c r="S114">
        <v>0.65645933014354096</v>
      </c>
      <c r="T114">
        <v>7.6381035232709907E-2</v>
      </c>
      <c r="U114">
        <v>1960</v>
      </c>
      <c r="V114">
        <v>64</v>
      </c>
      <c r="W114">
        <v>0</v>
      </c>
      <c r="X114" t="s">
        <v>861</v>
      </c>
      <c r="Y114" t="s">
        <v>1517</v>
      </c>
      <c r="Z114" t="s">
        <v>2141</v>
      </c>
    </row>
    <row r="115" spans="1:26" ht="15" customHeight="1" x14ac:dyDescent="0.3">
      <c r="A115">
        <v>145</v>
      </c>
      <c r="B115">
        <v>29</v>
      </c>
      <c r="C115" t="s">
        <v>858</v>
      </c>
      <c r="D115" t="s">
        <v>859</v>
      </c>
      <c r="E115" t="s">
        <v>766</v>
      </c>
      <c r="F115">
        <v>2025</v>
      </c>
      <c r="G115">
        <v>1</v>
      </c>
      <c r="H115">
        <v>0</v>
      </c>
      <c r="I115">
        <v>5</v>
      </c>
      <c r="J115">
        <v>0</v>
      </c>
      <c r="K115">
        <v>693952117</v>
      </c>
      <c r="L115">
        <v>187.2</v>
      </c>
      <c r="M115">
        <v>129907836.30239999</v>
      </c>
      <c r="N115">
        <v>100130000</v>
      </c>
      <c r="O115">
        <v>139370000</v>
      </c>
      <c r="P115">
        <v>2010000</v>
      </c>
      <c r="Q115">
        <v>1.6505548992064301</v>
      </c>
      <c r="R115">
        <v>18.752642825095698</v>
      </c>
      <c r="S115">
        <v>0.71844729855779599</v>
      </c>
      <c r="T115">
        <v>1.44220420463514E-2</v>
      </c>
      <c r="U115">
        <v>1960</v>
      </c>
      <c r="V115">
        <v>65</v>
      </c>
      <c r="W115">
        <v>0</v>
      </c>
      <c r="X115" t="s">
        <v>861</v>
      </c>
      <c r="Y115" t="s">
        <v>1518</v>
      </c>
      <c r="Z115" t="s">
        <v>2141</v>
      </c>
    </row>
    <row r="116" spans="1:26" ht="15" customHeight="1" x14ac:dyDescent="0.3">
      <c r="A116">
        <v>146</v>
      </c>
      <c r="B116">
        <v>30</v>
      </c>
      <c r="C116" t="s">
        <v>863</v>
      </c>
      <c r="D116" t="s">
        <v>864</v>
      </c>
      <c r="E116" t="s">
        <v>709</v>
      </c>
      <c r="F116">
        <v>2021</v>
      </c>
      <c r="G116">
        <v>0</v>
      </c>
      <c r="H116">
        <v>0</v>
      </c>
      <c r="I116">
        <v>50</v>
      </c>
      <c r="J116">
        <v>0</v>
      </c>
      <c r="K116">
        <v>18166392725</v>
      </c>
      <c r="L116">
        <v>0.45689999999999997</v>
      </c>
      <c r="M116">
        <v>8300224.8360524997</v>
      </c>
      <c r="N116">
        <v>28986015</v>
      </c>
      <c r="O116">
        <v>48054266</v>
      </c>
      <c r="P116">
        <v>3535935</v>
      </c>
      <c r="Q116">
        <v>0.77591945397839401</v>
      </c>
      <c r="R116">
        <v>17.687841471957899</v>
      </c>
      <c r="S116">
        <v>0.60319337725395705</v>
      </c>
      <c r="T116">
        <v>7.3582124841944305E-2</v>
      </c>
      <c r="U116">
        <v>1991</v>
      </c>
      <c r="V116">
        <v>30</v>
      </c>
      <c r="W116">
        <v>1</v>
      </c>
      <c r="X116" t="s">
        <v>866</v>
      </c>
      <c r="Y116" t="s">
        <v>1519</v>
      </c>
      <c r="Z116" t="s">
        <v>2141</v>
      </c>
    </row>
    <row r="117" spans="1:26" ht="15" customHeight="1" x14ac:dyDescent="0.3">
      <c r="A117">
        <v>147</v>
      </c>
      <c r="B117">
        <v>30</v>
      </c>
      <c r="C117" t="s">
        <v>863</v>
      </c>
      <c r="D117" t="s">
        <v>864</v>
      </c>
      <c r="E117" t="s">
        <v>709</v>
      </c>
      <c r="F117">
        <v>2022</v>
      </c>
      <c r="G117">
        <v>0</v>
      </c>
      <c r="H117">
        <v>0</v>
      </c>
      <c r="I117">
        <v>55</v>
      </c>
      <c r="J117">
        <v>0</v>
      </c>
      <c r="K117">
        <v>18166392725</v>
      </c>
      <c r="L117">
        <v>0.59550000000000003</v>
      </c>
      <c r="M117">
        <v>10818086.8677375</v>
      </c>
      <c r="N117">
        <v>31285457</v>
      </c>
      <c r="O117">
        <v>49530744</v>
      </c>
      <c r="P117">
        <v>16389</v>
      </c>
      <c r="Q117">
        <v>0.850048686281343</v>
      </c>
      <c r="R117">
        <v>17.7181041256509</v>
      </c>
      <c r="S117">
        <v>0.63163713026398305</v>
      </c>
      <c r="T117">
        <v>3.3088539917752898E-4</v>
      </c>
      <c r="U117">
        <v>1991</v>
      </c>
      <c r="V117">
        <v>31</v>
      </c>
      <c r="W117">
        <v>1</v>
      </c>
      <c r="X117" t="s">
        <v>866</v>
      </c>
      <c r="Y117" t="s">
        <v>1520</v>
      </c>
      <c r="Z117" t="s">
        <v>2141</v>
      </c>
    </row>
    <row r="118" spans="1:26" ht="15" customHeight="1" x14ac:dyDescent="0.3">
      <c r="A118">
        <v>148</v>
      </c>
      <c r="B118">
        <v>30</v>
      </c>
      <c r="C118" t="s">
        <v>863</v>
      </c>
      <c r="D118" t="s">
        <v>864</v>
      </c>
      <c r="E118" t="s">
        <v>709</v>
      </c>
      <c r="F118">
        <v>2023</v>
      </c>
      <c r="G118">
        <v>1</v>
      </c>
      <c r="H118">
        <v>0</v>
      </c>
      <c r="I118">
        <v>50</v>
      </c>
      <c r="J118">
        <v>0</v>
      </c>
      <c r="K118">
        <v>18166392725</v>
      </c>
      <c r="L118">
        <v>1.3898999999999999</v>
      </c>
      <c r="M118">
        <v>25249469.2484775</v>
      </c>
      <c r="N118">
        <v>48589780</v>
      </c>
      <c r="O118">
        <v>82508551</v>
      </c>
      <c r="P118">
        <v>13838762</v>
      </c>
      <c r="Q118">
        <v>0.894928445034473</v>
      </c>
      <c r="R118">
        <v>18.228412494418599</v>
      </c>
      <c r="S118">
        <v>0.58890599108933595</v>
      </c>
      <c r="T118">
        <v>0.167725185235649</v>
      </c>
      <c r="U118">
        <v>1991</v>
      </c>
      <c r="V118">
        <v>32</v>
      </c>
      <c r="W118">
        <v>1</v>
      </c>
      <c r="X118" t="s">
        <v>866</v>
      </c>
      <c r="Y118" t="s">
        <v>1521</v>
      </c>
      <c r="Z118" t="s">
        <v>2141</v>
      </c>
    </row>
    <row r="119" spans="1:26" ht="15" customHeight="1" x14ac:dyDescent="0.3">
      <c r="A119">
        <v>149</v>
      </c>
      <c r="B119">
        <v>30</v>
      </c>
      <c r="C119" t="s">
        <v>863</v>
      </c>
      <c r="D119" t="s">
        <v>864</v>
      </c>
      <c r="E119" t="s">
        <v>709</v>
      </c>
      <c r="F119">
        <v>2024</v>
      </c>
      <c r="G119">
        <v>1</v>
      </c>
      <c r="H119">
        <v>0</v>
      </c>
      <c r="I119">
        <v>60</v>
      </c>
      <c r="J119">
        <v>0</v>
      </c>
      <c r="K119">
        <v>18166392725</v>
      </c>
      <c r="L119">
        <v>3.5747</v>
      </c>
      <c r="M119">
        <v>64939404.074057497</v>
      </c>
      <c r="N119">
        <v>61004279</v>
      </c>
      <c r="O119">
        <v>121501003</v>
      </c>
      <c r="P119">
        <v>25583281</v>
      </c>
      <c r="Q119">
        <v>1.0365649662501799</v>
      </c>
      <c r="R119">
        <v>18.615433075854799</v>
      </c>
      <c r="S119">
        <v>0.50208868646129601</v>
      </c>
      <c r="T119">
        <v>0.21056024533394199</v>
      </c>
      <c r="U119">
        <v>1991</v>
      </c>
      <c r="V119">
        <v>33</v>
      </c>
      <c r="W119">
        <v>1</v>
      </c>
      <c r="X119" t="s">
        <v>866</v>
      </c>
      <c r="Y119" t="s">
        <v>1522</v>
      </c>
      <c r="Z119" t="s">
        <v>2141</v>
      </c>
    </row>
    <row r="120" spans="1:26" ht="15" customHeight="1" x14ac:dyDescent="0.3">
      <c r="A120">
        <v>150</v>
      </c>
      <c r="B120">
        <v>30</v>
      </c>
      <c r="C120" t="s">
        <v>863</v>
      </c>
      <c r="D120" t="s">
        <v>864</v>
      </c>
      <c r="E120" t="s">
        <v>709</v>
      </c>
      <c r="F120">
        <v>2025</v>
      </c>
      <c r="G120">
        <v>1</v>
      </c>
      <c r="H120">
        <v>0</v>
      </c>
      <c r="I120">
        <v>35</v>
      </c>
      <c r="J120">
        <v>13.3333333333333</v>
      </c>
      <c r="K120">
        <v>18166392725</v>
      </c>
      <c r="L120">
        <v>5.9179000000000004</v>
      </c>
      <c r="M120">
        <v>107506895.507278</v>
      </c>
      <c r="N120">
        <v>67767618</v>
      </c>
      <c r="O120">
        <v>137601697</v>
      </c>
      <c r="P120">
        <v>8268605</v>
      </c>
      <c r="Q120">
        <v>1.27378162717919</v>
      </c>
      <c r="R120">
        <v>18.739873816236301</v>
      </c>
      <c r="S120">
        <v>0.49249115001830202</v>
      </c>
      <c r="T120">
        <v>6.0090865013096503E-2</v>
      </c>
      <c r="U120">
        <v>1991</v>
      </c>
      <c r="V120">
        <v>34</v>
      </c>
      <c r="W120">
        <v>1</v>
      </c>
      <c r="X120" t="s">
        <v>866</v>
      </c>
      <c r="Y120" t="s">
        <v>1523</v>
      </c>
      <c r="Z120" t="s">
        <v>2141</v>
      </c>
    </row>
    <row r="121" spans="1:26" ht="15" customHeight="1" x14ac:dyDescent="0.3">
      <c r="A121">
        <v>151</v>
      </c>
      <c r="B121">
        <v>31</v>
      </c>
      <c r="C121" t="s">
        <v>868</v>
      </c>
      <c r="D121" t="s">
        <v>869</v>
      </c>
      <c r="E121" t="s">
        <v>870</v>
      </c>
      <c r="F121">
        <v>2021</v>
      </c>
      <c r="G121">
        <v>0</v>
      </c>
      <c r="H121">
        <v>0</v>
      </c>
      <c r="I121">
        <v>0</v>
      </c>
      <c r="J121">
        <v>0</v>
      </c>
      <c r="K121">
        <v>5882000000</v>
      </c>
      <c r="L121">
        <v>7.9</v>
      </c>
      <c r="M121">
        <v>46467800</v>
      </c>
      <c r="N121">
        <v>120134000</v>
      </c>
      <c r="O121">
        <v>184472000</v>
      </c>
      <c r="P121">
        <v>10660000</v>
      </c>
      <c r="Q121">
        <v>0.903127845960363</v>
      </c>
      <c r="R121">
        <v>19.033008248410301</v>
      </c>
      <c r="S121">
        <v>0.65123162322737305</v>
      </c>
      <c r="T121">
        <v>5.7786547551932001E-2</v>
      </c>
      <c r="U121">
        <v>1991</v>
      </c>
      <c r="V121">
        <v>30</v>
      </c>
      <c r="W121">
        <v>1</v>
      </c>
      <c r="X121" t="s">
        <v>872</v>
      </c>
      <c r="Y121" t="s">
        <v>1524</v>
      </c>
      <c r="Z121" t="s">
        <v>2141</v>
      </c>
    </row>
    <row r="122" spans="1:26" ht="15" customHeight="1" x14ac:dyDescent="0.3">
      <c r="A122">
        <v>152</v>
      </c>
      <c r="B122">
        <v>31</v>
      </c>
      <c r="C122" t="s">
        <v>868</v>
      </c>
      <c r="D122" t="s">
        <v>869</v>
      </c>
      <c r="E122" t="s">
        <v>870</v>
      </c>
      <c r="F122">
        <v>2022</v>
      </c>
      <c r="G122">
        <v>0</v>
      </c>
      <c r="H122">
        <v>0</v>
      </c>
      <c r="I122">
        <v>0</v>
      </c>
      <c r="J122">
        <v>0</v>
      </c>
      <c r="K122">
        <v>5882000000</v>
      </c>
      <c r="L122">
        <v>5.95</v>
      </c>
      <c r="M122">
        <v>34997900</v>
      </c>
      <c r="N122">
        <v>147311000</v>
      </c>
      <c r="O122">
        <v>212212000</v>
      </c>
      <c r="P122">
        <v>8373000</v>
      </c>
      <c r="Q122">
        <v>0.85908855295647801</v>
      </c>
      <c r="R122">
        <v>19.173096332969401</v>
      </c>
      <c r="S122">
        <v>0.69416903850866096</v>
      </c>
      <c r="T122">
        <v>3.9455827191676299E-2</v>
      </c>
      <c r="U122">
        <v>1991</v>
      </c>
      <c r="V122">
        <v>31</v>
      </c>
      <c r="W122">
        <v>1</v>
      </c>
      <c r="X122" t="s">
        <v>872</v>
      </c>
      <c r="Y122" t="s">
        <v>1524</v>
      </c>
      <c r="Z122" t="s">
        <v>2141</v>
      </c>
    </row>
    <row r="123" spans="1:26" ht="15" customHeight="1" x14ac:dyDescent="0.3">
      <c r="A123">
        <v>153</v>
      </c>
      <c r="B123">
        <v>31</v>
      </c>
      <c r="C123" t="s">
        <v>868</v>
      </c>
      <c r="D123" t="s">
        <v>869</v>
      </c>
      <c r="E123" t="s">
        <v>870</v>
      </c>
      <c r="F123">
        <v>2023</v>
      </c>
      <c r="G123">
        <v>1</v>
      </c>
      <c r="H123">
        <v>0</v>
      </c>
      <c r="I123">
        <v>0</v>
      </c>
      <c r="J123">
        <v>0</v>
      </c>
      <c r="K123">
        <v>5882000000</v>
      </c>
      <c r="L123">
        <v>9</v>
      </c>
      <c r="M123">
        <v>52938000</v>
      </c>
      <c r="N123">
        <v>188334000</v>
      </c>
      <c r="O123">
        <v>269800000</v>
      </c>
      <c r="P123">
        <v>19057000</v>
      </c>
      <c r="Q123">
        <v>0.89426241660489303</v>
      </c>
      <c r="R123">
        <v>19.413191501737899</v>
      </c>
      <c r="S123">
        <v>0.69805040770941396</v>
      </c>
      <c r="T123">
        <v>7.0633802816901403E-2</v>
      </c>
      <c r="U123">
        <v>1991</v>
      </c>
      <c r="V123">
        <v>32</v>
      </c>
      <c r="W123">
        <v>1</v>
      </c>
      <c r="X123" t="s">
        <v>872</v>
      </c>
      <c r="Y123" t="s">
        <v>1524</v>
      </c>
      <c r="Z123" t="s">
        <v>2141</v>
      </c>
    </row>
    <row r="124" spans="1:26" ht="15" customHeight="1" x14ac:dyDescent="0.3">
      <c r="A124">
        <v>154</v>
      </c>
      <c r="B124">
        <v>31</v>
      </c>
      <c r="C124" t="s">
        <v>868</v>
      </c>
      <c r="D124" t="s">
        <v>869</v>
      </c>
      <c r="E124" t="s">
        <v>870</v>
      </c>
      <c r="F124">
        <v>2024</v>
      </c>
      <c r="G124">
        <v>1</v>
      </c>
      <c r="H124">
        <v>0</v>
      </c>
      <c r="I124">
        <v>0</v>
      </c>
      <c r="J124">
        <v>0</v>
      </c>
      <c r="K124">
        <v>5882000000</v>
      </c>
      <c r="L124">
        <v>17.100000000000001</v>
      </c>
      <c r="M124">
        <v>100582200</v>
      </c>
      <c r="N124">
        <v>274899000</v>
      </c>
      <c r="O124">
        <v>416239000</v>
      </c>
      <c r="P124">
        <v>53997000</v>
      </c>
      <c r="Q124">
        <v>0.90208077570818701</v>
      </c>
      <c r="R124">
        <v>19.8467701724833</v>
      </c>
      <c r="S124">
        <v>0.66043547096740096</v>
      </c>
      <c r="T124">
        <v>0.129725950715815</v>
      </c>
      <c r="U124">
        <v>1991</v>
      </c>
      <c r="V124">
        <v>33</v>
      </c>
      <c r="W124">
        <v>1</v>
      </c>
      <c r="X124" t="s">
        <v>872</v>
      </c>
      <c r="Y124" t="s">
        <v>1524</v>
      </c>
      <c r="Z124" t="s">
        <v>2141</v>
      </c>
    </row>
    <row r="125" spans="1:26" ht="15" customHeight="1" x14ac:dyDescent="0.3">
      <c r="A125">
        <v>155</v>
      </c>
      <c r="B125">
        <v>31</v>
      </c>
      <c r="C125" t="s">
        <v>868</v>
      </c>
      <c r="D125" t="s">
        <v>869</v>
      </c>
      <c r="E125" t="s">
        <v>870</v>
      </c>
      <c r="F125">
        <v>2025</v>
      </c>
      <c r="G125">
        <v>1</v>
      </c>
      <c r="H125">
        <v>0</v>
      </c>
      <c r="I125">
        <v>0</v>
      </c>
      <c r="J125">
        <v>0</v>
      </c>
      <c r="K125">
        <v>5882000000</v>
      </c>
      <c r="L125">
        <v>43</v>
      </c>
      <c r="M125">
        <v>252926000</v>
      </c>
      <c r="N125">
        <v>840275000</v>
      </c>
      <c r="O125">
        <v>1058821000</v>
      </c>
      <c r="P125">
        <v>65839000</v>
      </c>
      <c r="Q125">
        <v>1.03247007756741</v>
      </c>
      <c r="R125">
        <v>20.780421861894599</v>
      </c>
      <c r="S125">
        <v>0.79359495136571701</v>
      </c>
      <c r="T125">
        <v>6.2181426322296202E-2</v>
      </c>
      <c r="U125">
        <v>1991</v>
      </c>
      <c r="V125">
        <v>34</v>
      </c>
      <c r="W125">
        <v>1</v>
      </c>
      <c r="X125" t="s">
        <v>872</v>
      </c>
      <c r="Y125" t="s">
        <v>1524</v>
      </c>
      <c r="Z125" t="s">
        <v>2141</v>
      </c>
    </row>
    <row r="126" spans="1:26" ht="15" customHeight="1" x14ac:dyDescent="0.3">
      <c r="A126">
        <v>156</v>
      </c>
      <c r="B126">
        <v>32</v>
      </c>
      <c r="C126" t="s">
        <v>874</v>
      </c>
      <c r="D126" t="s">
        <v>875</v>
      </c>
      <c r="E126" t="s">
        <v>772</v>
      </c>
      <c r="F126">
        <v>2021</v>
      </c>
      <c r="G126">
        <v>0</v>
      </c>
      <c r="H126">
        <v>0</v>
      </c>
      <c r="I126">
        <v>0</v>
      </c>
      <c r="J126">
        <v>0</v>
      </c>
      <c r="K126">
        <v>1761321000</v>
      </c>
      <c r="L126">
        <v>5.2803000000000004</v>
      </c>
      <c r="M126">
        <v>9300303.2763</v>
      </c>
      <c r="N126">
        <v>2636402</v>
      </c>
      <c r="O126">
        <v>4792191</v>
      </c>
      <c r="P126">
        <v>594023</v>
      </c>
      <c r="Q126">
        <v>2.4908659267337199</v>
      </c>
      <c r="R126">
        <v>15.3824982760799</v>
      </c>
      <c r="S126">
        <v>0.55014543452045195</v>
      </c>
      <c r="T126">
        <v>0.123956453321664</v>
      </c>
      <c r="U126">
        <v>1982</v>
      </c>
      <c r="V126">
        <v>39</v>
      </c>
      <c r="W126">
        <v>0</v>
      </c>
      <c r="X126" t="s">
        <v>876</v>
      </c>
      <c r="Y126" t="s">
        <v>1525</v>
      </c>
      <c r="Z126" t="s">
        <v>2141</v>
      </c>
    </row>
    <row r="127" spans="1:26" ht="15" customHeight="1" x14ac:dyDescent="0.3">
      <c r="A127">
        <v>157</v>
      </c>
      <c r="B127">
        <v>32</v>
      </c>
      <c r="C127" t="s">
        <v>874</v>
      </c>
      <c r="D127" t="s">
        <v>875</v>
      </c>
      <c r="E127" t="s">
        <v>772</v>
      </c>
      <c r="F127">
        <v>2022</v>
      </c>
      <c r="G127">
        <v>0</v>
      </c>
      <c r="H127">
        <v>0</v>
      </c>
      <c r="I127">
        <v>20</v>
      </c>
      <c r="J127">
        <v>13.3333333333333</v>
      </c>
      <c r="K127">
        <v>3522644000</v>
      </c>
      <c r="L127">
        <v>1.05</v>
      </c>
      <c r="M127">
        <v>3698776.2</v>
      </c>
      <c r="N127">
        <v>2412000</v>
      </c>
      <c r="O127">
        <v>5116000</v>
      </c>
      <c r="P127">
        <v>786310</v>
      </c>
      <c r="Q127">
        <v>1.1944441360437801</v>
      </c>
      <c r="R127">
        <v>15.447883441680901</v>
      </c>
      <c r="S127">
        <v>0.47146207974980497</v>
      </c>
      <c r="T127">
        <v>0.15369624706802201</v>
      </c>
      <c r="U127">
        <v>1982</v>
      </c>
      <c r="V127">
        <v>40</v>
      </c>
      <c r="W127">
        <v>0</v>
      </c>
      <c r="X127" t="s">
        <v>876</v>
      </c>
      <c r="Y127" t="s">
        <v>1526</v>
      </c>
      <c r="Z127" t="s">
        <v>2141</v>
      </c>
    </row>
    <row r="128" spans="1:26" ht="15" customHeight="1" x14ac:dyDescent="0.3">
      <c r="A128">
        <v>158</v>
      </c>
      <c r="B128">
        <v>32</v>
      </c>
      <c r="C128" t="s">
        <v>874</v>
      </c>
      <c r="D128" t="s">
        <v>875</v>
      </c>
      <c r="E128" t="s">
        <v>772</v>
      </c>
      <c r="F128">
        <v>2023</v>
      </c>
      <c r="G128">
        <v>1</v>
      </c>
      <c r="H128">
        <v>0</v>
      </c>
      <c r="I128">
        <v>10</v>
      </c>
      <c r="J128">
        <v>0</v>
      </c>
      <c r="K128">
        <v>3522644000</v>
      </c>
      <c r="L128">
        <v>1.02</v>
      </c>
      <c r="M128">
        <v>3593096.88</v>
      </c>
      <c r="N128">
        <v>2674000</v>
      </c>
      <c r="O128">
        <v>5842000</v>
      </c>
      <c r="P128">
        <v>789990</v>
      </c>
      <c r="Q128">
        <v>1.0727656419034599</v>
      </c>
      <c r="R128">
        <v>15.5805837619298</v>
      </c>
      <c r="S128">
        <v>0.45771995891817902</v>
      </c>
      <c r="T128">
        <v>0.13522595001711701</v>
      </c>
      <c r="U128">
        <v>1982</v>
      </c>
      <c r="V128">
        <v>41</v>
      </c>
      <c r="W128">
        <v>0</v>
      </c>
      <c r="X128" t="s">
        <v>876</v>
      </c>
      <c r="Y128" t="s">
        <v>1526</v>
      </c>
      <c r="Z128" t="s">
        <v>2141</v>
      </c>
    </row>
    <row r="129" spans="1:26" ht="15" customHeight="1" x14ac:dyDescent="0.3">
      <c r="A129">
        <v>159</v>
      </c>
      <c r="B129">
        <v>32</v>
      </c>
      <c r="C129" t="s">
        <v>874</v>
      </c>
      <c r="D129" t="s">
        <v>875</v>
      </c>
      <c r="E129" t="s">
        <v>772</v>
      </c>
      <c r="F129">
        <v>2024</v>
      </c>
      <c r="G129">
        <v>1</v>
      </c>
      <c r="H129">
        <v>0</v>
      </c>
      <c r="I129">
        <v>10</v>
      </c>
      <c r="J129">
        <v>0</v>
      </c>
      <c r="K129">
        <v>3522644000</v>
      </c>
      <c r="L129">
        <v>1.47</v>
      </c>
      <c r="M129">
        <v>5178286.68</v>
      </c>
      <c r="N129">
        <v>3484000</v>
      </c>
      <c r="O129">
        <v>7289000</v>
      </c>
      <c r="P129">
        <v>1065000</v>
      </c>
      <c r="Q129">
        <v>1.1884053615036401</v>
      </c>
      <c r="R129">
        <v>15.8018769203644</v>
      </c>
      <c r="S129">
        <v>0.47798051858965601</v>
      </c>
      <c r="T129">
        <v>0.146110577582659</v>
      </c>
      <c r="U129">
        <v>1982</v>
      </c>
      <c r="V129">
        <v>42</v>
      </c>
      <c r="W129">
        <v>0</v>
      </c>
      <c r="X129" t="s">
        <v>876</v>
      </c>
      <c r="Y129" t="s">
        <v>1526</v>
      </c>
      <c r="Z129" t="s">
        <v>2141</v>
      </c>
    </row>
    <row r="130" spans="1:26" ht="15" customHeight="1" x14ac:dyDescent="0.3">
      <c r="A130">
        <v>160</v>
      </c>
      <c r="B130">
        <v>32</v>
      </c>
      <c r="C130" t="s">
        <v>874</v>
      </c>
      <c r="D130" t="s">
        <v>875</v>
      </c>
      <c r="E130" t="s">
        <v>772</v>
      </c>
      <c r="F130">
        <v>2025</v>
      </c>
      <c r="G130">
        <v>1</v>
      </c>
      <c r="H130">
        <v>0</v>
      </c>
      <c r="I130">
        <v>20</v>
      </c>
      <c r="J130">
        <v>6.6666666666666696</v>
      </c>
      <c r="K130">
        <v>7045288000</v>
      </c>
      <c r="L130">
        <v>2.37</v>
      </c>
      <c r="M130">
        <v>16697332.560000001</v>
      </c>
      <c r="N130">
        <v>4439000</v>
      </c>
      <c r="O130">
        <v>8692000</v>
      </c>
      <c r="P130">
        <v>1032000</v>
      </c>
      <c r="Q130">
        <v>2.4316995582144498</v>
      </c>
      <c r="R130">
        <v>15.9779136203585</v>
      </c>
      <c r="S130">
        <v>0.51069949378739099</v>
      </c>
      <c r="T130">
        <v>0.118729866543948</v>
      </c>
      <c r="U130">
        <v>1982</v>
      </c>
      <c r="V130">
        <v>43</v>
      </c>
      <c r="W130">
        <v>0</v>
      </c>
      <c r="X130" t="s">
        <v>876</v>
      </c>
      <c r="Y130" t="s">
        <v>1526</v>
      </c>
      <c r="Z130" t="s">
        <v>2141</v>
      </c>
    </row>
    <row r="131" spans="1:26" ht="15" customHeight="1" x14ac:dyDescent="0.3">
      <c r="A131">
        <v>161</v>
      </c>
      <c r="B131">
        <v>33</v>
      </c>
      <c r="C131" t="s">
        <v>878</v>
      </c>
      <c r="D131" t="s">
        <v>879</v>
      </c>
      <c r="E131" t="s">
        <v>752</v>
      </c>
      <c r="F131">
        <v>2021</v>
      </c>
      <c r="G131">
        <v>0</v>
      </c>
      <c r="H131">
        <v>0</v>
      </c>
      <c r="I131">
        <v>0</v>
      </c>
      <c r="J131">
        <v>0</v>
      </c>
      <c r="K131">
        <v>2525000000</v>
      </c>
      <c r="L131">
        <v>0.96</v>
      </c>
      <c r="M131">
        <v>2424000</v>
      </c>
      <c r="N131">
        <v>7359000</v>
      </c>
      <c r="O131">
        <v>8417000</v>
      </c>
      <c r="P131">
        <v>449640</v>
      </c>
      <c r="Q131">
        <v>1.16229060235238</v>
      </c>
      <c r="R131">
        <v>15.9457640281937</v>
      </c>
      <c r="S131">
        <v>0.87430200784127399</v>
      </c>
      <c r="T131">
        <v>5.3420458595699202E-2</v>
      </c>
      <c r="U131">
        <v>2005</v>
      </c>
      <c r="V131">
        <v>16</v>
      </c>
      <c r="W131">
        <v>0</v>
      </c>
      <c r="X131" t="s">
        <v>832</v>
      </c>
      <c r="Y131" t="s">
        <v>1527</v>
      </c>
      <c r="Z131" t="s">
        <v>2141</v>
      </c>
    </row>
    <row r="132" spans="1:26" ht="15" customHeight="1" x14ac:dyDescent="0.3">
      <c r="A132">
        <v>162</v>
      </c>
      <c r="B132">
        <v>33</v>
      </c>
      <c r="C132" t="s">
        <v>878</v>
      </c>
      <c r="D132" t="s">
        <v>879</v>
      </c>
      <c r="E132" t="s">
        <v>752</v>
      </c>
      <c r="F132">
        <v>2022</v>
      </c>
      <c r="G132">
        <v>0</v>
      </c>
      <c r="H132">
        <v>0</v>
      </c>
      <c r="I132">
        <v>0</v>
      </c>
      <c r="J132">
        <v>0</v>
      </c>
      <c r="K132">
        <v>2525000000</v>
      </c>
      <c r="L132">
        <v>0.87</v>
      </c>
      <c r="M132">
        <v>2196750</v>
      </c>
      <c r="N132">
        <v>13061000</v>
      </c>
      <c r="O132">
        <v>14533000</v>
      </c>
      <c r="P132">
        <v>476800</v>
      </c>
      <c r="Q132">
        <v>1.0498692630564901</v>
      </c>
      <c r="R132">
        <v>16.491932483608299</v>
      </c>
      <c r="S132">
        <v>0.898713273240212</v>
      </c>
      <c r="T132">
        <v>3.2808091928713999E-2</v>
      </c>
      <c r="U132">
        <v>2005</v>
      </c>
      <c r="V132">
        <v>17</v>
      </c>
      <c r="W132">
        <v>0</v>
      </c>
      <c r="X132" t="s">
        <v>832</v>
      </c>
      <c r="Y132" t="s">
        <v>1527</v>
      </c>
      <c r="Z132" t="s">
        <v>2141</v>
      </c>
    </row>
    <row r="133" spans="1:26" ht="15" customHeight="1" x14ac:dyDescent="0.3">
      <c r="A133">
        <v>163</v>
      </c>
      <c r="B133">
        <v>33</v>
      </c>
      <c r="C133" t="s">
        <v>878</v>
      </c>
      <c r="D133" t="s">
        <v>879</v>
      </c>
      <c r="E133" t="s">
        <v>752</v>
      </c>
      <c r="F133">
        <v>2023</v>
      </c>
      <c r="G133">
        <v>1</v>
      </c>
      <c r="H133">
        <v>0</v>
      </c>
      <c r="I133">
        <v>0</v>
      </c>
      <c r="J133">
        <v>0</v>
      </c>
      <c r="K133">
        <v>2525000000</v>
      </c>
      <c r="L133">
        <v>7.45</v>
      </c>
      <c r="M133">
        <v>18811250</v>
      </c>
      <c r="N133">
        <v>15572000</v>
      </c>
      <c r="O133">
        <v>17815000</v>
      </c>
      <c r="P133">
        <v>576080</v>
      </c>
      <c r="Q133">
        <v>1.9300168397417901</v>
      </c>
      <c r="R133">
        <v>16.695551357022101</v>
      </c>
      <c r="S133">
        <v>0.87409486387875401</v>
      </c>
      <c r="T133">
        <v>3.2336794835812498E-2</v>
      </c>
      <c r="U133">
        <v>2005</v>
      </c>
      <c r="V133">
        <v>18</v>
      </c>
      <c r="W133">
        <v>0</v>
      </c>
      <c r="X133" t="s">
        <v>832</v>
      </c>
      <c r="Y133" t="s">
        <v>1527</v>
      </c>
      <c r="Z133" t="s">
        <v>2141</v>
      </c>
    </row>
    <row r="134" spans="1:26" ht="15" customHeight="1" x14ac:dyDescent="0.3">
      <c r="A134">
        <v>164</v>
      </c>
      <c r="B134">
        <v>33</v>
      </c>
      <c r="C134" t="s">
        <v>878</v>
      </c>
      <c r="D134" t="s">
        <v>879</v>
      </c>
      <c r="E134" t="s">
        <v>752</v>
      </c>
      <c r="F134">
        <v>2024</v>
      </c>
      <c r="G134">
        <v>1</v>
      </c>
      <c r="H134">
        <v>0</v>
      </c>
      <c r="I134">
        <v>5</v>
      </c>
      <c r="J134">
        <v>0</v>
      </c>
      <c r="K134">
        <v>2525000000</v>
      </c>
      <c r="L134">
        <v>7.08</v>
      </c>
      <c r="M134">
        <v>17877000</v>
      </c>
      <c r="N134">
        <v>23319000</v>
      </c>
      <c r="O134">
        <v>29947000</v>
      </c>
      <c r="P134">
        <v>3044000</v>
      </c>
      <c r="Q134">
        <v>1.37563028016162</v>
      </c>
      <c r="R134">
        <v>17.214939710563801</v>
      </c>
      <c r="S134">
        <v>0.77867566033325497</v>
      </c>
      <c r="T134">
        <v>0.101646241693659</v>
      </c>
      <c r="U134">
        <v>2005</v>
      </c>
      <c r="V134">
        <v>19</v>
      </c>
      <c r="W134">
        <v>0</v>
      </c>
      <c r="X134" t="s">
        <v>832</v>
      </c>
      <c r="Y134" t="s">
        <v>1527</v>
      </c>
      <c r="Z134" t="s">
        <v>2141</v>
      </c>
    </row>
    <row r="135" spans="1:26" ht="15" customHeight="1" x14ac:dyDescent="0.3">
      <c r="A135">
        <v>165</v>
      </c>
      <c r="B135">
        <v>33</v>
      </c>
      <c r="C135" t="s">
        <v>878</v>
      </c>
      <c r="D135" t="s">
        <v>879</v>
      </c>
      <c r="E135" t="s">
        <v>752</v>
      </c>
      <c r="F135">
        <v>2025</v>
      </c>
      <c r="G135">
        <v>1</v>
      </c>
      <c r="H135">
        <v>0</v>
      </c>
      <c r="I135">
        <v>0</v>
      </c>
      <c r="J135">
        <v>0</v>
      </c>
      <c r="K135">
        <v>2525000000</v>
      </c>
      <c r="L135">
        <v>17.37</v>
      </c>
      <c r="M135">
        <v>43859250</v>
      </c>
      <c r="N135">
        <v>31032000</v>
      </c>
      <c r="O135">
        <v>39953000</v>
      </c>
      <c r="P135">
        <v>4975000</v>
      </c>
      <c r="Q135">
        <v>1.8744837684279001</v>
      </c>
      <c r="R135">
        <v>17.503214321224501</v>
      </c>
      <c r="S135">
        <v>0.77671263734888496</v>
      </c>
      <c r="T135">
        <v>0.124521312542237</v>
      </c>
      <c r="U135">
        <v>2005</v>
      </c>
      <c r="V135">
        <v>20</v>
      </c>
      <c r="W135">
        <v>0</v>
      </c>
      <c r="X135" t="s">
        <v>832</v>
      </c>
      <c r="Y135" t="s">
        <v>1527</v>
      </c>
      <c r="Z135" t="s">
        <v>2141</v>
      </c>
    </row>
    <row r="136" spans="1:26" ht="15" customHeight="1" x14ac:dyDescent="0.3">
      <c r="A136">
        <v>166</v>
      </c>
      <c r="B136">
        <v>34</v>
      </c>
      <c r="C136" t="s">
        <v>882</v>
      </c>
      <c r="D136" t="s">
        <v>883</v>
      </c>
      <c r="E136" t="s">
        <v>715</v>
      </c>
      <c r="F136">
        <v>2021</v>
      </c>
      <c r="G136">
        <v>0</v>
      </c>
      <c r="H136">
        <v>0</v>
      </c>
      <c r="I136">
        <v>0</v>
      </c>
      <c r="J136">
        <v>0</v>
      </c>
      <c r="K136">
        <v>8000000000</v>
      </c>
      <c r="L136">
        <v>0.2</v>
      </c>
      <c r="M136">
        <v>1600000</v>
      </c>
      <c r="N136">
        <v>11220000</v>
      </c>
      <c r="O136">
        <v>14201000</v>
      </c>
      <c r="P136">
        <v>-733460</v>
      </c>
      <c r="Q136">
        <v>0.90275332723047697</v>
      </c>
      <c r="R136">
        <v>16.468822942627199</v>
      </c>
      <c r="S136">
        <v>0.79008520526723502</v>
      </c>
      <c r="T136">
        <v>-5.1648475459474701E-2</v>
      </c>
      <c r="U136">
        <v>1988</v>
      </c>
      <c r="V136">
        <v>33</v>
      </c>
      <c r="W136">
        <v>0</v>
      </c>
      <c r="X136" t="s">
        <v>885</v>
      </c>
      <c r="Y136" t="s">
        <v>1528</v>
      </c>
      <c r="Z136" t="s">
        <v>733</v>
      </c>
    </row>
    <row r="137" spans="1:26" ht="15" customHeight="1" x14ac:dyDescent="0.3">
      <c r="A137">
        <v>167</v>
      </c>
      <c r="B137">
        <v>34</v>
      </c>
      <c r="C137" t="s">
        <v>882</v>
      </c>
      <c r="D137" t="s">
        <v>883</v>
      </c>
      <c r="E137" t="s">
        <v>715</v>
      </c>
      <c r="F137">
        <v>2022</v>
      </c>
      <c r="G137">
        <v>0</v>
      </c>
      <c r="H137">
        <v>0</v>
      </c>
      <c r="I137">
        <v>0</v>
      </c>
      <c r="J137">
        <v>0</v>
      </c>
      <c r="K137">
        <v>8000000000</v>
      </c>
      <c r="L137">
        <v>0.2</v>
      </c>
      <c r="M137">
        <v>1600000</v>
      </c>
      <c r="N137">
        <v>10237000</v>
      </c>
      <c r="O137">
        <v>12450000</v>
      </c>
      <c r="P137">
        <v>-768070</v>
      </c>
      <c r="Q137">
        <v>0.95076305220883495</v>
      </c>
      <c r="R137">
        <v>16.337231180875001</v>
      </c>
      <c r="S137">
        <v>0.82224899598393597</v>
      </c>
      <c r="T137">
        <v>-6.1692369477911603E-2</v>
      </c>
      <c r="U137">
        <v>1988</v>
      </c>
      <c r="V137">
        <v>34</v>
      </c>
      <c r="W137">
        <v>0</v>
      </c>
      <c r="X137" t="s">
        <v>885</v>
      </c>
      <c r="Y137" t="s">
        <v>1528</v>
      </c>
      <c r="Z137" t="s">
        <v>733</v>
      </c>
    </row>
    <row r="138" spans="1:26" ht="15" customHeight="1" x14ac:dyDescent="0.3">
      <c r="A138">
        <v>168</v>
      </c>
      <c r="B138">
        <v>34</v>
      </c>
      <c r="C138" t="s">
        <v>882</v>
      </c>
      <c r="D138" t="s">
        <v>883</v>
      </c>
      <c r="E138" t="s">
        <v>715</v>
      </c>
      <c r="F138">
        <v>2023</v>
      </c>
      <c r="G138">
        <v>1</v>
      </c>
      <c r="H138">
        <v>0</v>
      </c>
      <c r="I138">
        <v>0</v>
      </c>
      <c r="J138">
        <v>0</v>
      </c>
      <c r="K138">
        <v>8000000000</v>
      </c>
      <c r="L138">
        <v>0.9</v>
      </c>
      <c r="M138">
        <v>7200000</v>
      </c>
      <c r="N138">
        <v>13087000</v>
      </c>
      <c r="O138">
        <v>30906000</v>
      </c>
      <c r="P138">
        <v>-1628000</v>
      </c>
      <c r="Q138">
        <v>0.65640975862292095</v>
      </c>
      <c r="R138">
        <v>17.246460897775801</v>
      </c>
      <c r="S138">
        <v>0.42344528570504097</v>
      </c>
      <c r="T138">
        <v>-5.2675855820876201E-2</v>
      </c>
      <c r="U138">
        <v>1988</v>
      </c>
      <c r="V138">
        <v>35</v>
      </c>
      <c r="W138">
        <v>0</v>
      </c>
      <c r="X138" t="s">
        <v>885</v>
      </c>
      <c r="Y138" t="s">
        <v>1528</v>
      </c>
      <c r="Z138" t="s">
        <v>733</v>
      </c>
    </row>
    <row r="139" spans="1:26" ht="15" customHeight="1" x14ac:dyDescent="0.3">
      <c r="A139">
        <v>169</v>
      </c>
      <c r="B139">
        <v>34</v>
      </c>
      <c r="C139" t="s">
        <v>882</v>
      </c>
      <c r="D139" t="s">
        <v>883</v>
      </c>
      <c r="E139" t="s">
        <v>715</v>
      </c>
      <c r="F139">
        <v>2024</v>
      </c>
      <c r="G139">
        <v>1</v>
      </c>
      <c r="H139">
        <v>0</v>
      </c>
      <c r="I139">
        <v>0</v>
      </c>
      <c r="J139">
        <v>0</v>
      </c>
      <c r="K139">
        <v>8000000000</v>
      </c>
      <c r="L139">
        <v>0.63</v>
      </c>
      <c r="M139">
        <v>5040000</v>
      </c>
      <c r="N139">
        <v>11309000</v>
      </c>
      <c r="O139">
        <v>27493000</v>
      </c>
      <c r="P139">
        <v>-2342000</v>
      </c>
      <c r="Q139">
        <v>0.59466045902593401</v>
      </c>
      <c r="R139">
        <v>17.129441984780101</v>
      </c>
      <c r="S139">
        <v>0.41134106863565301</v>
      </c>
      <c r="T139">
        <v>-8.5185319899610798E-2</v>
      </c>
      <c r="U139">
        <v>1988</v>
      </c>
      <c r="V139">
        <v>36</v>
      </c>
      <c r="W139">
        <v>0</v>
      </c>
      <c r="X139" t="s">
        <v>885</v>
      </c>
      <c r="Y139" t="s">
        <v>1528</v>
      </c>
      <c r="Z139" t="s">
        <v>733</v>
      </c>
    </row>
    <row r="140" spans="1:26" ht="15" customHeight="1" x14ac:dyDescent="0.3">
      <c r="A140">
        <v>170</v>
      </c>
      <c r="B140">
        <v>34</v>
      </c>
      <c r="C140" t="s">
        <v>882</v>
      </c>
      <c r="D140" t="s">
        <v>883</v>
      </c>
      <c r="E140" t="s">
        <v>715</v>
      </c>
      <c r="F140">
        <v>2025</v>
      </c>
      <c r="G140">
        <v>1</v>
      </c>
      <c r="H140">
        <v>0</v>
      </c>
      <c r="I140">
        <v>0</v>
      </c>
      <c r="J140">
        <v>0</v>
      </c>
      <c r="K140">
        <v>8000000000</v>
      </c>
      <c r="L140">
        <v>0.93</v>
      </c>
      <c r="M140">
        <v>7440000</v>
      </c>
      <c r="N140">
        <v>10327000</v>
      </c>
      <c r="O140">
        <v>27132000</v>
      </c>
      <c r="P140">
        <v>-874660</v>
      </c>
      <c r="Q140">
        <v>0.65483561845791005</v>
      </c>
      <c r="R140">
        <v>17.1162244010481</v>
      </c>
      <c r="S140">
        <v>0.38062066932035998</v>
      </c>
      <c r="T140">
        <v>-3.2237210673743202E-2</v>
      </c>
      <c r="U140">
        <v>1988</v>
      </c>
      <c r="V140">
        <v>37</v>
      </c>
      <c r="W140">
        <v>0</v>
      </c>
      <c r="X140" t="s">
        <v>885</v>
      </c>
      <c r="Y140" t="s">
        <v>1528</v>
      </c>
      <c r="Z140" t="s">
        <v>733</v>
      </c>
    </row>
    <row r="141" spans="1:26" ht="15" customHeight="1" x14ac:dyDescent="0.3">
      <c r="A141">
        <v>171</v>
      </c>
      <c r="B141">
        <v>35</v>
      </c>
      <c r="C141" t="s">
        <v>888</v>
      </c>
      <c r="D141" t="s">
        <v>889</v>
      </c>
      <c r="E141" t="s">
        <v>772</v>
      </c>
      <c r="F141">
        <v>2021</v>
      </c>
      <c r="G141">
        <v>0</v>
      </c>
      <c r="H141">
        <v>0</v>
      </c>
      <c r="I141">
        <v>50</v>
      </c>
      <c r="J141">
        <v>26.6666666666667</v>
      </c>
      <c r="K141">
        <v>17000000000</v>
      </c>
      <c r="L141">
        <v>199.19</v>
      </c>
      <c r="M141">
        <v>3386230000</v>
      </c>
      <c r="N141">
        <v>1408350000</v>
      </c>
      <c r="O141">
        <v>2392019000</v>
      </c>
      <c r="P141">
        <v>361008000</v>
      </c>
      <c r="Q141">
        <v>2.0044071556287801</v>
      </c>
      <c r="R141">
        <v>21.595403616147099</v>
      </c>
      <c r="S141">
        <v>0.58877040692402505</v>
      </c>
      <c r="T141">
        <v>0.15092187812889399</v>
      </c>
      <c r="U141">
        <v>1992</v>
      </c>
      <c r="V141">
        <v>29</v>
      </c>
      <c r="W141">
        <v>1</v>
      </c>
      <c r="X141" t="s">
        <v>727</v>
      </c>
      <c r="Y141" t="s">
        <v>1529</v>
      </c>
      <c r="Z141" t="s">
        <v>2141</v>
      </c>
    </row>
    <row r="142" spans="1:26" ht="15" customHeight="1" x14ac:dyDescent="0.3">
      <c r="A142">
        <v>172</v>
      </c>
      <c r="B142">
        <v>35</v>
      </c>
      <c r="C142" t="s">
        <v>888</v>
      </c>
      <c r="D142" t="s">
        <v>889</v>
      </c>
      <c r="E142" t="s">
        <v>772</v>
      </c>
      <c r="F142">
        <v>2022</v>
      </c>
      <c r="G142">
        <v>0</v>
      </c>
      <c r="H142">
        <v>0</v>
      </c>
      <c r="I142">
        <v>70</v>
      </c>
      <c r="J142">
        <v>53.3333333333333</v>
      </c>
      <c r="K142">
        <v>16880000000</v>
      </c>
      <c r="L142">
        <v>216.89</v>
      </c>
      <c r="M142">
        <v>3661103200</v>
      </c>
      <c r="N142">
        <v>1536708000</v>
      </c>
      <c r="O142">
        <v>2615655000</v>
      </c>
      <c r="P142">
        <v>375988000</v>
      </c>
      <c r="Q142">
        <v>1.9871929593161199</v>
      </c>
      <c r="R142">
        <v>21.6847803811104</v>
      </c>
      <c r="S142">
        <v>0.58750408597464099</v>
      </c>
      <c r="T142">
        <v>0.143745256924174</v>
      </c>
      <c r="U142">
        <v>1992</v>
      </c>
      <c r="V142">
        <v>30</v>
      </c>
      <c r="W142">
        <v>1</v>
      </c>
      <c r="X142" t="s">
        <v>727</v>
      </c>
      <c r="Y142" t="s">
        <v>1529</v>
      </c>
      <c r="Z142" t="s">
        <v>2141</v>
      </c>
    </row>
    <row r="143" spans="1:26" ht="15" customHeight="1" x14ac:dyDescent="0.3">
      <c r="A143">
        <v>173</v>
      </c>
      <c r="B143">
        <v>35</v>
      </c>
      <c r="C143" t="s">
        <v>888</v>
      </c>
      <c r="D143" t="s">
        <v>889</v>
      </c>
      <c r="E143" t="s">
        <v>772</v>
      </c>
      <c r="F143">
        <v>2023</v>
      </c>
      <c r="G143">
        <v>1</v>
      </c>
      <c r="H143">
        <v>0</v>
      </c>
      <c r="I143">
        <v>55</v>
      </c>
      <c r="J143">
        <v>46.6666666666667</v>
      </c>
      <c r="K143">
        <v>16818000000</v>
      </c>
      <c r="L143">
        <v>285.52999999999997</v>
      </c>
      <c r="M143">
        <v>4802043540</v>
      </c>
      <c r="N143">
        <v>2212885000</v>
      </c>
      <c r="O143">
        <v>3938725000</v>
      </c>
      <c r="P143">
        <v>445214000</v>
      </c>
      <c r="Q143">
        <v>1.7810150594418199</v>
      </c>
      <c r="R143">
        <v>22.0941229038242</v>
      </c>
      <c r="S143">
        <v>0.56182774882734898</v>
      </c>
      <c r="T143">
        <v>0.11303505576043001</v>
      </c>
      <c r="U143">
        <v>1992</v>
      </c>
      <c r="V143">
        <v>31</v>
      </c>
      <c r="W143">
        <v>1</v>
      </c>
      <c r="X143" t="s">
        <v>727</v>
      </c>
      <c r="Y143" t="s">
        <v>1529</v>
      </c>
      <c r="Z143" t="s">
        <v>2141</v>
      </c>
    </row>
    <row r="144" spans="1:26" ht="15" customHeight="1" x14ac:dyDescent="0.3">
      <c r="A144">
        <v>174</v>
      </c>
      <c r="B144">
        <v>35</v>
      </c>
      <c r="C144" t="s">
        <v>888</v>
      </c>
      <c r="D144" t="s">
        <v>889</v>
      </c>
      <c r="E144" t="s">
        <v>772</v>
      </c>
      <c r="F144">
        <v>2024</v>
      </c>
      <c r="G144">
        <v>1</v>
      </c>
      <c r="H144">
        <v>0</v>
      </c>
      <c r="I144">
        <v>75</v>
      </c>
      <c r="J144">
        <v>73.3333333333333</v>
      </c>
      <c r="K144">
        <v>16752000000</v>
      </c>
      <c r="L144">
        <v>446.88</v>
      </c>
      <c r="M144">
        <v>7486133760</v>
      </c>
      <c r="N144">
        <v>4227993000</v>
      </c>
      <c r="O144">
        <v>6403238000</v>
      </c>
      <c r="P144">
        <v>498192000</v>
      </c>
      <c r="Q144">
        <v>1.82940674077709</v>
      </c>
      <c r="R144">
        <v>22.580069636868799</v>
      </c>
      <c r="S144">
        <v>0.66028984085864095</v>
      </c>
      <c r="T144">
        <v>7.7803136475639398E-2</v>
      </c>
      <c r="U144">
        <v>1992</v>
      </c>
      <c r="V144">
        <v>32</v>
      </c>
      <c r="W144">
        <v>1</v>
      </c>
      <c r="X144" t="s">
        <v>727</v>
      </c>
      <c r="Y144" t="s">
        <v>1529</v>
      </c>
      <c r="Z144" t="s">
        <v>2141</v>
      </c>
    </row>
    <row r="145" spans="1:26" ht="15" customHeight="1" x14ac:dyDescent="0.3">
      <c r="A145">
        <v>175</v>
      </c>
      <c r="B145">
        <v>35</v>
      </c>
      <c r="C145" t="s">
        <v>888</v>
      </c>
      <c r="D145" t="s">
        <v>889</v>
      </c>
      <c r="E145" t="s">
        <v>772</v>
      </c>
      <c r="F145">
        <v>2025</v>
      </c>
      <c r="G145">
        <v>1</v>
      </c>
      <c r="H145">
        <v>0</v>
      </c>
      <c r="I145">
        <v>70</v>
      </c>
      <c r="J145">
        <v>46.6666666666667</v>
      </c>
      <c r="K145">
        <v>16752000000</v>
      </c>
      <c r="L145">
        <v>609</v>
      </c>
      <c r="M145">
        <v>10201968000</v>
      </c>
      <c r="N145">
        <v>3420591000</v>
      </c>
      <c r="O145">
        <v>6040727000</v>
      </c>
      <c r="P145">
        <v>1002847000</v>
      </c>
      <c r="Q145">
        <v>2.2551191272176299</v>
      </c>
      <c r="R145">
        <v>22.521790205888401</v>
      </c>
      <c r="S145">
        <v>0.566254856410495</v>
      </c>
      <c r="T145">
        <v>0.16601428933967699</v>
      </c>
      <c r="U145">
        <v>1992</v>
      </c>
      <c r="V145">
        <v>33</v>
      </c>
      <c r="W145">
        <v>1</v>
      </c>
      <c r="X145" t="s">
        <v>727</v>
      </c>
      <c r="Y145" t="s">
        <v>1529</v>
      </c>
      <c r="Z145" t="s">
        <v>2141</v>
      </c>
    </row>
    <row r="146" spans="1:26" ht="15" customHeight="1" x14ac:dyDescent="0.3">
      <c r="A146">
        <v>176</v>
      </c>
      <c r="B146">
        <v>36</v>
      </c>
      <c r="C146" t="s">
        <v>892</v>
      </c>
      <c r="D146" t="s">
        <v>893</v>
      </c>
      <c r="E146" t="s">
        <v>806</v>
      </c>
      <c r="F146">
        <v>2021</v>
      </c>
      <c r="G146">
        <v>0</v>
      </c>
      <c r="H146">
        <v>0</v>
      </c>
      <c r="I146">
        <v>5</v>
      </c>
      <c r="J146">
        <v>0</v>
      </c>
      <c r="K146">
        <v>12147000000</v>
      </c>
      <c r="L146">
        <v>14.51</v>
      </c>
      <c r="M146">
        <v>176252970</v>
      </c>
      <c r="N146">
        <v>230875000</v>
      </c>
      <c r="O146">
        <v>359506000</v>
      </c>
      <c r="P146">
        <v>22058000</v>
      </c>
      <c r="Q146">
        <v>1.1324650214461001</v>
      </c>
      <c r="R146">
        <v>19.700241424833099</v>
      </c>
      <c r="S146">
        <v>0.642200686497583</v>
      </c>
      <c r="T146">
        <v>6.1356416860914698E-2</v>
      </c>
      <c r="U146">
        <v>2006</v>
      </c>
      <c r="V146">
        <v>15</v>
      </c>
      <c r="W146">
        <v>1</v>
      </c>
      <c r="X146" t="s">
        <v>711</v>
      </c>
      <c r="Y146" t="s">
        <v>1530</v>
      </c>
      <c r="Z146" t="s">
        <v>2141</v>
      </c>
    </row>
    <row r="147" spans="1:26" ht="15" customHeight="1" x14ac:dyDescent="0.3">
      <c r="A147">
        <v>177</v>
      </c>
      <c r="B147">
        <v>36</v>
      </c>
      <c r="C147" t="s">
        <v>892</v>
      </c>
      <c r="D147" t="s">
        <v>893</v>
      </c>
      <c r="E147" t="s">
        <v>806</v>
      </c>
      <c r="F147">
        <v>2022</v>
      </c>
      <c r="G147">
        <v>0</v>
      </c>
      <c r="H147">
        <v>0</v>
      </c>
      <c r="I147">
        <v>5</v>
      </c>
      <c r="J147">
        <v>0</v>
      </c>
      <c r="K147">
        <v>12147000000</v>
      </c>
      <c r="L147">
        <v>14.2</v>
      </c>
      <c r="M147">
        <v>172487400</v>
      </c>
      <c r="N147">
        <v>321208000</v>
      </c>
      <c r="O147">
        <v>492434000</v>
      </c>
      <c r="P147">
        <v>54738000</v>
      </c>
      <c r="Q147">
        <v>1.0025615615493699</v>
      </c>
      <c r="R147">
        <v>20.014870999444</v>
      </c>
      <c r="S147">
        <v>0.652286397771072</v>
      </c>
      <c r="T147">
        <v>0.111158043514461</v>
      </c>
      <c r="U147">
        <v>2006</v>
      </c>
      <c r="V147">
        <v>16</v>
      </c>
      <c r="W147">
        <v>1</v>
      </c>
      <c r="X147" t="s">
        <v>711</v>
      </c>
      <c r="Y147" t="s">
        <v>1530</v>
      </c>
      <c r="Z147" t="s">
        <v>2141</v>
      </c>
    </row>
    <row r="148" spans="1:26" ht="15" customHeight="1" x14ac:dyDescent="0.3">
      <c r="A148">
        <v>178</v>
      </c>
      <c r="B148">
        <v>36</v>
      </c>
      <c r="C148" t="s">
        <v>892</v>
      </c>
      <c r="D148" t="s">
        <v>893</v>
      </c>
      <c r="E148" t="s">
        <v>806</v>
      </c>
      <c r="F148">
        <v>2023</v>
      </c>
      <c r="G148">
        <v>1</v>
      </c>
      <c r="H148">
        <v>0</v>
      </c>
      <c r="I148">
        <v>30</v>
      </c>
      <c r="J148">
        <v>26.6666666666667</v>
      </c>
      <c r="K148">
        <v>12147000000</v>
      </c>
      <c r="L148">
        <v>54.93</v>
      </c>
      <c r="M148">
        <v>667234710</v>
      </c>
      <c r="N148">
        <v>521544000</v>
      </c>
      <c r="O148">
        <v>600790000</v>
      </c>
      <c r="P148">
        <v>-73743000</v>
      </c>
      <c r="Q148">
        <v>1.97869257144759</v>
      </c>
      <c r="R148">
        <v>20.2137560138016</v>
      </c>
      <c r="S148">
        <v>0.86809700560928105</v>
      </c>
      <c r="T148">
        <v>-0.122743387872634</v>
      </c>
      <c r="U148">
        <v>2006</v>
      </c>
      <c r="V148">
        <v>17</v>
      </c>
      <c r="W148">
        <v>1</v>
      </c>
      <c r="X148" t="s">
        <v>711</v>
      </c>
      <c r="Y148" t="s">
        <v>1530</v>
      </c>
      <c r="Z148" t="s">
        <v>2141</v>
      </c>
    </row>
    <row r="149" spans="1:26" ht="15" customHeight="1" x14ac:dyDescent="0.3">
      <c r="A149">
        <v>179</v>
      </c>
      <c r="B149">
        <v>36</v>
      </c>
      <c r="C149" t="s">
        <v>892</v>
      </c>
      <c r="D149" t="s">
        <v>893</v>
      </c>
      <c r="E149" t="s">
        <v>806</v>
      </c>
      <c r="F149">
        <v>2024</v>
      </c>
      <c r="G149">
        <v>1</v>
      </c>
      <c r="H149">
        <v>0</v>
      </c>
      <c r="I149">
        <v>25</v>
      </c>
      <c r="J149">
        <v>0</v>
      </c>
      <c r="K149">
        <v>12147000000</v>
      </c>
      <c r="L149">
        <v>31.32</v>
      </c>
      <c r="M149">
        <v>380444040</v>
      </c>
      <c r="N149">
        <v>838605000</v>
      </c>
      <c r="O149">
        <v>1050833000</v>
      </c>
      <c r="P149">
        <v>-192599000</v>
      </c>
      <c r="Q149">
        <v>1.16007875656741</v>
      </c>
      <c r="R149">
        <v>20.7728490199266</v>
      </c>
      <c r="S149">
        <v>0.79803831817234505</v>
      </c>
      <c r="T149">
        <v>-0.183282215156928</v>
      </c>
      <c r="U149">
        <v>2006</v>
      </c>
      <c r="V149">
        <v>18</v>
      </c>
      <c r="W149">
        <v>1</v>
      </c>
      <c r="X149" t="s">
        <v>711</v>
      </c>
      <c r="Y149" t="s">
        <v>1530</v>
      </c>
      <c r="Z149" t="s">
        <v>2141</v>
      </c>
    </row>
    <row r="150" spans="1:26" ht="15" customHeight="1" x14ac:dyDescent="0.3">
      <c r="A150">
        <v>180</v>
      </c>
      <c r="B150">
        <v>36</v>
      </c>
      <c r="C150" t="s">
        <v>892</v>
      </c>
      <c r="D150" t="s">
        <v>893</v>
      </c>
      <c r="E150" t="s">
        <v>806</v>
      </c>
      <c r="F150">
        <v>2025</v>
      </c>
      <c r="G150">
        <v>1</v>
      </c>
      <c r="H150">
        <v>0</v>
      </c>
      <c r="I150">
        <v>5</v>
      </c>
      <c r="J150">
        <v>0</v>
      </c>
      <c r="K150">
        <v>12147000000</v>
      </c>
      <c r="L150">
        <v>57.82</v>
      </c>
      <c r="M150">
        <v>702339540</v>
      </c>
      <c r="N150">
        <v>836945000</v>
      </c>
      <c r="O150">
        <v>965926000</v>
      </c>
      <c r="P150">
        <v>-64064000</v>
      </c>
      <c r="Q150">
        <v>1.5935843325472101</v>
      </c>
      <c r="R150">
        <v>20.688597784687602</v>
      </c>
      <c r="S150">
        <v>0.86646906698856896</v>
      </c>
      <c r="T150">
        <v>-6.6323921294177801E-2</v>
      </c>
      <c r="U150">
        <v>2006</v>
      </c>
      <c r="V150">
        <v>19</v>
      </c>
      <c r="W150">
        <v>1</v>
      </c>
      <c r="X150" t="s">
        <v>711</v>
      </c>
      <c r="Y150" t="s">
        <v>1530</v>
      </c>
      <c r="Z150" t="s">
        <v>2141</v>
      </c>
    </row>
    <row r="151" spans="1:26" ht="15" customHeight="1" x14ac:dyDescent="0.3">
      <c r="A151">
        <v>186</v>
      </c>
      <c r="B151">
        <v>38</v>
      </c>
      <c r="C151" t="s">
        <v>901</v>
      </c>
      <c r="D151" t="s">
        <v>902</v>
      </c>
      <c r="E151" t="s">
        <v>903</v>
      </c>
      <c r="F151">
        <v>2021</v>
      </c>
      <c r="G151">
        <v>0</v>
      </c>
      <c r="H151">
        <v>0</v>
      </c>
      <c r="I151">
        <v>0</v>
      </c>
      <c r="J151">
        <v>0</v>
      </c>
      <c r="K151">
        <v>2000000000</v>
      </c>
      <c r="L151">
        <v>4.25</v>
      </c>
      <c r="M151">
        <v>8500000</v>
      </c>
      <c r="N151">
        <v>2960042</v>
      </c>
      <c r="O151">
        <v>10081326</v>
      </c>
      <c r="P151">
        <v>-563279</v>
      </c>
      <c r="Q151">
        <v>1.1367593905801701</v>
      </c>
      <c r="R151">
        <v>16.126195359574901</v>
      </c>
      <c r="S151">
        <v>0.29361633578757401</v>
      </c>
      <c r="T151">
        <v>-5.58735031482962E-2</v>
      </c>
      <c r="U151">
        <v>1980</v>
      </c>
      <c r="V151">
        <v>41</v>
      </c>
      <c r="W151">
        <v>0</v>
      </c>
      <c r="X151" t="s">
        <v>905</v>
      </c>
      <c r="Y151" t="s">
        <v>1531</v>
      </c>
      <c r="Z151" t="s">
        <v>2141</v>
      </c>
    </row>
    <row r="152" spans="1:26" ht="15" customHeight="1" x14ac:dyDescent="0.3">
      <c r="A152">
        <v>187</v>
      </c>
      <c r="B152">
        <v>38</v>
      </c>
      <c r="C152" t="s">
        <v>901</v>
      </c>
      <c r="D152" t="s">
        <v>902</v>
      </c>
      <c r="E152" t="s">
        <v>903</v>
      </c>
      <c r="F152">
        <v>2022</v>
      </c>
      <c r="G152">
        <v>0</v>
      </c>
      <c r="H152">
        <v>0</v>
      </c>
      <c r="I152">
        <v>0</v>
      </c>
      <c r="J152">
        <v>0</v>
      </c>
      <c r="K152">
        <v>1792000000</v>
      </c>
      <c r="L152">
        <v>3.61</v>
      </c>
      <c r="M152">
        <v>6469120</v>
      </c>
      <c r="N152">
        <v>3527000</v>
      </c>
      <c r="O152">
        <v>23360000</v>
      </c>
      <c r="P152">
        <v>-1004000</v>
      </c>
      <c r="Q152">
        <v>0.42791609589041102</v>
      </c>
      <c r="R152">
        <v>16.966535715924302</v>
      </c>
      <c r="S152">
        <v>0.15098458904109599</v>
      </c>
      <c r="T152">
        <v>-4.2979452054794497E-2</v>
      </c>
      <c r="U152">
        <v>1980</v>
      </c>
      <c r="V152">
        <v>42</v>
      </c>
      <c r="W152">
        <v>0</v>
      </c>
      <c r="X152" t="s">
        <v>905</v>
      </c>
      <c r="Y152" t="s">
        <v>1532</v>
      </c>
      <c r="Z152" t="s">
        <v>2141</v>
      </c>
    </row>
    <row r="153" spans="1:26" ht="15" customHeight="1" x14ac:dyDescent="0.3">
      <c r="A153">
        <v>188</v>
      </c>
      <c r="B153">
        <v>38</v>
      </c>
      <c r="C153" t="s">
        <v>901</v>
      </c>
      <c r="D153" t="s">
        <v>902</v>
      </c>
      <c r="E153" t="s">
        <v>903</v>
      </c>
      <c r="F153">
        <v>2023</v>
      </c>
      <c r="G153">
        <v>1</v>
      </c>
      <c r="H153">
        <v>0</v>
      </c>
      <c r="I153">
        <v>0</v>
      </c>
      <c r="J153">
        <v>0</v>
      </c>
      <c r="K153">
        <v>2000000000</v>
      </c>
      <c r="L153">
        <v>3.93</v>
      </c>
      <c r="M153">
        <v>7860000</v>
      </c>
      <c r="N153">
        <v>3520000</v>
      </c>
      <c r="O153">
        <v>23436000</v>
      </c>
      <c r="P153">
        <v>-849320</v>
      </c>
      <c r="Q153">
        <v>0.48557774364225997</v>
      </c>
      <c r="R153">
        <v>16.9697838596468</v>
      </c>
      <c r="S153">
        <v>0.15019627922853701</v>
      </c>
      <c r="T153">
        <v>-3.6239972691585597E-2</v>
      </c>
      <c r="U153">
        <v>1980</v>
      </c>
      <c r="V153">
        <v>43</v>
      </c>
      <c r="W153">
        <v>0</v>
      </c>
      <c r="X153" t="s">
        <v>905</v>
      </c>
      <c r="Y153" t="s">
        <v>1532</v>
      </c>
      <c r="Z153" t="s">
        <v>2141</v>
      </c>
    </row>
    <row r="154" spans="1:26" ht="15" customHeight="1" x14ac:dyDescent="0.3">
      <c r="A154">
        <v>189</v>
      </c>
      <c r="B154">
        <v>38</v>
      </c>
      <c r="C154" t="s">
        <v>901</v>
      </c>
      <c r="D154" t="s">
        <v>902</v>
      </c>
      <c r="E154" t="s">
        <v>903</v>
      </c>
      <c r="F154">
        <v>2024</v>
      </c>
      <c r="G154">
        <v>1</v>
      </c>
      <c r="H154">
        <v>0</v>
      </c>
      <c r="I154">
        <v>0</v>
      </c>
      <c r="J154">
        <v>0</v>
      </c>
      <c r="K154">
        <v>2754000000</v>
      </c>
      <c r="L154">
        <v>3</v>
      </c>
      <c r="M154">
        <v>8262000</v>
      </c>
      <c r="N154">
        <v>2703000</v>
      </c>
      <c r="O154">
        <v>24552000</v>
      </c>
      <c r="P154">
        <v>-893940</v>
      </c>
      <c r="Q154">
        <v>0.44660312805474101</v>
      </c>
      <c r="R154">
        <v>17.0163038752817</v>
      </c>
      <c r="S154">
        <v>0.11009286412512199</v>
      </c>
      <c r="T154">
        <v>-3.6410068426197498E-2</v>
      </c>
      <c r="U154">
        <v>1980</v>
      </c>
      <c r="V154">
        <v>44</v>
      </c>
      <c r="W154">
        <v>0</v>
      </c>
      <c r="X154" t="s">
        <v>905</v>
      </c>
      <c r="Y154" t="s">
        <v>1532</v>
      </c>
      <c r="Z154" t="s">
        <v>2141</v>
      </c>
    </row>
    <row r="155" spans="1:26" ht="15" customHeight="1" x14ac:dyDescent="0.3">
      <c r="A155">
        <v>190</v>
      </c>
      <c r="B155">
        <v>38</v>
      </c>
      <c r="C155" t="s">
        <v>901</v>
      </c>
      <c r="D155" t="s">
        <v>902</v>
      </c>
      <c r="E155" t="s">
        <v>903</v>
      </c>
      <c r="F155">
        <v>2025</v>
      </c>
      <c r="G155">
        <v>1</v>
      </c>
      <c r="H155">
        <v>0</v>
      </c>
      <c r="I155">
        <v>0</v>
      </c>
      <c r="J155">
        <v>0</v>
      </c>
      <c r="K155">
        <v>3858000000</v>
      </c>
      <c r="L155">
        <v>9.2100000000000009</v>
      </c>
      <c r="M155">
        <v>35532180</v>
      </c>
      <c r="N155">
        <v>8391000</v>
      </c>
      <c r="O155">
        <v>31051000</v>
      </c>
      <c r="P155">
        <v>-1596000</v>
      </c>
      <c r="Q155">
        <v>1.4145496119287599</v>
      </c>
      <c r="R155">
        <v>17.251141571944299</v>
      </c>
      <c r="S155">
        <v>0.27023284274258502</v>
      </c>
      <c r="T155">
        <v>-5.1399310811245998E-2</v>
      </c>
      <c r="U155">
        <v>1980</v>
      </c>
      <c r="V155">
        <v>45</v>
      </c>
      <c r="W155">
        <v>0</v>
      </c>
      <c r="X155" t="s">
        <v>905</v>
      </c>
      <c r="Y155" t="s">
        <v>1532</v>
      </c>
      <c r="Z155" t="s">
        <v>2141</v>
      </c>
    </row>
    <row r="156" spans="1:26" ht="15" customHeight="1" x14ac:dyDescent="0.3">
      <c r="A156">
        <v>191</v>
      </c>
      <c r="B156">
        <v>39</v>
      </c>
      <c r="C156" t="s">
        <v>907</v>
      </c>
      <c r="D156" t="s">
        <v>908</v>
      </c>
      <c r="E156" t="s">
        <v>806</v>
      </c>
      <c r="F156">
        <v>2021</v>
      </c>
      <c r="G156">
        <v>0</v>
      </c>
      <c r="H156">
        <v>0</v>
      </c>
      <c r="I156">
        <v>0</v>
      </c>
      <c r="J156">
        <v>0</v>
      </c>
      <c r="K156">
        <v>76032000</v>
      </c>
      <c r="L156">
        <v>16.2</v>
      </c>
      <c r="M156">
        <v>1231718.3999999999</v>
      </c>
      <c r="N156">
        <v>951234</v>
      </c>
      <c r="O156">
        <v>1507040</v>
      </c>
      <c r="P156">
        <v>-275533</v>
      </c>
      <c r="Q156">
        <v>1.4485032912198701</v>
      </c>
      <c r="R156">
        <v>14.225658020056599</v>
      </c>
      <c r="S156">
        <v>0.63119359804650199</v>
      </c>
      <c r="T156">
        <v>-0.18283058180273901</v>
      </c>
      <c r="U156">
        <v>1960</v>
      </c>
      <c r="V156">
        <v>61</v>
      </c>
      <c r="W156">
        <v>0</v>
      </c>
      <c r="X156" t="s">
        <v>910</v>
      </c>
      <c r="Y156" t="s">
        <v>1533</v>
      </c>
      <c r="Z156" t="s">
        <v>2141</v>
      </c>
    </row>
    <row r="157" spans="1:26" ht="15" customHeight="1" x14ac:dyDescent="0.3">
      <c r="A157">
        <v>192</v>
      </c>
      <c r="B157">
        <v>39</v>
      </c>
      <c r="C157" t="s">
        <v>907</v>
      </c>
      <c r="D157" t="s">
        <v>908</v>
      </c>
      <c r="E157" t="s">
        <v>806</v>
      </c>
      <c r="F157">
        <v>2022</v>
      </c>
      <c r="G157">
        <v>0</v>
      </c>
      <c r="H157">
        <v>0</v>
      </c>
      <c r="I157">
        <v>0</v>
      </c>
      <c r="J157">
        <v>0</v>
      </c>
      <c r="K157">
        <v>76030000</v>
      </c>
      <c r="L157">
        <v>16.2</v>
      </c>
      <c r="M157">
        <v>1231686</v>
      </c>
      <c r="N157">
        <v>4264000</v>
      </c>
      <c r="O157">
        <v>4409000</v>
      </c>
      <c r="P157">
        <v>-431220</v>
      </c>
      <c r="Q157">
        <v>1.24646994783398</v>
      </c>
      <c r="R157">
        <v>15.299158464340101</v>
      </c>
      <c r="S157">
        <v>0.96711272397368997</v>
      </c>
      <c r="T157">
        <v>-9.7804490814243597E-2</v>
      </c>
      <c r="U157">
        <v>1960</v>
      </c>
      <c r="V157">
        <v>62</v>
      </c>
      <c r="W157">
        <v>0</v>
      </c>
      <c r="X157" t="s">
        <v>910</v>
      </c>
      <c r="Y157" t="s">
        <v>1534</v>
      </c>
      <c r="Z157" t="s">
        <v>2141</v>
      </c>
    </row>
    <row r="158" spans="1:26" ht="15" customHeight="1" x14ac:dyDescent="0.3">
      <c r="A158">
        <v>193</v>
      </c>
      <c r="B158">
        <v>39</v>
      </c>
      <c r="C158" t="s">
        <v>907</v>
      </c>
      <c r="D158" t="s">
        <v>908</v>
      </c>
      <c r="E158" t="s">
        <v>806</v>
      </c>
      <c r="F158">
        <v>2023</v>
      </c>
      <c r="G158">
        <v>1</v>
      </c>
      <c r="H158">
        <v>0</v>
      </c>
      <c r="I158">
        <v>0</v>
      </c>
      <c r="J158">
        <v>0</v>
      </c>
      <c r="K158">
        <v>76030000</v>
      </c>
      <c r="L158">
        <v>17.75</v>
      </c>
      <c r="M158">
        <v>1349532.5</v>
      </c>
      <c r="N158">
        <v>3671000</v>
      </c>
      <c r="O158">
        <v>5502000</v>
      </c>
      <c r="P158">
        <v>1686000</v>
      </c>
      <c r="Q158">
        <v>0.91249227553616896</v>
      </c>
      <c r="R158">
        <v>15.5206222204667</v>
      </c>
      <c r="S158">
        <v>0.66721192293711395</v>
      </c>
      <c r="T158">
        <v>0.30643402399127601</v>
      </c>
      <c r="U158">
        <v>1960</v>
      </c>
      <c r="V158">
        <v>63</v>
      </c>
      <c r="W158">
        <v>0</v>
      </c>
      <c r="X158" t="s">
        <v>910</v>
      </c>
      <c r="Y158" t="s">
        <v>1534</v>
      </c>
      <c r="Z158" t="s">
        <v>2141</v>
      </c>
    </row>
    <row r="159" spans="1:26" ht="15" customHeight="1" x14ac:dyDescent="0.3">
      <c r="A159">
        <v>194</v>
      </c>
      <c r="B159">
        <v>39</v>
      </c>
      <c r="C159" t="s">
        <v>907</v>
      </c>
      <c r="D159" t="s">
        <v>908</v>
      </c>
      <c r="E159" t="s">
        <v>806</v>
      </c>
      <c r="F159">
        <v>2024</v>
      </c>
      <c r="G159">
        <v>1</v>
      </c>
      <c r="H159">
        <v>0</v>
      </c>
      <c r="I159">
        <v>0</v>
      </c>
      <c r="J159">
        <v>0</v>
      </c>
      <c r="K159">
        <v>76030000</v>
      </c>
      <c r="L159">
        <v>19.3</v>
      </c>
      <c r="M159">
        <v>1467379</v>
      </c>
      <c r="N159">
        <v>3247000</v>
      </c>
      <c r="O159">
        <v>2503000</v>
      </c>
      <c r="P159">
        <v>-2598000</v>
      </c>
      <c r="Q159">
        <v>1.8834914103076299</v>
      </c>
      <c r="R159">
        <v>14.7330005704139</v>
      </c>
      <c r="S159">
        <v>1.29724330803036</v>
      </c>
      <c r="T159">
        <v>-1.0379544546544099</v>
      </c>
      <c r="U159">
        <v>1960</v>
      </c>
      <c r="V159">
        <v>64</v>
      </c>
      <c r="W159">
        <v>0</v>
      </c>
      <c r="X159" t="s">
        <v>910</v>
      </c>
      <c r="Y159" t="s">
        <v>1535</v>
      </c>
      <c r="Z159" t="s">
        <v>2141</v>
      </c>
    </row>
    <row r="160" spans="1:26" ht="15" customHeight="1" x14ac:dyDescent="0.3">
      <c r="A160">
        <v>195</v>
      </c>
      <c r="B160">
        <v>39</v>
      </c>
      <c r="C160" t="s">
        <v>907</v>
      </c>
      <c r="D160" t="s">
        <v>908</v>
      </c>
      <c r="E160" t="s">
        <v>806</v>
      </c>
      <c r="F160">
        <v>2025</v>
      </c>
      <c r="G160">
        <v>1</v>
      </c>
      <c r="H160">
        <v>0</v>
      </c>
      <c r="I160">
        <v>0</v>
      </c>
      <c r="J160">
        <v>0</v>
      </c>
      <c r="K160">
        <v>76030000</v>
      </c>
      <c r="L160">
        <v>25.3</v>
      </c>
      <c r="M160">
        <v>1923559</v>
      </c>
      <c r="N160">
        <v>3429000</v>
      </c>
      <c r="O160">
        <v>2700000</v>
      </c>
      <c r="P160">
        <v>15480</v>
      </c>
      <c r="Q160">
        <v>1.9824292592592601</v>
      </c>
      <c r="R160">
        <v>14.8087623309746</v>
      </c>
      <c r="S160">
        <v>1.27</v>
      </c>
      <c r="T160">
        <v>5.7333333333333299E-3</v>
      </c>
      <c r="U160">
        <v>1960</v>
      </c>
      <c r="V160">
        <v>65</v>
      </c>
      <c r="W160">
        <v>0</v>
      </c>
      <c r="X160" t="s">
        <v>910</v>
      </c>
      <c r="Y160" t="s">
        <v>1535</v>
      </c>
      <c r="Z160" t="s">
        <v>2141</v>
      </c>
    </row>
    <row r="161" spans="1:26" ht="15" customHeight="1" x14ac:dyDescent="0.3">
      <c r="A161">
        <v>196</v>
      </c>
      <c r="B161">
        <v>40</v>
      </c>
      <c r="C161" t="s">
        <v>912</v>
      </c>
      <c r="D161" t="s">
        <v>913</v>
      </c>
      <c r="E161" t="s">
        <v>766</v>
      </c>
      <c r="F161">
        <v>2021</v>
      </c>
      <c r="G161">
        <v>0</v>
      </c>
      <c r="H161">
        <v>0</v>
      </c>
      <c r="I161">
        <v>30</v>
      </c>
      <c r="J161">
        <v>0</v>
      </c>
      <c r="K161">
        <v>1304000000</v>
      </c>
      <c r="L161">
        <v>4.0599999999999996</v>
      </c>
      <c r="M161">
        <v>5294240</v>
      </c>
      <c r="N161">
        <v>33964000</v>
      </c>
      <c r="O161">
        <v>46082000</v>
      </c>
      <c r="P161">
        <v>-1100000</v>
      </c>
      <c r="Q161">
        <v>0.85192135757996601</v>
      </c>
      <c r="R161">
        <v>17.645932976187801</v>
      </c>
      <c r="S161">
        <v>0.73703398290004796</v>
      </c>
      <c r="T161">
        <v>-2.3870491732129701E-2</v>
      </c>
      <c r="U161">
        <v>1989</v>
      </c>
      <c r="V161">
        <v>32</v>
      </c>
      <c r="W161">
        <v>1</v>
      </c>
      <c r="X161" t="s">
        <v>711</v>
      </c>
      <c r="Y161" t="s">
        <v>1536</v>
      </c>
      <c r="Z161" t="s">
        <v>733</v>
      </c>
    </row>
    <row r="162" spans="1:26" ht="15" customHeight="1" x14ac:dyDescent="0.3">
      <c r="A162">
        <v>197</v>
      </c>
      <c r="B162">
        <v>40</v>
      </c>
      <c r="C162" t="s">
        <v>912</v>
      </c>
      <c r="D162" t="s">
        <v>913</v>
      </c>
      <c r="E162" t="s">
        <v>766</v>
      </c>
      <c r="F162">
        <v>2022</v>
      </c>
      <c r="G162">
        <v>0</v>
      </c>
      <c r="H162">
        <v>0</v>
      </c>
      <c r="I162">
        <v>30</v>
      </c>
      <c r="J162">
        <v>0</v>
      </c>
      <c r="K162">
        <v>1304000000</v>
      </c>
      <c r="L162">
        <v>5.38</v>
      </c>
      <c r="M162">
        <v>7015520</v>
      </c>
      <c r="N162">
        <v>41086000</v>
      </c>
      <c r="O162">
        <v>54216000</v>
      </c>
      <c r="P162">
        <v>1012000</v>
      </c>
      <c r="Q162">
        <v>0.88722000885347496</v>
      </c>
      <c r="R162">
        <v>17.8084866257981</v>
      </c>
      <c r="S162">
        <v>0.75782056957355803</v>
      </c>
      <c r="T162">
        <v>1.8666076435000699E-2</v>
      </c>
      <c r="U162">
        <v>1989</v>
      </c>
      <c r="V162">
        <v>33</v>
      </c>
      <c r="W162">
        <v>1</v>
      </c>
      <c r="X162" t="s">
        <v>711</v>
      </c>
      <c r="Y162" t="s">
        <v>1536</v>
      </c>
      <c r="Z162" t="s">
        <v>733</v>
      </c>
    </row>
    <row r="163" spans="1:26" ht="15" customHeight="1" x14ac:dyDescent="0.3">
      <c r="A163">
        <v>198</v>
      </c>
      <c r="B163">
        <v>40</v>
      </c>
      <c r="C163" t="s">
        <v>912</v>
      </c>
      <c r="D163" t="s">
        <v>913</v>
      </c>
      <c r="E163" t="s">
        <v>766</v>
      </c>
      <c r="F163">
        <v>2023</v>
      </c>
      <c r="G163">
        <v>1</v>
      </c>
      <c r="H163">
        <v>0</v>
      </c>
      <c r="I163">
        <v>0</v>
      </c>
      <c r="J163">
        <v>0</v>
      </c>
      <c r="K163">
        <v>1304000000</v>
      </c>
      <c r="L163">
        <v>11.42</v>
      </c>
      <c r="M163">
        <v>14891680</v>
      </c>
      <c r="N163">
        <v>56138000</v>
      </c>
      <c r="O163">
        <v>59640000</v>
      </c>
      <c r="P163">
        <v>-9433000</v>
      </c>
      <c r="Q163">
        <v>1.1909738430583501</v>
      </c>
      <c r="R163">
        <v>17.903837047860801</v>
      </c>
      <c r="S163">
        <v>0.94128101945003395</v>
      </c>
      <c r="T163">
        <v>-0.15816566063044901</v>
      </c>
      <c r="U163">
        <v>1989</v>
      </c>
      <c r="V163">
        <v>34</v>
      </c>
      <c r="W163">
        <v>1</v>
      </c>
      <c r="X163" t="s">
        <v>711</v>
      </c>
      <c r="Y163" t="s">
        <v>1536</v>
      </c>
      <c r="Z163" t="s">
        <v>733</v>
      </c>
    </row>
    <row r="164" spans="1:26" ht="15" customHeight="1" x14ac:dyDescent="0.3">
      <c r="A164">
        <v>199</v>
      </c>
      <c r="B164">
        <v>40</v>
      </c>
      <c r="C164" t="s">
        <v>912</v>
      </c>
      <c r="D164" t="s">
        <v>913</v>
      </c>
      <c r="E164" t="s">
        <v>766</v>
      </c>
      <c r="F164">
        <v>2024</v>
      </c>
      <c r="G164">
        <v>1</v>
      </c>
      <c r="H164">
        <v>0</v>
      </c>
      <c r="I164">
        <v>45</v>
      </c>
      <c r="J164">
        <v>6.6666666666666696</v>
      </c>
      <c r="K164">
        <v>1304000000</v>
      </c>
      <c r="L164">
        <v>20.04</v>
      </c>
      <c r="M164">
        <v>26132160</v>
      </c>
      <c r="N164">
        <v>62572000</v>
      </c>
      <c r="O164">
        <v>67423000</v>
      </c>
      <c r="P164">
        <v>1349000</v>
      </c>
      <c r="Q164">
        <v>1.3156365038636699</v>
      </c>
      <c r="R164">
        <v>18.026496763962101</v>
      </c>
      <c r="S164">
        <v>0.92805125847262804</v>
      </c>
      <c r="T164">
        <v>2.00080091363481E-2</v>
      </c>
      <c r="U164">
        <v>1989</v>
      </c>
      <c r="V164">
        <v>35</v>
      </c>
      <c r="W164">
        <v>1</v>
      </c>
      <c r="X164" t="s">
        <v>711</v>
      </c>
      <c r="Y164" t="s">
        <v>1536</v>
      </c>
      <c r="Z164" t="s">
        <v>733</v>
      </c>
    </row>
    <row r="165" spans="1:26" ht="15" customHeight="1" x14ac:dyDescent="0.3">
      <c r="A165">
        <v>200</v>
      </c>
      <c r="B165">
        <v>40</v>
      </c>
      <c r="C165" t="s">
        <v>912</v>
      </c>
      <c r="D165" t="s">
        <v>913</v>
      </c>
      <c r="E165" t="s">
        <v>766</v>
      </c>
      <c r="F165">
        <v>2025</v>
      </c>
      <c r="G165">
        <v>1</v>
      </c>
      <c r="H165">
        <v>0</v>
      </c>
      <c r="I165">
        <v>0</v>
      </c>
      <c r="J165">
        <v>0</v>
      </c>
      <c r="K165">
        <v>1304000000</v>
      </c>
      <c r="L165">
        <v>28.08</v>
      </c>
      <c r="M165">
        <v>36616320</v>
      </c>
      <c r="N165">
        <v>84427000</v>
      </c>
      <c r="O165">
        <v>92195000</v>
      </c>
      <c r="P165">
        <v>2917000</v>
      </c>
      <c r="Q165">
        <v>1.31290547209719</v>
      </c>
      <c r="R165">
        <v>18.339416457121398</v>
      </c>
      <c r="S165">
        <v>0.91574380389392096</v>
      </c>
      <c r="T165">
        <v>3.1639459840555301E-2</v>
      </c>
      <c r="U165">
        <v>1989</v>
      </c>
      <c r="V165">
        <v>36</v>
      </c>
      <c r="W165">
        <v>1</v>
      </c>
      <c r="X165" t="s">
        <v>711</v>
      </c>
      <c r="Y165" t="s">
        <v>1536</v>
      </c>
      <c r="Z165" t="s">
        <v>733</v>
      </c>
    </row>
    <row r="166" spans="1:26" ht="15" customHeight="1" x14ac:dyDescent="0.3">
      <c r="A166">
        <v>201</v>
      </c>
      <c r="B166">
        <v>41</v>
      </c>
      <c r="C166" t="s">
        <v>916</v>
      </c>
      <c r="D166" t="s">
        <v>917</v>
      </c>
      <c r="E166" t="s">
        <v>709</v>
      </c>
      <c r="F166">
        <v>2021</v>
      </c>
      <c r="G166">
        <v>0</v>
      </c>
      <c r="H166">
        <v>0</v>
      </c>
      <c r="I166">
        <v>20</v>
      </c>
      <c r="J166">
        <v>6.6666666666666696</v>
      </c>
      <c r="K166">
        <v>24730000000</v>
      </c>
      <c r="L166">
        <v>7.9</v>
      </c>
      <c r="M166">
        <v>195367000</v>
      </c>
      <c r="N166">
        <v>10771328212</v>
      </c>
      <c r="O166">
        <v>11689232030</v>
      </c>
      <c r="P166">
        <v>146328347</v>
      </c>
      <c r="Q166">
        <v>0.938187828238362</v>
      </c>
      <c r="R166">
        <v>23.181933915661599</v>
      </c>
      <c r="S166">
        <v>0.92147441203628799</v>
      </c>
      <c r="T166">
        <v>1.2518217332366501E-2</v>
      </c>
      <c r="U166">
        <v>1985</v>
      </c>
      <c r="V166">
        <v>36</v>
      </c>
      <c r="W166">
        <v>1</v>
      </c>
      <c r="X166" t="s">
        <v>919</v>
      </c>
      <c r="Y166" t="s">
        <v>1537</v>
      </c>
      <c r="Z166" t="s">
        <v>2141</v>
      </c>
    </row>
    <row r="167" spans="1:26" ht="15" customHeight="1" x14ac:dyDescent="0.3">
      <c r="A167">
        <v>202</v>
      </c>
      <c r="B167">
        <v>41</v>
      </c>
      <c r="C167" t="s">
        <v>916</v>
      </c>
      <c r="D167" t="s">
        <v>917</v>
      </c>
      <c r="E167" t="s">
        <v>709</v>
      </c>
      <c r="F167">
        <v>2022</v>
      </c>
      <c r="G167">
        <v>0</v>
      </c>
      <c r="H167">
        <v>0</v>
      </c>
      <c r="I167">
        <v>25</v>
      </c>
      <c r="J167">
        <v>13.3333333333333</v>
      </c>
      <c r="K167">
        <v>24593000000</v>
      </c>
      <c r="L167">
        <v>10.17</v>
      </c>
      <c r="M167">
        <v>250110810</v>
      </c>
      <c r="N167">
        <v>12439165709</v>
      </c>
      <c r="O167">
        <v>13373822328</v>
      </c>
      <c r="P167">
        <v>156551884</v>
      </c>
      <c r="Q167">
        <v>0.948814498038694</v>
      </c>
      <c r="R167">
        <v>23.3165650756088</v>
      </c>
      <c r="S167">
        <v>0.930112977720426</v>
      </c>
      <c r="T167">
        <v>1.17058444594584E-2</v>
      </c>
      <c r="U167">
        <v>1985</v>
      </c>
      <c r="V167">
        <v>37</v>
      </c>
      <c r="W167">
        <v>1</v>
      </c>
      <c r="X167" t="s">
        <v>919</v>
      </c>
      <c r="Y167" t="s">
        <v>1537</v>
      </c>
      <c r="Z167" t="s">
        <v>2141</v>
      </c>
    </row>
    <row r="168" spans="1:26" ht="15" customHeight="1" x14ac:dyDescent="0.3">
      <c r="A168">
        <v>203</v>
      </c>
      <c r="B168">
        <v>41</v>
      </c>
      <c r="C168" t="s">
        <v>916</v>
      </c>
      <c r="D168" t="s">
        <v>917</v>
      </c>
      <c r="E168" t="s">
        <v>709</v>
      </c>
      <c r="F168">
        <v>2023</v>
      </c>
      <c r="G168">
        <v>1</v>
      </c>
      <c r="H168">
        <v>0</v>
      </c>
      <c r="I168">
        <v>30</v>
      </c>
      <c r="J168">
        <v>26.6666666666667</v>
      </c>
      <c r="K168">
        <v>24593000000</v>
      </c>
      <c r="L168">
        <v>20.9</v>
      </c>
      <c r="M168">
        <v>513993700</v>
      </c>
      <c r="N168">
        <v>24266561821</v>
      </c>
      <c r="O168">
        <v>25917398745</v>
      </c>
      <c r="P168">
        <v>263524043</v>
      </c>
      <c r="Q168">
        <v>0.95613590564449202</v>
      </c>
      <c r="R168">
        <v>23.978180346334199</v>
      </c>
      <c r="S168">
        <v>0.93630391150583803</v>
      </c>
      <c r="T168">
        <v>1.0167843061442999E-2</v>
      </c>
      <c r="U168">
        <v>1985</v>
      </c>
      <c r="V168">
        <v>38</v>
      </c>
      <c r="W168">
        <v>1</v>
      </c>
      <c r="X168" t="s">
        <v>919</v>
      </c>
      <c r="Y168" t="s">
        <v>1537</v>
      </c>
      <c r="Z168" t="s">
        <v>2141</v>
      </c>
    </row>
    <row r="169" spans="1:26" ht="15" customHeight="1" x14ac:dyDescent="0.3">
      <c r="A169">
        <v>204</v>
      </c>
      <c r="B169">
        <v>41</v>
      </c>
      <c r="C169" t="s">
        <v>916</v>
      </c>
      <c r="D169" t="s">
        <v>917</v>
      </c>
      <c r="E169" t="s">
        <v>709</v>
      </c>
      <c r="F169">
        <v>2024</v>
      </c>
      <c r="G169">
        <v>1</v>
      </c>
      <c r="H169">
        <v>0</v>
      </c>
      <c r="I169">
        <v>0</v>
      </c>
      <c r="J169">
        <v>0</v>
      </c>
      <c r="K169">
        <v>24593000000</v>
      </c>
      <c r="L169">
        <v>28</v>
      </c>
      <c r="M169">
        <v>688604000</v>
      </c>
      <c r="N169">
        <v>40522413130</v>
      </c>
      <c r="O169">
        <v>43302561428</v>
      </c>
      <c r="P169">
        <v>735897462</v>
      </c>
      <c r="Q169">
        <v>0.95169929378247897</v>
      </c>
      <c r="R169">
        <v>24.491477625586299</v>
      </c>
      <c r="S169">
        <v>0.935797139792236</v>
      </c>
      <c r="T169">
        <v>1.6994317142730499E-2</v>
      </c>
      <c r="U169">
        <v>1985</v>
      </c>
      <c r="V169">
        <v>39</v>
      </c>
      <c r="W169">
        <v>1</v>
      </c>
      <c r="X169" t="s">
        <v>919</v>
      </c>
      <c r="Y169" t="s">
        <v>1537</v>
      </c>
      <c r="Z169" t="s">
        <v>2141</v>
      </c>
    </row>
    <row r="170" spans="1:26" ht="15" customHeight="1" x14ac:dyDescent="0.3">
      <c r="A170">
        <v>205</v>
      </c>
      <c r="B170">
        <v>41</v>
      </c>
      <c r="C170" t="s">
        <v>916</v>
      </c>
      <c r="D170" t="s">
        <v>917</v>
      </c>
      <c r="E170" t="s">
        <v>709</v>
      </c>
      <c r="F170">
        <v>2025</v>
      </c>
      <c r="G170">
        <v>1</v>
      </c>
      <c r="H170">
        <v>0</v>
      </c>
      <c r="I170">
        <v>0</v>
      </c>
      <c r="J170">
        <v>0</v>
      </c>
      <c r="K170">
        <v>24566000000</v>
      </c>
      <c r="L170">
        <v>41.9</v>
      </c>
      <c r="M170">
        <v>1029315400</v>
      </c>
      <c r="N170">
        <v>45535897061</v>
      </c>
      <c r="O170">
        <v>49659169735</v>
      </c>
      <c r="P170">
        <v>904711653</v>
      </c>
      <c r="Q170">
        <v>0.93769615379172599</v>
      </c>
      <c r="R170">
        <v>24.628448897897499</v>
      </c>
      <c r="S170">
        <v>0.91696855392461596</v>
      </c>
      <c r="T170">
        <v>1.8218420844083399E-2</v>
      </c>
      <c r="U170">
        <v>1985</v>
      </c>
      <c r="V170">
        <v>40</v>
      </c>
      <c r="W170">
        <v>1</v>
      </c>
      <c r="X170" t="s">
        <v>919</v>
      </c>
      <c r="Y170" t="s">
        <v>1537</v>
      </c>
      <c r="Z170" t="s">
        <v>2141</v>
      </c>
    </row>
    <row r="171" spans="1:26" ht="15" customHeight="1" x14ac:dyDescent="0.3">
      <c r="A171">
        <v>206</v>
      </c>
      <c r="B171">
        <v>42</v>
      </c>
      <c r="C171" t="s">
        <v>921</v>
      </c>
      <c r="D171" t="s">
        <v>922</v>
      </c>
      <c r="E171" t="s">
        <v>752</v>
      </c>
      <c r="F171">
        <v>2021</v>
      </c>
      <c r="G171">
        <v>0</v>
      </c>
      <c r="H171">
        <v>0</v>
      </c>
      <c r="I171">
        <v>0</v>
      </c>
      <c r="J171">
        <v>0</v>
      </c>
      <c r="K171">
        <v>6635000000</v>
      </c>
      <c r="L171">
        <v>1.85</v>
      </c>
      <c r="M171">
        <v>12274750</v>
      </c>
      <c r="N171">
        <v>8498000</v>
      </c>
      <c r="O171">
        <v>10911000</v>
      </c>
      <c r="P171">
        <v>455750</v>
      </c>
      <c r="Q171">
        <v>1.90383557877371</v>
      </c>
      <c r="R171">
        <v>16.205282012637198</v>
      </c>
      <c r="S171">
        <v>0.77884703510219</v>
      </c>
      <c r="T171">
        <v>4.1769773622949299E-2</v>
      </c>
      <c r="U171">
        <v>2003</v>
      </c>
      <c r="V171">
        <v>18</v>
      </c>
      <c r="W171">
        <v>1</v>
      </c>
      <c r="X171" t="s">
        <v>722</v>
      </c>
      <c r="Y171" t="s">
        <v>1538</v>
      </c>
      <c r="Z171" t="s">
        <v>2141</v>
      </c>
    </row>
    <row r="172" spans="1:26" ht="15" customHeight="1" x14ac:dyDescent="0.3">
      <c r="A172">
        <v>207</v>
      </c>
      <c r="B172">
        <v>42</v>
      </c>
      <c r="C172" t="s">
        <v>921</v>
      </c>
      <c r="D172" t="s">
        <v>922</v>
      </c>
      <c r="E172" t="s">
        <v>752</v>
      </c>
      <c r="F172">
        <v>2022</v>
      </c>
      <c r="G172">
        <v>0</v>
      </c>
      <c r="H172">
        <v>0</v>
      </c>
      <c r="I172">
        <v>0</v>
      </c>
      <c r="J172">
        <v>0</v>
      </c>
      <c r="K172">
        <v>9200000000</v>
      </c>
      <c r="L172">
        <v>3.42</v>
      </c>
      <c r="M172">
        <v>31464000</v>
      </c>
      <c r="N172">
        <v>10500000</v>
      </c>
      <c r="O172">
        <v>19776000</v>
      </c>
      <c r="P172">
        <v>1175000</v>
      </c>
      <c r="Q172">
        <v>2.1219660194174801</v>
      </c>
      <c r="R172">
        <v>16.799979639239599</v>
      </c>
      <c r="S172">
        <v>0.53094660194174803</v>
      </c>
      <c r="T172">
        <v>5.9415453074433702E-2</v>
      </c>
      <c r="U172">
        <v>2003</v>
      </c>
      <c r="V172">
        <v>19</v>
      </c>
      <c r="W172">
        <v>1</v>
      </c>
      <c r="X172" t="s">
        <v>722</v>
      </c>
      <c r="Y172" t="s">
        <v>1538</v>
      </c>
      <c r="Z172" t="s">
        <v>2141</v>
      </c>
    </row>
    <row r="173" spans="1:26" ht="15" customHeight="1" x14ac:dyDescent="0.3">
      <c r="A173">
        <v>208</v>
      </c>
      <c r="B173">
        <v>42</v>
      </c>
      <c r="C173" t="s">
        <v>921</v>
      </c>
      <c r="D173" t="s">
        <v>922</v>
      </c>
      <c r="E173" t="s">
        <v>752</v>
      </c>
      <c r="F173">
        <v>2023</v>
      </c>
      <c r="G173">
        <v>1</v>
      </c>
      <c r="H173">
        <v>0</v>
      </c>
      <c r="I173">
        <v>0</v>
      </c>
      <c r="J173">
        <v>0</v>
      </c>
      <c r="K173">
        <v>9200000000</v>
      </c>
      <c r="L173">
        <v>5.92</v>
      </c>
      <c r="M173">
        <v>54464000</v>
      </c>
      <c r="N173">
        <v>16727000</v>
      </c>
      <c r="O173">
        <v>28205000</v>
      </c>
      <c r="P173">
        <v>2202000</v>
      </c>
      <c r="Q173">
        <v>2.52405601843645</v>
      </c>
      <c r="R173">
        <v>17.155009825156199</v>
      </c>
      <c r="S173">
        <v>0.59305087750398899</v>
      </c>
      <c r="T173">
        <v>7.8071263960290696E-2</v>
      </c>
      <c r="U173">
        <v>2003</v>
      </c>
      <c r="V173">
        <v>20</v>
      </c>
      <c r="W173">
        <v>1</v>
      </c>
      <c r="X173" t="s">
        <v>722</v>
      </c>
      <c r="Y173" t="s">
        <v>1538</v>
      </c>
      <c r="Z173" t="s">
        <v>2141</v>
      </c>
    </row>
    <row r="174" spans="1:26" ht="15" customHeight="1" x14ac:dyDescent="0.3">
      <c r="A174">
        <v>209</v>
      </c>
      <c r="B174">
        <v>42</v>
      </c>
      <c r="C174" t="s">
        <v>921</v>
      </c>
      <c r="D174" t="s">
        <v>922</v>
      </c>
      <c r="E174" t="s">
        <v>752</v>
      </c>
      <c r="F174">
        <v>2024</v>
      </c>
      <c r="G174">
        <v>1</v>
      </c>
      <c r="H174">
        <v>0</v>
      </c>
      <c r="I174">
        <v>0</v>
      </c>
      <c r="J174">
        <v>0</v>
      </c>
      <c r="K174">
        <v>9200000000</v>
      </c>
      <c r="L174">
        <v>6.36</v>
      </c>
      <c r="M174">
        <v>58512000</v>
      </c>
      <c r="N174">
        <v>9130000</v>
      </c>
      <c r="O174">
        <v>24001000</v>
      </c>
      <c r="P174">
        <v>3393000</v>
      </c>
      <c r="Q174">
        <v>2.8182992375317699</v>
      </c>
      <c r="R174">
        <v>16.993606054110899</v>
      </c>
      <c r="S174">
        <v>0.38040081663264003</v>
      </c>
      <c r="T174">
        <v>0.141369109620432</v>
      </c>
      <c r="U174">
        <v>2003</v>
      </c>
      <c r="V174">
        <v>21</v>
      </c>
      <c r="W174">
        <v>1</v>
      </c>
      <c r="X174" t="s">
        <v>722</v>
      </c>
      <c r="Y174" t="s">
        <v>1538</v>
      </c>
      <c r="Z174" t="s">
        <v>2141</v>
      </c>
    </row>
    <row r="175" spans="1:26" ht="15" customHeight="1" x14ac:dyDescent="0.3">
      <c r="A175">
        <v>210</v>
      </c>
      <c r="B175">
        <v>42</v>
      </c>
      <c r="C175" t="s">
        <v>921</v>
      </c>
      <c r="D175" t="s">
        <v>922</v>
      </c>
      <c r="E175" t="s">
        <v>752</v>
      </c>
      <c r="F175">
        <v>2025</v>
      </c>
      <c r="G175">
        <v>1</v>
      </c>
      <c r="H175">
        <v>0</v>
      </c>
      <c r="I175">
        <v>0</v>
      </c>
      <c r="J175">
        <v>0</v>
      </c>
      <c r="K175">
        <v>9200000000</v>
      </c>
      <c r="L175">
        <v>11.24</v>
      </c>
      <c r="M175">
        <v>103408000</v>
      </c>
      <c r="N175">
        <v>29950000</v>
      </c>
      <c r="O175">
        <v>46140000</v>
      </c>
      <c r="P175">
        <v>2470000</v>
      </c>
      <c r="Q175">
        <v>2.8902904204594702</v>
      </c>
      <c r="R175">
        <v>17.647190810709901</v>
      </c>
      <c r="S175">
        <v>0.64911140008669299</v>
      </c>
      <c r="T175">
        <v>5.3532726484612103E-2</v>
      </c>
      <c r="U175">
        <v>2003</v>
      </c>
      <c r="V175">
        <v>22</v>
      </c>
      <c r="W175">
        <v>1</v>
      </c>
      <c r="X175" t="s">
        <v>722</v>
      </c>
      <c r="Y175" t="s">
        <v>1538</v>
      </c>
      <c r="Z175" t="s">
        <v>2141</v>
      </c>
    </row>
    <row r="176" spans="1:26" ht="15" customHeight="1" x14ac:dyDescent="0.3">
      <c r="A176">
        <v>212</v>
      </c>
      <c r="B176">
        <v>43</v>
      </c>
      <c r="C176" t="s">
        <v>925</v>
      </c>
      <c r="D176" t="s">
        <v>926</v>
      </c>
      <c r="E176" t="s">
        <v>715</v>
      </c>
      <c r="F176">
        <v>2022</v>
      </c>
      <c r="G176">
        <v>0</v>
      </c>
      <c r="H176">
        <v>0</v>
      </c>
      <c r="I176">
        <v>0</v>
      </c>
      <c r="J176">
        <v>0</v>
      </c>
      <c r="K176">
        <v>236700000</v>
      </c>
      <c r="L176">
        <v>2.91</v>
      </c>
      <c r="M176">
        <v>688797</v>
      </c>
      <c r="N176">
        <v>418050</v>
      </c>
      <c r="O176">
        <v>605000</v>
      </c>
      <c r="P176">
        <v>5090</v>
      </c>
      <c r="Q176">
        <v>1.82949917355372</v>
      </c>
      <c r="R176">
        <v>13.312983737013001</v>
      </c>
      <c r="S176">
        <v>0.69099173553718995</v>
      </c>
      <c r="T176">
        <v>8.4132231404958693E-3</v>
      </c>
      <c r="U176">
        <v>1981</v>
      </c>
      <c r="V176">
        <v>41</v>
      </c>
      <c r="W176">
        <v>0</v>
      </c>
      <c r="X176" t="s">
        <v>928</v>
      </c>
      <c r="Y176" t="s">
        <v>1539</v>
      </c>
      <c r="Z176" t="s">
        <v>2141</v>
      </c>
    </row>
    <row r="177" spans="1:26" ht="15" customHeight="1" x14ac:dyDescent="0.3">
      <c r="A177">
        <v>213</v>
      </c>
      <c r="B177">
        <v>43</v>
      </c>
      <c r="C177" t="s">
        <v>925</v>
      </c>
      <c r="D177" t="s">
        <v>926</v>
      </c>
      <c r="E177" t="s">
        <v>715</v>
      </c>
      <c r="F177">
        <v>2023</v>
      </c>
      <c r="G177">
        <v>1</v>
      </c>
      <c r="H177">
        <v>0</v>
      </c>
      <c r="I177">
        <v>0</v>
      </c>
      <c r="J177">
        <v>0</v>
      </c>
      <c r="K177">
        <v>236700000</v>
      </c>
      <c r="L177">
        <v>2.91</v>
      </c>
      <c r="M177">
        <v>688797</v>
      </c>
      <c r="N177">
        <v>440050</v>
      </c>
      <c r="O177">
        <v>635850</v>
      </c>
      <c r="P177">
        <v>8840</v>
      </c>
      <c r="Q177">
        <v>1.77533537784069</v>
      </c>
      <c r="R177">
        <v>13.362717965448899</v>
      </c>
      <c r="S177">
        <v>0.69206573877486799</v>
      </c>
      <c r="T177">
        <v>1.39026499960683E-2</v>
      </c>
      <c r="U177">
        <v>1981</v>
      </c>
      <c r="V177">
        <v>42</v>
      </c>
      <c r="W177">
        <v>0</v>
      </c>
      <c r="X177" t="s">
        <v>928</v>
      </c>
      <c r="Y177" t="s">
        <v>1539</v>
      </c>
      <c r="Z177" t="s">
        <v>2141</v>
      </c>
    </row>
    <row r="178" spans="1:26" ht="15" customHeight="1" x14ac:dyDescent="0.3">
      <c r="A178">
        <v>214</v>
      </c>
      <c r="B178">
        <v>43</v>
      </c>
      <c r="C178" t="s">
        <v>925</v>
      </c>
      <c r="D178" t="s">
        <v>926</v>
      </c>
      <c r="E178" t="s">
        <v>715</v>
      </c>
      <c r="F178">
        <v>2024</v>
      </c>
      <c r="G178">
        <v>1</v>
      </c>
      <c r="H178">
        <v>0</v>
      </c>
      <c r="I178">
        <v>0</v>
      </c>
      <c r="J178">
        <v>0</v>
      </c>
      <c r="K178">
        <v>236700000</v>
      </c>
      <c r="L178">
        <v>3.2</v>
      </c>
      <c r="M178">
        <v>757440</v>
      </c>
      <c r="N178">
        <v>593900</v>
      </c>
      <c r="O178">
        <v>889770</v>
      </c>
      <c r="P178">
        <v>100070</v>
      </c>
      <c r="Q178">
        <v>1.5187520370432801</v>
      </c>
      <c r="R178">
        <v>13.698718281344</v>
      </c>
      <c r="S178">
        <v>0.667475864549266</v>
      </c>
      <c r="T178">
        <v>0.112467266821763</v>
      </c>
      <c r="U178">
        <v>1981</v>
      </c>
      <c r="V178">
        <v>43</v>
      </c>
      <c r="W178">
        <v>0</v>
      </c>
      <c r="X178" t="s">
        <v>928</v>
      </c>
      <c r="Y178" t="s">
        <v>1539</v>
      </c>
      <c r="Z178" t="s">
        <v>2141</v>
      </c>
    </row>
    <row r="179" spans="1:26" ht="15" customHeight="1" x14ac:dyDescent="0.3">
      <c r="A179">
        <v>215</v>
      </c>
      <c r="B179">
        <v>43</v>
      </c>
      <c r="C179" t="s">
        <v>925</v>
      </c>
      <c r="D179" t="s">
        <v>926</v>
      </c>
      <c r="E179" t="s">
        <v>715</v>
      </c>
      <c r="F179">
        <v>2025</v>
      </c>
      <c r="G179">
        <v>1</v>
      </c>
      <c r="H179">
        <v>0</v>
      </c>
      <c r="I179">
        <v>0</v>
      </c>
      <c r="J179">
        <v>0</v>
      </c>
      <c r="K179">
        <v>236700000</v>
      </c>
      <c r="L179">
        <v>12.95</v>
      </c>
      <c r="M179">
        <v>3065265</v>
      </c>
      <c r="N179">
        <v>442870</v>
      </c>
      <c r="O179">
        <v>929220</v>
      </c>
      <c r="P179">
        <v>190480</v>
      </c>
      <c r="Q179">
        <v>3.7753545984804502</v>
      </c>
      <c r="R179">
        <v>13.7421008035383</v>
      </c>
      <c r="S179">
        <v>0.47660403349045399</v>
      </c>
      <c r="T179">
        <v>0.20498913066873301</v>
      </c>
      <c r="U179">
        <v>1981</v>
      </c>
      <c r="V179">
        <v>44</v>
      </c>
      <c r="W179">
        <v>0</v>
      </c>
      <c r="X179" t="s">
        <v>928</v>
      </c>
      <c r="Y179" t="s">
        <v>1539</v>
      </c>
      <c r="Z179" t="s">
        <v>2141</v>
      </c>
    </row>
    <row r="180" spans="1:26" ht="15" customHeight="1" x14ac:dyDescent="0.3">
      <c r="A180">
        <v>216</v>
      </c>
      <c r="B180">
        <v>44</v>
      </c>
      <c r="C180" t="s">
        <v>930</v>
      </c>
      <c r="D180" t="s">
        <v>931</v>
      </c>
      <c r="E180" t="s">
        <v>709</v>
      </c>
      <c r="F180">
        <v>2021</v>
      </c>
      <c r="G180">
        <v>0</v>
      </c>
      <c r="H180">
        <v>0</v>
      </c>
      <c r="I180">
        <v>0</v>
      </c>
      <c r="J180">
        <v>0</v>
      </c>
      <c r="K180">
        <v>19803000000</v>
      </c>
      <c r="L180">
        <v>2.33</v>
      </c>
      <c r="M180">
        <v>46140990</v>
      </c>
      <c r="N180">
        <v>2249392000</v>
      </c>
      <c r="O180">
        <v>2493198000</v>
      </c>
      <c r="P180">
        <v>20709000</v>
      </c>
      <c r="Q180">
        <v>0.92071828631340202</v>
      </c>
      <c r="R180">
        <v>21.636832060716699</v>
      </c>
      <c r="S180">
        <v>0.90221153715027902</v>
      </c>
      <c r="T180">
        <v>8.3061995076203297E-3</v>
      </c>
      <c r="U180">
        <v>2013</v>
      </c>
      <c r="V180">
        <v>8</v>
      </c>
      <c r="W180">
        <v>1</v>
      </c>
      <c r="X180" t="s">
        <v>933</v>
      </c>
      <c r="Y180" t="s">
        <v>1540</v>
      </c>
      <c r="Z180" t="s">
        <v>2141</v>
      </c>
    </row>
    <row r="181" spans="1:26" ht="15" customHeight="1" x14ac:dyDescent="0.3">
      <c r="A181">
        <v>217</v>
      </c>
      <c r="B181">
        <v>44</v>
      </c>
      <c r="C181" t="s">
        <v>930</v>
      </c>
      <c r="D181" t="s">
        <v>931</v>
      </c>
      <c r="E181" t="s">
        <v>709</v>
      </c>
      <c r="F181">
        <v>2022</v>
      </c>
      <c r="G181">
        <v>0</v>
      </c>
      <c r="H181">
        <v>0</v>
      </c>
      <c r="I181">
        <v>40</v>
      </c>
      <c r="J181">
        <v>40</v>
      </c>
      <c r="K181">
        <v>19803000000</v>
      </c>
      <c r="L181">
        <v>3.17</v>
      </c>
      <c r="M181">
        <v>62775510</v>
      </c>
      <c r="N181">
        <v>2707173000</v>
      </c>
      <c r="O181">
        <v>2983053000</v>
      </c>
      <c r="P181">
        <v>30901000</v>
      </c>
      <c r="Q181">
        <v>0.928561614560653</v>
      </c>
      <c r="R181">
        <v>21.816213109669501</v>
      </c>
      <c r="S181">
        <v>0.90751756673448303</v>
      </c>
      <c r="T181">
        <v>1.0358850479693101E-2</v>
      </c>
      <c r="U181">
        <v>2013</v>
      </c>
      <c r="V181">
        <v>9</v>
      </c>
      <c r="W181">
        <v>1</v>
      </c>
      <c r="X181" t="s">
        <v>933</v>
      </c>
      <c r="Y181" t="s">
        <v>1540</v>
      </c>
      <c r="Z181" t="s">
        <v>2141</v>
      </c>
    </row>
    <row r="182" spans="1:26" ht="15" customHeight="1" x14ac:dyDescent="0.3">
      <c r="A182">
        <v>218</v>
      </c>
      <c r="B182">
        <v>44</v>
      </c>
      <c r="C182" t="s">
        <v>930</v>
      </c>
      <c r="D182" t="s">
        <v>931</v>
      </c>
      <c r="E182" t="s">
        <v>709</v>
      </c>
      <c r="F182">
        <v>2023</v>
      </c>
      <c r="G182">
        <v>1</v>
      </c>
      <c r="H182">
        <v>0</v>
      </c>
      <c r="I182">
        <v>0</v>
      </c>
      <c r="J182">
        <v>0</v>
      </c>
      <c r="K182">
        <v>19803000000</v>
      </c>
      <c r="L182">
        <v>6.52</v>
      </c>
      <c r="M182">
        <v>129115560</v>
      </c>
      <c r="N182">
        <v>3961268000</v>
      </c>
      <c r="O182">
        <v>4423895000</v>
      </c>
      <c r="P182">
        <v>92629000</v>
      </c>
      <c r="Q182">
        <v>0.924611357186371</v>
      </c>
      <c r="R182">
        <v>22.210286366707599</v>
      </c>
      <c r="S182">
        <v>0.89542541131740205</v>
      </c>
      <c r="T182">
        <v>2.0938336013852001E-2</v>
      </c>
      <c r="U182">
        <v>2013</v>
      </c>
      <c r="V182">
        <v>10</v>
      </c>
      <c r="W182">
        <v>1</v>
      </c>
      <c r="X182" t="s">
        <v>933</v>
      </c>
      <c r="Y182" t="s">
        <v>1540</v>
      </c>
      <c r="Z182" t="s">
        <v>2141</v>
      </c>
    </row>
    <row r="183" spans="1:26" ht="15" customHeight="1" x14ac:dyDescent="0.3">
      <c r="A183">
        <v>219</v>
      </c>
      <c r="B183">
        <v>44</v>
      </c>
      <c r="C183" t="s">
        <v>930</v>
      </c>
      <c r="D183" t="s">
        <v>931</v>
      </c>
      <c r="E183" t="s">
        <v>709</v>
      </c>
      <c r="F183">
        <v>2024</v>
      </c>
      <c r="G183">
        <v>1</v>
      </c>
      <c r="H183">
        <v>0</v>
      </c>
      <c r="I183">
        <v>55</v>
      </c>
      <c r="J183">
        <v>40</v>
      </c>
      <c r="K183">
        <v>39605000000</v>
      </c>
      <c r="L183">
        <v>8.83</v>
      </c>
      <c r="M183">
        <v>349712150</v>
      </c>
      <c r="N183">
        <v>6365185000</v>
      </c>
      <c r="O183">
        <v>7054166000</v>
      </c>
      <c r="P183">
        <v>73134000</v>
      </c>
      <c r="Q183">
        <v>0.951905179152291</v>
      </c>
      <c r="R183">
        <v>22.676884201230799</v>
      </c>
      <c r="S183">
        <v>0.90232991398274398</v>
      </c>
      <c r="T183">
        <v>1.03674906431178E-2</v>
      </c>
      <c r="U183">
        <v>2013</v>
      </c>
      <c r="V183">
        <v>11</v>
      </c>
      <c r="W183">
        <v>1</v>
      </c>
      <c r="X183" t="s">
        <v>933</v>
      </c>
      <c r="Y183" t="s">
        <v>1540</v>
      </c>
      <c r="Z183" t="s">
        <v>2141</v>
      </c>
    </row>
    <row r="184" spans="1:26" ht="15" customHeight="1" x14ac:dyDescent="0.3">
      <c r="A184">
        <v>220</v>
      </c>
      <c r="B184">
        <v>44</v>
      </c>
      <c r="C184" t="s">
        <v>930</v>
      </c>
      <c r="D184" t="s">
        <v>931</v>
      </c>
      <c r="E184" t="s">
        <v>709</v>
      </c>
      <c r="F184">
        <v>2025</v>
      </c>
      <c r="G184">
        <v>1</v>
      </c>
      <c r="H184">
        <v>0</v>
      </c>
      <c r="I184">
        <v>65</v>
      </c>
      <c r="J184">
        <v>60</v>
      </c>
      <c r="K184">
        <v>42800000000</v>
      </c>
      <c r="L184">
        <v>12.05</v>
      </c>
      <c r="M184">
        <v>515740000</v>
      </c>
      <c r="N184">
        <v>6719914000</v>
      </c>
      <c r="O184">
        <v>7543332000</v>
      </c>
      <c r="P184">
        <v>176642000</v>
      </c>
      <c r="Q184">
        <v>0.95921192385539999</v>
      </c>
      <c r="R184">
        <v>22.7439298311672</v>
      </c>
      <c r="S184">
        <v>0.89084160686550695</v>
      </c>
      <c r="T184">
        <v>2.34169727648206E-2</v>
      </c>
      <c r="U184">
        <v>2013</v>
      </c>
      <c r="V184">
        <v>12</v>
      </c>
      <c r="W184">
        <v>1</v>
      </c>
      <c r="X184" t="s">
        <v>933</v>
      </c>
      <c r="Y184" t="s">
        <v>1541</v>
      </c>
      <c r="Z184" t="s">
        <v>2141</v>
      </c>
    </row>
    <row r="185" spans="1:26" ht="15" customHeight="1" x14ac:dyDescent="0.3">
      <c r="A185">
        <v>221</v>
      </c>
      <c r="B185">
        <v>45</v>
      </c>
      <c r="C185" t="s">
        <v>935</v>
      </c>
      <c r="D185" t="s">
        <v>936</v>
      </c>
      <c r="E185" t="s">
        <v>709</v>
      </c>
      <c r="F185">
        <v>2021</v>
      </c>
      <c r="G185">
        <v>0</v>
      </c>
      <c r="H185">
        <v>0</v>
      </c>
      <c r="I185">
        <v>45</v>
      </c>
      <c r="J185">
        <v>20</v>
      </c>
      <c r="K185">
        <v>28963000000</v>
      </c>
      <c r="L185">
        <v>1.53</v>
      </c>
      <c r="M185">
        <v>44313390</v>
      </c>
      <c r="N185">
        <v>2995160000</v>
      </c>
      <c r="O185">
        <v>3280454000</v>
      </c>
      <c r="P185">
        <v>23104000</v>
      </c>
      <c r="Q185">
        <v>0.92654046970327897</v>
      </c>
      <c r="R185">
        <v>21.9112476643982</v>
      </c>
      <c r="S185">
        <v>0.91303215957303496</v>
      </c>
      <c r="T185">
        <v>7.0429275947780402E-3</v>
      </c>
      <c r="U185">
        <v>1987</v>
      </c>
      <c r="V185">
        <v>34</v>
      </c>
      <c r="W185">
        <v>1</v>
      </c>
      <c r="X185" t="s">
        <v>732</v>
      </c>
      <c r="Y185" t="s">
        <v>1542</v>
      </c>
      <c r="Z185" t="s">
        <v>2141</v>
      </c>
    </row>
    <row r="186" spans="1:26" ht="15" customHeight="1" x14ac:dyDescent="0.3">
      <c r="A186">
        <v>222</v>
      </c>
      <c r="B186">
        <v>45</v>
      </c>
      <c r="C186" t="s">
        <v>935</v>
      </c>
      <c r="D186" t="s">
        <v>936</v>
      </c>
      <c r="E186" t="s">
        <v>709</v>
      </c>
      <c r="F186">
        <v>2022</v>
      </c>
      <c r="G186">
        <v>0</v>
      </c>
      <c r="H186">
        <v>0</v>
      </c>
      <c r="I186">
        <v>45</v>
      </c>
      <c r="J186">
        <v>20</v>
      </c>
      <c r="K186">
        <v>28963000000</v>
      </c>
      <c r="L186">
        <v>2.95</v>
      </c>
      <c r="M186">
        <v>85440850</v>
      </c>
      <c r="N186">
        <v>3674649000</v>
      </c>
      <c r="O186">
        <v>3989009000</v>
      </c>
      <c r="P186">
        <v>46724000</v>
      </c>
      <c r="Q186">
        <v>0.94261252606850499</v>
      </c>
      <c r="R186">
        <v>22.1068086660717</v>
      </c>
      <c r="S186">
        <v>0.921193459327868</v>
      </c>
      <c r="T186">
        <v>1.17131849038195E-2</v>
      </c>
      <c r="U186">
        <v>1987</v>
      </c>
      <c r="V186">
        <v>35</v>
      </c>
      <c r="W186">
        <v>1</v>
      </c>
      <c r="X186" t="s">
        <v>732</v>
      </c>
      <c r="Y186" t="s">
        <v>1542</v>
      </c>
      <c r="Z186" t="s">
        <v>2141</v>
      </c>
    </row>
    <row r="187" spans="1:26" ht="15" customHeight="1" x14ac:dyDescent="0.3">
      <c r="A187">
        <v>223</v>
      </c>
      <c r="B187">
        <v>45</v>
      </c>
      <c r="C187" t="s">
        <v>935</v>
      </c>
      <c r="D187" t="s">
        <v>936</v>
      </c>
      <c r="E187" t="s">
        <v>709</v>
      </c>
      <c r="F187">
        <v>2023</v>
      </c>
      <c r="G187">
        <v>1</v>
      </c>
      <c r="H187">
        <v>0</v>
      </c>
      <c r="I187">
        <v>80</v>
      </c>
      <c r="J187">
        <v>86.6666666666667</v>
      </c>
      <c r="K187">
        <v>32000000000</v>
      </c>
      <c r="L187">
        <v>8.1300000000000008</v>
      </c>
      <c r="M187">
        <v>260160000</v>
      </c>
      <c r="N187">
        <v>5797381000</v>
      </c>
      <c r="O187">
        <v>6234688000</v>
      </c>
      <c r="P187">
        <v>99454000</v>
      </c>
      <c r="Q187">
        <v>0.97158687010480704</v>
      </c>
      <c r="R187">
        <v>22.5533943747301</v>
      </c>
      <c r="S187">
        <v>0.92985904025991395</v>
      </c>
      <c r="T187">
        <v>1.5951720438937798E-2</v>
      </c>
      <c r="U187">
        <v>1987</v>
      </c>
      <c r="V187">
        <v>36</v>
      </c>
      <c r="W187">
        <v>1</v>
      </c>
      <c r="X187" t="s">
        <v>732</v>
      </c>
      <c r="Y187" t="s">
        <v>1542</v>
      </c>
      <c r="Z187" t="s">
        <v>2141</v>
      </c>
    </row>
    <row r="188" spans="1:26" ht="15" customHeight="1" x14ac:dyDescent="0.3">
      <c r="A188">
        <v>224</v>
      </c>
      <c r="B188">
        <v>45</v>
      </c>
      <c r="C188" t="s">
        <v>935</v>
      </c>
      <c r="D188" t="s">
        <v>936</v>
      </c>
      <c r="E188" t="s">
        <v>709</v>
      </c>
      <c r="F188">
        <v>2024</v>
      </c>
      <c r="G188">
        <v>1</v>
      </c>
      <c r="H188">
        <v>1</v>
      </c>
      <c r="I188">
        <v>95</v>
      </c>
      <c r="J188">
        <v>80</v>
      </c>
      <c r="K188">
        <v>50200000000</v>
      </c>
      <c r="L188">
        <v>16.3</v>
      </c>
      <c r="M188">
        <v>818260000</v>
      </c>
      <c r="N188">
        <v>7923863000</v>
      </c>
      <c r="O188">
        <v>8821737000</v>
      </c>
      <c r="P188">
        <v>278106000</v>
      </c>
      <c r="Q188">
        <v>0.99097524671161696</v>
      </c>
      <c r="R188">
        <v>22.9004846263507</v>
      </c>
      <c r="S188">
        <v>0.89822027113254499</v>
      </c>
      <c r="T188">
        <v>3.1525084005564898E-2</v>
      </c>
      <c r="U188">
        <v>1987</v>
      </c>
      <c r="V188">
        <v>37</v>
      </c>
      <c r="W188">
        <v>1</v>
      </c>
      <c r="X188" t="s">
        <v>732</v>
      </c>
      <c r="Y188" t="s">
        <v>1542</v>
      </c>
      <c r="Z188" t="s">
        <v>2141</v>
      </c>
    </row>
    <row r="189" spans="1:26" ht="15" customHeight="1" x14ac:dyDescent="0.3">
      <c r="A189">
        <v>225</v>
      </c>
      <c r="B189">
        <v>45</v>
      </c>
      <c r="C189" t="s">
        <v>935</v>
      </c>
      <c r="D189" t="s">
        <v>936</v>
      </c>
      <c r="E189" t="s">
        <v>709</v>
      </c>
      <c r="F189">
        <v>2025</v>
      </c>
      <c r="G189">
        <v>1</v>
      </c>
      <c r="H189">
        <v>1</v>
      </c>
      <c r="I189">
        <v>5</v>
      </c>
      <c r="J189">
        <v>0</v>
      </c>
      <c r="K189">
        <v>50200000000</v>
      </c>
      <c r="L189">
        <v>19</v>
      </c>
      <c r="M189">
        <v>953800000</v>
      </c>
      <c r="N189">
        <v>9376227000</v>
      </c>
      <c r="O189">
        <v>10463815000</v>
      </c>
      <c r="P189">
        <v>242444000</v>
      </c>
      <c r="Q189">
        <v>0.98721422349305699</v>
      </c>
      <c r="R189">
        <v>23.0711889518414</v>
      </c>
      <c r="S189">
        <v>0.89606200033161898</v>
      </c>
      <c r="T189">
        <v>2.3169752141068999E-2</v>
      </c>
      <c r="U189">
        <v>1987</v>
      </c>
      <c r="V189">
        <v>38</v>
      </c>
      <c r="W189">
        <v>1</v>
      </c>
      <c r="X189" t="s">
        <v>732</v>
      </c>
      <c r="Y189" t="s">
        <v>1543</v>
      </c>
      <c r="Z189" t="s">
        <v>2141</v>
      </c>
    </row>
    <row r="190" spans="1:26" ht="15" customHeight="1" x14ac:dyDescent="0.3">
      <c r="A190">
        <v>226</v>
      </c>
      <c r="B190">
        <v>46</v>
      </c>
      <c r="C190" t="s">
        <v>939</v>
      </c>
      <c r="D190" t="s">
        <v>940</v>
      </c>
      <c r="E190" t="s">
        <v>898</v>
      </c>
      <c r="F190">
        <v>2021</v>
      </c>
      <c r="G190">
        <v>0</v>
      </c>
      <c r="H190">
        <v>0</v>
      </c>
      <c r="I190">
        <v>0</v>
      </c>
      <c r="J190">
        <v>0</v>
      </c>
      <c r="K190">
        <v>2295000000</v>
      </c>
      <c r="L190">
        <v>4.71</v>
      </c>
      <c r="M190">
        <v>10809450</v>
      </c>
      <c r="N190">
        <v>19354000</v>
      </c>
      <c r="O190">
        <v>33105000</v>
      </c>
      <c r="P190">
        <v>3720000</v>
      </c>
      <c r="Q190">
        <v>0.91114484216885705</v>
      </c>
      <c r="R190">
        <v>17.3151948863411</v>
      </c>
      <c r="S190">
        <v>0.58462467905150295</v>
      </c>
      <c r="T190">
        <v>0.112369732668781</v>
      </c>
      <c r="U190">
        <v>1995</v>
      </c>
      <c r="V190">
        <v>26</v>
      </c>
      <c r="W190">
        <v>1</v>
      </c>
      <c r="X190" t="s">
        <v>933</v>
      </c>
      <c r="Y190" t="s">
        <v>1544</v>
      </c>
      <c r="Z190" t="s">
        <v>2141</v>
      </c>
    </row>
    <row r="191" spans="1:26" ht="15" customHeight="1" x14ac:dyDescent="0.3">
      <c r="A191">
        <v>227</v>
      </c>
      <c r="B191">
        <v>46</v>
      </c>
      <c r="C191" t="s">
        <v>939</v>
      </c>
      <c r="D191" t="s">
        <v>940</v>
      </c>
      <c r="E191" t="s">
        <v>898</v>
      </c>
      <c r="F191">
        <v>2022</v>
      </c>
      <c r="G191">
        <v>0</v>
      </c>
      <c r="H191">
        <v>0</v>
      </c>
      <c r="I191">
        <v>35</v>
      </c>
      <c r="J191">
        <v>0</v>
      </c>
      <c r="K191">
        <v>2295000000</v>
      </c>
      <c r="L191">
        <v>7.82</v>
      </c>
      <c r="M191">
        <v>17946900</v>
      </c>
      <c r="N191">
        <v>26062000</v>
      </c>
      <c r="O191">
        <v>42981000</v>
      </c>
      <c r="P191">
        <v>4187000</v>
      </c>
      <c r="Q191">
        <v>1.0239152183522999</v>
      </c>
      <c r="R191">
        <v>17.576268715543598</v>
      </c>
      <c r="S191">
        <v>0.60636095018729197</v>
      </c>
      <c r="T191">
        <v>9.7415136920965095E-2</v>
      </c>
      <c r="U191">
        <v>1995</v>
      </c>
      <c r="V191">
        <v>27</v>
      </c>
      <c r="W191">
        <v>1</v>
      </c>
      <c r="X191" t="s">
        <v>933</v>
      </c>
      <c r="Y191" t="s">
        <v>1544</v>
      </c>
      <c r="Z191" t="s">
        <v>2141</v>
      </c>
    </row>
    <row r="192" spans="1:26" ht="15" customHeight="1" x14ac:dyDescent="0.3">
      <c r="A192">
        <v>228</v>
      </c>
      <c r="B192">
        <v>46</v>
      </c>
      <c r="C192" t="s">
        <v>939</v>
      </c>
      <c r="D192" t="s">
        <v>940</v>
      </c>
      <c r="E192" t="s">
        <v>898</v>
      </c>
      <c r="F192">
        <v>2023</v>
      </c>
      <c r="G192">
        <v>1</v>
      </c>
      <c r="H192">
        <v>0</v>
      </c>
      <c r="I192">
        <v>40</v>
      </c>
      <c r="J192">
        <v>0</v>
      </c>
      <c r="K192">
        <v>2295000000</v>
      </c>
      <c r="L192">
        <v>15.77</v>
      </c>
      <c r="M192">
        <v>36192150</v>
      </c>
      <c r="N192">
        <v>42697000</v>
      </c>
      <c r="O192">
        <v>61991000</v>
      </c>
      <c r="P192">
        <v>3608000</v>
      </c>
      <c r="Q192">
        <v>1.27259037602233</v>
      </c>
      <c r="R192">
        <v>17.942499771182099</v>
      </c>
      <c r="S192">
        <v>0.688761271797519</v>
      </c>
      <c r="T192">
        <v>5.8201997064090003E-2</v>
      </c>
      <c r="U192">
        <v>1995</v>
      </c>
      <c r="V192">
        <v>28</v>
      </c>
      <c r="W192">
        <v>1</v>
      </c>
      <c r="X192" t="s">
        <v>933</v>
      </c>
      <c r="Y192" t="s">
        <v>1544</v>
      </c>
      <c r="Z192" t="s">
        <v>2141</v>
      </c>
    </row>
    <row r="193" spans="1:26" ht="15" customHeight="1" x14ac:dyDescent="0.3">
      <c r="A193">
        <v>229</v>
      </c>
      <c r="B193">
        <v>46</v>
      </c>
      <c r="C193" t="s">
        <v>939</v>
      </c>
      <c r="D193" t="s">
        <v>940</v>
      </c>
      <c r="E193" t="s">
        <v>898</v>
      </c>
      <c r="F193">
        <v>2024</v>
      </c>
      <c r="G193">
        <v>1</v>
      </c>
      <c r="H193">
        <v>0</v>
      </c>
      <c r="I193">
        <v>35</v>
      </c>
      <c r="J193">
        <v>0</v>
      </c>
      <c r="K193">
        <v>2295000000</v>
      </c>
      <c r="L193">
        <v>14.57</v>
      </c>
      <c r="M193">
        <v>33438150</v>
      </c>
      <c r="N193">
        <v>51148000</v>
      </c>
      <c r="O193">
        <v>73493000</v>
      </c>
      <c r="P193">
        <v>4399000</v>
      </c>
      <c r="Q193">
        <v>1.1509415862735199</v>
      </c>
      <c r="R193">
        <v>18.1127007215524</v>
      </c>
      <c r="S193">
        <v>0.69595743812335897</v>
      </c>
      <c r="T193">
        <v>5.9856040711360303E-2</v>
      </c>
      <c r="U193">
        <v>1995</v>
      </c>
      <c r="V193">
        <v>29</v>
      </c>
      <c r="W193">
        <v>1</v>
      </c>
      <c r="X193" t="s">
        <v>933</v>
      </c>
      <c r="Y193" t="s">
        <v>1544</v>
      </c>
      <c r="Z193" t="s">
        <v>2141</v>
      </c>
    </row>
    <row r="194" spans="1:26" ht="15" customHeight="1" x14ac:dyDescent="0.3">
      <c r="A194">
        <v>230</v>
      </c>
      <c r="B194">
        <v>46</v>
      </c>
      <c r="C194" t="s">
        <v>939</v>
      </c>
      <c r="D194" t="s">
        <v>940</v>
      </c>
      <c r="E194" t="s">
        <v>898</v>
      </c>
      <c r="F194">
        <v>2025</v>
      </c>
      <c r="G194">
        <v>1</v>
      </c>
      <c r="H194">
        <v>0</v>
      </c>
      <c r="I194">
        <v>35</v>
      </c>
      <c r="J194">
        <v>0</v>
      </c>
      <c r="K194">
        <v>2400000000</v>
      </c>
      <c r="L194">
        <v>49.35</v>
      </c>
      <c r="M194">
        <v>118440000</v>
      </c>
      <c r="N194">
        <v>50090000</v>
      </c>
      <c r="O194">
        <v>80287000</v>
      </c>
      <c r="P194">
        <v>9884000</v>
      </c>
      <c r="Q194">
        <v>2.0990944984866799</v>
      </c>
      <c r="R194">
        <v>18.201118272909302</v>
      </c>
      <c r="S194">
        <v>0.62388680608317704</v>
      </c>
      <c r="T194">
        <v>0.123108348798685</v>
      </c>
      <c r="U194">
        <v>1995</v>
      </c>
      <c r="V194">
        <v>30</v>
      </c>
      <c r="W194">
        <v>1</v>
      </c>
      <c r="X194" t="s">
        <v>933</v>
      </c>
      <c r="Y194" t="s">
        <v>1544</v>
      </c>
      <c r="Z194" t="s">
        <v>2141</v>
      </c>
    </row>
    <row r="195" spans="1:26" ht="15" customHeight="1" x14ac:dyDescent="0.3">
      <c r="A195">
        <v>231</v>
      </c>
      <c r="B195">
        <v>47</v>
      </c>
      <c r="C195" t="s">
        <v>943</v>
      </c>
      <c r="D195" t="s">
        <v>944</v>
      </c>
      <c r="E195" t="s">
        <v>709</v>
      </c>
      <c r="F195">
        <v>2021</v>
      </c>
      <c r="G195">
        <v>0</v>
      </c>
      <c r="H195">
        <v>0</v>
      </c>
      <c r="I195">
        <v>35</v>
      </c>
      <c r="J195">
        <v>0</v>
      </c>
      <c r="K195">
        <v>35895000000</v>
      </c>
      <c r="L195">
        <v>10.23</v>
      </c>
      <c r="M195">
        <v>367205850</v>
      </c>
      <c r="N195">
        <v>8052517000</v>
      </c>
      <c r="O195">
        <v>8932373000</v>
      </c>
      <c r="P195">
        <v>149709000</v>
      </c>
      <c r="Q195">
        <v>0.94260761949820104</v>
      </c>
      <c r="R195">
        <v>22.9129479300166</v>
      </c>
      <c r="S195">
        <v>0.901498067758702</v>
      </c>
      <c r="T195">
        <v>1.6760271878480702E-2</v>
      </c>
      <c r="U195">
        <v>2010</v>
      </c>
      <c r="V195">
        <v>11</v>
      </c>
      <c r="W195">
        <v>1</v>
      </c>
      <c r="X195" t="s">
        <v>727</v>
      </c>
      <c r="Y195" t="s">
        <v>1545</v>
      </c>
      <c r="Z195" t="s">
        <v>2141</v>
      </c>
    </row>
    <row r="196" spans="1:26" ht="15" customHeight="1" x14ac:dyDescent="0.3">
      <c r="A196">
        <v>232</v>
      </c>
      <c r="B196">
        <v>47</v>
      </c>
      <c r="C196" t="s">
        <v>943</v>
      </c>
      <c r="D196" t="s">
        <v>944</v>
      </c>
      <c r="E196" t="s">
        <v>709</v>
      </c>
      <c r="F196">
        <v>2022</v>
      </c>
      <c r="G196">
        <v>0</v>
      </c>
      <c r="H196">
        <v>0</v>
      </c>
      <c r="I196">
        <v>50</v>
      </c>
      <c r="J196">
        <v>0</v>
      </c>
      <c r="K196">
        <v>35895000000</v>
      </c>
      <c r="L196">
        <v>10.11</v>
      </c>
      <c r="M196">
        <v>362898450</v>
      </c>
      <c r="N196">
        <v>9581969000</v>
      </c>
      <c r="O196">
        <v>10577710000</v>
      </c>
      <c r="P196">
        <v>134403000</v>
      </c>
      <c r="Q196">
        <v>0.94017206465293501</v>
      </c>
      <c r="R196">
        <v>23.082014793824001</v>
      </c>
      <c r="S196">
        <v>0.90586421824761698</v>
      </c>
      <c r="T196">
        <v>1.2706247382467501E-2</v>
      </c>
      <c r="U196">
        <v>2010</v>
      </c>
      <c r="V196">
        <v>12</v>
      </c>
      <c r="W196">
        <v>1</v>
      </c>
      <c r="X196" t="s">
        <v>727</v>
      </c>
      <c r="Y196" t="s">
        <v>1545</v>
      </c>
      <c r="Z196" t="s">
        <v>2141</v>
      </c>
    </row>
    <row r="197" spans="1:26" ht="15" customHeight="1" x14ac:dyDescent="0.3">
      <c r="A197">
        <v>233</v>
      </c>
      <c r="B197">
        <v>47</v>
      </c>
      <c r="C197" t="s">
        <v>943</v>
      </c>
      <c r="D197" t="s">
        <v>944</v>
      </c>
      <c r="E197" t="s">
        <v>709</v>
      </c>
      <c r="F197">
        <v>2023</v>
      </c>
      <c r="G197">
        <v>1</v>
      </c>
      <c r="H197">
        <v>0</v>
      </c>
      <c r="I197">
        <v>65</v>
      </c>
      <c r="J197">
        <v>53.3333333333333</v>
      </c>
      <c r="K197">
        <v>35895000000</v>
      </c>
      <c r="L197">
        <v>22.46</v>
      </c>
      <c r="M197">
        <v>806201700</v>
      </c>
      <c r="N197">
        <v>15190663000</v>
      </c>
      <c r="O197">
        <v>16937684000</v>
      </c>
      <c r="P197">
        <v>308203000</v>
      </c>
      <c r="Q197">
        <v>0.94445407648412905</v>
      </c>
      <c r="R197">
        <v>23.552806798995999</v>
      </c>
      <c r="S197">
        <v>0.89685596921042998</v>
      </c>
      <c r="T197">
        <v>1.8196289410051601E-2</v>
      </c>
      <c r="U197">
        <v>2010</v>
      </c>
      <c r="V197">
        <v>13</v>
      </c>
      <c r="W197">
        <v>1</v>
      </c>
      <c r="X197" t="s">
        <v>727</v>
      </c>
      <c r="Y197" t="s">
        <v>1545</v>
      </c>
      <c r="Z197" t="s">
        <v>2141</v>
      </c>
    </row>
    <row r="198" spans="1:26" ht="15" customHeight="1" x14ac:dyDescent="0.3">
      <c r="A198">
        <v>234</v>
      </c>
      <c r="B198">
        <v>47</v>
      </c>
      <c r="C198" t="s">
        <v>943</v>
      </c>
      <c r="D198" t="s">
        <v>944</v>
      </c>
      <c r="E198" t="s">
        <v>709</v>
      </c>
      <c r="F198">
        <v>2024</v>
      </c>
      <c r="G198">
        <v>1</v>
      </c>
      <c r="H198">
        <v>0</v>
      </c>
      <c r="I198">
        <v>10</v>
      </c>
      <c r="J198">
        <v>0</v>
      </c>
      <c r="K198">
        <v>36093000000</v>
      </c>
      <c r="L198">
        <v>27.4</v>
      </c>
      <c r="M198">
        <v>988948200</v>
      </c>
      <c r="N198">
        <v>23728884000</v>
      </c>
      <c r="O198">
        <v>26524218000</v>
      </c>
      <c r="P198">
        <v>670799000</v>
      </c>
      <c r="Q198">
        <v>0.93189673678598195</v>
      </c>
      <c r="R198">
        <v>24.001324039390799</v>
      </c>
      <c r="S198">
        <v>0.89461201080461605</v>
      </c>
      <c r="T198">
        <v>2.5290057561734702E-2</v>
      </c>
      <c r="U198">
        <v>2010</v>
      </c>
      <c r="V198">
        <v>14</v>
      </c>
      <c r="W198">
        <v>1</v>
      </c>
      <c r="X198" t="s">
        <v>727</v>
      </c>
      <c r="Y198" t="s">
        <v>1545</v>
      </c>
      <c r="Z198" t="s">
        <v>2141</v>
      </c>
    </row>
    <row r="199" spans="1:26" ht="15" customHeight="1" x14ac:dyDescent="0.3">
      <c r="A199">
        <v>235</v>
      </c>
      <c r="B199">
        <v>47</v>
      </c>
      <c r="C199" t="s">
        <v>943</v>
      </c>
      <c r="D199" t="s">
        <v>944</v>
      </c>
      <c r="E199" t="s">
        <v>709</v>
      </c>
      <c r="F199">
        <v>2025</v>
      </c>
      <c r="G199">
        <v>1</v>
      </c>
      <c r="H199">
        <v>0</v>
      </c>
      <c r="I199">
        <v>20</v>
      </c>
      <c r="J199">
        <v>13.3333333333333</v>
      </c>
      <c r="K199">
        <v>44454000000</v>
      </c>
      <c r="L199">
        <v>47.9</v>
      </c>
      <c r="M199">
        <v>2129346600</v>
      </c>
      <c r="N199">
        <v>23949570000</v>
      </c>
      <c r="O199">
        <v>27250935000</v>
      </c>
      <c r="P199">
        <v>132684000</v>
      </c>
      <c r="Q199">
        <v>0.956991626158882</v>
      </c>
      <c r="R199">
        <v>24.028353669393599</v>
      </c>
      <c r="S199">
        <v>0.87885314760759603</v>
      </c>
      <c r="T199">
        <v>4.8689705509187102E-3</v>
      </c>
      <c r="U199">
        <v>2010</v>
      </c>
      <c r="V199">
        <v>15</v>
      </c>
      <c r="W199">
        <v>1</v>
      </c>
      <c r="X199" t="s">
        <v>727</v>
      </c>
      <c r="Y199" t="s">
        <v>1545</v>
      </c>
      <c r="Z199" t="s">
        <v>2141</v>
      </c>
    </row>
    <row r="200" spans="1:26" ht="15" customHeight="1" x14ac:dyDescent="0.3">
      <c r="A200">
        <v>236</v>
      </c>
      <c r="B200">
        <v>48</v>
      </c>
      <c r="C200" t="s">
        <v>947</v>
      </c>
      <c r="D200" t="s">
        <v>948</v>
      </c>
      <c r="E200" t="s">
        <v>709</v>
      </c>
      <c r="F200">
        <v>2021</v>
      </c>
      <c r="G200">
        <v>0</v>
      </c>
      <c r="H200">
        <v>0</v>
      </c>
      <c r="I200">
        <v>0</v>
      </c>
      <c r="J200">
        <v>0</v>
      </c>
      <c r="K200">
        <v>12911000000</v>
      </c>
      <c r="L200">
        <v>0.2</v>
      </c>
      <c r="M200">
        <v>2582200</v>
      </c>
      <c r="N200">
        <v>10847000</v>
      </c>
      <c r="O200">
        <v>7698000</v>
      </c>
      <c r="P200">
        <v>-1725000</v>
      </c>
      <c r="Q200">
        <v>1.74450506625097</v>
      </c>
      <c r="R200">
        <v>15.856471112825799</v>
      </c>
      <c r="S200">
        <v>1.4090672902052499</v>
      </c>
      <c r="T200">
        <v>-0.22408417770849601</v>
      </c>
      <c r="U200">
        <v>1981</v>
      </c>
      <c r="V200">
        <v>40</v>
      </c>
      <c r="W200">
        <v>0</v>
      </c>
      <c r="X200" t="s">
        <v>950</v>
      </c>
      <c r="Y200" t="s">
        <v>1546</v>
      </c>
      <c r="Z200" t="s">
        <v>2141</v>
      </c>
    </row>
    <row r="201" spans="1:26" ht="15" customHeight="1" x14ac:dyDescent="0.3">
      <c r="A201">
        <v>237</v>
      </c>
      <c r="B201">
        <v>48</v>
      </c>
      <c r="C201" t="s">
        <v>947</v>
      </c>
      <c r="D201" t="s">
        <v>948</v>
      </c>
      <c r="E201" t="s">
        <v>709</v>
      </c>
      <c r="F201">
        <v>2022</v>
      </c>
      <c r="G201">
        <v>0</v>
      </c>
      <c r="H201">
        <v>0</v>
      </c>
      <c r="I201">
        <v>0</v>
      </c>
      <c r="J201">
        <v>0</v>
      </c>
      <c r="K201">
        <v>12911000000</v>
      </c>
      <c r="L201">
        <v>0.2</v>
      </c>
      <c r="M201">
        <v>2582200</v>
      </c>
      <c r="N201">
        <v>10620000</v>
      </c>
      <c r="O201">
        <v>6190000</v>
      </c>
      <c r="P201">
        <v>-829720</v>
      </c>
      <c r="Q201">
        <v>2.1328271405492698</v>
      </c>
      <c r="R201">
        <v>15.6384456446608</v>
      </c>
      <c r="S201">
        <v>1.7156704361874</v>
      </c>
      <c r="T201">
        <v>-0.134042003231018</v>
      </c>
      <c r="U201">
        <v>1981</v>
      </c>
      <c r="V201">
        <v>41</v>
      </c>
      <c r="W201">
        <v>0</v>
      </c>
      <c r="X201" t="s">
        <v>950</v>
      </c>
      <c r="Y201" t="s">
        <v>1546</v>
      </c>
      <c r="Z201" t="s">
        <v>2141</v>
      </c>
    </row>
    <row r="202" spans="1:26" ht="15" customHeight="1" x14ac:dyDescent="0.3">
      <c r="A202">
        <v>238</v>
      </c>
      <c r="B202">
        <v>48</v>
      </c>
      <c r="C202" t="s">
        <v>947</v>
      </c>
      <c r="D202" t="s">
        <v>948</v>
      </c>
      <c r="E202" t="s">
        <v>709</v>
      </c>
      <c r="F202">
        <v>2023</v>
      </c>
      <c r="G202">
        <v>1</v>
      </c>
      <c r="H202">
        <v>0</v>
      </c>
      <c r="I202">
        <v>0</v>
      </c>
      <c r="J202">
        <v>0</v>
      </c>
      <c r="K202">
        <v>12911000000</v>
      </c>
      <c r="L202">
        <v>0.2</v>
      </c>
      <c r="M202">
        <v>2582200</v>
      </c>
      <c r="N202">
        <v>12426000</v>
      </c>
      <c r="O202">
        <v>7512000</v>
      </c>
      <c r="P202">
        <v>-1816000</v>
      </c>
      <c r="Q202">
        <v>1.99789669861555</v>
      </c>
      <c r="R202">
        <v>15.8320122998702</v>
      </c>
      <c r="S202">
        <v>1.6541533546325899</v>
      </c>
      <c r="T202">
        <v>-0.24174653887114</v>
      </c>
      <c r="U202">
        <v>1981</v>
      </c>
      <c r="V202">
        <v>42</v>
      </c>
      <c r="W202">
        <v>0</v>
      </c>
      <c r="X202" t="s">
        <v>950</v>
      </c>
      <c r="Y202" t="s">
        <v>1546</v>
      </c>
      <c r="Z202" t="s">
        <v>2141</v>
      </c>
    </row>
    <row r="203" spans="1:26" ht="15" customHeight="1" x14ac:dyDescent="0.3">
      <c r="A203">
        <v>239</v>
      </c>
      <c r="B203">
        <v>48</v>
      </c>
      <c r="C203" t="s">
        <v>947</v>
      </c>
      <c r="D203" t="s">
        <v>948</v>
      </c>
      <c r="E203" t="s">
        <v>709</v>
      </c>
      <c r="F203">
        <v>2024</v>
      </c>
      <c r="G203">
        <v>1</v>
      </c>
      <c r="H203">
        <v>0</v>
      </c>
      <c r="I203">
        <v>0</v>
      </c>
      <c r="J203">
        <v>0</v>
      </c>
      <c r="K203">
        <v>12911000000</v>
      </c>
      <c r="L203">
        <v>0.2</v>
      </c>
      <c r="M203">
        <v>2582200</v>
      </c>
      <c r="N203">
        <v>14835000</v>
      </c>
      <c r="O203">
        <v>13760000</v>
      </c>
      <c r="P203">
        <v>4990000</v>
      </c>
      <c r="Q203">
        <v>1.26578488372093</v>
      </c>
      <c r="R203">
        <v>16.437276390469499</v>
      </c>
      <c r="S203">
        <v>1.078125</v>
      </c>
      <c r="T203">
        <v>0.362645348837209</v>
      </c>
      <c r="U203">
        <v>1981</v>
      </c>
      <c r="V203">
        <v>43</v>
      </c>
      <c r="W203">
        <v>0</v>
      </c>
      <c r="X203" t="s">
        <v>950</v>
      </c>
      <c r="Y203" t="s">
        <v>1546</v>
      </c>
      <c r="Z203" t="s">
        <v>2141</v>
      </c>
    </row>
    <row r="204" spans="1:26" ht="15" customHeight="1" x14ac:dyDescent="0.3">
      <c r="A204">
        <v>240</v>
      </c>
      <c r="B204">
        <v>48</v>
      </c>
      <c r="C204" t="s">
        <v>947</v>
      </c>
      <c r="D204" t="s">
        <v>948</v>
      </c>
      <c r="E204" t="s">
        <v>709</v>
      </c>
      <c r="F204">
        <v>2025</v>
      </c>
      <c r="G204">
        <v>1</v>
      </c>
      <c r="H204">
        <v>0</v>
      </c>
      <c r="I204">
        <v>0</v>
      </c>
      <c r="J204">
        <v>0</v>
      </c>
      <c r="K204">
        <v>12911000000</v>
      </c>
      <c r="L204">
        <v>0.2</v>
      </c>
      <c r="M204">
        <v>2582200</v>
      </c>
      <c r="N204">
        <v>15702000</v>
      </c>
      <c r="O204">
        <v>25052000</v>
      </c>
      <c r="P204">
        <v>-1688000</v>
      </c>
      <c r="Q204">
        <v>0.72984991218266004</v>
      </c>
      <c r="R204">
        <v>17.036464222627401</v>
      </c>
      <c r="S204">
        <v>0.62677630528500705</v>
      </c>
      <c r="T204">
        <v>-6.7379849912182696E-2</v>
      </c>
      <c r="U204">
        <v>1981</v>
      </c>
      <c r="V204">
        <v>44</v>
      </c>
      <c r="W204">
        <v>0</v>
      </c>
      <c r="X204" t="s">
        <v>950</v>
      </c>
      <c r="Y204" t="s">
        <v>1546</v>
      </c>
      <c r="Z204" t="s">
        <v>2141</v>
      </c>
    </row>
    <row r="205" spans="1:26" ht="15" customHeight="1" x14ac:dyDescent="0.3">
      <c r="A205">
        <v>241</v>
      </c>
      <c r="B205">
        <v>49</v>
      </c>
      <c r="C205" t="s">
        <v>952</v>
      </c>
      <c r="D205" t="s">
        <v>953</v>
      </c>
      <c r="E205" t="s">
        <v>903</v>
      </c>
      <c r="F205">
        <v>2021</v>
      </c>
      <c r="G205">
        <v>0</v>
      </c>
      <c r="H205">
        <v>0</v>
      </c>
      <c r="I205">
        <v>0</v>
      </c>
      <c r="J205">
        <v>0</v>
      </c>
      <c r="K205">
        <v>2200000000</v>
      </c>
      <c r="L205">
        <v>0.39</v>
      </c>
      <c r="M205">
        <v>858000</v>
      </c>
      <c r="N205">
        <v>9415000</v>
      </c>
      <c r="O205">
        <v>7441000</v>
      </c>
      <c r="P205">
        <v>-1479000</v>
      </c>
      <c r="Q205">
        <v>1.3805940061819599</v>
      </c>
      <c r="R205">
        <v>15.8225158063794</v>
      </c>
      <c r="S205">
        <v>1.26528692380056</v>
      </c>
      <c r="T205">
        <v>-0.198763607042064</v>
      </c>
      <c r="U205">
        <v>1991</v>
      </c>
      <c r="V205">
        <v>30</v>
      </c>
      <c r="W205">
        <v>0</v>
      </c>
      <c r="X205" t="s">
        <v>885</v>
      </c>
      <c r="Y205" t="s">
        <v>1547</v>
      </c>
      <c r="Z205" t="s">
        <v>775</v>
      </c>
    </row>
    <row r="206" spans="1:26" ht="15" customHeight="1" x14ac:dyDescent="0.3">
      <c r="A206">
        <v>242</v>
      </c>
      <c r="B206">
        <v>49</v>
      </c>
      <c r="C206" t="s">
        <v>952</v>
      </c>
      <c r="D206" t="s">
        <v>953</v>
      </c>
      <c r="E206" t="s">
        <v>903</v>
      </c>
      <c r="F206">
        <v>2022</v>
      </c>
      <c r="G206">
        <v>0</v>
      </c>
      <c r="H206">
        <v>0</v>
      </c>
      <c r="I206">
        <v>0</v>
      </c>
      <c r="J206">
        <v>0</v>
      </c>
      <c r="K206">
        <v>3900000000</v>
      </c>
      <c r="L206">
        <v>0.28999999999999998</v>
      </c>
      <c r="M206">
        <v>1131000</v>
      </c>
      <c r="N206">
        <v>8831000</v>
      </c>
      <c r="O206">
        <v>7277000</v>
      </c>
      <c r="P206">
        <v>-431190</v>
      </c>
      <c r="Q206">
        <v>1.3689707296963001</v>
      </c>
      <c r="R206">
        <v>15.800229247329201</v>
      </c>
      <c r="S206">
        <v>1.2135495396454601</v>
      </c>
      <c r="T206">
        <v>-5.9253813384636499E-2</v>
      </c>
      <c r="U206">
        <v>1991</v>
      </c>
      <c r="V206">
        <v>31</v>
      </c>
      <c r="W206">
        <v>0</v>
      </c>
      <c r="X206" t="s">
        <v>885</v>
      </c>
      <c r="Y206" t="s">
        <v>1547</v>
      </c>
      <c r="Z206" t="s">
        <v>775</v>
      </c>
    </row>
    <row r="207" spans="1:26" ht="15" customHeight="1" x14ac:dyDescent="0.3">
      <c r="A207">
        <v>243</v>
      </c>
      <c r="B207">
        <v>49</v>
      </c>
      <c r="C207" t="s">
        <v>952</v>
      </c>
      <c r="D207" t="s">
        <v>953</v>
      </c>
      <c r="E207" t="s">
        <v>903</v>
      </c>
      <c r="F207">
        <v>2023</v>
      </c>
      <c r="G207">
        <v>1</v>
      </c>
      <c r="H207">
        <v>0</v>
      </c>
      <c r="I207">
        <v>0</v>
      </c>
      <c r="J207">
        <v>0</v>
      </c>
      <c r="K207">
        <v>3900000000</v>
      </c>
      <c r="L207">
        <v>1.48</v>
      </c>
      <c r="M207">
        <v>5772000</v>
      </c>
      <c r="N207">
        <v>9967000</v>
      </c>
      <c r="O207">
        <v>13250000</v>
      </c>
      <c r="P207">
        <v>-10650000</v>
      </c>
      <c r="Q207">
        <v>1.18784905660377</v>
      </c>
      <c r="R207">
        <v>16.3995081103965</v>
      </c>
      <c r="S207">
        <v>0.75222641509433996</v>
      </c>
      <c r="T207">
        <v>-0.80377358490565998</v>
      </c>
      <c r="U207">
        <v>1991</v>
      </c>
      <c r="V207">
        <v>32</v>
      </c>
      <c r="W207">
        <v>0</v>
      </c>
      <c r="X207" t="s">
        <v>885</v>
      </c>
      <c r="Y207" t="s">
        <v>1547</v>
      </c>
      <c r="Z207" t="s">
        <v>775</v>
      </c>
    </row>
    <row r="208" spans="1:26" ht="15" customHeight="1" x14ac:dyDescent="0.3">
      <c r="A208">
        <v>244</v>
      </c>
      <c r="B208">
        <v>49</v>
      </c>
      <c r="C208" t="s">
        <v>952</v>
      </c>
      <c r="D208" t="s">
        <v>953</v>
      </c>
      <c r="E208" t="s">
        <v>903</v>
      </c>
      <c r="F208">
        <v>2024</v>
      </c>
      <c r="G208">
        <v>1</v>
      </c>
      <c r="H208">
        <v>0</v>
      </c>
      <c r="I208">
        <v>0</v>
      </c>
      <c r="J208">
        <v>0</v>
      </c>
      <c r="K208">
        <v>3900000000</v>
      </c>
      <c r="L208">
        <v>1.82</v>
      </c>
      <c r="M208">
        <v>7098000</v>
      </c>
      <c r="N208">
        <v>17649000</v>
      </c>
      <c r="O208">
        <v>21094000</v>
      </c>
      <c r="P208">
        <v>-9530000</v>
      </c>
      <c r="Q208">
        <v>1.1731772067886601</v>
      </c>
      <c r="R208">
        <v>16.864499197818699</v>
      </c>
      <c r="S208">
        <v>0.83668341708542704</v>
      </c>
      <c r="T208">
        <v>-0.45178723807717802</v>
      </c>
      <c r="U208">
        <v>1991</v>
      </c>
      <c r="V208">
        <v>33</v>
      </c>
      <c r="W208">
        <v>0</v>
      </c>
      <c r="X208" t="s">
        <v>885</v>
      </c>
      <c r="Y208" t="s">
        <v>1547</v>
      </c>
      <c r="Z208" t="s">
        <v>775</v>
      </c>
    </row>
    <row r="209" spans="1:26" ht="15" customHeight="1" x14ac:dyDescent="0.3">
      <c r="A209">
        <v>245</v>
      </c>
      <c r="B209">
        <v>49</v>
      </c>
      <c r="C209" t="s">
        <v>952</v>
      </c>
      <c r="D209" t="s">
        <v>953</v>
      </c>
      <c r="E209" t="s">
        <v>903</v>
      </c>
      <c r="F209">
        <v>2025</v>
      </c>
      <c r="G209">
        <v>1</v>
      </c>
      <c r="H209">
        <v>0</v>
      </c>
      <c r="I209">
        <v>0</v>
      </c>
      <c r="J209">
        <v>0</v>
      </c>
      <c r="K209">
        <v>3900000000</v>
      </c>
      <c r="L209">
        <v>5</v>
      </c>
      <c r="M209">
        <v>19500000</v>
      </c>
      <c r="N209">
        <v>21602000</v>
      </c>
      <c r="O209">
        <v>22145000</v>
      </c>
      <c r="P209">
        <v>-252650</v>
      </c>
      <c r="Q209">
        <v>1.8560397380898599</v>
      </c>
      <c r="R209">
        <v>16.913122295339399</v>
      </c>
      <c r="S209">
        <v>0.97547979227816695</v>
      </c>
      <c r="T209">
        <v>-1.1408895913298699E-2</v>
      </c>
      <c r="U209">
        <v>1991</v>
      </c>
      <c r="V209">
        <v>34</v>
      </c>
      <c r="W209">
        <v>0</v>
      </c>
      <c r="X209" t="s">
        <v>885</v>
      </c>
      <c r="Y209" t="s">
        <v>1547</v>
      </c>
      <c r="Z209" t="s">
        <v>775</v>
      </c>
    </row>
    <row r="210" spans="1:26" ht="15" customHeight="1" x14ac:dyDescent="0.3">
      <c r="A210">
        <v>247</v>
      </c>
      <c r="B210">
        <v>50</v>
      </c>
      <c r="C210" t="s">
        <v>957</v>
      </c>
      <c r="D210" t="s">
        <v>958</v>
      </c>
      <c r="E210" t="s">
        <v>959</v>
      </c>
      <c r="F210">
        <v>2022</v>
      </c>
      <c r="G210">
        <v>0</v>
      </c>
      <c r="H210">
        <v>0</v>
      </c>
      <c r="I210">
        <v>40</v>
      </c>
      <c r="J210">
        <v>0</v>
      </c>
      <c r="K210">
        <v>2500000000</v>
      </c>
      <c r="L210">
        <v>149</v>
      </c>
      <c r="M210">
        <v>372500000</v>
      </c>
      <c r="N210">
        <v>124927000</v>
      </c>
      <c r="O210">
        <v>174030000</v>
      </c>
      <c r="P210">
        <v>10171000</v>
      </c>
      <c r="Q210">
        <v>2.8582830546457498</v>
      </c>
      <c r="R210">
        <v>18.974738256110399</v>
      </c>
      <c r="S210">
        <v>0.71784749755789201</v>
      </c>
      <c r="T210">
        <v>5.8443946446015103E-2</v>
      </c>
      <c r="U210">
        <v>2006</v>
      </c>
      <c r="V210">
        <v>16</v>
      </c>
      <c r="W210">
        <v>0</v>
      </c>
      <c r="X210" t="s">
        <v>832</v>
      </c>
      <c r="Y210" t="s">
        <v>1548</v>
      </c>
      <c r="Z210" t="s">
        <v>2141</v>
      </c>
    </row>
    <row r="211" spans="1:26" ht="15" customHeight="1" x14ac:dyDescent="0.3">
      <c r="A211">
        <v>248</v>
      </c>
      <c r="B211">
        <v>50</v>
      </c>
      <c r="C211" t="s">
        <v>957</v>
      </c>
      <c r="D211" t="s">
        <v>958</v>
      </c>
      <c r="E211" t="s">
        <v>959</v>
      </c>
      <c r="F211">
        <v>2023</v>
      </c>
      <c r="G211">
        <v>1</v>
      </c>
      <c r="H211">
        <v>0</v>
      </c>
      <c r="I211">
        <v>0</v>
      </c>
      <c r="J211">
        <v>0</v>
      </c>
      <c r="K211">
        <v>2500000000</v>
      </c>
      <c r="L211">
        <v>399</v>
      </c>
      <c r="M211">
        <v>997500000</v>
      </c>
      <c r="N211">
        <v>136889000</v>
      </c>
      <c r="O211">
        <v>182043000</v>
      </c>
      <c r="P211">
        <v>16053000</v>
      </c>
      <c r="Q211">
        <v>6.2314343314491598</v>
      </c>
      <c r="R211">
        <v>19.019753480871501</v>
      </c>
      <c r="S211">
        <v>0.75195970182868899</v>
      </c>
      <c r="T211">
        <v>8.8182462385260604E-2</v>
      </c>
      <c r="U211">
        <v>2006</v>
      </c>
      <c r="V211">
        <v>17</v>
      </c>
      <c r="W211">
        <v>0</v>
      </c>
      <c r="X211" t="s">
        <v>832</v>
      </c>
      <c r="Y211" t="s">
        <v>1548</v>
      </c>
      <c r="Z211" t="s">
        <v>2141</v>
      </c>
    </row>
    <row r="212" spans="1:26" ht="15" customHeight="1" x14ac:dyDescent="0.3">
      <c r="A212">
        <v>249</v>
      </c>
      <c r="B212">
        <v>50</v>
      </c>
      <c r="C212" t="s">
        <v>957</v>
      </c>
      <c r="D212" t="s">
        <v>958</v>
      </c>
      <c r="E212" t="s">
        <v>959</v>
      </c>
      <c r="F212">
        <v>2024</v>
      </c>
      <c r="G212">
        <v>1</v>
      </c>
      <c r="H212">
        <v>0</v>
      </c>
      <c r="I212">
        <v>0</v>
      </c>
      <c r="J212">
        <v>0</v>
      </c>
      <c r="K212">
        <v>2500000000</v>
      </c>
      <c r="L212">
        <v>1152</v>
      </c>
      <c r="M212">
        <v>2880000000</v>
      </c>
      <c r="N212">
        <v>190906000</v>
      </c>
      <c r="O212">
        <v>243470000</v>
      </c>
      <c r="P212">
        <v>27425000</v>
      </c>
      <c r="Q212">
        <v>12.613077586560999</v>
      </c>
      <c r="R212">
        <v>19.310504289611298</v>
      </c>
      <c r="S212">
        <v>0.78410481784203401</v>
      </c>
      <c r="T212">
        <v>0.112642214646568</v>
      </c>
      <c r="U212">
        <v>2006</v>
      </c>
      <c r="V212">
        <v>18</v>
      </c>
      <c r="W212">
        <v>0</v>
      </c>
      <c r="X212" t="s">
        <v>832</v>
      </c>
      <c r="Y212" t="s">
        <v>1548</v>
      </c>
      <c r="Z212" t="s">
        <v>2141</v>
      </c>
    </row>
    <row r="213" spans="1:26" ht="15" customHeight="1" x14ac:dyDescent="0.3">
      <c r="A213">
        <v>250</v>
      </c>
      <c r="B213">
        <v>50</v>
      </c>
      <c r="C213" t="s">
        <v>957</v>
      </c>
      <c r="D213" t="s">
        <v>958</v>
      </c>
      <c r="E213" t="s">
        <v>959</v>
      </c>
      <c r="F213">
        <v>2025</v>
      </c>
      <c r="G213">
        <v>1</v>
      </c>
      <c r="H213">
        <v>0</v>
      </c>
      <c r="I213">
        <v>0</v>
      </c>
      <c r="J213">
        <v>0</v>
      </c>
      <c r="K213">
        <v>2500000000</v>
      </c>
      <c r="L213">
        <v>1140</v>
      </c>
      <c r="M213">
        <v>2850000000</v>
      </c>
      <c r="N213">
        <v>246377000</v>
      </c>
      <c r="O213">
        <v>305005000</v>
      </c>
      <c r="P213">
        <v>27251000</v>
      </c>
      <c r="Q213">
        <v>10.1518893132899</v>
      </c>
      <c r="R213">
        <v>19.535838727879899</v>
      </c>
      <c r="S213">
        <v>0.80778020032458497</v>
      </c>
      <c r="T213">
        <v>8.9346076293831303E-2</v>
      </c>
      <c r="U213">
        <v>2006</v>
      </c>
      <c r="V213">
        <v>19</v>
      </c>
      <c r="W213">
        <v>0</v>
      </c>
      <c r="X213" t="s">
        <v>832</v>
      </c>
      <c r="Y213" t="s">
        <v>1548</v>
      </c>
      <c r="Z213" t="s">
        <v>2141</v>
      </c>
    </row>
    <row r="214" spans="1:26" ht="15" customHeight="1" x14ac:dyDescent="0.3">
      <c r="A214">
        <v>256</v>
      </c>
      <c r="B214">
        <v>52</v>
      </c>
      <c r="C214" t="s">
        <v>968</v>
      </c>
      <c r="D214" t="s">
        <v>969</v>
      </c>
      <c r="E214" t="s">
        <v>709</v>
      </c>
      <c r="F214">
        <v>2021</v>
      </c>
      <c r="G214">
        <v>0</v>
      </c>
      <c r="H214">
        <v>0</v>
      </c>
      <c r="I214">
        <v>30</v>
      </c>
      <c r="J214">
        <v>0</v>
      </c>
      <c r="K214">
        <v>27981000000</v>
      </c>
      <c r="L214">
        <v>27.35</v>
      </c>
      <c r="M214">
        <v>765280350</v>
      </c>
      <c r="N214">
        <v>4552808000</v>
      </c>
      <c r="O214">
        <v>5436035000</v>
      </c>
      <c r="P214">
        <v>172107000</v>
      </c>
      <c r="Q214">
        <v>0.97830281629901195</v>
      </c>
      <c r="R214">
        <v>22.4163157717723</v>
      </c>
      <c r="S214">
        <v>0.83752367304478403</v>
      </c>
      <c r="T214">
        <v>3.1660392179226199E-2</v>
      </c>
      <c r="U214">
        <v>2020</v>
      </c>
      <c r="V214">
        <v>1</v>
      </c>
      <c r="W214">
        <v>1</v>
      </c>
      <c r="X214" t="s">
        <v>722</v>
      </c>
      <c r="Y214" t="s">
        <v>1551</v>
      </c>
      <c r="Z214" t="s">
        <v>2141</v>
      </c>
    </row>
    <row r="215" spans="1:26" ht="15" customHeight="1" x14ac:dyDescent="0.3">
      <c r="A215">
        <v>257</v>
      </c>
      <c r="B215">
        <v>52</v>
      </c>
      <c r="C215" t="s">
        <v>968</v>
      </c>
      <c r="D215" t="s">
        <v>969</v>
      </c>
      <c r="E215" t="s">
        <v>709</v>
      </c>
      <c r="F215">
        <v>2022</v>
      </c>
      <c r="G215">
        <v>0</v>
      </c>
      <c r="H215">
        <v>0</v>
      </c>
      <c r="I215">
        <v>50</v>
      </c>
      <c r="J215">
        <v>13.3333333333333</v>
      </c>
      <c r="K215">
        <v>28022000000</v>
      </c>
      <c r="L215">
        <v>24.16</v>
      </c>
      <c r="M215">
        <v>677011520</v>
      </c>
      <c r="N215">
        <v>5515307000</v>
      </c>
      <c r="O215">
        <v>6446456000</v>
      </c>
      <c r="P215">
        <v>166737000</v>
      </c>
      <c r="Q215">
        <v>0.96057717915083896</v>
      </c>
      <c r="R215">
        <v>22.586796359382699</v>
      </c>
      <c r="S215">
        <v>0.85555644838031897</v>
      </c>
      <c r="T215">
        <v>2.5864909339333102E-2</v>
      </c>
      <c r="U215">
        <v>2020</v>
      </c>
      <c r="V215">
        <v>2</v>
      </c>
      <c r="W215">
        <v>1</v>
      </c>
      <c r="X215" t="s">
        <v>722</v>
      </c>
      <c r="Y215" t="s">
        <v>1551</v>
      </c>
      <c r="Z215" t="s">
        <v>2141</v>
      </c>
    </row>
    <row r="216" spans="1:26" ht="15" customHeight="1" x14ac:dyDescent="0.3">
      <c r="A216">
        <v>258</v>
      </c>
      <c r="B216">
        <v>52</v>
      </c>
      <c r="C216" t="s">
        <v>968</v>
      </c>
      <c r="D216" t="s">
        <v>969</v>
      </c>
      <c r="E216" t="s">
        <v>709</v>
      </c>
      <c r="F216">
        <v>2023</v>
      </c>
      <c r="G216">
        <v>1</v>
      </c>
      <c r="H216">
        <v>1</v>
      </c>
      <c r="I216">
        <v>60</v>
      </c>
      <c r="J216">
        <v>53.3333333333333</v>
      </c>
      <c r="K216">
        <v>28022000000</v>
      </c>
      <c r="L216">
        <v>42.47</v>
      </c>
      <c r="M216">
        <v>1190094340</v>
      </c>
      <c r="N216">
        <v>8214127000</v>
      </c>
      <c r="O216">
        <v>9691255000</v>
      </c>
      <c r="P216">
        <v>534425000</v>
      </c>
      <c r="Q216">
        <v>0.97038219920949398</v>
      </c>
      <c r="R216">
        <v>22.9944897694266</v>
      </c>
      <c r="S216">
        <v>0.84758135040301796</v>
      </c>
      <c r="T216">
        <v>5.5145076669636701E-2</v>
      </c>
      <c r="U216">
        <v>2020</v>
      </c>
      <c r="V216">
        <v>3</v>
      </c>
      <c r="W216">
        <v>1</v>
      </c>
      <c r="X216" t="s">
        <v>722</v>
      </c>
      <c r="Y216" t="s">
        <v>1551</v>
      </c>
      <c r="Z216" t="s">
        <v>2141</v>
      </c>
    </row>
    <row r="217" spans="1:26" ht="15" customHeight="1" x14ac:dyDescent="0.3">
      <c r="A217">
        <v>259</v>
      </c>
      <c r="B217">
        <v>52</v>
      </c>
      <c r="C217" t="s">
        <v>968</v>
      </c>
      <c r="D217" t="s">
        <v>969</v>
      </c>
      <c r="E217" t="s">
        <v>709</v>
      </c>
      <c r="F217">
        <v>2024</v>
      </c>
      <c r="G217">
        <v>1</v>
      </c>
      <c r="H217">
        <v>1</v>
      </c>
      <c r="I217">
        <v>46.666699999999999</v>
      </c>
      <c r="J217">
        <v>22.222200000000001</v>
      </c>
      <c r="K217">
        <v>29554000000</v>
      </c>
      <c r="L217">
        <v>56.85</v>
      </c>
      <c r="M217">
        <v>1680144900</v>
      </c>
      <c r="N217">
        <v>12083689000</v>
      </c>
      <c r="O217">
        <v>14795707000</v>
      </c>
      <c r="P217">
        <v>1006220000</v>
      </c>
      <c r="Q217">
        <v>0.93025861488065398</v>
      </c>
      <c r="R217">
        <v>23.417602908071199</v>
      </c>
      <c r="S217">
        <v>0.8167023718434</v>
      </c>
      <c r="T217">
        <v>6.8007564626685293E-2</v>
      </c>
      <c r="U217">
        <v>2020</v>
      </c>
      <c r="V217">
        <v>4</v>
      </c>
      <c r="W217">
        <v>1</v>
      </c>
      <c r="X217" t="s">
        <v>722</v>
      </c>
      <c r="Y217" t="s">
        <v>1552</v>
      </c>
      <c r="Z217" t="s">
        <v>2141</v>
      </c>
    </row>
    <row r="218" spans="1:26" ht="15" customHeight="1" x14ac:dyDescent="0.3">
      <c r="A218">
        <v>260</v>
      </c>
      <c r="B218">
        <v>52</v>
      </c>
      <c r="C218" t="s">
        <v>968</v>
      </c>
      <c r="D218" t="s">
        <v>969</v>
      </c>
      <c r="E218" t="s">
        <v>709</v>
      </c>
      <c r="F218">
        <v>2025</v>
      </c>
      <c r="G218">
        <v>1</v>
      </c>
      <c r="H218">
        <v>1</v>
      </c>
      <c r="I218">
        <v>46.666699999999999</v>
      </c>
      <c r="J218">
        <v>22.222200000000001</v>
      </c>
      <c r="K218">
        <v>34601000000</v>
      </c>
      <c r="L218">
        <v>95.37</v>
      </c>
      <c r="M218">
        <v>3299897370</v>
      </c>
      <c r="N218">
        <v>14349772000</v>
      </c>
      <c r="O218">
        <v>17761152000</v>
      </c>
      <c r="P218">
        <v>853548000</v>
      </c>
      <c r="Q218">
        <v>0.99372323202909396</v>
      </c>
      <c r="R218">
        <v>23.600279437271698</v>
      </c>
      <c r="S218">
        <v>0.80793025137108199</v>
      </c>
      <c r="T218">
        <v>4.80570179231617E-2</v>
      </c>
      <c r="U218">
        <v>2020</v>
      </c>
      <c r="V218">
        <v>5</v>
      </c>
      <c r="W218">
        <v>1</v>
      </c>
      <c r="X218" t="s">
        <v>722</v>
      </c>
      <c r="Y218" t="s">
        <v>1552</v>
      </c>
      <c r="Z218" t="s">
        <v>2141</v>
      </c>
    </row>
    <row r="219" spans="1:26" ht="15" customHeight="1" x14ac:dyDescent="0.3">
      <c r="A219">
        <v>261</v>
      </c>
      <c r="B219">
        <v>53</v>
      </c>
      <c r="C219" t="s">
        <v>972</v>
      </c>
      <c r="D219" t="s">
        <v>973</v>
      </c>
      <c r="E219" t="s">
        <v>709</v>
      </c>
      <c r="F219">
        <v>2021</v>
      </c>
      <c r="G219">
        <v>0</v>
      </c>
      <c r="H219">
        <v>0</v>
      </c>
      <c r="I219">
        <v>30</v>
      </c>
      <c r="J219">
        <v>0</v>
      </c>
      <c r="K219">
        <v>6140000000</v>
      </c>
      <c r="L219">
        <v>0.2</v>
      </c>
      <c r="M219">
        <v>1228000</v>
      </c>
      <c r="N219">
        <v>1348000</v>
      </c>
      <c r="O219">
        <v>3468000</v>
      </c>
      <c r="P219">
        <v>-23490</v>
      </c>
      <c r="Q219">
        <v>0.74279123414071502</v>
      </c>
      <c r="R219">
        <v>15.059088616882599</v>
      </c>
      <c r="S219">
        <v>0.38869665513264101</v>
      </c>
      <c r="T219">
        <v>-6.77335640138408E-3</v>
      </c>
      <c r="U219">
        <v>1958</v>
      </c>
      <c r="V219">
        <v>63</v>
      </c>
      <c r="W219">
        <v>0</v>
      </c>
      <c r="X219" t="s">
        <v>975</v>
      </c>
      <c r="Y219" t="s">
        <v>1553</v>
      </c>
      <c r="Z219" t="s">
        <v>2141</v>
      </c>
    </row>
    <row r="220" spans="1:26" ht="15" customHeight="1" x14ac:dyDescent="0.3">
      <c r="A220">
        <v>262</v>
      </c>
      <c r="B220">
        <v>53</v>
      </c>
      <c r="C220" t="s">
        <v>972</v>
      </c>
      <c r="D220" t="s">
        <v>973</v>
      </c>
      <c r="E220" t="s">
        <v>709</v>
      </c>
      <c r="F220">
        <v>2022</v>
      </c>
      <c r="G220">
        <v>0</v>
      </c>
      <c r="H220">
        <v>0</v>
      </c>
      <c r="I220">
        <v>20</v>
      </c>
      <c r="J220">
        <v>0</v>
      </c>
      <c r="K220">
        <v>6140000000</v>
      </c>
      <c r="L220">
        <v>0.2</v>
      </c>
      <c r="M220">
        <v>1228000</v>
      </c>
      <c r="N220">
        <v>2066000</v>
      </c>
      <c r="O220">
        <v>4144000</v>
      </c>
      <c r="P220">
        <v>-83270</v>
      </c>
      <c r="Q220">
        <v>0.79488416988416999</v>
      </c>
      <c r="R220">
        <v>15.2371720629215</v>
      </c>
      <c r="S220">
        <v>0.49855212355212403</v>
      </c>
      <c r="T220">
        <v>-2.0094111969112E-2</v>
      </c>
      <c r="U220">
        <v>1958</v>
      </c>
      <c r="V220">
        <v>64</v>
      </c>
      <c r="W220">
        <v>0</v>
      </c>
      <c r="X220" t="s">
        <v>975</v>
      </c>
      <c r="Y220" t="s">
        <v>1553</v>
      </c>
      <c r="Z220" t="s">
        <v>2141</v>
      </c>
    </row>
    <row r="221" spans="1:26" ht="15" customHeight="1" x14ac:dyDescent="0.3">
      <c r="A221">
        <v>263</v>
      </c>
      <c r="B221">
        <v>53</v>
      </c>
      <c r="C221" t="s">
        <v>972</v>
      </c>
      <c r="D221" t="s">
        <v>973</v>
      </c>
      <c r="E221" t="s">
        <v>709</v>
      </c>
      <c r="F221">
        <v>2023</v>
      </c>
      <c r="G221">
        <v>1</v>
      </c>
      <c r="H221">
        <v>0</v>
      </c>
      <c r="I221">
        <v>10</v>
      </c>
      <c r="J221">
        <v>0</v>
      </c>
      <c r="K221">
        <v>7943000000</v>
      </c>
      <c r="L221">
        <v>0.28999999999999998</v>
      </c>
      <c r="M221">
        <v>2303470</v>
      </c>
      <c r="N221">
        <v>1506000</v>
      </c>
      <c r="O221">
        <v>5003000</v>
      </c>
      <c r="P221">
        <v>477770</v>
      </c>
      <c r="Q221">
        <v>0.76143713771736998</v>
      </c>
      <c r="R221">
        <v>15.425548290470299</v>
      </c>
      <c r="S221">
        <v>0.30101938836698</v>
      </c>
      <c r="T221">
        <v>9.5496701978812701E-2</v>
      </c>
      <c r="U221">
        <v>1958</v>
      </c>
      <c r="V221">
        <v>65</v>
      </c>
      <c r="W221">
        <v>0</v>
      </c>
      <c r="X221" t="s">
        <v>975</v>
      </c>
      <c r="Y221" t="s">
        <v>1553</v>
      </c>
      <c r="Z221" t="s">
        <v>2141</v>
      </c>
    </row>
    <row r="222" spans="1:26" ht="15" customHeight="1" x14ac:dyDescent="0.3">
      <c r="A222">
        <v>264</v>
      </c>
      <c r="B222">
        <v>53</v>
      </c>
      <c r="C222" t="s">
        <v>972</v>
      </c>
      <c r="D222" t="s">
        <v>973</v>
      </c>
      <c r="E222" t="s">
        <v>709</v>
      </c>
      <c r="F222">
        <v>2024</v>
      </c>
      <c r="G222">
        <v>1</v>
      </c>
      <c r="H222">
        <v>0</v>
      </c>
      <c r="I222">
        <v>55</v>
      </c>
      <c r="J222">
        <v>40</v>
      </c>
      <c r="K222">
        <v>7943000000</v>
      </c>
      <c r="L222">
        <v>0.81</v>
      </c>
      <c r="M222">
        <v>6433830</v>
      </c>
      <c r="N222">
        <v>1732000</v>
      </c>
      <c r="O222">
        <v>6953000</v>
      </c>
      <c r="P222">
        <v>936550</v>
      </c>
      <c r="Q222">
        <v>1.17443261901338</v>
      </c>
      <c r="R222">
        <v>15.7546837790812</v>
      </c>
      <c r="S222">
        <v>0.24910110743563901</v>
      </c>
      <c r="T222">
        <v>0.134697252984323</v>
      </c>
      <c r="U222">
        <v>1958</v>
      </c>
      <c r="V222">
        <v>66</v>
      </c>
      <c r="W222">
        <v>0</v>
      </c>
      <c r="X222" t="s">
        <v>975</v>
      </c>
      <c r="Y222" t="s">
        <v>1553</v>
      </c>
      <c r="Z222" t="s">
        <v>2141</v>
      </c>
    </row>
    <row r="223" spans="1:26" ht="15" customHeight="1" x14ac:dyDescent="0.3">
      <c r="A223">
        <v>265</v>
      </c>
      <c r="B223">
        <v>53</v>
      </c>
      <c r="C223" t="s">
        <v>972</v>
      </c>
      <c r="D223" t="s">
        <v>973</v>
      </c>
      <c r="E223" t="s">
        <v>709</v>
      </c>
      <c r="F223">
        <v>2025</v>
      </c>
      <c r="G223">
        <v>1</v>
      </c>
      <c r="H223">
        <v>0</v>
      </c>
      <c r="I223">
        <v>28.75</v>
      </c>
      <c r="J223">
        <v>10</v>
      </c>
      <c r="K223">
        <v>7943000000</v>
      </c>
      <c r="L223">
        <v>1.33</v>
      </c>
      <c r="M223">
        <v>10564190</v>
      </c>
      <c r="N223">
        <v>1573000</v>
      </c>
      <c r="O223">
        <v>7415000</v>
      </c>
      <c r="P223">
        <v>353300</v>
      </c>
      <c r="Q223">
        <v>1.6368428860418101</v>
      </c>
      <c r="R223">
        <v>15.8190155335542</v>
      </c>
      <c r="S223">
        <v>0.212137559002023</v>
      </c>
      <c r="T223">
        <v>4.7646662171274397E-2</v>
      </c>
      <c r="U223">
        <v>1958</v>
      </c>
      <c r="V223">
        <v>67</v>
      </c>
      <c r="W223">
        <v>0</v>
      </c>
      <c r="X223" t="s">
        <v>975</v>
      </c>
      <c r="Y223" t="s">
        <v>1554</v>
      </c>
      <c r="Z223" t="s">
        <v>2141</v>
      </c>
    </row>
    <row r="224" spans="1:26" ht="15" customHeight="1" x14ac:dyDescent="0.3">
      <c r="A224">
        <v>266</v>
      </c>
      <c r="B224">
        <v>54</v>
      </c>
      <c r="C224" t="s">
        <v>977</v>
      </c>
      <c r="D224" t="s">
        <v>978</v>
      </c>
      <c r="E224" t="s">
        <v>806</v>
      </c>
      <c r="F224">
        <v>2021</v>
      </c>
      <c r="G224">
        <v>0</v>
      </c>
      <c r="H224">
        <v>0</v>
      </c>
      <c r="I224">
        <v>50</v>
      </c>
      <c r="J224">
        <v>0</v>
      </c>
      <c r="K224">
        <v>2190382819</v>
      </c>
      <c r="L224">
        <v>39</v>
      </c>
      <c r="M224">
        <v>85424929.941</v>
      </c>
      <c r="N224">
        <v>95119950</v>
      </c>
      <c r="O224">
        <v>169406525</v>
      </c>
      <c r="P224">
        <v>1255338</v>
      </c>
      <c r="Q224">
        <v>1.0657492675739599</v>
      </c>
      <c r="R224">
        <v>18.947811857740302</v>
      </c>
      <c r="S224">
        <v>0.56148929328430497</v>
      </c>
      <c r="T224">
        <v>7.4102104390607196E-3</v>
      </c>
      <c r="U224">
        <v>1950</v>
      </c>
      <c r="V224">
        <v>71</v>
      </c>
      <c r="W224">
        <v>1</v>
      </c>
      <c r="X224" t="s">
        <v>711</v>
      </c>
      <c r="Y224" t="s">
        <v>1555</v>
      </c>
      <c r="Z224" t="s">
        <v>2141</v>
      </c>
    </row>
    <row r="225" spans="1:26" ht="15" customHeight="1" x14ac:dyDescent="0.3">
      <c r="A225">
        <v>267</v>
      </c>
      <c r="B225">
        <v>54</v>
      </c>
      <c r="C225" t="s">
        <v>977</v>
      </c>
      <c r="D225" t="s">
        <v>978</v>
      </c>
      <c r="E225" t="s">
        <v>806</v>
      </c>
      <c r="F225">
        <v>2022</v>
      </c>
      <c r="G225">
        <v>0</v>
      </c>
      <c r="H225">
        <v>0</v>
      </c>
      <c r="I225">
        <v>5</v>
      </c>
      <c r="J225">
        <v>0</v>
      </c>
      <c r="K225">
        <v>2190382819</v>
      </c>
      <c r="L225">
        <v>69.3</v>
      </c>
      <c r="M225">
        <v>151793529.3567</v>
      </c>
      <c r="N225">
        <v>125681000</v>
      </c>
      <c r="O225">
        <v>215660000</v>
      </c>
      <c r="P225">
        <v>15651000</v>
      </c>
      <c r="Q225">
        <v>1.2866295527993099</v>
      </c>
      <c r="R225">
        <v>19.1892136514182</v>
      </c>
      <c r="S225">
        <v>0.58277381062783995</v>
      </c>
      <c r="T225">
        <v>7.2572567931002502E-2</v>
      </c>
      <c r="U225">
        <v>1950</v>
      </c>
      <c r="V225">
        <v>72</v>
      </c>
      <c r="W225">
        <v>1</v>
      </c>
      <c r="X225" t="s">
        <v>711</v>
      </c>
      <c r="Y225" t="s">
        <v>1556</v>
      </c>
      <c r="Z225" t="s">
        <v>2141</v>
      </c>
    </row>
    <row r="226" spans="1:26" ht="15" customHeight="1" x14ac:dyDescent="0.3">
      <c r="A226">
        <v>268</v>
      </c>
      <c r="B226">
        <v>54</v>
      </c>
      <c r="C226" t="s">
        <v>977</v>
      </c>
      <c r="D226" t="s">
        <v>978</v>
      </c>
      <c r="E226" t="s">
        <v>806</v>
      </c>
      <c r="F226">
        <v>2023</v>
      </c>
      <c r="G226">
        <v>1</v>
      </c>
      <c r="H226">
        <v>0</v>
      </c>
      <c r="I226">
        <v>10</v>
      </c>
      <c r="J226">
        <v>6.6666666666666696</v>
      </c>
      <c r="K226">
        <v>2190382819</v>
      </c>
      <c r="L226">
        <v>66</v>
      </c>
      <c r="M226">
        <v>144565266.05399999</v>
      </c>
      <c r="N226">
        <v>185324000</v>
      </c>
      <c r="O226">
        <v>241748000</v>
      </c>
      <c r="P226">
        <v>-18168000</v>
      </c>
      <c r="Q226">
        <v>1.36459977354104</v>
      </c>
      <c r="R226">
        <v>19.303406419254198</v>
      </c>
      <c r="S226">
        <v>0.76659993050614705</v>
      </c>
      <c r="T226">
        <v>-7.5152638284494602E-2</v>
      </c>
      <c r="U226">
        <v>1950</v>
      </c>
      <c r="V226">
        <v>73</v>
      </c>
      <c r="W226">
        <v>1</v>
      </c>
      <c r="X226" t="s">
        <v>711</v>
      </c>
      <c r="Y226" t="s">
        <v>1557</v>
      </c>
      <c r="Z226" t="s">
        <v>2141</v>
      </c>
    </row>
    <row r="227" spans="1:26" ht="15" customHeight="1" x14ac:dyDescent="0.3">
      <c r="A227">
        <v>269</v>
      </c>
      <c r="B227">
        <v>54</v>
      </c>
      <c r="C227" t="s">
        <v>977</v>
      </c>
      <c r="D227" t="s">
        <v>978</v>
      </c>
      <c r="E227" t="s">
        <v>806</v>
      </c>
      <c r="F227">
        <v>2024</v>
      </c>
      <c r="G227">
        <v>1</v>
      </c>
      <c r="H227">
        <v>0</v>
      </c>
      <c r="I227">
        <v>5</v>
      </c>
      <c r="J227">
        <v>0</v>
      </c>
      <c r="K227">
        <v>2190382819</v>
      </c>
      <c r="L227">
        <v>70.25</v>
      </c>
      <c r="M227">
        <v>153874393.03475001</v>
      </c>
      <c r="N227">
        <v>223969000</v>
      </c>
      <c r="O227">
        <v>226130000</v>
      </c>
      <c r="P227">
        <v>-54767000</v>
      </c>
      <c r="Q227">
        <v>1.67091227627803</v>
      </c>
      <c r="R227">
        <v>19.236620613099198</v>
      </c>
      <c r="S227">
        <v>0.99044355017025598</v>
      </c>
      <c r="T227">
        <v>-0.242192544111794</v>
      </c>
      <c r="U227">
        <v>1950</v>
      </c>
      <c r="V227">
        <v>74</v>
      </c>
      <c r="W227">
        <v>1</v>
      </c>
      <c r="X227" t="s">
        <v>711</v>
      </c>
      <c r="Y227" t="s">
        <v>1558</v>
      </c>
      <c r="Z227" t="s">
        <v>2141</v>
      </c>
    </row>
    <row r="228" spans="1:26" ht="15" customHeight="1" x14ac:dyDescent="0.3">
      <c r="A228">
        <v>270</v>
      </c>
      <c r="B228">
        <v>54</v>
      </c>
      <c r="C228" t="s">
        <v>977</v>
      </c>
      <c r="D228" t="s">
        <v>978</v>
      </c>
      <c r="E228" t="s">
        <v>806</v>
      </c>
      <c r="F228">
        <v>2025</v>
      </c>
      <c r="G228">
        <v>1</v>
      </c>
      <c r="H228">
        <v>1</v>
      </c>
      <c r="I228">
        <v>5</v>
      </c>
      <c r="J228">
        <v>6.6666666666666696</v>
      </c>
      <c r="K228">
        <v>2190382819</v>
      </c>
      <c r="L228">
        <v>349.87</v>
      </c>
      <c r="M228">
        <v>766349236.88353002</v>
      </c>
      <c r="N228">
        <v>255145000</v>
      </c>
      <c r="O228">
        <v>273510000</v>
      </c>
      <c r="P228">
        <v>6885000</v>
      </c>
      <c r="Q228">
        <v>3.7347601070656702</v>
      </c>
      <c r="R228">
        <v>19.4268487422292</v>
      </c>
      <c r="S228">
        <v>0.93285437461153198</v>
      </c>
      <c r="T228">
        <v>2.5172754195459002E-2</v>
      </c>
      <c r="U228">
        <v>1950</v>
      </c>
      <c r="V228">
        <v>75</v>
      </c>
      <c r="W228">
        <v>1</v>
      </c>
      <c r="X228" t="s">
        <v>711</v>
      </c>
      <c r="Y228" t="s">
        <v>1559</v>
      </c>
      <c r="Z228" t="s">
        <v>2141</v>
      </c>
    </row>
    <row r="229" spans="1:26" ht="15" customHeight="1" x14ac:dyDescent="0.3">
      <c r="A229">
        <v>271</v>
      </c>
      <c r="B229">
        <v>55</v>
      </c>
      <c r="C229" t="s">
        <v>981</v>
      </c>
      <c r="D229" t="s">
        <v>982</v>
      </c>
      <c r="E229" t="s">
        <v>772</v>
      </c>
      <c r="F229">
        <v>2021</v>
      </c>
      <c r="G229">
        <v>0</v>
      </c>
      <c r="H229">
        <v>0</v>
      </c>
      <c r="I229">
        <v>20</v>
      </c>
      <c r="J229">
        <v>26.6666666666667</v>
      </c>
      <c r="K229">
        <v>16108000000</v>
      </c>
      <c r="L229">
        <v>23.95</v>
      </c>
      <c r="M229">
        <v>385786600</v>
      </c>
      <c r="N229">
        <v>148278000</v>
      </c>
      <c r="O229">
        <v>526838000</v>
      </c>
      <c r="P229">
        <v>51004000</v>
      </c>
      <c r="Q229">
        <v>1.0137169300619899</v>
      </c>
      <c r="R229">
        <v>20.082403658868898</v>
      </c>
      <c r="S229">
        <v>0.281448946355426</v>
      </c>
      <c r="T229">
        <v>9.6811543586453497E-2</v>
      </c>
      <c r="U229">
        <v>1959</v>
      </c>
      <c r="V229">
        <v>62</v>
      </c>
      <c r="W229">
        <v>1</v>
      </c>
      <c r="X229" t="s">
        <v>722</v>
      </c>
      <c r="Y229" t="s">
        <v>1560</v>
      </c>
      <c r="Z229" t="s">
        <v>2141</v>
      </c>
    </row>
    <row r="230" spans="1:26" ht="15" customHeight="1" x14ac:dyDescent="0.3">
      <c r="A230">
        <v>272</v>
      </c>
      <c r="B230">
        <v>55</v>
      </c>
      <c r="C230" t="s">
        <v>981</v>
      </c>
      <c r="D230" t="s">
        <v>982</v>
      </c>
      <c r="E230" t="s">
        <v>772</v>
      </c>
      <c r="F230">
        <v>2022</v>
      </c>
      <c r="G230">
        <v>0</v>
      </c>
      <c r="H230">
        <v>0</v>
      </c>
      <c r="I230">
        <v>55</v>
      </c>
      <c r="J230">
        <v>26.6666666666667</v>
      </c>
      <c r="K230">
        <v>16108000000</v>
      </c>
      <c r="L230">
        <v>24</v>
      </c>
      <c r="M230">
        <v>386592000</v>
      </c>
      <c r="N230">
        <v>184609000</v>
      </c>
      <c r="O230">
        <v>600711000</v>
      </c>
      <c r="P230">
        <v>53647000</v>
      </c>
      <c r="Q230">
        <v>0.95087487993394504</v>
      </c>
      <c r="R230">
        <v>20.2136245116221</v>
      </c>
      <c r="S230">
        <v>0.30731749543457698</v>
      </c>
      <c r="T230">
        <v>8.9305839247158805E-2</v>
      </c>
      <c r="U230">
        <v>1959</v>
      </c>
      <c r="V230">
        <v>63</v>
      </c>
      <c r="W230">
        <v>1</v>
      </c>
      <c r="X230" t="s">
        <v>722</v>
      </c>
      <c r="Y230" t="s">
        <v>1560</v>
      </c>
      <c r="Z230" t="s">
        <v>2141</v>
      </c>
    </row>
    <row r="231" spans="1:26" ht="15" customHeight="1" x14ac:dyDescent="0.3">
      <c r="A231">
        <v>273</v>
      </c>
      <c r="B231">
        <v>55</v>
      </c>
      <c r="C231" t="s">
        <v>981</v>
      </c>
      <c r="D231" t="s">
        <v>982</v>
      </c>
      <c r="E231" t="s">
        <v>772</v>
      </c>
      <c r="F231">
        <v>2023</v>
      </c>
      <c r="G231">
        <v>1</v>
      </c>
      <c r="H231">
        <v>0</v>
      </c>
      <c r="I231">
        <v>65</v>
      </c>
      <c r="J231">
        <v>53.3333333333333</v>
      </c>
      <c r="K231">
        <v>16108000000</v>
      </c>
      <c r="L231">
        <v>31.5</v>
      </c>
      <c r="M231">
        <v>507402000</v>
      </c>
      <c r="N231">
        <v>246320000</v>
      </c>
      <c r="O231">
        <v>681372000</v>
      </c>
      <c r="P231">
        <v>51141000</v>
      </c>
      <c r="Q231">
        <v>1.10618281937033</v>
      </c>
      <c r="R231">
        <v>20.339618970477201</v>
      </c>
      <c r="S231">
        <v>0.36150590279612299</v>
      </c>
      <c r="T231">
        <v>7.5055916591817706E-2</v>
      </c>
      <c r="U231">
        <v>1959</v>
      </c>
      <c r="V231">
        <v>64</v>
      </c>
      <c r="W231">
        <v>1</v>
      </c>
      <c r="X231" t="s">
        <v>722</v>
      </c>
      <c r="Y231" t="s">
        <v>1560</v>
      </c>
      <c r="Z231" t="s">
        <v>2141</v>
      </c>
    </row>
    <row r="232" spans="1:26" ht="15" customHeight="1" x14ac:dyDescent="0.3">
      <c r="A232">
        <v>274</v>
      </c>
      <c r="B232">
        <v>55</v>
      </c>
      <c r="C232" t="s">
        <v>981</v>
      </c>
      <c r="D232" t="s">
        <v>982</v>
      </c>
      <c r="E232" t="s">
        <v>772</v>
      </c>
      <c r="F232">
        <v>2024</v>
      </c>
      <c r="G232">
        <v>1</v>
      </c>
      <c r="H232">
        <v>0</v>
      </c>
      <c r="I232">
        <v>46.666699999999999</v>
      </c>
      <c r="J232">
        <v>35.555599999999998</v>
      </c>
      <c r="K232">
        <v>16108000000</v>
      </c>
      <c r="L232">
        <v>70.150000000000006</v>
      </c>
      <c r="M232">
        <v>1129976200</v>
      </c>
      <c r="N232">
        <v>485869000</v>
      </c>
      <c r="O232">
        <v>990510000</v>
      </c>
      <c r="P232">
        <v>100145000</v>
      </c>
      <c r="Q232">
        <v>1.6313264883746801</v>
      </c>
      <c r="R232">
        <v>20.7137305199631</v>
      </c>
      <c r="S232">
        <v>0.49052407345710802</v>
      </c>
      <c r="T232">
        <v>0.101104481529717</v>
      </c>
      <c r="U232">
        <v>1959</v>
      </c>
      <c r="V232">
        <v>65</v>
      </c>
      <c r="W232">
        <v>1</v>
      </c>
      <c r="X232" t="s">
        <v>722</v>
      </c>
      <c r="Y232" t="s">
        <v>1561</v>
      </c>
      <c r="Z232" t="s">
        <v>2141</v>
      </c>
    </row>
    <row r="233" spans="1:26" ht="15" customHeight="1" x14ac:dyDescent="0.3">
      <c r="A233">
        <v>275</v>
      </c>
      <c r="B233">
        <v>55</v>
      </c>
      <c r="C233" t="s">
        <v>981</v>
      </c>
      <c r="D233" t="s">
        <v>982</v>
      </c>
      <c r="E233" t="s">
        <v>772</v>
      </c>
      <c r="F233">
        <v>2025</v>
      </c>
      <c r="G233">
        <v>1</v>
      </c>
      <c r="H233">
        <v>0</v>
      </c>
      <c r="I233">
        <v>46.666699999999999</v>
      </c>
      <c r="J233">
        <v>35.555599999999998</v>
      </c>
      <c r="K233">
        <v>16108000000</v>
      </c>
      <c r="L233">
        <v>134.71</v>
      </c>
      <c r="M233">
        <v>2169908680</v>
      </c>
      <c r="N233">
        <v>514029000</v>
      </c>
      <c r="O233">
        <v>1208024000</v>
      </c>
      <c r="P233">
        <v>273120000</v>
      </c>
      <c r="Q233">
        <v>2.2217585743329602</v>
      </c>
      <c r="R233">
        <v>20.912251803811301</v>
      </c>
      <c r="S233">
        <v>0.42551224147864602</v>
      </c>
      <c r="T233">
        <v>0.22608822341278001</v>
      </c>
      <c r="U233">
        <v>1959</v>
      </c>
      <c r="V233">
        <v>66</v>
      </c>
      <c r="W233">
        <v>1</v>
      </c>
      <c r="X233" t="s">
        <v>722</v>
      </c>
      <c r="Y233" t="s">
        <v>1561</v>
      </c>
      <c r="Z233" t="s">
        <v>2141</v>
      </c>
    </row>
    <row r="234" spans="1:26" ht="15" customHeight="1" x14ac:dyDescent="0.3">
      <c r="A234">
        <v>279</v>
      </c>
      <c r="B234">
        <v>56</v>
      </c>
      <c r="C234" t="s">
        <v>985</v>
      </c>
      <c r="D234" t="s">
        <v>986</v>
      </c>
      <c r="E234" t="s">
        <v>780</v>
      </c>
      <c r="F234">
        <v>2024</v>
      </c>
      <c r="G234">
        <v>1</v>
      </c>
      <c r="H234">
        <v>0</v>
      </c>
      <c r="I234">
        <v>0</v>
      </c>
      <c r="J234">
        <v>0</v>
      </c>
      <c r="K234">
        <v>3122000000</v>
      </c>
      <c r="L234">
        <v>4.78</v>
      </c>
      <c r="M234">
        <v>14923160</v>
      </c>
      <c r="N234">
        <v>5338909</v>
      </c>
      <c r="O234">
        <v>21994814</v>
      </c>
      <c r="P234">
        <v>679625</v>
      </c>
      <c r="Q234">
        <v>0.92122029311091302</v>
      </c>
      <c r="R234">
        <v>16.906317256261801</v>
      </c>
      <c r="S234">
        <v>0.24273490105440301</v>
      </c>
      <c r="T234">
        <v>3.0899329269163198E-2</v>
      </c>
      <c r="U234">
        <v>2012</v>
      </c>
      <c r="V234">
        <v>12</v>
      </c>
      <c r="W234">
        <v>0</v>
      </c>
      <c r="X234" t="s">
        <v>988</v>
      </c>
      <c r="Y234" t="s">
        <v>1562</v>
      </c>
      <c r="Z234" t="s">
        <v>2141</v>
      </c>
    </row>
    <row r="235" spans="1:26" ht="15" customHeight="1" x14ac:dyDescent="0.3">
      <c r="A235">
        <v>280</v>
      </c>
      <c r="B235">
        <v>56</v>
      </c>
      <c r="C235" t="s">
        <v>985</v>
      </c>
      <c r="D235" t="s">
        <v>986</v>
      </c>
      <c r="E235" t="s">
        <v>780</v>
      </c>
      <c r="F235">
        <v>2025</v>
      </c>
      <c r="G235">
        <v>1</v>
      </c>
      <c r="H235">
        <v>0</v>
      </c>
      <c r="I235">
        <v>0</v>
      </c>
      <c r="J235">
        <v>0</v>
      </c>
      <c r="K235">
        <v>3122000000</v>
      </c>
      <c r="L235">
        <v>4</v>
      </c>
      <c r="M235">
        <v>12488000</v>
      </c>
      <c r="N235">
        <v>4680000</v>
      </c>
      <c r="O235">
        <v>21830000</v>
      </c>
      <c r="P235">
        <v>642461</v>
      </c>
      <c r="Q235">
        <v>0.78644067796610195</v>
      </c>
      <c r="R235">
        <v>16.8987957285261</v>
      </c>
      <c r="S235">
        <v>0.21438387540082501</v>
      </c>
      <c r="T235">
        <v>2.94301878149336E-2</v>
      </c>
      <c r="U235">
        <v>2012</v>
      </c>
      <c r="V235">
        <v>13</v>
      </c>
      <c r="W235">
        <v>0</v>
      </c>
      <c r="X235" t="s">
        <v>988</v>
      </c>
      <c r="Y235" t="s">
        <v>1563</v>
      </c>
      <c r="Z235" t="s">
        <v>2141</v>
      </c>
    </row>
    <row r="236" spans="1:26" ht="15" customHeight="1" x14ac:dyDescent="0.3">
      <c r="A236">
        <v>281</v>
      </c>
      <c r="B236">
        <v>57</v>
      </c>
      <c r="C236" t="s">
        <v>990</v>
      </c>
      <c r="D236" t="s">
        <v>991</v>
      </c>
      <c r="E236" t="s">
        <v>806</v>
      </c>
      <c r="F236">
        <v>2021</v>
      </c>
      <c r="G236">
        <v>0</v>
      </c>
      <c r="H236">
        <v>0</v>
      </c>
      <c r="I236">
        <v>0</v>
      </c>
      <c r="J236">
        <v>0</v>
      </c>
      <c r="K236">
        <v>7930198000</v>
      </c>
      <c r="L236">
        <v>3.4</v>
      </c>
      <c r="M236">
        <v>26962673.199999999</v>
      </c>
      <c r="N236">
        <v>89425978</v>
      </c>
      <c r="O236">
        <v>147394656</v>
      </c>
      <c r="P236">
        <v>1125864</v>
      </c>
      <c r="Q236">
        <v>0.78963955925240603</v>
      </c>
      <c r="R236">
        <v>18.808624281974101</v>
      </c>
      <c r="S236">
        <v>0.60671112798010796</v>
      </c>
      <c r="T236">
        <v>7.6384316131515697E-3</v>
      </c>
      <c r="U236">
        <v>1983</v>
      </c>
      <c r="V236">
        <v>38</v>
      </c>
      <c r="W236">
        <v>0</v>
      </c>
      <c r="X236" t="s">
        <v>993</v>
      </c>
      <c r="Y236" t="s">
        <v>1564</v>
      </c>
      <c r="Z236" t="s">
        <v>2141</v>
      </c>
    </row>
    <row r="237" spans="1:26" ht="15" customHeight="1" x14ac:dyDescent="0.3">
      <c r="A237">
        <v>282</v>
      </c>
      <c r="B237">
        <v>57</v>
      </c>
      <c r="C237" t="s">
        <v>990</v>
      </c>
      <c r="D237" t="s">
        <v>991</v>
      </c>
      <c r="E237" t="s">
        <v>806</v>
      </c>
      <c r="F237">
        <v>2022</v>
      </c>
      <c r="G237">
        <v>0</v>
      </c>
      <c r="H237">
        <v>0</v>
      </c>
      <c r="I237">
        <v>0</v>
      </c>
      <c r="J237">
        <v>0</v>
      </c>
      <c r="K237">
        <v>7930000000</v>
      </c>
      <c r="L237">
        <v>2.34</v>
      </c>
      <c r="M237">
        <v>18556200</v>
      </c>
      <c r="N237">
        <v>103248000</v>
      </c>
      <c r="O237">
        <v>148696000</v>
      </c>
      <c r="P237">
        <v>-9758000</v>
      </c>
      <c r="Q237">
        <v>0.81914913649324805</v>
      </c>
      <c r="R237">
        <v>18.8174145112703</v>
      </c>
      <c r="S237">
        <v>0.69435627051164805</v>
      </c>
      <c r="T237">
        <v>-6.5623823102168202E-2</v>
      </c>
      <c r="U237">
        <v>1983</v>
      </c>
      <c r="V237">
        <v>39</v>
      </c>
      <c r="W237">
        <v>0</v>
      </c>
      <c r="X237" t="s">
        <v>993</v>
      </c>
      <c r="Y237" t="s">
        <v>1565</v>
      </c>
      <c r="Z237" t="s">
        <v>2141</v>
      </c>
    </row>
    <row r="238" spans="1:26" ht="15" customHeight="1" x14ac:dyDescent="0.3">
      <c r="A238">
        <v>283</v>
      </c>
      <c r="B238">
        <v>57</v>
      </c>
      <c r="C238" t="s">
        <v>990</v>
      </c>
      <c r="D238" t="s">
        <v>991</v>
      </c>
      <c r="E238" t="s">
        <v>806</v>
      </c>
      <c r="F238">
        <v>2023</v>
      </c>
      <c r="G238">
        <v>1</v>
      </c>
      <c r="H238">
        <v>0</v>
      </c>
      <c r="I238">
        <v>0</v>
      </c>
      <c r="J238">
        <v>0</v>
      </c>
      <c r="K238">
        <v>7930000000</v>
      </c>
      <c r="L238">
        <v>3.32</v>
      </c>
      <c r="M238">
        <v>26327600</v>
      </c>
      <c r="N238">
        <v>132024000</v>
      </c>
      <c r="O238">
        <v>165000000</v>
      </c>
      <c r="P238">
        <v>256110</v>
      </c>
      <c r="Q238">
        <v>0.95970666666666704</v>
      </c>
      <c r="R238">
        <v>18.921456031864899</v>
      </c>
      <c r="S238">
        <v>0.80014545454545505</v>
      </c>
      <c r="T238">
        <v>1.55218181818182E-3</v>
      </c>
      <c r="U238">
        <v>1983</v>
      </c>
      <c r="V238">
        <v>40</v>
      </c>
      <c r="W238">
        <v>0</v>
      </c>
      <c r="X238" t="s">
        <v>993</v>
      </c>
      <c r="Y238" t="s">
        <v>1566</v>
      </c>
      <c r="Z238" t="s">
        <v>2141</v>
      </c>
    </row>
    <row r="239" spans="1:26" ht="15" customHeight="1" x14ac:dyDescent="0.3">
      <c r="A239">
        <v>284</v>
      </c>
      <c r="B239">
        <v>57</v>
      </c>
      <c r="C239" t="s">
        <v>990</v>
      </c>
      <c r="D239" t="s">
        <v>991</v>
      </c>
      <c r="E239" t="s">
        <v>806</v>
      </c>
      <c r="F239">
        <v>2024</v>
      </c>
      <c r="G239">
        <v>1</v>
      </c>
      <c r="H239">
        <v>0</v>
      </c>
      <c r="I239">
        <v>0</v>
      </c>
      <c r="J239">
        <v>0</v>
      </c>
      <c r="K239">
        <v>7930000000</v>
      </c>
      <c r="L239">
        <v>6.3</v>
      </c>
      <c r="M239">
        <v>49959000</v>
      </c>
      <c r="N239">
        <v>126109000</v>
      </c>
      <c r="O239">
        <v>148966000</v>
      </c>
      <c r="P239">
        <v>-10120000</v>
      </c>
      <c r="Q239">
        <v>1.1819341326208701</v>
      </c>
      <c r="R239">
        <v>18.819228649951398</v>
      </c>
      <c r="S239">
        <v>0.84656230280735201</v>
      </c>
      <c r="T239">
        <v>-6.7934965025576305E-2</v>
      </c>
      <c r="U239">
        <v>1983</v>
      </c>
      <c r="V239">
        <v>41</v>
      </c>
      <c r="W239">
        <v>1</v>
      </c>
      <c r="X239" t="s">
        <v>993</v>
      </c>
      <c r="Y239" t="s">
        <v>1567</v>
      </c>
      <c r="Z239" t="s">
        <v>2141</v>
      </c>
    </row>
    <row r="240" spans="1:26" ht="15" customHeight="1" x14ac:dyDescent="0.3">
      <c r="A240">
        <v>285</v>
      </c>
      <c r="B240">
        <v>57</v>
      </c>
      <c r="C240" t="s">
        <v>990</v>
      </c>
      <c r="D240" t="s">
        <v>991</v>
      </c>
      <c r="E240" t="s">
        <v>806</v>
      </c>
      <c r="F240">
        <v>2025</v>
      </c>
      <c r="G240">
        <v>1</v>
      </c>
      <c r="H240">
        <v>0</v>
      </c>
      <c r="I240">
        <v>0</v>
      </c>
      <c r="J240">
        <v>0</v>
      </c>
      <c r="K240">
        <v>7930000000</v>
      </c>
      <c r="L240">
        <v>21.9</v>
      </c>
      <c r="M240">
        <v>173667000</v>
      </c>
      <c r="N240">
        <v>130001000</v>
      </c>
      <c r="O240">
        <v>167446000</v>
      </c>
      <c r="P240">
        <v>14589000</v>
      </c>
      <c r="Q240">
        <v>1.81352794333696</v>
      </c>
      <c r="R240">
        <v>18.9361714691915</v>
      </c>
      <c r="S240">
        <v>0.77637566737933394</v>
      </c>
      <c r="T240">
        <v>8.7126596036931306E-2</v>
      </c>
      <c r="U240">
        <v>1983</v>
      </c>
      <c r="V240">
        <v>42</v>
      </c>
      <c r="W240">
        <v>1</v>
      </c>
      <c r="X240" t="s">
        <v>993</v>
      </c>
      <c r="Y240" t="s">
        <v>1568</v>
      </c>
      <c r="Z240" t="s">
        <v>2141</v>
      </c>
    </row>
    <row r="241" spans="1:26" ht="15" customHeight="1" x14ac:dyDescent="0.3">
      <c r="A241">
        <v>286</v>
      </c>
      <c r="B241">
        <v>58</v>
      </c>
      <c r="C241" t="s">
        <v>995</v>
      </c>
      <c r="D241" t="s">
        <v>996</v>
      </c>
      <c r="E241" t="s">
        <v>715</v>
      </c>
      <c r="F241">
        <v>2021</v>
      </c>
      <c r="G241">
        <v>0</v>
      </c>
      <c r="H241">
        <v>0</v>
      </c>
      <c r="I241">
        <v>0</v>
      </c>
      <c r="J241">
        <v>0</v>
      </c>
      <c r="K241">
        <v>2079000000</v>
      </c>
      <c r="L241">
        <v>1.22</v>
      </c>
      <c r="M241">
        <v>2536380</v>
      </c>
      <c r="N241">
        <v>23086000</v>
      </c>
      <c r="O241">
        <v>43848000</v>
      </c>
      <c r="P241">
        <v>17750</v>
      </c>
      <c r="Q241">
        <v>0.58434546615581096</v>
      </c>
      <c r="R241">
        <v>17.596239665708101</v>
      </c>
      <c r="S241">
        <v>0.52650063856960405</v>
      </c>
      <c r="T241">
        <v>4.0480751687648202E-4</v>
      </c>
      <c r="U241">
        <v>1972</v>
      </c>
      <c r="V241">
        <v>49</v>
      </c>
      <c r="W241">
        <v>0</v>
      </c>
      <c r="X241" t="s">
        <v>998</v>
      </c>
      <c r="Y241" t="s">
        <v>1569</v>
      </c>
      <c r="Z241" t="s">
        <v>2141</v>
      </c>
    </row>
    <row r="242" spans="1:26" ht="15" customHeight="1" x14ac:dyDescent="0.3">
      <c r="A242">
        <v>287</v>
      </c>
      <c r="B242">
        <v>58</v>
      </c>
      <c r="C242" t="s">
        <v>995</v>
      </c>
      <c r="D242" t="s">
        <v>996</v>
      </c>
      <c r="E242" t="s">
        <v>715</v>
      </c>
      <c r="F242">
        <v>2022</v>
      </c>
      <c r="G242">
        <v>0</v>
      </c>
      <c r="H242">
        <v>0</v>
      </c>
      <c r="I242">
        <v>0</v>
      </c>
      <c r="J242">
        <v>0</v>
      </c>
      <c r="K242">
        <v>2079000000</v>
      </c>
      <c r="L242">
        <v>1.05</v>
      </c>
      <c r="M242">
        <v>2182950</v>
      </c>
      <c r="N242">
        <v>22081000</v>
      </c>
      <c r="O242">
        <v>29864000</v>
      </c>
      <c r="P242">
        <v>-3954000</v>
      </c>
      <c r="Q242">
        <v>0.81248158317706898</v>
      </c>
      <c r="R242">
        <v>17.2121642995766</v>
      </c>
      <c r="S242">
        <v>0.73938521296544302</v>
      </c>
      <c r="T242">
        <v>-0.132400214304849</v>
      </c>
      <c r="U242">
        <v>1972</v>
      </c>
      <c r="V242">
        <v>50</v>
      </c>
      <c r="W242">
        <v>0</v>
      </c>
      <c r="X242" t="s">
        <v>998</v>
      </c>
      <c r="Y242" t="s">
        <v>1569</v>
      </c>
      <c r="Z242" t="s">
        <v>2141</v>
      </c>
    </row>
    <row r="243" spans="1:26" ht="15" customHeight="1" x14ac:dyDescent="0.3">
      <c r="A243">
        <v>288</v>
      </c>
      <c r="B243">
        <v>58</v>
      </c>
      <c r="C243" t="s">
        <v>995</v>
      </c>
      <c r="D243" t="s">
        <v>996</v>
      </c>
      <c r="E243" t="s">
        <v>715</v>
      </c>
      <c r="F243">
        <v>2023</v>
      </c>
      <c r="G243">
        <v>1</v>
      </c>
      <c r="H243">
        <v>0</v>
      </c>
      <c r="I243">
        <v>0</v>
      </c>
      <c r="J243">
        <v>0</v>
      </c>
      <c r="K243">
        <v>2162000000</v>
      </c>
      <c r="L243">
        <v>7.69</v>
      </c>
      <c r="M243">
        <v>16625780</v>
      </c>
      <c r="N243">
        <v>36174000</v>
      </c>
      <c r="O243">
        <v>59760000</v>
      </c>
      <c r="P243">
        <v>2003000</v>
      </c>
      <c r="Q243">
        <v>0.88353045515394901</v>
      </c>
      <c r="R243">
        <v>17.905847098788801</v>
      </c>
      <c r="S243">
        <v>0.60532128514056205</v>
      </c>
      <c r="T243">
        <v>3.3517402945113801E-2</v>
      </c>
      <c r="U243">
        <v>1972</v>
      </c>
      <c r="V243">
        <v>51</v>
      </c>
      <c r="W243">
        <v>0</v>
      </c>
      <c r="X243" t="s">
        <v>998</v>
      </c>
      <c r="Y243" t="s">
        <v>1569</v>
      </c>
      <c r="Z243" t="s">
        <v>2141</v>
      </c>
    </row>
    <row r="244" spans="1:26" ht="15" customHeight="1" x14ac:dyDescent="0.3">
      <c r="A244">
        <v>289</v>
      </c>
      <c r="B244">
        <v>58</v>
      </c>
      <c r="C244" t="s">
        <v>995</v>
      </c>
      <c r="D244" t="s">
        <v>996</v>
      </c>
      <c r="E244" t="s">
        <v>715</v>
      </c>
      <c r="F244">
        <v>2024</v>
      </c>
      <c r="G244">
        <v>1</v>
      </c>
      <c r="H244">
        <v>0</v>
      </c>
      <c r="I244">
        <v>0</v>
      </c>
      <c r="J244">
        <v>0</v>
      </c>
      <c r="K244">
        <v>2162000000</v>
      </c>
      <c r="L244">
        <v>11.25</v>
      </c>
      <c r="M244">
        <v>24322500</v>
      </c>
      <c r="N244">
        <v>53116000</v>
      </c>
      <c r="O244">
        <v>83671000</v>
      </c>
      <c r="P244">
        <v>7088000</v>
      </c>
      <c r="Q244">
        <v>0.92551182608072102</v>
      </c>
      <c r="R244">
        <v>18.242402999915399</v>
      </c>
      <c r="S244">
        <v>0.63481971053292097</v>
      </c>
      <c r="T244">
        <v>8.4712743961468107E-2</v>
      </c>
      <c r="U244">
        <v>1972</v>
      </c>
      <c r="V244">
        <v>52</v>
      </c>
      <c r="W244">
        <v>0</v>
      </c>
      <c r="X244" t="s">
        <v>998</v>
      </c>
      <c r="Y244" t="s">
        <v>1569</v>
      </c>
      <c r="Z244" t="s">
        <v>2141</v>
      </c>
    </row>
    <row r="245" spans="1:26" ht="15" customHeight="1" x14ac:dyDescent="0.3">
      <c r="A245">
        <v>290</v>
      </c>
      <c r="B245">
        <v>58</v>
      </c>
      <c r="C245" t="s">
        <v>995</v>
      </c>
      <c r="D245" t="s">
        <v>996</v>
      </c>
      <c r="E245" t="s">
        <v>715</v>
      </c>
      <c r="F245">
        <v>2025</v>
      </c>
      <c r="G245">
        <v>1</v>
      </c>
      <c r="H245">
        <v>0</v>
      </c>
      <c r="I245">
        <v>0</v>
      </c>
      <c r="J245">
        <v>0</v>
      </c>
      <c r="K245">
        <v>2162000000</v>
      </c>
      <c r="L245">
        <v>41.91</v>
      </c>
      <c r="M245">
        <v>90609420</v>
      </c>
      <c r="N245">
        <v>33199000</v>
      </c>
      <c r="O245">
        <v>77438000</v>
      </c>
      <c r="P245">
        <v>13777000</v>
      </c>
      <c r="Q245">
        <v>1.59880704563651</v>
      </c>
      <c r="R245">
        <v>18.1649881741528</v>
      </c>
      <c r="S245">
        <v>0.42871716728221299</v>
      </c>
      <c r="T245">
        <v>0.17791006999147699</v>
      </c>
      <c r="U245">
        <v>1972</v>
      </c>
      <c r="V245">
        <v>53</v>
      </c>
      <c r="W245">
        <v>0</v>
      </c>
      <c r="X245" t="s">
        <v>998</v>
      </c>
      <c r="Y245" t="s">
        <v>1569</v>
      </c>
      <c r="Z245" t="s">
        <v>2141</v>
      </c>
    </row>
    <row r="246" spans="1:26" ht="15" customHeight="1" x14ac:dyDescent="0.3">
      <c r="A246">
        <v>291</v>
      </c>
      <c r="B246">
        <v>59</v>
      </c>
      <c r="C246" t="s">
        <v>1000</v>
      </c>
      <c r="D246" t="s">
        <v>1001</v>
      </c>
      <c r="E246" t="s">
        <v>758</v>
      </c>
      <c r="F246">
        <v>2021</v>
      </c>
      <c r="G246">
        <v>0</v>
      </c>
      <c r="H246">
        <v>0</v>
      </c>
      <c r="I246">
        <v>0</v>
      </c>
      <c r="J246">
        <v>0</v>
      </c>
      <c r="K246">
        <v>549440000</v>
      </c>
      <c r="L246">
        <v>7.15</v>
      </c>
      <c r="M246">
        <v>3928496</v>
      </c>
      <c r="N246">
        <v>2543000</v>
      </c>
      <c r="O246">
        <v>5596000</v>
      </c>
      <c r="P246">
        <v>372020</v>
      </c>
      <c r="Q246">
        <v>1.1564503216583299</v>
      </c>
      <c r="R246">
        <v>15.5375626147675</v>
      </c>
      <c r="S246">
        <v>0.45443173695496802</v>
      </c>
      <c r="T246">
        <v>6.6479628305932806E-2</v>
      </c>
      <c r="U246">
        <v>1959</v>
      </c>
      <c r="V246">
        <v>62</v>
      </c>
      <c r="W246">
        <v>1</v>
      </c>
      <c r="X246" t="s">
        <v>722</v>
      </c>
      <c r="Y246" t="s">
        <v>1571</v>
      </c>
      <c r="Z246" t="s">
        <v>2141</v>
      </c>
    </row>
    <row r="247" spans="1:26" ht="15" customHeight="1" x14ac:dyDescent="0.3">
      <c r="A247">
        <v>292</v>
      </c>
      <c r="B247">
        <v>59</v>
      </c>
      <c r="C247" t="s">
        <v>1000</v>
      </c>
      <c r="D247" t="s">
        <v>1001</v>
      </c>
      <c r="E247" t="s">
        <v>758</v>
      </c>
      <c r="F247">
        <v>2022</v>
      </c>
      <c r="G247">
        <v>0</v>
      </c>
      <c r="H247">
        <v>0</v>
      </c>
      <c r="I247">
        <v>0</v>
      </c>
      <c r="J247">
        <v>0</v>
      </c>
      <c r="K247">
        <v>549440000</v>
      </c>
      <c r="L247">
        <v>6.74</v>
      </c>
      <c r="M247">
        <v>3703225.6</v>
      </c>
      <c r="N247">
        <v>3282000</v>
      </c>
      <c r="O247">
        <v>6784000</v>
      </c>
      <c r="P247">
        <v>448340</v>
      </c>
      <c r="Q247">
        <v>1.02966179245283</v>
      </c>
      <c r="R247">
        <v>15.7300774564539</v>
      </c>
      <c r="S247">
        <v>0.48378537735849098</v>
      </c>
      <c r="T247">
        <v>6.6087853773584906E-2</v>
      </c>
      <c r="U247">
        <v>1959</v>
      </c>
      <c r="V247">
        <v>63</v>
      </c>
      <c r="W247">
        <v>1</v>
      </c>
      <c r="X247" t="s">
        <v>722</v>
      </c>
      <c r="Y247" t="s">
        <v>1571</v>
      </c>
      <c r="Z247" t="s">
        <v>2141</v>
      </c>
    </row>
    <row r="248" spans="1:26" ht="15" customHeight="1" x14ac:dyDescent="0.3">
      <c r="A248">
        <v>293</v>
      </c>
      <c r="B248">
        <v>59</v>
      </c>
      <c r="C248" t="s">
        <v>1000</v>
      </c>
      <c r="D248" t="s">
        <v>1001</v>
      </c>
      <c r="E248" t="s">
        <v>758</v>
      </c>
      <c r="F248">
        <v>2023</v>
      </c>
      <c r="G248">
        <v>1</v>
      </c>
      <c r="H248">
        <v>0</v>
      </c>
      <c r="I248">
        <v>0</v>
      </c>
      <c r="J248">
        <v>0</v>
      </c>
      <c r="K248">
        <v>549440000</v>
      </c>
      <c r="L248">
        <v>12.23</v>
      </c>
      <c r="M248">
        <v>6719651.2000000002</v>
      </c>
      <c r="N248">
        <v>3210000</v>
      </c>
      <c r="O248">
        <v>7394000</v>
      </c>
      <c r="P248">
        <v>852750</v>
      </c>
      <c r="Q248">
        <v>1.3429336218555601</v>
      </c>
      <c r="R248">
        <v>15.816179418478701</v>
      </c>
      <c r="S248">
        <v>0.43413578577224798</v>
      </c>
      <c r="T248">
        <v>0.115329997295104</v>
      </c>
      <c r="U248">
        <v>1959</v>
      </c>
      <c r="V248">
        <v>64</v>
      </c>
      <c r="W248">
        <v>1</v>
      </c>
      <c r="X248" t="s">
        <v>722</v>
      </c>
      <c r="Y248" t="s">
        <v>1571</v>
      </c>
      <c r="Z248" t="s">
        <v>2141</v>
      </c>
    </row>
    <row r="249" spans="1:26" ht="15" customHeight="1" x14ac:dyDescent="0.3">
      <c r="A249">
        <v>294</v>
      </c>
      <c r="B249">
        <v>59</v>
      </c>
      <c r="C249" t="s">
        <v>1000</v>
      </c>
      <c r="D249" t="s">
        <v>1001</v>
      </c>
      <c r="E249" t="s">
        <v>758</v>
      </c>
      <c r="F249">
        <v>2024</v>
      </c>
      <c r="G249">
        <v>1</v>
      </c>
      <c r="H249">
        <v>0</v>
      </c>
      <c r="I249">
        <v>0</v>
      </c>
      <c r="J249">
        <v>0</v>
      </c>
      <c r="K249">
        <v>549440000</v>
      </c>
      <c r="L249">
        <v>34.51</v>
      </c>
      <c r="M249">
        <v>18961174.399999999</v>
      </c>
      <c r="N249">
        <v>8964000</v>
      </c>
      <c r="O249">
        <v>14878000</v>
      </c>
      <c r="P249">
        <v>1623000</v>
      </c>
      <c r="Q249">
        <v>1.87694410539051</v>
      </c>
      <c r="R249">
        <v>16.515394169733401</v>
      </c>
      <c r="S249">
        <v>0.60250033606667597</v>
      </c>
      <c r="T249">
        <v>0.10908724290899301</v>
      </c>
      <c r="U249">
        <v>1959</v>
      </c>
      <c r="V249">
        <v>65</v>
      </c>
      <c r="W249">
        <v>1</v>
      </c>
      <c r="X249" t="s">
        <v>722</v>
      </c>
      <c r="Y249" t="s">
        <v>1571</v>
      </c>
      <c r="Z249" t="s">
        <v>2141</v>
      </c>
    </row>
    <row r="250" spans="1:26" ht="15" customHeight="1" x14ac:dyDescent="0.3">
      <c r="A250">
        <v>295</v>
      </c>
      <c r="B250">
        <v>59</v>
      </c>
      <c r="C250" t="s">
        <v>1000</v>
      </c>
      <c r="D250" t="s">
        <v>1001</v>
      </c>
      <c r="E250" t="s">
        <v>758</v>
      </c>
      <c r="F250">
        <v>2025</v>
      </c>
      <c r="G250">
        <v>1</v>
      </c>
      <c r="H250">
        <v>0</v>
      </c>
      <c r="I250">
        <v>0</v>
      </c>
      <c r="J250">
        <v>0</v>
      </c>
      <c r="K250">
        <v>731060000</v>
      </c>
      <c r="L250">
        <v>32</v>
      </c>
      <c r="M250">
        <v>23393920</v>
      </c>
      <c r="N250">
        <v>2957000</v>
      </c>
      <c r="O250">
        <v>14797000</v>
      </c>
      <c r="P250">
        <v>989850</v>
      </c>
      <c r="Q250">
        <v>1.78082854632696</v>
      </c>
      <c r="R250">
        <v>16.5099350154847</v>
      </c>
      <c r="S250">
        <v>0.19983780496046499</v>
      </c>
      <c r="T250">
        <v>6.6895316618233405E-2</v>
      </c>
      <c r="U250">
        <v>1959</v>
      </c>
      <c r="V250">
        <v>66</v>
      </c>
      <c r="W250">
        <v>1</v>
      </c>
      <c r="X250" t="s">
        <v>722</v>
      </c>
      <c r="Y250" t="s">
        <v>1571</v>
      </c>
      <c r="Z250" t="s">
        <v>2141</v>
      </c>
    </row>
    <row r="251" spans="1:26" ht="15" customHeight="1" x14ac:dyDescent="0.3">
      <c r="A251">
        <v>296</v>
      </c>
      <c r="B251">
        <v>60</v>
      </c>
      <c r="C251" t="s">
        <v>1004</v>
      </c>
      <c r="D251" t="s">
        <v>1005</v>
      </c>
      <c r="E251" t="s">
        <v>709</v>
      </c>
      <c r="F251">
        <v>2021</v>
      </c>
      <c r="G251">
        <v>0</v>
      </c>
      <c r="H251">
        <v>0</v>
      </c>
      <c r="I251">
        <v>60</v>
      </c>
      <c r="J251">
        <v>13.3333333333333</v>
      </c>
      <c r="K251">
        <v>8341000000</v>
      </c>
      <c r="L251">
        <v>0.66</v>
      </c>
      <c r="M251">
        <v>5505060</v>
      </c>
      <c r="N251">
        <v>9445000</v>
      </c>
      <c r="O251">
        <v>16218000</v>
      </c>
      <c r="P251">
        <v>500490</v>
      </c>
      <c r="Q251">
        <v>0.92181896658034301</v>
      </c>
      <c r="R251">
        <v>16.601632294486599</v>
      </c>
      <c r="S251">
        <v>0.58237760513010195</v>
      </c>
      <c r="T251">
        <v>3.08601553829079E-2</v>
      </c>
      <c r="U251">
        <v>2002</v>
      </c>
      <c r="V251">
        <v>19</v>
      </c>
      <c r="W251">
        <v>0</v>
      </c>
      <c r="X251" t="s">
        <v>832</v>
      </c>
      <c r="Y251" t="s">
        <v>1572</v>
      </c>
      <c r="Z251" t="s">
        <v>826</v>
      </c>
    </row>
    <row r="252" spans="1:26" ht="15" customHeight="1" x14ac:dyDescent="0.3">
      <c r="A252">
        <v>297</v>
      </c>
      <c r="B252">
        <v>60</v>
      </c>
      <c r="C252" t="s">
        <v>1004</v>
      </c>
      <c r="D252" t="s">
        <v>1005</v>
      </c>
      <c r="E252" t="s">
        <v>709</v>
      </c>
      <c r="F252">
        <v>2022</v>
      </c>
      <c r="G252">
        <v>0</v>
      </c>
      <c r="H252">
        <v>0</v>
      </c>
      <c r="I252">
        <v>60</v>
      </c>
      <c r="J252">
        <v>13.3333333333333</v>
      </c>
      <c r="K252">
        <v>8341000000</v>
      </c>
      <c r="L252">
        <v>0.64</v>
      </c>
      <c r="M252">
        <v>5338240</v>
      </c>
      <c r="N252">
        <v>9618000</v>
      </c>
      <c r="O252">
        <v>16774000</v>
      </c>
      <c r="P252">
        <v>591480</v>
      </c>
      <c r="Q252">
        <v>0.89163228806486206</v>
      </c>
      <c r="R252">
        <v>16.635340626526499</v>
      </c>
      <c r="S252">
        <v>0.57338738523905997</v>
      </c>
      <c r="T252">
        <v>3.5261714558244901E-2</v>
      </c>
      <c r="U252">
        <v>2002</v>
      </c>
      <c r="V252">
        <v>20</v>
      </c>
      <c r="W252">
        <v>0</v>
      </c>
      <c r="X252" t="s">
        <v>832</v>
      </c>
      <c r="Y252" t="s">
        <v>1572</v>
      </c>
      <c r="Z252" t="s">
        <v>826</v>
      </c>
    </row>
    <row r="253" spans="1:26" ht="15" customHeight="1" x14ac:dyDescent="0.3">
      <c r="A253">
        <v>298</v>
      </c>
      <c r="B253">
        <v>60</v>
      </c>
      <c r="C253" t="s">
        <v>1004</v>
      </c>
      <c r="D253" t="s">
        <v>1005</v>
      </c>
      <c r="E253" t="s">
        <v>709</v>
      </c>
      <c r="F253">
        <v>2023</v>
      </c>
      <c r="G253">
        <v>1</v>
      </c>
      <c r="H253">
        <v>0</v>
      </c>
      <c r="I253">
        <v>60</v>
      </c>
      <c r="J253">
        <v>13.3333333333333</v>
      </c>
      <c r="K253">
        <v>8341000000</v>
      </c>
      <c r="L253">
        <v>3</v>
      </c>
      <c r="M253">
        <v>25023000</v>
      </c>
      <c r="N253">
        <v>12791000</v>
      </c>
      <c r="O253">
        <v>20655000</v>
      </c>
      <c r="P253">
        <v>1000000</v>
      </c>
      <c r="Q253">
        <v>1.8307431614621199</v>
      </c>
      <c r="R253">
        <v>16.843467978812999</v>
      </c>
      <c r="S253">
        <v>0.61926894214475903</v>
      </c>
      <c r="T253">
        <v>4.8414427499394799E-2</v>
      </c>
      <c r="U253">
        <v>2002</v>
      </c>
      <c r="V253">
        <v>21</v>
      </c>
      <c r="W253">
        <v>0</v>
      </c>
      <c r="X253" t="s">
        <v>832</v>
      </c>
      <c r="Y253" t="s">
        <v>1572</v>
      </c>
      <c r="Z253" t="s">
        <v>826</v>
      </c>
    </row>
    <row r="254" spans="1:26" ht="15" customHeight="1" x14ac:dyDescent="0.3">
      <c r="A254">
        <v>299</v>
      </c>
      <c r="B254">
        <v>60</v>
      </c>
      <c r="C254" t="s">
        <v>1004</v>
      </c>
      <c r="D254" t="s">
        <v>1005</v>
      </c>
      <c r="E254" t="s">
        <v>709</v>
      </c>
      <c r="F254">
        <v>2024</v>
      </c>
      <c r="G254">
        <v>1</v>
      </c>
      <c r="H254">
        <v>0</v>
      </c>
      <c r="I254">
        <v>60</v>
      </c>
      <c r="J254">
        <v>13.3333333333333</v>
      </c>
      <c r="K254">
        <v>8341000000</v>
      </c>
      <c r="L254">
        <v>3.5</v>
      </c>
      <c r="M254">
        <v>29193500</v>
      </c>
      <c r="N254">
        <v>15939000</v>
      </c>
      <c r="O254">
        <v>25150000</v>
      </c>
      <c r="P254">
        <v>1481000</v>
      </c>
      <c r="Q254">
        <v>1.79453280318091</v>
      </c>
      <c r="R254">
        <v>17.040368454509998</v>
      </c>
      <c r="S254">
        <v>0.63375745526839</v>
      </c>
      <c r="T254">
        <v>5.8886679920477102E-2</v>
      </c>
      <c r="U254">
        <v>2002</v>
      </c>
      <c r="V254">
        <v>22</v>
      </c>
      <c r="W254">
        <v>0</v>
      </c>
      <c r="X254" t="s">
        <v>832</v>
      </c>
      <c r="Y254" t="s">
        <v>1572</v>
      </c>
      <c r="Z254" t="s">
        <v>826</v>
      </c>
    </row>
    <row r="255" spans="1:26" ht="15" customHeight="1" x14ac:dyDescent="0.3">
      <c r="A255">
        <v>300</v>
      </c>
      <c r="B255">
        <v>60</v>
      </c>
      <c r="C255" t="s">
        <v>1004</v>
      </c>
      <c r="D255" t="s">
        <v>1005</v>
      </c>
      <c r="E255" t="s">
        <v>709</v>
      </c>
      <c r="F255">
        <v>2025</v>
      </c>
      <c r="G255">
        <v>1</v>
      </c>
      <c r="H255">
        <v>0</v>
      </c>
      <c r="I255">
        <v>60</v>
      </c>
      <c r="J255">
        <v>13.3333333333333</v>
      </c>
      <c r="K255">
        <v>8341000000</v>
      </c>
      <c r="L255">
        <v>3.5</v>
      </c>
      <c r="M255">
        <v>29193500</v>
      </c>
      <c r="N255">
        <v>32382000</v>
      </c>
      <c r="O255">
        <v>44758000</v>
      </c>
      <c r="P255">
        <v>2700000</v>
      </c>
      <c r="Q255">
        <v>1.37574288395371</v>
      </c>
      <c r="R255">
        <v>17.6167807576572</v>
      </c>
      <c r="S255">
        <v>0.72349077259931205</v>
      </c>
      <c r="T255">
        <v>6.0324411278430697E-2</v>
      </c>
      <c r="U255">
        <v>2002</v>
      </c>
      <c r="V255">
        <v>23</v>
      </c>
      <c r="W255">
        <v>0</v>
      </c>
      <c r="X255" t="s">
        <v>832</v>
      </c>
      <c r="Y255" t="s">
        <v>1572</v>
      </c>
      <c r="Z255" t="s">
        <v>826</v>
      </c>
    </row>
    <row r="256" spans="1:26" ht="15" customHeight="1" x14ac:dyDescent="0.3">
      <c r="A256">
        <v>301</v>
      </c>
      <c r="B256">
        <v>61</v>
      </c>
      <c r="C256" t="s">
        <v>1009</v>
      </c>
      <c r="D256" t="s">
        <v>1010</v>
      </c>
      <c r="E256" t="s">
        <v>806</v>
      </c>
      <c r="F256">
        <v>2021</v>
      </c>
      <c r="G256">
        <v>0</v>
      </c>
      <c r="H256">
        <v>0</v>
      </c>
      <c r="I256">
        <v>15</v>
      </c>
      <c r="J256">
        <v>0</v>
      </c>
      <c r="K256">
        <v>26862000000</v>
      </c>
      <c r="L256">
        <v>4.95</v>
      </c>
      <c r="M256">
        <v>132966900</v>
      </c>
      <c r="N256">
        <v>334649000</v>
      </c>
      <c r="O256">
        <v>469953000</v>
      </c>
      <c r="P256">
        <v>-17657000</v>
      </c>
      <c r="Q256">
        <v>0.99502694950346104</v>
      </c>
      <c r="R256">
        <v>19.968143247667999</v>
      </c>
      <c r="S256">
        <v>0.71209035797196696</v>
      </c>
      <c r="T256">
        <v>-3.7571842290612001E-2</v>
      </c>
      <c r="U256">
        <v>1971</v>
      </c>
      <c r="V256">
        <v>50</v>
      </c>
      <c r="W256">
        <v>1</v>
      </c>
      <c r="X256" t="s">
        <v>1012</v>
      </c>
      <c r="Y256" t="s">
        <v>1573</v>
      </c>
      <c r="Z256" t="s">
        <v>2141</v>
      </c>
    </row>
    <row r="257" spans="1:26" ht="15" customHeight="1" x14ac:dyDescent="0.3">
      <c r="A257">
        <v>302</v>
      </c>
      <c r="B257">
        <v>61</v>
      </c>
      <c r="C257" t="s">
        <v>1009</v>
      </c>
      <c r="D257" t="s">
        <v>1010</v>
      </c>
      <c r="E257" t="s">
        <v>806</v>
      </c>
      <c r="F257">
        <v>2022</v>
      </c>
      <c r="G257">
        <v>0</v>
      </c>
      <c r="H257">
        <v>0</v>
      </c>
      <c r="I257">
        <v>15</v>
      </c>
      <c r="J257">
        <v>0</v>
      </c>
      <c r="K257">
        <v>26862000000</v>
      </c>
      <c r="L257">
        <v>4.7</v>
      </c>
      <c r="M257">
        <v>126251400</v>
      </c>
      <c r="N257">
        <v>366921000</v>
      </c>
      <c r="O257">
        <v>484252000</v>
      </c>
      <c r="P257">
        <v>-21626000</v>
      </c>
      <c r="Q257">
        <v>1.0184209874197701</v>
      </c>
      <c r="R257">
        <v>19.998115990340899</v>
      </c>
      <c r="S257">
        <v>0.75770673120606602</v>
      </c>
      <c r="T257">
        <v>-4.4658566201068901E-2</v>
      </c>
      <c r="U257">
        <v>1971</v>
      </c>
      <c r="V257">
        <v>51</v>
      </c>
      <c r="W257">
        <v>1</v>
      </c>
      <c r="X257" t="s">
        <v>1012</v>
      </c>
      <c r="Y257" t="s">
        <v>1573</v>
      </c>
      <c r="Z257" t="s">
        <v>2141</v>
      </c>
    </row>
    <row r="258" spans="1:26" ht="15" customHeight="1" x14ac:dyDescent="0.3">
      <c r="A258">
        <v>303</v>
      </c>
      <c r="B258">
        <v>61</v>
      </c>
      <c r="C258" t="s">
        <v>1009</v>
      </c>
      <c r="D258" t="s">
        <v>1010</v>
      </c>
      <c r="E258" t="s">
        <v>806</v>
      </c>
      <c r="F258">
        <v>2023</v>
      </c>
      <c r="G258">
        <v>1</v>
      </c>
      <c r="H258">
        <v>0</v>
      </c>
      <c r="I258">
        <v>15</v>
      </c>
      <c r="J258">
        <v>0</v>
      </c>
      <c r="K258">
        <v>26862000000</v>
      </c>
      <c r="L258">
        <v>4.8</v>
      </c>
      <c r="M258">
        <v>128937600</v>
      </c>
      <c r="N258">
        <v>609090000</v>
      </c>
      <c r="O258">
        <v>724497000</v>
      </c>
      <c r="P258">
        <v>-70026000</v>
      </c>
      <c r="Q258">
        <v>1.0186758537302401</v>
      </c>
      <c r="R258">
        <v>20.400988178929701</v>
      </c>
      <c r="S258">
        <v>0.84070741493753598</v>
      </c>
      <c r="T258">
        <v>-9.6654644532689599E-2</v>
      </c>
      <c r="U258">
        <v>1971</v>
      </c>
      <c r="V258">
        <v>52</v>
      </c>
      <c r="W258">
        <v>1</v>
      </c>
      <c r="X258" t="s">
        <v>1012</v>
      </c>
      <c r="Y258" t="s">
        <v>1573</v>
      </c>
      <c r="Z258" t="s">
        <v>2141</v>
      </c>
    </row>
    <row r="259" spans="1:26" ht="15" customHeight="1" x14ac:dyDescent="0.3">
      <c r="A259">
        <v>304</v>
      </c>
      <c r="B259">
        <v>61</v>
      </c>
      <c r="C259" t="s">
        <v>1009</v>
      </c>
      <c r="D259" t="s">
        <v>1010</v>
      </c>
      <c r="E259" t="s">
        <v>806</v>
      </c>
      <c r="F259">
        <v>2024</v>
      </c>
      <c r="G259">
        <v>1</v>
      </c>
      <c r="H259">
        <v>0</v>
      </c>
      <c r="I259">
        <v>15</v>
      </c>
      <c r="J259">
        <v>0</v>
      </c>
      <c r="K259">
        <v>168292000000</v>
      </c>
      <c r="L259">
        <v>5.55</v>
      </c>
      <c r="M259">
        <v>934020600</v>
      </c>
      <c r="N259">
        <v>278958000</v>
      </c>
      <c r="O259">
        <v>727872000</v>
      </c>
      <c r="P259">
        <v>-113615000</v>
      </c>
      <c r="Q259">
        <v>1.66647240174097</v>
      </c>
      <c r="R259">
        <v>20.405635766526299</v>
      </c>
      <c r="S259">
        <v>0.38325145080453699</v>
      </c>
      <c r="T259">
        <v>-0.15609200518772501</v>
      </c>
      <c r="U259">
        <v>1971</v>
      </c>
      <c r="V259">
        <v>53</v>
      </c>
      <c r="W259">
        <v>1</v>
      </c>
      <c r="X259" t="s">
        <v>1012</v>
      </c>
      <c r="Y259" t="s">
        <v>1573</v>
      </c>
      <c r="Z259" t="s">
        <v>2141</v>
      </c>
    </row>
    <row r="260" spans="1:26" ht="15" customHeight="1" x14ac:dyDescent="0.3">
      <c r="A260">
        <v>305</v>
      </c>
      <c r="B260">
        <v>61</v>
      </c>
      <c r="C260" t="s">
        <v>1009</v>
      </c>
      <c r="D260" t="s">
        <v>1010</v>
      </c>
      <c r="E260" t="s">
        <v>806</v>
      </c>
      <c r="F260">
        <v>2025</v>
      </c>
      <c r="G260">
        <v>1</v>
      </c>
      <c r="H260">
        <v>0</v>
      </c>
      <c r="I260">
        <v>15</v>
      </c>
      <c r="J260">
        <v>0</v>
      </c>
      <c r="K260">
        <v>168292000000</v>
      </c>
      <c r="L260">
        <v>14.02</v>
      </c>
      <c r="M260">
        <v>2359453840</v>
      </c>
      <c r="N260">
        <v>239916000</v>
      </c>
      <c r="O260">
        <v>739744000</v>
      </c>
      <c r="P260">
        <v>50914000</v>
      </c>
      <c r="Q260">
        <v>3.51387755764156</v>
      </c>
      <c r="R260">
        <v>20.421814738363398</v>
      </c>
      <c r="S260">
        <v>0.324323009040966</v>
      </c>
      <c r="T260">
        <v>6.8826512955833405E-2</v>
      </c>
      <c r="U260">
        <v>1971</v>
      </c>
      <c r="V260">
        <v>54</v>
      </c>
      <c r="W260">
        <v>1</v>
      </c>
      <c r="X260" t="s">
        <v>1012</v>
      </c>
      <c r="Y260" t="s">
        <v>1573</v>
      </c>
      <c r="Z260" t="s">
        <v>2141</v>
      </c>
    </row>
    <row r="261" spans="1:26" ht="15" customHeight="1" x14ac:dyDescent="0.3">
      <c r="A261">
        <v>306</v>
      </c>
      <c r="B261">
        <v>62</v>
      </c>
      <c r="C261" t="s">
        <v>1014</v>
      </c>
      <c r="D261" t="s">
        <v>1015</v>
      </c>
      <c r="E261" t="s">
        <v>709</v>
      </c>
      <c r="F261">
        <v>2021</v>
      </c>
      <c r="G261">
        <v>0</v>
      </c>
      <c r="H261">
        <v>0</v>
      </c>
      <c r="I261">
        <v>0</v>
      </c>
      <c r="J261">
        <v>0</v>
      </c>
      <c r="K261">
        <v>1284000000</v>
      </c>
      <c r="L261">
        <v>0.38</v>
      </c>
      <c r="M261">
        <v>487920</v>
      </c>
      <c r="N261">
        <v>20962000</v>
      </c>
      <c r="O261">
        <v>9158000</v>
      </c>
      <c r="P261">
        <v>-704550</v>
      </c>
      <c r="Q261">
        <v>2.3422057217733099</v>
      </c>
      <c r="R261">
        <v>16.0301383721992</v>
      </c>
      <c r="S261">
        <v>2.28892771347456</v>
      </c>
      <c r="T261">
        <v>-7.6932736405328703E-2</v>
      </c>
      <c r="U261">
        <v>1969</v>
      </c>
      <c r="V261">
        <v>52</v>
      </c>
      <c r="W261">
        <v>0</v>
      </c>
      <c r="X261" t="s">
        <v>1017</v>
      </c>
      <c r="Y261" t="s">
        <v>1574</v>
      </c>
      <c r="Z261" t="s">
        <v>775</v>
      </c>
    </row>
    <row r="262" spans="1:26" ht="15" customHeight="1" x14ac:dyDescent="0.3">
      <c r="A262">
        <v>307</v>
      </c>
      <c r="B262">
        <v>62</v>
      </c>
      <c r="C262" t="s">
        <v>1014</v>
      </c>
      <c r="D262" t="s">
        <v>1015</v>
      </c>
      <c r="E262" t="s">
        <v>709</v>
      </c>
      <c r="F262">
        <v>2022</v>
      </c>
      <c r="G262">
        <v>0</v>
      </c>
      <c r="H262">
        <v>0</v>
      </c>
      <c r="I262">
        <v>0</v>
      </c>
      <c r="J262">
        <v>0</v>
      </c>
      <c r="K262">
        <v>1284000000</v>
      </c>
      <c r="L262">
        <v>0.38</v>
      </c>
      <c r="M262">
        <v>487920</v>
      </c>
      <c r="N262">
        <v>26463000</v>
      </c>
      <c r="O262">
        <v>14673000</v>
      </c>
      <c r="P262">
        <v>232900</v>
      </c>
      <c r="Q262">
        <v>1.83676957677367</v>
      </c>
      <c r="R262">
        <v>16.501519628189602</v>
      </c>
      <c r="S262">
        <v>1.80351666325905</v>
      </c>
      <c r="T262">
        <v>1.58726913378314E-2</v>
      </c>
      <c r="U262">
        <v>1969</v>
      </c>
      <c r="V262">
        <v>53</v>
      </c>
      <c r="W262">
        <v>0</v>
      </c>
      <c r="X262" t="s">
        <v>1017</v>
      </c>
      <c r="Y262" t="s">
        <v>1574</v>
      </c>
      <c r="Z262" t="s">
        <v>775</v>
      </c>
    </row>
    <row r="263" spans="1:26" ht="15" customHeight="1" x14ac:dyDescent="0.3">
      <c r="A263">
        <v>308</v>
      </c>
      <c r="B263">
        <v>62</v>
      </c>
      <c r="C263" t="s">
        <v>1014</v>
      </c>
      <c r="D263" t="s">
        <v>1015</v>
      </c>
      <c r="E263" t="s">
        <v>709</v>
      </c>
      <c r="F263">
        <v>2023</v>
      </c>
      <c r="G263">
        <v>1</v>
      </c>
      <c r="H263">
        <v>0</v>
      </c>
      <c r="I263">
        <v>0</v>
      </c>
      <c r="J263">
        <v>0</v>
      </c>
      <c r="K263">
        <v>1284000000</v>
      </c>
      <c r="L263">
        <v>1.39</v>
      </c>
      <c r="M263">
        <v>1784760</v>
      </c>
      <c r="N263">
        <v>28366000</v>
      </c>
      <c r="O263">
        <v>17590000</v>
      </c>
      <c r="P263">
        <v>850660</v>
      </c>
      <c r="Q263">
        <v>1.7140852757248399</v>
      </c>
      <c r="R263">
        <v>16.6828411167137</v>
      </c>
      <c r="S263">
        <v>1.61262080727686</v>
      </c>
      <c r="T263">
        <v>4.83604320636725E-2</v>
      </c>
      <c r="U263">
        <v>1969</v>
      </c>
      <c r="V263">
        <v>54</v>
      </c>
      <c r="W263">
        <v>0</v>
      </c>
      <c r="X263" t="s">
        <v>1017</v>
      </c>
      <c r="Y263" t="s">
        <v>1574</v>
      </c>
      <c r="Z263" t="s">
        <v>775</v>
      </c>
    </row>
    <row r="264" spans="1:26" ht="15" customHeight="1" x14ac:dyDescent="0.3">
      <c r="A264">
        <v>309</v>
      </c>
      <c r="B264">
        <v>62</v>
      </c>
      <c r="C264" t="s">
        <v>1014</v>
      </c>
      <c r="D264" t="s">
        <v>1015</v>
      </c>
      <c r="E264" t="s">
        <v>709</v>
      </c>
      <c r="F264">
        <v>2024</v>
      </c>
      <c r="G264">
        <v>1</v>
      </c>
      <c r="H264">
        <v>0</v>
      </c>
      <c r="I264">
        <v>0</v>
      </c>
      <c r="J264">
        <v>0</v>
      </c>
      <c r="K264">
        <v>1284000000</v>
      </c>
      <c r="L264">
        <v>1.7</v>
      </c>
      <c r="M264">
        <v>2182800</v>
      </c>
      <c r="N264">
        <v>24457000</v>
      </c>
      <c r="O264">
        <v>16855000</v>
      </c>
      <c r="P264">
        <v>2954000</v>
      </c>
      <c r="Q264">
        <v>1.5805280332245599</v>
      </c>
      <c r="R264">
        <v>16.640157906650298</v>
      </c>
      <c r="S264">
        <v>1.45102343518244</v>
      </c>
      <c r="T264">
        <v>0.175259566894097</v>
      </c>
      <c r="U264">
        <v>1969</v>
      </c>
      <c r="V264">
        <v>55</v>
      </c>
      <c r="W264">
        <v>0</v>
      </c>
      <c r="X264" t="s">
        <v>1017</v>
      </c>
      <c r="Y264" t="s">
        <v>1574</v>
      </c>
      <c r="Z264" t="s">
        <v>775</v>
      </c>
    </row>
    <row r="265" spans="1:26" ht="15" customHeight="1" x14ac:dyDescent="0.3">
      <c r="A265">
        <v>310</v>
      </c>
      <c r="B265">
        <v>62</v>
      </c>
      <c r="C265" t="s">
        <v>1014</v>
      </c>
      <c r="D265" t="s">
        <v>1015</v>
      </c>
      <c r="E265" t="s">
        <v>709</v>
      </c>
      <c r="F265">
        <v>2025</v>
      </c>
      <c r="G265">
        <v>1</v>
      </c>
      <c r="H265">
        <v>0</v>
      </c>
      <c r="I265">
        <v>10</v>
      </c>
      <c r="J265">
        <v>0</v>
      </c>
      <c r="K265">
        <v>2534000000</v>
      </c>
      <c r="L265">
        <v>1.27</v>
      </c>
      <c r="M265">
        <v>3218180</v>
      </c>
      <c r="N265">
        <v>6217000</v>
      </c>
      <c r="O265">
        <v>15458000</v>
      </c>
      <c r="P265">
        <v>868670</v>
      </c>
      <c r="Q265">
        <v>0.61037521024712105</v>
      </c>
      <c r="R265">
        <v>16.553637226648998</v>
      </c>
      <c r="S265">
        <v>0.40218657006080999</v>
      </c>
      <c r="T265">
        <v>5.6195497477034603E-2</v>
      </c>
      <c r="U265">
        <v>1969</v>
      </c>
      <c r="V265">
        <v>56</v>
      </c>
      <c r="W265">
        <v>0</v>
      </c>
      <c r="X265" t="s">
        <v>1017</v>
      </c>
      <c r="Y265" t="s">
        <v>1574</v>
      </c>
      <c r="Z265" t="s">
        <v>775</v>
      </c>
    </row>
    <row r="266" spans="1:26" ht="15" customHeight="1" x14ac:dyDescent="0.3">
      <c r="A266">
        <v>311</v>
      </c>
      <c r="B266">
        <v>63</v>
      </c>
      <c r="C266" t="s">
        <v>1020</v>
      </c>
      <c r="D266" t="s">
        <v>1021</v>
      </c>
      <c r="E266" t="s">
        <v>709</v>
      </c>
      <c r="F266">
        <v>2021</v>
      </c>
      <c r="G266">
        <v>0</v>
      </c>
      <c r="H266">
        <v>0</v>
      </c>
      <c r="I266">
        <v>0</v>
      </c>
      <c r="J266">
        <v>0</v>
      </c>
      <c r="K266">
        <v>34541000000</v>
      </c>
      <c r="L266">
        <v>0.56000000000000005</v>
      </c>
      <c r="M266">
        <v>19342960</v>
      </c>
      <c r="N266">
        <v>254970000</v>
      </c>
      <c r="O266">
        <v>279276000</v>
      </c>
      <c r="P266">
        <v>4085000</v>
      </c>
      <c r="Q266">
        <v>0.98222890617167302</v>
      </c>
      <c r="R266">
        <v>19.447711098114802</v>
      </c>
      <c r="S266">
        <v>0.912967816783397</v>
      </c>
      <c r="T266">
        <v>1.46271072344204E-2</v>
      </c>
      <c r="U266">
        <v>2003</v>
      </c>
      <c r="V266">
        <v>18</v>
      </c>
      <c r="W266">
        <v>1</v>
      </c>
      <c r="X266" t="s">
        <v>732</v>
      </c>
      <c r="Y266" t="s">
        <v>1575</v>
      </c>
      <c r="Z266" t="s">
        <v>2141</v>
      </c>
    </row>
    <row r="267" spans="1:26" ht="15" customHeight="1" x14ac:dyDescent="0.3">
      <c r="A267">
        <v>312</v>
      </c>
      <c r="B267">
        <v>63</v>
      </c>
      <c r="C267" t="s">
        <v>1020</v>
      </c>
      <c r="D267" t="s">
        <v>1021</v>
      </c>
      <c r="E267" t="s">
        <v>709</v>
      </c>
      <c r="F267">
        <v>2022</v>
      </c>
      <c r="G267">
        <v>0</v>
      </c>
      <c r="H267">
        <v>0</v>
      </c>
      <c r="I267">
        <v>0</v>
      </c>
      <c r="J267">
        <v>0</v>
      </c>
      <c r="K267">
        <v>34541000000</v>
      </c>
      <c r="L267">
        <v>0.92</v>
      </c>
      <c r="M267">
        <v>31777720</v>
      </c>
      <c r="N267">
        <v>350015000</v>
      </c>
      <c r="O267">
        <v>379819000</v>
      </c>
      <c r="P267">
        <v>6881000</v>
      </c>
      <c r="Q267">
        <v>1.0051964751631699</v>
      </c>
      <c r="R267">
        <v>19.755205381420801</v>
      </c>
      <c r="S267">
        <v>0.92153104505040595</v>
      </c>
      <c r="T267">
        <v>1.81165239232371E-2</v>
      </c>
      <c r="U267">
        <v>2003</v>
      </c>
      <c r="V267">
        <v>19</v>
      </c>
      <c r="W267">
        <v>1</v>
      </c>
      <c r="X267" t="s">
        <v>732</v>
      </c>
      <c r="Y267" t="s">
        <v>1575</v>
      </c>
      <c r="Z267" t="s">
        <v>2141</v>
      </c>
    </row>
    <row r="268" spans="1:26" ht="15" customHeight="1" x14ac:dyDescent="0.3">
      <c r="A268">
        <v>313</v>
      </c>
      <c r="B268">
        <v>63</v>
      </c>
      <c r="C268" t="s">
        <v>1020</v>
      </c>
      <c r="D268" t="s">
        <v>1021</v>
      </c>
      <c r="E268" t="s">
        <v>709</v>
      </c>
      <c r="F268">
        <v>2023</v>
      </c>
      <c r="G268">
        <v>1</v>
      </c>
      <c r="H268">
        <v>0</v>
      </c>
      <c r="I268">
        <v>0</v>
      </c>
      <c r="J268">
        <v>0</v>
      </c>
      <c r="K268">
        <v>34541000000</v>
      </c>
      <c r="L268">
        <v>1.94</v>
      </c>
      <c r="M268">
        <v>67009540</v>
      </c>
      <c r="N268">
        <v>540816000</v>
      </c>
      <c r="O268">
        <v>580131000</v>
      </c>
      <c r="P268">
        <v>11237000</v>
      </c>
      <c r="Q268">
        <v>1.0477384245971999</v>
      </c>
      <c r="R268">
        <v>20.178764498070699</v>
      </c>
      <c r="S268">
        <v>0.93223082372774402</v>
      </c>
      <c r="T268">
        <v>1.93697630362797E-2</v>
      </c>
      <c r="U268">
        <v>2003</v>
      </c>
      <c r="V268">
        <v>20</v>
      </c>
      <c r="W268">
        <v>1</v>
      </c>
      <c r="X268" t="s">
        <v>732</v>
      </c>
      <c r="Y268" t="s">
        <v>1575</v>
      </c>
      <c r="Z268" t="s">
        <v>2141</v>
      </c>
    </row>
    <row r="269" spans="1:26" ht="15" customHeight="1" x14ac:dyDescent="0.3">
      <c r="A269">
        <v>314</v>
      </c>
      <c r="B269">
        <v>63</v>
      </c>
      <c r="C269" t="s">
        <v>1020</v>
      </c>
      <c r="D269" t="s">
        <v>1021</v>
      </c>
      <c r="E269" t="s">
        <v>709</v>
      </c>
      <c r="F269">
        <v>2024</v>
      </c>
      <c r="G269">
        <v>1</v>
      </c>
      <c r="H269">
        <v>0</v>
      </c>
      <c r="I269">
        <v>0</v>
      </c>
      <c r="J269">
        <v>0</v>
      </c>
      <c r="K269">
        <v>34541000000</v>
      </c>
      <c r="L269">
        <v>3.87</v>
      </c>
      <c r="M269">
        <v>133673670</v>
      </c>
      <c r="N269">
        <v>1009281000</v>
      </c>
      <c r="O269">
        <v>1080747000</v>
      </c>
      <c r="P269">
        <v>23484000</v>
      </c>
      <c r="Q269">
        <v>1.05755988219259</v>
      </c>
      <c r="R269">
        <v>20.800918305658101</v>
      </c>
      <c r="S269">
        <v>0.93387351526305395</v>
      </c>
      <c r="T269">
        <v>2.1729414932449499E-2</v>
      </c>
      <c r="U269">
        <v>2003</v>
      </c>
      <c r="V269">
        <v>21</v>
      </c>
      <c r="W269">
        <v>1</v>
      </c>
      <c r="X269" t="s">
        <v>732</v>
      </c>
      <c r="Y269" t="s">
        <v>1575</v>
      </c>
      <c r="Z269" t="s">
        <v>2141</v>
      </c>
    </row>
    <row r="270" spans="1:26" ht="15" customHeight="1" x14ac:dyDescent="0.3">
      <c r="A270">
        <v>315</v>
      </c>
      <c r="B270">
        <v>63</v>
      </c>
      <c r="C270" t="s">
        <v>1020</v>
      </c>
      <c r="D270" t="s">
        <v>1021</v>
      </c>
      <c r="E270" t="s">
        <v>709</v>
      </c>
      <c r="F270">
        <v>2025</v>
      </c>
      <c r="G270">
        <v>1</v>
      </c>
      <c r="H270">
        <v>0</v>
      </c>
      <c r="I270">
        <v>0</v>
      </c>
      <c r="J270">
        <v>0</v>
      </c>
      <c r="K270">
        <v>44589000000</v>
      </c>
      <c r="L270">
        <v>4.55</v>
      </c>
      <c r="M270">
        <v>202879950</v>
      </c>
      <c r="N270">
        <v>1188839000</v>
      </c>
      <c r="O270">
        <v>1287341000</v>
      </c>
      <c r="P270">
        <v>30157000</v>
      </c>
      <c r="Q270">
        <v>1.08108026544637</v>
      </c>
      <c r="R270">
        <v>20.975844687730401</v>
      </c>
      <c r="S270">
        <v>0.92348414289609404</v>
      </c>
      <c r="T270">
        <v>2.3425805594632702E-2</v>
      </c>
      <c r="U270">
        <v>2003</v>
      </c>
      <c r="V270">
        <v>22</v>
      </c>
      <c r="W270">
        <v>1</v>
      </c>
      <c r="X270" t="s">
        <v>732</v>
      </c>
      <c r="Y270" t="s">
        <v>1575</v>
      </c>
      <c r="Z270" t="s">
        <v>2141</v>
      </c>
    </row>
    <row r="271" spans="1:26" ht="15" customHeight="1" x14ac:dyDescent="0.3">
      <c r="A271">
        <v>316</v>
      </c>
      <c r="B271">
        <v>64</v>
      </c>
      <c r="C271" t="s">
        <v>1024</v>
      </c>
      <c r="D271" t="s">
        <v>1025</v>
      </c>
      <c r="E271" t="s">
        <v>766</v>
      </c>
      <c r="F271">
        <v>2021</v>
      </c>
      <c r="G271">
        <v>0</v>
      </c>
      <c r="H271">
        <v>0</v>
      </c>
      <c r="I271">
        <v>0</v>
      </c>
      <c r="J271">
        <v>0</v>
      </c>
      <c r="K271">
        <v>6263000000</v>
      </c>
      <c r="L271">
        <v>0.39</v>
      </c>
      <c r="M271">
        <v>2442570</v>
      </c>
      <c r="N271">
        <v>13372000</v>
      </c>
      <c r="O271">
        <v>13089000</v>
      </c>
      <c r="P271">
        <v>-3106000</v>
      </c>
      <c r="Q271">
        <v>1.2082336312934501</v>
      </c>
      <c r="R271">
        <v>16.387282740773902</v>
      </c>
      <c r="S271">
        <v>1.0216212086484799</v>
      </c>
      <c r="T271">
        <v>-0.237298494919398</v>
      </c>
      <c r="U271">
        <v>1994</v>
      </c>
      <c r="V271">
        <v>27</v>
      </c>
      <c r="W271">
        <v>0</v>
      </c>
      <c r="X271" t="s">
        <v>743</v>
      </c>
      <c r="Y271" t="s">
        <v>1576</v>
      </c>
      <c r="Z271" t="s">
        <v>2141</v>
      </c>
    </row>
    <row r="272" spans="1:26" ht="15" customHeight="1" x14ac:dyDescent="0.3">
      <c r="A272">
        <v>317</v>
      </c>
      <c r="B272">
        <v>64</v>
      </c>
      <c r="C272" t="s">
        <v>1024</v>
      </c>
      <c r="D272" t="s">
        <v>1025</v>
      </c>
      <c r="E272" t="s">
        <v>766</v>
      </c>
      <c r="F272">
        <v>2022</v>
      </c>
      <c r="G272">
        <v>0</v>
      </c>
      <c r="H272">
        <v>0</v>
      </c>
      <c r="I272">
        <v>0</v>
      </c>
      <c r="J272">
        <v>0</v>
      </c>
      <c r="K272">
        <v>6263000000</v>
      </c>
      <c r="L272">
        <v>0.28000000000000003</v>
      </c>
      <c r="M272">
        <v>1753640</v>
      </c>
      <c r="N272">
        <v>13324000</v>
      </c>
      <c r="O272">
        <v>13197000</v>
      </c>
      <c r="P272">
        <v>155980</v>
      </c>
      <c r="Q272">
        <v>1.1425051147988201</v>
      </c>
      <c r="R272">
        <v>16.395500088999</v>
      </c>
      <c r="S272">
        <v>1.00962339925741</v>
      </c>
      <c r="T272">
        <v>1.1819352883231E-2</v>
      </c>
      <c r="U272">
        <v>1994</v>
      </c>
      <c r="V272">
        <v>28</v>
      </c>
      <c r="W272">
        <v>0</v>
      </c>
      <c r="X272" t="s">
        <v>743</v>
      </c>
      <c r="Y272" t="s">
        <v>1576</v>
      </c>
      <c r="Z272" t="s">
        <v>2141</v>
      </c>
    </row>
    <row r="273" spans="1:26" ht="15" customHeight="1" x14ac:dyDescent="0.3">
      <c r="A273">
        <v>318</v>
      </c>
      <c r="B273">
        <v>64</v>
      </c>
      <c r="C273" t="s">
        <v>1024</v>
      </c>
      <c r="D273" t="s">
        <v>1025</v>
      </c>
      <c r="E273" t="s">
        <v>766</v>
      </c>
      <c r="F273">
        <v>2023</v>
      </c>
      <c r="G273">
        <v>1</v>
      </c>
      <c r="H273">
        <v>0</v>
      </c>
      <c r="I273">
        <v>0</v>
      </c>
      <c r="J273">
        <v>0</v>
      </c>
      <c r="K273">
        <v>6263000000</v>
      </c>
      <c r="L273">
        <v>1.7</v>
      </c>
      <c r="M273">
        <v>10647100</v>
      </c>
      <c r="N273">
        <v>15117000</v>
      </c>
      <c r="O273">
        <v>14316000</v>
      </c>
      <c r="P273">
        <v>-674040</v>
      </c>
      <c r="Q273">
        <v>1.7996716960044701</v>
      </c>
      <c r="R273">
        <v>16.476888350868101</v>
      </c>
      <c r="S273">
        <v>1.0559513830678999</v>
      </c>
      <c r="T273">
        <v>-4.7082984073763601E-2</v>
      </c>
      <c r="U273">
        <v>1994</v>
      </c>
      <c r="V273">
        <v>29</v>
      </c>
      <c r="W273">
        <v>0</v>
      </c>
      <c r="X273" t="s">
        <v>743</v>
      </c>
      <c r="Y273" t="s">
        <v>1576</v>
      </c>
      <c r="Z273" t="s">
        <v>2141</v>
      </c>
    </row>
    <row r="274" spans="1:26" ht="15" customHeight="1" x14ac:dyDescent="0.3">
      <c r="A274">
        <v>319</v>
      </c>
      <c r="B274">
        <v>64</v>
      </c>
      <c r="C274" t="s">
        <v>1024</v>
      </c>
      <c r="D274" t="s">
        <v>1025</v>
      </c>
      <c r="E274" t="s">
        <v>766</v>
      </c>
      <c r="F274">
        <v>2024</v>
      </c>
      <c r="G274">
        <v>1</v>
      </c>
      <c r="H274">
        <v>0</v>
      </c>
      <c r="I274">
        <v>15</v>
      </c>
      <c r="J274">
        <v>0</v>
      </c>
      <c r="K274">
        <v>14263000000</v>
      </c>
      <c r="L274">
        <v>2.0499999999999998</v>
      </c>
      <c r="M274">
        <v>29239150</v>
      </c>
      <c r="N274">
        <v>14933000</v>
      </c>
      <c r="O274">
        <v>33417000</v>
      </c>
      <c r="P274">
        <v>1680000</v>
      </c>
      <c r="Q274">
        <v>1.32184666487117</v>
      </c>
      <c r="R274">
        <v>17.324575310495401</v>
      </c>
      <c r="S274">
        <v>0.44686836041535699</v>
      </c>
      <c r="T274">
        <v>5.02738127300476E-2</v>
      </c>
      <c r="U274">
        <v>1994</v>
      </c>
      <c r="V274">
        <v>30</v>
      </c>
      <c r="W274">
        <v>0</v>
      </c>
      <c r="X274" t="s">
        <v>743</v>
      </c>
      <c r="Y274" t="s">
        <v>1576</v>
      </c>
      <c r="Z274" t="s">
        <v>2141</v>
      </c>
    </row>
    <row r="275" spans="1:26" ht="15" customHeight="1" x14ac:dyDescent="0.3">
      <c r="A275">
        <v>320</v>
      </c>
      <c r="B275">
        <v>64</v>
      </c>
      <c r="C275" t="s">
        <v>1024</v>
      </c>
      <c r="D275" t="s">
        <v>1025</v>
      </c>
      <c r="E275" t="s">
        <v>766</v>
      </c>
      <c r="F275">
        <v>2025</v>
      </c>
      <c r="G275">
        <v>1</v>
      </c>
      <c r="H275">
        <v>0</v>
      </c>
      <c r="I275">
        <v>0</v>
      </c>
      <c r="J275">
        <v>0</v>
      </c>
      <c r="K275">
        <v>14263000000</v>
      </c>
      <c r="L275">
        <v>2.31</v>
      </c>
      <c r="M275">
        <v>32947530</v>
      </c>
      <c r="N275">
        <v>15088000</v>
      </c>
      <c r="O275">
        <v>33527000</v>
      </c>
      <c r="P275">
        <v>1113000</v>
      </c>
      <c r="Q275">
        <v>1.4327416708921199</v>
      </c>
      <c r="R275">
        <v>17.327861642325001</v>
      </c>
      <c r="S275">
        <v>0.45002535270080801</v>
      </c>
      <c r="T275">
        <v>3.3197124705461302E-2</v>
      </c>
      <c r="U275">
        <v>1994</v>
      </c>
      <c r="V275">
        <v>31</v>
      </c>
      <c r="W275">
        <v>0</v>
      </c>
      <c r="X275" t="s">
        <v>743</v>
      </c>
      <c r="Y275" t="s">
        <v>1576</v>
      </c>
      <c r="Z275" t="s">
        <v>2141</v>
      </c>
    </row>
    <row r="276" spans="1:26" ht="15" customHeight="1" x14ac:dyDescent="0.3">
      <c r="A276">
        <v>321</v>
      </c>
      <c r="B276">
        <v>65</v>
      </c>
      <c r="C276" t="s">
        <v>1028</v>
      </c>
      <c r="D276" t="s">
        <v>1029</v>
      </c>
      <c r="E276" t="s">
        <v>780</v>
      </c>
      <c r="F276">
        <v>2021</v>
      </c>
      <c r="G276">
        <v>0</v>
      </c>
      <c r="H276">
        <v>0</v>
      </c>
      <c r="I276">
        <v>20</v>
      </c>
      <c r="J276">
        <v>13.3333333333333</v>
      </c>
      <c r="K276">
        <v>1600000000</v>
      </c>
      <c r="L276">
        <v>22.35</v>
      </c>
      <c r="M276">
        <v>35760000</v>
      </c>
      <c r="N276">
        <v>424126000</v>
      </c>
      <c r="O276">
        <v>477239000</v>
      </c>
      <c r="P276">
        <v>8344000</v>
      </c>
      <c r="Q276">
        <v>0.96363876380597602</v>
      </c>
      <c r="R276">
        <v>19.9835279715879</v>
      </c>
      <c r="S276">
        <v>0.88870775439559602</v>
      </c>
      <c r="T276">
        <v>1.7483902195755199E-2</v>
      </c>
      <c r="U276">
        <v>1970</v>
      </c>
      <c r="V276">
        <v>51</v>
      </c>
      <c r="W276">
        <v>1</v>
      </c>
      <c r="X276" t="s">
        <v>1012</v>
      </c>
      <c r="Y276" t="s">
        <v>1577</v>
      </c>
      <c r="Z276" t="s">
        <v>2141</v>
      </c>
    </row>
    <row r="277" spans="1:26" ht="15" customHeight="1" x14ac:dyDescent="0.3">
      <c r="A277">
        <v>322</v>
      </c>
      <c r="B277">
        <v>65</v>
      </c>
      <c r="C277" t="s">
        <v>1028</v>
      </c>
      <c r="D277" t="s">
        <v>1029</v>
      </c>
      <c r="E277" t="s">
        <v>780</v>
      </c>
      <c r="F277">
        <v>2022</v>
      </c>
      <c r="G277">
        <v>0</v>
      </c>
      <c r="H277">
        <v>0</v>
      </c>
      <c r="I277">
        <v>20</v>
      </c>
      <c r="J277">
        <v>13.3333333333333</v>
      </c>
      <c r="K277">
        <v>1600000000</v>
      </c>
      <c r="L277">
        <v>24.5</v>
      </c>
      <c r="M277">
        <v>39200000</v>
      </c>
      <c r="N277">
        <v>449210000</v>
      </c>
      <c r="O277">
        <v>506271000</v>
      </c>
      <c r="P277">
        <v>7914000</v>
      </c>
      <c r="Q277">
        <v>0.964720475792609</v>
      </c>
      <c r="R277">
        <v>20.0425826570062</v>
      </c>
      <c r="S277">
        <v>0.88729158889211501</v>
      </c>
      <c r="T277">
        <v>1.56319441563905E-2</v>
      </c>
      <c r="U277">
        <v>1970</v>
      </c>
      <c r="V277">
        <v>52</v>
      </c>
      <c r="W277">
        <v>1</v>
      </c>
      <c r="X277" t="s">
        <v>1012</v>
      </c>
      <c r="Y277" t="s">
        <v>1577</v>
      </c>
      <c r="Z277" t="s">
        <v>2141</v>
      </c>
    </row>
    <row r="278" spans="1:26" ht="15" customHeight="1" x14ac:dyDescent="0.3">
      <c r="A278">
        <v>323</v>
      </c>
      <c r="B278">
        <v>65</v>
      </c>
      <c r="C278" t="s">
        <v>1028</v>
      </c>
      <c r="D278" t="s">
        <v>1029</v>
      </c>
      <c r="E278" t="s">
        <v>780</v>
      </c>
      <c r="F278">
        <v>2023</v>
      </c>
      <c r="G278">
        <v>1</v>
      </c>
      <c r="H278">
        <v>0</v>
      </c>
      <c r="I278">
        <v>20</v>
      </c>
      <c r="J278">
        <v>13.3333333333333</v>
      </c>
      <c r="K278">
        <v>1600000000</v>
      </c>
      <c r="L278">
        <v>43</v>
      </c>
      <c r="M278">
        <v>68800000</v>
      </c>
      <c r="N278">
        <v>580474000</v>
      </c>
      <c r="O278">
        <v>686942000</v>
      </c>
      <c r="P278">
        <v>12553000</v>
      </c>
      <c r="Q278">
        <v>0.94516567628708104</v>
      </c>
      <c r="R278">
        <v>20.347760421586202</v>
      </c>
      <c r="S278">
        <v>0.84501166037307396</v>
      </c>
      <c r="T278">
        <v>1.8273740723379901E-2</v>
      </c>
      <c r="U278">
        <v>1970</v>
      </c>
      <c r="V278">
        <v>53</v>
      </c>
      <c r="W278">
        <v>1</v>
      </c>
      <c r="X278" t="s">
        <v>1012</v>
      </c>
      <c r="Y278" t="s">
        <v>1577</v>
      </c>
      <c r="Z278" t="s">
        <v>2141</v>
      </c>
    </row>
    <row r="279" spans="1:26" ht="15" customHeight="1" x14ac:dyDescent="0.3">
      <c r="A279">
        <v>324</v>
      </c>
      <c r="B279">
        <v>65</v>
      </c>
      <c r="C279" t="s">
        <v>1028</v>
      </c>
      <c r="D279" t="s">
        <v>1029</v>
      </c>
      <c r="E279" t="s">
        <v>780</v>
      </c>
      <c r="F279">
        <v>2024</v>
      </c>
      <c r="G279">
        <v>1</v>
      </c>
      <c r="H279">
        <v>0</v>
      </c>
      <c r="I279">
        <v>55</v>
      </c>
      <c r="J279">
        <v>20</v>
      </c>
      <c r="K279">
        <v>1600000000</v>
      </c>
      <c r="L279">
        <v>155.25</v>
      </c>
      <c r="M279">
        <v>248400000</v>
      </c>
      <c r="N279">
        <v>677255000</v>
      </c>
      <c r="O279">
        <v>1023035000</v>
      </c>
      <c r="P279">
        <v>15260000</v>
      </c>
      <c r="Q279">
        <v>0.90481264081874002</v>
      </c>
      <c r="R279">
        <v>20.7460395364294</v>
      </c>
      <c r="S279">
        <v>0.66200569872976001</v>
      </c>
      <c r="T279">
        <v>1.49164007096531E-2</v>
      </c>
      <c r="U279">
        <v>1970</v>
      </c>
      <c r="V279">
        <v>54</v>
      </c>
      <c r="W279">
        <v>1</v>
      </c>
      <c r="X279" t="s">
        <v>1012</v>
      </c>
      <c r="Y279" t="s">
        <v>1577</v>
      </c>
      <c r="Z279" t="s">
        <v>2141</v>
      </c>
    </row>
    <row r="280" spans="1:26" ht="15" customHeight="1" x14ac:dyDescent="0.3">
      <c r="A280">
        <v>325</v>
      </c>
      <c r="B280">
        <v>65</v>
      </c>
      <c r="C280" t="s">
        <v>1028</v>
      </c>
      <c r="D280" t="s">
        <v>1029</v>
      </c>
      <c r="E280" t="s">
        <v>780</v>
      </c>
      <c r="F280">
        <v>2025</v>
      </c>
      <c r="G280">
        <v>1</v>
      </c>
      <c r="H280">
        <v>0</v>
      </c>
      <c r="I280">
        <v>55</v>
      </c>
      <c r="J280">
        <v>20</v>
      </c>
      <c r="K280">
        <v>1600000000</v>
      </c>
      <c r="L280">
        <v>152.9</v>
      </c>
      <c r="M280">
        <v>244640000</v>
      </c>
      <c r="N280">
        <v>792453000</v>
      </c>
      <c r="O280">
        <v>1080664000</v>
      </c>
      <c r="P280">
        <v>29908000</v>
      </c>
      <c r="Q280">
        <v>0.95968127003397896</v>
      </c>
      <c r="R280">
        <v>20.800841503976201</v>
      </c>
      <c r="S280">
        <v>0.733301932885707</v>
      </c>
      <c r="T280">
        <v>2.7675577237698298E-2</v>
      </c>
      <c r="U280">
        <v>1970</v>
      </c>
      <c r="V280">
        <v>55</v>
      </c>
      <c r="W280">
        <v>1</v>
      </c>
      <c r="X280" t="s">
        <v>1012</v>
      </c>
      <c r="Y280" t="s">
        <v>1577</v>
      </c>
      <c r="Z280" t="s">
        <v>2141</v>
      </c>
    </row>
    <row r="281" spans="1:26" ht="15" customHeight="1" x14ac:dyDescent="0.3">
      <c r="A281">
        <v>326</v>
      </c>
      <c r="B281">
        <v>66</v>
      </c>
      <c r="C281" t="s">
        <v>1032</v>
      </c>
      <c r="D281" t="s">
        <v>1033</v>
      </c>
      <c r="E281" t="s">
        <v>870</v>
      </c>
      <c r="F281">
        <v>2021</v>
      </c>
      <c r="G281">
        <v>0</v>
      </c>
      <c r="H281">
        <v>0</v>
      </c>
      <c r="I281">
        <v>0</v>
      </c>
      <c r="J281">
        <v>0</v>
      </c>
      <c r="K281">
        <v>390000000</v>
      </c>
      <c r="L281">
        <v>0.72</v>
      </c>
      <c r="M281">
        <v>280800</v>
      </c>
      <c r="N281">
        <v>8919000</v>
      </c>
      <c r="O281">
        <v>10928000</v>
      </c>
      <c r="P281">
        <v>-508000</v>
      </c>
      <c r="Q281">
        <v>0.84185578330893096</v>
      </c>
      <c r="R281">
        <v>16.206838860792701</v>
      </c>
      <c r="S281">
        <v>0.81616032210834599</v>
      </c>
      <c r="T281">
        <v>-4.6486090775988302E-2</v>
      </c>
      <c r="U281">
        <v>1961</v>
      </c>
      <c r="V281">
        <v>60</v>
      </c>
      <c r="W281">
        <v>0</v>
      </c>
      <c r="X281" t="s">
        <v>885</v>
      </c>
      <c r="Y281" t="s">
        <v>1578</v>
      </c>
      <c r="Z281" t="s">
        <v>2141</v>
      </c>
    </row>
    <row r="282" spans="1:26" ht="15" customHeight="1" x14ac:dyDescent="0.3">
      <c r="A282">
        <v>327</v>
      </c>
      <c r="B282">
        <v>66</v>
      </c>
      <c r="C282" t="s">
        <v>1032</v>
      </c>
      <c r="D282" t="s">
        <v>1033</v>
      </c>
      <c r="E282" t="s">
        <v>870</v>
      </c>
      <c r="F282">
        <v>2022</v>
      </c>
      <c r="G282">
        <v>0</v>
      </c>
      <c r="H282">
        <v>0</v>
      </c>
      <c r="I282">
        <v>0</v>
      </c>
      <c r="J282">
        <v>0</v>
      </c>
      <c r="K282">
        <v>390000000</v>
      </c>
      <c r="L282">
        <v>0.73</v>
      </c>
      <c r="M282">
        <v>284700</v>
      </c>
      <c r="N282">
        <v>7955000</v>
      </c>
      <c r="O282">
        <v>10557000</v>
      </c>
      <c r="P282">
        <v>541000</v>
      </c>
      <c r="Q282">
        <v>0.78049635313062404</v>
      </c>
      <c r="R282">
        <v>16.172299704971799</v>
      </c>
      <c r="S282">
        <v>0.75352846452590705</v>
      </c>
      <c r="T282">
        <v>5.1245619020555098E-2</v>
      </c>
      <c r="U282">
        <v>1961</v>
      </c>
      <c r="V282">
        <v>61</v>
      </c>
      <c r="W282">
        <v>0</v>
      </c>
      <c r="X282" t="s">
        <v>885</v>
      </c>
      <c r="Y282" t="s">
        <v>1578</v>
      </c>
      <c r="Z282" t="s">
        <v>2141</v>
      </c>
    </row>
    <row r="283" spans="1:26" ht="15" customHeight="1" x14ac:dyDescent="0.3">
      <c r="A283">
        <v>328</v>
      </c>
      <c r="B283">
        <v>66</v>
      </c>
      <c r="C283" t="s">
        <v>1032</v>
      </c>
      <c r="D283" t="s">
        <v>1033</v>
      </c>
      <c r="E283" t="s">
        <v>870</v>
      </c>
      <c r="F283">
        <v>2023</v>
      </c>
      <c r="G283">
        <v>1</v>
      </c>
      <c r="H283">
        <v>0</v>
      </c>
      <c r="I283">
        <v>0</v>
      </c>
      <c r="J283">
        <v>0</v>
      </c>
      <c r="K283">
        <v>390000000</v>
      </c>
      <c r="L283">
        <v>2.31</v>
      </c>
      <c r="M283">
        <v>900900</v>
      </c>
      <c r="N283">
        <v>12554000</v>
      </c>
      <c r="O283">
        <v>14477000</v>
      </c>
      <c r="P283">
        <v>-1000000</v>
      </c>
      <c r="Q283">
        <v>0.92939835601298604</v>
      </c>
      <c r="R283">
        <v>16.488071741136199</v>
      </c>
      <c r="S283">
        <v>0.86716861228154996</v>
      </c>
      <c r="T283">
        <v>-6.9075084616978699E-2</v>
      </c>
      <c r="U283">
        <v>1961</v>
      </c>
      <c r="V283">
        <v>62</v>
      </c>
      <c r="W283">
        <v>0</v>
      </c>
      <c r="X283" t="s">
        <v>885</v>
      </c>
      <c r="Y283" t="s">
        <v>1578</v>
      </c>
      <c r="Z283" t="s">
        <v>2141</v>
      </c>
    </row>
    <row r="284" spans="1:26" ht="15" customHeight="1" x14ac:dyDescent="0.3">
      <c r="A284">
        <v>329</v>
      </c>
      <c r="B284">
        <v>66</v>
      </c>
      <c r="C284" t="s">
        <v>1032</v>
      </c>
      <c r="D284" t="s">
        <v>1033</v>
      </c>
      <c r="E284" t="s">
        <v>870</v>
      </c>
      <c r="F284">
        <v>2024</v>
      </c>
      <c r="G284">
        <v>1</v>
      </c>
      <c r="H284">
        <v>0</v>
      </c>
      <c r="I284">
        <v>0</v>
      </c>
      <c r="J284">
        <v>0</v>
      </c>
      <c r="K284">
        <v>389160000</v>
      </c>
      <c r="L284">
        <v>7.79</v>
      </c>
      <c r="M284">
        <v>3031556.4</v>
      </c>
      <c r="N284">
        <v>4076000</v>
      </c>
      <c r="O284">
        <v>8873000</v>
      </c>
      <c r="P284">
        <v>2474000</v>
      </c>
      <c r="Q284">
        <v>0.80103193959202101</v>
      </c>
      <c r="R284">
        <v>15.998523515817499</v>
      </c>
      <c r="S284">
        <v>0.45937112588752399</v>
      </c>
      <c r="T284">
        <v>0.278823396821819</v>
      </c>
      <c r="U284">
        <v>1961</v>
      </c>
      <c r="V284">
        <v>63</v>
      </c>
      <c r="W284">
        <v>0</v>
      </c>
      <c r="X284" t="s">
        <v>885</v>
      </c>
      <c r="Y284" t="s">
        <v>1578</v>
      </c>
      <c r="Z284" t="s">
        <v>2141</v>
      </c>
    </row>
    <row r="285" spans="1:26" ht="15" customHeight="1" x14ac:dyDescent="0.3">
      <c r="A285">
        <v>330</v>
      </c>
      <c r="B285">
        <v>66</v>
      </c>
      <c r="C285" t="s">
        <v>1032</v>
      </c>
      <c r="D285" t="s">
        <v>1033</v>
      </c>
      <c r="E285" t="s">
        <v>870</v>
      </c>
      <c r="F285">
        <v>2025</v>
      </c>
      <c r="G285">
        <v>1</v>
      </c>
      <c r="H285">
        <v>0</v>
      </c>
      <c r="I285">
        <v>0</v>
      </c>
      <c r="J285">
        <v>0</v>
      </c>
      <c r="K285">
        <v>389160000</v>
      </c>
      <c r="L285">
        <v>4.91</v>
      </c>
      <c r="M285">
        <v>1910775.6</v>
      </c>
      <c r="N285">
        <v>4474000</v>
      </c>
      <c r="O285">
        <v>9740000</v>
      </c>
      <c r="P285">
        <v>469000</v>
      </c>
      <c r="Q285">
        <v>0.65552110882956904</v>
      </c>
      <c r="R285">
        <v>16.091751675618699</v>
      </c>
      <c r="S285">
        <v>0.45934291581108799</v>
      </c>
      <c r="T285">
        <v>4.8151950718685797E-2</v>
      </c>
      <c r="U285">
        <v>1961</v>
      </c>
      <c r="V285">
        <v>64</v>
      </c>
      <c r="W285">
        <v>0</v>
      </c>
      <c r="X285" t="s">
        <v>885</v>
      </c>
      <c r="Y285" t="s">
        <v>1578</v>
      </c>
      <c r="Z285" t="s">
        <v>2141</v>
      </c>
    </row>
    <row r="286" spans="1:26" ht="15" customHeight="1" x14ac:dyDescent="0.3">
      <c r="A286">
        <v>331</v>
      </c>
      <c r="B286">
        <v>67</v>
      </c>
      <c r="C286" t="s">
        <v>1036</v>
      </c>
      <c r="D286" t="s">
        <v>1037</v>
      </c>
      <c r="E286" t="s">
        <v>715</v>
      </c>
      <c r="F286">
        <v>2021</v>
      </c>
      <c r="G286">
        <v>0</v>
      </c>
      <c r="H286">
        <v>0</v>
      </c>
      <c r="I286">
        <v>0</v>
      </c>
      <c r="J286">
        <v>0</v>
      </c>
      <c r="K286">
        <v>199910000</v>
      </c>
      <c r="L286">
        <v>0.91</v>
      </c>
      <c r="M286">
        <v>181918.1</v>
      </c>
      <c r="N286">
        <v>578460</v>
      </c>
      <c r="O286">
        <v>238620</v>
      </c>
      <c r="P286">
        <v>-24420</v>
      </c>
      <c r="Q286">
        <v>3.1865648311122299</v>
      </c>
      <c r="R286">
        <v>12.3826276074298</v>
      </c>
      <c r="S286">
        <v>2.4241890872516998</v>
      </c>
      <c r="T286">
        <v>-0.102338446064873</v>
      </c>
      <c r="U286">
        <v>1972</v>
      </c>
      <c r="V286">
        <v>49</v>
      </c>
      <c r="W286">
        <v>0</v>
      </c>
      <c r="X286" t="s">
        <v>1039</v>
      </c>
      <c r="Y286" t="s">
        <v>1579</v>
      </c>
      <c r="Z286" t="s">
        <v>2141</v>
      </c>
    </row>
    <row r="287" spans="1:26" ht="15" customHeight="1" x14ac:dyDescent="0.3">
      <c r="A287">
        <v>332</v>
      </c>
      <c r="B287">
        <v>67</v>
      </c>
      <c r="C287" t="s">
        <v>1036</v>
      </c>
      <c r="D287" t="s">
        <v>1037</v>
      </c>
      <c r="E287" t="s">
        <v>715</v>
      </c>
      <c r="F287">
        <v>2022</v>
      </c>
      <c r="G287">
        <v>0</v>
      </c>
      <c r="H287">
        <v>0</v>
      </c>
      <c r="I287">
        <v>0</v>
      </c>
      <c r="J287">
        <v>0</v>
      </c>
      <c r="K287">
        <v>200000000</v>
      </c>
      <c r="L287">
        <v>0.79</v>
      </c>
      <c r="M287">
        <v>158000</v>
      </c>
      <c r="N287">
        <v>806000</v>
      </c>
      <c r="O287">
        <v>58440</v>
      </c>
      <c r="P287">
        <v>-67000</v>
      </c>
      <c r="Q287">
        <v>16.4955509924709</v>
      </c>
      <c r="R287">
        <v>10.975755865864601</v>
      </c>
      <c r="S287">
        <v>13.791923340178</v>
      </c>
      <c r="T287">
        <v>-1.1464750171115701</v>
      </c>
      <c r="U287">
        <v>1972</v>
      </c>
      <c r="V287">
        <v>50</v>
      </c>
      <c r="W287">
        <v>0</v>
      </c>
      <c r="X287" t="s">
        <v>1039</v>
      </c>
      <c r="Y287" t="s">
        <v>1579</v>
      </c>
      <c r="Z287" t="s">
        <v>2141</v>
      </c>
    </row>
    <row r="288" spans="1:26" ht="15" customHeight="1" x14ac:dyDescent="0.3">
      <c r="A288">
        <v>333</v>
      </c>
      <c r="B288">
        <v>67</v>
      </c>
      <c r="C288" t="s">
        <v>1036</v>
      </c>
      <c r="D288" t="s">
        <v>1037</v>
      </c>
      <c r="E288" t="s">
        <v>715</v>
      </c>
      <c r="F288">
        <v>2023</v>
      </c>
      <c r="G288">
        <v>1</v>
      </c>
      <c r="H288">
        <v>0</v>
      </c>
      <c r="I288">
        <v>0</v>
      </c>
      <c r="J288">
        <v>0</v>
      </c>
      <c r="K288">
        <v>200000000</v>
      </c>
      <c r="L288">
        <v>0.59</v>
      </c>
      <c r="M288">
        <v>118000</v>
      </c>
      <c r="N288">
        <v>909930</v>
      </c>
      <c r="O288">
        <v>162300</v>
      </c>
      <c r="P288">
        <v>-80</v>
      </c>
      <c r="Q288">
        <v>6.33351817621688</v>
      </c>
      <c r="R288">
        <v>11.997201753502701</v>
      </c>
      <c r="S288">
        <v>5.60646950092422</v>
      </c>
      <c r="T288">
        <v>-4.9291435613062196E-4</v>
      </c>
      <c r="U288">
        <v>1972</v>
      </c>
      <c r="V288">
        <v>51</v>
      </c>
      <c r="W288">
        <v>0</v>
      </c>
      <c r="X288" t="s">
        <v>1039</v>
      </c>
      <c r="Y288" t="s">
        <v>1579</v>
      </c>
      <c r="Z288" t="s">
        <v>2141</v>
      </c>
    </row>
    <row r="289" spans="1:26" ht="15" customHeight="1" x14ac:dyDescent="0.3">
      <c r="A289">
        <v>334</v>
      </c>
      <c r="B289">
        <v>67</v>
      </c>
      <c r="C289" t="s">
        <v>1036</v>
      </c>
      <c r="D289" t="s">
        <v>1037</v>
      </c>
      <c r="E289" t="s">
        <v>715</v>
      </c>
      <c r="F289">
        <v>2024</v>
      </c>
      <c r="G289">
        <v>1</v>
      </c>
      <c r="H289">
        <v>0</v>
      </c>
      <c r="I289">
        <v>0</v>
      </c>
      <c r="J289">
        <v>0</v>
      </c>
      <c r="K289">
        <v>200000000</v>
      </c>
      <c r="L289">
        <v>10.3</v>
      </c>
      <c r="M289">
        <v>2060000</v>
      </c>
      <c r="N289">
        <v>219810</v>
      </c>
      <c r="O289">
        <v>207740</v>
      </c>
      <c r="P289">
        <v>35580</v>
      </c>
      <c r="Q289">
        <v>10.9743429286608</v>
      </c>
      <c r="R289">
        <v>12.2440425767818</v>
      </c>
      <c r="S289">
        <v>1.0581014729950899</v>
      </c>
      <c r="T289">
        <v>0.17127178203523599</v>
      </c>
      <c r="U289">
        <v>1972</v>
      </c>
      <c r="V289">
        <v>52</v>
      </c>
      <c r="W289">
        <v>0</v>
      </c>
      <c r="X289" t="s">
        <v>1039</v>
      </c>
      <c r="Y289" t="s">
        <v>1579</v>
      </c>
      <c r="Z289" t="s">
        <v>2141</v>
      </c>
    </row>
    <row r="290" spans="1:26" ht="15" customHeight="1" x14ac:dyDescent="0.3">
      <c r="A290">
        <v>335</v>
      </c>
      <c r="B290">
        <v>67</v>
      </c>
      <c r="C290" t="s">
        <v>1036</v>
      </c>
      <c r="D290" t="s">
        <v>1037</v>
      </c>
      <c r="E290" t="s">
        <v>715</v>
      </c>
      <c r="F290">
        <v>2025</v>
      </c>
      <c r="G290">
        <v>1</v>
      </c>
      <c r="H290">
        <v>0</v>
      </c>
      <c r="I290">
        <v>0</v>
      </c>
      <c r="J290">
        <v>0</v>
      </c>
      <c r="K290">
        <v>200000000</v>
      </c>
      <c r="L290">
        <v>8.0500000000000007</v>
      </c>
      <c r="M290">
        <v>1610000</v>
      </c>
      <c r="N290">
        <v>156530</v>
      </c>
      <c r="O290">
        <v>129730</v>
      </c>
      <c r="P290">
        <v>20780</v>
      </c>
      <c r="Q290">
        <v>13.6169737146381</v>
      </c>
      <c r="R290">
        <v>11.773210646565101</v>
      </c>
      <c r="S290">
        <v>1.2065829029522901</v>
      </c>
      <c r="T290">
        <v>0.16017883296076499</v>
      </c>
      <c r="U290">
        <v>1972</v>
      </c>
      <c r="V290">
        <v>53</v>
      </c>
      <c r="W290">
        <v>0</v>
      </c>
      <c r="X290" t="s">
        <v>1039</v>
      </c>
      <c r="Y290" t="s">
        <v>1579</v>
      </c>
      <c r="Z290" t="s">
        <v>2141</v>
      </c>
    </row>
    <row r="291" spans="1:26" ht="15" customHeight="1" x14ac:dyDescent="0.3">
      <c r="A291">
        <v>336</v>
      </c>
      <c r="B291">
        <v>68</v>
      </c>
      <c r="C291" t="s">
        <v>1041</v>
      </c>
      <c r="D291" t="s">
        <v>1042</v>
      </c>
      <c r="E291" t="s">
        <v>709</v>
      </c>
      <c r="F291">
        <v>2021</v>
      </c>
      <c r="G291">
        <v>0</v>
      </c>
      <c r="H291">
        <v>0</v>
      </c>
      <c r="I291">
        <v>0</v>
      </c>
      <c r="J291">
        <v>0</v>
      </c>
      <c r="K291">
        <v>1834000000</v>
      </c>
      <c r="L291">
        <v>1.05</v>
      </c>
      <c r="M291">
        <v>1925700</v>
      </c>
      <c r="N291">
        <v>12650000</v>
      </c>
      <c r="O291">
        <v>23958000</v>
      </c>
      <c r="P291">
        <v>261380</v>
      </c>
      <c r="Q291">
        <v>0.60838550797228497</v>
      </c>
      <c r="R291">
        <v>16.991812855273398</v>
      </c>
      <c r="S291">
        <v>0.52800734618916401</v>
      </c>
      <c r="T291">
        <v>1.0909925703314101E-2</v>
      </c>
      <c r="U291">
        <v>1979</v>
      </c>
      <c r="V291">
        <v>42</v>
      </c>
      <c r="W291">
        <v>0</v>
      </c>
      <c r="X291" t="s">
        <v>975</v>
      </c>
      <c r="Y291" t="s">
        <v>1580</v>
      </c>
      <c r="Z291" t="s">
        <v>2141</v>
      </c>
    </row>
    <row r="292" spans="1:26" ht="15" customHeight="1" x14ac:dyDescent="0.3">
      <c r="A292">
        <v>337</v>
      </c>
      <c r="B292">
        <v>68</v>
      </c>
      <c r="C292" t="s">
        <v>1041</v>
      </c>
      <c r="D292" t="s">
        <v>1042</v>
      </c>
      <c r="E292" t="s">
        <v>709</v>
      </c>
      <c r="F292">
        <v>2022</v>
      </c>
      <c r="G292">
        <v>0</v>
      </c>
      <c r="H292">
        <v>0</v>
      </c>
      <c r="I292">
        <v>0</v>
      </c>
      <c r="J292">
        <v>0</v>
      </c>
      <c r="K292">
        <v>1834000000</v>
      </c>
      <c r="L292">
        <v>0.87</v>
      </c>
      <c r="M292">
        <v>1595580</v>
      </c>
      <c r="N292">
        <v>13264000</v>
      </c>
      <c r="O292">
        <v>25598000</v>
      </c>
      <c r="P292">
        <v>1518000</v>
      </c>
      <c r="Q292">
        <v>0.58049769513243199</v>
      </c>
      <c r="R292">
        <v>17.058024781397901</v>
      </c>
      <c r="S292">
        <v>0.51816548167825605</v>
      </c>
      <c r="T292">
        <v>5.9301507930307099E-2</v>
      </c>
      <c r="U292">
        <v>1979</v>
      </c>
      <c r="V292">
        <v>43</v>
      </c>
      <c r="W292">
        <v>0</v>
      </c>
      <c r="X292" t="s">
        <v>975</v>
      </c>
      <c r="Y292" t="s">
        <v>1580</v>
      </c>
      <c r="Z292" t="s">
        <v>2141</v>
      </c>
    </row>
    <row r="293" spans="1:26" ht="15" customHeight="1" x14ac:dyDescent="0.3">
      <c r="A293">
        <v>338</v>
      </c>
      <c r="B293">
        <v>68</v>
      </c>
      <c r="C293" t="s">
        <v>1041</v>
      </c>
      <c r="D293" t="s">
        <v>1042</v>
      </c>
      <c r="E293" t="s">
        <v>709</v>
      </c>
      <c r="F293">
        <v>2023</v>
      </c>
      <c r="G293">
        <v>1</v>
      </c>
      <c r="H293">
        <v>0</v>
      </c>
      <c r="I293">
        <v>0</v>
      </c>
      <c r="J293">
        <v>0</v>
      </c>
      <c r="K293">
        <v>1834000000</v>
      </c>
      <c r="L293">
        <v>1.9</v>
      </c>
      <c r="M293">
        <v>3484600</v>
      </c>
      <c r="N293">
        <v>13313000</v>
      </c>
      <c r="O293">
        <v>26970000</v>
      </c>
      <c r="P293">
        <v>1318000</v>
      </c>
      <c r="Q293">
        <v>0.622825361512792</v>
      </c>
      <c r="R293">
        <v>17.1102356951159</v>
      </c>
      <c r="S293">
        <v>0.49362254356692598</v>
      </c>
      <c r="T293">
        <v>4.88691138301817E-2</v>
      </c>
      <c r="U293">
        <v>1979</v>
      </c>
      <c r="V293">
        <v>44</v>
      </c>
      <c r="W293">
        <v>0</v>
      </c>
      <c r="X293" t="s">
        <v>975</v>
      </c>
      <c r="Y293" t="s">
        <v>1580</v>
      </c>
      <c r="Z293" t="s">
        <v>2141</v>
      </c>
    </row>
    <row r="294" spans="1:26" ht="15" customHeight="1" x14ac:dyDescent="0.3">
      <c r="A294">
        <v>339</v>
      </c>
      <c r="B294">
        <v>68</v>
      </c>
      <c r="C294" t="s">
        <v>1041</v>
      </c>
      <c r="D294" t="s">
        <v>1042</v>
      </c>
      <c r="E294" t="s">
        <v>709</v>
      </c>
      <c r="F294">
        <v>2024</v>
      </c>
      <c r="G294">
        <v>1</v>
      </c>
      <c r="H294">
        <v>0</v>
      </c>
      <c r="I294">
        <v>0</v>
      </c>
      <c r="J294">
        <v>0</v>
      </c>
      <c r="K294">
        <v>1834000000</v>
      </c>
      <c r="L294">
        <v>3.09</v>
      </c>
      <c r="M294">
        <v>5667060</v>
      </c>
      <c r="N294">
        <v>19002000</v>
      </c>
      <c r="O294">
        <v>31264000</v>
      </c>
      <c r="P294">
        <v>1819000</v>
      </c>
      <c r="Q294">
        <v>0.78905642272262</v>
      </c>
      <c r="R294">
        <v>17.257977833824601</v>
      </c>
      <c r="S294">
        <v>0.60779170931422699</v>
      </c>
      <c r="T294">
        <v>5.8181934493347E-2</v>
      </c>
      <c r="U294">
        <v>1979</v>
      </c>
      <c r="V294">
        <v>45</v>
      </c>
      <c r="W294">
        <v>0</v>
      </c>
      <c r="X294" t="s">
        <v>975</v>
      </c>
      <c r="Y294" t="s">
        <v>1580</v>
      </c>
      <c r="Z294" t="s">
        <v>2141</v>
      </c>
    </row>
    <row r="295" spans="1:26" ht="15" customHeight="1" x14ac:dyDescent="0.3">
      <c r="A295">
        <v>340</v>
      </c>
      <c r="B295">
        <v>68</v>
      </c>
      <c r="C295" t="s">
        <v>1041</v>
      </c>
      <c r="D295" t="s">
        <v>1042</v>
      </c>
      <c r="E295" t="s">
        <v>709</v>
      </c>
      <c r="F295">
        <v>2025</v>
      </c>
      <c r="G295">
        <v>1</v>
      </c>
      <c r="H295">
        <v>0</v>
      </c>
      <c r="I295">
        <v>0</v>
      </c>
      <c r="J295">
        <v>0</v>
      </c>
      <c r="K295">
        <v>11084000000</v>
      </c>
      <c r="L295">
        <v>2.4500000000000002</v>
      </c>
      <c r="M295">
        <v>27155800</v>
      </c>
      <c r="N295">
        <v>19219000</v>
      </c>
      <c r="O295">
        <v>39628000</v>
      </c>
      <c r="P295">
        <v>-2801000</v>
      </c>
      <c r="Q295">
        <v>1.1702533562127799</v>
      </c>
      <c r="R295">
        <v>17.495046497075101</v>
      </c>
      <c r="S295">
        <v>0.484985363884122</v>
      </c>
      <c r="T295">
        <v>-7.0682345816089606E-2</v>
      </c>
      <c r="U295">
        <v>1979</v>
      </c>
      <c r="V295">
        <v>46</v>
      </c>
      <c r="W295">
        <v>0</v>
      </c>
      <c r="X295" t="s">
        <v>975</v>
      </c>
      <c r="Y295" t="s">
        <v>1580</v>
      </c>
      <c r="Z295" t="s">
        <v>2141</v>
      </c>
    </row>
    <row r="296" spans="1:26" ht="15" customHeight="1" x14ac:dyDescent="0.3">
      <c r="A296">
        <v>341</v>
      </c>
      <c r="B296">
        <v>69</v>
      </c>
      <c r="C296" t="s">
        <v>1045</v>
      </c>
      <c r="D296" t="s">
        <v>1046</v>
      </c>
      <c r="E296" t="s">
        <v>715</v>
      </c>
      <c r="F296">
        <v>2021</v>
      </c>
      <c r="G296">
        <v>0</v>
      </c>
      <c r="H296">
        <v>0</v>
      </c>
      <c r="I296">
        <v>0</v>
      </c>
      <c r="J296">
        <v>0</v>
      </c>
      <c r="K296">
        <v>771450000</v>
      </c>
      <c r="L296">
        <v>1.17</v>
      </c>
      <c r="M296">
        <v>902596.5</v>
      </c>
      <c r="N296">
        <v>1238450</v>
      </c>
      <c r="O296">
        <v>4467224</v>
      </c>
      <c r="P296">
        <v>161082</v>
      </c>
      <c r="Q296">
        <v>0.47927896608721698</v>
      </c>
      <c r="R296">
        <v>15.312277744588499</v>
      </c>
      <c r="S296">
        <v>0.27723033364792099</v>
      </c>
      <c r="T296">
        <v>3.6058635071803E-2</v>
      </c>
      <c r="U296">
        <v>1961</v>
      </c>
      <c r="V296">
        <v>60</v>
      </c>
      <c r="W296">
        <v>0</v>
      </c>
      <c r="X296" t="s">
        <v>832</v>
      </c>
      <c r="Y296" t="s">
        <v>1581</v>
      </c>
      <c r="Z296" t="s">
        <v>2141</v>
      </c>
    </row>
    <row r="297" spans="1:26" ht="15" customHeight="1" x14ac:dyDescent="0.3">
      <c r="A297">
        <v>342</v>
      </c>
      <c r="B297">
        <v>69</v>
      </c>
      <c r="C297" t="s">
        <v>1045</v>
      </c>
      <c r="D297" t="s">
        <v>1046</v>
      </c>
      <c r="E297" t="s">
        <v>715</v>
      </c>
      <c r="F297">
        <v>2022</v>
      </c>
      <c r="G297">
        <v>0</v>
      </c>
      <c r="H297">
        <v>0</v>
      </c>
      <c r="I297">
        <v>0</v>
      </c>
      <c r="J297">
        <v>0</v>
      </c>
      <c r="K297">
        <v>867880000</v>
      </c>
      <c r="L297">
        <v>1.04</v>
      </c>
      <c r="M297">
        <v>902595.2</v>
      </c>
      <c r="N297">
        <v>1430000</v>
      </c>
      <c r="O297">
        <v>4945000</v>
      </c>
      <c r="P297">
        <v>401580</v>
      </c>
      <c r="Q297">
        <v>0.47170782608695699</v>
      </c>
      <c r="R297">
        <v>15.413887523039</v>
      </c>
      <c r="S297">
        <v>0.28918099089989902</v>
      </c>
      <c r="T297">
        <v>8.1209302325581406E-2</v>
      </c>
      <c r="U297">
        <v>1961</v>
      </c>
      <c r="V297">
        <v>61</v>
      </c>
      <c r="W297">
        <v>0</v>
      </c>
      <c r="X297" t="s">
        <v>832</v>
      </c>
      <c r="Y297" t="s">
        <v>1582</v>
      </c>
      <c r="Z297" t="s">
        <v>2141</v>
      </c>
    </row>
    <row r="298" spans="1:26" ht="15" customHeight="1" x14ac:dyDescent="0.3">
      <c r="A298">
        <v>343</v>
      </c>
      <c r="B298">
        <v>69</v>
      </c>
      <c r="C298" t="s">
        <v>1045</v>
      </c>
      <c r="D298" t="s">
        <v>1046</v>
      </c>
      <c r="E298" t="s">
        <v>715</v>
      </c>
      <c r="F298">
        <v>2023</v>
      </c>
      <c r="G298">
        <v>1</v>
      </c>
      <c r="H298">
        <v>0</v>
      </c>
      <c r="I298">
        <v>0</v>
      </c>
      <c r="J298">
        <v>0</v>
      </c>
      <c r="K298">
        <v>867880000</v>
      </c>
      <c r="L298">
        <v>1.96</v>
      </c>
      <c r="M298">
        <v>1701044.8</v>
      </c>
      <c r="N298">
        <v>1403000</v>
      </c>
      <c r="O298">
        <v>5192000</v>
      </c>
      <c r="P298">
        <v>429530</v>
      </c>
      <c r="Q298">
        <v>0.59785146379044696</v>
      </c>
      <c r="R298">
        <v>15.4626295373661</v>
      </c>
      <c r="S298">
        <v>0.27022342064714899</v>
      </c>
      <c r="T298">
        <v>8.2729198767334394E-2</v>
      </c>
      <c r="U298">
        <v>1961</v>
      </c>
      <c r="V298">
        <v>62</v>
      </c>
      <c r="W298">
        <v>0</v>
      </c>
      <c r="X298" t="s">
        <v>832</v>
      </c>
      <c r="Y298" t="s">
        <v>1582</v>
      </c>
      <c r="Z298" t="s">
        <v>2141</v>
      </c>
    </row>
    <row r="299" spans="1:26" ht="15" customHeight="1" x14ac:dyDescent="0.3">
      <c r="A299">
        <v>344</v>
      </c>
      <c r="B299">
        <v>69</v>
      </c>
      <c r="C299" t="s">
        <v>1045</v>
      </c>
      <c r="D299" t="s">
        <v>1046</v>
      </c>
      <c r="E299" t="s">
        <v>715</v>
      </c>
      <c r="F299">
        <v>2024</v>
      </c>
      <c r="G299">
        <v>1</v>
      </c>
      <c r="H299">
        <v>0</v>
      </c>
      <c r="I299">
        <v>0</v>
      </c>
      <c r="J299">
        <v>0</v>
      </c>
      <c r="K299">
        <v>867880000</v>
      </c>
      <c r="L299">
        <v>2.84</v>
      </c>
      <c r="M299">
        <v>2464779.2000000002</v>
      </c>
      <c r="N299">
        <v>1255000</v>
      </c>
      <c r="O299">
        <v>4863000</v>
      </c>
      <c r="P299">
        <v>11200</v>
      </c>
      <c r="Q299">
        <v>0.76491449722393601</v>
      </c>
      <c r="R299">
        <v>15.3971660893859</v>
      </c>
      <c r="S299">
        <v>0.25807114949619597</v>
      </c>
      <c r="T299">
        <v>2.3031050791692399E-3</v>
      </c>
      <c r="U299">
        <v>1961</v>
      </c>
      <c r="V299">
        <v>63</v>
      </c>
      <c r="W299">
        <v>0</v>
      </c>
      <c r="X299" t="s">
        <v>832</v>
      </c>
      <c r="Y299" t="s">
        <v>1582</v>
      </c>
      <c r="Z299" t="s">
        <v>2141</v>
      </c>
    </row>
    <row r="300" spans="1:26" ht="15" customHeight="1" x14ac:dyDescent="0.3">
      <c r="A300">
        <v>345</v>
      </c>
      <c r="B300">
        <v>69</v>
      </c>
      <c r="C300" t="s">
        <v>1045</v>
      </c>
      <c r="D300" t="s">
        <v>1046</v>
      </c>
      <c r="E300" t="s">
        <v>715</v>
      </c>
      <c r="F300">
        <v>2025</v>
      </c>
      <c r="G300">
        <v>1</v>
      </c>
      <c r="H300">
        <v>0</v>
      </c>
      <c r="I300">
        <v>0</v>
      </c>
      <c r="J300">
        <v>0</v>
      </c>
      <c r="K300">
        <v>867880000</v>
      </c>
      <c r="L300">
        <v>4.51</v>
      </c>
      <c r="M300">
        <v>3914138.8</v>
      </c>
      <c r="N300">
        <v>1825000</v>
      </c>
      <c r="O300">
        <v>5908000</v>
      </c>
      <c r="P300">
        <v>474980</v>
      </c>
      <c r="Q300">
        <v>0.97141821259309402</v>
      </c>
      <c r="R300">
        <v>15.5918179226334</v>
      </c>
      <c r="S300">
        <v>0.30890318212593099</v>
      </c>
      <c r="T300">
        <v>8.0396073121191597E-2</v>
      </c>
      <c r="U300">
        <v>1961</v>
      </c>
      <c r="V300">
        <v>64</v>
      </c>
      <c r="W300">
        <v>0</v>
      </c>
      <c r="X300" t="s">
        <v>832</v>
      </c>
      <c r="Y300" t="s">
        <v>1582</v>
      </c>
      <c r="Z300" t="s">
        <v>2141</v>
      </c>
    </row>
    <row r="301" spans="1:26" ht="15" customHeight="1" x14ac:dyDescent="0.3">
      <c r="A301">
        <v>350</v>
      </c>
      <c r="B301">
        <v>70</v>
      </c>
      <c r="C301" t="s">
        <v>1049</v>
      </c>
      <c r="D301" t="s">
        <v>1050</v>
      </c>
      <c r="E301" t="s">
        <v>752</v>
      </c>
      <c r="F301">
        <v>2025</v>
      </c>
      <c r="G301">
        <v>1</v>
      </c>
      <c r="H301">
        <v>0</v>
      </c>
      <c r="I301">
        <v>0</v>
      </c>
      <c r="J301">
        <v>0</v>
      </c>
      <c r="K301">
        <v>2000000000</v>
      </c>
      <c r="L301">
        <v>5.29</v>
      </c>
      <c r="M301">
        <v>10580000</v>
      </c>
      <c r="N301">
        <v>467000</v>
      </c>
      <c r="O301">
        <v>3337000</v>
      </c>
      <c r="P301">
        <v>142457</v>
      </c>
      <c r="Q301">
        <v>3.31045849565478</v>
      </c>
      <c r="R301">
        <v>15.0205827577335</v>
      </c>
      <c r="S301">
        <v>0.139946059334732</v>
      </c>
      <c r="T301">
        <v>4.2690140845070397E-2</v>
      </c>
      <c r="U301">
        <v>2021</v>
      </c>
      <c r="V301">
        <v>4</v>
      </c>
      <c r="W301">
        <v>0</v>
      </c>
      <c r="X301" t="s">
        <v>1052</v>
      </c>
      <c r="Y301" t="s">
        <v>1583</v>
      </c>
      <c r="Z301" t="s">
        <v>2141</v>
      </c>
    </row>
    <row r="302" spans="1:26" ht="15" customHeight="1" x14ac:dyDescent="0.3">
      <c r="A302">
        <v>351</v>
      </c>
      <c r="B302">
        <v>71</v>
      </c>
      <c r="C302" t="s">
        <v>1054</v>
      </c>
      <c r="D302" t="s">
        <v>1055</v>
      </c>
      <c r="E302" t="s">
        <v>709</v>
      </c>
      <c r="F302">
        <v>2021</v>
      </c>
      <c r="G302">
        <v>0</v>
      </c>
      <c r="H302">
        <v>0</v>
      </c>
      <c r="I302">
        <v>0</v>
      </c>
      <c r="J302">
        <v>0</v>
      </c>
      <c r="K302">
        <v>18480000000</v>
      </c>
      <c r="L302">
        <v>0.29980000000000001</v>
      </c>
      <c r="M302">
        <v>5540304</v>
      </c>
      <c r="N302">
        <v>13147000</v>
      </c>
      <c r="O302">
        <v>20247000</v>
      </c>
      <c r="P302">
        <v>1233000</v>
      </c>
      <c r="Q302">
        <v>0.92296656294759705</v>
      </c>
      <c r="R302">
        <v>16.823517192393702</v>
      </c>
      <c r="S302">
        <v>0.64933076505161302</v>
      </c>
      <c r="T302">
        <v>6.0897910801600202E-2</v>
      </c>
      <c r="U302">
        <v>1991</v>
      </c>
      <c r="V302">
        <v>30</v>
      </c>
      <c r="W302">
        <v>1</v>
      </c>
      <c r="X302" t="s">
        <v>1057</v>
      </c>
      <c r="Y302" t="s">
        <v>1584</v>
      </c>
      <c r="Z302" t="s">
        <v>2141</v>
      </c>
    </row>
    <row r="303" spans="1:26" ht="15" customHeight="1" x14ac:dyDescent="0.3">
      <c r="A303">
        <v>352</v>
      </c>
      <c r="B303">
        <v>71</v>
      </c>
      <c r="C303" t="s">
        <v>1054</v>
      </c>
      <c r="D303" t="s">
        <v>1055</v>
      </c>
      <c r="E303" t="s">
        <v>709</v>
      </c>
      <c r="F303">
        <v>2022</v>
      </c>
      <c r="G303">
        <v>0</v>
      </c>
      <c r="H303">
        <v>0</v>
      </c>
      <c r="I303">
        <v>0</v>
      </c>
      <c r="J303">
        <v>0</v>
      </c>
      <c r="K303">
        <v>18480000000</v>
      </c>
      <c r="L303">
        <v>0.35</v>
      </c>
      <c r="M303">
        <v>6468000</v>
      </c>
      <c r="N303">
        <v>15935000</v>
      </c>
      <c r="O303">
        <v>23631000</v>
      </c>
      <c r="P303">
        <v>1401000</v>
      </c>
      <c r="Q303">
        <v>0.948034361643604</v>
      </c>
      <c r="R303">
        <v>16.978069967353601</v>
      </c>
      <c r="S303">
        <v>0.67432609707587499</v>
      </c>
      <c r="T303">
        <v>5.9286530404976501E-2</v>
      </c>
      <c r="U303">
        <v>1991</v>
      </c>
      <c r="V303">
        <v>31</v>
      </c>
      <c r="W303">
        <v>1</v>
      </c>
      <c r="X303" t="s">
        <v>1057</v>
      </c>
      <c r="Y303" t="s">
        <v>1584</v>
      </c>
      <c r="Z303" t="s">
        <v>2141</v>
      </c>
    </row>
    <row r="304" spans="1:26" ht="15" customHeight="1" x14ac:dyDescent="0.3">
      <c r="A304">
        <v>353</v>
      </c>
      <c r="B304">
        <v>71</v>
      </c>
      <c r="C304" t="s">
        <v>1054</v>
      </c>
      <c r="D304" t="s">
        <v>1055</v>
      </c>
      <c r="E304" t="s">
        <v>709</v>
      </c>
      <c r="F304">
        <v>2023</v>
      </c>
      <c r="G304">
        <v>1</v>
      </c>
      <c r="H304">
        <v>0</v>
      </c>
      <c r="I304">
        <v>0</v>
      </c>
      <c r="J304">
        <v>0</v>
      </c>
      <c r="K304">
        <v>18480000000</v>
      </c>
      <c r="L304">
        <v>0.45</v>
      </c>
      <c r="M304">
        <v>8316000</v>
      </c>
      <c r="N304">
        <v>19260000</v>
      </c>
      <c r="O304">
        <v>28130000</v>
      </c>
      <c r="P304">
        <v>1674000</v>
      </c>
      <c r="Q304">
        <v>0.980305723426946</v>
      </c>
      <c r="R304">
        <v>17.152347180465998</v>
      </c>
      <c r="S304">
        <v>0.684678279416993</v>
      </c>
      <c r="T304">
        <v>5.9509420547458197E-2</v>
      </c>
      <c r="U304">
        <v>1991</v>
      </c>
      <c r="V304">
        <v>32</v>
      </c>
      <c r="W304">
        <v>1</v>
      </c>
      <c r="X304" t="s">
        <v>1057</v>
      </c>
      <c r="Y304" t="s">
        <v>1584</v>
      </c>
      <c r="Z304" t="s">
        <v>2141</v>
      </c>
    </row>
    <row r="305" spans="1:26" ht="15" customHeight="1" x14ac:dyDescent="0.3">
      <c r="A305">
        <v>354</v>
      </c>
      <c r="B305">
        <v>71</v>
      </c>
      <c r="C305" t="s">
        <v>1054</v>
      </c>
      <c r="D305" t="s">
        <v>1055</v>
      </c>
      <c r="E305" t="s">
        <v>709</v>
      </c>
      <c r="F305">
        <v>2024</v>
      </c>
      <c r="G305">
        <v>1</v>
      </c>
      <c r="H305">
        <v>0</v>
      </c>
      <c r="I305">
        <v>0</v>
      </c>
      <c r="J305">
        <v>0</v>
      </c>
      <c r="K305">
        <v>18480000000</v>
      </c>
      <c r="L305">
        <v>0.63249999999999995</v>
      </c>
      <c r="M305">
        <v>11688600</v>
      </c>
      <c r="N305">
        <v>23940000</v>
      </c>
      <c r="O305">
        <v>34580000</v>
      </c>
      <c r="P305">
        <v>2050000</v>
      </c>
      <c r="Q305">
        <v>1.03032388663968</v>
      </c>
      <c r="R305">
        <v>17.358786038219399</v>
      </c>
      <c r="S305">
        <v>0.69230769230769196</v>
      </c>
      <c r="T305">
        <v>5.9282822440717198E-2</v>
      </c>
      <c r="U305">
        <v>1991</v>
      </c>
      <c r="V305">
        <v>33</v>
      </c>
      <c r="W305">
        <v>1</v>
      </c>
      <c r="X305" t="s">
        <v>1057</v>
      </c>
      <c r="Y305" t="s">
        <v>1584</v>
      </c>
      <c r="Z305" t="s">
        <v>2141</v>
      </c>
    </row>
    <row r="306" spans="1:26" ht="15" customHeight="1" x14ac:dyDescent="0.3">
      <c r="A306">
        <v>355</v>
      </c>
      <c r="B306">
        <v>71</v>
      </c>
      <c r="C306" t="s">
        <v>1054</v>
      </c>
      <c r="D306" t="s">
        <v>1055</v>
      </c>
      <c r="E306" t="s">
        <v>709</v>
      </c>
      <c r="F306">
        <v>2025</v>
      </c>
      <c r="G306">
        <v>1</v>
      </c>
      <c r="H306">
        <v>0</v>
      </c>
      <c r="I306">
        <v>0</v>
      </c>
      <c r="J306">
        <v>0</v>
      </c>
      <c r="K306">
        <v>18480000000</v>
      </c>
      <c r="L306">
        <v>0.76919999999999999</v>
      </c>
      <c r="M306">
        <v>14214816</v>
      </c>
      <c r="N306">
        <v>27610000</v>
      </c>
      <c r="O306">
        <v>40120000</v>
      </c>
      <c r="P306">
        <v>2290000</v>
      </c>
      <c r="Q306">
        <v>1.0424929212362899</v>
      </c>
      <c r="R306">
        <v>17.507385521058001</v>
      </c>
      <c r="S306">
        <v>0.68818544366899304</v>
      </c>
      <c r="T306">
        <v>5.7078763708873402E-2</v>
      </c>
      <c r="U306">
        <v>1991</v>
      </c>
      <c r="V306">
        <v>34</v>
      </c>
      <c r="W306">
        <v>1</v>
      </c>
      <c r="X306" t="s">
        <v>1057</v>
      </c>
      <c r="Y306" t="s">
        <v>1585</v>
      </c>
      <c r="Z306" t="s">
        <v>2141</v>
      </c>
    </row>
    <row r="307" spans="1:26" ht="15" customHeight="1" x14ac:dyDescent="0.3">
      <c r="A307">
        <v>356</v>
      </c>
      <c r="B307">
        <v>72</v>
      </c>
      <c r="C307" t="s">
        <v>1059</v>
      </c>
      <c r="D307" t="s">
        <v>1060</v>
      </c>
      <c r="E307" t="s">
        <v>903</v>
      </c>
      <c r="F307">
        <v>2021</v>
      </c>
      <c r="G307">
        <v>0</v>
      </c>
      <c r="H307">
        <v>0</v>
      </c>
      <c r="I307">
        <v>0</v>
      </c>
      <c r="J307">
        <v>0</v>
      </c>
      <c r="K307">
        <v>3000000000</v>
      </c>
      <c r="L307">
        <v>0.92</v>
      </c>
      <c r="M307">
        <v>2760000</v>
      </c>
      <c r="N307">
        <v>4890000</v>
      </c>
      <c r="O307">
        <v>9120000</v>
      </c>
      <c r="P307">
        <v>612000</v>
      </c>
      <c r="Q307">
        <v>0.83881578947368396</v>
      </c>
      <c r="R307">
        <v>16.0259803620505</v>
      </c>
      <c r="S307">
        <v>0.53618421052631604</v>
      </c>
      <c r="T307">
        <v>6.7105263157894696E-2</v>
      </c>
      <c r="U307">
        <v>1963</v>
      </c>
      <c r="V307">
        <v>58</v>
      </c>
      <c r="W307">
        <v>1</v>
      </c>
      <c r="X307" t="s">
        <v>1062</v>
      </c>
      <c r="Y307" t="s">
        <v>1586</v>
      </c>
      <c r="Z307" t="s">
        <v>2141</v>
      </c>
    </row>
    <row r="308" spans="1:26" ht="15" customHeight="1" x14ac:dyDescent="0.3">
      <c r="A308">
        <v>357</v>
      </c>
      <c r="B308">
        <v>72</v>
      </c>
      <c r="C308" t="s">
        <v>1059</v>
      </c>
      <c r="D308" t="s">
        <v>1060</v>
      </c>
      <c r="E308" t="s">
        <v>903</v>
      </c>
      <c r="F308">
        <v>2022</v>
      </c>
      <c r="G308">
        <v>0</v>
      </c>
      <c r="H308">
        <v>0</v>
      </c>
      <c r="I308">
        <v>0</v>
      </c>
      <c r="J308">
        <v>0</v>
      </c>
      <c r="K308">
        <v>3000000000</v>
      </c>
      <c r="L308">
        <v>1.0900000000000001</v>
      </c>
      <c r="M308">
        <v>3270000</v>
      </c>
      <c r="N308">
        <v>5640000</v>
      </c>
      <c r="O308">
        <v>10580000</v>
      </c>
      <c r="P308">
        <v>745000</v>
      </c>
      <c r="Q308">
        <v>0.842155009451796</v>
      </c>
      <c r="R308">
        <v>16.174475984394402</v>
      </c>
      <c r="S308">
        <v>0.53308128544423405</v>
      </c>
      <c r="T308">
        <v>7.0415879017013197E-2</v>
      </c>
      <c r="U308">
        <v>1963</v>
      </c>
      <c r="V308">
        <v>59</v>
      </c>
      <c r="W308">
        <v>1</v>
      </c>
      <c r="X308" t="s">
        <v>1062</v>
      </c>
      <c r="Y308" t="s">
        <v>1586</v>
      </c>
      <c r="Z308" t="s">
        <v>2141</v>
      </c>
    </row>
    <row r="309" spans="1:26" ht="15" customHeight="1" x14ac:dyDescent="0.3">
      <c r="A309">
        <v>358</v>
      </c>
      <c r="B309">
        <v>72</v>
      </c>
      <c r="C309" t="s">
        <v>1059</v>
      </c>
      <c r="D309" t="s">
        <v>1060</v>
      </c>
      <c r="E309" t="s">
        <v>903</v>
      </c>
      <c r="F309">
        <v>2023</v>
      </c>
      <c r="G309">
        <v>1</v>
      </c>
      <c r="H309">
        <v>0</v>
      </c>
      <c r="I309">
        <v>0</v>
      </c>
      <c r="J309">
        <v>0</v>
      </c>
      <c r="K309">
        <v>3000000000</v>
      </c>
      <c r="L309">
        <v>1.51</v>
      </c>
      <c r="M309">
        <v>4530000</v>
      </c>
      <c r="N309">
        <v>6920000</v>
      </c>
      <c r="O309">
        <v>13140000</v>
      </c>
      <c r="P309">
        <v>980000</v>
      </c>
      <c r="Q309">
        <v>0.87138508371385104</v>
      </c>
      <c r="R309">
        <v>16.391171571020699</v>
      </c>
      <c r="S309">
        <v>0.526636225266362</v>
      </c>
      <c r="T309">
        <v>7.4581430745814303E-2</v>
      </c>
      <c r="U309">
        <v>1963</v>
      </c>
      <c r="V309">
        <v>60</v>
      </c>
      <c r="W309">
        <v>1</v>
      </c>
      <c r="X309" t="s">
        <v>1062</v>
      </c>
      <c r="Y309" t="s">
        <v>1586</v>
      </c>
      <c r="Z309" t="s">
        <v>2141</v>
      </c>
    </row>
    <row r="310" spans="1:26" ht="15" customHeight="1" x14ac:dyDescent="0.3">
      <c r="A310">
        <v>359</v>
      </c>
      <c r="B310">
        <v>72</v>
      </c>
      <c r="C310" t="s">
        <v>1059</v>
      </c>
      <c r="D310" t="s">
        <v>1060</v>
      </c>
      <c r="E310" t="s">
        <v>903</v>
      </c>
      <c r="F310">
        <v>2024</v>
      </c>
      <c r="G310">
        <v>1</v>
      </c>
      <c r="H310">
        <v>0</v>
      </c>
      <c r="I310">
        <v>5</v>
      </c>
      <c r="J310">
        <v>0</v>
      </c>
      <c r="K310">
        <v>3000000000</v>
      </c>
      <c r="L310">
        <v>2.06</v>
      </c>
      <c r="M310">
        <v>6180000</v>
      </c>
      <c r="N310">
        <v>8760000</v>
      </c>
      <c r="O310">
        <v>16390000</v>
      </c>
      <c r="P310">
        <v>1240000</v>
      </c>
      <c r="Q310">
        <v>0.91153142159853595</v>
      </c>
      <c r="R310">
        <v>16.61218195072</v>
      </c>
      <c r="S310">
        <v>0.53447223917022602</v>
      </c>
      <c r="T310">
        <v>7.5655887736424704E-2</v>
      </c>
      <c r="U310">
        <v>1963</v>
      </c>
      <c r="V310">
        <v>61</v>
      </c>
      <c r="W310">
        <v>1</v>
      </c>
      <c r="X310" t="s">
        <v>1062</v>
      </c>
      <c r="Y310" t="s">
        <v>1586</v>
      </c>
      <c r="Z310" t="s">
        <v>2141</v>
      </c>
    </row>
    <row r="311" spans="1:26" ht="15" customHeight="1" x14ac:dyDescent="0.3">
      <c r="A311">
        <v>360</v>
      </c>
      <c r="B311">
        <v>72</v>
      </c>
      <c r="C311" t="s">
        <v>1059</v>
      </c>
      <c r="D311" t="s">
        <v>1060</v>
      </c>
      <c r="E311" t="s">
        <v>903</v>
      </c>
      <c r="F311">
        <v>2025</v>
      </c>
      <c r="G311">
        <v>1</v>
      </c>
      <c r="H311">
        <v>0</v>
      </c>
      <c r="I311">
        <v>5</v>
      </c>
      <c r="J311">
        <v>0</v>
      </c>
      <c r="K311">
        <v>3000000000</v>
      </c>
      <c r="L311">
        <v>2.5499999999999998</v>
      </c>
      <c r="M311">
        <v>7650000</v>
      </c>
      <c r="N311">
        <v>10120000</v>
      </c>
      <c r="O311">
        <v>18970000</v>
      </c>
      <c r="P311">
        <v>1460000</v>
      </c>
      <c r="Q311">
        <v>0.93674222456510303</v>
      </c>
      <c r="R311">
        <v>16.758369341911202</v>
      </c>
      <c r="S311">
        <v>0.53347390616763302</v>
      </c>
      <c r="T311">
        <v>7.6963626779124897E-2</v>
      </c>
      <c r="U311">
        <v>1963</v>
      </c>
      <c r="V311">
        <v>62</v>
      </c>
      <c r="W311">
        <v>1</v>
      </c>
      <c r="X311" t="s">
        <v>1062</v>
      </c>
      <c r="Y311" t="s">
        <v>1586</v>
      </c>
      <c r="Z311" t="s">
        <v>2141</v>
      </c>
    </row>
    <row r="312" spans="1:26" ht="15" customHeight="1" x14ac:dyDescent="0.3">
      <c r="A312">
        <v>361</v>
      </c>
      <c r="B312">
        <v>73</v>
      </c>
      <c r="C312" t="s">
        <v>1064</v>
      </c>
      <c r="D312" t="s">
        <v>1065</v>
      </c>
      <c r="E312" t="s">
        <v>709</v>
      </c>
      <c r="F312">
        <v>2021</v>
      </c>
      <c r="G312">
        <v>0</v>
      </c>
      <c r="H312">
        <v>0</v>
      </c>
      <c r="I312">
        <v>0</v>
      </c>
      <c r="J312">
        <v>0</v>
      </c>
      <c r="K312">
        <v>5000000000</v>
      </c>
      <c r="L312">
        <v>1.04</v>
      </c>
      <c r="M312">
        <v>5200000</v>
      </c>
      <c r="N312">
        <v>8118000</v>
      </c>
      <c r="O312">
        <v>11342000</v>
      </c>
      <c r="P312">
        <v>506960</v>
      </c>
      <c r="Q312">
        <v>1.1742197143361</v>
      </c>
      <c r="R312">
        <v>16.244023207556101</v>
      </c>
      <c r="S312">
        <v>0.71574678187268603</v>
      </c>
      <c r="T312">
        <v>4.46975842003174E-2</v>
      </c>
      <c r="U312">
        <v>1993</v>
      </c>
      <c r="V312">
        <v>28</v>
      </c>
      <c r="W312">
        <v>0</v>
      </c>
      <c r="X312" t="s">
        <v>832</v>
      </c>
      <c r="Y312" t="s">
        <v>1587</v>
      </c>
      <c r="Z312" t="s">
        <v>2141</v>
      </c>
    </row>
    <row r="313" spans="1:26" ht="15" customHeight="1" x14ac:dyDescent="0.3">
      <c r="A313">
        <v>362</v>
      </c>
      <c r="B313">
        <v>73</v>
      </c>
      <c r="C313" t="s">
        <v>1064</v>
      </c>
      <c r="D313" t="s">
        <v>1065</v>
      </c>
      <c r="E313" t="s">
        <v>709</v>
      </c>
      <c r="F313">
        <v>2022</v>
      </c>
      <c r="G313">
        <v>0</v>
      </c>
      <c r="H313">
        <v>0</v>
      </c>
      <c r="I313">
        <v>0</v>
      </c>
      <c r="J313">
        <v>0</v>
      </c>
      <c r="K313">
        <v>5000000000</v>
      </c>
      <c r="L313">
        <v>1.6</v>
      </c>
      <c r="M313">
        <v>8000000</v>
      </c>
      <c r="N313">
        <v>9168000</v>
      </c>
      <c r="O313">
        <v>12914000</v>
      </c>
      <c r="P313">
        <v>821680</v>
      </c>
      <c r="Q313">
        <v>1.3294099426978501</v>
      </c>
      <c r="R313">
        <v>16.373822552168502</v>
      </c>
      <c r="S313">
        <v>0.70992721077900001</v>
      </c>
      <c r="T313">
        <v>6.3627071395384899E-2</v>
      </c>
      <c r="U313">
        <v>1993</v>
      </c>
      <c r="V313">
        <v>29</v>
      </c>
      <c r="W313">
        <v>0</v>
      </c>
      <c r="X313" t="s">
        <v>832</v>
      </c>
      <c r="Y313" t="s">
        <v>1587</v>
      </c>
      <c r="Z313" t="s">
        <v>2141</v>
      </c>
    </row>
    <row r="314" spans="1:26" ht="15" customHeight="1" x14ac:dyDescent="0.3">
      <c r="A314">
        <v>363</v>
      </c>
      <c r="B314">
        <v>73</v>
      </c>
      <c r="C314" t="s">
        <v>1064</v>
      </c>
      <c r="D314" t="s">
        <v>1065</v>
      </c>
      <c r="E314" t="s">
        <v>709</v>
      </c>
      <c r="F314">
        <v>2023</v>
      </c>
      <c r="G314">
        <v>1</v>
      </c>
      <c r="H314">
        <v>0</v>
      </c>
      <c r="I314">
        <v>0</v>
      </c>
      <c r="J314">
        <v>0</v>
      </c>
      <c r="K314">
        <v>5000000000</v>
      </c>
      <c r="L314">
        <v>2.98</v>
      </c>
      <c r="M314">
        <v>14900000</v>
      </c>
      <c r="N314">
        <v>13542000</v>
      </c>
      <c r="O314">
        <v>17796000</v>
      </c>
      <c r="P314">
        <v>568270</v>
      </c>
      <c r="Q314">
        <v>1.5982243200719299</v>
      </c>
      <c r="R314">
        <v>16.694484270908099</v>
      </c>
      <c r="S314">
        <v>0.76095751854349303</v>
      </c>
      <c r="T314">
        <v>3.1932456731849898E-2</v>
      </c>
      <c r="U314">
        <v>1993</v>
      </c>
      <c r="V314">
        <v>30</v>
      </c>
      <c r="W314">
        <v>0</v>
      </c>
      <c r="X314" t="s">
        <v>832</v>
      </c>
      <c r="Y314" t="s">
        <v>1587</v>
      </c>
      <c r="Z314" t="s">
        <v>2141</v>
      </c>
    </row>
    <row r="315" spans="1:26" ht="15" customHeight="1" x14ac:dyDescent="0.3">
      <c r="A315">
        <v>364</v>
      </c>
      <c r="B315">
        <v>73</v>
      </c>
      <c r="C315" t="s">
        <v>1064</v>
      </c>
      <c r="D315" t="s">
        <v>1065</v>
      </c>
      <c r="E315" t="s">
        <v>709</v>
      </c>
      <c r="F315">
        <v>2024</v>
      </c>
      <c r="G315">
        <v>1</v>
      </c>
      <c r="H315">
        <v>0</v>
      </c>
      <c r="I315">
        <v>0</v>
      </c>
      <c r="J315">
        <v>0</v>
      </c>
      <c r="K315">
        <v>5000000000</v>
      </c>
      <c r="L315">
        <v>4.38</v>
      </c>
      <c r="M315">
        <v>21900000</v>
      </c>
      <c r="N315">
        <v>18994000</v>
      </c>
      <c r="O315">
        <v>24046000</v>
      </c>
      <c r="P315">
        <v>789140</v>
      </c>
      <c r="Q315">
        <v>1.70065707394161</v>
      </c>
      <c r="R315">
        <v>16.995479220517002</v>
      </c>
      <c r="S315">
        <v>0.78990268651750795</v>
      </c>
      <c r="T315">
        <v>3.2817932296431797E-2</v>
      </c>
      <c r="U315">
        <v>1993</v>
      </c>
      <c r="V315">
        <v>31</v>
      </c>
      <c r="W315">
        <v>0</v>
      </c>
      <c r="X315" t="s">
        <v>832</v>
      </c>
      <c r="Y315" t="s">
        <v>1587</v>
      </c>
      <c r="Z315" t="s">
        <v>2141</v>
      </c>
    </row>
    <row r="316" spans="1:26" ht="15" customHeight="1" x14ac:dyDescent="0.3">
      <c r="A316">
        <v>365</v>
      </c>
      <c r="B316">
        <v>73</v>
      </c>
      <c r="C316" t="s">
        <v>1064</v>
      </c>
      <c r="D316" t="s">
        <v>1065</v>
      </c>
      <c r="E316" t="s">
        <v>709</v>
      </c>
      <c r="F316">
        <v>2025</v>
      </c>
      <c r="G316">
        <v>1</v>
      </c>
      <c r="H316">
        <v>0</v>
      </c>
      <c r="I316">
        <v>0</v>
      </c>
      <c r="J316">
        <v>0</v>
      </c>
      <c r="K316">
        <v>5000000000</v>
      </c>
      <c r="L316">
        <v>3.45</v>
      </c>
      <c r="M316">
        <v>17250000</v>
      </c>
      <c r="N316">
        <v>27688000</v>
      </c>
      <c r="O316">
        <v>32740000</v>
      </c>
      <c r="P316">
        <v>1011000</v>
      </c>
      <c r="Q316">
        <v>1.3725717776420301</v>
      </c>
      <c r="R316">
        <v>17.304108129907299</v>
      </c>
      <c r="S316">
        <v>0.84569334147831399</v>
      </c>
      <c r="T316">
        <v>3.08796579108125E-2</v>
      </c>
      <c r="U316">
        <v>1993</v>
      </c>
      <c r="V316">
        <v>32</v>
      </c>
      <c r="W316">
        <v>0</v>
      </c>
      <c r="X316" t="s">
        <v>832</v>
      </c>
      <c r="Y316" t="s">
        <v>1587</v>
      </c>
      <c r="Z316" t="s">
        <v>2141</v>
      </c>
    </row>
    <row r="317" spans="1:26" ht="15" customHeight="1" x14ac:dyDescent="0.3">
      <c r="A317">
        <v>366</v>
      </c>
      <c r="B317">
        <v>74</v>
      </c>
      <c r="C317" t="s">
        <v>1067</v>
      </c>
      <c r="D317" t="s">
        <v>1068</v>
      </c>
      <c r="E317" t="s">
        <v>709</v>
      </c>
      <c r="F317">
        <v>2021</v>
      </c>
      <c r="G317">
        <v>0</v>
      </c>
      <c r="H317">
        <v>0</v>
      </c>
      <c r="I317">
        <v>40</v>
      </c>
      <c r="J317">
        <v>0</v>
      </c>
      <c r="K317">
        <v>8944000000</v>
      </c>
      <c r="L317">
        <v>2.3233000000000001</v>
      </c>
      <c r="M317">
        <v>20779595.199999999</v>
      </c>
      <c r="N317">
        <v>69671000</v>
      </c>
      <c r="O317">
        <v>104065000</v>
      </c>
      <c r="P317">
        <v>3165000</v>
      </c>
      <c r="Q317">
        <v>0.86917402777110497</v>
      </c>
      <c r="R317">
        <v>18.460526261874499</v>
      </c>
      <c r="S317">
        <v>0.669495027146495</v>
      </c>
      <c r="T317">
        <v>3.04136837553452E-2</v>
      </c>
      <c r="U317">
        <v>1989</v>
      </c>
      <c r="V317">
        <v>32</v>
      </c>
      <c r="W317">
        <v>1</v>
      </c>
      <c r="X317" t="s">
        <v>727</v>
      </c>
      <c r="Y317" t="s">
        <v>1588</v>
      </c>
      <c r="Z317" t="s">
        <v>2141</v>
      </c>
    </row>
    <row r="318" spans="1:26" ht="15" customHeight="1" x14ac:dyDescent="0.3">
      <c r="A318">
        <v>367</v>
      </c>
      <c r="B318">
        <v>74</v>
      </c>
      <c r="C318" t="s">
        <v>1067</v>
      </c>
      <c r="D318" t="s">
        <v>1068</v>
      </c>
      <c r="E318" t="s">
        <v>709</v>
      </c>
      <c r="F318">
        <v>2022</v>
      </c>
      <c r="G318">
        <v>0</v>
      </c>
      <c r="H318">
        <v>0</v>
      </c>
      <c r="I318">
        <v>40</v>
      </c>
      <c r="J318">
        <v>0</v>
      </c>
      <c r="K318">
        <v>8944000000</v>
      </c>
      <c r="L318">
        <v>2.0002</v>
      </c>
      <c r="M318">
        <v>17889788.800000001</v>
      </c>
      <c r="N318">
        <v>72185000</v>
      </c>
      <c r="O318">
        <v>105293000</v>
      </c>
      <c r="P318">
        <v>2749000</v>
      </c>
      <c r="Q318">
        <v>0.85546796843094997</v>
      </c>
      <c r="R318">
        <v>18.472257498161401</v>
      </c>
      <c r="S318">
        <v>0.68556314284900199</v>
      </c>
      <c r="T318">
        <v>2.61080983541166E-2</v>
      </c>
      <c r="U318">
        <v>1989</v>
      </c>
      <c r="V318">
        <v>33</v>
      </c>
      <c r="W318">
        <v>1</v>
      </c>
      <c r="X318" t="s">
        <v>727</v>
      </c>
      <c r="Y318" t="s">
        <v>1588</v>
      </c>
      <c r="Z318" t="s">
        <v>2141</v>
      </c>
    </row>
    <row r="319" spans="1:26" ht="15" customHeight="1" x14ac:dyDescent="0.3">
      <c r="A319">
        <v>368</v>
      </c>
      <c r="B319">
        <v>74</v>
      </c>
      <c r="C319" t="s">
        <v>1067</v>
      </c>
      <c r="D319" t="s">
        <v>1068</v>
      </c>
      <c r="E319" t="s">
        <v>709</v>
      </c>
      <c r="F319">
        <v>2023</v>
      </c>
      <c r="G319">
        <v>1</v>
      </c>
      <c r="H319">
        <v>0</v>
      </c>
      <c r="I319">
        <v>40</v>
      </c>
      <c r="J319">
        <v>0</v>
      </c>
      <c r="K319">
        <v>8944000000</v>
      </c>
      <c r="L319">
        <v>5.4997999999999996</v>
      </c>
      <c r="M319">
        <v>49190211.200000003</v>
      </c>
      <c r="N319">
        <v>99709000</v>
      </c>
      <c r="O319">
        <v>141129000</v>
      </c>
      <c r="P319">
        <v>11485000</v>
      </c>
      <c r="Q319">
        <v>1.0550575090874299</v>
      </c>
      <c r="R319">
        <v>18.765184923699401</v>
      </c>
      <c r="S319">
        <v>0.70650964720220499</v>
      </c>
      <c r="T319">
        <v>8.1379447172445094E-2</v>
      </c>
      <c r="U319">
        <v>1989</v>
      </c>
      <c r="V319">
        <v>34</v>
      </c>
      <c r="W319">
        <v>1</v>
      </c>
      <c r="X319" t="s">
        <v>727</v>
      </c>
      <c r="Y319" t="s">
        <v>1588</v>
      </c>
      <c r="Z319" t="s">
        <v>2141</v>
      </c>
    </row>
    <row r="320" spans="1:26" ht="15" customHeight="1" x14ac:dyDescent="0.3">
      <c r="A320">
        <v>369</v>
      </c>
      <c r="B320">
        <v>74</v>
      </c>
      <c r="C320" t="s">
        <v>1067</v>
      </c>
      <c r="D320" t="s">
        <v>1068</v>
      </c>
      <c r="E320" t="s">
        <v>709</v>
      </c>
      <c r="F320">
        <v>2024</v>
      </c>
      <c r="G320">
        <v>1</v>
      </c>
      <c r="H320">
        <v>0</v>
      </c>
      <c r="I320">
        <v>40</v>
      </c>
      <c r="J320">
        <v>0</v>
      </c>
      <c r="K320">
        <v>8944000000</v>
      </c>
      <c r="L320">
        <v>8.1998999999999995</v>
      </c>
      <c r="M320">
        <v>73339905.599999994</v>
      </c>
      <c r="N320">
        <v>140730000</v>
      </c>
      <c r="O320">
        <v>193609000</v>
      </c>
      <c r="P320">
        <v>24871000</v>
      </c>
      <c r="Q320">
        <v>1.1056815829842599</v>
      </c>
      <c r="R320">
        <v>19.081351219329498</v>
      </c>
      <c r="S320">
        <v>0.72687736623814003</v>
      </c>
      <c r="T320">
        <v>0.12845993729630301</v>
      </c>
      <c r="U320">
        <v>1989</v>
      </c>
      <c r="V320">
        <v>35</v>
      </c>
      <c r="W320">
        <v>1</v>
      </c>
      <c r="X320" t="s">
        <v>727</v>
      </c>
      <c r="Y320" t="s">
        <v>1588</v>
      </c>
      <c r="Z320" t="s">
        <v>2141</v>
      </c>
    </row>
    <row r="321" spans="1:26" ht="15" customHeight="1" x14ac:dyDescent="0.3">
      <c r="A321">
        <v>370</v>
      </c>
      <c r="B321">
        <v>74</v>
      </c>
      <c r="C321" t="s">
        <v>1067</v>
      </c>
      <c r="D321" t="s">
        <v>1068</v>
      </c>
      <c r="E321" t="s">
        <v>709</v>
      </c>
      <c r="F321">
        <v>2025</v>
      </c>
      <c r="G321">
        <v>1</v>
      </c>
      <c r="H321">
        <v>0</v>
      </c>
      <c r="I321">
        <v>40</v>
      </c>
      <c r="J321">
        <v>0</v>
      </c>
      <c r="K321">
        <v>8944000000</v>
      </c>
      <c r="L321">
        <v>13.700799999999999</v>
      </c>
      <c r="M321">
        <v>122539955.2</v>
      </c>
      <c r="N321">
        <v>171881000</v>
      </c>
      <c r="O321">
        <v>227935000</v>
      </c>
      <c r="P321">
        <v>2631000</v>
      </c>
      <c r="Q321">
        <v>1.2916882233970199</v>
      </c>
      <c r="R321">
        <v>19.2445710585542</v>
      </c>
      <c r="S321">
        <v>0.75407901375392095</v>
      </c>
      <c r="T321">
        <v>1.15427643845833E-2</v>
      </c>
      <c r="U321">
        <v>1989</v>
      </c>
      <c r="V321">
        <v>36</v>
      </c>
      <c r="W321">
        <v>1</v>
      </c>
      <c r="X321" t="s">
        <v>727</v>
      </c>
      <c r="Y321" t="s">
        <v>1588</v>
      </c>
      <c r="Z321" t="s">
        <v>2141</v>
      </c>
    </row>
    <row r="322" spans="1:26" ht="15" customHeight="1" x14ac:dyDescent="0.3">
      <c r="A322">
        <v>371</v>
      </c>
      <c r="B322">
        <v>75</v>
      </c>
      <c r="C322" t="s">
        <v>1071</v>
      </c>
      <c r="D322" t="s">
        <v>1072</v>
      </c>
      <c r="E322" t="s">
        <v>898</v>
      </c>
      <c r="F322">
        <v>2021</v>
      </c>
      <c r="G322">
        <v>0</v>
      </c>
      <c r="H322">
        <v>0</v>
      </c>
      <c r="I322">
        <v>50</v>
      </c>
      <c r="J322">
        <v>26.6666666666667</v>
      </c>
      <c r="K322">
        <v>1725000000</v>
      </c>
      <c r="L322">
        <v>4.0232000000000001</v>
      </c>
      <c r="M322">
        <v>6940020</v>
      </c>
      <c r="N322">
        <v>10351000</v>
      </c>
      <c r="O322">
        <v>17622000</v>
      </c>
      <c r="P322">
        <v>1050000</v>
      </c>
      <c r="Q322">
        <v>0.98121779593689695</v>
      </c>
      <c r="R322">
        <v>16.684658679408798</v>
      </c>
      <c r="S322">
        <v>0.58739076154806502</v>
      </c>
      <c r="T322">
        <v>5.9584610146407903E-2</v>
      </c>
      <c r="U322">
        <v>1944</v>
      </c>
      <c r="V322">
        <v>77</v>
      </c>
      <c r="W322">
        <v>0</v>
      </c>
      <c r="X322" t="s">
        <v>832</v>
      </c>
      <c r="Y322" t="s">
        <v>1589</v>
      </c>
      <c r="Z322" t="s">
        <v>2141</v>
      </c>
    </row>
    <row r="323" spans="1:26" ht="15" customHeight="1" x14ac:dyDescent="0.3">
      <c r="A323">
        <v>372</v>
      </c>
      <c r="B323">
        <v>75</v>
      </c>
      <c r="C323" t="s">
        <v>1071</v>
      </c>
      <c r="D323" t="s">
        <v>1072</v>
      </c>
      <c r="E323" t="s">
        <v>898</v>
      </c>
      <c r="F323">
        <v>2022</v>
      </c>
      <c r="G323">
        <v>0</v>
      </c>
      <c r="H323">
        <v>0</v>
      </c>
      <c r="I323">
        <v>50</v>
      </c>
      <c r="J323">
        <v>26.6666666666667</v>
      </c>
      <c r="K323">
        <v>1725000000</v>
      </c>
      <c r="L323">
        <v>4.3014000000000001</v>
      </c>
      <c r="M323">
        <v>7419915</v>
      </c>
      <c r="N323">
        <v>9733000</v>
      </c>
      <c r="O323">
        <v>17957000</v>
      </c>
      <c r="P323">
        <v>1491000</v>
      </c>
      <c r="Q323">
        <v>0.95522164058584402</v>
      </c>
      <c r="R323">
        <v>16.703490569024002</v>
      </c>
      <c r="S323">
        <v>0.54201704070835899</v>
      </c>
      <c r="T323">
        <v>8.3031686807373203E-2</v>
      </c>
      <c r="U323">
        <v>1944</v>
      </c>
      <c r="V323">
        <v>78</v>
      </c>
      <c r="W323">
        <v>0</v>
      </c>
      <c r="X323" t="s">
        <v>832</v>
      </c>
      <c r="Y323" t="s">
        <v>1589</v>
      </c>
      <c r="Z323" t="s">
        <v>2141</v>
      </c>
    </row>
    <row r="324" spans="1:26" ht="15" customHeight="1" x14ac:dyDescent="0.3">
      <c r="A324">
        <v>373</v>
      </c>
      <c r="B324">
        <v>75</v>
      </c>
      <c r="C324" t="s">
        <v>1071</v>
      </c>
      <c r="D324" t="s">
        <v>1072</v>
      </c>
      <c r="E324" t="s">
        <v>898</v>
      </c>
      <c r="F324">
        <v>2023</v>
      </c>
      <c r="G324">
        <v>1</v>
      </c>
      <c r="H324">
        <v>0</v>
      </c>
      <c r="I324">
        <v>0</v>
      </c>
      <c r="J324">
        <v>0</v>
      </c>
      <c r="K324">
        <v>1725000000</v>
      </c>
      <c r="L324">
        <v>5.2522000000000002</v>
      </c>
      <c r="M324">
        <v>9060045</v>
      </c>
      <c r="N324">
        <v>11593000</v>
      </c>
      <c r="O324">
        <v>20382000</v>
      </c>
      <c r="P324">
        <v>1083000</v>
      </c>
      <c r="Q324">
        <v>1.0132982533608099</v>
      </c>
      <c r="R324">
        <v>16.830162716370801</v>
      </c>
      <c r="S324">
        <v>0.56878618388774405</v>
      </c>
      <c r="T324">
        <v>5.3135119222843703E-2</v>
      </c>
      <c r="U324">
        <v>1944</v>
      </c>
      <c r="V324">
        <v>79</v>
      </c>
      <c r="W324">
        <v>0</v>
      </c>
      <c r="X324" t="s">
        <v>832</v>
      </c>
      <c r="Y324" t="s">
        <v>1589</v>
      </c>
      <c r="Z324" t="s">
        <v>2141</v>
      </c>
    </row>
    <row r="325" spans="1:26" ht="15" customHeight="1" x14ac:dyDescent="0.3">
      <c r="A325">
        <v>374</v>
      </c>
      <c r="B325">
        <v>75</v>
      </c>
      <c r="C325" t="s">
        <v>1071</v>
      </c>
      <c r="D325" t="s">
        <v>1072</v>
      </c>
      <c r="E325" t="s">
        <v>898</v>
      </c>
      <c r="F325">
        <v>2024</v>
      </c>
      <c r="G325">
        <v>1</v>
      </c>
      <c r="H325">
        <v>0</v>
      </c>
      <c r="I325">
        <v>0</v>
      </c>
      <c r="J325">
        <v>0</v>
      </c>
      <c r="K325">
        <v>1725000000</v>
      </c>
      <c r="L325">
        <v>9.4029000000000007</v>
      </c>
      <c r="M325">
        <v>16220002.5</v>
      </c>
      <c r="N325">
        <v>12563000</v>
      </c>
      <c r="O325">
        <v>22456000</v>
      </c>
      <c r="P325">
        <v>1621000</v>
      </c>
      <c r="Q325">
        <v>1.2817510910224399</v>
      </c>
      <c r="R325">
        <v>16.927068397023898</v>
      </c>
      <c r="S325">
        <v>0.55944959030994001</v>
      </c>
      <c r="T325">
        <v>7.2185607410046301E-2</v>
      </c>
      <c r="U325">
        <v>1944</v>
      </c>
      <c r="V325">
        <v>80</v>
      </c>
      <c r="W325">
        <v>0</v>
      </c>
      <c r="X325" t="s">
        <v>832</v>
      </c>
      <c r="Y325" t="s">
        <v>1589</v>
      </c>
      <c r="Z325" t="s">
        <v>2141</v>
      </c>
    </row>
    <row r="326" spans="1:26" ht="15" customHeight="1" x14ac:dyDescent="0.3">
      <c r="A326">
        <v>375</v>
      </c>
      <c r="B326">
        <v>75</v>
      </c>
      <c r="C326" t="s">
        <v>1071</v>
      </c>
      <c r="D326" t="s">
        <v>1072</v>
      </c>
      <c r="E326" t="s">
        <v>898</v>
      </c>
      <c r="F326">
        <v>2025</v>
      </c>
      <c r="G326">
        <v>1</v>
      </c>
      <c r="H326">
        <v>0</v>
      </c>
      <c r="I326">
        <v>0</v>
      </c>
      <c r="J326">
        <v>0</v>
      </c>
      <c r="K326">
        <v>1725000000</v>
      </c>
      <c r="L326">
        <v>19.0029</v>
      </c>
      <c r="M326">
        <v>32780002.5</v>
      </c>
      <c r="N326">
        <v>11964000</v>
      </c>
      <c r="O326">
        <v>25615000</v>
      </c>
      <c r="P326">
        <v>4437000</v>
      </c>
      <c r="Q326">
        <v>1.7467890884247499</v>
      </c>
      <c r="R326">
        <v>17.058688675355398</v>
      </c>
      <c r="S326">
        <v>0.46707007612726897</v>
      </c>
      <c r="T326">
        <v>0.17321881709935599</v>
      </c>
      <c r="U326">
        <v>1944</v>
      </c>
      <c r="V326">
        <v>81</v>
      </c>
      <c r="W326">
        <v>0</v>
      </c>
      <c r="X326" t="s">
        <v>832</v>
      </c>
      <c r="Y326" t="s">
        <v>1589</v>
      </c>
      <c r="Z326" t="s">
        <v>2141</v>
      </c>
    </row>
    <row r="327" spans="1:26" ht="15" customHeight="1" x14ac:dyDescent="0.3">
      <c r="A327">
        <v>376</v>
      </c>
      <c r="B327">
        <v>76</v>
      </c>
      <c r="C327" t="s">
        <v>1075</v>
      </c>
      <c r="D327" t="s">
        <v>1076</v>
      </c>
      <c r="E327" t="s">
        <v>709</v>
      </c>
      <c r="F327">
        <v>2021</v>
      </c>
      <c r="G327">
        <v>0</v>
      </c>
      <c r="H327">
        <v>0</v>
      </c>
      <c r="I327">
        <v>5</v>
      </c>
      <c r="J327">
        <v>0</v>
      </c>
      <c r="K327">
        <v>20061000000</v>
      </c>
      <c r="L327">
        <v>0.33</v>
      </c>
      <c r="M327">
        <v>6620130</v>
      </c>
      <c r="N327">
        <v>63904000</v>
      </c>
      <c r="O327">
        <v>83780000</v>
      </c>
      <c r="P327">
        <v>-5575000</v>
      </c>
      <c r="Q327">
        <v>0.84177763189305299</v>
      </c>
      <c r="R327">
        <v>18.2437048734832</v>
      </c>
      <c r="S327">
        <v>0.76275960849844804</v>
      </c>
      <c r="T327">
        <v>-6.6543327763189303E-2</v>
      </c>
      <c r="U327">
        <v>1995</v>
      </c>
      <c r="V327">
        <v>26</v>
      </c>
      <c r="W327">
        <v>1</v>
      </c>
      <c r="X327" t="s">
        <v>727</v>
      </c>
      <c r="Y327" t="s">
        <v>1590</v>
      </c>
      <c r="Z327" t="s">
        <v>2141</v>
      </c>
    </row>
    <row r="328" spans="1:26" ht="15" customHeight="1" x14ac:dyDescent="0.3">
      <c r="A328">
        <v>377</v>
      </c>
      <c r="B328">
        <v>76</v>
      </c>
      <c r="C328" t="s">
        <v>1075</v>
      </c>
      <c r="D328" t="s">
        <v>1076</v>
      </c>
      <c r="E328" t="s">
        <v>709</v>
      </c>
      <c r="F328">
        <v>2022</v>
      </c>
      <c r="G328">
        <v>0</v>
      </c>
      <c r="H328">
        <v>0</v>
      </c>
      <c r="I328">
        <v>5</v>
      </c>
      <c r="J328">
        <v>0</v>
      </c>
      <c r="K328">
        <v>20061000000</v>
      </c>
      <c r="L328">
        <v>0.2702</v>
      </c>
      <c r="M328">
        <v>5420482.2000000002</v>
      </c>
      <c r="N328">
        <v>71456000</v>
      </c>
      <c r="O328">
        <v>90399000</v>
      </c>
      <c r="P328">
        <v>954620</v>
      </c>
      <c r="Q328">
        <v>0.850412971382427</v>
      </c>
      <c r="R328">
        <v>18.3197437633543</v>
      </c>
      <c r="S328">
        <v>0.79045122180555105</v>
      </c>
      <c r="T328">
        <v>1.05600725671744E-2</v>
      </c>
      <c r="U328">
        <v>1995</v>
      </c>
      <c r="V328">
        <v>27</v>
      </c>
      <c r="W328">
        <v>1</v>
      </c>
      <c r="X328" t="s">
        <v>727</v>
      </c>
      <c r="Y328" t="s">
        <v>1590</v>
      </c>
      <c r="Z328" t="s">
        <v>2141</v>
      </c>
    </row>
    <row r="329" spans="1:26" ht="15" customHeight="1" x14ac:dyDescent="0.3">
      <c r="A329">
        <v>378</v>
      </c>
      <c r="B329">
        <v>76</v>
      </c>
      <c r="C329" t="s">
        <v>1075</v>
      </c>
      <c r="D329" t="s">
        <v>1076</v>
      </c>
      <c r="E329" t="s">
        <v>709</v>
      </c>
      <c r="F329">
        <v>2023</v>
      </c>
      <c r="G329">
        <v>1</v>
      </c>
      <c r="H329">
        <v>0</v>
      </c>
      <c r="I329">
        <v>5</v>
      </c>
      <c r="J329">
        <v>0</v>
      </c>
      <c r="K329">
        <v>20061000000</v>
      </c>
      <c r="L329">
        <v>0.52990000000000004</v>
      </c>
      <c r="M329">
        <v>10630323.9</v>
      </c>
      <c r="N329">
        <v>80458000</v>
      </c>
      <c r="O329">
        <v>110459000</v>
      </c>
      <c r="P329">
        <v>5847000</v>
      </c>
      <c r="Q329">
        <v>0.82463469613159601</v>
      </c>
      <c r="R329">
        <v>18.520154969345501</v>
      </c>
      <c r="S329">
        <v>0.72839696176862001</v>
      </c>
      <c r="T329">
        <v>5.2933667695706101E-2</v>
      </c>
      <c r="U329">
        <v>1995</v>
      </c>
      <c r="V329">
        <v>28</v>
      </c>
      <c r="W329">
        <v>1</v>
      </c>
      <c r="X329" t="s">
        <v>727</v>
      </c>
      <c r="Y329" t="s">
        <v>1590</v>
      </c>
      <c r="Z329" t="s">
        <v>2141</v>
      </c>
    </row>
    <row r="330" spans="1:26" ht="15" customHeight="1" x14ac:dyDescent="0.3">
      <c r="A330">
        <v>379</v>
      </c>
      <c r="B330">
        <v>76</v>
      </c>
      <c r="C330" t="s">
        <v>1075</v>
      </c>
      <c r="D330" t="s">
        <v>1076</v>
      </c>
      <c r="E330" t="s">
        <v>709</v>
      </c>
      <c r="F330">
        <v>2024</v>
      </c>
      <c r="G330">
        <v>1</v>
      </c>
      <c r="H330">
        <v>0</v>
      </c>
      <c r="I330">
        <v>5</v>
      </c>
      <c r="J330">
        <v>0</v>
      </c>
      <c r="K330">
        <v>20061000000</v>
      </c>
      <c r="L330">
        <v>0.61009999999999998</v>
      </c>
      <c r="M330">
        <v>12239216.1</v>
      </c>
      <c r="N330">
        <v>92348000</v>
      </c>
      <c r="O330">
        <v>147134000</v>
      </c>
      <c r="P330">
        <v>10751000</v>
      </c>
      <c r="Q330">
        <v>0.71082969334076396</v>
      </c>
      <c r="R330">
        <v>18.806854294146099</v>
      </c>
      <c r="S330">
        <v>0.62764554759606905</v>
      </c>
      <c r="T330">
        <v>7.3069446898745394E-2</v>
      </c>
      <c r="U330">
        <v>1995</v>
      </c>
      <c r="V330">
        <v>29</v>
      </c>
      <c r="W330">
        <v>1</v>
      </c>
      <c r="X330" t="s">
        <v>727</v>
      </c>
      <c r="Y330" t="s">
        <v>1590</v>
      </c>
      <c r="Z330" t="s">
        <v>2141</v>
      </c>
    </row>
    <row r="331" spans="1:26" ht="15" customHeight="1" x14ac:dyDescent="0.3">
      <c r="A331">
        <v>380</v>
      </c>
      <c r="B331">
        <v>76</v>
      </c>
      <c r="C331" t="s">
        <v>1075</v>
      </c>
      <c r="D331" t="s">
        <v>1076</v>
      </c>
      <c r="E331" t="s">
        <v>709</v>
      </c>
      <c r="F331">
        <v>2025</v>
      </c>
      <c r="G331">
        <v>1</v>
      </c>
      <c r="H331">
        <v>0</v>
      </c>
      <c r="I331">
        <v>5</v>
      </c>
      <c r="J331">
        <v>0</v>
      </c>
      <c r="K331">
        <v>20061000000</v>
      </c>
      <c r="L331">
        <v>3.1</v>
      </c>
      <c r="M331">
        <v>62189100</v>
      </c>
      <c r="N331">
        <v>105140000</v>
      </c>
      <c r="O331">
        <v>174321000</v>
      </c>
      <c r="P331">
        <v>20054000</v>
      </c>
      <c r="Q331">
        <v>0.95989066148083102</v>
      </c>
      <c r="R331">
        <v>18.976408985160599</v>
      </c>
      <c r="S331">
        <v>0.60314018391358504</v>
      </c>
      <c r="T331">
        <v>0.115040643410719</v>
      </c>
      <c r="U331">
        <v>1995</v>
      </c>
      <c r="V331">
        <v>30</v>
      </c>
      <c r="W331">
        <v>1</v>
      </c>
      <c r="X331" t="s">
        <v>727</v>
      </c>
      <c r="Y331" t="s">
        <v>1590</v>
      </c>
      <c r="Z331" t="s">
        <v>2141</v>
      </c>
    </row>
    <row r="332" spans="1:26" ht="15" customHeight="1" x14ac:dyDescent="0.3">
      <c r="A332">
        <v>381</v>
      </c>
      <c r="B332">
        <v>77</v>
      </c>
      <c r="C332" t="s">
        <v>1079</v>
      </c>
      <c r="D332" t="s">
        <v>1080</v>
      </c>
      <c r="E332" t="s">
        <v>806</v>
      </c>
      <c r="F332">
        <v>2021</v>
      </c>
      <c r="G332">
        <v>0</v>
      </c>
      <c r="H332">
        <v>0</v>
      </c>
      <c r="I332">
        <v>0</v>
      </c>
      <c r="J332">
        <v>0</v>
      </c>
      <c r="K332">
        <v>718750000</v>
      </c>
      <c r="L332">
        <v>0.35</v>
      </c>
      <c r="M332">
        <v>251562.5</v>
      </c>
      <c r="N332">
        <v>333360</v>
      </c>
      <c r="O332">
        <v>692510</v>
      </c>
      <c r="P332">
        <v>14300</v>
      </c>
      <c r="Q332">
        <v>0.84464123261757995</v>
      </c>
      <c r="R332">
        <v>13.4480779573726</v>
      </c>
      <c r="S332">
        <v>0.481379330262379</v>
      </c>
      <c r="T332">
        <v>2.06495213065515E-2</v>
      </c>
      <c r="U332">
        <v>2004</v>
      </c>
      <c r="V332">
        <v>17</v>
      </c>
      <c r="W332">
        <v>0</v>
      </c>
      <c r="X332" t="s">
        <v>1082</v>
      </c>
      <c r="Y332" t="s">
        <v>1591</v>
      </c>
      <c r="Z332" t="s">
        <v>2141</v>
      </c>
    </row>
    <row r="333" spans="1:26" ht="15" customHeight="1" x14ac:dyDescent="0.3">
      <c r="A333">
        <v>382</v>
      </c>
      <c r="B333">
        <v>77</v>
      </c>
      <c r="C333" t="s">
        <v>1079</v>
      </c>
      <c r="D333" t="s">
        <v>1080</v>
      </c>
      <c r="E333" t="s">
        <v>806</v>
      </c>
      <c r="F333">
        <v>2022</v>
      </c>
      <c r="G333">
        <v>0</v>
      </c>
      <c r="H333">
        <v>0</v>
      </c>
      <c r="I333">
        <v>0</v>
      </c>
      <c r="J333">
        <v>0</v>
      </c>
      <c r="K333">
        <v>718740000</v>
      </c>
      <c r="L333">
        <v>0.56999999999999995</v>
      </c>
      <c r="M333">
        <v>409681.8</v>
      </c>
      <c r="N333">
        <v>273280</v>
      </c>
      <c r="O333">
        <v>653720</v>
      </c>
      <c r="P333">
        <v>19760</v>
      </c>
      <c r="Q333">
        <v>1.0447313834669301</v>
      </c>
      <c r="R333">
        <v>13.390434404206999</v>
      </c>
      <c r="S333">
        <v>0.41803830386098001</v>
      </c>
      <c r="T333">
        <v>3.0227008505170402E-2</v>
      </c>
      <c r="U333">
        <v>2004</v>
      </c>
      <c r="V333">
        <v>18</v>
      </c>
      <c r="W333">
        <v>0</v>
      </c>
      <c r="X333" t="s">
        <v>1082</v>
      </c>
      <c r="Y333" t="s">
        <v>1591</v>
      </c>
      <c r="Z333" t="s">
        <v>2141</v>
      </c>
    </row>
    <row r="334" spans="1:26" ht="15" customHeight="1" x14ac:dyDescent="0.3">
      <c r="A334">
        <v>383</v>
      </c>
      <c r="B334">
        <v>77</v>
      </c>
      <c r="C334" t="s">
        <v>1079</v>
      </c>
      <c r="D334" t="s">
        <v>1080</v>
      </c>
      <c r="E334" t="s">
        <v>806</v>
      </c>
      <c r="F334">
        <v>2023</v>
      </c>
      <c r="G334">
        <v>1</v>
      </c>
      <c r="H334">
        <v>0</v>
      </c>
      <c r="I334">
        <v>0</v>
      </c>
      <c r="J334">
        <v>0</v>
      </c>
      <c r="K334">
        <v>1117000000</v>
      </c>
      <c r="L334">
        <v>0.83979999999999999</v>
      </c>
      <c r="M334">
        <v>938056.6</v>
      </c>
      <c r="N334">
        <v>477000</v>
      </c>
      <c r="O334">
        <v>1069000</v>
      </c>
      <c r="P334">
        <v>36070</v>
      </c>
      <c r="Q334">
        <v>1.3237199251637</v>
      </c>
      <c r="R334">
        <v>13.8822341900072</v>
      </c>
      <c r="S334">
        <v>0.44621141253508001</v>
      </c>
      <c r="T334">
        <v>3.3741814780168397E-2</v>
      </c>
      <c r="U334">
        <v>2004</v>
      </c>
      <c r="V334">
        <v>19</v>
      </c>
      <c r="W334">
        <v>0</v>
      </c>
      <c r="X334" t="s">
        <v>1082</v>
      </c>
      <c r="Y334" t="s">
        <v>1591</v>
      </c>
      <c r="Z334" t="s">
        <v>2141</v>
      </c>
    </row>
    <row r="335" spans="1:26" ht="15" customHeight="1" x14ac:dyDescent="0.3">
      <c r="A335">
        <v>384</v>
      </c>
      <c r="B335">
        <v>77</v>
      </c>
      <c r="C335" t="s">
        <v>1079</v>
      </c>
      <c r="D335" t="s">
        <v>1080</v>
      </c>
      <c r="E335" t="s">
        <v>806</v>
      </c>
      <c r="F335">
        <v>2024</v>
      </c>
      <c r="G335">
        <v>1</v>
      </c>
      <c r="H335">
        <v>0</v>
      </c>
      <c r="I335">
        <v>0</v>
      </c>
      <c r="J335">
        <v>0</v>
      </c>
      <c r="K335">
        <v>1117000000</v>
      </c>
      <c r="L335">
        <v>1.6114999999999999</v>
      </c>
      <c r="M335">
        <v>1800045.5</v>
      </c>
      <c r="N335">
        <v>652390</v>
      </c>
      <c r="O335">
        <v>1314000</v>
      </c>
      <c r="P335">
        <v>115760</v>
      </c>
      <c r="Q335">
        <v>1.8663892694063899</v>
      </c>
      <c r="R335">
        <v>14.0885864780267</v>
      </c>
      <c r="S335">
        <v>0.49649162861491603</v>
      </c>
      <c r="T335">
        <v>8.8097412480974094E-2</v>
      </c>
      <c r="U335">
        <v>2004</v>
      </c>
      <c r="V335">
        <v>20</v>
      </c>
      <c r="W335">
        <v>0</v>
      </c>
      <c r="X335" t="s">
        <v>1082</v>
      </c>
      <c r="Y335" t="s">
        <v>1591</v>
      </c>
      <c r="Z335" t="s">
        <v>2141</v>
      </c>
    </row>
    <row r="336" spans="1:26" ht="15" customHeight="1" x14ac:dyDescent="0.3">
      <c r="A336">
        <v>385</v>
      </c>
      <c r="B336">
        <v>77</v>
      </c>
      <c r="C336" t="s">
        <v>1079</v>
      </c>
      <c r="D336" t="s">
        <v>1080</v>
      </c>
      <c r="E336" t="s">
        <v>806</v>
      </c>
      <c r="F336">
        <v>2025</v>
      </c>
      <c r="G336">
        <v>1</v>
      </c>
      <c r="H336">
        <v>0</v>
      </c>
      <c r="I336">
        <v>0</v>
      </c>
      <c r="J336">
        <v>0</v>
      </c>
      <c r="K336">
        <v>1117000000</v>
      </c>
      <c r="L336">
        <v>3.2677</v>
      </c>
      <c r="M336">
        <v>3650020.9</v>
      </c>
      <c r="N336">
        <v>964320</v>
      </c>
      <c r="O336">
        <v>1894000</v>
      </c>
      <c r="P336">
        <v>346380</v>
      </c>
      <c r="Q336">
        <v>2.43629403379092</v>
      </c>
      <c r="R336">
        <v>14.4542015527282</v>
      </c>
      <c r="S336">
        <v>0.50914466737064401</v>
      </c>
      <c r="T336">
        <v>0.182882787750792</v>
      </c>
      <c r="U336">
        <v>2004</v>
      </c>
      <c r="V336">
        <v>21</v>
      </c>
      <c r="W336">
        <v>0</v>
      </c>
      <c r="X336" t="s">
        <v>1082</v>
      </c>
      <c r="Y336" t="s">
        <v>1591</v>
      </c>
      <c r="Z336" t="s">
        <v>2141</v>
      </c>
    </row>
    <row r="337" spans="1:26" ht="15" customHeight="1" x14ac:dyDescent="0.3">
      <c r="A337">
        <v>388</v>
      </c>
      <c r="B337">
        <v>78</v>
      </c>
      <c r="C337" t="s">
        <v>1084</v>
      </c>
      <c r="D337" t="s">
        <v>1085</v>
      </c>
      <c r="E337" t="s">
        <v>898</v>
      </c>
      <c r="F337">
        <v>2023</v>
      </c>
      <c r="G337">
        <v>1</v>
      </c>
      <c r="H337">
        <v>0</v>
      </c>
      <c r="I337">
        <v>0</v>
      </c>
      <c r="J337">
        <v>0</v>
      </c>
      <c r="K337">
        <v>4000000000</v>
      </c>
      <c r="L337">
        <v>12</v>
      </c>
      <c r="M337">
        <v>48000000</v>
      </c>
      <c r="N337">
        <v>29505000</v>
      </c>
      <c r="O337">
        <v>41735000</v>
      </c>
      <c r="P337">
        <v>2913000</v>
      </c>
      <c r="Q337">
        <v>1.8570743979872999</v>
      </c>
      <c r="R337">
        <v>17.546850663267001</v>
      </c>
      <c r="S337">
        <v>0.70696058464118905</v>
      </c>
      <c r="T337">
        <v>6.9797532047442198E-2</v>
      </c>
      <c r="U337">
        <v>2005</v>
      </c>
      <c r="V337">
        <v>18</v>
      </c>
      <c r="W337">
        <v>0</v>
      </c>
      <c r="X337" t="s">
        <v>1087</v>
      </c>
      <c r="Y337" t="s">
        <v>1592</v>
      </c>
      <c r="Z337" t="s">
        <v>2141</v>
      </c>
    </row>
    <row r="338" spans="1:26" ht="15" customHeight="1" x14ac:dyDescent="0.3">
      <c r="A338">
        <v>389</v>
      </c>
      <c r="B338">
        <v>78</v>
      </c>
      <c r="C338" t="s">
        <v>1084</v>
      </c>
      <c r="D338" t="s">
        <v>1085</v>
      </c>
      <c r="E338" t="s">
        <v>898</v>
      </c>
      <c r="F338">
        <v>2024</v>
      </c>
      <c r="G338">
        <v>1</v>
      </c>
      <c r="H338">
        <v>0</v>
      </c>
      <c r="I338">
        <v>0</v>
      </c>
      <c r="J338">
        <v>0</v>
      </c>
      <c r="K338">
        <v>4000000000</v>
      </c>
      <c r="L338">
        <v>13.9</v>
      </c>
      <c r="M338">
        <v>55600000</v>
      </c>
      <c r="N338">
        <v>40879000</v>
      </c>
      <c r="O338">
        <v>54838000</v>
      </c>
      <c r="P338">
        <v>2329000</v>
      </c>
      <c r="Q338">
        <v>1.75934570917977</v>
      </c>
      <c r="R338">
        <v>17.819893942263199</v>
      </c>
      <c r="S338">
        <v>0.74545023523833798</v>
      </c>
      <c r="T338">
        <v>4.2470549618877397E-2</v>
      </c>
      <c r="U338">
        <v>2005</v>
      </c>
      <c r="V338">
        <v>19</v>
      </c>
      <c r="W338">
        <v>0</v>
      </c>
      <c r="X338" t="s">
        <v>1087</v>
      </c>
      <c r="Y338" t="s">
        <v>1593</v>
      </c>
      <c r="Z338" t="s">
        <v>2141</v>
      </c>
    </row>
    <row r="339" spans="1:26" ht="15" customHeight="1" x14ac:dyDescent="0.3">
      <c r="A339">
        <v>390</v>
      </c>
      <c r="B339">
        <v>78</v>
      </c>
      <c r="C339" t="s">
        <v>1084</v>
      </c>
      <c r="D339" t="s">
        <v>1085</v>
      </c>
      <c r="E339" t="s">
        <v>898</v>
      </c>
      <c r="F339">
        <v>2025</v>
      </c>
      <c r="G339">
        <v>1</v>
      </c>
      <c r="H339">
        <v>0</v>
      </c>
      <c r="I339">
        <v>0</v>
      </c>
      <c r="J339">
        <v>0</v>
      </c>
      <c r="K339">
        <v>4000000000</v>
      </c>
      <c r="L339">
        <v>65.2</v>
      </c>
      <c r="M339">
        <v>260800000</v>
      </c>
      <c r="N339">
        <v>62136000</v>
      </c>
      <c r="O339">
        <v>81958000</v>
      </c>
      <c r="P339">
        <v>6463000</v>
      </c>
      <c r="Q339">
        <v>3.9402620854584098</v>
      </c>
      <c r="R339">
        <v>18.221717478889801</v>
      </c>
      <c r="S339">
        <v>0.75814441543229505</v>
      </c>
      <c r="T339">
        <v>7.8857463578906301E-2</v>
      </c>
      <c r="U339">
        <v>2005</v>
      </c>
      <c r="V339">
        <v>20</v>
      </c>
      <c r="W339">
        <v>0</v>
      </c>
      <c r="X339" t="s">
        <v>1087</v>
      </c>
      <c r="Y339" t="s">
        <v>1593</v>
      </c>
      <c r="Z339" t="s">
        <v>2141</v>
      </c>
    </row>
    <row r="340" spans="1:26" ht="15" customHeight="1" x14ac:dyDescent="0.3">
      <c r="A340">
        <v>391</v>
      </c>
      <c r="B340">
        <v>79</v>
      </c>
      <c r="C340" t="s">
        <v>1089</v>
      </c>
      <c r="D340" t="s">
        <v>1090</v>
      </c>
      <c r="E340" t="s">
        <v>772</v>
      </c>
      <c r="F340">
        <v>2021</v>
      </c>
      <c r="G340">
        <v>0</v>
      </c>
      <c r="H340">
        <v>0</v>
      </c>
      <c r="I340">
        <v>0</v>
      </c>
      <c r="J340">
        <v>0</v>
      </c>
      <c r="K340">
        <v>497730000</v>
      </c>
      <c r="L340">
        <v>0.46</v>
      </c>
      <c r="M340">
        <v>228955.8</v>
      </c>
      <c r="N340">
        <v>968500</v>
      </c>
      <c r="O340">
        <v>2023000</v>
      </c>
      <c r="P340">
        <v>33670</v>
      </c>
      <c r="Q340">
        <v>0.59192081067721203</v>
      </c>
      <c r="R340">
        <v>14.5200921161499</v>
      </c>
      <c r="S340">
        <v>0.47874443895205099</v>
      </c>
      <c r="T340">
        <v>1.6643598615917E-2</v>
      </c>
      <c r="U340">
        <v>1960</v>
      </c>
      <c r="V340">
        <v>61</v>
      </c>
      <c r="W340">
        <v>0</v>
      </c>
      <c r="X340" t="s">
        <v>975</v>
      </c>
      <c r="Y340" t="s">
        <v>1594</v>
      </c>
      <c r="Z340" t="s">
        <v>2141</v>
      </c>
    </row>
    <row r="341" spans="1:26" ht="15" customHeight="1" x14ac:dyDescent="0.3">
      <c r="A341">
        <v>392</v>
      </c>
      <c r="B341">
        <v>79</v>
      </c>
      <c r="C341" t="s">
        <v>1089</v>
      </c>
      <c r="D341" t="s">
        <v>1090</v>
      </c>
      <c r="E341" t="s">
        <v>772</v>
      </c>
      <c r="F341">
        <v>2022</v>
      </c>
      <c r="G341">
        <v>0</v>
      </c>
      <c r="H341">
        <v>0</v>
      </c>
      <c r="I341">
        <v>0</v>
      </c>
      <c r="J341">
        <v>0</v>
      </c>
      <c r="K341">
        <v>497730000</v>
      </c>
      <c r="L341">
        <v>2.2703000000000002</v>
      </c>
      <c r="M341">
        <v>1129996.419</v>
      </c>
      <c r="N341">
        <v>490150</v>
      </c>
      <c r="O341">
        <v>1939000</v>
      </c>
      <c r="P341">
        <v>393620</v>
      </c>
      <c r="Q341">
        <v>0.83555771995874195</v>
      </c>
      <c r="R341">
        <v>14.4776829342248</v>
      </c>
      <c r="S341">
        <v>0.25278494069107799</v>
      </c>
      <c r="T341">
        <v>0.20300154718927299</v>
      </c>
      <c r="U341">
        <v>1960</v>
      </c>
      <c r="V341">
        <v>62</v>
      </c>
      <c r="W341">
        <v>0</v>
      </c>
      <c r="X341" t="s">
        <v>975</v>
      </c>
      <c r="Y341" t="s">
        <v>1594</v>
      </c>
      <c r="Z341" t="s">
        <v>2141</v>
      </c>
    </row>
    <row r="342" spans="1:26" ht="15" customHeight="1" x14ac:dyDescent="0.3">
      <c r="A342">
        <v>393</v>
      </c>
      <c r="B342">
        <v>79</v>
      </c>
      <c r="C342" t="s">
        <v>1089</v>
      </c>
      <c r="D342" t="s">
        <v>1090</v>
      </c>
      <c r="E342" t="s">
        <v>772</v>
      </c>
      <c r="F342">
        <v>2023</v>
      </c>
      <c r="G342">
        <v>1</v>
      </c>
      <c r="H342">
        <v>0</v>
      </c>
      <c r="I342">
        <v>0</v>
      </c>
      <c r="J342">
        <v>0</v>
      </c>
      <c r="K342">
        <v>497730000</v>
      </c>
      <c r="L342">
        <v>3.5962999999999998</v>
      </c>
      <c r="M342">
        <v>1789986.399</v>
      </c>
      <c r="N342">
        <v>767650</v>
      </c>
      <c r="O342">
        <v>2452000</v>
      </c>
      <c r="P342">
        <v>235960</v>
      </c>
      <c r="Q342">
        <v>1.04308172879282</v>
      </c>
      <c r="R342">
        <v>14.712414576038199</v>
      </c>
      <c r="S342">
        <v>0.31307096247960797</v>
      </c>
      <c r="T342">
        <v>9.6231647634584E-2</v>
      </c>
      <c r="U342">
        <v>1960</v>
      </c>
      <c r="V342">
        <v>63</v>
      </c>
      <c r="W342">
        <v>0</v>
      </c>
      <c r="X342" t="s">
        <v>975</v>
      </c>
      <c r="Y342" t="s">
        <v>1594</v>
      </c>
      <c r="Z342" t="s">
        <v>2141</v>
      </c>
    </row>
    <row r="343" spans="1:26" ht="15" customHeight="1" x14ac:dyDescent="0.3">
      <c r="A343">
        <v>394</v>
      </c>
      <c r="B343">
        <v>79</v>
      </c>
      <c r="C343" t="s">
        <v>1089</v>
      </c>
      <c r="D343" t="s">
        <v>1090</v>
      </c>
      <c r="E343" t="s">
        <v>772</v>
      </c>
      <c r="F343">
        <v>2024</v>
      </c>
      <c r="G343">
        <v>1</v>
      </c>
      <c r="H343">
        <v>0</v>
      </c>
      <c r="I343">
        <v>0</v>
      </c>
      <c r="J343">
        <v>0</v>
      </c>
      <c r="K343">
        <v>497730000</v>
      </c>
      <c r="L343">
        <v>8.4382999999999999</v>
      </c>
      <c r="M343">
        <v>4199995.0590000004</v>
      </c>
      <c r="N343">
        <v>1010000</v>
      </c>
      <c r="O343">
        <v>2840000</v>
      </c>
      <c r="P343">
        <v>295400</v>
      </c>
      <c r="Q343">
        <v>1.8345053024647899</v>
      </c>
      <c r="R343">
        <v>14.8593146101374</v>
      </c>
      <c r="S343">
        <v>0.35563380281690099</v>
      </c>
      <c r="T343">
        <v>0.104014084507042</v>
      </c>
      <c r="U343">
        <v>1960</v>
      </c>
      <c r="V343">
        <v>64</v>
      </c>
      <c r="W343">
        <v>0</v>
      </c>
      <c r="X343" t="s">
        <v>975</v>
      </c>
      <c r="Y343" t="s">
        <v>1594</v>
      </c>
      <c r="Z343" t="s">
        <v>2141</v>
      </c>
    </row>
    <row r="344" spans="1:26" ht="15" customHeight="1" x14ac:dyDescent="0.3">
      <c r="A344">
        <v>395</v>
      </c>
      <c r="B344">
        <v>79</v>
      </c>
      <c r="C344" t="s">
        <v>1089</v>
      </c>
      <c r="D344" t="s">
        <v>1090</v>
      </c>
      <c r="E344" t="s">
        <v>772</v>
      </c>
      <c r="F344">
        <v>2025</v>
      </c>
      <c r="G344">
        <v>1</v>
      </c>
      <c r="H344">
        <v>0</v>
      </c>
      <c r="I344">
        <v>0</v>
      </c>
      <c r="J344">
        <v>0</v>
      </c>
      <c r="K344">
        <v>497730000</v>
      </c>
      <c r="L344">
        <v>12.9588</v>
      </c>
      <c r="M344">
        <v>6449983.5240000002</v>
      </c>
      <c r="N344">
        <v>1276000</v>
      </c>
      <c r="O344">
        <v>3417000</v>
      </c>
      <c r="P344">
        <v>461030</v>
      </c>
      <c r="Q344">
        <v>2.2610428808896699</v>
      </c>
      <c r="R344">
        <v>15.044273531097399</v>
      </c>
      <c r="S344">
        <v>0.37342698273339198</v>
      </c>
      <c r="T344">
        <v>0.13492244659057701</v>
      </c>
      <c r="U344">
        <v>1960</v>
      </c>
      <c r="V344">
        <v>65</v>
      </c>
      <c r="W344">
        <v>0</v>
      </c>
      <c r="X344" t="s">
        <v>975</v>
      </c>
      <c r="Y344" t="s">
        <v>1594</v>
      </c>
      <c r="Z344" t="s">
        <v>2141</v>
      </c>
    </row>
    <row r="345" spans="1:26" ht="15" customHeight="1" x14ac:dyDescent="0.3">
      <c r="A345">
        <v>401</v>
      </c>
      <c r="B345">
        <v>81</v>
      </c>
      <c r="C345" t="s">
        <v>1096</v>
      </c>
      <c r="D345" t="s">
        <v>1097</v>
      </c>
      <c r="E345" t="s">
        <v>898</v>
      </c>
      <c r="F345">
        <v>2021</v>
      </c>
      <c r="G345">
        <v>0</v>
      </c>
      <c r="H345">
        <v>0</v>
      </c>
      <c r="I345">
        <v>0</v>
      </c>
      <c r="J345">
        <v>0</v>
      </c>
      <c r="K345">
        <v>989160000</v>
      </c>
      <c r="L345">
        <v>1.9916</v>
      </c>
      <c r="M345">
        <v>1970011.0560000001</v>
      </c>
      <c r="N345">
        <v>547890</v>
      </c>
      <c r="O345">
        <v>1615000</v>
      </c>
      <c r="P345">
        <v>-93930</v>
      </c>
      <c r="Q345">
        <v>1.5590718613003101</v>
      </c>
      <c r="R345">
        <v>14.294845514638901</v>
      </c>
      <c r="S345">
        <v>0.33925077399380799</v>
      </c>
      <c r="T345">
        <v>-5.8160990712074298E-2</v>
      </c>
      <c r="U345">
        <v>1955</v>
      </c>
      <c r="V345">
        <v>66</v>
      </c>
      <c r="W345">
        <v>0</v>
      </c>
      <c r="X345" t="s">
        <v>975</v>
      </c>
      <c r="Y345" t="s">
        <v>1596</v>
      </c>
      <c r="Z345" t="s">
        <v>2141</v>
      </c>
    </row>
    <row r="346" spans="1:26" ht="15" customHeight="1" x14ac:dyDescent="0.3">
      <c r="A346">
        <v>402</v>
      </c>
      <c r="B346">
        <v>81</v>
      </c>
      <c r="C346" t="s">
        <v>1096</v>
      </c>
      <c r="D346" t="s">
        <v>1097</v>
      </c>
      <c r="E346" t="s">
        <v>898</v>
      </c>
      <c r="F346">
        <v>2022</v>
      </c>
      <c r="G346">
        <v>0</v>
      </c>
      <c r="H346">
        <v>0</v>
      </c>
      <c r="I346">
        <v>0</v>
      </c>
      <c r="J346">
        <v>0</v>
      </c>
      <c r="K346">
        <v>989160000</v>
      </c>
      <c r="L346">
        <v>2.1736</v>
      </c>
      <c r="M346">
        <v>2150038.176</v>
      </c>
      <c r="N346">
        <v>608790</v>
      </c>
      <c r="O346">
        <v>1568000</v>
      </c>
      <c r="P346">
        <v>-107480</v>
      </c>
      <c r="Q346">
        <v>1.7594567448979599</v>
      </c>
      <c r="R346">
        <v>14.2653114798925</v>
      </c>
      <c r="S346">
        <v>0.38825892857142902</v>
      </c>
      <c r="T346">
        <v>-6.85459183673469E-2</v>
      </c>
      <c r="U346">
        <v>1955</v>
      </c>
      <c r="V346">
        <v>67</v>
      </c>
      <c r="W346">
        <v>0</v>
      </c>
      <c r="X346" t="s">
        <v>975</v>
      </c>
      <c r="Y346" t="s">
        <v>1596</v>
      </c>
      <c r="Z346" t="s">
        <v>2141</v>
      </c>
    </row>
    <row r="347" spans="1:26" ht="15" customHeight="1" x14ac:dyDescent="0.3">
      <c r="A347">
        <v>403</v>
      </c>
      <c r="B347">
        <v>81</v>
      </c>
      <c r="C347" t="s">
        <v>1096</v>
      </c>
      <c r="D347" t="s">
        <v>1097</v>
      </c>
      <c r="E347" t="s">
        <v>898</v>
      </c>
      <c r="F347">
        <v>2023</v>
      </c>
      <c r="G347">
        <v>1</v>
      </c>
      <c r="H347">
        <v>0</v>
      </c>
      <c r="I347">
        <v>0</v>
      </c>
      <c r="J347">
        <v>0</v>
      </c>
      <c r="K347">
        <v>989160000</v>
      </c>
      <c r="L347">
        <v>2.8003999999999998</v>
      </c>
      <c r="M347">
        <v>2770043.6639999999</v>
      </c>
      <c r="N347">
        <v>664930</v>
      </c>
      <c r="O347">
        <v>1525000</v>
      </c>
      <c r="P347">
        <v>-98720</v>
      </c>
      <c r="Q347">
        <v>2.2524417468852498</v>
      </c>
      <c r="R347">
        <v>14.2375049680236</v>
      </c>
      <c r="S347">
        <v>0.43601967213114801</v>
      </c>
      <c r="T347">
        <v>-6.4734426229508202E-2</v>
      </c>
      <c r="U347">
        <v>1955</v>
      </c>
      <c r="V347">
        <v>68</v>
      </c>
      <c r="W347">
        <v>0</v>
      </c>
      <c r="X347" t="s">
        <v>975</v>
      </c>
      <c r="Y347" t="s">
        <v>1596</v>
      </c>
      <c r="Z347" t="s">
        <v>2141</v>
      </c>
    </row>
    <row r="348" spans="1:26" ht="15" customHeight="1" x14ac:dyDescent="0.3">
      <c r="A348">
        <v>404</v>
      </c>
      <c r="B348">
        <v>81</v>
      </c>
      <c r="C348" t="s">
        <v>1096</v>
      </c>
      <c r="D348" t="s">
        <v>1097</v>
      </c>
      <c r="E348" t="s">
        <v>898</v>
      </c>
      <c r="F348">
        <v>2024</v>
      </c>
      <c r="G348">
        <v>1</v>
      </c>
      <c r="H348">
        <v>0</v>
      </c>
      <c r="I348">
        <v>0</v>
      </c>
      <c r="J348">
        <v>0</v>
      </c>
      <c r="K348">
        <v>989160000</v>
      </c>
      <c r="L348">
        <v>4.0134999999999996</v>
      </c>
      <c r="M348">
        <v>3969993.66</v>
      </c>
      <c r="N348">
        <v>773500</v>
      </c>
      <c r="O348">
        <v>1555000</v>
      </c>
      <c r="P348">
        <v>-78750</v>
      </c>
      <c r="Q348">
        <v>3.0504782379421198</v>
      </c>
      <c r="R348">
        <v>14.2569861035955</v>
      </c>
      <c r="S348">
        <v>0.49742765273311901</v>
      </c>
      <c r="T348">
        <v>-5.0643086816720299E-2</v>
      </c>
      <c r="U348">
        <v>1955</v>
      </c>
      <c r="V348">
        <v>69</v>
      </c>
      <c r="W348">
        <v>0</v>
      </c>
      <c r="X348" t="s">
        <v>975</v>
      </c>
      <c r="Y348" t="s">
        <v>1596</v>
      </c>
      <c r="Z348" t="s">
        <v>2141</v>
      </c>
    </row>
    <row r="349" spans="1:26" ht="15" customHeight="1" x14ac:dyDescent="0.3">
      <c r="A349">
        <v>405</v>
      </c>
      <c r="B349">
        <v>81</v>
      </c>
      <c r="C349" t="s">
        <v>1096</v>
      </c>
      <c r="D349" t="s">
        <v>1097</v>
      </c>
      <c r="E349" t="s">
        <v>898</v>
      </c>
      <c r="F349">
        <v>2025</v>
      </c>
      <c r="G349">
        <v>1</v>
      </c>
      <c r="H349">
        <v>0</v>
      </c>
      <c r="I349">
        <v>0</v>
      </c>
      <c r="J349">
        <v>0</v>
      </c>
      <c r="K349">
        <v>1256000000</v>
      </c>
      <c r="L349">
        <v>4.0525000000000002</v>
      </c>
      <c r="M349">
        <v>5089940</v>
      </c>
      <c r="N349">
        <v>916490</v>
      </c>
      <c r="O349">
        <v>2111000</v>
      </c>
      <c r="P349">
        <v>12310</v>
      </c>
      <c r="Q349">
        <v>2.84530080530554</v>
      </c>
      <c r="R349">
        <v>14.5626723268305</v>
      </c>
      <c r="S349">
        <v>0.43414969208905702</v>
      </c>
      <c r="T349">
        <v>5.8313595452392196E-3</v>
      </c>
      <c r="U349">
        <v>1955</v>
      </c>
      <c r="V349">
        <v>70</v>
      </c>
      <c r="W349">
        <v>0</v>
      </c>
      <c r="X349" t="s">
        <v>975</v>
      </c>
      <c r="Y349" t="s">
        <v>1596</v>
      </c>
      <c r="Z349" t="s">
        <v>2141</v>
      </c>
    </row>
    <row r="350" spans="1:26" ht="15" customHeight="1" x14ac:dyDescent="0.3">
      <c r="A350">
        <v>406</v>
      </c>
      <c r="B350">
        <v>82</v>
      </c>
      <c r="C350" t="s">
        <v>1099</v>
      </c>
      <c r="D350" t="s">
        <v>1100</v>
      </c>
      <c r="E350" t="s">
        <v>752</v>
      </c>
      <c r="F350">
        <v>2021</v>
      </c>
      <c r="G350">
        <v>0</v>
      </c>
      <c r="H350">
        <v>0</v>
      </c>
      <c r="I350">
        <v>25</v>
      </c>
      <c r="J350">
        <v>33.3333333333333</v>
      </c>
      <c r="K350">
        <v>20355000000</v>
      </c>
      <c r="L350">
        <v>197.00319999999999</v>
      </c>
      <c r="M350">
        <v>4010000136</v>
      </c>
      <c r="N350">
        <v>1997978000</v>
      </c>
      <c r="O350">
        <v>2262959000</v>
      </c>
      <c r="P350">
        <v>298654000</v>
      </c>
      <c r="Q350">
        <v>2.65492133794735</v>
      </c>
      <c r="R350">
        <v>21.539939085890602</v>
      </c>
      <c r="S350">
        <v>0.88290508135587098</v>
      </c>
      <c r="T350">
        <v>0.131974993802362</v>
      </c>
      <c r="U350">
        <v>2000</v>
      </c>
      <c r="V350">
        <v>21</v>
      </c>
      <c r="W350">
        <v>1</v>
      </c>
      <c r="X350" t="s">
        <v>722</v>
      </c>
      <c r="Y350" t="s">
        <v>1597</v>
      </c>
      <c r="Z350" t="s">
        <v>2141</v>
      </c>
    </row>
    <row r="351" spans="1:26" ht="15" customHeight="1" x14ac:dyDescent="0.3">
      <c r="A351">
        <v>407</v>
      </c>
      <c r="B351">
        <v>82</v>
      </c>
      <c r="C351" t="s">
        <v>1099</v>
      </c>
      <c r="D351" t="s">
        <v>1100</v>
      </c>
      <c r="E351" t="s">
        <v>752</v>
      </c>
      <c r="F351">
        <v>2022</v>
      </c>
      <c r="G351">
        <v>0</v>
      </c>
      <c r="H351">
        <v>0</v>
      </c>
      <c r="I351">
        <v>40</v>
      </c>
      <c r="J351">
        <v>46.6666666666667</v>
      </c>
      <c r="K351">
        <v>20326000000</v>
      </c>
      <c r="L351">
        <v>214.9956</v>
      </c>
      <c r="M351">
        <v>4370000565.6000004</v>
      </c>
      <c r="N351">
        <v>2276827000</v>
      </c>
      <c r="O351">
        <v>2539369000</v>
      </c>
      <c r="P351">
        <v>351382000</v>
      </c>
      <c r="Q351">
        <v>2.6175115021093802</v>
      </c>
      <c r="R351">
        <v>21.655181461917401</v>
      </c>
      <c r="S351">
        <v>0.89661132352171002</v>
      </c>
      <c r="T351">
        <v>0.138373745603731</v>
      </c>
      <c r="U351">
        <v>2000</v>
      </c>
      <c r="V351">
        <v>22</v>
      </c>
      <c r="W351">
        <v>1</v>
      </c>
      <c r="X351" t="s">
        <v>722</v>
      </c>
      <c r="Y351" t="s">
        <v>1597</v>
      </c>
      <c r="Z351" t="s">
        <v>2141</v>
      </c>
    </row>
    <row r="352" spans="1:26" ht="15" customHeight="1" x14ac:dyDescent="0.3">
      <c r="A352">
        <v>408</v>
      </c>
      <c r="B352">
        <v>82</v>
      </c>
      <c r="C352" t="s">
        <v>1099</v>
      </c>
      <c r="D352" t="s">
        <v>1100</v>
      </c>
      <c r="E352" t="s">
        <v>752</v>
      </c>
      <c r="F352">
        <v>2023</v>
      </c>
      <c r="G352">
        <v>1</v>
      </c>
      <c r="H352">
        <v>1</v>
      </c>
      <c r="I352">
        <v>85</v>
      </c>
      <c r="J352">
        <v>80</v>
      </c>
      <c r="K352">
        <v>20967000000</v>
      </c>
      <c r="L352">
        <v>264.22469999999998</v>
      </c>
      <c r="M352">
        <v>5539999284.8999996</v>
      </c>
      <c r="N352">
        <v>3229671000</v>
      </c>
      <c r="O352">
        <v>3188827000</v>
      </c>
      <c r="P352">
        <v>-133841000</v>
      </c>
      <c r="Q352">
        <v>2.7501241945392501</v>
      </c>
      <c r="R352">
        <v>21.8829189745219</v>
      </c>
      <c r="S352">
        <v>1.01280847157905</v>
      </c>
      <c r="T352">
        <v>-4.1971859871984298E-2</v>
      </c>
      <c r="U352">
        <v>2000</v>
      </c>
      <c r="V352">
        <v>23</v>
      </c>
      <c r="W352">
        <v>1</v>
      </c>
      <c r="X352" t="s">
        <v>722</v>
      </c>
      <c r="Y352" t="s">
        <v>1597</v>
      </c>
      <c r="Z352" t="s">
        <v>2141</v>
      </c>
    </row>
    <row r="353" spans="1:26" ht="15" customHeight="1" x14ac:dyDescent="0.3">
      <c r="A353">
        <v>409</v>
      </c>
      <c r="B353">
        <v>82</v>
      </c>
      <c r="C353" t="s">
        <v>1099</v>
      </c>
      <c r="D353" t="s">
        <v>1100</v>
      </c>
      <c r="E353" t="s">
        <v>752</v>
      </c>
      <c r="F353">
        <v>2024</v>
      </c>
      <c r="G353">
        <v>1</v>
      </c>
      <c r="H353">
        <v>1</v>
      </c>
      <c r="I353">
        <v>95</v>
      </c>
      <c r="J353">
        <v>86.6666666666667</v>
      </c>
      <c r="K353">
        <v>20967000000</v>
      </c>
      <c r="L353">
        <v>199.83779999999999</v>
      </c>
      <c r="M353">
        <v>4189999152.5999999</v>
      </c>
      <c r="N353">
        <v>4654998000</v>
      </c>
      <c r="O353">
        <v>4196991000</v>
      </c>
      <c r="P353">
        <v>-399448000</v>
      </c>
      <c r="Q353">
        <v>2.1074615486666501</v>
      </c>
      <c r="R353">
        <v>22.157633676906698</v>
      </c>
      <c r="S353">
        <v>1.10912746775011</v>
      </c>
      <c r="T353">
        <v>-9.5174852650386901E-2</v>
      </c>
      <c r="U353">
        <v>2000</v>
      </c>
      <c r="V353">
        <v>24</v>
      </c>
      <c r="W353">
        <v>1</v>
      </c>
      <c r="X353" t="s">
        <v>722</v>
      </c>
      <c r="Y353" t="s">
        <v>1597</v>
      </c>
      <c r="Z353" t="s">
        <v>2141</v>
      </c>
    </row>
    <row r="354" spans="1:26" ht="15" customHeight="1" x14ac:dyDescent="0.3">
      <c r="A354">
        <v>410</v>
      </c>
      <c r="B354">
        <v>82</v>
      </c>
      <c r="C354" t="s">
        <v>1099</v>
      </c>
      <c r="D354" t="s">
        <v>1100</v>
      </c>
      <c r="E354" t="s">
        <v>752</v>
      </c>
      <c r="F354">
        <v>2025</v>
      </c>
      <c r="G354">
        <v>1</v>
      </c>
      <c r="H354">
        <v>1</v>
      </c>
      <c r="I354">
        <v>95</v>
      </c>
      <c r="J354">
        <v>86.6666666666667</v>
      </c>
      <c r="K354">
        <v>20970000000</v>
      </c>
      <c r="L354">
        <v>511.20650000000001</v>
      </c>
      <c r="M354">
        <v>10720000305</v>
      </c>
      <c r="N354">
        <v>4854777000</v>
      </c>
      <c r="O354">
        <v>5403489000</v>
      </c>
      <c r="P354">
        <v>1112846000</v>
      </c>
      <c r="Q354">
        <v>2.88235569740218</v>
      </c>
      <c r="R354">
        <v>22.4103106929878</v>
      </c>
      <c r="S354">
        <v>0.89845227777830206</v>
      </c>
      <c r="T354">
        <v>0.20594952631531199</v>
      </c>
      <c r="U354">
        <v>2000</v>
      </c>
      <c r="V354">
        <v>25</v>
      </c>
      <c r="W354">
        <v>1</v>
      </c>
      <c r="X354" t="s">
        <v>722</v>
      </c>
      <c r="Y354" t="s">
        <v>1598</v>
      </c>
      <c r="Z354" t="s">
        <v>2141</v>
      </c>
    </row>
    <row r="355" spans="1:26" ht="15" customHeight="1" x14ac:dyDescent="0.3">
      <c r="A355">
        <v>416</v>
      </c>
      <c r="B355">
        <v>84</v>
      </c>
      <c r="C355" t="s">
        <v>1108</v>
      </c>
      <c r="D355" t="s">
        <v>1109</v>
      </c>
      <c r="E355" t="s">
        <v>758</v>
      </c>
      <c r="F355">
        <v>2021</v>
      </c>
      <c r="G355">
        <v>0</v>
      </c>
      <c r="H355">
        <v>0</v>
      </c>
      <c r="I355">
        <v>0</v>
      </c>
      <c r="J355">
        <v>0</v>
      </c>
      <c r="K355">
        <v>426190000</v>
      </c>
      <c r="L355">
        <v>2</v>
      </c>
      <c r="M355">
        <v>852380</v>
      </c>
      <c r="N355">
        <v>3951000</v>
      </c>
      <c r="O355">
        <v>4318000</v>
      </c>
      <c r="P355">
        <v>14030</v>
      </c>
      <c r="Q355">
        <v>1.1124085224641</v>
      </c>
      <c r="R355">
        <v>15.278302890056899</v>
      </c>
      <c r="S355">
        <v>0.91500694766095403</v>
      </c>
      <c r="T355">
        <v>3.24918943955535E-3</v>
      </c>
      <c r="U355">
        <v>2002</v>
      </c>
      <c r="V355">
        <v>19</v>
      </c>
      <c r="W355">
        <v>0</v>
      </c>
      <c r="X355" t="s">
        <v>1111</v>
      </c>
      <c r="Y355" t="s">
        <v>1602</v>
      </c>
      <c r="Z355" t="s">
        <v>2141</v>
      </c>
    </row>
    <row r="356" spans="1:26" ht="15" customHeight="1" x14ac:dyDescent="0.3">
      <c r="A356">
        <v>417</v>
      </c>
      <c r="B356">
        <v>84</v>
      </c>
      <c r="C356" t="s">
        <v>1108</v>
      </c>
      <c r="D356" t="s">
        <v>1109</v>
      </c>
      <c r="E356" t="s">
        <v>758</v>
      </c>
      <c r="F356">
        <v>2022</v>
      </c>
      <c r="G356">
        <v>0</v>
      </c>
      <c r="H356">
        <v>0</v>
      </c>
      <c r="I356">
        <v>0</v>
      </c>
      <c r="J356">
        <v>0</v>
      </c>
      <c r="K356">
        <v>426190000</v>
      </c>
      <c r="L356">
        <v>3.9887999999999999</v>
      </c>
      <c r="M356">
        <v>1699986.672</v>
      </c>
      <c r="N356">
        <v>3711000</v>
      </c>
      <c r="O356">
        <v>4269000</v>
      </c>
      <c r="P356">
        <v>189760</v>
      </c>
      <c r="Q356">
        <v>1.26750683345046</v>
      </c>
      <c r="R356">
        <v>15.266890165740101</v>
      </c>
      <c r="S356">
        <v>0.869290231904427</v>
      </c>
      <c r="T356">
        <v>4.4450691028343897E-2</v>
      </c>
      <c r="U356">
        <v>2002</v>
      </c>
      <c r="V356">
        <v>20</v>
      </c>
      <c r="W356">
        <v>0</v>
      </c>
      <c r="X356" t="s">
        <v>1111</v>
      </c>
      <c r="Y356" t="s">
        <v>1602</v>
      </c>
      <c r="Z356" t="s">
        <v>2141</v>
      </c>
    </row>
    <row r="357" spans="1:26" ht="15" customHeight="1" x14ac:dyDescent="0.3">
      <c r="A357">
        <v>418</v>
      </c>
      <c r="B357">
        <v>84</v>
      </c>
      <c r="C357" t="s">
        <v>1108</v>
      </c>
      <c r="D357" t="s">
        <v>1109</v>
      </c>
      <c r="E357" t="s">
        <v>758</v>
      </c>
      <c r="F357">
        <v>2023</v>
      </c>
      <c r="G357">
        <v>1</v>
      </c>
      <c r="H357">
        <v>0</v>
      </c>
      <c r="I357">
        <v>0</v>
      </c>
      <c r="J357">
        <v>0</v>
      </c>
      <c r="K357">
        <v>426190000</v>
      </c>
      <c r="L357">
        <v>18.559799999999999</v>
      </c>
      <c r="M357">
        <v>7910001.1619999995</v>
      </c>
      <c r="N357">
        <v>3433000</v>
      </c>
      <c r="O357">
        <v>4234000</v>
      </c>
      <c r="P357">
        <v>265990</v>
      </c>
      <c r="Q357">
        <v>2.67902719933869</v>
      </c>
      <c r="R357">
        <v>15.2586577306769</v>
      </c>
      <c r="S357">
        <v>0.81081719414265496</v>
      </c>
      <c r="T357">
        <v>6.2822390174775603E-2</v>
      </c>
      <c r="U357">
        <v>2002</v>
      </c>
      <c r="V357">
        <v>21</v>
      </c>
      <c r="W357">
        <v>0</v>
      </c>
      <c r="X357" t="s">
        <v>1111</v>
      </c>
      <c r="Y357" t="s">
        <v>1602</v>
      </c>
      <c r="Z357" t="s">
        <v>2141</v>
      </c>
    </row>
    <row r="358" spans="1:26" ht="15" customHeight="1" x14ac:dyDescent="0.3">
      <c r="A358">
        <v>419</v>
      </c>
      <c r="B358">
        <v>84</v>
      </c>
      <c r="C358" t="s">
        <v>1108</v>
      </c>
      <c r="D358" t="s">
        <v>1109</v>
      </c>
      <c r="E358" t="s">
        <v>758</v>
      </c>
      <c r="F358">
        <v>2024</v>
      </c>
      <c r="G358">
        <v>1</v>
      </c>
      <c r="H358">
        <v>0</v>
      </c>
      <c r="I358">
        <v>0</v>
      </c>
      <c r="J358">
        <v>0</v>
      </c>
      <c r="K358">
        <v>426190000</v>
      </c>
      <c r="L358">
        <v>7.3441000000000001</v>
      </c>
      <c r="M358">
        <v>3129981.9789999998</v>
      </c>
      <c r="N358">
        <v>3236000</v>
      </c>
      <c r="O358">
        <v>4406000</v>
      </c>
      <c r="P358">
        <v>378470</v>
      </c>
      <c r="Q358">
        <v>1.4448438445301901</v>
      </c>
      <c r="R358">
        <v>15.298477806344399</v>
      </c>
      <c r="S358">
        <v>0.734453018610985</v>
      </c>
      <c r="T358">
        <v>8.5898774398547401E-2</v>
      </c>
      <c r="U358">
        <v>2002</v>
      </c>
      <c r="V358">
        <v>22</v>
      </c>
      <c r="W358">
        <v>0</v>
      </c>
      <c r="X358" t="s">
        <v>1111</v>
      </c>
      <c r="Y358" t="s">
        <v>1602</v>
      </c>
      <c r="Z358" t="s">
        <v>2141</v>
      </c>
    </row>
    <row r="359" spans="1:26" ht="15" customHeight="1" x14ac:dyDescent="0.3">
      <c r="A359">
        <v>420</v>
      </c>
      <c r="B359">
        <v>84</v>
      </c>
      <c r="C359" t="s">
        <v>1108</v>
      </c>
      <c r="D359" t="s">
        <v>1109</v>
      </c>
      <c r="E359" t="s">
        <v>758</v>
      </c>
      <c r="F359">
        <v>2025</v>
      </c>
      <c r="G359">
        <v>1</v>
      </c>
      <c r="H359">
        <v>0</v>
      </c>
      <c r="I359">
        <v>0</v>
      </c>
      <c r="J359">
        <v>0</v>
      </c>
      <c r="K359">
        <v>426190000</v>
      </c>
      <c r="L359">
        <v>13.350899999999999</v>
      </c>
      <c r="M359">
        <v>5690020.0710000005</v>
      </c>
      <c r="N359">
        <v>1473000</v>
      </c>
      <c r="O359">
        <v>3159000</v>
      </c>
      <c r="P359">
        <v>547110</v>
      </c>
      <c r="Q359">
        <v>2.2674960655270699</v>
      </c>
      <c r="R359">
        <v>14.965766079784199</v>
      </c>
      <c r="S359">
        <v>0.46628679962013297</v>
      </c>
      <c r="T359">
        <v>0.17319088319088299</v>
      </c>
      <c r="U359">
        <v>2002</v>
      </c>
      <c r="V359">
        <v>23</v>
      </c>
      <c r="W359">
        <v>0</v>
      </c>
      <c r="X359" t="s">
        <v>1111</v>
      </c>
      <c r="Y359" t="s">
        <v>1602</v>
      </c>
      <c r="Z359" t="s">
        <v>2141</v>
      </c>
    </row>
    <row r="360" spans="1:26" ht="15" customHeight="1" x14ac:dyDescent="0.3">
      <c r="A360">
        <v>421</v>
      </c>
      <c r="B360">
        <v>85</v>
      </c>
      <c r="C360" t="s">
        <v>1113</v>
      </c>
      <c r="D360" t="s">
        <v>1114</v>
      </c>
      <c r="E360" t="s">
        <v>715</v>
      </c>
      <c r="F360">
        <v>2021</v>
      </c>
      <c r="G360">
        <v>0</v>
      </c>
      <c r="H360">
        <v>0</v>
      </c>
      <c r="I360">
        <v>15</v>
      </c>
      <c r="J360">
        <v>0</v>
      </c>
      <c r="K360">
        <v>2227000000</v>
      </c>
      <c r="L360">
        <v>2.7256</v>
      </c>
      <c r="M360">
        <v>6069911.2000000002</v>
      </c>
      <c r="N360">
        <v>9423000</v>
      </c>
      <c r="O360">
        <v>16442000</v>
      </c>
      <c r="P360">
        <v>743190</v>
      </c>
      <c r="Q360">
        <v>0.94227656002919402</v>
      </c>
      <c r="R360">
        <v>16.615349594694202</v>
      </c>
      <c r="S360">
        <v>0.57310546162267395</v>
      </c>
      <c r="T360">
        <v>4.5200705510278598E-2</v>
      </c>
      <c r="U360">
        <v>1979</v>
      </c>
      <c r="V360">
        <v>42</v>
      </c>
      <c r="W360">
        <v>1</v>
      </c>
      <c r="X360" t="s">
        <v>722</v>
      </c>
      <c r="Y360" t="s">
        <v>1603</v>
      </c>
      <c r="Z360" t="s">
        <v>2141</v>
      </c>
    </row>
    <row r="361" spans="1:26" ht="15" customHeight="1" x14ac:dyDescent="0.3">
      <c r="A361">
        <v>422</v>
      </c>
      <c r="B361">
        <v>85</v>
      </c>
      <c r="C361" t="s">
        <v>1113</v>
      </c>
      <c r="D361" t="s">
        <v>1114</v>
      </c>
      <c r="E361" t="s">
        <v>715</v>
      </c>
      <c r="F361">
        <v>2022</v>
      </c>
      <c r="G361">
        <v>0</v>
      </c>
      <c r="H361">
        <v>0</v>
      </c>
      <c r="I361">
        <v>15</v>
      </c>
      <c r="J361">
        <v>0</v>
      </c>
      <c r="K361">
        <v>2227000000</v>
      </c>
      <c r="L361">
        <v>5.5994999999999999</v>
      </c>
      <c r="M361">
        <v>12470086.5</v>
      </c>
      <c r="N361">
        <v>9701000</v>
      </c>
      <c r="O361">
        <v>18727000</v>
      </c>
      <c r="P361">
        <v>2658000</v>
      </c>
      <c r="Q361">
        <v>1.1839102098574299</v>
      </c>
      <c r="R361">
        <v>16.745476890742601</v>
      </c>
      <c r="S361">
        <v>0.51802210711806496</v>
      </c>
      <c r="T361">
        <v>0.14193410583649299</v>
      </c>
      <c r="U361">
        <v>1979</v>
      </c>
      <c r="V361">
        <v>43</v>
      </c>
      <c r="W361">
        <v>1</v>
      </c>
      <c r="X361" t="s">
        <v>722</v>
      </c>
      <c r="Y361" t="s">
        <v>1603</v>
      </c>
      <c r="Z361" t="s">
        <v>2141</v>
      </c>
    </row>
    <row r="362" spans="1:26" ht="15" customHeight="1" x14ac:dyDescent="0.3">
      <c r="A362">
        <v>423</v>
      </c>
      <c r="B362">
        <v>85</v>
      </c>
      <c r="C362" t="s">
        <v>1113</v>
      </c>
      <c r="D362" t="s">
        <v>1114</v>
      </c>
      <c r="E362" t="s">
        <v>715</v>
      </c>
      <c r="F362">
        <v>2023</v>
      </c>
      <c r="G362">
        <v>1</v>
      </c>
      <c r="H362">
        <v>0</v>
      </c>
      <c r="I362">
        <v>15</v>
      </c>
      <c r="J362">
        <v>0</v>
      </c>
      <c r="K362">
        <v>2227000000</v>
      </c>
      <c r="L362">
        <v>22.2317</v>
      </c>
      <c r="M362">
        <v>49509995.899999999</v>
      </c>
      <c r="N362">
        <v>15184000</v>
      </c>
      <c r="O362">
        <v>27311000</v>
      </c>
      <c r="P362">
        <v>5540000</v>
      </c>
      <c r="Q362">
        <v>2.3687889824612798</v>
      </c>
      <c r="R362">
        <v>17.122800109403499</v>
      </c>
      <c r="S362">
        <v>0.55596646040057096</v>
      </c>
      <c r="T362">
        <v>0.202848669034455</v>
      </c>
      <c r="U362">
        <v>1979</v>
      </c>
      <c r="V362">
        <v>44</v>
      </c>
      <c r="W362">
        <v>1</v>
      </c>
      <c r="X362" t="s">
        <v>722</v>
      </c>
      <c r="Y362" t="s">
        <v>1603</v>
      </c>
      <c r="Z362" t="s">
        <v>2141</v>
      </c>
    </row>
    <row r="363" spans="1:26" ht="15" customHeight="1" x14ac:dyDescent="0.3">
      <c r="A363">
        <v>424</v>
      </c>
      <c r="B363">
        <v>85</v>
      </c>
      <c r="C363" t="s">
        <v>1113</v>
      </c>
      <c r="D363" t="s">
        <v>1114</v>
      </c>
      <c r="E363" t="s">
        <v>715</v>
      </c>
      <c r="F363">
        <v>2024</v>
      </c>
      <c r="G363">
        <v>1</v>
      </c>
      <c r="H363">
        <v>0</v>
      </c>
      <c r="I363">
        <v>15</v>
      </c>
      <c r="J363">
        <v>0</v>
      </c>
      <c r="K363">
        <v>2227000000</v>
      </c>
      <c r="L363">
        <v>40.300899999999999</v>
      </c>
      <c r="M363">
        <v>89750104.299999997</v>
      </c>
      <c r="N363">
        <v>26878000</v>
      </c>
      <c r="O363">
        <v>46953000</v>
      </c>
      <c r="P363">
        <v>12865000</v>
      </c>
      <c r="Q363">
        <v>2.4839329606201899</v>
      </c>
      <c r="R363">
        <v>17.664657659340701</v>
      </c>
      <c r="S363">
        <v>0.57244478521074305</v>
      </c>
      <c r="T363">
        <v>0.273997401656976</v>
      </c>
      <c r="U363">
        <v>1979</v>
      </c>
      <c r="V363">
        <v>45</v>
      </c>
      <c r="W363">
        <v>1</v>
      </c>
      <c r="X363" t="s">
        <v>722</v>
      </c>
      <c r="Y363" t="s">
        <v>1603</v>
      </c>
      <c r="Z363" t="s">
        <v>2141</v>
      </c>
    </row>
    <row r="364" spans="1:26" ht="15" customHeight="1" x14ac:dyDescent="0.3">
      <c r="A364">
        <v>425</v>
      </c>
      <c r="B364">
        <v>85</v>
      </c>
      <c r="C364" t="s">
        <v>1113</v>
      </c>
      <c r="D364" t="s">
        <v>1114</v>
      </c>
      <c r="E364" t="s">
        <v>715</v>
      </c>
      <c r="F364">
        <v>2025</v>
      </c>
      <c r="G364">
        <v>1</v>
      </c>
      <c r="H364">
        <v>0</v>
      </c>
      <c r="I364">
        <v>15</v>
      </c>
      <c r="J364">
        <v>0</v>
      </c>
      <c r="K364">
        <v>2227000000</v>
      </c>
      <c r="L364">
        <v>94.521799999999999</v>
      </c>
      <c r="M364">
        <v>210500048.59999999</v>
      </c>
      <c r="N364">
        <v>29124000</v>
      </c>
      <c r="O364">
        <v>55120000</v>
      </c>
      <c r="P364">
        <v>17514000</v>
      </c>
      <c r="Q364">
        <v>4.3473158309143702</v>
      </c>
      <c r="R364">
        <v>17.8250231846697</v>
      </c>
      <c r="S364">
        <v>0.52837445573294595</v>
      </c>
      <c r="T364">
        <v>0.31774310595065303</v>
      </c>
      <c r="U364">
        <v>1979</v>
      </c>
      <c r="V364">
        <v>46</v>
      </c>
      <c r="W364">
        <v>1</v>
      </c>
      <c r="X364" t="s">
        <v>722</v>
      </c>
      <c r="Y364" t="s">
        <v>1603</v>
      </c>
      <c r="Z364" t="s">
        <v>2141</v>
      </c>
    </row>
    <row r="365" spans="1:26" ht="15" customHeight="1" x14ac:dyDescent="0.3">
      <c r="A365">
        <v>426</v>
      </c>
      <c r="B365">
        <v>86</v>
      </c>
      <c r="C365" t="s">
        <v>1117</v>
      </c>
      <c r="D365" t="s">
        <v>1118</v>
      </c>
      <c r="E365" t="s">
        <v>806</v>
      </c>
      <c r="F365">
        <v>2021</v>
      </c>
      <c r="G365">
        <v>0</v>
      </c>
      <c r="H365">
        <v>0</v>
      </c>
      <c r="I365">
        <v>35</v>
      </c>
      <c r="J365">
        <v>0</v>
      </c>
      <c r="K365">
        <v>2702000000</v>
      </c>
      <c r="L365">
        <v>12.942299999999999</v>
      </c>
      <c r="M365">
        <v>34970094.600000001</v>
      </c>
      <c r="N365">
        <v>25891000</v>
      </c>
      <c r="O365">
        <v>40521000</v>
      </c>
      <c r="P365">
        <v>2971000</v>
      </c>
      <c r="Q365">
        <v>1.5019642802497499</v>
      </c>
      <c r="R365">
        <v>17.517330916211002</v>
      </c>
      <c r="S365">
        <v>0.63895264184003397</v>
      </c>
      <c r="T365">
        <v>7.3320006909997307E-2</v>
      </c>
      <c r="U365">
        <v>1973</v>
      </c>
      <c r="V365">
        <v>48</v>
      </c>
      <c r="W365">
        <v>1</v>
      </c>
      <c r="X365" t="s">
        <v>1012</v>
      </c>
      <c r="Y365" t="s">
        <v>1604</v>
      </c>
      <c r="Z365" t="s">
        <v>2141</v>
      </c>
    </row>
    <row r="366" spans="1:26" ht="15" customHeight="1" x14ac:dyDescent="0.3">
      <c r="A366">
        <v>427</v>
      </c>
      <c r="B366">
        <v>86</v>
      </c>
      <c r="C366" t="s">
        <v>1117</v>
      </c>
      <c r="D366" t="s">
        <v>1118</v>
      </c>
      <c r="E366" t="s">
        <v>806</v>
      </c>
      <c r="F366">
        <v>2022</v>
      </c>
      <c r="G366">
        <v>0</v>
      </c>
      <c r="H366">
        <v>0</v>
      </c>
      <c r="I366">
        <v>35</v>
      </c>
      <c r="J366">
        <v>0</v>
      </c>
      <c r="K366">
        <v>2702000000</v>
      </c>
      <c r="L366">
        <v>10.884499999999999</v>
      </c>
      <c r="M366">
        <v>29409919</v>
      </c>
      <c r="N366">
        <v>36488000</v>
      </c>
      <c r="O366">
        <v>55531000</v>
      </c>
      <c r="P366">
        <v>5469000</v>
      </c>
      <c r="Q366">
        <v>1.1866870576794899</v>
      </c>
      <c r="R366">
        <v>17.832451981339499</v>
      </c>
      <c r="S366">
        <v>0.65707442689668805</v>
      </c>
      <c r="T366">
        <v>9.8485530604527194E-2</v>
      </c>
      <c r="U366">
        <v>1973</v>
      </c>
      <c r="V366">
        <v>49</v>
      </c>
      <c r="W366">
        <v>1</v>
      </c>
      <c r="X366" t="s">
        <v>1012</v>
      </c>
      <c r="Y366" t="s">
        <v>1604</v>
      </c>
      <c r="Z366" t="s">
        <v>2141</v>
      </c>
    </row>
    <row r="367" spans="1:26" ht="15" customHeight="1" x14ac:dyDescent="0.3">
      <c r="A367">
        <v>428</v>
      </c>
      <c r="B367">
        <v>86</v>
      </c>
      <c r="C367" t="s">
        <v>1117</v>
      </c>
      <c r="D367" t="s">
        <v>1118</v>
      </c>
      <c r="E367" t="s">
        <v>806</v>
      </c>
      <c r="F367">
        <v>2023</v>
      </c>
      <c r="G367">
        <v>1</v>
      </c>
      <c r="H367">
        <v>0</v>
      </c>
      <c r="I367">
        <v>35</v>
      </c>
      <c r="J367">
        <v>0</v>
      </c>
      <c r="K367">
        <v>2702000000</v>
      </c>
      <c r="L367">
        <v>52.705399999999997</v>
      </c>
      <c r="M367">
        <v>142409990.80000001</v>
      </c>
      <c r="N367">
        <v>38214000</v>
      </c>
      <c r="O367">
        <v>65686000</v>
      </c>
      <c r="P367">
        <v>13728000</v>
      </c>
      <c r="Q367">
        <v>2.7498095606369701</v>
      </c>
      <c r="R367">
        <v>18.0003963709459</v>
      </c>
      <c r="S367">
        <v>0.58176780440276499</v>
      </c>
      <c r="T367">
        <v>0.20899430624486201</v>
      </c>
      <c r="U367">
        <v>1973</v>
      </c>
      <c r="V367">
        <v>50</v>
      </c>
      <c r="W367">
        <v>1</v>
      </c>
      <c r="X367" t="s">
        <v>1012</v>
      </c>
      <c r="Y367" t="s">
        <v>1604</v>
      </c>
      <c r="Z367" t="s">
        <v>2141</v>
      </c>
    </row>
    <row r="368" spans="1:26" ht="15" customHeight="1" x14ac:dyDescent="0.3">
      <c r="A368">
        <v>429</v>
      </c>
      <c r="B368">
        <v>86</v>
      </c>
      <c r="C368" t="s">
        <v>1117</v>
      </c>
      <c r="D368" t="s">
        <v>1118</v>
      </c>
      <c r="E368" t="s">
        <v>806</v>
      </c>
      <c r="F368">
        <v>2024</v>
      </c>
      <c r="G368">
        <v>1</v>
      </c>
      <c r="H368">
        <v>0</v>
      </c>
      <c r="I368">
        <v>35</v>
      </c>
      <c r="J368">
        <v>0</v>
      </c>
      <c r="K368">
        <v>2702000000</v>
      </c>
      <c r="L368">
        <v>31.354600000000001</v>
      </c>
      <c r="M368">
        <v>84720129.200000003</v>
      </c>
      <c r="N368">
        <v>35447000</v>
      </c>
      <c r="O368">
        <v>78502000</v>
      </c>
      <c r="P368">
        <v>15584000</v>
      </c>
      <c r="Q368">
        <v>1.5307524547145299</v>
      </c>
      <c r="R368">
        <v>18.178634660135099</v>
      </c>
      <c r="S368">
        <v>0.45154263585641102</v>
      </c>
      <c r="T368">
        <v>0.19851723522967599</v>
      </c>
      <c r="U368">
        <v>1973</v>
      </c>
      <c r="V368">
        <v>51</v>
      </c>
      <c r="W368">
        <v>1</v>
      </c>
      <c r="X368" t="s">
        <v>1012</v>
      </c>
      <c r="Y368" t="s">
        <v>1604</v>
      </c>
      <c r="Z368" t="s">
        <v>2141</v>
      </c>
    </row>
    <row r="369" spans="1:26" ht="15" customHeight="1" x14ac:dyDescent="0.3">
      <c r="A369">
        <v>430</v>
      </c>
      <c r="B369">
        <v>86</v>
      </c>
      <c r="C369" t="s">
        <v>1117</v>
      </c>
      <c r="D369" t="s">
        <v>1118</v>
      </c>
      <c r="E369" t="s">
        <v>806</v>
      </c>
      <c r="F369">
        <v>2025</v>
      </c>
      <c r="G369">
        <v>1</v>
      </c>
      <c r="H369">
        <v>1</v>
      </c>
      <c r="I369">
        <v>75</v>
      </c>
      <c r="J369">
        <v>46.6666666666667</v>
      </c>
      <c r="K369">
        <v>2702000000</v>
      </c>
      <c r="L369">
        <v>107.5167</v>
      </c>
      <c r="M369">
        <v>290510123.39999998</v>
      </c>
      <c r="N369">
        <v>64086000</v>
      </c>
      <c r="O369">
        <v>135266000</v>
      </c>
      <c r="P369">
        <v>33529000</v>
      </c>
      <c r="Q369">
        <v>2.6214726790176401</v>
      </c>
      <c r="R369">
        <v>18.722753768139501</v>
      </c>
      <c r="S369">
        <v>0.47377759377818501</v>
      </c>
      <c r="T369">
        <v>0.247874558277764</v>
      </c>
      <c r="U369">
        <v>1973</v>
      </c>
      <c r="V369">
        <v>52</v>
      </c>
      <c r="W369">
        <v>1</v>
      </c>
      <c r="X369" t="s">
        <v>1012</v>
      </c>
      <c r="Y369" t="s">
        <v>1604</v>
      </c>
      <c r="Z369" t="s">
        <v>2141</v>
      </c>
    </row>
    <row r="370" spans="1:26" ht="15" customHeight="1" x14ac:dyDescent="0.3">
      <c r="A370">
        <v>431</v>
      </c>
      <c r="B370">
        <v>87</v>
      </c>
      <c r="C370" t="s">
        <v>1121</v>
      </c>
      <c r="D370" t="s">
        <v>1122</v>
      </c>
      <c r="E370" t="s">
        <v>806</v>
      </c>
      <c r="F370">
        <v>2021</v>
      </c>
      <c r="G370">
        <v>0</v>
      </c>
      <c r="H370">
        <v>0</v>
      </c>
      <c r="I370">
        <v>25</v>
      </c>
      <c r="J370">
        <v>13.3333333333333</v>
      </c>
      <c r="K370">
        <v>10095000000</v>
      </c>
      <c r="L370">
        <v>39.999000000000002</v>
      </c>
      <c r="M370">
        <v>403789905</v>
      </c>
      <c r="N370">
        <v>313610000</v>
      </c>
      <c r="O370">
        <v>485522000</v>
      </c>
      <c r="P370">
        <v>12666000</v>
      </c>
      <c r="Q370">
        <v>1.4775847541409</v>
      </c>
      <c r="R370">
        <v>20.000735158778198</v>
      </c>
      <c r="S370">
        <v>0.64592335671709999</v>
      </c>
      <c r="T370">
        <v>2.6087386359423499E-2</v>
      </c>
      <c r="U370">
        <v>1946</v>
      </c>
      <c r="V370">
        <v>75</v>
      </c>
      <c r="W370">
        <v>1</v>
      </c>
      <c r="X370" t="s">
        <v>1124</v>
      </c>
      <c r="Y370" t="s">
        <v>1605</v>
      </c>
      <c r="Z370" t="s">
        <v>2141</v>
      </c>
    </row>
    <row r="371" spans="1:26" ht="15" customHeight="1" x14ac:dyDescent="0.3">
      <c r="A371">
        <v>432</v>
      </c>
      <c r="B371">
        <v>87</v>
      </c>
      <c r="C371" t="s">
        <v>1121</v>
      </c>
      <c r="D371" t="s">
        <v>1122</v>
      </c>
      <c r="E371" t="s">
        <v>806</v>
      </c>
      <c r="F371">
        <v>2022</v>
      </c>
      <c r="G371">
        <v>0</v>
      </c>
      <c r="H371">
        <v>0</v>
      </c>
      <c r="I371">
        <v>30</v>
      </c>
      <c r="J371">
        <v>13.3333333333333</v>
      </c>
      <c r="K371">
        <v>10276000000</v>
      </c>
      <c r="L371">
        <v>41.000399999999999</v>
      </c>
      <c r="M371">
        <v>421320110.39999998</v>
      </c>
      <c r="N371">
        <v>439975000</v>
      </c>
      <c r="O371">
        <v>619889000</v>
      </c>
      <c r="P371">
        <v>13182000</v>
      </c>
      <c r="Q371">
        <v>1.3894344155163301</v>
      </c>
      <c r="R371">
        <v>20.2450509877172</v>
      </c>
      <c r="S371">
        <v>0.70976416745578597</v>
      </c>
      <c r="T371">
        <v>2.1265097460997098E-2</v>
      </c>
      <c r="U371">
        <v>1946</v>
      </c>
      <c r="V371">
        <v>76</v>
      </c>
      <c r="W371">
        <v>1</v>
      </c>
      <c r="X371" t="s">
        <v>1124</v>
      </c>
      <c r="Y371" t="s">
        <v>1606</v>
      </c>
      <c r="Z371" t="s">
        <v>2141</v>
      </c>
    </row>
    <row r="372" spans="1:26" ht="15" customHeight="1" x14ac:dyDescent="0.3">
      <c r="A372">
        <v>433</v>
      </c>
      <c r="B372">
        <v>87</v>
      </c>
      <c r="C372" t="s">
        <v>1121</v>
      </c>
      <c r="D372" t="s">
        <v>1122</v>
      </c>
      <c r="E372" t="s">
        <v>806</v>
      </c>
      <c r="F372">
        <v>2023</v>
      </c>
      <c r="G372">
        <v>1</v>
      </c>
      <c r="H372">
        <v>0</v>
      </c>
      <c r="I372">
        <v>35</v>
      </c>
      <c r="J372">
        <v>20</v>
      </c>
      <c r="K372">
        <v>10276000000</v>
      </c>
      <c r="L372">
        <v>36.000399999999999</v>
      </c>
      <c r="M372">
        <v>369940110.39999998</v>
      </c>
      <c r="N372">
        <v>732589000</v>
      </c>
      <c r="O372">
        <v>795873000</v>
      </c>
      <c r="P372">
        <v>-106308000</v>
      </c>
      <c r="Q372">
        <v>1.3853078448445899</v>
      </c>
      <c r="R372">
        <v>20.494950183340901</v>
      </c>
      <c r="S372">
        <v>0.92048480096698904</v>
      </c>
      <c r="T372">
        <v>-0.13357407526075099</v>
      </c>
      <c r="U372">
        <v>1946</v>
      </c>
      <c r="V372">
        <v>77</v>
      </c>
      <c r="W372">
        <v>1</v>
      </c>
      <c r="X372" t="s">
        <v>1124</v>
      </c>
      <c r="Y372" t="s">
        <v>1607</v>
      </c>
      <c r="Z372" t="s">
        <v>2141</v>
      </c>
    </row>
    <row r="373" spans="1:26" ht="15" customHeight="1" x14ac:dyDescent="0.3">
      <c r="A373">
        <v>434</v>
      </c>
      <c r="B373">
        <v>87</v>
      </c>
      <c r="C373" t="s">
        <v>1121</v>
      </c>
      <c r="D373" t="s">
        <v>1122</v>
      </c>
      <c r="E373" t="s">
        <v>806</v>
      </c>
      <c r="F373">
        <v>2024</v>
      </c>
      <c r="G373">
        <v>1</v>
      </c>
      <c r="H373">
        <v>0</v>
      </c>
      <c r="I373">
        <v>45</v>
      </c>
      <c r="J373">
        <v>33.3333333333333</v>
      </c>
      <c r="K373">
        <v>30983000000</v>
      </c>
      <c r="L373">
        <v>32.000100000000003</v>
      </c>
      <c r="M373">
        <v>991459098.29999995</v>
      </c>
      <c r="N373">
        <v>674332000</v>
      </c>
      <c r="O373">
        <v>1138276000</v>
      </c>
      <c r="P373">
        <v>-144887000</v>
      </c>
      <c r="Q373">
        <v>1.4634333837311899</v>
      </c>
      <c r="R373">
        <v>20.8527806740004</v>
      </c>
      <c r="S373">
        <v>0.59241519631442596</v>
      </c>
      <c r="T373">
        <v>-0.12728635234336799</v>
      </c>
      <c r="U373">
        <v>1946</v>
      </c>
      <c r="V373">
        <v>78</v>
      </c>
      <c r="W373">
        <v>1</v>
      </c>
      <c r="X373" t="s">
        <v>1124</v>
      </c>
      <c r="Y373" t="s">
        <v>1608</v>
      </c>
      <c r="Z373" t="s">
        <v>2141</v>
      </c>
    </row>
    <row r="374" spans="1:26" ht="15" customHeight="1" x14ac:dyDescent="0.3">
      <c r="A374">
        <v>435</v>
      </c>
      <c r="B374">
        <v>87</v>
      </c>
      <c r="C374" t="s">
        <v>1121</v>
      </c>
      <c r="D374" t="s">
        <v>1122</v>
      </c>
      <c r="E374" t="s">
        <v>806</v>
      </c>
      <c r="F374">
        <v>2025</v>
      </c>
      <c r="G374">
        <v>1</v>
      </c>
      <c r="H374">
        <v>0</v>
      </c>
      <c r="I374">
        <v>45</v>
      </c>
      <c r="J374">
        <v>33.3333333333333</v>
      </c>
      <c r="K374">
        <v>30983000000</v>
      </c>
      <c r="L374">
        <v>75.202500000000001</v>
      </c>
      <c r="M374">
        <v>2329999057.5</v>
      </c>
      <c r="N374">
        <v>505896000</v>
      </c>
      <c r="O374">
        <v>1066118000</v>
      </c>
      <c r="P374">
        <v>99100000</v>
      </c>
      <c r="Q374">
        <v>2.6600198641238602</v>
      </c>
      <c r="R374">
        <v>20.787289850747801</v>
      </c>
      <c r="S374">
        <v>0.47452158203876099</v>
      </c>
      <c r="T374">
        <v>9.2954063246282304E-2</v>
      </c>
      <c r="U374">
        <v>1946</v>
      </c>
      <c r="V374">
        <v>79</v>
      </c>
      <c r="W374">
        <v>1</v>
      </c>
      <c r="X374" t="s">
        <v>1124</v>
      </c>
      <c r="Y374" t="s">
        <v>1609</v>
      </c>
      <c r="Z374" t="s">
        <v>2141</v>
      </c>
    </row>
    <row r="375" spans="1:26" ht="15" customHeight="1" x14ac:dyDescent="0.3">
      <c r="A375">
        <v>436</v>
      </c>
      <c r="B375">
        <v>88</v>
      </c>
      <c r="C375" t="s">
        <v>1126</v>
      </c>
      <c r="D375" t="s">
        <v>1127</v>
      </c>
      <c r="E375" t="s">
        <v>752</v>
      </c>
      <c r="F375">
        <v>2021</v>
      </c>
      <c r="G375">
        <v>0</v>
      </c>
      <c r="H375">
        <v>0</v>
      </c>
      <c r="I375">
        <v>0</v>
      </c>
      <c r="J375">
        <v>0</v>
      </c>
      <c r="K375">
        <v>108000000</v>
      </c>
      <c r="L375">
        <v>3</v>
      </c>
      <c r="M375">
        <v>324000</v>
      </c>
      <c r="N375">
        <v>5967000</v>
      </c>
      <c r="O375">
        <v>5128000</v>
      </c>
      <c r="P375">
        <v>7550</v>
      </c>
      <c r="Q375">
        <v>1.22679407176287</v>
      </c>
      <c r="R375">
        <v>15.450226277582599</v>
      </c>
      <c r="S375">
        <v>1.1636115444617801</v>
      </c>
      <c r="T375">
        <v>1.4723088923556901E-3</v>
      </c>
      <c r="U375">
        <v>1949</v>
      </c>
      <c r="V375">
        <v>72</v>
      </c>
      <c r="W375">
        <v>0</v>
      </c>
      <c r="X375" t="s">
        <v>1129</v>
      </c>
      <c r="Y375" t="s">
        <v>1610</v>
      </c>
      <c r="Z375" t="s">
        <v>2141</v>
      </c>
    </row>
    <row r="376" spans="1:26" ht="15" customHeight="1" x14ac:dyDescent="0.3">
      <c r="A376">
        <v>437</v>
      </c>
      <c r="B376">
        <v>88</v>
      </c>
      <c r="C376" t="s">
        <v>1126</v>
      </c>
      <c r="D376" t="s">
        <v>1127</v>
      </c>
      <c r="E376" t="s">
        <v>752</v>
      </c>
      <c r="F376">
        <v>2022</v>
      </c>
      <c r="G376">
        <v>0</v>
      </c>
      <c r="H376">
        <v>0</v>
      </c>
      <c r="I376">
        <v>0</v>
      </c>
      <c r="J376">
        <v>0</v>
      </c>
      <c r="K376">
        <v>108000000</v>
      </c>
      <c r="L376">
        <v>3.6</v>
      </c>
      <c r="M376">
        <v>388800</v>
      </c>
      <c r="N376">
        <v>6155000</v>
      </c>
      <c r="O376">
        <v>4310000</v>
      </c>
      <c r="P376">
        <v>-1011000</v>
      </c>
      <c r="Q376">
        <v>1.5182830626450099</v>
      </c>
      <c r="R376">
        <v>15.2764484620799</v>
      </c>
      <c r="S376">
        <v>1.42807424593968</v>
      </c>
      <c r="T376">
        <v>-0.23457076566125301</v>
      </c>
      <c r="U376">
        <v>1949</v>
      </c>
      <c r="V376">
        <v>73</v>
      </c>
      <c r="W376">
        <v>0</v>
      </c>
      <c r="X376" t="s">
        <v>1129</v>
      </c>
      <c r="Y376" t="s">
        <v>1610</v>
      </c>
      <c r="Z376" t="s">
        <v>2141</v>
      </c>
    </row>
    <row r="377" spans="1:26" ht="15" customHeight="1" x14ac:dyDescent="0.3">
      <c r="A377">
        <v>438</v>
      </c>
      <c r="B377">
        <v>88</v>
      </c>
      <c r="C377" t="s">
        <v>1126</v>
      </c>
      <c r="D377" t="s">
        <v>1127</v>
      </c>
      <c r="E377" t="s">
        <v>752</v>
      </c>
      <c r="F377">
        <v>2023</v>
      </c>
      <c r="G377">
        <v>1</v>
      </c>
      <c r="H377">
        <v>0</v>
      </c>
      <c r="I377">
        <v>0</v>
      </c>
      <c r="J377">
        <v>0</v>
      </c>
      <c r="K377">
        <v>108000000</v>
      </c>
      <c r="L377">
        <v>3.96</v>
      </c>
      <c r="M377">
        <v>427680</v>
      </c>
      <c r="N377">
        <v>8065000</v>
      </c>
      <c r="O377">
        <v>5460000</v>
      </c>
      <c r="P377">
        <v>-738900</v>
      </c>
      <c r="Q377">
        <v>1.5554358974358999</v>
      </c>
      <c r="R377">
        <v>15.5129593477211</v>
      </c>
      <c r="S377">
        <v>1.4771062271062301</v>
      </c>
      <c r="T377">
        <v>-0.13532967032967</v>
      </c>
      <c r="U377">
        <v>1949</v>
      </c>
      <c r="V377">
        <v>74</v>
      </c>
      <c r="W377">
        <v>0</v>
      </c>
      <c r="X377" t="s">
        <v>1129</v>
      </c>
      <c r="Y377" t="s">
        <v>1610</v>
      </c>
      <c r="Z377" t="s">
        <v>2141</v>
      </c>
    </row>
    <row r="378" spans="1:26" ht="15" customHeight="1" x14ac:dyDescent="0.3">
      <c r="A378">
        <v>439</v>
      </c>
      <c r="B378">
        <v>88</v>
      </c>
      <c r="C378" t="s">
        <v>1126</v>
      </c>
      <c r="D378" t="s">
        <v>1127</v>
      </c>
      <c r="E378" t="s">
        <v>752</v>
      </c>
      <c r="F378">
        <v>2024</v>
      </c>
      <c r="G378">
        <v>1</v>
      </c>
      <c r="H378">
        <v>0</v>
      </c>
      <c r="I378">
        <v>0</v>
      </c>
      <c r="J378">
        <v>0</v>
      </c>
      <c r="K378">
        <v>108000000</v>
      </c>
      <c r="L378">
        <v>5</v>
      </c>
      <c r="M378">
        <v>540000</v>
      </c>
      <c r="N378">
        <v>9237000</v>
      </c>
      <c r="O378">
        <v>4428000</v>
      </c>
      <c r="P378">
        <v>-2172000</v>
      </c>
      <c r="Q378">
        <v>2.2079945799458001</v>
      </c>
      <c r="R378">
        <v>15.303458572810699</v>
      </c>
      <c r="S378">
        <v>2.0860433604335999</v>
      </c>
      <c r="T378">
        <v>-0.49051490514905199</v>
      </c>
      <c r="U378">
        <v>1949</v>
      </c>
      <c r="V378">
        <v>75</v>
      </c>
      <c r="W378">
        <v>0</v>
      </c>
      <c r="X378" t="s">
        <v>1129</v>
      </c>
      <c r="Y378" t="s">
        <v>1610</v>
      </c>
      <c r="Z378" t="s">
        <v>2141</v>
      </c>
    </row>
    <row r="379" spans="1:26" ht="15" customHeight="1" x14ac:dyDescent="0.3">
      <c r="A379">
        <v>440</v>
      </c>
      <c r="B379">
        <v>88</v>
      </c>
      <c r="C379" t="s">
        <v>1126</v>
      </c>
      <c r="D379" t="s">
        <v>1127</v>
      </c>
      <c r="E379" t="s">
        <v>752</v>
      </c>
      <c r="F379">
        <v>2025</v>
      </c>
      <c r="G379">
        <v>1</v>
      </c>
      <c r="H379">
        <v>0</v>
      </c>
      <c r="I379">
        <v>0</v>
      </c>
      <c r="J379">
        <v>0</v>
      </c>
      <c r="K379">
        <v>108000000</v>
      </c>
      <c r="L379">
        <v>72.685199999999995</v>
      </c>
      <c r="M379">
        <v>7850001.5999999996</v>
      </c>
      <c r="N379">
        <v>12450000</v>
      </c>
      <c r="O379">
        <v>7767000</v>
      </c>
      <c r="P379">
        <v>212410</v>
      </c>
      <c r="Q379">
        <v>2.6136219389725799</v>
      </c>
      <c r="R379">
        <v>15.865394547401801</v>
      </c>
      <c r="S379">
        <v>1.6029354963306299</v>
      </c>
      <c r="T379">
        <v>2.73477533153084E-2</v>
      </c>
      <c r="U379">
        <v>1949</v>
      </c>
      <c r="V379">
        <v>76</v>
      </c>
      <c r="W379">
        <v>0</v>
      </c>
      <c r="X379" t="s">
        <v>1129</v>
      </c>
      <c r="Y379" t="s">
        <v>1610</v>
      </c>
      <c r="Z379" t="s">
        <v>2141</v>
      </c>
    </row>
    <row r="380" spans="1:26" ht="15" customHeight="1" x14ac:dyDescent="0.3">
      <c r="A380">
        <v>441</v>
      </c>
      <c r="B380">
        <v>89</v>
      </c>
      <c r="C380" t="s">
        <v>1131</v>
      </c>
      <c r="D380" t="s">
        <v>1132</v>
      </c>
      <c r="E380" t="s">
        <v>898</v>
      </c>
      <c r="F380">
        <v>2021</v>
      </c>
      <c r="G380">
        <v>0</v>
      </c>
      <c r="H380">
        <v>0</v>
      </c>
      <c r="I380">
        <v>30</v>
      </c>
      <c r="J380">
        <v>6.6666666666666696</v>
      </c>
      <c r="K380">
        <v>1899000000</v>
      </c>
      <c r="L380">
        <v>1.7483</v>
      </c>
      <c r="M380">
        <v>3320021.7</v>
      </c>
      <c r="N380">
        <v>4860603</v>
      </c>
      <c r="O380">
        <v>6274670</v>
      </c>
      <c r="P380">
        <v>270576</v>
      </c>
      <c r="Q380">
        <v>1.3037537750989301</v>
      </c>
      <c r="R380">
        <v>15.6520314519578</v>
      </c>
      <c r="S380">
        <v>0.77463882562748299</v>
      </c>
      <c r="T380">
        <v>4.31219490427385E-2</v>
      </c>
      <c r="U380">
        <v>1957</v>
      </c>
      <c r="V380">
        <v>64</v>
      </c>
      <c r="W380">
        <v>0</v>
      </c>
      <c r="X380" t="s">
        <v>975</v>
      </c>
      <c r="Y380" t="s">
        <v>1611</v>
      </c>
      <c r="Z380" t="s">
        <v>2141</v>
      </c>
    </row>
    <row r="381" spans="1:26" ht="15" customHeight="1" x14ac:dyDescent="0.3">
      <c r="A381">
        <v>442</v>
      </c>
      <c r="B381">
        <v>89</v>
      </c>
      <c r="C381" t="s">
        <v>1131</v>
      </c>
      <c r="D381" t="s">
        <v>1132</v>
      </c>
      <c r="E381" t="s">
        <v>898</v>
      </c>
      <c r="F381">
        <v>2022</v>
      </c>
      <c r="G381">
        <v>0</v>
      </c>
      <c r="H381">
        <v>0</v>
      </c>
      <c r="I381">
        <v>30</v>
      </c>
      <c r="J381">
        <v>6.6666666666666696</v>
      </c>
      <c r="K381">
        <v>1899000000</v>
      </c>
      <c r="L381">
        <v>1.4322999999999999</v>
      </c>
      <c r="M381">
        <v>2719937.7</v>
      </c>
      <c r="N381">
        <v>5733000</v>
      </c>
      <c r="O381">
        <v>6512000</v>
      </c>
      <c r="P381">
        <v>-325040</v>
      </c>
      <c r="Q381">
        <v>1.29805554361179</v>
      </c>
      <c r="R381">
        <v>15.689157186664501</v>
      </c>
      <c r="S381">
        <v>0.88037469287469305</v>
      </c>
      <c r="T381">
        <v>-4.9914004914004897E-2</v>
      </c>
      <c r="U381">
        <v>1957</v>
      </c>
      <c r="V381">
        <v>65</v>
      </c>
      <c r="W381">
        <v>0</v>
      </c>
      <c r="X381" t="s">
        <v>975</v>
      </c>
      <c r="Y381" t="s">
        <v>1612</v>
      </c>
      <c r="Z381" t="s">
        <v>2141</v>
      </c>
    </row>
    <row r="382" spans="1:26" ht="15" customHeight="1" x14ac:dyDescent="0.3">
      <c r="A382">
        <v>443</v>
      </c>
      <c r="B382">
        <v>89</v>
      </c>
      <c r="C382" t="s">
        <v>1131</v>
      </c>
      <c r="D382" t="s">
        <v>1132</v>
      </c>
      <c r="E382" t="s">
        <v>898</v>
      </c>
      <c r="F382">
        <v>2023</v>
      </c>
      <c r="G382">
        <v>1</v>
      </c>
      <c r="H382">
        <v>0</v>
      </c>
      <c r="I382">
        <v>30</v>
      </c>
      <c r="J382">
        <v>6.6666666666666696</v>
      </c>
      <c r="K382">
        <v>4273000000</v>
      </c>
      <c r="L382">
        <v>1.9400999999999999</v>
      </c>
      <c r="M382">
        <v>8290047.2999999998</v>
      </c>
      <c r="N382">
        <v>7642000</v>
      </c>
      <c r="O382">
        <v>10179000</v>
      </c>
      <c r="P382">
        <v>-1798000</v>
      </c>
      <c r="Q382">
        <v>1.5651878671775199</v>
      </c>
      <c r="R382">
        <v>16.135837332434502</v>
      </c>
      <c r="S382">
        <v>0.75076137145102695</v>
      </c>
      <c r="T382">
        <v>-0.17663817663817699</v>
      </c>
      <c r="U382">
        <v>1957</v>
      </c>
      <c r="V382">
        <v>66</v>
      </c>
      <c r="W382">
        <v>0</v>
      </c>
      <c r="X382" t="s">
        <v>975</v>
      </c>
      <c r="Y382" t="s">
        <v>1613</v>
      </c>
      <c r="Z382" t="s">
        <v>2141</v>
      </c>
    </row>
    <row r="383" spans="1:26" ht="15" customHeight="1" x14ac:dyDescent="0.3">
      <c r="A383">
        <v>444</v>
      </c>
      <c r="B383">
        <v>89</v>
      </c>
      <c r="C383" t="s">
        <v>1131</v>
      </c>
      <c r="D383" t="s">
        <v>1132</v>
      </c>
      <c r="E383" t="s">
        <v>898</v>
      </c>
      <c r="F383">
        <v>2024</v>
      </c>
      <c r="G383">
        <v>1</v>
      </c>
      <c r="H383">
        <v>0</v>
      </c>
      <c r="I383">
        <v>30</v>
      </c>
      <c r="J383">
        <v>6.6666666666666696</v>
      </c>
      <c r="K383">
        <v>4273000000</v>
      </c>
      <c r="L383">
        <v>2.2911000000000001</v>
      </c>
      <c r="M383">
        <v>9789870.3000000007</v>
      </c>
      <c r="N383">
        <v>10336000</v>
      </c>
      <c r="O383">
        <v>11987000</v>
      </c>
      <c r="P383">
        <v>-885330</v>
      </c>
      <c r="Q383">
        <v>1.6789747476432799</v>
      </c>
      <c r="R383">
        <v>16.299333287189199</v>
      </c>
      <c r="S383">
        <v>0.86226745641111202</v>
      </c>
      <c r="T383">
        <v>-7.3857512304997097E-2</v>
      </c>
      <c r="U383">
        <v>1957</v>
      </c>
      <c r="V383">
        <v>67</v>
      </c>
      <c r="W383">
        <v>0</v>
      </c>
      <c r="X383" t="s">
        <v>975</v>
      </c>
      <c r="Y383" t="s">
        <v>1612</v>
      </c>
      <c r="Z383" t="s">
        <v>2141</v>
      </c>
    </row>
    <row r="384" spans="1:26" ht="15" customHeight="1" x14ac:dyDescent="0.3">
      <c r="A384">
        <v>445</v>
      </c>
      <c r="B384">
        <v>89</v>
      </c>
      <c r="C384" t="s">
        <v>1131</v>
      </c>
      <c r="D384" t="s">
        <v>1132</v>
      </c>
      <c r="E384" t="s">
        <v>898</v>
      </c>
      <c r="F384">
        <v>2025</v>
      </c>
      <c r="G384">
        <v>1</v>
      </c>
      <c r="H384">
        <v>0</v>
      </c>
      <c r="I384">
        <v>30</v>
      </c>
      <c r="J384">
        <v>6.6666666666666696</v>
      </c>
      <c r="K384">
        <v>4273000000</v>
      </c>
      <c r="L384">
        <v>5.7991999999999999</v>
      </c>
      <c r="M384">
        <v>24779981.600000001</v>
      </c>
      <c r="N384">
        <v>11386000</v>
      </c>
      <c r="O384">
        <v>14014000</v>
      </c>
      <c r="P384">
        <v>976420</v>
      </c>
      <c r="Q384">
        <v>2.5807036963036998</v>
      </c>
      <c r="R384">
        <v>16.455567387912598</v>
      </c>
      <c r="S384">
        <v>0.81247324104467</v>
      </c>
      <c r="T384">
        <v>6.9674611103182502E-2</v>
      </c>
      <c r="U384">
        <v>1957</v>
      </c>
      <c r="V384">
        <v>68</v>
      </c>
      <c r="W384">
        <v>0</v>
      </c>
      <c r="X384" t="s">
        <v>975</v>
      </c>
      <c r="Y384" t="s">
        <v>1612</v>
      </c>
      <c r="Z384" t="s">
        <v>2141</v>
      </c>
    </row>
    <row r="385" spans="1:26" ht="15" customHeight="1" x14ac:dyDescent="0.3">
      <c r="A385">
        <v>446</v>
      </c>
      <c r="B385">
        <v>90</v>
      </c>
      <c r="C385" t="s">
        <v>1135</v>
      </c>
      <c r="D385" t="s">
        <v>1136</v>
      </c>
      <c r="E385" t="s">
        <v>709</v>
      </c>
      <c r="F385">
        <v>2021</v>
      </c>
      <c r="G385">
        <v>0</v>
      </c>
      <c r="H385">
        <v>0</v>
      </c>
      <c r="I385">
        <v>10</v>
      </c>
      <c r="J385">
        <v>0</v>
      </c>
      <c r="K385">
        <v>5016000000</v>
      </c>
      <c r="L385">
        <v>4.4996</v>
      </c>
      <c r="M385">
        <v>22569993.600000001</v>
      </c>
      <c r="N385">
        <v>15348000</v>
      </c>
      <c r="O385">
        <v>38257000</v>
      </c>
      <c r="P385">
        <v>4432000</v>
      </c>
      <c r="Q385">
        <v>0.99113870925582304</v>
      </c>
      <c r="R385">
        <v>17.459837108029099</v>
      </c>
      <c r="S385">
        <v>0.40118148312727098</v>
      </c>
      <c r="T385">
        <v>0.115848080089918</v>
      </c>
      <c r="U385">
        <v>1948</v>
      </c>
      <c r="V385">
        <v>73</v>
      </c>
      <c r="W385">
        <v>1</v>
      </c>
      <c r="X385" t="s">
        <v>727</v>
      </c>
      <c r="Y385" t="s">
        <v>1614</v>
      </c>
      <c r="Z385" t="s">
        <v>2141</v>
      </c>
    </row>
    <row r="386" spans="1:26" ht="15" customHeight="1" x14ac:dyDescent="0.3">
      <c r="A386">
        <v>447</v>
      </c>
      <c r="B386">
        <v>90</v>
      </c>
      <c r="C386" t="s">
        <v>1135</v>
      </c>
      <c r="D386" t="s">
        <v>1136</v>
      </c>
      <c r="E386" t="s">
        <v>709</v>
      </c>
      <c r="F386">
        <v>2022</v>
      </c>
      <c r="G386">
        <v>0</v>
      </c>
      <c r="H386">
        <v>0</v>
      </c>
      <c r="I386">
        <v>10</v>
      </c>
      <c r="J386">
        <v>0</v>
      </c>
      <c r="K386">
        <v>5016000000</v>
      </c>
      <c r="L386">
        <v>4.4996</v>
      </c>
      <c r="M386">
        <v>22569993.600000001</v>
      </c>
      <c r="N386">
        <v>17186000</v>
      </c>
      <c r="O386">
        <v>44201000</v>
      </c>
      <c r="P386">
        <v>5401000</v>
      </c>
      <c r="Q386">
        <v>0.89943651953575698</v>
      </c>
      <c r="R386">
        <v>17.604257971226399</v>
      </c>
      <c r="S386">
        <v>0.38881473269835498</v>
      </c>
      <c r="T386">
        <v>0.122191805615258</v>
      </c>
      <c r="U386">
        <v>1948</v>
      </c>
      <c r="V386">
        <v>74</v>
      </c>
      <c r="W386">
        <v>1</v>
      </c>
      <c r="X386" t="s">
        <v>727</v>
      </c>
      <c r="Y386" t="s">
        <v>1614</v>
      </c>
      <c r="Z386" t="s">
        <v>2141</v>
      </c>
    </row>
    <row r="387" spans="1:26" ht="15" customHeight="1" x14ac:dyDescent="0.3">
      <c r="A387">
        <v>448</v>
      </c>
      <c r="B387">
        <v>90</v>
      </c>
      <c r="C387" t="s">
        <v>1135</v>
      </c>
      <c r="D387" t="s">
        <v>1136</v>
      </c>
      <c r="E387" t="s">
        <v>709</v>
      </c>
      <c r="F387">
        <v>2023</v>
      </c>
      <c r="G387">
        <v>1</v>
      </c>
      <c r="H387">
        <v>0</v>
      </c>
      <c r="I387">
        <v>10</v>
      </c>
      <c r="J387">
        <v>0</v>
      </c>
      <c r="K387">
        <v>5016000000</v>
      </c>
      <c r="L387">
        <v>6.2998000000000003</v>
      </c>
      <c r="M387">
        <v>31599796.800000001</v>
      </c>
      <c r="N387">
        <v>35930000</v>
      </c>
      <c r="O387">
        <v>74468000</v>
      </c>
      <c r="P387">
        <v>13021000</v>
      </c>
      <c r="Q387">
        <v>0.90682973626255603</v>
      </c>
      <c r="R387">
        <v>18.1258800608739</v>
      </c>
      <c r="S387">
        <v>0.48248912284471202</v>
      </c>
      <c r="T387">
        <v>0.174853628404147</v>
      </c>
      <c r="U387">
        <v>1948</v>
      </c>
      <c r="V387">
        <v>75</v>
      </c>
      <c r="W387">
        <v>1</v>
      </c>
      <c r="X387" t="s">
        <v>727</v>
      </c>
      <c r="Y387" t="s">
        <v>1614</v>
      </c>
      <c r="Z387" t="s">
        <v>2141</v>
      </c>
    </row>
    <row r="388" spans="1:26" ht="15" customHeight="1" x14ac:dyDescent="0.3">
      <c r="A388">
        <v>449</v>
      </c>
      <c r="B388">
        <v>90</v>
      </c>
      <c r="C388" t="s">
        <v>1135</v>
      </c>
      <c r="D388" t="s">
        <v>1136</v>
      </c>
      <c r="E388" t="s">
        <v>709</v>
      </c>
      <c r="F388">
        <v>2024</v>
      </c>
      <c r="G388">
        <v>1</v>
      </c>
      <c r="H388">
        <v>0</v>
      </c>
      <c r="I388">
        <v>10</v>
      </c>
      <c r="J388">
        <v>0</v>
      </c>
      <c r="K388">
        <v>5016000000</v>
      </c>
      <c r="L388">
        <v>10.951000000000001</v>
      </c>
      <c r="M388">
        <v>54930216</v>
      </c>
      <c r="N388">
        <v>58793000</v>
      </c>
      <c r="O388">
        <v>124232000</v>
      </c>
      <c r="P388">
        <v>29214000</v>
      </c>
      <c r="Q388">
        <v>0.91541000708352105</v>
      </c>
      <c r="R388">
        <v>18.637661343231201</v>
      </c>
      <c r="S388">
        <v>0.47325165818790699</v>
      </c>
      <c r="T388">
        <v>0.23515680340008999</v>
      </c>
      <c r="U388">
        <v>1948</v>
      </c>
      <c r="V388">
        <v>76</v>
      </c>
      <c r="W388">
        <v>1</v>
      </c>
      <c r="X388" t="s">
        <v>727</v>
      </c>
      <c r="Y388" t="s">
        <v>1614</v>
      </c>
      <c r="Z388" t="s">
        <v>2141</v>
      </c>
    </row>
    <row r="389" spans="1:26" ht="15" customHeight="1" x14ac:dyDescent="0.3">
      <c r="A389">
        <v>450</v>
      </c>
      <c r="B389">
        <v>90</v>
      </c>
      <c r="C389" t="s">
        <v>1135</v>
      </c>
      <c r="D389" t="s">
        <v>1136</v>
      </c>
      <c r="E389" t="s">
        <v>709</v>
      </c>
      <c r="F389">
        <v>2025</v>
      </c>
      <c r="G389">
        <v>1</v>
      </c>
      <c r="H389">
        <v>0</v>
      </c>
      <c r="I389">
        <v>10</v>
      </c>
      <c r="J389">
        <v>0</v>
      </c>
      <c r="K389">
        <v>5016000000</v>
      </c>
      <c r="L389">
        <v>26.802199999999999</v>
      </c>
      <c r="M389">
        <v>134439835.19999999</v>
      </c>
      <c r="N389">
        <v>101582000</v>
      </c>
      <c r="O389">
        <v>186040000</v>
      </c>
      <c r="P389">
        <v>23833000</v>
      </c>
      <c r="Q389">
        <v>1.2686617673618601</v>
      </c>
      <c r="R389">
        <v>19.041472262320202</v>
      </c>
      <c r="S389">
        <v>0.546022360782627</v>
      </c>
      <c r="T389">
        <v>0.12810685874005601</v>
      </c>
      <c r="U389">
        <v>1948</v>
      </c>
      <c r="V389">
        <v>77</v>
      </c>
      <c r="W389">
        <v>1</v>
      </c>
      <c r="X389" t="s">
        <v>727</v>
      </c>
      <c r="Y389" t="s">
        <v>1614</v>
      </c>
      <c r="Z389" t="s">
        <v>2141</v>
      </c>
    </row>
    <row r="390" spans="1:26" ht="15" customHeight="1" x14ac:dyDescent="0.3">
      <c r="A390">
        <v>451</v>
      </c>
      <c r="B390">
        <v>91</v>
      </c>
      <c r="C390" t="s">
        <v>1139</v>
      </c>
      <c r="D390" t="s">
        <v>1140</v>
      </c>
      <c r="E390" t="s">
        <v>806</v>
      </c>
      <c r="F390">
        <v>2021</v>
      </c>
      <c r="G390">
        <v>0</v>
      </c>
      <c r="H390">
        <v>0</v>
      </c>
      <c r="I390">
        <v>30</v>
      </c>
      <c r="J390">
        <v>0</v>
      </c>
      <c r="K390">
        <v>792660000</v>
      </c>
      <c r="L390">
        <v>1551.7372</v>
      </c>
      <c r="M390">
        <v>1230000008.9519999</v>
      </c>
      <c r="N390">
        <v>288860000</v>
      </c>
      <c r="O390">
        <v>310239000</v>
      </c>
      <c r="P390">
        <v>40037000</v>
      </c>
      <c r="Q390">
        <v>4.8957739322006599</v>
      </c>
      <c r="R390">
        <v>19.5528535261424</v>
      </c>
      <c r="S390">
        <v>0.93108861232791496</v>
      </c>
      <c r="T390">
        <v>0.129052117883309</v>
      </c>
      <c r="U390">
        <v>1961</v>
      </c>
      <c r="V390">
        <v>60</v>
      </c>
      <c r="W390">
        <v>1</v>
      </c>
      <c r="X390" t="s">
        <v>722</v>
      </c>
      <c r="Y390" t="s">
        <v>1615</v>
      </c>
      <c r="Z390" t="s">
        <v>2141</v>
      </c>
    </row>
    <row r="391" spans="1:26" ht="15" customHeight="1" x14ac:dyDescent="0.3">
      <c r="A391">
        <v>452</v>
      </c>
      <c r="B391">
        <v>91</v>
      </c>
      <c r="C391" t="s">
        <v>1139</v>
      </c>
      <c r="D391" t="s">
        <v>1140</v>
      </c>
      <c r="E391" t="s">
        <v>806</v>
      </c>
      <c r="F391">
        <v>2022</v>
      </c>
      <c r="G391">
        <v>0</v>
      </c>
      <c r="H391">
        <v>0</v>
      </c>
      <c r="I391">
        <v>30</v>
      </c>
      <c r="J391">
        <v>0</v>
      </c>
      <c r="K391">
        <v>792660000</v>
      </c>
      <c r="L391">
        <v>1099.9924000000001</v>
      </c>
      <c r="M391">
        <v>871919975.78400004</v>
      </c>
      <c r="N391">
        <v>384753000</v>
      </c>
      <c r="O391">
        <v>415044000</v>
      </c>
      <c r="P391">
        <v>48965000</v>
      </c>
      <c r="Q391">
        <v>3.0278066320293799</v>
      </c>
      <c r="R391">
        <v>19.843895096671201</v>
      </c>
      <c r="S391">
        <v>0.92701737647092797</v>
      </c>
      <c r="T391">
        <v>0.11797544356742901</v>
      </c>
      <c r="U391">
        <v>1961</v>
      </c>
      <c r="V391">
        <v>61</v>
      </c>
      <c r="W391">
        <v>1</v>
      </c>
      <c r="X391" t="s">
        <v>722</v>
      </c>
      <c r="Y391" t="s">
        <v>1615</v>
      </c>
      <c r="Z391" t="s">
        <v>2141</v>
      </c>
    </row>
    <row r="392" spans="1:26" ht="15" customHeight="1" x14ac:dyDescent="0.3">
      <c r="A392">
        <v>453</v>
      </c>
      <c r="B392">
        <v>91</v>
      </c>
      <c r="C392" t="s">
        <v>1139</v>
      </c>
      <c r="D392" t="s">
        <v>1140</v>
      </c>
      <c r="E392" t="s">
        <v>806</v>
      </c>
      <c r="F392">
        <v>2023</v>
      </c>
      <c r="G392">
        <v>1</v>
      </c>
      <c r="H392">
        <v>0</v>
      </c>
      <c r="I392">
        <v>30</v>
      </c>
      <c r="J392">
        <v>0</v>
      </c>
      <c r="K392">
        <v>792660000</v>
      </c>
      <c r="L392">
        <v>1099.9924000000001</v>
      </c>
      <c r="M392">
        <v>871919975.78400004</v>
      </c>
      <c r="N392">
        <v>659810000</v>
      </c>
      <c r="O392">
        <v>581774000</v>
      </c>
      <c r="P392">
        <v>-79474000</v>
      </c>
      <c r="Q392">
        <v>2.6328608287479298</v>
      </c>
      <c r="R392">
        <v>20.181592614130299</v>
      </c>
      <c r="S392">
        <v>1.1341345608432101</v>
      </c>
      <c r="T392">
        <v>-0.136606311041745</v>
      </c>
      <c r="U392">
        <v>1961</v>
      </c>
      <c r="V392">
        <v>62</v>
      </c>
      <c r="W392">
        <v>1</v>
      </c>
      <c r="X392" t="s">
        <v>722</v>
      </c>
      <c r="Y392" t="s">
        <v>1616</v>
      </c>
      <c r="Z392" t="s">
        <v>2141</v>
      </c>
    </row>
    <row r="393" spans="1:26" ht="15" customHeight="1" x14ac:dyDescent="0.3">
      <c r="A393">
        <v>454</v>
      </c>
      <c r="B393">
        <v>91</v>
      </c>
      <c r="C393" t="s">
        <v>1139</v>
      </c>
      <c r="D393" t="s">
        <v>1140</v>
      </c>
      <c r="E393" t="s">
        <v>806</v>
      </c>
      <c r="F393">
        <v>2024</v>
      </c>
      <c r="G393">
        <v>1</v>
      </c>
      <c r="H393">
        <v>0</v>
      </c>
      <c r="I393">
        <v>30</v>
      </c>
      <c r="J393">
        <v>0</v>
      </c>
      <c r="K393">
        <v>792660000</v>
      </c>
      <c r="L393">
        <v>874.9905</v>
      </c>
      <c r="M393">
        <v>693569969.73000002</v>
      </c>
      <c r="N393">
        <v>950988000</v>
      </c>
      <c r="O393">
        <v>858698000</v>
      </c>
      <c r="P393">
        <v>-164595000</v>
      </c>
      <c r="Q393">
        <v>1.9151761966721701</v>
      </c>
      <c r="R393">
        <v>20.570927846537899</v>
      </c>
      <c r="S393">
        <v>1.1074766681650601</v>
      </c>
      <c r="T393">
        <v>-0.19167972907820899</v>
      </c>
      <c r="U393">
        <v>1961</v>
      </c>
      <c r="V393">
        <v>63</v>
      </c>
      <c r="W393">
        <v>1</v>
      </c>
      <c r="X393" t="s">
        <v>722</v>
      </c>
      <c r="Y393" t="s">
        <v>1616</v>
      </c>
      <c r="Z393" t="s">
        <v>2141</v>
      </c>
    </row>
    <row r="394" spans="1:26" ht="15" customHeight="1" x14ac:dyDescent="0.3">
      <c r="A394">
        <v>455</v>
      </c>
      <c r="B394">
        <v>91</v>
      </c>
      <c r="C394" t="s">
        <v>1139</v>
      </c>
      <c r="D394" t="s">
        <v>1140</v>
      </c>
      <c r="E394" t="s">
        <v>806</v>
      </c>
      <c r="F394">
        <v>2025</v>
      </c>
      <c r="G394">
        <v>1</v>
      </c>
      <c r="H394">
        <v>0</v>
      </c>
      <c r="I394">
        <v>30</v>
      </c>
      <c r="J394">
        <v>0</v>
      </c>
      <c r="K394">
        <v>792660000</v>
      </c>
      <c r="L394">
        <v>1955.4412</v>
      </c>
      <c r="M394">
        <v>1550000021.592</v>
      </c>
      <c r="N394">
        <v>833269000</v>
      </c>
      <c r="O394">
        <v>846160000</v>
      </c>
      <c r="P394">
        <v>104966000</v>
      </c>
      <c r="Q394">
        <v>2.8165701777347101</v>
      </c>
      <c r="R394">
        <v>20.556219024984099</v>
      </c>
      <c r="S394">
        <v>0.98476529261605406</v>
      </c>
      <c r="T394">
        <v>0.124049825092181</v>
      </c>
      <c r="U394">
        <v>1961</v>
      </c>
      <c r="V394">
        <v>64</v>
      </c>
      <c r="W394">
        <v>1</v>
      </c>
      <c r="X394" t="s">
        <v>722</v>
      </c>
      <c r="Y394" t="s">
        <v>1615</v>
      </c>
      <c r="Z394" t="s">
        <v>2141</v>
      </c>
    </row>
    <row r="395" spans="1:26" ht="15" customHeight="1" x14ac:dyDescent="0.3">
      <c r="A395">
        <v>456</v>
      </c>
      <c r="B395">
        <v>92</v>
      </c>
      <c r="C395" t="s">
        <v>1143</v>
      </c>
      <c r="D395" t="s">
        <v>1144</v>
      </c>
      <c r="E395" t="s">
        <v>709</v>
      </c>
      <c r="F395">
        <v>2021</v>
      </c>
      <c r="G395">
        <v>0</v>
      </c>
      <c r="H395">
        <v>0</v>
      </c>
      <c r="I395">
        <v>25</v>
      </c>
      <c r="J395">
        <v>0</v>
      </c>
      <c r="K395">
        <v>2619000000</v>
      </c>
      <c r="L395">
        <v>14.9255</v>
      </c>
      <c r="M395">
        <v>39089884.5</v>
      </c>
      <c r="N395">
        <v>3755000</v>
      </c>
      <c r="O395">
        <v>37869000</v>
      </c>
      <c r="P395">
        <v>2248000</v>
      </c>
      <c r="Q395">
        <v>1.13139730386332</v>
      </c>
      <c r="R395">
        <v>17.4496433934031</v>
      </c>
      <c r="S395">
        <v>9.9157622329610007E-2</v>
      </c>
      <c r="T395">
        <v>5.9362539280149999E-2</v>
      </c>
      <c r="U395">
        <v>1960</v>
      </c>
      <c r="V395">
        <v>61</v>
      </c>
      <c r="W395">
        <v>1</v>
      </c>
      <c r="X395" t="s">
        <v>722</v>
      </c>
      <c r="Y395" t="s">
        <v>1617</v>
      </c>
      <c r="Z395" t="s">
        <v>2141</v>
      </c>
    </row>
    <row r="396" spans="1:26" ht="15" customHeight="1" x14ac:dyDescent="0.3">
      <c r="A396">
        <v>457</v>
      </c>
      <c r="B396">
        <v>92</v>
      </c>
      <c r="C396" t="s">
        <v>1143</v>
      </c>
      <c r="D396" t="s">
        <v>1144</v>
      </c>
      <c r="E396" t="s">
        <v>709</v>
      </c>
      <c r="F396">
        <v>2022</v>
      </c>
      <c r="G396">
        <v>0</v>
      </c>
      <c r="H396">
        <v>0</v>
      </c>
      <c r="I396">
        <v>25</v>
      </c>
      <c r="J396">
        <v>0</v>
      </c>
      <c r="K396">
        <v>2939000000</v>
      </c>
      <c r="L396">
        <v>16.740400000000001</v>
      </c>
      <c r="M396">
        <v>49200035.600000001</v>
      </c>
      <c r="N396">
        <v>20256000</v>
      </c>
      <c r="O396">
        <v>57063000</v>
      </c>
      <c r="P396">
        <v>591510</v>
      </c>
      <c r="Q396">
        <v>1.2171816343339801</v>
      </c>
      <c r="R396">
        <v>17.859666478603099</v>
      </c>
      <c r="S396">
        <v>0.35497607907050099</v>
      </c>
      <c r="T396">
        <v>1.03659113611272E-2</v>
      </c>
      <c r="U396">
        <v>1960</v>
      </c>
      <c r="V396">
        <v>62</v>
      </c>
      <c r="W396">
        <v>1</v>
      </c>
      <c r="X396" t="s">
        <v>722</v>
      </c>
      <c r="Y396" t="s">
        <v>1618</v>
      </c>
      <c r="Z396" t="s">
        <v>2141</v>
      </c>
    </row>
    <row r="397" spans="1:26" ht="15" customHeight="1" x14ac:dyDescent="0.3">
      <c r="A397">
        <v>458</v>
      </c>
      <c r="B397">
        <v>92</v>
      </c>
      <c r="C397" t="s">
        <v>1143</v>
      </c>
      <c r="D397" t="s">
        <v>1144</v>
      </c>
      <c r="E397" t="s">
        <v>709</v>
      </c>
      <c r="F397">
        <v>2023</v>
      </c>
      <c r="G397">
        <v>1</v>
      </c>
      <c r="H397">
        <v>0</v>
      </c>
      <c r="I397">
        <v>25</v>
      </c>
      <c r="J397">
        <v>0</v>
      </c>
      <c r="K397">
        <v>2939000000</v>
      </c>
      <c r="L397">
        <v>17.628399999999999</v>
      </c>
      <c r="M397">
        <v>51809867.600000001</v>
      </c>
      <c r="N397">
        <v>20378000</v>
      </c>
      <c r="O397">
        <v>59841000</v>
      </c>
      <c r="P397">
        <v>5251000</v>
      </c>
      <c r="Q397">
        <v>1.2063278955899801</v>
      </c>
      <c r="R397">
        <v>17.9072016027208</v>
      </c>
      <c r="S397">
        <v>0.34053575307899298</v>
      </c>
      <c r="T397">
        <v>8.7749202052104805E-2</v>
      </c>
      <c r="U397">
        <v>1960</v>
      </c>
      <c r="V397">
        <v>63</v>
      </c>
      <c r="W397">
        <v>1</v>
      </c>
      <c r="X397" t="s">
        <v>722</v>
      </c>
      <c r="Y397" t="s">
        <v>1617</v>
      </c>
      <c r="Z397" t="s">
        <v>2141</v>
      </c>
    </row>
    <row r="398" spans="1:26" ht="15" customHeight="1" x14ac:dyDescent="0.3">
      <c r="A398">
        <v>459</v>
      </c>
      <c r="B398">
        <v>92</v>
      </c>
      <c r="C398" t="s">
        <v>1143</v>
      </c>
      <c r="D398" t="s">
        <v>1144</v>
      </c>
      <c r="E398" t="s">
        <v>709</v>
      </c>
      <c r="F398">
        <v>2024</v>
      </c>
      <c r="G398">
        <v>1</v>
      </c>
      <c r="H398">
        <v>0</v>
      </c>
      <c r="I398">
        <v>25</v>
      </c>
      <c r="J398">
        <v>0</v>
      </c>
      <c r="K398">
        <v>2939000000</v>
      </c>
      <c r="L398">
        <v>20.442299999999999</v>
      </c>
      <c r="M398">
        <v>60079919.700000003</v>
      </c>
      <c r="N398">
        <v>19493000</v>
      </c>
      <c r="O398">
        <v>68040000</v>
      </c>
      <c r="P398">
        <v>9920000</v>
      </c>
      <c r="Q398">
        <v>1.1695020532039999</v>
      </c>
      <c r="R398">
        <v>18.035606325491901</v>
      </c>
      <c r="S398">
        <v>0.286493239271017</v>
      </c>
      <c r="T398">
        <v>0.145796590241035</v>
      </c>
      <c r="U398">
        <v>1960</v>
      </c>
      <c r="V398">
        <v>64</v>
      </c>
      <c r="W398">
        <v>1</v>
      </c>
      <c r="X398" t="s">
        <v>722</v>
      </c>
      <c r="Y398" t="s">
        <v>1617</v>
      </c>
      <c r="Z398" t="s">
        <v>2141</v>
      </c>
    </row>
    <row r="399" spans="1:26" ht="15" customHeight="1" x14ac:dyDescent="0.3">
      <c r="A399">
        <v>460</v>
      </c>
      <c r="B399">
        <v>92</v>
      </c>
      <c r="C399" t="s">
        <v>1143</v>
      </c>
      <c r="D399" t="s">
        <v>1144</v>
      </c>
      <c r="E399" t="s">
        <v>709</v>
      </c>
      <c r="F399">
        <v>2025</v>
      </c>
      <c r="G399">
        <v>1</v>
      </c>
      <c r="H399">
        <v>0</v>
      </c>
      <c r="I399">
        <v>35</v>
      </c>
      <c r="J399">
        <v>6.6666666666666696</v>
      </c>
      <c r="K399">
        <v>2939000000</v>
      </c>
      <c r="L399">
        <v>52.5077</v>
      </c>
      <c r="M399">
        <v>154320130.30000001</v>
      </c>
      <c r="N399">
        <v>15846000</v>
      </c>
      <c r="O399">
        <v>71050000</v>
      </c>
      <c r="P399">
        <v>10479000</v>
      </c>
      <c r="Q399">
        <v>2.39501942716397</v>
      </c>
      <c r="R399">
        <v>18.078894412507399</v>
      </c>
      <c r="S399">
        <v>0.223026038001407</v>
      </c>
      <c r="T399">
        <v>0.14748768472906401</v>
      </c>
      <c r="U399">
        <v>1960</v>
      </c>
      <c r="V399">
        <v>65</v>
      </c>
      <c r="W399">
        <v>1</v>
      </c>
      <c r="X399" t="s">
        <v>722</v>
      </c>
      <c r="Y399" t="s">
        <v>1617</v>
      </c>
      <c r="Z399" t="s">
        <v>2141</v>
      </c>
    </row>
    <row r="400" spans="1:26" ht="15" customHeight="1" x14ac:dyDescent="0.3">
      <c r="A400">
        <v>466</v>
      </c>
      <c r="B400">
        <v>94</v>
      </c>
      <c r="C400" t="s">
        <v>1152</v>
      </c>
      <c r="D400" t="s">
        <v>1153</v>
      </c>
      <c r="E400" t="s">
        <v>806</v>
      </c>
      <c r="F400">
        <v>2021</v>
      </c>
      <c r="G400">
        <v>0</v>
      </c>
      <c r="H400">
        <v>0</v>
      </c>
      <c r="I400">
        <v>5</v>
      </c>
      <c r="J400">
        <v>0</v>
      </c>
      <c r="K400">
        <v>178200000</v>
      </c>
      <c r="L400">
        <v>8.0246999999999993</v>
      </c>
      <c r="M400">
        <v>1430001.54</v>
      </c>
      <c r="N400">
        <v>4577449</v>
      </c>
      <c r="O400">
        <v>7365270</v>
      </c>
      <c r="P400">
        <v>69919</v>
      </c>
      <c r="Q400">
        <v>0.81564566404218697</v>
      </c>
      <c r="R400">
        <v>15.8122862670847</v>
      </c>
      <c r="S400">
        <v>0.62149099761448001</v>
      </c>
      <c r="T400">
        <v>9.4930667850601502E-3</v>
      </c>
      <c r="U400">
        <v>1971</v>
      </c>
      <c r="V400">
        <v>50</v>
      </c>
      <c r="W400">
        <v>1</v>
      </c>
      <c r="X400" t="s">
        <v>1154</v>
      </c>
      <c r="Y400" t="s">
        <v>1621</v>
      </c>
      <c r="Z400" t="s">
        <v>2141</v>
      </c>
    </row>
    <row r="401" spans="1:26" ht="15" customHeight="1" x14ac:dyDescent="0.3">
      <c r="A401">
        <v>467</v>
      </c>
      <c r="B401">
        <v>94</v>
      </c>
      <c r="C401" t="s">
        <v>1152</v>
      </c>
      <c r="D401" t="s">
        <v>1153</v>
      </c>
      <c r="E401" t="s">
        <v>806</v>
      </c>
      <c r="F401">
        <v>2022</v>
      </c>
      <c r="G401">
        <v>0</v>
      </c>
      <c r="H401">
        <v>0</v>
      </c>
      <c r="I401">
        <v>5</v>
      </c>
      <c r="J401">
        <v>0</v>
      </c>
      <c r="K401">
        <v>178200000</v>
      </c>
      <c r="L401">
        <v>8.0246999999999993</v>
      </c>
      <c r="M401">
        <v>1430001.54</v>
      </c>
      <c r="N401">
        <v>10461000</v>
      </c>
      <c r="O401">
        <v>13315000</v>
      </c>
      <c r="P401">
        <v>80670</v>
      </c>
      <c r="Q401">
        <v>0.89305306346226099</v>
      </c>
      <c r="R401">
        <v>16.404401777230198</v>
      </c>
      <c r="S401">
        <v>0.78565527600450602</v>
      </c>
      <c r="T401">
        <v>6.0585805482538503E-3</v>
      </c>
      <c r="U401">
        <v>1971</v>
      </c>
      <c r="V401">
        <v>51</v>
      </c>
      <c r="W401">
        <v>1</v>
      </c>
      <c r="X401" t="s">
        <v>1154</v>
      </c>
      <c r="Y401" t="s">
        <v>1622</v>
      </c>
      <c r="Z401" t="s">
        <v>2141</v>
      </c>
    </row>
    <row r="402" spans="1:26" ht="15" customHeight="1" x14ac:dyDescent="0.3">
      <c r="A402">
        <v>468</v>
      </c>
      <c r="B402">
        <v>94</v>
      </c>
      <c r="C402" t="s">
        <v>1152</v>
      </c>
      <c r="D402" t="s">
        <v>1153</v>
      </c>
      <c r="E402" t="s">
        <v>806</v>
      </c>
      <c r="F402">
        <v>2023</v>
      </c>
      <c r="G402">
        <v>1</v>
      </c>
      <c r="H402">
        <v>0</v>
      </c>
      <c r="I402">
        <v>5</v>
      </c>
      <c r="J402">
        <v>0</v>
      </c>
      <c r="K402">
        <v>179420000</v>
      </c>
      <c r="L402">
        <v>6.1308999999999996</v>
      </c>
      <c r="M402">
        <v>1100006.078</v>
      </c>
      <c r="N402">
        <v>11248000</v>
      </c>
      <c r="O402">
        <v>17828000</v>
      </c>
      <c r="P402">
        <v>272820</v>
      </c>
      <c r="Q402">
        <v>0.69261869407673304</v>
      </c>
      <c r="R402">
        <v>16.696280813048599</v>
      </c>
      <c r="S402">
        <v>0.63091765761723095</v>
      </c>
      <c r="T402">
        <v>1.5302894323535999E-2</v>
      </c>
      <c r="U402">
        <v>1971</v>
      </c>
      <c r="V402">
        <v>52</v>
      </c>
      <c r="W402">
        <v>1</v>
      </c>
      <c r="X402" t="s">
        <v>1154</v>
      </c>
      <c r="Y402" t="s">
        <v>1623</v>
      </c>
      <c r="Z402" t="s">
        <v>2141</v>
      </c>
    </row>
    <row r="403" spans="1:26" ht="15" customHeight="1" x14ac:dyDescent="0.3">
      <c r="A403">
        <v>469</v>
      </c>
      <c r="B403">
        <v>94</v>
      </c>
      <c r="C403" t="s">
        <v>1152</v>
      </c>
      <c r="D403" t="s">
        <v>1153</v>
      </c>
      <c r="E403" t="s">
        <v>806</v>
      </c>
      <c r="F403">
        <v>2024</v>
      </c>
      <c r="G403">
        <v>1</v>
      </c>
      <c r="H403">
        <v>0</v>
      </c>
      <c r="I403">
        <v>5</v>
      </c>
      <c r="J403">
        <v>0</v>
      </c>
      <c r="K403">
        <v>178200000</v>
      </c>
      <c r="L403">
        <v>45.5107</v>
      </c>
      <c r="M403">
        <v>8110006.7400000002</v>
      </c>
      <c r="N403">
        <v>9847000</v>
      </c>
      <c r="O403">
        <v>17924000</v>
      </c>
      <c r="P403">
        <v>1526000</v>
      </c>
      <c r="Q403">
        <v>1.0018414829279201</v>
      </c>
      <c r="R403">
        <v>16.7016511548882</v>
      </c>
      <c r="S403">
        <v>0.54937513947779504</v>
      </c>
      <c r="T403">
        <v>8.5137246150412904E-2</v>
      </c>
      <c r="U403">
        <v>1971</v>
      </c>
      <c r="V403">
        <v>53</v>
      </c>
      <c r="W403">
        <v>1</v>
      </c>
      <c r="X403" t="s">
        <v>1154</v>
      </c>
      <c r="Y403" t="s">
        <v>1622</v>
      </c>
      <c r="Z403" t="s">
        <v>2141</v>
      </c>
    </row>
    <row r="404" spans="1:26" ht="15" customHeight="1" x14ac:dyDescent="0.3">
      <c r="A404">
        <v>470</v>
      </c>
      <c r="B404">
        <v>94</v>
      </c>
      <c r="C404" t="s">
        <v>1152</v>
      </c>
      <c r="D404" t="s">
        <v>1153</v>
      </c>
      <c r="E404" t="s">
        <v>806</v>
      </c>
      <c r="F404">
        <v>2025</v>
      </c>
      <c r="G404">
        <v>1</v>
      </c>
      <c r="H404">
        <v>0</v>
      </c>
      <c r="I404">
        <v>5</v>
      </c>
      <c r="J404">
        <v>0</v>
      </c>
      <c r="K404">
        <v>178200000</v>
      </c>
      <c r="L404">
        <v>43.883299999999998</v>
      </c>
      <c r="M404">
        <v>7820004.0599999996</v>
      </c>
      <c r="N404">
        <v>20856000</v>
      </c>
      <c r="O404">
        <v>30549000</v>
      </c>
      <c r="P404">
        <v>1745000</v>
      </c>
      <c r="Q404">
        <v>0.93868879701463204</v>
      </c>
      <c r="R404">
        <v>17.234842509821899</v>
      </c>
      <c r="S404">
        <v>0.68270647157026398</v>
      </c>
      <c r="T404">
        <v>5.71213460342401E-2</v>
      </c>
      <c r="U404">
        <v>1971</v>
      </c>
      <c r="V404">
        <v>54</v>
      </c>
      <c r="W404">
        <v>1</v>
      </c>
      <c r="X404" t="s">
        <v>1154</v>
      </c>
      <c r="Y404" t="s">
        <v>1622</v>
      </c>
      <c r="Z404" t="s">
        <v>2141</v>
      </c>
    </row>
    <row r="405" spans="1:26" ht="15" customHeight="1" x14ac:dyDescent="0.3">
      <c r="A405">
        <v>471</v>
      </c>
      <c r="B405">
        <v>95</v>
      </c>
      <c r="C405" t="s">
        <v>1156</v>
      </c>
      <c r="D405" t="s">
        <v>1157</v>
      </c>
      <c r="E405" t="s">
        <v>709</v>
      </c>
      <c r="F405">
        <v>2021</v>
      </c>
      <c r="G405">
        <v>0</v>
      </c>
      <c r="H405">
        <v>0</v>
      </c>
      <c r="I405">
        <v>5</v>
      </c>
      <c r="J405">
        <v>0</v>
      </c>
      <c r="K405">
        <v>2541000000</v>
      </c>
      <c r="L405">
        <v>1.5308999999999999</v>
      </c>
      <c r="M405">
        <v>3890016.9</v>
      </c>
      <c r="N405">
        <v>26236000</v>
      </c>
      <c r="O405">
        <v>31967000</v>
      </c>
      <c r="P405">
        <v>707490</v>
      </c>
      <c r="Q405">
        <v>0.94240988832233197</v>
      </c>
      <c r="R405">
        <v>17.280214678659899</v>
      </c>
      <c r="S405">
        <v>0.82072136891169001</v>
      </c>
      <c r="T405">
        <v>2.2131886007445201E-2</v>
      </c>
      <c r="U405">
        <v>1993</v>
      </c>
      <c r="V405">
        <v>28</v>
      </c>
      <c r="W405">
        <v>0</v>
      </c>
      <c r="X405" t="s">
        <v>1159</v>
      </c>
      <c r="Y405" t="s">
        <v>1624</v>
      </c>
      <c r="Z405" t="s">
        <v>2141</v>
      </c>
    </row>
    <row r="406" spans="1:26" ht="15" customHeight="1" x14ac:dyDescent="0.3">
      <c r="A406">
        <v>472</v>
      </c>
      <c r="B406">
        <v>95</v>
      </c>
      <c r="C406" t="s">
        <v>1156</v>
      </c>
      <c r="D406" t="s">
        <v>1157</v>
      </c>
      <c r="E406" t="s">
        <v>709</v>
      </c>
      <c r="F406">
        <v>2022</v>
      </c>
      <c r="G406">
        <v>0</v>
      </c>
      <c r="H406">
        <v>0</v>
      </c>
      <c r="I406">
        <v>5</v>
      </c>
      <c r="J406">
        <v>0</v>
      </c>
      <c r="K406">
        <v>5993000000</v>
      </c>
      <c r="L406">
        <v>1.6902999999999999</v>
      </c>
      <c r="M406">
        <v>10129967.9</v>
      </c>
      <c r="N406">
        <v>23918000</v>
      </c>
      <c r="O406">
        <v>34496000</v>
      </c>
      <c r="P406">
        <v>882170</v>
      </c>
      <c r="Q406">
        <v>0.98701205647031498</v>
      </c>
      <c r="R406">
        <v>17.356353933250801</v>
      </c>
      <c r="S406">
        <v>0.69335575139146599</v>
      </c>
      <c r="T406">
        <v>2.5573109925788502E-2</v>
      </c>
      <c r="U406">
        <v>1993</v>
      </c>
      <c r="V406">
        <v>29</v>
      </c>
      <c r="W406">
        <v>0</v>
      </c>
      <c r="X406" t="s">
        <v>1159</v>
      </c>
      <c r="Y406" t="s">
        <v>1625</v>
      </c>
      <c r="Z406" t="s">
        <v>2141</v>
      </c>
    </row>
    <row r="407" spans="1:26" ht="15" customHeight="1" x14ac:dyDescent="0.3">
      <c r="A407">
        <v>473</v>
      </c>
      <c r="B407">
        <v>95</v>
      </c>
      <c r="C407" t="s">
        <v>1156</v>
      </c>
      <c r="D407" t="s">
        <v>1157</v>
      </c>
      <c r="E407" t="s">
        <v>709</v>
      </c>
      <c r="F407">
        <v>2023</v>
      </c>
      <c r="G407">
        <v>1</v>
      </c>
      <c r="H407">
        <v>0</v>
      </c>
      <c r="I407">
        <v>5</v>
      </c>
      <c r="J407">
        <v>0</v>
      </c>
      <c r="K407">
        <v>5993000000</v>
      </c>
      <c r="L407">
        <v>1.9406000000000001</v>
      </c>
      <c r="M407">
        <v>11630015.800000001</v>
      </c>
      <c r="N407">
        <v>33900000</v>
      </c>
      <c r="O407">
        <v>44891000</v>
      </c>
      <c r="P407">
        <v>1019000</v>
      </c>
      <c r="Q407">
        <v>1.0142348310351701</v>
      </c>
      <c r="R407">
        <v>17.6197478871863</v>
      </c>
      <c r="S407">
        <v>0.75516250473368796</v>
      </c>
      <c r="T407">
        <v>2.2699427502171899E-2</v>
      </c>
      <c r="U407">
        <v>1993</v>
      </c>
      <c r="V407">
        <v>30</v>
      </c>
      <c r="W407">
        <v>1</v>
      </c>
      <c r="X407" t="s">
        <v>1159</v>
      </c>
      <c r="Y407" t="s">
        <v>1626</v>
      </c>
      <c r="Z407" t="s">
        <v>2141</v>
      </c>
    </row>
    <row r="408" spans="1:26" ht="15" customHeight="1" x14ac:dyDescent="0.3">
      <c r="A408">
        <v>474</v>
      </c>
      <c r="B408">
        <v>95</v>
      </c>
      <c r="C408" t="s">
        <v>1156</v>
      </c>
      <c r="D408" t="s">
        <v>1157</v>
      </c>
      <c r="E408" t="s">
        <v>709</v>
      </c>
      <c r="F408">
        <v>2024</v>
      </c>
      <c r="G408">
        <v>1</v>
      </c>
      <c r="H408">
        <v>0</v>
      </c>
      <c r="I408">
        <v>5</v>
      </c>
      <c r="J408">
        <v>0</v>
      </c>
      <c r="K408">
        <v>5993000000</v>
      </c>
      <c r="L408">
        <v>1.7102999999999999</v>
      </c>
      <c r="M408">
        <v>10249827.9</v>
      </c>
      <c r="N408">
        <v>56782000</v>
      </c>
      <c r="O408">
        <v>68628000</v>
      </c>
      <c r="P408">
        <v>1574000</v>
      </c>
      <c r="Q408">
        <v>0.97674167832371594</v>
      </c>
      <c r="R408">
        <v>18.0442111726855</v>
      </c>
      <c r="S408">
        <v>0.82738823803695305</v>
      </c>
      <c r="T408">
        <v>2.2935245089467898E-2</v>
      </c>
      <c r="U408">
        <v>1993</v>
      </c>
      <c r="V408">
        <v>31</v>
      </c>
      <c r="W408">
        <v>1</v>
      </c>
      <c r="X408" t="s">
        <v>1159</v>
      </c>
      <c r="Y408" t="s">
        <v>1626</v>
      </c>
      <c r="Z408" t="s">
        <v>2141</v>
      </c>
    </row>
    <row r="409" spans="1:26" ht="15" customHeight="1" x14ac:dyDescent="0.3">
      <c r="A409">
        <v>475</v>
      </c>
      <c r="B409">
        <v>95</v>
      </c>
      <c r="C409" t="s">
        <v>1156</v>
      </c>
      <c r="D409" t="s">
        <v>1157</v>
      </c>
      <c r="E409" t="s">
        <v>709</v>
      </c>
      <c r="F409">
        <v>2025</v>
      </c>
      <c r="G409">
        <v>1</v>
      </c>
      <c r="H409">
        <v>0</v>
      </c>
      <c r="I409">
        <v>5</v>
      </c>
      <c r="J409">
        <v>0</v>
      </c>
      <c r="K409">
        <v>5993000000</v>
      </c>
      <c r="L409">
        <v>3.7092999999999998</v>
      </c>
      <c r="M409">
        <v>22229834.899999999</v>
      </c>
      <c r="N409">
        <v>53881000</v>
      </c>
      <c r="O409">
        <v>67733000</v>
      </c>
      <c r="P409">
        <v>2906000</v>
      </c>
      <c r="Q409">
        <v>1.1236891160881699</v>
      </c>
      <c r="R409">
        <v>18.0310840637285</v>
      </c>
      <c r="S409">
        <v>0.79549111954291096</v>
      </c>
      <c r="T409">
        <v>4.29037544476105E-2</v>
      </c>
      <c r="U409">
        <v>1993</v>
      </c>
      <c r="V409">
        <v>32</v>
      </c>
      <c r="W409">
        <v>1</v>
      </c>
      <c r="X409" t="s">
        <v>1159</v>
      </c>
      <c r="Y409" t="s">
        <v>1626</v>
      </c>
      <c r="Z409" t="s">
        <v>2141</v>
      </c>
    </row>
    <row r="410" spans="1:26" ht="15" customHeight="1" x14ac:dyDescent="0.3">
      <c r="A410">
        <v>481</v>
      </c>
      <c r="B410">
        <v>97</v>
      </c>
      <c r="C410" t="s">
        <v>1164</v>
      </c>
      <c r="D410" t="s">
        <v>1165</v>
      </c>
      <c r="E410" t="s">
        <v>715</v>
      </c>
      <c r="F410">
        <v>2021</v>
      </c>
      <c r="G410">
        <v>0</v>
      </c>
      <c r="H410">
        <v>0</v>
      </c>
      <c r="I410">
        <v>0</v>
      </c>
      <c r="J410">
        <v>0</v>
      </c>
      <c r="K410">
        <v>5632000000</v>
      </c>
      <c r="L410">
        <v>0.2</v>
      </c>
      <c r="M410">
        <v>1126400</v>
      </c>
      <c r="N410">
        <v>828560</v>
      </c>
      <c r="O410">
        <v>3484000</v>
      </c>
      <c r="P410">
        <v>-91930</v>
      </c>
      <c r="Q410">
        <v>0.56112514351320297</v>
      </c>
      <c r="R410">
        <v>15.0636916169545</v>
      </c>
      <c r="S410">
        <v>0.237818599311137</v>
      </c>
      <c r="T410">
        <v>-2.6386337543054E-2</v>
      </c>
      <c r="U410">
        <v>2000</v>
      </c>
      <c r="V410">
        <v>21</v>
      </c>
      <c r="W410">
        <v>0</v>
      </c>
      <c r="X410" t="s">
        <v>1167</v>
      </c>
      <c r="Y410" t="s">
        <v>1629</v>
      </c>
      <c r="Z410" t="s">
        <v>2141</v>
      </c>
    </row>
    <row r="411" spans="1:26" ht="15" customHeight="1" x14ac:dyDescent="0.3">
      <c r="A411">
        <v>482</v>
      </c>
      <c r="B411">
        <v>97</v>
      </c>
      <c r="C411" t="s">
        <v>1164</v>
      </c>
      <c r="D411" t="s">
        <v>1165</v>
      </c>
      <c r="E411" t="s">
        <v>715</v>
      </c>
      <c r="F411">
        <v>2022</v>
      </c>
      <c r="G411">
        <v>0</v>
      </c>
      <c r="H411">
        <v>0</v>
      </c>
      <c r="I411">
        <v>0</v>
      </c>
      <c r="J411">
        <v>0</v>
      </c>
      <c r="K411">
        <v>5632000000</v>
      </c>
      <c r="L411">
        <v>0.22</v>
      </c>
      <c r="M411">
        <v>1239040</v>
      </c>
      <c r="N411">
        <v>843060</v>
      </c>
      <c r="O411">
        <v>3457000</v>
      </c>
      <c r="P411">
        <v>-40880</v>
      </c>
      <c r="Q411">
        <v>0.60228521839745397</v>
      </c>
      <c r="R411">
        <v>15.055911718903801</v>
      </c>
      <c r="S411">
        <v>0.243870407868094</v>
      </c>
      <c r="T411">
        <v>-1.1825282036447801E-2</v>
      </c>
      <c r="U411">
        <v>2000</v>
      </c>
      <c r="V411">
        <v>22</v>
      </c>
      <c r="W411">
        <v>0</v>
      </c>
      <c r="X411" t="s">
        <v>1167</v>
      </c>
      <c r="Y411" t="s">
        <v>1630</v>
      </c>
      <c r="Z411" t="s">
        <v>2141</v>
      </c>
    </row>
    <row r="412" spans="1:26" ht="15" customHeight="1" x14ac:dyDescent="0.3">
      <c r="A412">
        <v>483</v>
      </c>
      <c r="B412">
        <v>97</v>
      </c>
      <c r="C412" t="s">
        <v>1164</v>
      </c>
      <c r="D412" t="s">
        <v>1165</v>
      </c>
      <c r="E412" t="s">
        <v>715</v>
      </c>
      <c r="F412">
        <v>2023</v>
      </c>
      <c r="G412">
        <v>1</v>
      </c>
      <c r="H412">
        <v>0</v>
      </c>
      <c r="I412">
        <v>0</v>
      </c>
      <c r="J412">
        <v>0</v>
      </c>
      <c r="K412">
        <v>5632000000</v>
      </c>
      <c r="L412">
        <v>0.74</v>
      </c>
      <c r="M412">
        <v>4167680</v>
      </c>
      <c r="N412">
        <v>909880</v>
      </c>
      <c r="O412">
        <v>3329000</v>
      </c>
      <c r="P412">
        <v>-187520</v>
      </c>
      <c r="Q412">
        <v>1.5252508260738999</v>
      </c>
      <c r="R412">
        <v>15.0181825165572</v>
      </c>
      <c r="S412">
        <v>0.27331931510964302</v>
      </c>
      <c r="T412">
        <v>-5.6329227996395302E-2</v>
      </c>
      <c r="U412">
        <v>2000</v>
      </c>
      <c r="V412">
        <v>23</v>
      </c>
      <c r="W412">
        <v>0</v>
      </c>
      <c r="X412" t="s">
        <v>1167</v>
      </c>
      <c r="Y412" t="s">
        <v>1631</v>
      </c>
      <c r="Z412" t="s">
        <v>2141</v>
      </c>
    </row>
    <row r="413" spans="1:26" ht="15" customHeight="1" x14ac:dyDescent="0.3">
      <c r="A413">
        <v>484</v>
      </c>
      <c r="B413">
        <v>97</v>
      </c>
      <c r="C413" t="s">
        <v>1164</v>
      </c>
      <c r="D413" t="s">
        <v>1165</v>
      </c>
      <c r="E413" t="s">
        <v>715</v>
      </c>
      <c r="F413">
        <v>2024</v>
      </c>
      <c r="G413">
        <v>1</v>
      </c>
      <c r="H413">
        <v>0</v>
      </c>
      <c r="I413">
        <v>0</v>
      </c>
      <c r="J413">
        <v>0</v>
      </c>
      <c r="K413">
        <v>5632000000</v>
      </c>
      <c r="L413">
        <v>0.63</v>
      </c>
      <c r="M413">
        <v>3548160</v>
      </c>
      <c r="N413">
        <v>926890</v>
      </c>
      <c r="O413">
        <v>4838000</v>
      </c>
      <c r="P413">
        <v>-121030</v>
      </c>
      <c r="Q413">
        <v>0.92497933030177804</v>
      </c>
      <c r="R413">
        <v>15.392011970152099</v>
      </c>
      <c r="S413">
        <v>0.19158536585365901</v>
      </c>
      <c r="T413">
        <v>-2.5016535758577901E-2</v>
      </c>
      <c r="U413">
        <v>2000</v>
      </c>
      <c r="V413">
        <v>24</v>
      </c>
      <c r="W413">
        <v>0</v>
      </c>
      <c r="X413" t="s">
        <v>1167</v>
      </c>
      <c r="Y413" t="s">
        <v>1632</v>
      </c>
      <c r="Z413" t="s">
        <v>2141</v>
      </c>
    </row>
    <row r="414" spans="1:26" ht="15" customHeight="1" x14ac:dyDescent="0.3">
      <c r="A414">
        <v>485</v>
      </c>
      <c r="B414">
        <v>97</v>
      </c>
      <c r="C414" t="s">
        <v>1164</v>
      </c>
      <c r="D414" t="s">
        <v>1165</v>
      </c>
      <c r="E414" t="s">
        <v>715</v>
      </c>
      <c r="F414">
        <v>2025</v>
      </c>
      <c r="G414">
        <v>1</v>
      </c>
      <c r="H414">
        <v>0</v>
      </c>
      <c r="I414">
        <v>0</v>
      </c>
      <c r="J414">
        <v>0</v>
      </c>
      <c r="K414">
        <v>5632000000</v>
      </c>
      <c r="L414">
        <v>0.76</v>
      </c>
      <c r="M414">
        <v>4280320</v>
      </c>
      <c r="N414">
        <v>852560</v>
      </c>
      <c r="O414">
        <v>4448000</v>
      </c>
      <c r="P414">
        <v>-166790</v>
      </c>
      <c r="Q414">
        <v>1.15397482014388</v>
      </c>
      <c r="R414">
        <v>15.3079651149126</v>
      </c>
      <c r="S414">
        <v>0.191672661870504</v>
      </c>
      <c r="T414">
        <v>-3.7497751798561199E-2</v>
      </c>
      <c r="U414">
        <v>2000</v>
      </c>
      <c r="V414">
        <v>25</v>
      </c>
      <c r="W414">
        <v>0</v>
      </c>
      <c r="X414" t="s">
        <v>1167</v>
      </c>
      <c r="Y414" t="s">
        <v>1633</v>
      </c>
      <c r="Z414" t="s">
        <v>2141</v>
      </c>
    </row>
    <row r="415" spans="1:26" ht="15" customHeight="1" x14ac:dyDescent="0.3">
      <c r="A415">
        <v>486</v>
      </c>
      <c r="B415">
        <v>98</v>
      </c>
      <c r="C415" t="s">
        <v>1169</v>
      </c>
      <c r="D415" t="s">
        <v>1170</v>
      </c>
      <c r="E415" t="s">
        <v>766</v>
      </c>
      <c r="F415">
        <v>2021</v>
      </c>
      <c r="G415">
        <v>0</v>
      </c>
      <c r="H415">
        <v>0</v>
      </c>
      <c r="I415">
        <v>15</v>
      </c>
      <c r="J415">
        <v>6.6666666666666696</v>
      </c>
      <c r="K415">
        <v>14590000000</v>
      </c>
      <c r="L415">
        <v>3.77</v>
      </c>
      <c r="M415">
        <v>55004300</v>
      </c>
      <c r="N415">
        <v>1124996000</v>
      </c>
      <c r="O415">
        <v>998051000</v>
      </c>
      <c r="P415">
        <v>35817000</v>
      </c>
      <c r="Q415">
        <v>1.1823046116881799</v>
      </c>
      <c r="R415">
        <v>20.721314935174501</v>
      </c>
      <c r="S415">
        <v>1.1271928989600699</v>
      </c>
      <c r="T415">
        <v>3.5886943653180098E-2</v>
      </c>
      <c r="U415">
        <v>1956</v>
      </c>
      <c r="V415">
        <v>65</v>
      </c>
      <c r="W415">
        <v>1</v>
      </c>
      <c r="X415" t="s">
        <v>1172</v>
      </c>
      <c r="Y415" t="s">
        <v>1634</v>
      </c>
      <c r="Z415" t="s">
        <v>2141</v>
      </c>
    </row>
    <row r="416" spans="1:26" ht="15" customHeight="1" x14ac:dyDescent="0.3">
      <c r="A416">
        <v>487</v>
      </c>
      <c r="B416">
        <v>98</v>
      </c>
      <c r="C416" t="s">
        <v>1169</v>
      </c>
      <c r="D416" t="s">
        <v>1170</v>
      </c>
      <c r="E416" t="s">
        <v>766</v>
      </c>
      <c r="F416">
        <v>2022</v>
      </c>
      <c r="G416">
        <v>0</v>
      </c>
      <c r="H416">
        <v>0</v>
      </c>
      <c r="I416">
        <v>15</v>
      </c>
      <c r="J416">
        <v>6.6666666666666696</v>
      </c>
      <c r="K416">
        <v>14590000000</v>
      </c>
      <c r="L416">
        <v>3.34</v>
      </c>
      <c r="M416">
        <v>48730600</v>
      </c>
      <c r="N416">
        <v>1449536000</v>
      </c>
      <c r="O416">
        <v>1252330000</v>
      </c>
      <c r="P416">
        <v>-78719000</v>
      </c>
      <c r="Q416">
        <v>1.1963832216748</v>
      </c>
      <c r="R416">
        <v>20.948271653168401</v>
      </c>
      <c r="S416">
        <v>1.1574712735461099</v>
      </c>
      <c r="T416">
        <v>-6.2858032627182897E-2</v>
      </c>
      <c r="U416">
        <v>1956</v>
      </c>
      <c r="V416">
        <v>66</v>
      </c>
      <c r="W416">
        <v>0</v>
      </c>
      <c r="X416" t="s">
        <v>1172</v>
      </c>
      <c r="Y416" t="s">
        <v>1635</v>
      </c>
      <c r="Z416" t="s">
        <v>2141</v>
      </c>
    </row>
    <row r="417" spans="1:26" ht="15" customHeight="1" x14ac:dyDescent="0.3">
      <c r="A417">
        <v>488</v>
      </c>
      <c r="B417">
        <v>98</v>
      </c>
      <c r="C417" t="s">
        <v>1169</v>
      </c>
      <c r="D417" t="s">
        <v>1170</v>
      </c>
      <c r="E417" t="s">
        <v>766</v>
      </c>
      <c r="F417">
        <v>2023</v>
      </c>
      <c r="G417">
        <v>1</v>
      </c>
      <c r="H417">
        <v>0</v>
      </c>
      <c r="I417">
        <v>15</v>
      </c>
      <c r="J417">
        <v>6.6666666666666696</v>
      </c>
      <c r="K417">
        <v>14590000000</v>
      </c>
      <c r="L417">
        <v>8.9499999999999993</v>
      </c>
      <c r="M417">
        <v>130580500</v>
      </c>
      <c r="N417">
        <v>2943297000</v>
      </c>
      <c r="O417">
        <v>2676118000</v>
      </c>
      <c r="P417">
        <v>61996000</v>
      </c>
      <c r="Q417">
        <v>1.1486330199191499</v>
      </c>
      <c r="R417">
        <v>21.707633073905399</v>
      </c>
      <c r="S417">
        <v>1.0998382732002101</v>
      </c>
      <c r="T417">
        <v>2.3166392513334601E-2</v>
      </c>
      <c r="U417">
        <v>1956</v>
      </c>
      <c r="V417">
        <v>67</v>
      </c>
      <c r="W417">
        <v>0</v>
      </c>
      <c r="X417" t="s">
        <v>1172</v>
      </c>
      <c r="Y417" t="s">
        <v>1636</v>
      </c>
      <c r="Z417" t="s">
        <v>2141</v>
      </c>
    </row>
    <row r="418" spans="1:26" ht="15" customHeight="1" x14ac:dyDescent="0.3">
      <c r="A418">
        <v>489</v>
      </c>
      <c r="B418">
        <v>98</v>
      </c>
      <c r="C418" t="s">
        <v>1169</v>
      </c>
      <c r="D418" t="s">
        <v>1170</v>
      </c>
      <c r="E418" t="s">
        <v>766</v>
      </c>
      <c r="F418">
        <v>2024</v>
      </c>
      <c r="G418">
        <v>1</v>
      </c>
      <c r="H418">
        <v>0</v>
      </c>
      <c r="I418">
        <v>65</v>
      </c>
      <c r="J418">
        <v>20</v>
      </c>
      <c r="K418">
        <v>13467000000</v>
      </c>
      <c r="L418">
        <v>60.93</v>
      </c>
      <c r="M418">
        <v>820544310</v>
      </c>
      <c r="N418">
        <v>6795139000</v>
      </c>
      <c r="O418">
        <v>6434159000</v>
      </c>
      <c r="P418">
        <v>224856000</v>
      </c>
      <c r="Q418">
        <v>1.1836330606688501</v>
      </c>
      <c r="R418">
        <v>22.584886977922899</v>
      </c>
      <c r="S418">
        <v>1.0561036803722099</v>
      </c>
      <c r="T418">
        <v>3.4947224648940102E-2</v>
      </c>
      <c r="U418">
        <v>1956</v>
      </c>
      <c r="V418">
        <v>68</v>
      </c>
      <c r="W418">
        <v>0</v>
      </c>
      <c r="X418" t="s">
        <v>1172</v>
      </c>
      <c r="Y418" t="s">
        <v>1637</v>
      </c>
      <c r="Z418" t="s">
        <v>2141</v>
      </c>
    </row>
    <row r="419" spans="1:26" ht="15" customHeight="1" x14ac:dyDescent="0.3">
      <c r="A419">
        <v>490</v>
      </c>
      <c r="B419">
        <v>98</v>
      </c>
      <c r="C419" t="s">
        <v>1169</v>
      </c>
      <c r="D419" t="s">
        <v>1170</v>
      </c>
      <c r="E419" t="s">
        <v>766</v>
      </c>
      <c r="F419">
        <v>2025</v>
      </c>
      <c r="G419">
        <v>1</v>
      </c>
      <c r="H419">
        <v>0</v>
      </c>
      <c r="I419">
        <v>65</v>
      </c>
      <c r="J419">
        <v>20</v>
      </c>
      <c r="K419">
        <v>14590000000</v>
      </c>
      <c r="L419">
        <v>40.200000000000003</v>
      </c>
      <c r="M419">
        <v>586518000</v>
      </c>
      <c r="N419">
        <v>7257906000</v>
      </c>
      <c r="O419">
        <v>6704080000</v>
      </c>
      <c r="P419">
        <v>244310000</v>
      </c>
      <c r="Q419">
        <v>1.17009701554874</v>
      </c>
      <c r="R419">
        <v>22.625982133229201</v>
      </c>
      <c r="S419">
        <v>1.08261029104665</v>
      </c>
      <c r="T419">
        <v>3.6441987565780799E-2</v>
      </c>
      <c r="U419">
        <v>1956</v>
      </c>
      <c r="V419">
        <v>69</v>
      </c>
      <c r="W419">
        <v>0</v>
      </c>
      <c r="X419" t="s">
        <v>1172</v>
      </c>
      <c r="Y419" t="s">
        <v>1638</v>
      </c>
      <c r="Z419" t="s">
        <v>2141</v>
      </c>
    </row>
    <row r="420" spans="1:26" ht="15" customHeight="1" x14ac:dyDescent="0.3">
      <c r="A420">
        <v>491</v>
      </c>
      <c r="B420">
        <v>99</v>
      </c>
      <c r="C420" t="s">
        <v>1174</v>
      </c>
      <c r="D420" t="s">
        <v>1175</v>
      </c>
      <c r="E420" t="s">
        <v>903</v>
      </c>
      <c r="F420">
        <v>2021</v>
      </c>
      <c r="G420">
        <v>0</v>
      </c>
      <c r="H420">
        <v>0</v>
      </c>
      <c r="I420">
        <v>45</v>
      </c>
      <c r="J420">
        <v>0</v>
      </c>
      <c r="K420">
        <v>953910000</v>
      </c>
      <c r="L420">
        <v>142.02000000000001</v>
      </c>
      <c r="M420">
        <v>135474298.19999999</v>
      </c>
      <c r="N420">
        <v>31720000</v>
      </c>
      <c r="O420">
        <v>65772000</v>
      </c>
      <c r="P420">
        <v>11539000</v>
      </c>
      <c r="Q420">
        <v>2.5420284954083798</v>
      </c>
      <c r="R420">
        <v>18.0017047738163</v>
      </c>
      <c r="S420">
        <v>0.482272091467494</v>
      </c>
      <c r="T420">
        <v>0.17543939670376499</v>
      </c>
      <c r="U420">
        <v>1979</v>
      </c>
      <c r="V420">
        <v>42</v>
      </c>
      <c r="W420">
        <v>1</v>
      </c>
      <c r="X420" t="s">
        <v>722</v>
      </c>
      <c r="Y420" t="s">
        <v>1639</v>
      </c>
      <c r="Z420" t="s">
        <v>2141</v>
      </c>
    </row>
    <row r="421" spans="1:26" ht="15" customHeight="1" x14ac:dyDescent="0.3">
      <c r="A421">
        <v>492</v>
      </c>
      <c r="B421">
        <v>99</v>
      </c>
      <c r="C421" t="s">
        <v>1174</v>
      </c>
      <c r="D421" t="s">
        <v>1175</v>
      </c>
      <c r="E421" t="s">
        <v>903</v>
      </c>
      <c r="F421">
        <v>2022</v>
      </c>
      <c r="G421">
        <v>0</v>
      </c>
      <c r="H421">
        <v>0</v>
      </c>
      <c r="I421">
        <v>45</v>
      </c>
      <c r="J421">
        <v>0</v>
      </c>
      <c r="K421">
        <v>953910000</v>
      </c>
      <c r="L421">
        <v>165.02</v>
      </c>
      <c r="M421">
        <v>157414228.19999999</v>
      </c>
      <c r="N421">
        <v>38464000</v>
      </c>
      <c r="O421">
        <v>72498000</v>
      </c>
      <c r="P421">
        <v>16231000</v>
      </c>
      <c r="Q421">
        <v>2.70184319843306</v>
      </c>
      <c r="R421">
        <v>18.0990695332375</v>
      </c>
      <c r="S421">
        <v>0.53055256696736497</v>
      </c>
      <c r="T421">
        <v>0.22388203812519</v>
      </c>
      <c r="U421">
        <v>1979</v>
      </c>
      <c r="V421">
        <v>43</v>
      </c>
      <c r="W421">
        <v>1</v>
      </c>
      <c r="X421" t="s">
        <v>722</v>
      </c>
      <c r="Y421" t="s">
        <v>1640</v>
      </c>
      <c r="Z421" t="s">
        <v>2141</v>
      </c>
    </row>
    <row r="422" spans="1:26" ht="15" customHeight="1" x14ac:dyDescent="0.3">
      <c r="A422">
        <v>493</v>
      </c>
      <c r="B422">
        <v>99</v>
      </c>
      <c r="C422" t="s">
        <v>1174</v>
      </c>
      <c r="D422" t="s">
        <v>1175</v>
      </c>
      <c r="E422" t="s">
        <v>903</v>
      </c>
      <c r="F422">
        <v>2023</v>
      </c>
      <c r="G422">
        <v>1</v>
      </c>
      <c r="H422">
        <v>0</v>
      </c>
      <c r="I422">
        <v>45</v>
      </c>
      <c r="J422">
        <v>0</v>
      </c>
      <c r="K422">
        <v>953910000</v>
      </c>
      <c r="L422">
        <v>260.02999999999997</v>
      </c>
      <c r="M422">
        <v>248045217.30000001</v>
      </c>
      <c r="N422">
        <v>56226000</v>
      </c>
      <c r="O422">
        <v>95100000</v>
      </c>
      <c r="P422">
        <v>20647000</v>
      </c>
      <c r="Q422">
        <v>3.1994870378548899</v>
      </c>
      <c r="R422">
        <v>18.3704395275156</v>
      </c>
      <c r="S422">
        <v>0.59123028391167198</v>
      </c>
      <c r="T422">
        <v>0.217108307045216</v>
      </c>
      <c r="U422">
        <v>1979</v>
      </c>
      <c r="V422">
        <v>44</v>
      </c>
      <c r="W422">
        <v>1</v>
      </c>
      <c r="X422" t="s">
        <v>722</v>
      </c>
      <c r="Y422" t="s">
        <v>1641</v>
      </c>
      <c r="Z422" t="s">
        <v>2141</v>
      </c>
    </row>
    <row r="423" spans="1:26" ht="15" customHeight="1" x14ac:dyDescent="0.3">
      <c r="A423">
        <v>494</v>
      </c>
      <c r="B423">
        <v>99</v>
      </c>
      <c r="C423" t="s">
        <v>1174</v>
      </c>
      <c r="D423" t="s">
        <v>1175</v>
      </c>
      <c r="E423" t="s">
        <v>903</v>
      </c>
      <c r="F423">
        <v>2024</v>
      </c>
      <c r="G423">
        <v>1</v>
      </c>
      <c r="H423">
        <v>0</v>
      </c>
      <c r="I423">
        <v>45</v>
      </c>
      <c r="J423">
        <v>0</v>
      </c>
      <c r="K423">
        <v>953910000</v>
      </c>
      <c r="L423">
        <v>444.05</v>
      </c>
      <c r="M423">
        <v>423583735.5</v>
      </c>
      <c r="N423">
        <v>61560000</v>
      </c>
      <c r="O423">
        <v>117038000</v>
      </c>
      <c r="P423">
        <v>39958000</v>
      </c>
      <c r="Q423">
        <v>4.1451813556280896</v>
      </c>
      <c r="R423">
        <v>18.578009226355199</v>
      </c>
      <c r="S423">
        <v>0.52598301406380799</v>
      </c>
      <c r="T423">
        <v>0.341410482065654</v>
      </c>
      <c r="U423">
        <v>1979</v>
      </c>
      <c r="V423">
        <v>45</v>
      </c>
      <c r="W423">
        <v>1</v>
      </c>
      <c r="X423" t="s">
        <v>722</v>
      </c>
      <c r="Y423" t="s">
        <v>1642</v>
      </c>
      <c r="Z423" t="s">
        <v>2141</v>
      </c>
    </row>
    <row r="424" spans="1:26" ht="15" customHeight="1" x14ac:dyDescent="0.3">
      <c r="A424">
        <v>495</v>
      </c>
      <c r="B424">
        <v>99</v>
      </c>
      <c r="C424" t="s">
        <v>1174</v>
      </c>
      <c r="D424" t="s">
        <v>1175</v>
      </c>
      <c r="E424" t="s">
        <v>903</v>
      </c>
      <c r="F424">
        <v>2025</v>
      </c>
      <c r="G424">
        <v>1</v>
      </c>
      <c r="H424">
        <v>0</v>
      </c>
      <c r="I424">
        <v>45</v>
      </c>
      <c r="J424">
        <v>0</v>
      </c>
      <c r="K424">
        <v>953910000</v>
      </c>
      <c r="L424">
        <v>1090.24</v>
      </c>
      <c r="M424">
        <v>1039990838.4</v>
      </c>
      <c r="N424">
        <v>90043000</v>
      </c>
      <c r="O424">
        <v>138853000</v>
      </c>
      <c r="P424">
        <v>57952000</v>
      </c>
      <c r="Q424">
        <v>8.1383465852376293</v>
      </c>
      <c r="R424">
        <v>18.748926377533401</v>
      </c>
      <c r="S424">
        <v>0.64847716649982401</v>
      </c>
      <c r="T424">
        <v>0.417362246404471</v>
      </c>
      <c r="U424">
        <v>1979</v>
      </c>
      <c r="V424">
        <v>46</v>
      </c>
      <c r="W424">
        <v>1</v>
      </c>
      <c r="X424" t="s">
        <v>722</v>
      </c>
      <c r="Y424" t="s">
        <v>1643</v>
      </c>
      <c r="Z424" t="s">
        <v>2141</v>
      </c>
    </row>
    <row r="425" spans="1:26" ht="15" customHeight="1" x14ac:dyDescent="0.3">
      <c r="A425">
        <v>496</v>
      </c>
      <c r="B425">
        <v>100</v>
      </c>
      <c r="C425" t="s">
        <v>1178</v>
      </c>
      <c r="D425" t="s">
        <v>1179</v>
      </c>
      <c r="E425" t="s">
        <v>752</v>
      </c>
      <c r="F425">
        <v>2021</v>
      </c>
      <c r="G425">
        <v>0</v>
      </c>
      <c r="H425">
        <v>0</v>
      </c>
      <c r="I425">
        <v>0</v>
      </c>
      <c r="J425">
        <v>0</v>
      </c>
      <c r="K425">
        <v>2942000000</v>
      </c>
      <c r="L425">
        <v>0.2</v>
      </c>
      <c r="M425">
        <v>588400</v>
      </c>
      <c r="N425">
        <v>15881000</v>
      </c>
      <c r="O425">
        <v>4711000</v>
      </c>
      <c r="P425">
        <v>-1616000</v>
      </c>
      <c r="Q425">
        <v>3.4959456590957299</v>
      </c>
      <c r="R425">
        <v>15.3654107576822</v>
      </c>
      <c r="S425">
        <v>3.3710464869454499</v>
      </c>
      <c r="T425">
        <v>-0.34302695818297602</v>
      </c>
      <c r="U425">
        <v>1988</v>
      </c>
      <c r="V425">
        <v>33</v>
      </c>
      <c r="W425">
        <v>0</v>
      </c>
      <c r="X425" t="s">
        <v>1181</v>
      </c>
      <c r="Y425" t="s">
        <v>1644</v>
      </c>
      <c r="Z425" t="s">
        <v>2141</v>
      </c>
    </row>
    <row r="426" spans="1:26" ht="15" customHeight="1" x14ac:dyDescent="0.3">
      <c r="A426">
        <v>497</v>
      </c>
      <c r="B426">
        <v>100</v>
      </c>
      <c r="C426" t="s">
        <v>1178</v>
      </c>
      <c r="D426" t="s">
        <v>1179</v>
      </c>
      <c r="E426" t="s">
        <v>752</v>
      </c>
      <c r="F426">
        <v>2022</v>
      </c>
      <c r="G426">
        <v>0</v>
      </c>
      <c r="H426">
        <v>0</v>
      </c>
      <c r="I426">
        <v>0</v>
      </c>
      <c r="J426">
        <v>0</v>
      </c>
      <c r="K426">
        <v>2942000000</v>
      </c>
      <c r="L426">
        <v>0.2</v>
      </c>
      <c r="M426">
        <v>588400</v>
      </c>
      <c r="N426">
        <v>17772000</v>
      </c>
      <c r="O426">
        <v>4673000</v>
      </c>
      <c r="P426">
        <v>-1794000</v>
      </c>
      <c r="Q426">
        <v>3.9290391611384599</v>
      </c>
      <c r="R426">
        <v>15.3573118216826</v>
      </c>
      <c r="S426">
        <v>3.8031243312647098</v>
      </c>
      <c r="T426">
        <v>-0.38390755403381099</v>
      </c>
      <c r="U426">
        <v>1988</v>
      </c>
      <c r="V426">
        <v>34</v>
      </c>
      <c r="W426">
        <v>0</v>
      </c>
      <c r="X426" t="s">
        <v>1181</v>
      </c>
      <c r="Y426" t="s">
        <v>1645</v>
      </c>
      <c r="Z426" t="s">
        <v>2141</v>
      </c>
    </row>
    <row r="427" spans="1:26" ht="15" customHeight="1" x14ac:dyDescent="0.3">
      <c r="A427">
        <v>498</v>
      </c>
      <c r="B427">
        <v>100</v>
      </c>
      <c r="C427" t="s">
        <v>1178</v>
      </c>
      <c r="D427" t="s">
        <v>1179</v>
      </c>
      <c r="E427" t="s">
        <v>752</v>
      </c>
      <c r="F427">
        <v>2023</v>
      </c>
      <c r="G427">
        <v>1</v>
      </c>
      <c r="H427">
        <v>0</v>
      </c>
      <c r="I427">
        <v>0</v>
      </c>
      <c r="J427">
        <v>0</v>
      </c>
      <c r="K427">
        <v>2942000000</v>
      </c>
      <c r="L427">
        <v>0.76</v>
      </c>
      <c r="M427">
        <v>2235920</v>
      </c>
      <c r="N427">
        <v>5425000</v>
      </c>
      <c r="O427">
        <v>2875000</v>
      </c>
      <c r="P427">
        <v>6620</v>
      </c>
      <c r="Q427">
        <v>2.6646678260869598</v>
      </c>
      <c r="R427">
        <v>14.8715632322136</v>
      </c>
      <c r="S427">
        <v>1.88695652173913</v>
      </c>
      <c r="T427">
        <v>2.3026086956521698E-3</v>
      </c>
      <c r="U427">
        <v>1988</v>
      </c>
      <c r="V427">
        <v>35</v>
      </c>
      <c r="W427">
        <v>0</v>
      </c>
      <c r="X427" t="s">
        <v>1181</v>
      </c>
      <c r="Y427" t="s">
        <v>1646</v>
      </c>
      <c r="Z427" t="s">
        <v>2141</v>
      </c>
    </row>
    <row r="428" spans="1:26" ht="15" customHeight="1" x14ac:dyDescent="0.3">
      <c r="A428">
        <v>499</v>
      </c>
      <c r="B428">
        <v>100</v>
      </c>
      <c r="C428" t="s">
        <v>1178</v>
      </c>
      <c r="D428" t="s">
        <v>1179</v>
      </c>
      <c r="E428" t="s">
        <v>752</v>
      </c>
      <c r="F428">
        <v>2024</v>
      </c>
      <c r="G428">
        <v>1</v>
      </c>
      <c r="H428">
        <v>0</v>
      </c>
      <c r="I428">
        <v>0</v>
      </c>
      <c r="J428">
        <v>0</v>
      </c>
      <c r="K428">
        <v>2942000000</v>
      </c>
      <c r="L428">
        <v>0.73</v>
      </c>
      <c r="M428">
        <v>2147660</v>
      </c>
      <c r="N428">
        <v>5507000</v>
      </c>
      <c r="O428">
        <v>2870000</v>
      </c>
      <c r="P428">
        <v>-79350</v>
      </c>
      <c r="Q428">
        <v>2.6671289198606298</v>
      </c>
      <c r="R428">
        <v>14.869822587735801</v>
      </c>
      <c r="S428">
        <v>1.9188153310104501</v>
      </c>
      <c r="T428">
        <v>-2.7648083623693399E-2</v>
      </c>
      <c r="U428">
        <v>1988</v>
      </c>
      <c r="V428">
        <v>36</v>
      </c>
      <c r="W428">
        <v>0</v>
      </c>
      <c r="X428" t="s">
        <v>1181</v>
      </c>
      <c r="Y428" t="s">
        <v>1647</v>
      </c>
      <c r="Z428" t="s">
        <v>2141</v>
      </c>
    </row>
    <row r="429" spans="1:26" ht="15" customHeight="1" x14ac:dyDescent="0.3">
      <c r="A429">
        <v>500</v>
      </c>
      <c r="B429">
        <v>100</v>
      </c>
      <c r="C429" t="s">
        <v>1178</v>
      </c>
      <c r="D429" t="s">
        <v>1179</v>
      </c>
      <c r="E429" t="s">
        <v>752</v>
      </c>
      <c r="F429">
        <v>2025</v>
      </c>
      <c r="G429">
        <v>1</v>
      </c>
      <c r="H429">
        <v>0</v>
      </c>
      <c r="I429">
        <v>0</v>
      </c>
      <c r="J429">
        <v>0</v>
      </c>
      <c r="K429">
        <v>2942000000</v>
      </c>
      <c r="L429">
        <v>1.1299999999999999</v>
      </c>
      <c r="M429">
        <v>3324460</v>
      </c>
      <c r="N429">
        <v>5122000</v>
      </c>
      <c r="O429">
        <v>2431000</v>
      </c>
      <c r="P429">
        <v>-58920</v>
      </c>
      <c r="Q429">
        <v>3.4744796380090501</v>
      </c>
      <c r="R429">
        <v>14.7038132532983</v>
      </c>
      <c r="S429">
        <v>2.10695187165775</v>
      </c>
      <c r="T429">
        <v>-2.4236939531057201E-2</v>
      </c>
      <c r="U429">
        <v>1988</v>
      </c>
      <c r="V429">
        <v>37</v>
      </c>
      <c r="W429">
        <v>0</v>
      </c>
      <c r="X429" t="s">
        <v>1181</v>
      </c>
      <c r="Y429" t="s">
        <v>1648</v>
      </c>
      <c r="Z429" t="s">
        <v>2141</v>
      </c>
    </row>
    <row r="430" spans="1:26" ht="15" customHeight="1" x14ac:dyDescent="0.3">
      <c r="A430">
        <v>506</v>
      </c>
      <c r="B430">
        <v>102</v>
      </c>
      <c r="C430" t="s">
        <v>1190</v>
      </c>
      <c r="D430" t="s">
        <v>1191</v>
      </c>
      <c r="E430" t="s">
        <v>772</v>
      </c>
      <c r="F430">
        <v>2021</v>
      </c>
      <c r="G430">
        <v>0</v>
      </c>
      <c r="H430">
        <v>0</v>
      </c>
      <c r="I430">
        <v>0</v>
      </c>
      <c r="J430">
        <v>0</v>
      </c>
      <c r="K430">
        <v>123000000</v>
      </c>
      <c r="L430">
        <v>10</v>
      </c>
      <c r="M430">
        <v>1230000</v>
      </c>
      <c r="N430">
        <v>405250</v>
      </c>
      <c r="O430">
        <v>204940</v>
      </c>
      <c r="P430">
        <v>-22410</v>
      </c>
      <c r="Q430">
        <v>7.9791646335512798</v>
      </c>
      <c r="R430">
        <v>12.2304725323537</v>
      </c>
      <c r="S430">
        <v>1.97740802186006</v>
      </c>
      <c r="T430">
        <v>-0.10934907777886201</v>
      </c>
      <c r="U430">
        <v>1982</v>
      </c>
      <c r="V430">
        <v>39</v>
      </c>
      <c r="W430">
        <v>0</v>
      </c>
      <c r="X430" t="s">
        <v>1167</v>
      </c>
      <c r="Y430" t="s">
        <v>1651</v>
      </c>
      <c r="Z430" t="s">
        <v>775</v>
      </c>
    </row>
    <row r="431" spans="1:26" ht="15" customHeight="1" x14ac:dyDescent="0.3">
      <c r="A431">
        <v>507</v>
      </c>
      <c r="B431">
        <v>102</v>
      </c>
      <c r="C431" t="s">
        <v>1190</v>
      </c>
      <c r="D431" t="s">
        <v>1191</v>
      </c>
      <c r="E431" t="s">
        <v>772</v>
      </c>
      <c r="F431">
        <v>2022</v>
      </c>
      <c r="G431">
        <v>0</v>
      </c>
      <c r="H431">
        <v>0</v>
      </c>
      <c r="I431">
        <v>0</v>
      </c>
      <c r="J431">
        <v>0</v>
      </c>
      <c r="K431">
        <v>135330000</v>
      </c>
      <c r="L431">
        <v>9.0890000000000004</v>
      </c>
      <c r="M431">
        <v>1230014.3700000001</v>
      </c>
      <c r="N431">
        <v>415380</v>
      </c>
      <c r="O431">
        <v>195710</v>
      </c>
      <c r="P431">
        <v>-19370</v>
      </c>
      <c r="Q431">
        <v>8.4073086198967903</v>
      </c>
      <c r="R431">
        <v>12.184389250699001</v>
      </c>
      <c r="S431">
        <v>2.12242603852639</v>
      </c>
      <c r="T431">
        <v>-9.8972970211026495E-2</v>
      </c>
      <c r="U431">
        <v>1982</v>
      </c>
      <c r="V431">
        <v>40</v>
      </c>
      <c r="W431">
        <v>0</v>
      </c>
      <c r="X431" t="s">
        <v>1167</v>
      </c>
      <c r="Y431" t="s">
        <v>1652</v>
      </c>
      <c r="Z431" t="s">
        <v>775</v>
      </c>
    </row>
    <row r="432" spans="1:26" ht="15" customHeight="1" x14ac:dyDescent="0.3">
      <c r="A432">
        <v>508</v>
      </c>
      <c r="B432">
        <v>102</v>
      </c>
      <c r="C432" t="s">
        <v>1190</v>
      </c>
      <c r="D432" t="s">
        <v>1191</v>
      </c>
      <c r="E432" t="s">
        <v>772</v>
      </c>
      <c r="F432">
        <v>2023</v>
      </c>
      <c r="G432">
        <v>1</v>
      </c>
      <c r="H432">
        <v>0</v>
      </c>
      <c r="I432">
        <v>0</v>
      </c>
      <c r="J432">
        <v>0</v>
      </c>
      <c r="K432">
        <v>123000000</v>
      </c>
      <c r="L432">
        <v>10</v>
      </c>
      <c r="M432">
        <v>1230000</v>
      </c>
      <c r="N432">
        <v>405870</v>
      </c>
      <c r="O432">
        <v>186670</v>
      </c>
      <c r="P432">
        <v>470</v>
      </c>
      <c r="Q432">
        <v>8.7634327958429292</v>
      </c>
      <c r="R432">
        <v>12.137097631026601</v>
      </c>
      <c r="S432">
        <v>2.17426474527241</v>
      </c>
      <c r="T432">
        <v>2.5178121819253202E-3</v>
      </c>
      <c r="U432">
        <v>1982</v>
      </c>
      <c r="V432">
        <v>41</v>
      </c>
      <c r="W432">
        <v>0</v>
      </c>
      <c r="X432" t="s">
        <v>1167</v>
      </c>
      <c r="Y432" t="s">
        <v>1653</v>
      </c>
      <c r="Z432" t="s">
        <v>775</v>
      </c>
    </row>
    <row r="433" spans="1:26" ht="15" customHeight="1" x14ac:dyDescent="0.3">
      <c r="A433">
        <v>509</v>
      </c>
      <c r="B433">
        <v>102</v>
      </c>
      <c r="C433" t="s">
        <v>1190</v>
      </c>
      <c r="D433" t="s">
        <v>1191</v>
      </c>
      <c r="E433" t="s">
        <v>772</v>
      </c>
      <c r="F433">
        <v>2024</v>
      </c>
      <c r="G433">
        <v>1</v>
      </c>
      <c r="H433">
        <v>0</v>
      </c>
      <c r="I433">
        <v>0</v>
      </c>
      <c r="J433">
        <v>0</v>
      </c>
      <c r="K433">
        <v>123000000</v>
      </c>
      <c r="L433">
        <v>10</v>
      </c>
      <c r="M433">
        <v>1230000</v>
      </c>
      <c r="N433">
        <v>390830</v>
      </c>
      <c r="O433">
        <v>170920</v>
      </c>
      <c r="P433">
        <v>-710</v>
      </c>
      <c r="Q433">
        <v>9.4829744909899407</v>
      </c>
      <c r="R433">
        <v>12.048950889758</v>
      </c>
      <c r="S433">
        <v>2.28662532178797</v>
      </c>
      <c r="T433">
        <v>-4.1539901708401604E-3</v>
      </c>
      <c r="U433">
        <v>1982</v>
      </c>
      <c r="V433">
        <v>42</v>
      </c>
      <c r="W433">
        <v>0</v>
      </c>
      <c r="X433" t="s">
        <v>1167</v>
      </c>
      <c r="Y433" t="s">
        <v>1654</v>
      </c>
      <c r="Z433" t="s">
        <v>775</v>
      </c>
    </row>
    <row r="434" spans="1:26" ht="15" customHeight="1" x14ac:dyDescent="0.3">
      <c r="A434">
        <v>510</v>
      </c>
      <c r="B434">
        <v>102</v>
      </c>
      <c r="C434" t="s">
        <v>1190</v>
      </c>
      <c r="D434" t="s">
        <v>1191</v>
      </c>
      <c r="E434" t="s">
        <v>772</v>
      </c>
      <c r="F434">
        <v>2025</v>
      </c>
      <c r="G434">
        <v>1</v>
      </c>
      <c r="H434">
        <v>0</v>
      </c>
      <c r="I434">
        <v>0</v>
      </c>
      <c r="J434">
        <v>0</v>
      </c>
      <c r="K434">
        <v>123000000</v>
      </c>
      <c r="L434">
        <v>10</v>
      </c>
      <c r="M434">
        <v>1230000</v>
      </c>
      <c r="N434">
        <v>379650</v>
      </c>
      <c r="O434">
        <v>161740</v>
      </c>
      <c r="P434">
        <v>1990</v>
      </c>
      <c r="Q434">
        <v>9.9520835909484404</v>
      </c>
      <c r="R434">
        <v>11.993745386649801</v>
      </c>
      <c r="S434">
        <v>2.3472857672808201</v>
      </c>
      <c r="T434">
        <v>1.2303697291949999E-2</v>
      </c>
      <c r="U434">
        <v>1982</v>
      </c>
      <c r="V434">
        <v>43</v>
      </c>
      <c r="W434">
        <v>0</v>
      </c>
      <c r="X434" t="s">
        <v>1167</v>
      </c>
      <c r="Y434" t="s">
        <v>1655</v>
      </c>
      <c r="Z434" t="s">
        <v>775</v>
      </c>
    </row>
    <row r="435" spans="1:26" ht="15" customHeight="1" x14ac:dyDescent="0.3">
      <c r="A435">
        <v>511</v>
      </c>
      <c r="B435">
        <v>103</v>
      </c>
      <c r="C435" t="s">
        <v>1194</v>
      </c>
      <c r="D435" t="s">
        <v>1195</v>
      </c>
      <c r="E435" t="s">
        <v>903</v>
      </c>
      <c r="F435">
        <v>2021</v>
      </c>
      <c r="G435">
        <v>0</v>
      </c>
      <c r="H435">
        <v>0</v>
      </c>
      <c r="I435">
        <v>0</v>
      </c>
      <c r="J435">
        <v>0</v>
      </c>
      <c r="K435">
        <v>1000000000</v>
      </c>
      <c r="L435">
        <v>87.8</v>
      </c>
      <c r="M435">
        <v>87800000</v>
      </c>
      <c r="N435">
        <v>110825000</v>
      </c>
      <c r="O435">
        <v>140606000</v>
      </c>
      <c r="P435">
        <v>19320000</v>
      </c>
      <c r="Q435">
        <v>1.4126353071703901</v>
      </c>
      <c r="R435">
        <v>18.7614722106835</v>
      </c>
      <c r="S435">
        <v>0.78819538284283697</v>
      </c>
      <c r="T435">
        <v>0.137405231640186</v>
      </c>
      <c r="U435">
        <v>1991</v>
      </c>
      <c r="V435">
        <v>30</v>
      </c>
      <c r="W435">
        <v>1</v>
      </c>
      <c r="X435" t="s">
        <v>1197</v>
      </c>
      <c r="Y435" t="s">
        <v>1656</v>
      </c>
      <c r="Z435" t="s">
        <v>2141</v>
      </c>
    </row>
    <row r="436" spans="1:26" ht="15" customHeight="1" x14ac:dyDescent="0.3">
      <c r="A436">
        <v>512</v>
      </c>
      <c r="B436">
        <v>103</v>
      </c>
      <c r="C436" t="s">
        <v>1194</v>
      </c>
      <c r="D436" t="s">
        <v>1195</v>
      </c>
      <c r="E436" t="s">
        <v>903</v>
      </c>
      <c r="F436">
        <v>2022</v>
      </c>
      <c r="G436">
        <v>0</v>
      </c>
      <c r="H436">
        <v>0</v>
      </c>
      <c r="I436">
        <v>0</v>
      </c>
      <c r="J436">
        <v>0</v>
      </c>
      <c r="K436">
        <v>1000000000</v>
      </c>
      <c r="L436">
        <v>137.5</v>
      </c>
      <c r="M436">
        <v>137500000</v>
      </c>
      <c r="N436">
        <v>98209000</v>
      </c>
      <c r="O436">
        <v>132369000</v>
      </c>
      <c r="P436">
        <v>13032000</v>
      </c>
      <c r="Q436">
        <v>1.7806963866162</v>
      </c>
      <c r="R436">
        <v>18.701104035079599</v>
      </c>
      <c r="S436">
        <v>0.74193353428672904</v>
      </c>
      <c r="T436">
        <v>9.8452054484055904E-2</v>
      </c>
      <c r="U436">
        <v>1991</v>
      </c>
      <c r="V436">
        <v>31</v>
      </c>
      <c r="W436">
        <v>1</v>
      </c>
      <c r="X436" t="s">
        <v>1197</v>
      </c>
      <c r="Y436" t="s">
        <v>1657</v>
      </c>
      <c r="Z436" t="s">
        <v>2141</v>
      </c>
    </row>
    <row r="437" spans="1:26" ht="15" customHeight="1" x14ac:dyDescent="0.3">
      <c r="A437">
        <v>513</v>
      </c>
      <c r="B437">
        <v>103</v>
      </c>
      <c r="C437" t="s">
        <v>1194</v>
      </c>
      <c r="D437" t="s">
        <v>1195</v>
      </c>
      <c r="E437" t="s">
        <v>903</v>
      </c>
      <c r="F437">
        <v>2023</v>
      </c>
      <c r="G437">
        <v>1</v>
      </c>
      <c r="H437">
        <v>0</v>
      </c>
      <c r="I437">
        <v>5</v>
      </c>
      <c r="J437">
        <v>0</v>
      </c>
      <c r="K437">
        <v>1000000000</v>
      </c>
      <c r="L437">
        <v>193</v>
      </c>
      <c r="M437">
        <v>193000000</v>
      </c>
      <c r="N437">
        <v>113155000</v>
      </c>
      <c r="O437">
        <v>187067000</v>
      </c>
      <c r="P437">
        <v>32354000</v>
      </c>
      <c r="Q437">
        <v>1.6366061357695401</v>
      </c>
      <c r="R437">
        <v>19.0469773994188</v>
      </c>
      <c r="S437">
        <v>0.60489022649638902</v>
      </c>
      <c r="T437">
        <v>0.17295407527784201</v>
      </c>
      <c r="U437">
        <v>1991</v>
      </c>
      <c r="V437">
        <v>32</v>
      </c>
      <c r="W437">
        <v>1</v>
      </c>
      <c r="X437" t="s">
        <v>1197</v>
      </c>
      <c r="Y437" t="s">
        <v>1658</v>
      </c>
      <c r="Z437" t="s">
        <v>2141</v>
      </c>
    </row>
    <row r="438" spans="1:26" ht="15" customHeight="1" x14ac:dyDescent="0.3">
      <c r="A438">
        <v>514</v>
      </c>
      <c r="B438">
        <v>103</v>
      </c>
      <c r="C438" t="s">
        <v>1194</v>
      </c>
      <c r="D438" t="s">
        <v>1195</v>
      </c>
      <c r="E438" t="s">
        <v>903</v>
      </c>
      <c r="F438">
        <v>2024</v>
      </c>
      <c r="G438">
        <v>1</v>
      </c>
      <c r="H438">
        <v>0</v>
      </c>
      <c r="I438">
        <v>10</v>
      </c>
      <c r="J438">
        <v>0</v>
      </c>
      <c r="K438">
        <v>1000000000</v>
      </c>
      <c r="L438">
        <v>475</v>
      </c>
      <c r="M438">
        <v>475000000</v>
      </c>
      <c r="N438">
        <v>263912000</v>
      </c>
      <c r="O438">
        <v>475096000</v>
      </c>
      <c r="P438">
        <v>76069000</v>
      </c>
      <c r="Q438">
        <v>1.5552898782561799</v>
      </c>
      <c r="R438">
        <v>19.979027446841599</v>
      </c>
      <c r="S438">
        <v>0.55549194268105795</v>
      </c>
      <c r="T438">
        <v>0.16011290349739801</v>
      </c>
      <c r="U438">
        <v>1991</v>
      </c>
      <c r="V438">
        <v>33</v>
      </c>
      <c r="W438">
        <v>1</v>
      </c>
      <c r="X438" t="s">
        <v>1197</v>
      </c>
      <c r="Y438" t="s">
        <v>1659</v>
      </c>
      <c r="Z438" t="s">
        <v>2141</v>
      </c>
    </row>
    <row r="439" spans="1:26" ht="15" customHeight="1" x14ac:dyDescent="0.3">
      <c r="A439">
        <v>515</v>
      </c>
      <c r="B439">
        <v>103</v>
      </c>
      <c r="C439" t="s">
        <v>1194</v>
      </c>
      <c r="D439" t="s">
        <v>1195</v>
      </c>
      <c r="E439" t="s">
        <v>903</v>
      </c>
      <c r="F439">
        <v>2025</v>
      </c>
      <c r="G439">
        <v>1</v>
      </c>
      <c r="H439">
        <v>0</v>
      </c>
      <c r="I439">
        <v>10</v>
      </c>
      <c r="J439">
        <v>0</v>
      </c>
      <c r="K439">
        <v>1167000000</v>
      </c>
      <c r="L439">
        <v>1242.5</v>
      </c>
      <c r="M439">
        <v>1449997500</v>
      </c>
      <c r="N439">
        <v>483259000</v>
      </c>
      <c r="O439">
        <v>926008000</v>
      </c>
      <c r="P439">
        <v>121354000</v>
      </c>
      <c r="Q439">
        <v>2.0877319634387601</v>
      </c>
      <c r="R439">
        <v>20.646393431882</v>
      </c>
      <c r="S439">
        <v>0.52187346113640498</v>
      </c>
      <c r="T439">
        <v>0.13105070366562699</v>
      </c>
      <c r="U439">
        <v>1991</v>
      </c>
      <c r="V439">
        <v>34</v>
      </c>
      <c r="W439">
        <v>1</v>
      </c>
      <c r="X439" t="s">
        <v>1197</v>
      </c>
      <c r="Y439" t="s">
        <v>1660</v>
      </c>
      <c r="Z439" t="s">
        <v>2141</v>
      </c>
    </row>
    <row r="440" spans="1:26" ht="15" customHeight="1" x14ac:dyDescent="0.3">
      <c r="A440">
        <v>516</v>
      </c>
      <c r="B440">
        <v>104</v>
      </c>
      <c r="C440" t="s">
        <v>1199</v>
      </c>
      <c r="D440" t="s">
        <v>1200</v>
      </c>
      <c r="E440" t="s">
        <v>709</v>
      </c>
      <c r="F440">
        <v>2021</v>
      </c>
      <c r="G440">
        <v>0</v>
      </c>
      <c r="H440">
        <v>0</v>
      </c>
      <c r="I440">
        <v>0</v>
      </c>
      <c r="J440">
        <v>0</v>
      </c>
      <c r="K440">
        <v>13253000000</v>
      </c>
      <c r="L440">
        <v>0.51</v>
      </c>
      <c r="M440">
        <v>6759030</v>
      </c>
      <c r="N440">
        <v>8584000</v>
      </c>
      <c r="O440">
        <v>21579000</v>
      </c>
      <c r="P440">
        <v>688280</v>
      </c>
      <c r="Q440">
        <v>0.71101672922749004</v>
      </c>
      <c r="R440">
        <v>16.887231177517599</v>
      </c>
      <c r="S440">
        <v>0.397794151721581</v>
      </c>
      <c r="T440">
        <v>3.1895824644330099E-2</v>
      </c>
      <c r="U440">
        <v>1970</v>
      </c>
      <c r="V440">
        <v>51</v>
      </c>
      <c r="W440">
        <v>0</v>
      </c>
      <c r="X440" t="s">
        <v>1167</v>
      </c>
      <c r="Y440" t="s">
        <v>1661</v>
      </c>
      <c r="Z440" t="s">
        <v>826</v>
      </c>
    </row>
    <row r="441" spans="1:26" ht="15" customHeight="1" x14ac:dyDescent="0.3">
      <c r="A441">
        <v>517</v>
      </c>
      <c r="B441">
        <v>104</v>
      </c>
      <c r="C441" t="s">
        <v>1199</v>
      </c>
      <c r="D441" t="s">
        <v>1200</v>
      </c>
      <c r="E441" t="s">
        <v>709</v>
      </c>
      <c r="F441">
        <v>2022</v>
      </c>
      <c r="G441">
        <v>0</v>
      </c>
      <c r="H441">
        <v>0</v>
      </c>
      <c r="I441">
        <v>0</v>
      </c>
      <c r="J441">
        <v>0</v>
      </c>
      <c r="K441">
        <v>13253000000</v>
      </c>
      <c r="L441">
        <v>0.42030000000000001</v>
      </c>
      <c r="M441">
        <v>5570235.9000000004</v>
      </c>
      <c r="N441">
        <v>8915000</v>
      </c>
      <c r="O441">
        <v>22039000</v>
      </c>
      <c r="P441">
        <v>502260</v>
      </c>
      <c r="Q441">
        <v>0.65725468033939805</v>
      </c>
      <c r="R441">
        <v>16.9083241691688</v>
      </c>
      <c r="S441">
        <v>0.40451018648759002</v>
      </c>
      <c r="T441">
        <v>2.2789600254094999E-2</v>
      </c>
      <c r="U441">
        <v>1970</v>
      </c>
      <c r="V441">
        <v>52</v>
      </c>
      <c r="W441">
        <v>0</v>
      </c>
      <c r="X441" t="s">
        <v>1167</v>
      </c>
      <c r="Y441" t="s">
        <v>1662</v>
      </c>
      <c r="Z441" t="s">
        <v>826</v>
      </c>
    </row>
    <row r="442" spans="1:26" ht="15" customHeight="1" x14ac:dyDescent="0.3">
      <c r="A442">
        <v>518</v>
      </c>
      <c r="B442">
        <v>104</v>
      </c>
      <c r="C442" t="s">
        <v>1199</v>
      </c>
      <c r="D442" t="s">
        <v>1200</v>
      </c>
      <c r="E442" t="s">
        <v>709</v>
      </c>
      <c r="F442">
        <v>2023</v>
      </c>
      <c r="G442">
        <v>1</v>
      </c>
      <c r="H442">
        <v>0</v>
      </c>
      <c r="I442">
        <v>0</v>
      </c>
      <c r="J442">
        <v>0</v>
      </c>
      <c r="K442">
        <v>13253000000</v>
      </c>
      <c r="L442">
        <v>0.51</v>
      </c>
      <c r="M442">
        <v>6759030</v>
      </c>
      <c r="N442">
        <v>11902000</v>
      </c>
      <c r="O442">
        <v>27851000</v>
      </c>
      <c r="P442">
        <v>1310000</v>
      </c>
      <c r="Q442">
        <v>0.67003087860400001</v>
      </c>
      <c r="R442">
        <v>17.142379430335701</v>
      </c>
      <c r="S442">
        <v>0.42734551721661701</v>
      </c>
      <c r="T442">
        <v>4.7036013069548702E-2</v>
      </c>
      <c r="U442">
        <v>1970</v>
      </c>
      <c r="V442">
        <v>53</v>
      </c>
      <c r="W442">
        <v>0</v>
      </c>
      <c r="X442" t="s">
        <v>1167</v>
      </c>
      <c r="Y442" t="s">
        <v>1663</v>
      </c>
      <c r="Z442" t="s">
        <v>826</v>
      </c>
    </row>
    <row r="443" spans="1:26" ht="15" customHeight="1" x14ac:dyDescent="0.3">
      <c r="A443">
        <v>519</v>
      </c>
      <c r="B443">
        <v>104</v>
      </c>
      <c r="C443" t="s">
        <v>1199</v>
      </c>
      <c r="D443" t="s">
        <v>1200</v>
      </c>
      <c r="E443" t="s">
        <v>709</v>
      </c>
      <c r="F443">
        <v>2024</v>
      </c>
      <c r="G443">
        <v>1</v>
      </c>
      <c r="H443">
        <v>0</v>
      </c>
      <c r="I443">
        <v>0</v>
      </c>
      <c r="J443">
        <v>0</v>
      </c>
      <c r="K443">
        <v>13253000000</v>
      </c>
      <c r="L443">
        <v>1.2104999999999999</v>
      </c>
      <c r="M443">
        <v>16042756.5</v>
      </c>
      <c r="N443">
        <v>18630000</v>
      </c>
      <c r="O443">
        <v>38004000</v>
      </c>
      <c r="P443">
        <v>3236000</v>
      </c>
      <c r="Q443">
        <v>0.912344924218503</v>
      </c>
      <c r="R443">
        <v>17.453201975308801</v>
      </c>
      <c r="S443">
        <v>0.49021155667824401</v>
      </c>
      <c r="T443">
        <v>8.5148931691400906E-2</v>
      </c>
      <c r="U443">
        <v>1970</v>
      </c>
      <c r="V443">
        <v>54</v>
      </c>
      <c r="W443">
        <v>0</v>
      </c>
      <c r="X443" t="s">
        <v>1167</v>
      </c>
      <c r="Y443" t="s">
        <v>1664</v>
      </c>
      <c r="Z443" t="s">
        <v>826</v>
      </c>
    </row>
    <row r="444" spans="1:26" ht="15" customHeight="1" x14ac:dyDescent="0.3">
      <c r="A444">
        <v>520</v>
      </c>
      <c r="B444">
        <v>104</v>
      </c>
      <c r="C444" t="s">
        <v>1199</v>
      </c>
      <c r="D444" t="s">
        <v>1200</v>
      </c>
      <c r="E444" t="s">
        <v>709</v>
      </c>
      <c r="F444">
        <v>2025</v>
      </c>
      <c r="G444">
        <v>1</v>
      </c>
      <c r="H444">
        <v>0</v>
      </c>
      <c r="I444">
        <v>0</v>
      </c>
      <c r="J444">
        <v>0</v>
      </c>
      <c r="K444">
        <v>13253000000</v>
      </c>
      <c r="L444">
        <v>1.5802</v>
      </c>
      <c r="M444">
        <v>20942390.600000001</v>
      </c>
      <c r="N444">
        <v>17102000</v>
      </c>
      <c r="O444">
        <v>37347000</v>
      </c>
      <c r="P444">
        <v>609330</v>
      </c>
      <c r="Q444">
        <v>1.01867326960666</v>
      </c>
      <c r="R444">
        <v>17.435763145031999</v>
      </c>
      <c r="S444">
        <v>0.45792165368034898</v>
      </c>
      <c r="T444">
        <v>1.6315366696120201E-2</v>
      </c>
      <c r="U444">
        <v>1970</v>
      </c>
      <c r="V444">
        <v>55</v>
      </c>
      <c r="W444">
        <v>0</v>
      </c>
      <c r="X444" t="s">
        <v>1167</v>
      </c>
      <c r="Y444" t="s">
        <v>1665</v>
      </c>
      <c r="Z444" t="s">
        <v>826</v>
      </c>
    </row>
    <row r="445" spans="1:26" ht="15" customHeight="1" x14ac:dyDescent="0.3">
      <c r="A445">
        <v>521</v>
      </c>
      <c r="B445">
        <v>105</v>
      </c>
      <c r="C445" t="s">
        <v>1203</v>
      </c>
      <c r="D445" t="s">
        <v>1204</v>
      </c>
      <c r="E445" t="s">
        <v>806</v>
      </c>
      <c r="F445">
        <v>2021</v>
      </c>
      <c r="G445">
        <v>0</v>
      </c>
      <c r="H445">
        <v>0</v>
      </c>
      <c r="I445">
        <v>0</v>
      </c>
      <c r="J445">
        <v>0</v>
      </c>
      <c r="K445">
        <v>3970000000</v>
      </c>
      <c r="L445">
        <v>6.101</v>
      </c>
      <c r="M445">
        <v>24220970</v>
      </c>
      <c r="N445">
        <v>55576000</v>
      </c>
      <c r="O445">
        <v>87345000</v>
      </c>
      <c r="P445">
        <v>1560000</v>
      </c>
      <c r="Q445">
        <v>0.91358371973209695</v>
      </c>
      <c r="R445">
        <v>18.285376351921499</v>
      </c>
      <c r="S445">
        <v>0.63628141278836803</v>
      </c>
      <c r="T445">
        <v>1.7860209513996202E-2</v>
      </c>
      <c r="U445">
        <v>1948</v>
      </c>
      <c r="V445">
        <v>73</v>
      </c>
      <c r="W445">
        <v>1</v>
      </c>
      <c r="X445" t="s">
        <v>1012</v>
      </c>
      <c r="Y445" t="s">
        <v>1666</v>
      </c>
      <c r="Z445" t="s">
        <v>2141</v>
      </c>
    </row>
    <row r="446" spans="1:26" ht="15" customHeight="1" x14ac:dyDescent="0.3">
      <c r="A446">
        <v>522</v>
      </c>
      <c r="B446">
        <v>105</v>
      </c>
      <c r="C446" t="s">
        <v>1203</v>
      </c>
      <c r="D446" t="s">
        <v>1204</v>
      </c>
      <c r="E446" t="s">
        <v>806</v>
      </c>
      <c r="F446">
        <v>2022</v>
      </c>
      <c r="G446">
        <v>0</v>
      </c>
      <c r="H446">
        <v>0</v>
      </c>
      <c r="I446">
        <v>0</v>
      </c>
      <c r="J446">
        <v>0</v>
      </c>
      <c r="K446">
        <v>3970000000</v>
      </c>
      <c r="L446">
        <v>6.101</v>
      </c>
      <c r="M446">
        <v>24220970</v>
      </c>
      <c r="N446">
        <v>71733000</v>
      </c>
      <c r="O446">
        <v>109473000</v>
      </c>
      <c r="P446">
        <v>5970000</v>
      </c>
      <c r="Q446">
        <v>0.87650808875247799</v>
      </c>
      <c r="R446">
        <v>18.511188501473701</v>
      </c>
      <c r="S446">
        <v>0.65525746074374502</v>
      </c>
      <c r="T446">
        <v>5.45339946836206E-2</v>
      </c>
      <c r="U446">
        <v>1948</v>
      </c>
      <c r="V446">
        <v>74</v>
      </c>
      <c r="W446">
        <v>1</v>
      </c>
      <c r="X446" t="s">
        <v>1012</v>
      </c>
      <c r="Y446" t="s">
        <v>1667</v>
      </c>
      <c r="Z446" t="s">
        <v>2141</v>
      </c>
    </row>
    <row r="447" spans="1:26" ht="15" customHeight="1" x14ac:dyDescent="0.3">
      <c r="A447">
        <v>523</v>
      </c>
      <c r="B447">
        <v>105</v>
      </c>
      <c r="C447" t="s">
        <v>1203</v>
      </c>
      <c r="D447" t="s">
        <v>1204</v>
      </c>
      <c r="E447" t="s">
        <v>806</v>
      </c>
      <c r="F447">
        <v>2023</v>
      </c>
      <c r="G447">
        <v>1</v>
      </c>
      <c r="H447">
        <v>0</v>
      </c>
      <c r="I447">
        <v>0</v>
      </c>
      <c r="J447">
        <v>0</v>
      </c>
      <c r="K447">
        <v>3970000000</v>
      </c>
      <c r="L447">
        <v>11.349</v>
      </c>
      <c r="M447">
        <v>45055530</v>
      </c>
      <c r="N447">
        <v>118006000</v>
      </c>
      <c r="O447">
        <v>166366000</v>
      </c>
      <c r="P447">
        <v>12893000</v>
      </c>
      <c r="Q447">
        <v>0.98013734777538697</v>
      </c>
      <c r="R447">
        <v>18.9297007385507</v>
      </c>
      <c r="S447">
        <v>0.70931560535205496</v>
      </c>
      <c r="T447">
        <v>7.7497806042100006E-2</v>
      </c>
      <c r="U447">
        <v>1948</v>
      </c>
      <c r="V447">
        <v>75</v>
      </c>
      <c r="W447">
        <v>1</v>
      </c>
      <c r="X447" t="s">
        <v>1012</v>
      </c>
      <c r="Y447" t="s">
        <v>1668</v>
      </c>
      <c r="Z447" t="s">
        <v>2141</v>
      </c>
    </row>
    <row r="448" spans="1:26" ht="15" customHeight="1" x14ac:dyDescent="0.3">
      <c r="A448">
        <v>524</v>
      </c>
      <c r="B448">
        <v>105</v>
      </c>
      <c r="C448" t="s">
        <v>1203</v>
      </c>
      <c r="D448" t="s">
        <v>1204</v>
      </c>
      <c r="E448" t="s">
        <v>806</v>
      </c>
      <c r="F448">
        <v>2024</v>
      </c>
      <c r="G448">
        <v>1</v>
      </c>
      <c r="H448">
        <v>0</v>
      </c>
      <c r="I448">
        <v>5</v>
      </c>
      <c r="J448">
        <v>0</v>
      </c>
      <c r="K448">
        <v>3970000000</v>
      </c>
      <c r="L448">
        <v>26.702999999999999</v>
      </c>
      <c r="M448">
        <v>106010910</v>
      </c>
      <c r="N448">
        <v>184567000</v>
      </c>
      <c r="O448">
        <v>157060000</v>
      </c>
      <c r="P448">
        <v>-82702000</v>
      </c>
      <c r="Q448">
        <v>1.8501076658601801</v>
      </c>
      <c r="R448">
        <v>18.872138455910999</v>
      </c>
      <c r="S448">
        <v>1.1751368903603701</v>
      </c>
      <c r="T448">
        <v>-0.52656309690564096</v>
      </c>
      <c r="U448">
        <v>1948</v>
      </c>
      <c r="V448">
        <v>76</v>
      </c>
      <c r="W448">
        <v>1</v>
      </c>
      <c r="X448" t="s">
        <v>1012</v>
      </c>
      <c r="Y448" t="s">
        <v>1669</v>
      </c>
      <c r="Z448" t="s">
        <v>2141</v>
      </c>
    </row>
    <row r="449" spans="1:26" ht="15" customHeight="1" x14ac:dyDescent="0.3">
      <c r="A449">
        <v>525</v>
      </c>
      <c r="B449">
        <v>105</v>
      </c>
      <c r="C449" t="s">
        <v>1203</v>
      </c>
      <c r="D449" t="s">
        <v>1204</v>
      </c>
      <c r="E449" t="s">
        <v>806</v>
      </c>
      <c r="F449">
        <v>2025</v>
      </c>
      <c r="G449">
        <v>1</v>
      </c>
      <c r="H449">
        <v>0</v>
      </c>
      <c r="I449">
        <v>5</v>
      </c>
      <c r="J449">
        <v>0</v>
      </c>
      <c r="K449">
        <v>3970000000</v>
      </c>
      <c r="L449">
        <v>24.3</v>
      </c>
      <c r="M449">
        <v>96471000</v>
      </c>
      <c r="N449">
        <v>186244000</v>
      </c>
      <c r="O449">
        <v>168902000</v>
      </c>
      <c r="P449">
        <v>9208000</v>
      </c>
      <c r="Q449">
        <v>1.6738404518596599</v>
      </c>
      <c r="R449">
        <v>18.944829223034102</v>
      </c>
      <c r="S449">
        <v>1.1026749239203799</v>
      </c>
      <c r="T449">
        <v>5.45168204047317E-2</v>
      </c>
      <c r="U449">
        <v>1948</v>
      </c>
      <c r="V449">
        <v>77</v>
      </c>
      <c r="W449">
        <v>1</v>
      </c>
      <c r="X449" t="s">
        <v>1012</v>
      </c>
      <c r="Y449" t="s">
        <v>1670</v>
      </c>
      <c r="Z449" t="s">
        <v>2141</v>
      </c>
    </row>
    <row r="450" spans="1:26" ht="15" customHeight="1" x14ac:dyDescent="0.3">
      <c r="A450">
        <v>526</v>
      </c>
      <c r="B450">
        <v>106</v>
      </c>
      <c r="C450" t="s">
        <v>1207</v>
      </c>
      <c r="D450" t="s">
        <v>1208</v>
      </c>
      <c r="E450" t="s">
        <v>715</v>
      </c>
      <c r="F450">
        <v>2021</v>
      </c>
      <c r="G450">
        <v>0</v>
      </c>
      <c r="H450">
        <v>0</v>
      </c>
      <c r="I450">
        <v>0</v>
      </c>
      <c r="J450">
        <v>0</v>
      </c>
      <c r="K450">
        <v>954420000</v>
      </c>
      <c r="L450">
        <v>3.448</v>
      </c>
      <c r="M450">
        <v>3290840.16</v>
      </c>
      <c r="N450">
        <v>3310000</v>
      </c>
      <c r="O450">
        <v>7540000</v>
      </c>
      <c r="P450">
        <v>150070</v>
      </c>
      <c r="Q450">
        <v>0.87544299204244003</v>
      </c>
      <c r="R450">
        <v>15.835732739984101</v>
      </c>
      <c r="S450">
        <v>0.43899204244031798</v>
      </c>
      <c r="T450">
        <v>1.99031830238727E-2</v>
      </c>
      <c r="U450">
        <v>1992</v>
      </c>
      <c r="V450">
        <v>29</v>
      </c>
      <c r="W450">
        <v>1</v>
      </c>
      <c r="X450" t="s">
        <v>727</v>
      </c>
      <c r="Y450" t="s">
        <v>1671</v>
      </c>
      <c r="Z450" t="s">
        <v>2141</v>
      </c>
    </row>
    <row r="451" spans="1:26" ht="15" customHeight="1" x14ac:dyDescent="0.3">
      <c r="A451">
        <v>527</v>
      </c>
      <c r="B451">
        <v>106</v>
      </c>
      <c r="C451" t="s">
        <v>1207</v>
      </c>
      <c r="D451" t="s">
        <v>1208</v>
      </c>
      <c r="E451" t="s">
        <v>715</v>
      </c>
      <c r="F451">
        <v>2022</v>
      </c>
      <c r="G451">
        <v>0</v>
      </c>
      <c r="H451">
        <v>0</v>
      </c>
      <c r="I451">
        <v>0</v>
      </c>
      <c r="J451">
        <v>0</v>
      </c>
      <c r="K451">
        <v>954450000</v>
      </c>
      <c r="L451">
        <v>3.448</v>
      </c>
      <c r="M451">
        <v>3290943.6</v>
      </c>
      <c r="N451">
        <v>3559000</v>
      </c>
      <c r="O451">
        <v>7752000</v>
      </c>
      <c r="P451">
        <v>87810</v>
      </c>
      <c r="Q451">
        <v>0.88363565531475696</v>
      </c>
      <c r="R451">
        <v>15.8634614325527</v>
      </c>
      <c r="S451">
        <v>0.45910732714138303</v>
      </c>
      <c r="T451">
        <v>1.1327399380805001E-2</v>
      </c>
      <c r="U451">
        <v>1992</v>
      </c>
      <c r="V451">
        <v>30</v>
      </c>
      <c r="W451">
        <v>1</v>
      </c>
      <c r="X451" t="s">
        <v>727</v>
      </c>
      <c r="Y451" t="s">
        <v>1672</v>
      </c>
      <c r="Z451" t="s">
        <v>2141</v>
      </c>
    </row>
    <row r="452" spans="1:26" ht="15" customHeight="1" x14ac:dyDescent="0.3">
      <c r="A452">
        <v>528</v>
      </c>
      <c r="B452">
        <v>106</v>
      </c>
      <c r="C452" t="s">
        <v>1207</v>
      </c>
      <c r="D452" t="s">
        <v>1208</v>
      </c>
      <c r="E452" t="s">
        <v>715</v>
      </c>
      <c r="F452">
        <v>2023</v>
      </c>
      <c r="G452">
        <v>1</v>
      </c>
      <c r="H452">
        <v>0</v>
      </c>
      <c r="I452">
        <v>0</v>
      </c>
      <c r="J452">
        <v>0</v>
      </c>
      <c r="K452">
        <v>954420000</v>
      </c>
      <c r="L452">
        <v>2.2629999999999999</v>
      </c>
      <c r="M452">
        <v>2159852.46</v>
      </c>
      <c r="N452">
        <v>4080000</v>
      </c>
      <c r="O452">
        <v>8658000</v>
      </c>
      <c r="P452">
        <v>313900</v>
      </c>
      <c r="Q452">
        <v>0.72070367983368</v>
      </c>
      <c r="R452">
        <v>15.9739943069841</v>
      </c>
      <c r="S452">
        <v>0.47124047124047103</v>
      </c>
      <c r="T452">
        <v>3.6255486255486302E-2</v>
      </c>
      <c r="U452">
        <v>1992</v>
      </c>
      <c r="V452">
        <v>31</v>
      </c>
      <c r="W452">
        <v>1</v>
      </c>
      <c r="X452" t="s">
        <v>727</v>
      </c>
      <c r="Y452" t="s">
        <v>1673</v>
      </c>
      <c r="Z452" t="s">
        <v>2141</v>
      </c>
    </row>
    <row r="453" spans="1:26" ht="15" customHeight="1" x14ac:dyDescent="0.3">
      <c r="A453">
        <v>529</v>
      </c>
      <c r="B453">
        <v>106</v>
      </c>
      <c r="C453" t="s">
        <v>1207</v>
      </c>
      <c r="D453" t="s">
        <v>1208</v>
      </c>
      <c r="E453" t="s">
        <v>715</v>
      </c>
      <c r="F453">
        <v>2024</v>
      </c>
      <c r="G453">
        <v>1</v>
      </c>
      <c r="H453">
        <v>0</v>
      </c>
      <c r="I453">
        <v>5</v>
      </c>
      <c r="J453">
        <v>0</v>
      </c>
      <c r="K453">
        <v>954420000</v>
      </c>
      <c r="L453">
        <v>3.1850000000000001</v>
      </c>
      <c r="M453">
        <v>3039827.7</v>
      </c>
      <c r="N453">
        <v>4570000</v>
      </c>
      <c r="O453">
        <v>9244000</v>
      </c>
      <c r="P453">
        <v>343000</v>
      </c>
      <c r="Q453">
        <v>0.82321805495456502</v>
      </c>
      <c r="R453">
        <v>16.039485250376401</v>
      </c>
      <c r="S453">
        <v>0.494374729554306</v>
      </c>
      <c r="T453">
        <v>3.7105149286023403E-2</v>
      </c>
      <c r="U453">
        <v>1992</v>
      </c>
      <c r="V453">
        <v>32</v>
      </c>
      <c r="W453">
        <v>1</v>
      </c>
      <c r="X453" t="s">
        <v>727</v>
      </c>
      <c r="Y453" t="s">
        <v>1674</v>
      </c>
      <c r="Z453" t="s">
        <v>2141</v>
      </c>
    </row>
    <row r="454" spans="1:26" ht="15" customHeight="1" x14ac:dyDescent="0.3">
      <c r="A454">
        <v>530</v>
      </c>
      <c r="B454">
        <v>106</v>
      </c>
      <c r="C454" t="s">
        <v>1207</v>
      </c>
      <c r="D454" t="s">
        <v>1208</v>
      </c>
      <c r="E454" t="s">
        <v>715</v>
      </c>
      <c r="F454">
        <v>2025</v>
      </c>
      <c r="G454">
        <v>1</v>
      </c>
      <c r="H454">
        <v>0</v>
      </c>
      <c r="I454">
        <v>5</v>
      </c>
      <c r="J454">
        <v>0</v>
      </c>
      <c r="K454">
        <v>954420000</v>
      </c>
      <c r="L454">
        <v>4.4109999999999996</v>
      </c>
      <c r="M454">
        <v>4209946.62</v>
      </c>
      <c r="N454">
        <v>5396000</v>
      </c>
      <c r="O454">
        <v>10279000</v>
      </c>
      <c r="P454">
        <v>546520</v>
      </c>
      <c r="Q454">
        <v>0.93452151182021603</v>
      </c>
      <c r="R454">
        <v>16.1456135369951</v>
      </c>
      <c r="S454">
        <v>0.52495378927911296</v>
      </c>
      <c r="T454">
        <v>5.3168596166942299E-2</v>
      </c>
      <c r="U454">
        <v>1992</v>
      </c>
      <c r="V454">
        <v>33</v>
      </c>
      <c r="W454">
        <v>1</v>
      </c>
      <c r="X454" t="s">
        <v>727</v>
      </c>
      <c r="Y454" t="s">
        <v>1675</v>
      </c>
      <c r="Z454" t="s">
        <v>2141</v>
      </c>
    </row>
    <row r="455" spans="1:26" ht="15" customHeight="1" x14ac:dyDescent="0.3">
      <c r="A455">
        <v>531</v>
      </c>
      <c r="B455">
        <v>107</v>
      </c>
      <c r="C455" t="s">
        <v>1211</v>
      </c>
      <c r="D455" t="s">
        <v>1212</v>
      </c>
      <c r="E455" t="s">
        <v>709</v>
      </c>
      <c r="F455">
        <v>2021</v>
      </c>
      <c r="G455">
        <v>0</v>
      </c>
      <c r="H455">
        <v>0</v>
      </c>
      <c r="I455">
        <v>0</v>
      </c>
      <c r="J455">
        <v>0</v>
      </c>
      <c r="K455">
        <v>16005000000</v>
      </c>
      <c r="L455">
        <v>0.21240000000000001</v>
      </c>
      <c r="M455">
        <v>3399462</v>
      </c>
      <c r="N455">
        <v>5146000</v>
      </c>
      <c r="O455">
        <v>11869000</v>
      </c>
      <c r="P455">
        <v>322430</v>
      </c>
      <c r="Q455">
        <v>0.71998163282500605</v>
      </c>
      <c r="R455">
        <v>16.289440517038599</v>
      </c>
      <c r="S455">
        <v>0.43356643356643398</v>
      </c>
      <c r="T455">
        <v>2.71657258404246E-2</v>
      </c>
      <c r="U455">
        <v>1993</v>
      </c>
      <c r="V455">
        <v>28</v>
      </c>
      <c r="W455">
        <v>0</v>
      </c>
      <c r="X455" t="s">
        <v>1167</v>
      </c>
      <c r="Y455" t="s">
        <v>1676</v>
      </c>
      <c r="Z455" t="s">
        <v>2141</v>
      </c>
    </row>
    <row r="456" spans="1:26" ht="15" customHeight="1" x14ac:dyDescent="0.3">
      <c r="A456">
        <v>532</v>
      </c>
      <c r="B456">
        <v>107</v>
      </c>
      <c r="C456" t="s">
        <v>1211</v>
      </c>
      <c r="D456" t="s">
        <v>1212</v>
      </c>
      <c r="E456" t="s">
        <v>709</v>
      </c>
      <c r="F456">
        <v>2022</v>
      </c>
      <c r="G456">
        <v>0</v>
      </c>
      <c r="H456">
        <v>0</v>
      </c>
      <c r="I456">
        <v>0</v>
      </c>
      <c r="J456">
        <v>0</v>
      </c>
      <c r="K456">
        <v>16005000000</v>
      </c>
      <c r="L456">
        <v>0.10440000000000001</v>
      </c>
      <c r="M456">
        <v>1670922</v>
      </c>
      <c r="N456">
        <v>5349000</v>
      </c>
      <c r="O456">
        <v>12371000</v>
      </c>
      <c r="P456">
        <v>594590</v>
      </c>
      <c r="Q456">
        <v>0.56744984237329199</v>
      </c>
      <c r="R456">
        <v>16.330865581845</v>
      </c>
      <c r="S456">
        <v>0.43238218414032797</v>
      </c>
      <c r="T456">
        <v>4.8063212351467099E-2</v>
      </c>
      <c r="U456">
        <v>1993</v>
      </c>
      <c r="V456">
        <v>29</v>
      </c>
      <c r="W456">
        <v>0</v>
      </c>
      <c r="X456" t="s">
        <v>1167</v>
      </c>
      <c r="Y456" t="s">
        <v>1677</v>
      </c>
      <c r="Z456" t="s">
        <v>2141</v>
      </c>
    </row>
    <row r="457" spans="1:26" ht="15" customHeight="1" x14ac:dyDescent="0.3">
      <c r="A457">
        <v>533</v>
      </c>
      <c r="B457">
        <v>107</v>
      </c>
      <c r="C457" t="s">
        <v>1211</v>
      </c>
      <c r="D457" t="s">
        <v>1212</v>
      </c>
      <c r="E457" t="s">
        <v>709</v>
      </c>
      <c r="F457">
        <v>2023</v>
      </c>
      <c r="G457">
        <v>1</v>
      </c>
      <c r="H457">
        <v>0</v>
      </c>
      <c r="I457">
        <v>0</v>
      </c>
      <c r="J457">
        <v>0</v>
      </c>
      <c r="K457">
        <v>16005000000</v>
      </c>
      <c r="L457">
        <v>0.15809999999999999</v>
      </c>
      <c r="M457">
        <v>2530390.5</v>
      </c>
      <c r="N457">
        <v>7048000</v>
      </c>
      <c r="O457">
        <v>18848000</v>
      </c>
      <c r="P457">
        <v>1943000</v>
      </c>
      <c r="Q457">
        <v>0.50819134656196896</v>
      </c>
      <c r="R457">
        <v>16.751917365433499</v>
      </c>
      <c r="S457">
        <v>0.37393887945670601</v>
      </c>
      <c r="T457">
        <v>0.103087860780985</v>
      </c>
      <c r="U457">
        <v>1993</v>
      </c>
      <c r="V457">
        <v>30</v>
      </c>
      <c r="W457">
        <v>0</v>
      </c>
      <c r="X457" t="s">
        <v>1167</v>
      </c>
      <c r="Y457" t="s">
        <v>1678</v>
      </c>
      <c r="Z457" t="s">
        <v>2141</v>
      </c>
    </row>
    <row r="458" spans="1:26" ht="15" customHeight="1" x14ac:dyDescent="0.3">
      <c r="A458">
        <v>534</v>
      </c>
      <c r="B458">
        <v>107</v>
      </c>
      <c r="C458" t="s">
        <v>1211</v>
      </c>
      <c r="D458" t="s">
        <v>1212</v>
      </c>
      <c r="E458" t="s">
        <v>709</v>
      </c>
      <c r="F458">
        <v>2024</v>
      </c>
      <c r="G458">
        <v>1</v>
      </c>
      <c r="H458">
        <v>0</v>
      </c>
      <c r="I458">
        <v>5</v>
      </c>
      <c r="J458">
        <v>0</v>
      </c>
      <c r="K458">
        <v>16005000000</v>
      </c>
      <c r="L458">
        <v>0.56230000000000002</v>
      </c>
      <c r="M458">
        <v>8999611.5</v>
      </c>
      <c r="N458">
        <v>7790000</v>
      </c>
      <c r="O458">
        <v>21857000</v>
      </c>
      <c r="P458">
        <v>2266000</v>
      </c>
      <c r="Q458">
        <v>0.76815718076588702</v>
      </c>
      <c r="R458">
        <v>16.9000317943323</v>
      </c>
      <c r="S458">
        <v>0.35640755821933501</v>
      </c>
      <c r="T458">
        <v>0.103673880221439</v>
      </c>
      <c r="U458">
        <v>1993</v>
      </c>
      <c r="V458">
        <v>31</v>
      </c>
      <c r="W458">
        <v>0</v>
      </c>
      <c r="X458" t="s">
        <v>1167</v>
      </c>
      <c r="Y458" t="s">
        <v>1679</v>
      </c>
      <c r="Z458" t="s">
        <v>2141</v>
      </c>
    </row>
    <row r="459" spans="1:26" ht="15" customHeight="1" x14ac:dyDescent="0.3">
      <c r="A459">
        <v>535</v>
      </c>
      <c r="B459">
        <v>107</v>
      </c>
      <c r="C459" t="s">
        <v>1211</v>
      </c>
      <c r="D459" t="s">
        <v>1212</v>
      </c>
      <c r="E459" t="s">
        <v>709</v>
      </c>
      <c r="F459">
        <v>2025</v>
      </c>
      <c r="G459">
        <v>1</v>
      </c>
      <c r="H459">
        <v>0</v>
      </c>
      <c r="I459">
        <v>10</v>
      </c>
      <c r="J459">
        <v>0</v>
      </c>
      <c r="K459">
        <v>16024000000</v>
      </c>
      <c r="L459">
        <v>1.079</v>
      </c>
      <c r="M459">
        <v>17289896</v>
      </c>
      <c r="N459">
        <v>7655000</v>
      </c>
      <c r="O459">
        <v>22245000</v>
      </c>
      <c r="P459">
        <v>618530</v>
      </c>
      <c r="Q459">
        <v>1.1213709148123201</v>
      </c>
      <c r="R459">
        <v>16.9176278222223</v>
      </c>
      <c r="S459">
        <v>0.34412227466846501</v>
      </c>
      <c r="T459">
        <v>2.7805349516745299E-2</v>
      </c>
      <c r="U459">
        <v>1993</v>
      </c>
      <c r="V459">
        <v>32</v>
      </c>
      <c r="W459">
        <v>0</v>
      </c>
      <c r="X459" t="s">
        <v>1167</v>
      </c>
      <c r="Y459" t="s">
        <v>1680</v>
      </c>
      <c r="Z459" t="s">
        <v>2141</v>
      </c>
    </row>
    <row r="460" spans="1:26" ht="15" customHeight="1" x14ac:dyDescent="0.3">
      <c r="A460">
        <v>536</v>
      </c>
      <c r="B460">
        <v>108</v>
      </c>
      <c r="C460" t="s">
        <v>1216</v>
      </c>
      <c r="D460" t="s">
        <v>1217</v>
      </c>
      <c r="E460" t="s">
        <v>780</v>
      </c>
      <c r="F460">
        <v>2021</v>
      </c>
      <c r="G460">
        <v>0</v>
      </c>
      <c r="H460">
        <v>0</v>
      </c>
      <c r="I460">
        <v>0</v>
      </c>
      <c r="J460">
        <v>0</v>
      </c>
      <c r="K460">
        <v>91000000</v>
      </c>
      <c r="L460">
        <v>81</v>
      </c>
      <c r="M460">
        <v>7371000</v>
      </c>
      <c r="N460">
        <v>4421501</v>
      </c>
      <c r="O460">
        <v>18586180</v>
      </c>
      <c r="P460">
        <v>4898754</v>
      </c>
      <c r="Q460">
        <v>0.63447685323181002</v>
      </c>
      <c r="R460">
        <v>16.737928851761399</v>
      </c>
      <c r="S460">
        <v>0.23789186373961699</v>
      </c>
      <c r="T460">
        <v>0.26356970609345198</v>
      </c>
      <c r="U460">
        <v>2008</v>
      </c>
      <c r="V460">
        <v>13</v>
      </c>
      <c r="W460">
        <v>0</v>
      </c>
      <c r="X460" t="s">
        <v>1219</v>
      </c>
      <c r="Y460" t="s">
        <v>1681</v>
      </c>
      <c r="Z460" t="s">
        <v>2141</v>
      </c>
    </row>
    <row r="461" spans="1:26" ht="15" customHeight="1" x14ac:dyDescent="0.3">
      <c r="A461">
        <v>537</v>
      </c>
      <c r="B461">
        <v>108</v>
      </c>
      <c r="C461" t="s">
        <v>1216</v>
      </c>
      <c r="D461" t="s">
        <v>1217</v>
      </c>
      <c r="E461" t="s">
        <v>780</v>
      </c>
      <c r="F461">
        <v>2022</v>
      </c>
      <c r="G461">
        <v>0</v>
      </c>
      <c r="H461">
        <v>0</v>
      </c>
      <c r="I461">
        <v>0</v>
      </c>
      <c r="J461">
        <v>0</v>
      </c>
      <c r="K461">
        <v>91000000</v>
      </c>
      <c r="L461">
        <v>81</v>
      </c>
      <c r="M461">
        <v>7371000</v>
      </c>
      <c r="N461">
        <v>1558227</v>
      </c>
      <c r="O461">
        <v>20907432</v>
      </c>
      <c r="P461">
        <v>1033885</v>
      </c>
      <c r="Q461">
        <v>0.42708387141950299</v>
      </c>
      <c r="R461">
        <v>16.855615251811098</v>
      </c>
      <c r="S461">
        <v>7.4529813130565198E-2</v>
      </c>
      <c r="T461">
        <v>4.9450597280431198E-2</v>
      </c>
      <c r="U461">
        <v>2008</v>
      </c>
      <c r="V461">
        <v>14</v>
      </c>
      <c r="W461">
        <v>0</v>
      </c>
      <c r="X461" t="s">
        <v>1219</v>
      </c>
      <c r="Y461" t="s">
        <v>1682</v>
      </c>
      <c r="Z461" t="s">
        <v>2141</v>
      </c>
    </row>
    <row r="462" spans="1:26" ht="15" customHeight="1" x14ac:dyDescent="0.3">
      <c r="A462">
        <v>538</v>
      </c>
      <c r="B462">
        <v>108</v>
      </c>
      <c r="C462" t="s">
        <v>1216</v>
      </c>
      <c r="D462" t="s">
        <v>1217</v>
      </c>
      <c r="E462" t="s">
        <v>780</v>
      </c>
      <c r="F462">
        <v>2023</v>
      </c>
      <c r="G462">
        <v>1</v>
      </c>
      <c r="H462">
        <v>0</v>
      </c>
      <c r="I462">
        <v>0</v>
      </c>
      <c r="J462">
        <v>0</v>
      </c>
      <c r="K462">
        <v>91000000</v>
      </c>
      <c r="L462">
        <v>81</v>
      </c>
      <c r="M462">
        <v>7371000</v>
      </c>
      <c r="N462">
        <v>1583266</v>
      </c>
      <c r="O462">
        <v>21668265</v>
      </c>
      <c r="P462">
        <v>735794</v>
      </c>
      <c r="Q462">
        <v>0.41324333074198599</v>
      </c>
      <c r="R462">
        <v>16.891359305701801</v>
      </c>
      <c r="S462">
        <v>7.30684251830961E-2</v>
      </c>
      <c r="T462">
        <v>3.3957218079066299E-2</v>
      </c>
      <c r="U462">
        <v>2008</v>
      </c>
      <c r="V462">
        <v>15</v>
      </c>
      <c r="W462">
        <v>0</v>
      </c>
      <c r="X462" t="s">
        <v>1219</v>
      </c>
      <c r="Y462" t="s">
        <v>1683</v>
      </c>
      <c r="Z462" t="s">
        <v>2141</v>
      </c>
    </row>
    <row r="463" spans="1:26" ht="15" customHeight="1" x14ac:dyDescent="0.3">
      <c r="A463">
        <v>539</v>
      </c>
      <c r="B463">
        <v>108</v>
      </c>
      <c r="C463" t="s">
        <v>1216</v>
      </c>
      <c r="D463" t="s">
        <v>1217</v>
      </c>
      <c r="E463" t="s">
        <v>780</v>
      </c>
      <c r="F463">
        <v>2024</v>
      </c>
      <c r="G463">
        <v>1</v>
      </c>
      <c r="H463">
        <v>0</v>
      </c>
      <c r="I463">
        <v>0</v>
      </c>
      <c r="J463">
        <v>0</v>
      </c>
      <c r="K463">
        <v>101000000</v>
      </c>
      <c r="L463">
        <v>81</v>
      </c>
      <c r="M463">
        <v>8181000</v>
      </c>
      <c r="N463">
        <v>5911112</v>
      </c>
      <c r="O463">
        <v>10722766</v>
      </c>
      <c r="P463">
        <v>-2338179</v>
      </c>
      <c r="Q463">
        <v>1.3142235874586801</v>
      </c>
      <c r="R463">
        <v>16.187879702712902</v>
      </c>
      <c r="S463">
        <v>0.55126746214549505</v>
      </c>
      <c r="T463">
        <v>-0.21805744898284601</v>
      </c>
      <c r="U463">
        <v>2008</v>
      </c>
      <c r="V463">
        <v>16</v>
      </c>
      <c r="W463">
        <v>0</v>
      </c>
      <c r="X463" t="s">
        <v>1219</v>
      </c>
      <c r="Y463" t="s">
        <v>1684</v>
      </c>
      <c r="Z463" t="s">
        <v>2141</v>
      </c>
    </row>
    <row r="464" spans="1:26" ht="15" customHeight="1" x14ac:dyDescent="0.3">
      <c r="A464">
        <v>540</v>
      </c>
      <c r="B464">
        <v>108</v>
      </c>
      <c r="C464" t="s">
        <v>1216</v>
      </c>
      <c r="D464" t="s">
        <v>1217</v>
      </c>
      <c r="E464" t="s">
        <v>780</v>
      </c>
      <c r="F464">
        <v>2025</v>
      </c>
      <c r="G464">
        <v>1</v>
      </c>
      <c r="H464">
        <v>0</v>
      </c>
      <c r="I464">
        <v>0</v>
      </c>
      <c r="J464">
        <v>0</v>
      </c>
      <c r="K464">
        <v>101000000</v>
      </c>
      <c r="L464">
        <v>81</v>
      </c>
      <c r="M464">
        <v>8181000</v>
      </c>
      <c r="N464">
        <v>7730586</v>
      </c>
      <c r="O464">
        <v>9775962</v>
      </c>
      <c r="P464">
        <v>-5984281</v>
      </c>
      <c r="Q464">
        <v>1.6276235525465399</v>
      </c>
      <c r="R464">
        <v>16.095437073315601</v>
      </c>
      <c r="S464">
        <v>0.79077496414163595</v>
      </c>
      <c r="T464">
        <v>-0.61214241626553001</v>
      </c>
      <c r="U464">
        <v>2008</v>
      </c>
      <c r="V464">
        <v>17</v>
      </c>
      <c r="W464">
        <v>0</v>
      </c>
      <c r="X464" t="s">
        <v>1219</v>
      </c>
      <c r="Y464" t="s">
        <v>1685</v>
      </c>
      <c r="Z464" t="s">
        <v>2141</v>
      </c>
    </row>
    <row r="465" spans="1:26" ht="15" customHeight="1" x14ac:dyDescent="0.3">
      <c r="A465">
        <v>541</v>
      </c>
      <c r="B465">
        <v>109</v>
      </c>
      <c r="C465" t="s">
        <v>1221</v>
      </c>
      <c r="D465" t="s">
        <v>1222</v>
      </c>
      <c r="E465" t="s">
        <v>709</v>
      </c>
      <c r="F465">
        <v>2021</v>
      </c>
      <c r="G465">
        <v>0</v>
      </c>
      <c r="H465">
        <v>0</v>
      </c>
      <c r="I465">
        <v>0</v>
      </c>
      <c r="J465">
        <v>0</v>
      </c>
      <c r="K465">
        <v>5145000000</v>
      </c>
      <c r="L465">
        <v>0.88049999999999995</v>
      </c>
      <c r="M465">
        <v>4530172.5</v>
      </c>
      <c r="N465">
        <v>12254000</v>
      </c>
      <c r="O465">
        <v>14263000</v>
      </c>
      <c r="P465">
        <v>-1697000</v>
      </c>
      <c r="Q465">
        <v>1.17676312837412</v>
      </c>
      <c r="R465">
        <v>16.473179329505601</v>
      </c>
      <c r="S465">
        <v>0.859146042207109</v>
      </c>
      <c r="T465">
        <v>-0.118979176891257</v>
      </c>
      <c r="U465">
        <v>1969</v>
      </c>
      <c r="V465">
        <v>52</v>
      </c>
      <c r="W465">
        <v>1</v>
      </c>
      <c r="X465" t="s">
        <v>1223</v>
      </c>
      <c r="Y465" t="s">
        <v>1686</v>
      </c>
      <c r="Z465" t="s">
        <v>2141</v>
      </c>
    </row>
    <row r="466" spans="1:26" ht="15" customHeight="1" x14ac:dyDescent="0.3">
      <c r="A466">
        <v>542</v>
      </c>
      <c r="B466">
        <v>109</v>
      </c>
      <c r="C466" t="s">
        <v>1221</v>
      </c>
      <c r="D466" t="s">
        <v>1222</v>
      </c>
      <c r="E466" t="s">
        <v>709</v>
      </c>
      <c r="F466">
        <v>2022</v>
      </c>
      <c r="G466">
        <v>0</v>
      </c>
      <c r="H466">
        <v>0</v>
      </c>
      <c r="I466">
        <v>0</v>
      </c>
      <c r="J466">
        <v>0</v>
      </c>
      <c r="K466">
        <v>5145000000</v>
      </c>
      <c r="L466">
        <v>1.0591999999999999</v>
      </c>
      <c r="M466">
        <v>5449584</v>
      </c>
      <c r="N466">
        <v>5523000</v>
      </c>
      <c r="O466">
        <v>7628000</v>
      </c>
      <c r="P466">
        <v>-289210</v>
      </c>
      <c r="Q466">
        <v>1.4384614577871</v>
      </c>
      <c r="R466">
        <v>15.847336245702399</v>
      </c>
      <c r="S466">
        <v>0.72404299947561601</v>
      </c>
      <c r="T466">
        <v>-3.7914263240692199E-2</v>
      </c>
      <c r="U466">
        <v>1969</v>
      </c>
      <c r="V466">
        <v>53</v>
      </c>
      <c r="W466">
        <v>1</v>
      </c>
      <c r="X466" t="s">
        <v>1223</v>
      </c>
      <c r="Y466" t="s">
        <v>1687</v>
      </c>
      <c r="Z466" t="s">
        <v>2141</v>
      </c>
    </row>
    <row r="467" spans="1:26" ht="15" customHeight="1" x14ac:dyDescent="0.3">
      <c r="A467">
        <v>543</v>
      </c>
      <c r="B467">
        <v>109</v>
      </c>
      <c r="C467" t="s">
        <v>1221</v>
      </c>
      <c r="D467" t="s">
        <v>1222</v>
      </c>
      <c r="E467" t="s">
        <v>709</v>
      </c>
      <c r="F467">
        <v>2023</v>
      </c>
      <c r="G467">
        <v>1</v>
      </c>
      <c r="H467">
        <v>0</v>
      </c>
      <c r="I467">
        <v>25</v>
      </c>
      <c r="J467">
        <v>20</v>
      </c>
      <c r="K467">
        <v>5145000000</v>
      </c>
      <c r="L467">
        <v>0.62980000000000003</v>
      </c>
      <c r="M467">
        <v>3240321</v>
      </c>
      <c r="N467">
        <v>4279000</v>
      </c>
      <c r="O467">
        <v>8070000</v>
      </c>
      <c r="P467">
        <v>-206220</v>
      </c>
      <c r="Q467">
        <v>0.93176220570012402</v>
      </c>
      <c r="R467">
        <v>15.903664040246101</v>
      </c>
      <c r="S467">
        <v>0.53023543990086697</v>
      </c>
      <c r="T467">
        <v>-2.5553903345724899E-2</v>
      </c>
      <c r="U467">
        <v>1969</v>
      </c>
      <c r="V467">
        <v>54</v>
      </c>
      <c r="W467">
        <v>0</v>
      </c>
      <c r="X467" t="s">
        <v>1223</v>
      </c>
      <c r="Y467" t="s">
        <v>1688</v>
      </c>
      <c r="Z467" t="s">
        <v>2141</v>
      </c>
    </row>
    <row r="468" spans="1:26" ht="15" customHeight="1" x14ac:dyDescent="0.3">
      <c r="A468">
        <v>544</v>
      </c>
      <c r="B468">
        <v>109</v>
      </c>
      <c r="C468" t="s">
        <v>1221</v>
      </c>
      <c r="D468" t="s">
        <v>1222</v>
      </c>
      <c r="E468" t="s">
        <v>709</v>
      </c>
      <c r="F468">
        <v>2024</v>
      </c>
      <c r="G468">
        <v>1</v>
      </c>
      <c r="H468">
        <v>0</v>
      </c>
      <c r="I468">
        <v>25</v>
      </c>
      <c r="J468">
        <v>20</v>
      </c>
      <c r="K468">
        <v>7738000000</v>
      </c>
      <c r="L468">
        <v>1.0688</v>
      </c>
      <c r="M468">
        <v>8270374.4000000004</v>
      </c>
      <c r="N468">
        <v>2949000</v>
      </c>
      <c r="O468">
        <v>9205000</v>
      </c>
      <c r="P468">
        <v>1006000</v>
      </c>
      <c r="Q468">
        <v>1.2188348071700199</v>
      </c>
      <c r="R468">
        <v>16.035257372649301</v>
      </c>
      <c r="S468">
        <v>0.32036936447582798</v>
      </c>
      <c r="T468">
        <v>0.109288430200978</v>
      </c>
      <c r="U468">
        <v>1969</v>
      </c>
      <c r="V468">
        <v>55</v>
      </c>
      <c r="W468">
        <v>0</v>
      </c>
      <c r="X468" t="s">
        <v>1223</v>
      </c>
      <c r="Y468" t="s">
        <v>1689</v>
      </c>
      <c r="Z468" t="s">
        <v>2141</v>
      </c>
    </row>
    <row r="469" spans="1:26" ht="15" customHeight="1" x14ac:dyDescent="0.3">
      <c r="A469">
        <v>545</v>
      </c>
      <c r="B469">
        <v>109</v>
      </c>
      <c r="C469" t="s">
        <v>1221</v>
      </c>
      <c r="D469" t="s">
        <v>1222</v>
      </c>
      <c r="E469" t="s">
        <v>709</v>
      </c>
      <c r="F469">
        <v>2025</v>
      </c>
      <c r="G469">
        <v>1</v>
      </c>
      <c r="H469">
        <v>0</v>
      </c>
      <c r="I469">
        <v>25</v>
      </c>
      <c r="J469">
        <v>20</v>
      </c>
      <c r="K469">
        <v>8267000000</v>
      </c>
      <c r="L469">
        <v>1.8605</v>
      </c>
      <c r="M469">
        <v>15380753.5</v>
      </c>
      <c r="N469">
        <v>4896000</v>
      </c>
      <c r="O469">
        <v>12004000</v>
      </c>
      <c r="P469">
        <v>851430</v>
      </c>
      <c r="Q469">
        <v>1.6891664028657101</v>
      </c>
      <c r="R469">
        <v>16.300750485542402</v>
      </c>
      <c r="S469">
        <v>0.40786404531822701</v>
      </c>
      <c r="T469">
        <v>7.0928857047650798E-2</v>
      </c>
      <c r="U469">
        <v>1969</v>
      </c>
      <c r="V469">
        <v>56</v>
      </c>
      <c r="W469">
        <v>0</v>
      </c>
      <c r="X469" t="s">
        <v>1223</v>
      </c>
      <c r="Y469" t="s">
        <v>1690</v>
      </c>
      <c r="Z469" t="s">
        <v>2141</v>
      </c>
    </row>
    <row r="470" spans="1:26" ht="15" customHeight="1" x14ac:dyDescent="0.3">
      <c r="A470">
        <v>546</v>
      </c>
      <c r="B470">
        <v>110</v>
      </c>
      <c r="C470" t="s">
        <v>1225</v>
      </c>
      <c r="D470" t="s">
        <v>1226</v>
      </c>
      <c r="E470" t="s">
        <v>715</v>
      </c>
      <c r="F470">
        <v>2021</v>
      </c>
      <c r="G470">
        <v>0</v>
      </c>
      <c r="H470">
        <v>0</v>
      </c>
      <c r="I470">
        <v>0</v>
      </c>
      <c r="J470">
        <v>0</v>
      </c>
      <c r="K470">
        <v>1176000000</v>
      </c>
      <c r="L470">
        <v>0.2</v>
      </c>
      <c r="M470">
        <v>235200</v>
      </c>
      <c r="N470">
        <v>17302000</v>
      </c>
      <c r="O470">
        <v>9195000</v>
      </c>
      <c r="P470">
        <v>-766430</v>
      </c>
      <c r="Q470">
        <v>1.9072539423599799</v>
      </c>
      <c r="R470">
        <v>16.034170416020601</v>
      </c>
      <c r="S470">
        <v>1.8816748232735201</v>
      </c>
      <c r="T470">
        <v>-8.33529091897771E-2</v>
      </c>
      <c r="U470">
        <v>1957</v>
      </c>
      <c r="V470">
        <v>64</v>
      </c>
      <c r="W470">
        <v>0</v>
      </c>
      <c r="X470" t="s">
        <v>1228</v>
      </c>
      <c r="Y470" t="s">
        <v>1691</v>
      </c>
      <c r="Z470" t="s">
        <v>2141</v>
      </c>
    </row>
    <row r="471" spans="1:26" ht="15" customHeight="1" x14ac:dyDescent="0.3">
      <c r="A471">
        <v>547</v>
      </c>
      <c r="B471">
        <v>110</v>
      </c>
      <c r="C471" t="s">
        <v>1225</v>
      </c>
      <c r="D471" t="s">
        <v>1226</v>
      </c>
      <c r="E471" t="s">
        <v>715</v>
      </c>
      <c r="F471">
        <v>2022</v>
      </c>
      <c r="G471">
        <v>0</v>
      </c>
      <c r="H471">
        <v>0</v>
      </c>
      <c r="I471">
        <v>0</v>
      </c>
      <c r="J471">
        <v>0</v>
      </c>
      <c r="K471">
        <v>1176000000</v>
      </c>
      <c r="L471">
        <v>0.2601</v>
      </c>
      <c r="M471">
        <v>305877.59999999998</v>
      </c>
      <c r="N471">
        <v>17240000</v>
      </c>
      <c r="O471">
        <v>9244000</v>
      </c>
      <c r="P471">
        <v>123350</v>
      </c>
      <c r="Q471">
        <v>1.89808282128949</v>
      </c>
      <c r="R471">
        <v>16.039485250376401</v>
      </c>
      <c r="S471">
        <v>1.8649935093033301</v>
      </c>
      <c r="T471">
        <v>1.33437905668542E-2</v>
      </c>
      <c r="U471">
        <v>1957</v>
      </c>
      <c r="V471">
        <v>65</v>
      </c>
      <c r="W471">
        <v>0</v>
      </c>
      <c r="X471" t="s">
        <v>1228</v>
      </c>
      <c r="Y471" t="s">
        <v>1692</v>
      </c>
      <c r="Z471" t="s">
        <v>2141</v>
      </c>
    </row>
    <row r="472" spans="1:26" ht="15" customHeight="1" x14ac:dyDescent="0.3">
      <c r="A472">
        <v>548</v>
      </c>
      <c r="B472">
        <v>110</v>
      </c>
      <c r="C472" t="s">
        <v>1225</v>
      </c>
      <c r="D472" t="s">
        <v>1226</v>
      </c>
      <c r="E472" t="s">
        <v>715</v>
      </c>
      <c r="F472">
        <v>2023</v>
      </c>
      <c r="G472">
        <v>1</v>
      </c>
      <c r="H472">
        <v>0</v>
      </c>
      <c r="I472">
        <v>0</v>
      </c>
      <c r="J472">
        <v>0</v>
      </c>
      <c r="K472">
        <v>1176000000</v>
      </c>
      <c r="L472">
        <v>0.61019999999999996</v>
      </c>
      <c r="M472">
        <v>717595.2</v>
      </c>
      <c r="N472">
        <v>19855000</v>
      </c>
      <c r="O472">
        <v>10607000</v>
      </c>
      <c r="P472">
        <v>-1243000</v>
      </c>
      <c r="Q472">
        <v>1.93953004619591</v>
      </c>
      <c r="R472">
        <v>16.177024718487601</v>
      </c>
      <c r="S472">
        <v>1.87187706231734</v>
      </c>
      <c r="T472">
        <v>-0.11718676345809401</v>
      </c>
      <c r="U472">
        <v>1957</v>
      </c>
      <c r="V472">
        <v>66</v>
      </c>
      <c r="W472">
        <v>0</v>
      </c>
      <c r="X472" t="s">
        <v>1228</v>
      </c>
      <c r="Y472" t="s">
        <v>1693</v>
      </c>
      <c r="Z472" t="s">
        <v>2141</v>
      </c>
    </row>
    <row r="473" spans="1:26" ht="15" customHeight="1" x14ac:dyDescent="0.3">
      <c r="A473">
        <v>549</v>
      </c>
      <c r="B473">
        <v>110</v>
      </c>
      <c r="C473" t="s">
        <v>1225</v>
      </c>
      <c r="D473" t="s">
        <v>1226</v>
      </c>
      <c r="E473" t="s">
        <v>715</v>
      </c>
      <c r="F473">
        <v>2024</v>
      </c>
      <c r="G473">
        <v>1</v>
      </c>
      <c r="H473">
        <v>0</v>
      </c>
      <c r="I473">
        <v>5</v>
      </c>
      <c r="J473">
        <v>0</v>
      </c>
      <c r="K473">
        <v>1176000000</v>
      </c>
      <c r="L473">
        <v>2.5</v>
      </c>
      <c r="M473">
        <v>2940000</v>
      </c>
      <c r="N473">
        <v>21140000</v>
      </c>
      <c r="O473">
        <v>12661000</v>
      </c>
      <c r="P473">
        <v>809250</v>
      </c>
      <c r="Q473">
        <v>1.9019034831371899</v>
      </c>
      <c r="R473">
        <v>16.354036960502398</v>
      </c>
      <c r="S473">
        <v>1.66969433694021</v>
      </c>
      <c r="T473">
        <v>6.3916752231261406E-2</v>
      </c>
      <c r="U473">
        <v>1957</v>
      </c>
      <c r="V473">
        <v>67</v>
      </c>
      <c r="W473">
        <v>0</v>
      </c>
      <c r="X473" t="s">
        <v>1228</v>
      </c>
      <c r="Y473" t="s">
        <v>1694</v>
      </c>
      <c r="Z473" t="s">
        <v>2141</v>
      </c>
    </row>
    <row r="474" spans="1:26" ht="15" customHeight="1" x14ac:dyDescent="0.3">
      <c r="A474">
        <v>550</v>
      </c>
      <c r="B474">
        <v>110</v>
      </c>
      <c r="C474" t="s">
        <v>1225</v>
      </c>
      <c r="D474" t="s">
        <v>1226</v>
      </c>
      <c r="E474" t="s">
        <v>715</v>
      </c>
      <c r="F474">
        <v>2025</v>
      </c>
      <c r="G474">
        <v>1</v>
      </c>
      <c r="H474">
        <v>0</v>
      </c>
      <c r="I474">
        <v>5</v>
      </c>
      <c r="J474">
        <v>0</v>
      </c>
      <c r="K474">
        <v>1176000000</v>
      </c>
      <c r="L474">
        <v>3.5030000000000001</v>
      </c>
      <c r="M474">
        <v>4119528</v>
      </c>
      <c r="N474">
        <v>24949000</v>
      </c>
      <c r="O474">
        <v>19288000</v>
      </c>
      <c r="P474">
        <v>2802000</v>
      </c>
      <c r="Q474">
        <v>1.50707839070925</v>
      </c>
      <c r="R474">
        <v>16.774993698843101</v>
      </c>
      <c r="S474">
        <v>1.2934985483201999</v>
      </c>
      <c r="T474">
        <v>0.145271671505599</v>
      </c>
      <c r="U474">
        <v>1957</v>
      </c>
      <c r="V474">
        <v>68</v>
      </c>
      <c r="W474">
        <v>0</v>
      </c>
      <c r="X474" t="s">
        <v>1228</v>
      </c>
      <c r="Y474" t="s">
        <v>1695</v>
      </c>
      <c r="Z474" t="s">
        <v>2141</v>
      </c>
    </row>
    <row r="475" spans="1:26" ht="15" customHeight="1" x14ac:dyDescent="0.3">
      <c r="A475">
        <v>551</v>
      </c>
      <c r="B475">
        <v>111</v>
      </c>
      <c r="C475" t="s">
        <v>1230</v>
      </c>
      <c r="D475" t="s">
        <v>1231</v>
      </c>
      <c r="E475" t="s">
        <v>870</v>
      </c>
      <c r="F475">
        <v>2021</v>
      </c>
      <c r="G475">
        <v>0</v>
      </c>
      <c r="H475">
        <v>0</v>
      </c>
      <c r="I475">
        <v>0</v>
      </c>
      <c r="J475">
        <v>0</v>
      </c>
      <c r="K475">
        <v>649830000</v>
      </c>
      <c r="L475">
        <v>1.04</v>
      </c>
      <c r="M475">
        <v>675823.2</v>
      </c>
      <c r="N475">
        <v>20583000</v>
      </c>
      <c r="O475">
        <v>23448000</v>
      </c>
      <c r="P475">
        <v>66420</v>
      </c>
      <c r="Q475">
        <v>0.90663694984646903</v>
      </c>
      <c r="R475">
        <v>16.970295761372899</v>
      </c>
      <c r="S475">
        <v>0.87781473899692897</v>
      </c>
      <c r="T475">
        <v>2.8326509723643799E-3</v>
      </c>
      <c r="U475">
        <v>1969</v>
      </c>
      <c r="V475">
        <v>52</v>
      </c>
      <c r="W475">
        <v>0</v>
      </c>
      <c r="X475" t="s">
        <v>1233</v>
      </c>
      <c r="Y475" t="s">
        <v>1696</v>
      </c>
      <c r="Z475" t="s">
        <v>733</v>
      </c>
    </row>
    <row r="476" spans="1:26" ht="15" customHeight="1" x14ac:dyDescent="0.3">
      <c r="A476">
        <v>552</v>
      </c>
      <c r="B476">
        <v>111</v>
      </c>
      <c r="C476" t="s">
        <v>1230</v>
      </c>
      <c r="D476" t="s">
        <v>1231</v>
      </c>
      <c r="E476" t="s">
        <v>870</v>
      </c>
      <c r="F476">
        <v>2022</v>
      </c>
      <c r="G476">
        <v>0</v>
      </c>
      <c r="H476">
        <v>0</v>
      </c>
      <c r="I476">
        <v>0</v>
      </c>
      <c r="J476">
        <v>0</v>
      </c>
      <c r="K476">
        <v>649830000</v>
      </c>
      <c r="L476">
        <v>0.92</v>
      </c>
      <c r="M476">
        <v>597843.6</v>
      </c>
      <c r="N476">
        <v>14917000</v>
      </c>
      <c r="O476">
        <v>17924000</v>
      </c>
      <c r="P476">
        <v>-587180</v>
      </c>
      <c r="Q476">
        <v>0.865590470877036</v>
      </c>
      <c r="R476">
        <v>16.7016511548882</v>
      </c>
      <c r="S476">
        <v>0.83223610801160497</v>
      </c>
      <c r="T476">
        <v>-3.2759428698951099E-2</v>
      </c>
      <c r="U476">
        <v>1969</v>
      </c>
      <c r="V476">
        <v>53</v>
      </c>
      <c r="W476">
        <v>0</v>
      </c>
      <c r="X476" t="s">
        <v>1233</v>
      </c>
      <c r="Y476" t="s">
        <v>1697</v>
      </c>
      <c r="Z476" t="s">
        <v>733</v>
      </c>
    </row>
    <row r="477" spans="1:26" ht="15" customHeight="1" x14ac:dyDescent="0.3">
      <c r="A477">
        <v>553</v>
      </c>
      <c r="B477">
        <v>111</v>
      </c>
      <c r="C477" t="s">
        <v>1230</v>
      </c>
      <c r="D477" t="s">
        <v>1231</v>
      </c>
      <c r="E477" t="s">
        <v>870</v>
      </c>
      <c r="F477">
        <v>2023</v>
      </c>
      <c r="G477">
        <v>1</v>
      </c>
      <c r="H477">
        <v>0</v>
      </c>
      <c r="I477">
        <v>0</v>
      </c>
      <c r="J477">
        <v>0</v>
      </c>
      <c r="K477">
        <v>649830000</v>
      </c>
      <c r="L477">
        <v>1.9851000000000001</v>
      </c>
      <c r="M477">
        <v>1289977.5330000001</v>
      </c>
      <c r="N477">
        <v>13411000</v>
      </c>
      <c r="O477">
        <v>15527000</v>
      </c>
      <c r="P477">
        <v>76100</v>
      </c>
      <c r="Q477">
        <v>0.94680089734011696</v>
      </c>
      <c r="R477">
        <v>16.558091001963302</v>
      </c>
      <c r="S477">
        <v>0.86372125974109604</v>
      </c>
      <c r="T477">
        <v>4.9011399497649296E-3</v>
      </c>
      <c r="U477">
        <v>1969</v>
      </c>
      <c r="V477">
        <v>54</v>
      </c>
      <c r="W477">
        <v>0</v>
      </c>
      <c r="X477" t="s">
        <v>1233</v>
      </c>
      <c r="Y477" t="s">
        <v>1698</v>
      </c>
      <c r="Z477" t="s">
        <v>733</v>
      </c>
    </row>
    <row r="478" spans="1:26" ht="15" customHeight="1" x14ac:dyDescent="0.3">
      <c r="A478">
        <v>554</v>
      </c>
      <c r="B478">
        <v>111</v>
      </c>
      <c r="C478" t="s">
        <v>1230</v>
      </c>
      <c r="D478" t="s">
        <v>1231</v>
      </c>
      <c r="E478" t="s">
        <v>870</v>
      </c>
      <c r="F478">
        <v>2024</v>
      </c>
      <c r="G478">
        <v>1</v>
      </c>
      <c r="H478">
        <v>0</v>
      </c>
      <c r="I478">
        <v>0</v>
      </c>
      <c r="J478">
        <v>0</v>
      </c>
      <c r="K478">
        <v>649830000</v>
      </c>
      <c r="L478">
        <v>2.0621</v>
      </c>
      <c r="M478">
        <v>1340014.443</v>
      </c>
      <c r="N478">
        <v>9561000</v>
      </c>
      <c r="O478">
        <v>12006000</v>
      </c>
      <c r="P478">
        <v>157830</v>
      </c>
      <c r="Q478">
        <v>0.90796388830584696</v>
      </c>
      <c r="R478">
        <v>16.300917082793902</v>
      </c>
      <c r="S478">
        <v>0.79635182408795602</v>
      </c>
      <c r="T478">
        <v>1.31459270364818E-2</v>
      </c>
      <c r="U478">
        <v>1969</v>
      </c>
      <c r="V478">
        <v>55</v>
      </c>
      <c r="W478">
        <v>0</v>
      </c>
      <c r="X478" t="s">
        <v>1233</v>
      </c>
      <c r="Y478" t="s">
        <v>1699</v>
      </c>
      <c r="Z478" t="s">
        <v>733</v>
      </c>
    </row>
    <row r="479" spans="1:26" ht="15" customHeight="1" x14ac:dyDescent="0.3">
      <c r="A479">
        <v>555</v>
      </c>
      <c r="B479">
        <v>111</v>
      </c>
      <c r="C479" t="s">
        <v>1230</v>
      </c>
      <c r="D479" t="s">
        <v>1231</v>
      </c>
      <c r="E479" t="s">
        <v>870</v>
      </c>
      <c r="F479">
        <v>2025</v>
      </c>
      <c r="G479">
        <v>1</v>
      </c>
      <c r="H479">
        <v>0</v>
      </c>
      <c r="I479">
        <v>0</v>
      </c>
      <c r="J479">
        <v>0</v>
      </c>
      <c r="K479">
        <v>649830000</v>
      </c>
      <c r="L479">
        <v>7.0941999999999998</v>
      </c>
      <c r="M479">
        <v>4610023.9859999996</v>
      </c>
      <c r="N479">
        <v>19866000</v>
      </c>
      <c r="O479">
        <v>22998000</v>
      </c>
      <c r="P479">
        <v>462570</v>
      </c>
      <c r="Q479">
        <v>1.0642675009131199</v>
      </c>
      <c r="R479">
        <v>16.950917813590699</v>
      </c>
      <c r="S479">
        <v>0.86381424471693202</v>
      </c>
      <c r="T479">
        <v>2.0113488129402599E-2</v>
      </c>
      <c r="U479">
        <v>1969</v>
      </c>
      <c r="V479">
        <v>56</v>
      </c>
      <c r="W479">
        <v>0</v>
      </c>
      <c r="X479" t="s">
        <v>1233</v>
      </c>
      <c r="Y479" t="s">
        <v>1700</v>
      </c>
      <c r="Z479" t="s">
        <v>733</v>
      </c>
    </row>
    <row r="480" spans="1:26" ht="15" customHeight="1" x14ac:dyDescent="0.3">
      <c r="A480">
        <v>556</v>
      </c>
      <c r="B480">
        <v>112</v>
      </c>
      <c r="C480" t="s">
        <v>1235</v>
      </c>
      <c r="D480" t="s">
        <v>1236</v>
      </c>
      <c r="E480" t="s">
        <v>766</v>
      </c>
      <c r="F480">
        <v>2021</v>
      </c>
      <c r="G480">
        <v>0</v>
      </c>
      <c r="H480">
        <v>0</v>
      </c>
      <c r="I480">
        <v>70</v>
      </c>
      <c r="J480">
        <v>73.3333333333333</v>
      </c>
      <c r="K480">
        <v>584400000</v>
      </c>
      <c r="L480">
        <v>470.35</v>
      </c>
      <c r="M480">
        <v>274872540</v>
      </c>
      <c r="N480">
        <v>601750240</v>
      </c>
      <c r="O480">
        <v>1307236270</v>
      </c>
      <c r="P480">
        <v>58596256.200000003</v>
      </c>
      <c r="Q480">
        <v>0.67059245533326595</v>
      </c>
      <c r="R480">
        <v>20.991181028013099</v>
      </c>
      <c r="S480">
        <v>0.46032247865950099</v>
      </c>
      <c r="T480">
        <v>4.4824533670565901E-2</v>
      </c>
      <c r="U480">
        <v>1988</v>
      </c>
      <c r="V480">
        <v>33</v>
      </c>
      <c r="W480">
        <v>1</v>
      </c>
      <c r="X480" t="s">
        <v>711</v>
      </c>
      <c r="Y480" t="s">
        <v>1701</v>
      </c>
      <c r="Z480" t="s">
        <v>2141</v>
      </c>
    </row>
    <row r="481" spans="1:26" ht="15" customHeight="1" x14ac:dyDescent="0.3">
      <c r="A481">
        <v>557</v>
      </c>
      <c r="B481">
        <v>112</v>
      </c>
      <c r="C481" t="s">
        <v>1235</v>
      </c>
      <c r="D481" t="s">
        <v>1236</v>
      </c>
      <c r="E481" t="s">
        <v>766</v>
      </c>
      <c r="F481">
        <v>2022</v>
      </c>
      <c r="G481">
        <v>0</v>
      </c>
      <c r="H481">
        <v>0</v>
      </c>
      <c r="I481">
        <v>70</v>
      </c>
      <c r="J481">
        <v>73.3333333333333</v>
      </c>
      <c r="K481">
        <v>588450000</v>
      </c>
      <c r="L481">
        <v>562.62</v>
      </c>
      <c r="M481">
        <v>331073739</v>
      </c>
      <c r="N481">
        <v>725478000</v>
      </c>
      <c r="O481">
        <v>1537718000</v>
      </c>
      <c r="P481">
        <v>28802215</v>
      </c>
      <c r="Q481">
        <v>0.68709070128593197</v>
      </c>
      <c r="R481">
        <v>21.153565336211798</v>
      </c>
      <c r="S481">
        <v>0.471788715486195</v>
      </c>
      <c r="T481">
        <v>1.8730492196878799E-2</v>
      </c>
      <c r="U481">
        <v>1988</v>
      </c>
      <c r="V481">
        <v>34</v>
      </c>
      <c r="W481">
        <v>1</v>
      </c>
      <c r="X481" t="s">
        <v>711</v>
      </c>
      <c r="Y481" t="s">
        <v>1702</v>
      </c>
      <c r="Z481" t="s">
        <v>2141</v>
      </c>
    </row>
    <row r="482" spans="1:26" ht="15" customHeight="1" x14ac:dyDescent="0.3">
      <c r="A482">
        <v>558</v>
      </c>
      <c r="B482">
        <v>112</v>
      </c>
      <c r="C482" t="s">
        <v>1235</v>
      </c>
      <c r="D482" t="s">
        <v>1236</v>
      </c>
      <c r="E482" t="s">
        <v>766</v>
      </c>
      <c r="F482">
        <v>2023</v>
      </c>
      <c r="G482">
        <v>1</v>
      </c>
      <c r="H482">
        <v>1</v>
      </c>
      <c r="I482">
        <v>70</v>
      </c>
      <c r="J482">
        <v>73.3333333333333</v>
      </c>
      <c r="K482">
        <v>588450000</v>
      </c>
      <c r="L482">
        <v>1404.44</v>
      </c>
      <c r="M482">
        <v>826442718</v>
      </c>
      <c r="N482">
        <v>1440822780</v>
      </c>
      <c r="O482">
        <v>3053429050</v>
      </c>
      <c r="P482">
        <v>74766290.700000003</v>
      </c>
      <c r="Q482">
        <v>0.74253092535423404</v>
      </c>
      <c r="R482">
        <v>21.839531074726299</v>
      </c>
      <c r="S482">
        <v>0.47187039764359401</v>
      </c>
      <c r="T482">
        <v>2.4486008836524301E-2</v>
      </c>
      <c r="U482">
        <v>1988</v>
      </c>
      <c r="V482">
        <v>35</v>
      </c>
      <c r="W482">
        <v>1</v>
      </c>
      <c r="X482" t="s">
        <v>711</v>
      </c>
      <c r="Y482" t="s">
        <v>1703</v>
      </c>
      <c r="Z482" t="s">
        <v>2141</v>
      </c>
    </row>
    <row r="483" spans="1:26" ht="15" customHeight="1" x14ac:dyDescent="0.3">
      <c r="A483">
        <v>559</v>
      </c>
      <c r="B483">
        <v>112</v>
      </c>
      <c r="C483" t="s">
        <v>1235</v>
      </c>
      <c r="D483" t="s">
        <v>1236</v>
      </c>
      <c r="E483" t="s">
        <v>766</v>
      </c>
      <c r="F483">
        <v>2024</v>
      </c>
      <c r="G483">
        <v>1</v>
      </c>
      <c r="H483">
        <v>1</v>
      </c>
      <c r="I483">
        <v>70</v>
      </c>
      <c r="J483">
        <v>73.3333333333333</v>
      </c>
      <c r="K483">
        <v>588450000</v>
      </c>
      <c r="L483">
        <v>3756.07</v>
      </c>
      <c r="M483">
        <v>2210259391.5</v>
      </c>
      <c r="N483">
        <v>7658115000</v>
      </c>
      <c r="O483">
        <v>10480980000</v>
      </c>
      <c r="P483">
        <v>235392250</v>
      </c>
      <c r="Q483">
        <v>0.94155073204032502</v>
      </c>
      <c r="R483">
        <v>23.0728280229178</v>
      </c>
      <c r="S483">
        <v>0.73066783831283</v>
      </c>
      <c r="T483">
        <v>2.2458992384299901E-2</v>
      </c>
      <c r="U483">
        <v>1988</v>
      </c>
      <c r="V483">
        <v>36</v>
      </c>
      <c r="W483">
        <v>1</v>
      </c>
      <c r="X483" t="s">
        <v>711</v>
      </c>
      <c r="Y483" t="s">
        <v>1704</v>
      </c>
      <c r="Z483" t="s">
        <v>2141</v>
      </c>
    </row>
    <row r="484" spans="1:26" ht="15" customHeight="1" x14ac:dyDescent="0.3">
      <c r="A484">
        <v>560</v>
      </c>
      <c r="B484">
        <v>112</v>
      </c>
      <c r="C484" t="s">
        <v>1235</v>
      </c>
      <c r="D484" t="s">
        <v>1236</v>
      </c>
      <c r="E484" t="s">
        <v>766</v>
      </c>
      <c r="F484">
        <v>2025</v>
      </c>
      <c r="G484">
        <v>1</v>
      </c>
      <c r="H484">
        <v>1</v>
      </c>
      <c r="I484">
        <v>70</v>
      </c>
      <c r="J484">
        <v>73.3333333333333</v>
      </c>
      <c r="K484">
        <v>588450000</v>
      </c>
      <c r="L484">
        <v>5809</v>
      </c>
      <c r="M484">
        <v>3418306050</v>
      </c>
      <c r="N484">
        <v>6149272000</v>
      </c>
      <c r="O484">
        <v>8820724600</v>
      </c>
      <c r="P484">
        <v>232251042</v>
      </c>
      <c r="Q484">
        <v>1.08467030588394</v>
      </c>
      <c r="R484">
        <v>22.900369857785702</v>
      </c>
      <c r="S484">
        <v>0.697139098980598</v>
      </c>
      <c r="T484">
        <v>2.6330154554422901E-2</v>
      </c>
      <c r="U484">
        <v>1988</v>
      </c>
      <c r="V484">
        <v>37</v>
      </c>
      <c r="W484">
        <v>1</v>
      </c>
      <c r="X484" t="s">
        <v>711</v>
      </c>
      <c r="Y484" t="s">
        <v>1705</v>
      </c>
      <c r="Z484" t="s">
        <v>2141</v>
      </c>
    </row>
    <row r="485" spans="1:26" ht="15" customHeight="1" x14ac:dyDescent="0.3">
      <c r="A485">
        <v>566</v>
      </c>
      <c r="B485">
        <v>114</v>
      </c>
      <c r="C485" t="s">
        <v>1244</v>
      </c>
      <c r="D485" t="s">
        <v>1245</v>
      </c>
      <c r="E485" t="s">
        <v>715</v>
      </c>
      <c r="F485">
        <v>2021</v>
      </c>
      <c r="G485">
        <v>0</v>
      </c>
      <c r="H485">
        <v>0</v>
      </c>
      <c r="I485">
        <v>5</v>
      </c>
      <c r="J485">
        <v>0</v>
      </c>
      <c r="K485">
        <v>1354000000</v>
      </c>
      <c r="L485">
        <v>5.3</v>
      </c>
      <c r="M485">
        <v>7176200</v>
      </c>
      <c r="N485">
        <v>5266000</v>
      </c>
      <c r="O485">
        <v>24608000</v>
      </c>
      <c r="P485">
        <v>282030</v>
      </c>
      <c r="Q485">
        <v>0.505616059817945</v>
      </c>
      <c r="R485">
        <v>17.0185821512875</v>
      </c>
      <c r="S485">
        <v>0.21399544863459</v>
      </c>
      <c r="T485">
        <v>1.1460907022106601E-2</v>
      </c>
      <c r="U485">
        <v>2009</v>
      </c>
      <c r="V485">
        <v>12</v>
      </c>
      <c r="W485">
        <v>0</v>
      </c>
      <c r="X485" t="s">
        <v>1247</v>
      </c>
      <c r="Y485" t="s">
        <v>1711</v>
      </c>
      <c r="Z485" t="s">
        <v>2141</v>
      </c>
    </row>
    <row r="486" spans="1:26" ht="15" customHeight="1" x14ac:dyDescent="0.3">
      <c r="A486">
        <v>567</v>
      </c>
      <c r="B486">
        <v>114</v>
      </c>
      <c r="C486" t="s">
        <v>1244</v>
      </c>
      <c r="D486" t="s">
        <v>1245</v>
      </c>
      <c r="E486" t="s">
        <v>715</v>
      </c>
      <c r="F486">
        <v>2022</v>
      </c>
      <c r="G486">
        <v>0</v>
      </c>
      <c r="H486">
        <v>0</v>
      </c>
      <c r="I486">
        <v>5</v>
      </c>
      <c r="J486">
        <v>0</v>
      </c>
      <c r="K486">
        <v>1354000000</v>
      </c>
      <c r="L486">
        <v>5</v>
      </c>
      <c r="M486">
        <v>6770000</v>
      </c>
      <c r="N486">
        <v>9681000</v>
      </c>
      <c r="O486">
        <v>29219000</v>
      </c>
      <c r="P486">
        <v>309340</v>
      </c>
      <c r="Q486">
        <v>0.56302405968719005</v>
      </c>
      <c r="R486">
        <v>17.190329740566401</v>
      </c>
      <c r="S486">
        <v>0.331325507375338</v>
      </c>
      <c r="T486">
        <v>1.05869468496526E-2</v>
      </c>
      <c r="U486">
        <v>2009</v>
      </c>
      <c r="V486">
        <v>13</v>
      </c>
      <c r="W486">
        <v>0</v>
      </c>
      <c r="X486" t="s">
        <v>1247</v>
      </c>
      <c r="Y486" t="s">
        <v>1712</v>
      </c>
      <c r="Z486" t="s">
        <v>2141</v>
      </c>
    </row>
    <row r="487" spans="1:26" ht="15" customHeight="1" x14ac:dyDescent="0.3">
      <c r="A487">
        <v>568</v>
      </c>
      <c r="B487">
        <v>114</v>
      </c>
      <c r="C487" t="s">
        <v>1244</v>
      </c>
      <c r="D487" t="s">
        <v>1245</v>
      </c>
      <c r="E487" t="s">
        <v>715</v>
      </c>
      <c r="F487">
        <v>2023</v>
      </c>
      <c r="G487">
        <v>1</v>
      </c>
      <c r="H487">
        <v>0</v>
      </c>
      <c r="I487">
        <v>0</v>
      </c>
      <c r="J487">
        <v>0</v>
      </c>
      <c r="K487">
        <v>1354000000</v>
      </c>
      <c r="L487">
        <v>25.34</v>
      </c>
      <c r="M487">
        <v>34310360</v>
      </c>
      <c r="N487">
        <v>11286000</v>
      </c>
      <c r="O487">
        <v>34066000</v>
      </c>
      <c r="P487">
        <v>1955000</v>
      </c>
      <c r="Q487">
        <v>1.33847120295896</v>
      </c>
      <c r="R487">
        <v>17.343810377402701</v>
      </c>
      <c r="S487">
        <v>0.33129806845535098</v>
      </c>
      <c r="T487">
        <v>5.73885986027124E-2</v>
      </c>
      <c r="U487">
        <v>2009</v>
      </c>
      <c r="V487">
        <v>14</v>
      </c>
      <c r="W487">
        <v>0</v>
      </c>
      <c r="X487" t="s">
        <v>1247</v>
      </c>
      <c r="Y487" t="s">
        <v>1713</v>
      </c>
      <c r="Z487" t="s">
        <v>2141</v>
      </c>
    </row>
    <row r="488" spans="1:26" ht="15" customHeight="1" x14ac:dyDescent="0.3">
      <c r="A488">
        <v>569</v>
      </c>
      <c r="B488">
        <v>114</v>
      </c>
      <c r="C488" t="s">
        <v>1244</v>
      </c>
      <c r="D488" t="s">
        <v>1245</v>
      </c>
      <c r="E488" t="s">
        <v>715</v>
      </c>
      <c r="F488">
        <v>2024</v>
      </c>
      <c r="G488">
        <v>1</v>
      </c>
      <c r="H488">
        <v>0</v>
      </c>
      <c r="I488">
        <v>0</v>
      </c>
      <c r="J488">
        <v>0</v>
      </c>
      <c r="K488">
        <v>1354000000</v>
      </c>
      <c r="L488">
        <v>33.450000000000003</v>
      </c>
      <c r="M488">
        <v>45291300</v>
      </c>
      <c r="N488">
        <v>12514000</v>
      </c>
      <c r="O488">
        <v>41780000</v>
      </c>
      <c r="P488">
        <v>4834000</v>
      </c>
      <c r="Q488">
        <v>1.3835639061752001</v>
      </c>
      <c r="R488">
        <v>17.547928314092701</v>
      </c>
      <c r="S488">
        <v>0.299521302058401</v>
      </c>
      <c r="T488">
        <v>0.115701292484442</v>
      </c>
      <c r="U488">
        <v>2009</v>
      </c>
      <c r="V488">
        <v>15</v>
      </c>
      <c r="W488">
        <v>0</v>
      </c>
      <c r="X488" t="s">
        <v>1247</v>
      </c>
      <c r="Y488" t="s">
        <v>1714</v>
      </c>
      <c r="Z488" t="s">
        <v>2141</v>
      </c>
    </row>
    <row r="489" spans="1:26" ht="15" customHeight="1" x14ac:dyDescent="0.3">
      <c r="A489">
        <v>570</v>
      </c>
      <c r="B489">
        <v>114</v>
      </c>
      <c r="C489" t="s">
        <v>1244</v>
      </c>
      <c r="D489" t="s">
        <v>1245</v>
      </c>
      <c r="E489" t="s">
        <v>715</v>
      </c>
      <c r="F489">
        <v>2025</v>
      </c>
      <c r="G489">
        <v>1</v>
      </c>
      <c r="H489">
        <v>0</v>
      </c>
      <c r="I489">
        <v>0</v>
      </c>
      <c r="J489">
        <v>0</v>
      </c>
      <c r="K489">
        <v>1354000000</v>
      </c>
      <c r="L489">
        <v>88.42</v>
      </c>
      <c r="M489">
        <v>119720680</v>
      </c>
      <c r="N489">
        <v>20483000</v>
      </c>
      <c r="O489">
        <v>82692000</v>
      </c>
      <c r="P489">
        <v>9742000</v>
      </c>
      <c r="Q489">
        <v>1.69549267160064</v>
      </c>
      <c r="R489">
        <v>18.230633420127301</v>
      </c>
      <c r="S489">
        <v>0.24770231703187701</v>
      </c>
      <c r="T489">
        <v>0.11781067092342699</v>
      </c>
      <c r="U489">
        <v>2009</v>
      </c>
      <c r="V489">
        <v>16</v>
      </c>
      <c r="W489">
        <v>0</v>
      </c>
      <c r="X489" t="s">
        <v>1247</v>
      </c>
      <c r="Y489" t="s">
        <v>1715</v>
      </c>
      <c r="Z489" t="s">
        <v>2141</v>
      </c>
    </row>
    <row r="490" spans="1:26" ht="15" customHeight="1" x14ac:dyDescent="0.3">
      <c r="A490">
        <v>571</v>
      </c>
      <c r="B490">
        <v>115</v>
      </c>
      <c r="C490" t="s">
        <v>1249</v>
      </c>
      <c r="D490" t="s">
        <v>1250</v>
      </c>
      <c r="E490" t="s">
        <v>709</v>
      </c>
      <c r="F490">
        <v>2021</v>
      </c>
      <c r="G490">
        <v>0</v>
      </c>
      <c r="H490">
        <v>0</v>
      </c>
      <c r="I490">
        <v>0</v>
      </c>
      <c r="J490">
        <v>0</v>
      </c>
      <c r="K490">
        <v>8593000000</v>
      </c>
      <c r="L490">
        <v>0.39679999999999999</v>
      </c>
      <c r="M490">
        <v>3409702.4</v>
      </c>
      <c r="N490">
        <v>6780000</v>
      </c>
      <c r="O490">
        <v>16397000</v>
      </c>
      <c r="P490">
        <v>974730</v>
      </c>
      <c r="Q490">
        <v>0.62143699457217805</v>
      </c>
      <c r="R490">
        <v>16.612608949232001</v>
      </c>
      <c r="S490">
        <v>0.41349027261084298</v>
      </c>
      <c r="T490">
        <v>5.9445630298225298E-2</v>
      </c>
      <c r="U490">
        <v>1980</v>
      </c>
      <c r="V490">
        <v>41</v>
      </c>
      <c r="W490">
        <v>0</v>
      </c>
      <c r="X490" t="s">
        <v>832</v>
      </c>
      <c r="Y490" t="s">
        <v>1716</v>
      </c>
      <c r="Z490" t="s">
        <v>2141</v>
      </c>
    </row>
    <row r="491" spans="1:26" ht="15" customHeight="1" x14ac:dyDescent="0.3">
      <c r="A491">
        <v>572</v>
      </c>
      <c r="B491">
        <v>115</v>
      </c>
      <c r="C491" t="s">
        <v>1249</v>
      </c>
      <c r="D491" t="s">
        <v>1250</v>
      </c>
      <c r="E491" t="s">
        <v>709</v>
      </c>
      <c r="F491">
        <v>2022</v>
      </c>
      <c r="G491">
        <v>0</v>
      </c>
      <c r="H491">
        <v>0</v>
      </c>
      <c r="I491">
        <v>0</v>
      </c>
      <c r="J491">
        <v>0</v>
      </c>
      <c r="K491">
        <v>8593000000</v>
      </c>
      <c r="L491">
        <v>0.37</v>
      </c>
      <c r="M491">
        <v>3179410</v>
      </c>
      <c r="N491">
        <v>6749000</v>
      </c>
      <c r="O491">
        <v>17154000</v>
      </c>
      <c r="P491">
        <v>1387000</v>
      </c>
      <c r="Q491">
        <v>0.57878104232248995</v>
      </c>
      <c r="R491">
        <v>16.6577419405325</v>
      </c>
      <c r="S491">
        <v>0.39343593331001497</v>
      </c>
      <c r="T491">
        <v>8.0855777078232494E-2</v>
      </c>
      <c r="U491">
        <v>1980</v>
      </c>
      <c r="V491">
        <v>42</v>
      </c>
      <c r="W491">
        <v>0</v>
      </c>
      <c r="X491" t="s">
        <v>832</v>
      </c>
      <c r="Y491" t="s">
        <v>1717</v>
      </c>
      <c r="Z491" t="s">
        <v>2141</v>
      </c>
    </row>
    <row r="492" spans="1:26" ht="15" customHeight="1" x14ac:dyDescent="0.3">
      <c r="A492">
        <v>573</v>
      </c>
      <c r="B492">
        <v>115</v>
      </c>
      <c r="C492" t="s">
        <v>1249</v>
      </c>
      <c r="D492" t="s">
        <v>1250</v>
      </c>
      <c r="E492" t="s">
        <v>709</v>
      </c>
      <c r="F492">
        <v>2023</v>
      </c>
      <c r="G492">
        <v>1</v>
      </c>
      <c r="H492">
        <v>0</v>
      </c>
      <c r="I492">
        <v>0</v>
      </c>
      <c r="J492">
        <v>0</v>
      </c>
      <c r="K492">
        <v>14228000000</v>
      </c>
      <c r="L492">
        <v>0.3352</v>
      </c>
      <c r="M492">
        <v>4769225.5999999996</v>
      </c>
      <c r="N492">
        <v>9132000</v>
      </c>
      <c r="O492">
        <v>22761000</v>
      </c>
      <c r="P492">
        <v>1298000</v>
      </c>
      <c r="Q492">
        <v>0.61074757699573801</v>
      </c>
      <c r="R492">
        <v>16.940559102988299</v>
      </c>
      <c r="S492">
        <v>0.401212600500857</v>
      </c>
      <c r="T492">
        <v>5.70273713808708E-2</v>
      </c>
      <c r="U492">
        <v>1980</v>
      </c>
      <c r="V492">
        <v>43</v>
      </c>
      <c r="W492">
        <v>0</v>
      </c>
      <c r="X492" t="s">
        <v>832</v>
      </c>
      <c r="Y492" t="s">
        <v>1718</v>
      </c>
      <c r="Z492" t="s">
        <v>2141</v>
      </c>
    </row>
    <row r="493" spans="1:26" ht="15" customHeight="1" x14ac:dyDescent="0.3">
      <c r="A493">
        <v>574</v>
      </c>
      <c r="B493">
        <v>115</v>
      </c>
      <c r="C493" t="s">
        <v>1249</v>
      </c>
      <c r="D493" t="s">
        <v>1250</v>
      </c>
      <c r="E493" t="s">
        <v>709</v>
      </c>
      <c r="F493">
        <v>2024</v>
      </c>
      <c r="G493">
        <v>1</v>
      </c>
      <c r="H493">
        <v>0</v>
      </c>
      <c r="I493">
        <v>0</v>
      </c>
      <c r="J493">
        <v>0</v>
      </c>
      <c r="K493">
        <v>14228000000</v>
      </c>
      <c r="L493">
        <v>1.1206</v>
      </c>
      <c r="M493">
        <v>15943896.800000001</v>
      </c>
      <c r="N493">
        <v>12538000</v>
      </c>
      <c r="O493">
        <v>28312000</v>
      </c>
      <c r="P493">
        <v>2340000</v>
      </c>
      <c r="Q493">
        <v>1.0060008759536601</v>
      </c>
      <c r="R493">
        <v>17.158796301007399</v>
      </c>
      <c r="S493">
        <v>0.44285108787793198</v>
      </c>
      <c r="T493">
        <v>8.2650466233399306E-2</v>
      </c>
      <c r="U493">
        <v>1980</v>
      </c>
      <c r="V493">
        <v>44</v>
      </c>
      <c r="W493">
        <v>0</v>
      </c>
      <c r="X493" t="s">
        <v>832</v>
      </c>
      <c r="Y493" t="s">
        <v>1719</v>
      </c>
      <c r="Z493" t="s">
        <v>2141</v>
      </c>
    </row>
    <row r="494" spans="1:26" ht="15" customHeight="1" x14ac:dyDescent="0.3">
      <c r="A494">
        <v>575</v>
      </c>
      <c r="B494">
        <v>115</v>
      </c>
      <c r="C494" t="s">
        <v>1249</v>
      </c>
      <c r="D494" t="s">
        <v>1250</v>
      </c>
      <c r="E494" t="s">
        <v>709</v>
      </c>
      <c r="F494">
        <v>2025</v>
      </c>
      <c r="G494">
        <v>1</v>
      </c>
      <c r="H494">
        <v>0</v>
      </c>
      <c r="I494">
        <v>0</v>
      </c>
      <c r="J494">
        <v>0</v>
      </c>
      <c r="K494">
        <v>14228000000</v>
      </c>
      <c r="L494">
        <v>3.8195999999999999</v>
      </c>
      <c r="M494">
        <v>54345268.799999997</v>
      </c>
      <c r="N494">
        <v>12486000</v>
      </c>
      <c r="O494">
        <v>28315000</v>
      </c>
      <c r="P494">
        <v>663000</v>
      </c>
      <c r="Q494">
        <v>2.36027790217199</v>
      </c>
      <c r="R494">
        <v>17.158902257529999</v>
      </c>
      <c r="S494">
        <v>0.440967684972629</v>
      </c>
      <c r="T494">
        <v>2.3415150980045901E-2</v>
      </c>
      <c r="U494">
        <v>1980</v>
      </c>
      <c r="V494">
        <v>45</v>
      </c>
      <c r="W494">
        <v>0</v>
      </c>
      <c r="X494" t="s">
        <v>832</v>
      </c>
      <c r="Y494" t="s">
        <v>1720</v>
      </c>
      <c r="Z494" t="s">
        <v>2141</v>
      </c>
    </row>
    <row r="495" spans="1:26" ht="15" customHeight="1" x14ac:dyDescent="0.3">
      <c r="A495">
        <v>581</v>
      </c>
      <c r="B495">
        <v>117</v>
      </c>
      <c r="C495" t="s">
        <v>1259</v>
      </c>
      <c r="D495" t="s">
        <v>1260</v>
      </c>
      <c r="E495" t="s">
        <v>709</v>
      </c>
      <c r="F495">
        <v>2021</v>
      </c>
      <c r="G495">
        <v>0</v>
      </c>
      <c r="H495">
        <v>0</v>
      </c>
      <c r="I495">
        <v>0</v>
      </c>
      <c r="J495">
        <v>0</v>
      </c>
      <c r="K495">
        <v>12957000000</v>
      </c>
      <c r="L495">
        <v>36</v>
      </c>
      <c r="M495">
        <v>466452000</v>
      </c>
      <c r="N495">
        <v>2365898000</v>
      </c>
      <c r="O495">
        <v>2742764000</v>
      </c>
      <c r="P495">
        <v>54378000</v>
      </c>
      <c r="Q495">
        <v>1.0326626716698899</v>
      </c>
      <c r="R495">
        <v>21.732232008014901</v>
      </c>
      <c r="S495">
        <v>0.86259627149838602</v>
      </c>
      <c r="T495">
        <v>1.9825985757432999E-2</v>
      </c>
      <c r="U495">
        <v>2012</v>
      </c>
      <c r="V495">
        <v>9</v>
      </c>
      <c r="W495">
        <v>1</v>
      </c>
      <c r="X495" t="s">
        <v>711</v>
      </c>
      <c r="Y495" t="s">
        <v>1722</v>
      </c>
      <c r="Z495" t="s">
        <v>2141</v>
      </c>
    </row>
    <row r="496" spans="1:26" ht="15" customHeight="1" x14ac:dyDescent="0.3">
      <c r="A496">
        <v>582</v>
      </c>
      <c r="B496">
        <v>117</v>
      </c>
      <c r="C496" t="s">
        <v>1259</v>
      </c>
      <c r="D496" t="s">
        <v>1260</v>
      </c>
      <c r="E496" t="s">
        <v>709</v>
      </c>
      <c r="F496">
        <v>2022</v>
      </c>
      <c r="G496">
        <v>0</v>
      </c>
      <c r="H496">
        <v>0</v>
      </c>
      <c r="I496">
        <v>0</v>
      </c>
      <c r="J496">
        <v>0</v>
      </c>
      <c r="K496">
        <v>12957000000</v>
      </c>
      <c r="L496">
        <v>33.451000000000001</v>
      </c>
      <c r="M496">
        <v>433424607</v>
      </c>
      <c r="N496">
        <v>2621456000</v>
      </c>
      <c r="O496">
        <v>3029026000</v>
      </c>
      <c r="P496">
        <v>78042000</v>
      </c>
      <c r="Q496">
        <v>1.0085356173898801</v>
      </c>
      <c r="R496">
        <v>21.8315069526457</v>
      </c>
      <c r="S496">
        <v>0.86544519591446201</v>
      </c>
      <c r="T496">
        <v>2.57647177673615E-2</v>
      </c>
      <c r="U496">
        <v>2012</v>
      </c>
      <c r="V496">
        <v>10</v>
      </c>
      <c r="W496">
        <v>1</v>
      </c>
      <c r="X496" t="s">
        <v>711</v>
      </c>
      <c r="Y496" t="s">
        <v>1723</v>
      </c>
      <c r="Z496" t="s">
        <v>2141</v>
      </c>
    </row>
    <row r="497" spans="1:26" ht="15" customHeight="1" x14ac:dyDescent="0.3">
      <c r="A497">
        <v>583</v>
      </c>
      <c r="B497">
        <v>117</v>
      </c>
      <c r="C497" t="s">
        <v>1259</v>
      </c>
      <c r="D497" t="s">
        <v>1260</v>
      </c>
      <c r="E497" t="s">
        <v>709</v>
      </c>
      <c r="F497">
        <v>2023</v>
      </c>
      <c r="G497">
        <v>1</v>
      </c>
      <c r="H497">
        <v>0</v>
      </c>
      <c r="I497">
        <v>10</v>
      </c>
      <c r="J497">
        <v>0</v>
      </c>
      <c r="K497">
        <v>12957000000</v>
      </c>
      <c r="L497">
        <v>69.652000000000001</v>
      </c>
      <c r="M497">
        <v>902480964</v>
      </c>
      <c r="N497">
        <v>4638672000</v>
      </c>
      <c r="O497">
        <v>5145596000</v>
      </c>
      <c r="P497">
        <v>137582000</v>
      </c>
      <c r="Q497">
        <v>1.07687291501315</v>
      </c>
      <c r="R497">
        <v>22.361407040145401</v>
      </c>
      <c r="S497">
        <v>0.90148390973562598</v>
      </c>
      <c r="T497">
        <v>2.6737816183003901E-2</v>
      </c>
      <c r="U497">
        <v>2012</v>
      </c>
      <c r="V497">
        <v>11</v>
      </c>
      <c r="W497">
        <v>1</v>
      </c>
      <c r="X497" t="s">
        <v>711</v>
      </c>
      <c r="Y497" t="s">
        <v>1724</v>
      </c>
      <c r="Z497" t="s">
        <v>2141</v>
      </c>
    </row>
    <row r="498" spans="1:26" ht="15" customHeight="1" x14ac:dyDescent="0.3">
      <c r="A498">
        <v>584</v>
      </c>
      <c r="B498">
        <v>117</v>
      </c>
      <c r="C498" t="s">
        <v>1259</v>
      </c>
      <c r="D498" t="s">
        <v>1260</v>
      </c>
      <c r="E498" t="s">
        <v>709</v>
      </c>
      <c r="F498">
        <v>2024</v>
      </c>
      <c r="G498">
        <v>1</v>
      </c>
      <c r="H498">
        <v>0</v>
      </c>
      <c r="I498">
        <v>10</v>
      </c>
      <c r="J498">
        <v>0</v>
      </c>
      <c r="K498">
        <v>12957000000</v>
      </c>
      <c r="L498">
        <v>57.593000000000004</v>
      </c>
      <c r="M498">
        <v>746232501</v>
      </c>
      <c r="N498">
        <v>6241444000</v>
      </c>
      <c r="O498">
        <v>6912092000</v>
      </c>
      <c r="P498">
        <v>221606000</v>
      </c>
      <c r="Q498">
        <v>1.0109351121194601</v>
      </c>
      <c r="R498">
        <v>22.6565381785448</v>
      </c>
      <c r="S498">
        <v>0.90297467105472595</v>
      </c>
      <c r="T498">
        <v>3.2060626507864801E-2</v>
      </c>
      <c r="U498">
        <v>2012</v>
      </c>
      <c r="V498">
        <v>12</v>
      </c>
      <c r="W498">
        <v>1</v>
      </c>
      <c r="X498" t="s">
        <v>711</v>
      </c>
      <c r="Y498" t="s">
        <v>1725</v>
      </c>
      <c r="Z498" t="s">
        <v>2141</v>
      </c>
    </row>
    <row r="499" spans="1:26" ht="15" customHeight="1" x14ac:dyDescent="0.3">
      <c r="A499">
        <v>585</v>
      </c>
      <c r="B499">
        <v>117</v>
      </c>
      <c r="C499" t="s">
        <v>1259</v>
      </c>
      <c r="D499" t="s">
        <v>1260</v>
      </c>
      <c r="E499" t="s">
        <v>709</v>
      </c>
      <c r="F499">
        <v>2025</v>
      </c>
      <c r="G499">
        <v>1</v>
      </c>
      <c r="H499">
        <v>0</v>
      </c>
      <c r="I499">
        <v>0</v>
      </c>
      <c r="J499">
        <v>0</v>
      </c>
      <c r="K499">
        <v>15902000000</v>
      </c>
      <c r="L499">
        <v>99.986999999999995</v>
      </c>
      <c r="M499">
        <v>1589993274</v>
      </c>
      <c r="N499">
        <v>7496207000</v>
      </c>
      <c r="O499">
        <v>8620110000</v>
      </c>
      <c r="P499">
        <v>376530000</v>
      </c>
      <c r="Q499">
        <v>1.0540701074580301</v>
      </c>
      <c r="R499">
        <v>22.877363682561501</v>
      </c>
      <c r="S499">
        <v>0.86961848514694096</v>
      </c>
      <c r="T499">
        <v>4.3680417071243899E-2</v>
      </c>
      <c r="U499">
        <v>2012</v>
      </c>
      <c r="V499">
        <v>13</v>
      </c>
      <c r="W499">
        <v>1</v>
      </c>
      <c r="X499" t="s">
        <v>711</v>
      </c>
      <c r="Y499" t="s">
        <v>1726</v>
      </c>
      <c r="Z499" t="s">
        <v>2141</v>
      </c>
    </row>
    <row r="500" spans="1:26" ht="15" customHeight="1" x14ac:dyDescent="0.3">
      <c r="A500">
        <v>586</v>
      </c>
      <c r="B500">
        <v>118</v>
      </c>
      <c r="C500" t="s">
        <v>1263</v>
      </c>
      <c r="D500" t="s">
        <v>1264</v>
      </c>
      <c r="E500" t="s">
        <v>709</v>
      </c>
      <c r="F500">
        <v>2021</v>
      </c>
      <c r="G500">
        <v>0</v>
      </c>
      <c r="H500">
        <v>0</v>
      </c>
      <c r="I500">
        <v>0</v>
      </c>
      <c r="J500">
        <v>0</v>
      </c>
      <c r="K500">
        <v>28790000000</v>
      </c>
      <c r="L500">
        <v>1.5098</v>
      </c>
      <c r="M500">
        <v>43467142</v>
      </c>
      <c r="N500">
        <v>1487638000</v>
      </c>
      <c r="O500">
        <v>1629129000</v>
      </c>
      <c r="P500">
        <v>13515000</v>
      </c>
      <c r="Q500">
        <v>0.93983051188702704</v>
      </c>
      <c r="R500">
        <v>21.2113113531179</v>
      </c>
      <c r="S500">
        <v>0.91314929634178799</v>
      </c>
      <c r="T500">
        <v>8.2958439755231195E-3</v>
      </c>
      <c r="U500">
        <v>2021</v>
      </c>
      <c r="V500">
        <v>0</v>
      </c>
      <c r="W500">
        <v>1</v>
      </c>
      <c r="X500" t="s">
        <v>732</v>
      </c>
      <c r="Y500" t="s">
        <v>1727</v>
      </c>
      <c r="Z500" t="s">
        <v>2141</v>
      </c>
    </row>
    <row r="501" spans="1:26" ht="15" customHeight="1" x14ac:dyDescent="0.3">
      <c r="A501">
        <v>587</v>
      </c>
      <c r="B501">
        <v>118</v>
      </c>
      <c r="C501" t="s">
        <v>1263</v>
      </c>
      <c r="D501" t="s">
        <v>1264</v>
      </c>
      <c r="E501" t="s">
        <v>709</v>
      </c>
      <c r="F501">
        <v>2022</v>
      </c>
      <c r="G501">
        <v>0</v>
      </c>
      <c r="H501">
        <v>0</v>
      </c>
      <c r="I501">
        <v>0</v>
      </c>
      <c r="J501">
        <v>0</v>
      </c>
      <c r="K501">
        <v>28790000000</v>
      </c>
      <c r="L501">
        <v>1.4000999999999999</v>
      </c>
      <c r="M501">
        <v>40308879</v>
      </c>
      <c r="N501">
        <v>1703994000</v>
      </c>
      <c r="O501">
        <v>1857992000</v>
      </c>
      <c r="P501">
        <v>19298000</v>
      </c>
      <c r="Q501">
        <v>0.93881075860391205</v>
      </c>
      <c r="R501">
        <v>21.342762171623701</v>
      </c>
      <c r="S501">
        <v>0.91711589716209796</v>
      </c>
      <c r="T501">
        <v>1.0386481750190499E-2</v>
      </c>
      <c r="U501">
        <v>2021</v>
      </c>
      <c r="V501">
        <v>1</v>
      </c>
      <c r="W501">
        <v>1</v>
      </c>
      <c r="X501" t="s">
        <v>732</v>
      </c>
      <c r="Y501" t="s">
        <v>1728</v>
      </c>
      <c r="Z501" t="s">
        <v>2141</v>
      </c>
    </row>
    <row r="502" spans="1:26" ht="15" customHeight="1" x14ac:dyDescent="0.3">
      <c r="A502">
        <v>588</v>
      </c>
      <c r="B502">
        <v>118</v>
      </c>
      <c r="C502" t="s">
        <v>1263</v>
      </c>
      <c r="D502" t="s">
        <v>1264</v>
      </c>
      <c r="E502" t="s">
        <v>709</v>
      </c>
      <c r="F502">
        <v>2023</v>
      </c>
      <c r="G502">
        <v>1</v>
      </c>
      <c r="H502">
        <v>0</v>
      </c>
      <c r="I502">
        <v>0</v>
      </c>
      <c r="J502">
        <v>0</v>
      </c>
      <c r="K502">
        <v>28790000000</v>
      </c>
      <c r="L502">
        <v>4.29</v>
      </c>
      <c r="M502">
        <v>123509100</v>
      </c>
      <c r="N502">
        <v>2347488000</v>
      </c>
      <c r="O502">
        <v>2531092000</v>
      </c>
      <c r="P502">
        <v>21584000</v>
      </c>
      <c r="Q502">
        <v>0.97625732292623102</v>
      </c>
      <c r="R502">
        <v>21.651916667117799</v>
      </c>
      <c r="S502">
        <v>0.92746055852572695</v>
      </c>
      <c r="T502">
        <v>8.5275446329094295E-3</v>
      </c>
      <c r="U502">
        <v>2021</v>
      </c>
      <c r="V502">
        <v>2</v>
      </c>
      <c r="W502">
        <v>1</v>
      </c>
      <c r="X502" t="s">
        <v>732</v>
      </c>
      <c r="Y502" t="s">
        <v>1729</v>
      </c>
      <c r="Z502" t="s">
        <v>2141</v>
      </c>
    </row>
    <row r="503" spans="1:26" ht="15" customHeight="1" x14ac:dyDescent="0.3">
      <c r="A503">
        <v>589</v>
      </c>
      <c r="B503">
        <v>118</v>
      </c>
      <c r="C503" t="s">
        <v>1263</v>
      </c>
      <c r="D503" t="s">
        <v>1264</v>
      </c>
      <c r="E503" t="s">
        <v>709</v>
      </c>
      <c r="F503">
        <v>2024</v>
      </c>
      <c r="G503">
        <v>1</v>
      </c>
      <c r="H503">
        <v>1</v>
      </c>
      <c r="I503">
        <v>60</v>
      </c>
      <c r="J503">
        <v>53.3333333333333</v>
      </c>
      <c r="K503">
        <v>45457000000</v>
      </c>
      <c r="L503">
        <v>3.5464000000000002</v>
      </c>
      <c r="M503">
        <v>161208704.80000001</v>
      </c>
      <c r="N503">
        <v>3236781000</v>
      </c>
      <c r="O503">
        <v>3541940000</v>
      </c>
      <c r="P503">
        <v>43675000</v>
      </c>
      <c r="Q503">
        <v>0.95935834734637004</v>
      </c>
      <c r="R503">
        <v>21.9879404365814</v>
      </c>
      <c r="S503">
        <v>0.91384410803119198</v>
      </c>
      <c r="T503">
        <v>1.2330813057251099E-2</v>
      </c>
      <c r="U503">
        <v>2021</v>
      </c>
      <c r="V503">
        <v>3</v>
      </c>
      <c r="W503">
        <v>1</v>
      </c>
      <c r="X503" t="s">
        <v>732</v>
      </c>
      <c r="Y503" t="s">
        <v>1730</v>
      </c>
      <c r="Z503" t="s">
        <v>2141</v>
      </c>
    </row>
    <row r="504" spans="1:26" ht="15" customHeight="1" x14ac:dyDescent="0.3">
      <c r="A504">
        <v>590</v>
      </c>
      <c r="B504">
        <v>118</v>
      </c>
      <c r="C504" t="s">
        <v>1263</v>
      </c>
      <c r="D504" t="s">
        <v>1264</v>
      </c>
      <c r="E504" t="s">
        <v>709</v>
      </c>
      <c r="F504">
        <v>2025</v>
      </c>
      <c r="G504">
        <v>1</v>
      </c>
      <c r="H504">
        <v>1</v>
      </c>
      <c r="I504">
        <v>60</v>
      </c>
      <c r="J504">
        <v>53.3333333333333</v>
      </c>
      <c r="K504">
        <v>54690000000</v>
      </c>
      <c r="L504">
        <v>6.7184999999999997</v>
      </c>
      <c r="M504">
        <v>367434765</v>
      </c>
      <c r="N504">
        <v>3482939000</v>
      </c>
      <c r="O504">
        <v>3911642000</v>
      </c>
      <c r="P504">
        <v>78634000</v>
      </c>
      <c r="Q504">
        <v>0.98433695235913699</v>
      </c>
      <c r="R504">
        <v>22.087223071638999</v>
      </c>
      <c r="S504">
        <v>0.89040331400470696</v>
      </c>
      <c r="T504">
        <v>2.0102555397452E-2</v>
      </c>
      <c r="U504">
        <v>2021</v>
      </c>
      <c r="V504">
        <v>4</v>
      </c>
      <c r="W504">
        <v>1</v>
      </c>
      <c r="X504" t="s">
        <v>732</v>
      </c>
      <c r="Y504" t="s">
        <v>1731</v>
      </c>
      <c r="Z504" t="s">
        <v>2141</v>
      </c>
    </row>
    <row r="505" spans="1:26" ht="15" customHeight="1" x14ac:dyDescent="0.3">
      <c r="A505">
        <v>591</v>
      </c>
      <c r="B505">
        <v>119</v>
      </c>
      <c r="C505" t="s">
        <v>1267</v>
      </c>
      <c r="D505" t="s">
        <v>1268</v>
      </c>
      <c r="E505" t="s">
        <v>709</v>
      </c>
      <c r="F505">
        <v>2021</v>
      </c>
      <c r="G505">
        <v>0</v>
      </c>
      <c r="H505">
        <v>0</v>
      </c>
      <c r="I505">
        <v>0</v>
      </c>
      <c r="J505">
        <v>0</v>
      </c>
      <c r="K505">
        <v>5811000000</v>
      </c>
      <c r="L505">
        <v>0.44919999999999999</v>
      </c>
      <c r="M505">
        <v>2610301.2000000002</v>
      </c>
      <c r="N505">
        <v>4577000</v>
      </c>
      <c r="O505">
        <v>11906000</v>
      </c>
      <c r="P505">
        <v>198730</v>
      </c>
      <c r="Q505">
        <v>0.60367051906601699</v>
      </c>
      <c r="R505">
        <v>16.292553032695501</v>
      </c>
      <c r="S505">
        <v>0.38442801948597299</v>
      </c>
      <c r="T505">
        <v>1.6691584075256199E-2</v>
      </c>
      <c r="U505">
        <v>1984</v>
      </c>
      <c r="V505">
        <v>37</v>
      </c>
      <c r="W505">
        <v>0</v>
      </c>
      <c r="X505" t="s">
        <v>743</v>
      </c>
      <c r="Y505" t="s">
        <v>1732</v>
      </c>
      <c r="Z505" t="s">
        <v>826</v>
      </c>
    </row>
    <row r="506" spans="1:26" ht="15" customHeight="1" x14ac:dyDescent="0.3">
      <c r="A506">
        <v>592</v>
      </c>
      <c r="B506">
        <v>119</v>
      </c>
      <c r="C506" t="s">
        <v>1267</v>
      </c>
      <c r="D506" t="s">
        <v>1268</v>
      </c>
      <c r="E506" t="s">
        <v>709</v>
      </c>
      <c r="F506">
        <v>2022</v>
      </c>
      <c r="G506">
        <v>0</v>
      </c>
      <c r="H506">
        <v>0</v>
      </c>
      <c r="I506">
        <v>0</v>
      </c>
      <c r="J506">
        <v>0</v>
      </c>
      <c r="K506">
        <v>5811000000</v>
      </c>
      <c r="L506">
        <v>0.2908</v>
      </c>
      <c r="M506">
        <v>1689838.8</v>
      </c>
      <c r="N506">
        <v>5346000</v>
      </c>
      <c r="O506">
        <v>13067000</v>
      </c>
      <c r="P506">
        <v>432900</v>
      </c>
      <c r="Q506">
        <v>0.53844331522154998</v>
      </c>
      <c r="R506">
        <v>16.385600525971299</v>
      </c>
      <c r="S506">
        <v>0.40912221626999301</v>
      </c>
      <c r="T506">
        <v>3.3129256906711597E-2</v>
      </c>
      <c r="U506">
        <v>1984</v>
      </c>
      <c r="V506">
        <v>38</v>
      </c>
      <c r="W506">
        <v>0</v>
      </c>
      <c r="X506" t="s">
        <v>743</v>
      </c>
      <c r="Y506" t="s">
        <v>1733</v>
      </c>
      <c r="Z506" t="s">
        <v>826</v>
      </c>
    </row>
    <row r="507" spans="1:26" ht="15" customHeight="1" x14ac:dyDescent="0.3">
      <c r="A507">
        <v>593</v>
      </c>
      <c r="B507">
        <v>119</v>
      </c>
      <c r="C507" t="s">
        <v>1267</v>
      </c>
      <c r="D507" t="s">
        <v>1268</v>
      </c>
      <c r="E507" t="s">
        <v>709</v>
      </c>
      <c r="F507">
        <v>2023</v>
      </c>
      <c r="G507">
        <v>1</v>
      </c>
      <c r="H507">
        <v>0</v>
      </c>
      <c r="I507">
        <v>0</v>
      </c>
      <c r="J507">
        <v>0</v>
      </c>
      <c r="K507">
        <v>5811000000</v>
      </c>
      <c r="L507">
        <v>1.0994999999999999</v>
      </c>
      <c r="M507">
        <v>6389194.5</v>
      </c>
      <c r="N507">
        <v>6633000</v>
      </c>
      <c r="O507">
        <v>16749000</v>
      </c>
      <c r="P507">
        <v>2633000</v>
      </c>
      <c r="Q507">
        <v>0.77749086512627597</v>
      </c>
      <c r="R507">
        <v>16.633849112960601</v>
      </c>
      <c r="S507">
        <v>0.39602364320257899</v>
      </c>
      <c r="T507">
        <v>0.157203415129261</v>
      </c>
      <c r="U507">
        <v>1984</v>
      </c>
      <c r="V507">
        <v>39</v>
      </c>
      <c r="W507">
        <v>0</v>
      </c>
      <c r="X507" t="s">
        <v>743</v>
      </c>
      <c r="Y507" t="s">
        <v>1734</v>
      </c>
      <c r="Z507" t="s">
        <v>826</v>
      </c>
    </row>
    <row r="508" spans="1:26" ht="15" customHeight="1" x14ac:dyDescent="0.3">
      <c r="A508">
        <v>594</v>
      </c>
      <c r="B508">
        <v>119</v>
      </c>
      <c r="C508" t="s">
        <v>1267</v>
      </c>
      <c r="D508" t="s">
        <v>1268</v>
      </c>
      <c r="E508" t="s">
        <v>709</v>
      </c>
      <c r="F508">
        <v>2024</v>
      </c>
      <c r="G508">
        <v>1</v>
      </c>
      <c r="H508">
        <v>0</v>
      </c>
      <c r="I508">
        <v>0</v>
      </c>
      <c r="J508">
        <v>0</v>
      </c>
      <c r="K508">
        <v>5811000000</v>
      </c>
      <c r="L508">
        <v>10.75</v>
      </c>
      <c r="M508">
        <v>62468250</v>
      </c>
      <c r="N508">
        <v>9668000</v>
      </c>
      <c r="O508">
        <v>23316000</v>
      </c>
      <c r="P508">
        <v>3663000</v>
      </c>
      <c r="Q508">
        <v>3.0938518613827402</v>
      </c>
      <c r="R508">
        <v>16.964650378147599</v>
      </c>
      <c r="S508">
        <v>0.41465088351346702</v>
      </c>
      <c r="T508">
        <v>0.15710241893978399</v>
      </c>
      <c r="U508">
        <v>1984</v>
      </c>
      <c r="V508">
        <v>40</v>
      </c>
      <c r="W508">
        <v>0</v>
      </c>
      <c r="X508" t="s">
        <v>743</v>
      </c>
      <c r="Y508" t="s">
        <v>1735</v>
      </c>
      <c r="Z508" t="s">
        <v>826</v>
      </c>
    </row>
    <row r="509" spans="1:26" ht="15" customHeight="1" x14ac:dyDescent="0.3">
      <c r="A509">
        <v>595</v>
      </c>
      <c r="B509">
        <v>119</v>
      </c>
      <c r="C509" t="s">
        <v>1267</v>
      </c>
      <c r="D509" t="s">
        <v>1268</v>
      </c>
      <c r="E509" t="s">
        <v>709</v>
      </c>
      <c r="F509">
        <v>2025</v>
      </c>
      <c r="G509">
        <v>1</v>
      </c>
      <c r="H509">
        <v>0</v>
      </c>
      <c r="I509">
        <v>0</v>
      </c>
      <c r="J509">
        <v>0</v>
      </c>
      <c r="K509">
        <v>5811000000</v>
      </c>
      <c r="L509">
        <v>5.5</v>
      </c>
      <c r="M509">
        <v>31960500</v>
      </c>
      <c r="N509">
        <v>9883000</v>
      </c>
      <c r="O509">
        <v>24378000</v>
      </c>
      <c r="P509">
        <v>1443000</v>
      </c>
      <c r="Q509">
        <v>1.71644515546804</v>
      </c>
      <c r="R509">
        <v>17.009191644197902</v>
      </c>
      <c r="S509">
        <v>0.40540651407006301</v>
      </c>
      <c r="T509">
        <v>5.9192714742800898E-2</v>
      </c>
      <c r="U509">
        <v>1984</v>
      </c>
      <c r="V509">
        <v>41</v>
      </c>
      <c r="W509">
        <v>0</v>
      </c>
      <c r="X509" t="s">
        <v>743</v>
      </c>
      <c r="Y509" t="s">
        <v>1736</v>
      </c>
      <c r="Z509" t="s">
        <v>826</v>
      </c>
    </row>
    <row r="510" spans="1:26" ht="15" customHeight="1" x14ac:dyDescent="0.3">
      <c r="A510">
        <v>596</v>
      </c>
      <c r="B510">
        <v>120</v>
      </c>
      <c r="C510" t="s">
        <v>1271</v>
      </c>
      <c r="D510" t="s">
        <v>1272</v>
      </c>
      <c r="E510" t="s">
        <v>715</v>
      </c>
      <c r="F510">
        <v>2021</v>
      </c>
      <c r="G510">
        <v>0</v>
      </c>
      <c r="H510">
        <v>0</v>
      </c>
      <c r="I510">
        <v>0</v>
      </c>
      <c r="J510">
        <v>0</v>
      </c>
      <c r="K510">
        <v>3212000000</v>
      </c>
      <c r="L510">
        <v>0.2</v>
      </c>
      <c r="M510">
        <v>642400</v>
      </c>
      <c r="N510">
        <v>2035000</v>
      </c>
      <c r="O510">
        <v>2235000</v>
      </c>
      <c r="P510">
        <v>-214820</v>
      </c>
      <c r="Q510">
        <v>1.1979418344518999</v>
      </c>
      <c r="R510">
        <v>14.6197517860298</v>
      </c>
      <c r="S510">
        <v>0.91051454138702503</v>
      </c>
      <c r="T510">
        <v>-9.6116331096196897E-2</v>
      </c>
      <c r="U510">
        <v>1997</v>
      </c>
      <c r="V510">
        <v>24</v>
      </c>
      <c r="W510">
        <v>0</v>
      </c>
      <c r="X510" t="s">
        <v>1274</v>
      </c>
      <c r="Y510" t="s">
        <v>1737</v>
      </c>
      <c r="Z510" t="s">
        <v>2141</v>
      </c>
    </row>
    <row r="511" spans="1:26" ht="15" customHeight="1" x14ac:dyDescent="0.3">
      <c r="A511">
        <v>597</v>
      </c>
      <c r="B511">
        <v>120</v>
      </c>
      <c r="C511" t="s">
        <v>1271</v>
      </c>
      <c r="D511" t="s">
        <v>1272</v>
      </c>
      <c r="E511" t="s">
        <v>715</v>
      </c>
      <c r="F511">
        <v>2022</v>
      </c>
      <c r="G511">
        <v>0</v>
      </c>
      <c r="H511">
        <v>0</v>
      </c>
      <c r="I511">
        <v>0</v>
      </c>
      <c r="J511">
        <v>0</v>
      </c>
      <c r="K511">
        <v>3212000000</v>
      </c>
      <c r="L511">
        <v>0.2</v>
      </c>
      <c r="M511">
        <v>642400</v>
      </c>
      <c r="N511">
        <v>1892000</v>
      </c>
      <c r="O511">
        <v>2545000</v>
      </c>
      <c r="P511">
        <v>-264090</v>
      </c>
      <c r="Q511">
        <v>0.995834970530452</v>
      </c>
      <c r="R511">
        <v>14.7496412079668</v>
      </c>
      <c r="S511">
        <v>0.74341846758349694</v>
      </c>
      <c r="T511">
        <v>-0.103768172888016</v>
      </c>
      <c r="U511">
        <v>1997</v>
      </c>
      <c r="V511">
        <v>25</v>
      </c>
      <c r="W511">
        <v>0</v>
      </c>
      <c r="X511" t="s">
        <v>1274</v>
      </c>
      <c r="Y511" t="s">
        <v>1738</v>
      </c>
      <c r="Z511" t="s">
        <v>2141</v>
      </c>
    </row>
    <row r="512" spans="1:26" ht="15" customHeight="1" x14ac:dyDescent="0.3">
      <c r="A512">
        <v>598</v>
      </c>
      <c r="B512">
        <v>120</v>
      </c>
      <c r="C512" t="s">
        <v>1271</v>
      </c>
      <c r="D512" t="s">
        <v>1272</v>
      </c>
      <c r="E512" t="s">
        <v>715</v>
      </c>
      <c r="F512">
        <v>2023</v>
      </c>
      <c r="G512">
        <v>1</v>
      </c>
      <c r="H512">
        <v>0</v>
      </c>
      <c r="I512">
        <v>0</v>
      </c>
      <c r="J512">
        <v>0</v>
      </c>
      <c r="K512">
        <v>3212000000</v>
      </c>
      <c r="L512">
        <v>0.47010000000000002</v>
      </c>
      <c r="M512">
        <v>1509961.2</v>
      </c>
      <c r="N512">
        <v>1888000</v>
      </c>
      <c r="O512">
        <v>2250000</v>
      </c>
      <c r="P512">
        <v>-290740</v>
      </c>
      <c r="Q512">
        <v>1.51020497777778</v>
      </c>
      <c r="R512">
        <v>14.626440774180599</v>
      </c>
      <c r="S512">
        <v>0.83911111111111103</v>
      </c>
      <c r="T512">
        <v>-0.12921777777777799</v>
      </c>
      <c r="U512">
        <v>1997</v>
      </c>
      <c r="V512">
        <v>26</v>
      </c>
      <c r="W512">
        <v>0</v>
      </c>
      <c r="X512" t="s">
        <v>1274</v>
      </c>
      <c r="Y512" t="s">
        <v>1739</v>
      </c>
      <c r="Z512" t="s">
        <v>2141</v>
      </c>
    </row>
    <row r="513" spans="1:26" ht="15" customHeight="1" x14ac:dyDescent="0.3">
      <c r="A513">
        <v>599</v>
      </c>
      <c r="B513">
        <v>120</v>
      </c>
      <c r="C513" t="s">
        <v>1271</v>
      </c>
      <c r="D513" t="s">
        <v>1272</v>
      </c>
      <c r="E513" t="s">
        <v>715</v>
      </c>
      <c r="F513">
        <v>2024</v>
      </c>
      <c r="G513">
        <v>1</v>
      </c>
      <c r="H513">
        <v>0</v>
      </c>
      <c r="I513">
        <v>0</v>
      </c>
      <c r="J513">
        <v>0</v>
      </c>
      <c r="K513">
        <v>5000000000</v>
      </c>
      <c r="L513">
        <v>2.0499999999999998</v>
      </c>
      <c r="M513">
        <v>10250000</v>
      </c>
      <c r="N513">
        <v>1784000</v>
      </c>
      <c r="O513">
        <v>2954000</v>
      </c>
      <c r="P513">
        <v>-265590</v>
      </c>
      <c r="Q513">
        <v>4.0737982396750203</v>
      </c>
      <c r="R513">
        <v>14.898670742073501</v>
      </c>
      <c r="S513">
        <v>0.60392687880839502</v>
      </c>
      <c r="T513">
        <v>-8.9908598510494306E-2</v>
      </c>
      <c r="U513">
        <v>1997</v>
      </c>
      <c r="V513">
        <v>27</v>
      </c>
      <c r="W513">
        <v>0</v>
      </c>
      <c r="X513" t="s">
        <v>1274</v>
      </c>
      <c r="Y513" t="s">
        <v>1740</v>
      </c>
      <c r="Z513" t="s">
        <v>2141</v>
      </c>
    </row>
    <row r="514" spans="1:26" ht="15" customHeight="1" x14ac:dyDescent="0.3">
      <c r="A514">
        <v>600</v>
      </c>
      <c r="B514">
        <v>120</v>
      </c>
      <c r="C514" t="s">
        <v>1271</v>
      </c>
      <c r="D514" t="s">
        <v>1272</v>
      </c>
      <c r="E514" t="s">
        <v>715</v>
      </c>
      <c r="F514">
        <v>2025</v>
      </c>
      <c r="G514">
        <v>1</v>
      </c>
      <c r="H514">
        <v>0</v>
      </c>
      <c r="I514">
        <v>0</v>
      </c>
      <c r="J514">
        <v>0</v>
      </c>
      <c r="K514">
        <v>5000000000</v>
      </c>
      <c r="L514">
        <v>2.5</v>
      </c>
      <c r="M514">
        <v>12500000</v>
      </c>
      <c r="N514">
        <v>8676000</v>
      </c>
      <c r="O514">
        <v>13395000</v>
      </c>
      <c r="P514">
        <v>72740</v>
      </c>
      <c r="Q514">
        <v>1.5808883911907401</v>
      </c>
      <c r="R514">
        <v>16.410392060960799</v>
      </c>
      <c r="S514">
        <v>0.64770436730123204</v>
      </c>
      <c r="T514">
        <v>5.4303844718178399E-3</v>
      </c>
      <c r="U514">
        <v>1997</v>
      </c>
      <c r="V514">
        <v>28</v>
      </c>
      <c r="W514">
        <v>0</v>
      </c>
      <c r="X514" t="s">
        <v>1274</v>
      </c>
      <c r="Y514" t="s">
        <v>1741</v>
      </c>
      <c r="Z514" t="s">
        <v>2141</v>
      </c>
    </row>
    <row r="515" spans="1:26" ht="15" customHeight="1" x14ac:dyDescent="0.3">
      <c r="A515">
        <v>606</v>
      </c>
      <c r="B515">
        <v>122</v>
      </c>
      <c r="C515" t="s">
        <v>1281</v>
      </c>
      <c r="D515" t="s">
        <v>1282</v>
      </c>
      <c r="E515" t="s">
        <v>715</v>
      </c>
      <c r="F515">
        <v>2021</v>
      </c>
      <c r="G515">
        <v>0</v>
      </c>
      <c r="H515">
        <v>0</v>
      </c>
      <c r="I515">
        <v>0</v>
      </c>
      <c r="J515">
        <v>0</v>
      </c>
      <c r="K515">
        <v>889980000</v>
      </c>
      <c r="L515">
        <v>0.37</v>
      </c>
      <c r="M515">
        <v>329292.59999999998</v>
      </c>
      <c r="N515">
        <v>1028000</v>
      </c>
      <c r="O515">
        <v>1794000</v>
      </c>
      <c r="P515">
        <v>-77240</v>
      </c>
      <c r="Q515">
        <v>0.75657335562987704</v>
      </c>
      <c r="R515">
        <v>14.3999583216009</v>
      </c>
      <c r="S515">
        <v>0.57302118171683403</v>
      </c>
      <c r="T515">
        <v>-4.3054626532887399E-2</v>
      </c>
      <c r="U515">
        <v>1995</v>
      </c>
      <c r="V515">
        <v>26</v>
      </c>
      <c r="W515">
        <v>0</v>
      </c>
      <c r="X515" t="s">
        <v>1284</v>
      </c>
      <c r="Y515" t="s">
        <v>1747</v>
      </c>
      <c r="Z515" t="s">
        <v>2141</v>
      </c>
    </row>
    <row r="516" spans="1:26" ht="15" customHeight="1" x14ac:dyDescent="0.3">
      <c r="A516">
        <v>607</v>
      </c>
      <c r="B516">
        <v>122</v>
      </c>
      <c r="C516" t="s">
        <v>1281</v>
      </c>
      <c r="D516" t="s">
        <v>1282</v>
      </c>
      <c r="E516" t="s">
        <v>715</v>
      </c>
      <c r="F516">
        <v>2022</v>
      </c>
      <c r="G516">
        <v>0</v>
      </c>
      <c r="H516">
        <v>0</v>
      </c>
      <c r="I516">
        <v>0</v>
      </c>
      <c r="J516">
        <v>0</v>
      </c>
      <c r="K516">
        <v>889980000</v>
      </c>
      <c r="L516">
        <v>0.48</v>
      </c>
      <c r="M516">
        <v>427190.4</v>
      </c>
      <c r="N516">
        <v>1377000</v>
      </c>
      <c r="O516">
        <v>2090000</v>
      </c>
      <c r="P516">
        <v>-53700</v>
      </c>
      <c r="Q516">
        <v>0.86324899521531095</v>
      </c>
      <c r="R516">
        <v>14.552674623941</v>
      </c>
      <c r="S516">
        <v>0.65885167464114802</v>
      </c>
      <c r="T516">
        <v>-2.5693779904306199E-2</v>
      </c>
      <c r="U516">
        <v>1995</v>
      </c>
      <c r="V516">
        <v>27</v>
      </c>
      <c r="W516">
        <v>0</v>
      </c>
      <c r="X516" t="s">
        <v>1284</v>
      </c>
      <c r="Y516" t="s">
        <v>1748</v>
      </c>
      <c r="Z516" t="s">
        <v>2141</v>
      </c>
    </row>
    <row r="517" spans="1:26" ht="15" customHeight="1" x14ac:dyDescent="0.3">
      <c r="A517">
        <v>608</v>
      </c>
      <c r="B517">
        <v>122</v>
      </c>
      <c r="C517" t="s">
        <v>1281</v>
      </c>
      <c r="D517" t="s">
        <v>1282</v>
      </c>
      <c r="E517" t="s">
        <v>715</v>
      </c>
      <c r="F517">
        <v>2023</v>
      </c>
      <c r="G517">
        <v>1</v>
      </c>
      <c r="H517">
        <v>0</v>
      </c>
      <c r="I517">
        <v>5</v>
      </c>
      <c r="J517">
        <v>0</v>
      </c>
      <c r="K517">
        <v>889980000</v>
      </c>
      <c r="L517">
        <v>1.1460999999999999</v>
      </c>
      <c r="M517">
        <v>1020006.078</v>
      </c>
      <c r="N517">
        <v>1382000</v>
      </c>
      <c r="O517">
        <v>2560000</v>
      </c>
      <c r="P517">
        <v>348230</v>
      </c>
      <c r="Q517">
        <v>0.93828362421875</v>
      </c>
      <c r="R517">
        <v>14.755517816455701</v>
      </c>
      <c r="S517">
        <v>0.53984374999999996</v>
      </c>
      <c r="T517">
        <v>0.13602734375</v>
      </c>
      <c r="U517">
        <v>1995</v>
      </c>
      <c r="V517">
        <v>28</v>
      </c>
      <c r="W517">
        <v>0</v>
      </c>
      <c r="X517" t="s">
        <v>1284</v>
      </c>
      <c r="Y517" t="s">
        <v>1749</v>
      </c>
      <c r="Z517" t="s">
        <v>2141</v>
      </c>
    </row>
    <row r="518" spans="1:26" ht="15" customHeight="1" x14ac:dyDescent="0.3">
      <c r="A518">
        <v>609</v>
      </c>
      <c r="B518">
        <v>122</v>
      </c>
      <c r="C518" t="s">
        <v>1281</v>
      </c>
      <c r="D518" t="s">
        <v>1282</v>
      </c>
      <c r="E518" t="s">
        <v>715</v>
      </c>
      <c r="F518">
        <v>2024</v>
      </c>
      <c r="G518">
        <v>1</v>
      </c>
      <c r="H518">
        <v>0</v>
      </c>
      <c r="I518">
        <v>5</v>
      </c>
      <c r="J518">
        <v>0</v>
      </c>
      <c r="K518">
        <v>889980000</v>
      </c>
      <c r="L518">
        <v>2.4944000000000002</v>
      </c>
      <c r="M518">
        <v>2219966.1120000002</v>
      </c>
      <c r="N518">
        <v>2646000</v>
      </c>
      <c r="O518">
        <v>5120000</v>
      </c>
      <c r="P518">
        <v>1380000</v>
      </c>
      <c r="Q518">
        <v>0.95038400624999997</v>
      </c>
      <c r="R518">
        <v>15.448664997015699</v>
      </c>
      <c r="S518">
        <v>0.51679687500000004</v>
      </c>
      <c r="T518">
        <v>0.26953125</v>
      </c>
      <c r="U518">
        <v>1995</v>
      </c>
      <c r="V518">
        <v>29</v>
      </c>
      <c r="W518">
        <v>0</v>
      </c>
      <c r="X518" t="s">
        <v>1284</v>
      </c>
      <c r="Y518" t="s">
        <v>1750</v>
      </c>
      <c r="Z518" t="s">
        <v>2141</v>
      </c>
    </row>
    <row r="519" spans="1:26" ht="15" customHeight="1" x14ac:dyDescent="0.3">
      <c r="A519">
        <v>610</v>
      </c>
      <c r="B519">
        <v>122</v>
      </c>
      <c r="C519" t="s">
        <v>1281</v>
      </c>
      <c r="D519" t="s">
        <v>1282</v>
      </c>
      <c r="E519" t="s">
        <v>715</v>
      </c>
      <c r="F519">
        <v>2025</v>
      </c>
      <c r="G519">
        <v>1</v>
      </c>
      <c r="H519">
        <v>0</v>
      </c>
      <c r="I519">
        <v>0</v>
      </c>
      <c r="J519">
        <v>0</v>
      </c>
      <c r="K519">
        <v>889980000</v>
      </c>
      <c r="L519">
        <v>13.303699999999999</v>
      </c>
      <c r="M519">
        <v>11840026.926000001</v>
      </c>
      <c r="N519">
        <v>5974000</v>
      </c>
      <c r="O519">
        <v>11727000</v>
      </c>
      <c r="P519">
        <v>3388000</v>
      </c>
      <c r="Q519">
        <v>1.51906087882664</v>
      </c>
      <c r="R519">
        <v>16.277404433443198</v>
      </c>
      <c r="S519">
        <v>0.50942269975270704</v>
      </c>
      <c r="T519">
        <v>0.28890594354907501</v>
      </c>
      <c r="U519">
        <v>1995</v>
      </c>
      <c r="V519">
        <v>30</v>
      </c>
      <c r="W519">
        <v>0</v>
      </c>
      <c r="X519" t="s">
        <v>1284</v>
      </c>
      <c r="Y519" t="s">
        <v>1751</v>
      </c>
      <c r="Z519" t="s">
        <v>2141</v>
      </c>
    </row>
    <row r="520" spans="1:26" ht="15" customHeight="1" x14ac:dyDescent="0.3">
      <c r="A520">
        <v>611</v>
      </c>
      <c r="B520">
        <v>123</v>
      </c>
      <c r="C520" t="s">
        <v>1286</v>
      </c>
      <c r="D520" t="s">
        <v>1287</v>
      </c>
      <c r="E520" t="s">
        <v>766</v>
      </c>
      <c r="F520">
        <v>2021</v>
      </c>
      <c r="G520">
        <v>0</v>
      </c>
      <c r="H520">
        <v>0</v>
      </c>
      <c r="I520">
        <v>0</v>
      </c>
      <c r="J520">
        <v>0</v>
      </c>
      <c r="K520">
        <v>339520000</v>
      </c>
      <c r="L520">
        <v>221.9015</v>
      </c>
      <c r="M520">
        <v>75339997.280000001</v>
      </c>
      <c r="N520">
        <v>167110000</v>
      </c>
      <c r="O520">
        <v>208729000</v>
      </c>
      <c r="P520">
        <v>16862000</v>
      </c>
      <c r="Q520">
        <v>1.16155396365622</v>
      </c>
      <c r="R520">
        <v>19.156547317832398</v>
      </c>
      <c r="S520">
        <v>0.80060748626209099</v>
      </c>
      <c r="T520">
        <v>8.0784174695418501E-2</v>
      </c>
      <c r="U520">
        <v>1956</v>
      </c>
      <c r="V520">
        <v>65</v>
      </c>
      <c r="W520">
        <v>1</v>
      </c>
      <c r="X520" t="s">
        <v>711</v>
      </c>
      <c r="Y520" t="s">
        <v>1752</v>
      </c>
      <c r="Z520" t="s">
        <v>2141</v>
      </c>
    </row>
    <row r="521" spans="1:26" ht="15" customHeight="1" x14ac:dyDescent="0.3">
      <c r="A521">
        <v>612</v>
      </c>
      <c r="B521">
        <v>123</v>
      </c>
      <c r="C521" t="s">
        <v>1286</v>
      </c>
      <c r="D521" t="s">
        <v>1287</v>
      </c>
      <c r="E521" t="s">
        <v>766</v>
      </c>
      <c r="F521">
        <v>2022</v>
      </c>
      <c r="G521">
        <v>0</v>
      </c>
      <c r="H521">
        <v>0</v>
      </c>
      <c r="I521">
        <v>0</v>
      </c>
      <c r="J521">
        <v>0</v>
      </c>
      <c r="K521">
        <v>339520000</v>
      </c>
      <c r="L521">
        <v>193.0078</v>
      </c>
      <c r="M521">
        <v>65530008.255999997</v>
      </c>
      <c r="N521">
        <v>257529000</v>
      </c>
      <c r="O521">
        <v>307816000</v>
      </c>
      <c r="P521">
        <v>16118000</v>
      </c>
      <c r="Q521">
        <v>1.04951986984432</v>
      </c>
      <c r="R521">
        <v>19.545012759824399</v>
      </c>
      <c r="S521">
        <v>0.83663292356472696</v>
      </c>
      <c r="T521">
        <v>5.2362450294981398E-2</v>
      </c>
      <c r="U521">
        <v>1956</v>
      </c>
      <c r="V521">
        <v>66</v>
      </c>
      <c r="W521">
        <v>1</v>
      </c>
      <c r="X521" t="s">
        <v>711</v>
      </c>
      <c r="Y521" t="s">
        <v>1753</v>
      </c>
      <c r="Z521" t="s">
        <v>2141</v>
      </c>
    </row>
    <row r="522" spans="1:26" ht="15" customHeight="1" x14ac:dyDescent="0.3">
      <c r="A522">
        <v>613</v>
      </c>
      <c r="B522">
        <v>123</v>
      </c>
      <c r="C522" t="s">
        <v>1286</v>
      </c>
      <c r="D522" t="s">
        <v>1287</v>
      </c>
      <c r="E522" t="s">
        <v>766</v>
      </c>
      <c r="F522">
        <v>2023</v>
      </c>
      <c r="G522">
        <v>1</v>
      </c>
      <c r="H522">
        <v>0</v>
      </c>
      <c r="I522">
        <v>0</v>
      </c>
      <c r="J522">
        <v>0</v>
      </c>
      <c r="K522">
        <v>339520000</v>
      </c>
      <c r="L522">
        <v>385.01409999999998</v>
      </c>
      <c r="M522">
        <v>130719987.23199999</v>
      </c>
      <c r="N522">
        <v>319038000</v>
      </c>
      <c r="O522">
        <v>375116000</v>
      </c>
      <c r="P522">
        <v>12913000</v>
      </c>
      <c r="Q522">
        <v>1.1989837469796001</v>
      </c>
      <c r="R522">
        <v>19.742745869434302</v>
      </c>
      <c r="S522">
        <v>0.85050491048102494</v>
      </c>
      <c r="T522">
        <v>3.4424018170379302E-2</v>
      </c>
      <c r="U522">
        <v>1956</v>
      </c>
      <c r="V522">
        <v>67</v>
      </c>
      <c r="W522">
        <v>1</v>
      </c>
      <c r="X522" t="s">
        <v>711</v>
      </c>
      <c r="Y522" t="s">
        <v>1754</v>
      </c>
      <c r="Z522" t="s">
        <v>2141</v>
      </c>
    </row>
    <row r="523" spans="1:26" ht="15" customHeight="1" x14ac:dyDescent="0.3">
      <c r="A523">
        <v>614</v>
      </c>
      <c r="B523">
        <v>123</v>
      </c>
      <c r="C523" t="s">
        <v>1286</v>
      </c>
      <c r="D523" t="s">
        <v>1287</v>
      </c>
      <c r="E523" t="s">
        <v>766</v>
      </c>
      <c r="F523">
        <v>2024</v>
      </c>
      <c r="G523">
        <v>1</v>
      </c>
      <c r="H523">
        <v>0</v>
      </c>
      <c r="I523">
        <v>20</v>
      </c>
      <c r="J523">
        <v>13.3333333333333</v>
      </c>
      <c r="K523">
        <v>339520000</v>
      </c>
      <c r="L523">
        <v>698.01480000000004</v>
      </c>
      <c r="M523">
        <v>236989984.896</v>
      </c>
      <c r="N523">
        <v>396042000</v>
      </c>
      <c r="O523">
        <v>471123000</v>
      </c>
      <c r="P523">
        <v>27496000</v>
      </c>
      <c r="Q523">
        <v>1.3436660593857701</v>
      </c>
      <c r="R523">
        <v>19.9706297643847</v>
      </c>
      <c r="S523">
        <v>0.84063397456715105</v>
      </c>
      <c r="T523">
        <v>5.8362678111660897E-2</v>
      </c>
      <c r="U523">
        <v>1956</v>
      </c>
      <c r="V523">
        <v>68</v>
      </c>
      <c r="W523">
        <v>1</v>
      </c>
      <c r="X523" t="s">
        <v>711</v>
      </c>
      <c r="Y523" t="s">
        <v>1755</v>
      </c>
      <c r="Z523" t="s">
        <v>2141</v>
      </c>
    </row>
    <row r="524" spans="1:26" ht="15" customHeight="1" x14ac:dyDescent="0.3">
      <c r="A524">
        <v>615</v>
      </c>
      <c r="B524">
        <v>123</v>
      </c>
      <c r="C524" t="s">
        <v>1286</v>
      </c>
      <c r="D524" t="s">
        <v>1287</v>
      </c>
      <c r="E524" t="s">
        <v>766</v>
      </c>
      <c r="F524">
        <v>2025</v>
      </c>
      <c r="G524">
        <v>1</v>
      </c>
      <c r="H524">
        <v>0</v>
      </c>
      <c r="I524">
        <v>0</v>
      </c>
      <c r="J524">
        <v>0</v>
      </c>
      <c r="K524">
        <v>339520000</v>
      </c>
      <c r="L524">
        <v>639.99180000000001</v>
      </c>
      <c r="M524">
        <v>217290015.93599999</v>
      </c>
      <c r="N524">
        <v>341010000</v>
      </c>
      <c r="O524">
        <v>388550000</v>
      </c>
      <c r="P524">
        <v>-13853000</v>
      </c>
      <c r="Q524">
        <v>1.4368807513473201</v>
      </c>
      <c r="R524">
        <v>19.7779324196195</v>
      </c>
      <c r="S524">
        <v>0.87764766439325703</v>
      </c>
      <c r="T524">
        <v>-3.5653069103075502E-2</v>
      </c>
      <c r="U524">
        <v>1956</v>
      </c>
      <c r="V524">
        <v>69</v>
      </c>
      <c r="W524">
        <v>1</v>
      </c>
      <c r="X524" t="s">
        <v>711</v>
      </c>
      <c r="Y524" t="s">
        <v>1756</v>
      </c>
      <c r="Z524" t="s">
        <v>2141</v>
      </c>
    </row>
    <row r="525" spans="1:26" ht="15" customHeight="1" x14ac:dyDescent="0.3">
      <c r="A525">
        <v>616</v>
      </c>
      <c r="B525">
        <v>124</v>
      </c>
      <c r="C525" t="s">
        <v>1290</v>
      </c>
      <c r="D525" t="s">
        <v>1291</v>
      </c>
      <c r="E525" t="s">
        <v>715</v>
      </c>
      <c r="F525">
        <v>2021</v>
      </c>
      <c r="G525">
        <v>0</v>
      </c>
      <c r="H525">
        <v>0</v>
      </c>
      <c r="I525">
        <v>0</v>
      </c>
      <c r="J525">
        <v>0</v>
      </c>
      <c r="K525">
        <v>10243000000</v>
      </c>
      <c r="L525">
        <v>5.3792999999999997</v>
      </c>
      <c r="M525">
        <v>55100169.899999999</v>
      </c>
      <c r="N525">
        <v>53670000</v>
      </c>
      <c r="O525">
        <v>115890000</v>
      </c>
      <c r="P525">
        <v>1144000</v>
      </c>
      <c r="Q525">
        <v>0.93856389593580103</v>
      </c>
      <c r="R525">
        <v>18.568152023310599</v>
      </c>
      <c r="S525">
        <v>0.46311157131762898</v>
      </c>
      <c r="T525">
        <v>9.8714298041245995E-3</v>
      </c>
      <c r="U525">
        <v>1994</v>
      </c>
      <c r="V525">
        <v>27</v>
      </c>
      <c r="W525">
        <v>1</v>
      </c>
      <c r="X525" t="s">
        <v>732</v>
      </c>
      <c r="Y525" t="s">
        <v>1757</v>
      </c>
      <c r="Z525" t="s">
        <v>2141</v>
      </c>
    </row>
    <row r="526" spans="1:26" ht="15" customHeight="1" x14ac:dyDescent="0.3">
      <c r="A526">
        <v>617</v>
      </c>
      <c r="B526">
        <v>124</v>
      </c>
      <c r="C526" t="s">
        <v>1290</v>
      </c>
      <c r="D526" t="s">
        <v>1291</v>
      </c>
      <c r="E526" t="s">
        <v>715</v>
      </c>
      <c r="F526">
        <v>2022</v>
      </c>
      <c r="G526">
        <v>0</v>
      </c>
      <c r="H526">
        <v>0</v>
      </c>
      <c r="I526">
        <v>0</v>
      </c>
      <c r="J526">
        <v>0</v>
      </c>
      <c r="K526">
        <v>10243000000</v>
      </c>
      <c r="L526">
        <v>6.2500999999999998</v>
      </c>
      <c r="M526">
        <v>64019774.299999997</v>
      </c>
      <c r="N526">
        <v>57698000</v>
      </c>
      <c r="O526">
        <v>120487000</v>
      </c>
      <c r="P526">
        <v>2678000</v>
      </c>
      <c r="Q526">
        <v>1.01021499663864</v>
      </c>
      <c r="R526">
        <v>18.607052421257698</v>
      </c>
      <c r="S526">
        <v>0.47887323943662002</v>
      </c>
      <c r="T526">
        <v>2.2226464265854399E-2</v>
      </c>
      <c r="U526">
        <v>1994</v>
      </c>
      <c r="V526">
        <v>28</v>
      </c>
      <c r="W526">
        <v>1</v>
      </c>
      <c r="X526" t="s">
        <v>732</v>
      </c>
      <c r="Y526" t="s">
        <v>1758</v>
      </c>
      <c r="Z526" t="s">
        <v>2141</v>
      </c>
    </row>
    <row r="527" spans="1:26" ht="15" customHeight="1" x14ac:dyDescent="0.3">
      <c r="A527">
        <v>618</v>
      </c>
      <c r="B527">
        <v>124</v>
      </c>
      <c r="C527" t="s">
        <v>1290</v>
      </c>
      <c r="D527" t="s">
        <v>1291</v>
      </c>
      <c r="E527" t="s">
        <v>715</v>
      </c>
      <c r="F527">
        <v>2023</v>
      </c>
      <c r="G527">
        <v>1</v>
      </c>
      <c r="H527">
        <v>0</v>
      </c>
      <c r="I527">
        <v>0</v>
      </c>
      <c r="J527">
        <v>0</v>
      </c>
      <c r="K527">
        <v>10243000000</v>
      </c>
      <c r="L527">
        <v>70.176699999999997</v>
      </c>
      <c r="M527">
        <v>718819938.10000002</v>
      </c>
      <c r="N527">
        <v>59299000</v>
      </c>
      <c r="O527">
        <v>126095000</v>
      </c>
      <c r="P527">
        <v>6156000</v>
      </c>
      <c r="Q527">
        <v>6.1708944692493803</v>
      </c>
      <c r="R527">
        <v>18.6525461490784</v>
      </c>
      <c r="S527">
        <v>0.47027241365637001</v>
      </c>
      <c r="T527">
        <v>4.8820333875252801E-2</v>
      </c>
      <c r="U527">
        <v>1994</v>
      </c>
      <c r="V527">
        <v>29</v>
      </c>
      <c r="W527">
        <v>1</v>
      </c>
      <c r="X527" t="s">
        <v>732</v>
      </c>
      <c r="Y527" t="s">
        <v>1759</v>
      </c>
      <c r="Z527" t="s">
        <v>2141</v>
      </c>
    </row>
    <row r="528" spans="1:26" ht="15" customHeight="1" x14ac:dyDescent="0.3">
      <c r="A528">
        <v>619</v>
      </c>
      <c r="B528">
        <v>124</v>
      </c>
      <c r="C528" t="s">
        <v>1290</v>
      </c>
      <c r="D528" t="s">
        <v>1291</v>
      </c>
      <c r="E528" t="s">
        <v>715</v>
      </c>
      <c r="F528">
        <v>2024</v>
      </c>
      <c r="G528">
        <v>1</v>
      </c>
      <c r="H528">
        <v>0</v>
      </c>
      <c r="I528">
        <v>10</v>
      </c>
      <c r="J528">
        <v>13.3333333333333</v>
      </c>
      <c r="K528">
        <v>10243000000</v>
      </c>
      <c r="L528">
        <v>116.1769</v>
      </c>
      <c r="M528">
        <v>1189999986.7</v>
      </c>
      <c r="N528">
        <v>60177000</v>
      </c>
      <c r="O528">
        <v>140696000</v>
      </c>
      <c r="P528">
        <v>14944000</v>
      </c>
      <c r="Q528">
        <v>8.8856611893728292</v>
      </c>
      <c r="R528">
        <v>18.762112092398301</v>
      </c>
      <c r="S528">
        <v>0.42770938761585298</v>
      </c>
      <c r="T528">
        <v>0.10621481776312</v>
      </c>
      <c r="U528">
        <v>1994</v>
      </c>
      <c r="V528">
        <v>30</v>
      </c>
      <c r="W528">
        <v>1</v>
      </c>
      <c r="X528" t="s">
        <v>732</v>
      </c>
      <c r="Y528" t="s">
        <v>1760</v>
      </c>
      <c r="Z528" t="s">
        <v>2141</v>
      </c>
    </row>
    <row r="529" spans="1:26" ht="15" customHeight="1" x14ac:dyDescent="0.3">
      <c r="A529">
        <v>620</v>
      </c>
      <c r="B529">
        <v>124</v>
      </c>
      <c r="C529" t="s">
        <v>1290</v>
      </c>
      <c r="D529" t="s">
        <v>1291</v>
      </c>
      <c r="E529" t="s">
        <v>715</v>
      </c>
      <c r="F529">
        <v>2025</v>
      </c>
      <c r="G529">
        <v>1</v>
      </c>
      <c r="H529">
        <v>0</v>
      </c>
      <c r="I529">
        <v>0</v>
      </c>
      <c r="J529">
        <v>0</v>
      </c>
      <c r="K529">
        <v>10243000000</v>
      </c>
      <c r="L529">
        <v>170.8484</v>
      </c>
      <c r="M529">
        <v>1750000161.2</v>
      </c>
      <c r="N529">
        <v>64676000</v>
      </c>
      <c r="O529">
        <v>159906000</v>
      </c>
      <c r="P529">
        <v>21871000</v>
      </c>
      <c r="Q529">
        <v>11.3483931884982</v>
      </c>
      <c r="R529">
        <v>18.890096700552402</v>
      </c>
      <c r="S529">
        <v>0.40446262179030201</v>
      </c>
      <c r="T529">
        <v>0.13677410478656199</v>
      </c>
      <c r="U529">
        <v>1994</v>
      </c>
      <c r="V529">
        <v>31</v>
      </c>
      <c r="W529">
        <v>1</v>
      </c>
      <c r="X529" t="s">
        <v>732</v>
      </c>
      <c r="Y529" t="s">
        <v>1761</v>
      </c>
      <c r="Z529" t="s">
        <v>2141</v>
      </c>
    </row>
    <row r="530" spans="1:26" ht="15" customHeight="1" x14ac:dyDescent="0.3">
      <c r="A530">
        <v>621</v>
      </c>
      <c r="B530">
        <v>125</v>
      </c>
      <c r="C530" t="s">
        <v>1294</v>
      </c>
      <c r="D530" t="s">
        <v>1295</v>
      </c>
      <c r="E530" t="s">
        <v>870</v>
      </c>
      <c r="F530">
        <v>2021</v>
      </c>
      <c r="G530">
        <v>0</v>
      </c>
      <c r="H530">
        <v>0</v>
      </c>
      <c r="I530">
        <v>0</v>
      </c>
      <c r="J530">
        <v>0</v>
      </c>
      <c r="K530">
        <v>10162000000</v>
      </c>
      <c r="L530">
        <v>3.8397999999999999</v>
      </c>
      <c r="M530">
        <v>39020047.600000001</v>
      </c>
      <c r="N530">
        <v>269708000</v>
      </c>
      <c r="O530">
        <v>416000000</v>
      </c>
      <c r="P530">
        <v>13964000</v>
      </c>
      <c r="Q530">
        <v>0.74213472980769202</v>
      </c>
      <c r="R530">
        <v>19.8461958182255</v>
      </c>
      <c r="S530">
        <v>0.64833653846153905</v>
      </c>
      <c r="T530">
        <v>3.3567307692307702E-2</v>
      </c>
      <c r="U530">
        <v>2004</v>
      </c>
      <c r="V530">
        <v>17</v>
      </c>
      <c r="W530">
        <v>1</v>
      </c>
      <c r="X530" t="s">
        <v>732</v>
      </c>
      <c r="Y530" t="s">
        <v>1762</v>
      </c>
      <c r="Z530" t="s">
        <v>2141</v>
      </c>
    </row>
    <row r="531" spans="1:26" ht="15" customHeight="1" x14ac:dyDescent="0.3">
      <c r="A531">
        <v>622</v>
      </c>
      <c r="B531">
        <v>125</v>
      </c>
      <c r="C531" t="s">
        <v>1294</v>
      </c>
      <c r="D531" t="s">
        <v>1295</v>
      </c>
      <c r="E531" t="s">
        <v>870</v>
      </c>
      <c r="F531">
        <v>2022</v>
      </c>
      <c r="G531">
        <v>0</v>
      </c>
      <c r="H531">
        <v>0</v>
      </c>
      <c r="I531">
        <v>0</v>
      </c>
      <c r="J531">
        <v>0</v>
      </c>
      <c r="K531">
        <v>10162000000</v>
      </c>
      <c r="L531">
        <v>4.5198</v>
      </c>
      <c r="M531">
        <v>45930207.600000001</v>
      </c>
      <c r="N531">
        <v>287929000</v>
      </c>
      <c r="O531">
        <v>442703000</v>
      </c>
      <c r="P531">
        <v>7788000</v>
      </c>
      <c r="Q531">
        <v>0.754138118783925</v>
      </c>
      <c r="R531">
        <v>19.9084096742776</v>
      </c>
      <c r="S531">
        <v>0.65038863527014701</v>
      </c>
      <c r="T531">
        <v>1.75919295780693E-2</v>
      </c>
      <c r="U531">
        <v>2004</v>
      </c>
      <c r="V531">
        <v>18</v>
      </c>
      <c r="W531">
        <v>1</v>
      </c>
      <c r="X531" t="s">
        <v>732</v>
      </c>
      <c r="Y531" t="s">
        <v>1763</v>
      </c>
      <c r="Z531" t="s">
        <v>2141</v>
      </c>
    </row>
    <row r="532" spans="1:26" ht="15" customHeight="1" x14ac:dyDescent="0.3">
      <c r="A532">
        <v>623</v>
      </c>
      <c r="B532">
        <v>125</v>
      </c>
      <c r="C532" t="s">
        <v>1294</v>
      </c>
      <c r="D532" t="s">
        <v>1295</v>
      </c>
      <c r="E532" t="s">
        <v>870</v>
      </c>
      <c r="F532">
        <v>2023</v>
      </c>
      <c r="G532">
        <v>1</v>
      </c>
      <c r="H532">
        <v>0</v>
      </c>
      <c r="I532">
        <v>10</v>
      </c>
      <c r="J532">
        <v>0</v>
      </c>
      <c r="K532">
        <v>10162000000</v>
      </c>
      <c r="L532">
        <v>34.639800000000001</v>
      </c>
      <c r="M532">
        <v>352009647.60000002</v>
      </c>
      <c r="N532">
        <v>342626000</v>
      </c>
      <c r="O532">
        <v>529924000</v>
      </c>
      <c r="P532">
        <v>16378000</v>
      </c>
      <c r="Q532">
        <v>1.31082126418128</v>
      </c>
      <c r="R532">
        <v>20.0882441580018</v>
      </c>
      <c r="S532">
        <v>0.64655686475796503</v>
      </c>
      <c r="T532">
        <v>3.09063186419185E-2</v>
      </c>
      <c r="U532">
        <v>2004</v>
      </c>
      <c r="V532">
        <v>19</v>
      </c>
      <c r="W532">
        <v>1</v>
      </c>
      <c r="X532" t="s">
        <v>732</v>
      </c>
      <c r="Y532" t="s">
        <v>1764</v>
      </c>
      <c r="Z532" t="s">
        <v>2141</v>
      </c>
    </row>
    <row r="533" spans="1:26" ht="15" customHeight="1" x14ac:dyDescent="0.3">
      <c r="A533">
        <v>624</v>
      </c>
      <c r="B533">
        <v>125</v>
      </c>
      <c r="C533" t="s">
        <v>1294</v>
      </c>
      <c r="D533" t="s">
        <v>1295</v>
      </c>
      <c r="E533" t="s">
        <v>870</v>
      </c>
      <c r="F533">
        <v>2024</v>
      </c>
      <c r="G533">
        <v>1</v>
      </c>
      <c r="H533">
        <v>0</v>
      </c>
      <c r="I533">
        <v>10</v>
      </c>
      <c r="J533">
        <v>0</v>
      </c>
      <c r="K533">
        <v>10162000000</v>
      </c>
      <c r="L533">
        <v>43.500300000000003</v>
      </c>
      <c r="M533">
        <v>442050048.60000002</v>
      </c>
      <c r="N533">
        <v>511370000</v>
      </c>
      <c r="O533">
        <v>751563000</v>
      </c>
      <c r="P533">
        <v>51525000</v>
      </c>
      <c r="Q533">
        <v>1.2685830044853199</v>
      </c>
      <c r="R533">
        <v>20.437665595978899</v>
      </c>
      <c r="S533">
        <v>0.680408694946398</v>
      </c>
      <c r="T533">
        <v>6.8557126947441496E-2</v>
      </c>
      <c r="U533">
        <v>2004</v>
      </c>
      <c r="V533">
        <v>20</v>
      </c>
      <c r="W533">
        <v>1</v>
      </c>
      <c r="X533" t="s">
        <v>732</v>
      </c>
      <c r="Y533" t="s">
        <v>1765</v>
      </c>
      <c r="Z533" t="s">
        <v>2141</v>
      </c>
    </row>
    <row r="534" spans="1:26" ht="15" customHeight="1" x14ac:dyDescent="0.3">
      <c r="A534">
        <v>625</v>
      </c>
      <c r="B534">
        <v>125</v>
      </c>
      <c r="C534" t="s">
        <v>1294</v>
      </c>
      <c r="D534" t="s">
        <v>1295</v>
      </c>
      <c r="E534" t="s">
        <v>870</v>
      </c>
      <c r="F534">
        <v>2025</v>
      </c>
      <c r="G534">
        <v>1</v>
      </c>
      <c r="H534">
        <v>0</v>
      </c>
      <c r="I534">
        <v>0</v>
      </c>
      <c r="J534">
        <v>0</v>
      </c>
      <c r="K534">
        <v>10162000000</v>
      </c>
      <c r="L534">
        <v>45.399500000000003</v>
      </c>
      <c r="M534">
        <v>461349719</v>
      </c>
      <c r="N534">
        <v>648957000</v>
      </c>
      <c r="O534">
        <v>1002343000</v>
      </c>
      <c r="P534">
        <v>85789000</v>
      </c>
      <c r="Q534">
        <v>1.1077113513039001</v>
      </c>
      <c r="R534">
        <v>20.725606096401801</v>
      </c>
      <c r="S534">
        <v>0.64744004796761201</v>
      </c>
      <c r="T534">
        <v>8.5588466223637999E-2</v>
      </c>
      <c r="U534">
        <v>2004</v>
      </c>
      <c r="V534">
        <v>21</v>
      </c>
      <c r="W534">
        <v>1</v>
      </c>
      <c r="X534" t="s">
        <v>732</v>
      </c>
      <c r="Y534" t="s">
        <v>1766</v>
      </c>
      <c r="Z534" t="s">
        <v>2141</v>
      </c>
    </row>
    <row r="535" spans="1:26" ht="15" customHeight="1" x14ac:dyDescent="0.3">
      <c r="A535">
        <v>626</v>
      </c>
      <c r="B535">
        <v>126</v>
      </c>
      <c r="C535" t="s">
        <v>1298</v>
      </c>
      <c r="D535" t="s">
        <v>1299</v>
      </c>
      <c r="E535" t="s">
        <v>715</v>
      </c>
      <c r="F535">
        <v>2021</v>
      </c>
      <c r="G535">
        <v>0</v>
      </c>
      <c r="H535">
        <v>0</v>
      </c>
      <c r="I535">
        <v>0</v>
      </c>
      <c r="J535">
        <v>0</v>
      </c>
      <c r="K535">
        <v>498150000</v>
      </c>
      <c r="L535">
        <v>0.76239999999999997</v>
      </c>
      <c r="M535">
        <v>379789.56</v>
      </c>
      <c r="N535">
        <v>288960</v>
      </c>
      <c r="O535">
        <v>649590</v>
      </c>
      <c r="P535">
        <v>-39710</v>
      </c>
      <c r="Q535">
        <v>1.0294948505980701</v>
      </c>
      <c r="R535">
        <v>13.3840966736224</v>
      </c>
      <c r="S535">
        <v>0.44483443402761702</v>
      </c>
      <c r="T535">
        <v>-6.1130867162364003E-2</v>
      </c>
      <c r="U535">
        <v>1984</v>
      </c>
      <c r="V535">
        <v>37</v>
      </c>
      <c r="W535">
        <v>0</v>
      </c>
      <c r="X535" t="s">
        <v>885</v>
      </c>
      <c r="Y535" t="s">
        <v>1767</v>
      </c>
      <c r="Z535" t="s">
        <v>2141</v>
      </c>
    </row>
    <row r="536" spans="1:26" ht="15" customHeight="1" x14ac:dyDescent="0.3">
      <c r="A536">
        <v>627</v>
      </c>
      <c r="B536">
        <v>126</v>
      </c>
      <c r="C536" t="s">
        <v>1298</v>
      </c>
      <c r="D536" t="s">
        <v>1299</v>
      </c>
      <c r="E536" t="s">
        <v>715</v>
      </c>
      <c r="F536">
        <v>2022</v>
      </c>
      <c r="G536">
        <v>0</v>
      </c>
      <c r="H536">
        <v>0</v>
      </c>
      <c r="I536">
        <v>0</v>
      </c>
      <c r="J536">
        <v>0</v>
      </c>
      <c r="K536">
        <v>498150000</v>
      </c>
      <c r="L536">
        <v>0.82</v>
      </c>
      <c r="M536">
        <v>408483</v>
      </c>
      <c r="N536">
        <v>318080</v>
      </c>
      <c r="O536">
        <v>697030</v>
      </c>
      <c r="P536">
        <v>25220</v>
      </c>
      <c r="Q536">
        <v>1.0423697688765201</v>
      </c>
      <c r="R536">
        <v>13.4545837304233</v>
      </c>
      <c r="S536">
        <v>0.45633616917492797</v>
      </c>
      <c r="T536">
        <v>3.6182086854224402E-2</v>
      </c>
      <c r="U536">
        <v>1984</v>
      </c>
      <c r="V536">
        <v>38</v>
      </c>
      <c r="W536">
        <v>0</v>
      </c>
      <c r="X536" t="s">
        <v>885</v>
      </c>
      <c r="Y536" t="s">
        <v>1768</v>
      </c>
      <c r="Z536" t="s">
        <v>2141</v>
      </c>
    </row>
    <row r="537" spans="1:26" ht="15" customHeight="1" x14ac:dyDescent="0.3">
      <c r="A537">
        <v>628</v>
      </c>
      <c r="B537">
        <v>126</v>
      </c>
      <c r="C537" t="s">
        <v>1298</v>
      </c>
      <c r="D537" t="s">
        <v>1299</v>
      </c>
      <c r="E537" t="s">
        <v>715</v>
      </c>
      <c r="F537">
        <v>2023</v>
      </c>
      <c r="G537">
        <v>1</v>
      </c>
      <c r="H537">
        <v>0</v>
      </c>
      <c r="I537">
        <v>5</v>
      </c>
      <c r="J537">
        <v>0</v>
      </c>
      <c r="K537">
        <v>498150000</v>
      </c>
      <c r="L537">
        <v>1.1499999999999999</v>
      </c>
      <c r="M537">
        <v>572872.5</v>
      </c>
      <c r="N537">
        <v>334310</v>
      </c>
      <c r="O537">
        <v>719910</v>
      </c>
      <c r="P537">
        <v>16030</v>
      </c>
      <c r="Q537">
        <v>1.2601332110958301</v>
      </c>
      <c r="R537">
        <v>13.486881483179101</v>
      </c>
      <c r="S537">
        <v>0.46437749163089798</v>
      </c>
      <c r="T537">
        <v>2.2266672222916801E-2</v>
      </c>
      <c r="U537">
        <v>1984</v>
      </c>
      <c r="V537">
        <v>39</v>
      </c>
      <c r="W537">
        <v>0</v>
      </c>
      <c r="X537" t="s">
        <v>885</v>
      </c>
      <c r="Y537" t="s">
        <v>1769</v>
      </c>
      <c r="Z537" t="s">
        <v>2141</v>
      </c>
    </row>
    <row r="538" spans="1:26" ht="15" customHeight="1" x14ac:dyDescent="0.3">
      <c r="A538">
        <v>629</v>
      </c>
      <c r="B538">
        <v>126</v>
      </c>
      <c r="C538" t="s">
        <v>1298</v>
      </c>
      <c r="D538" t="s">
        <v>1299</v>
      </c>
      <c r="E538" t="s">
        <v>715</v>
      </c>
      <c r="F538">
        <v>2024</v>
      </c>
      <c r="G538">
        <v>1</v>
      </c>
      <c r="H538">
        <v>0</v>
      </c>
      <c r="I538">
        <v>0</v>
      </c>
      <c r="J538">
        <v>0</v>
      </c>
      <c r="K538">
        <v>498150000</v>
      </c>
      <c r="L538">
        <v>1.38</v>
      </c>
      <c r="M538">
        <v>687447</v>
      </c>
      <c r="N538">
        <v>392790</v>
      </c>
      <c r="O538">
        <v>607860</v>
      </c>
      <c r="P538">
        <v>-97890</v>
      </c>
      <c r="Q538">
        <v>1.7771147961701701</v>
      </c>
      <c r="R538">
        <v>13.317699871275799</v>
      </c>
      <c r="S538">
        <v>0.64618497680386899</v>
      </c>
      <c r="T538">
        <v>-0.161040371138091</v>
      </c>
      <c r="U538">
        <v>1984</v>
      </c>
      <c r="V538">
        <v>40</v>
      </c>
      <c r="W538">
        <v>0</v>
      </c>
      <c r="X538" t="s">
        <v>885</v>
      </c>
      <c r="Y538" t="s">
        <v>1770</v>
      </c>
      <c r="Z538" t="s">
        <v>2141</v>
      </c>
    </row>
    <row r="539" spans="1:26" ht="15" customHeight="1" x14ac:dyDescent="0.3">
      <c r="A539">
        <v>630</v>
      </c>
      <c r="B539">
        <v>126</v>
      </c>
      <c r="C539" t="s">
        <v>1298</v>
      </c>
      <c r="D539" t="s">
        <v>1299</v>
      </c>
      <c r="E539" t="s">
        <v>715</v>
      </c>
      <c r="F539">
        <v>2025</v>
      </c>
      <c r="G539">
        <v>1</v>
      </c>
      <c r="H539">
        <v>0</v>
      </c>
      <c r="I539">
        <v>0</v>
      </c>
      <c r="J539">
        <v>0</v>
      </c>
      <c r="K539">
        <v>498150000</v>
      </c>
      <c r="L539">
        <v>2.1478999999999999</v>
      </c>
      <c r="M539">
        <v>1069976.385</v>
      </c>
      <c r="N539">
        <v>436670</v>
      </c>
      <c r="O539">
        <v>475010</v>
      </c>
      <c r="P539">
        <v>-176720</v>
      </c>
      <c r="Q539">
        <v>3.1718203511505001</v>
      </c>
      <c r="R539">
        <v>13.0710911354268</v>
      </c>
      <c r="S539">
        <v>0.91928590977032099</v>
      </c>
      <c r="T539">
        <v>-0.37203427296267499</v>
      </c>
      <c r="U539">
        <v>1984</v>
      </c>
      <c r="V539">
        <v>41</v>
      </c>
      <c r="W539">
        <v>0</v>
      </c>
      <c r="X539" t="s">
        <v>885</v>
      </c>
      <c r="Y539" t="s">
        <v>1771</v>
      </c>
      <c r="Z539" t="s">
        <v>2141</v>
      </c>
    </row>
    <row r="540" spans="1:26" ht="15" customHeight="1" x14ac:dyDescent="0.3">
      <c r="A540">
        <v>634</v>
      </c>
      <c r="B540">
        <v>127</v>
      </c>
      <c r="C540" t="s">
        <v>1302</v>
      </c>
      <c r="D540" t="s">
        <v>1303</v>
      </c>
      <c r="E540" t="s">
        <v>959</v>
      </c>
      <c r="F540">
        <v>2024</v>
      </c>
      <c r="G540">
        <v>1</v>
      </c>
      <c r="H540">
        <v>0</v>
      </c>
      <c r="I540">
        <v>5</v>
      </c>
      <c r="J540">
        <v>0</v>
      </c>
      <c r="K540">
        <v>7500000000</v>
      </c>
      <c r="L540">
        <v>360</v>
      </c>
      <c r="M540">
        <v>2700000000</v>
      </c>
      <c r="N540">
        <v>270157000</v>
      </c>
      <c r="O540">
        <v>396782000</v>
      </c>
      <c r="P540">
        <v>80013000</v>
      </c>
      <c r="Q540">
        <v>7.48561426677621</v>
      </c>
      <c r="R540">
        <v>19.798897569442801</v>
      </c>
      <c r="S540">
        <v>0.68087009995413095</v>
      </c>
      <c r="T540">
        <v>0.20165481297034599</v>
      </c>
      <c r="U540">
        <v>2012</v>
      </c>
      <c r="V540">
        <v>12</v>
      </c>
      <c r="W540">
        <v>1</v>
      </c>
      <c r="X540" t="s">
        <v>732</v>
      </c>
      <c r="Y540" t="s">
        <v>1772</v>
      </c>
      <c r="Z540" t="s">
        <v>2141</v>
      </c>
    </row>
    <row r="541" spans="1:26" ht="15" customHeight="1" x14ac:dyDescent="0.3">
      <c r="A541">
        <v>635</v>
      </c>
      <c r="B541">
        <v>127</v>
      </c>
      <c r="C541" t="s">
        <v>1302</v>
      </c>
      <c r="D541" t="s">
        <v>1303</v>
      </c>
      <c r="E541" t="s">
        <v>959</v>
      </c>
      <c r="F541">
        <v>2025</v>
      </c>
      <c r="G541">
        <v>1</v>
      </c>
      <c r="H541">
        <v>0</v>
      </c>
      <c r="I541">
        <v>5</v>
      </c>
      <c r="J541">
        <v>0</v>
      </c>
      <c r="K541">
        <v>7500000000</v>
      </c>
      <c r="L541">
        <v>306.66669999999999</v>
      </c>
      <c r="M541">
        <v>2300000250</v>
      </c>
      <c r="N541">
        <v>380080000</v>
      </c>
      <c r="O541">
        <v>563479000</v>
      </c>
      <c r="P541">
        <v>91417000</v>
      </c>
      <c r="Q541">
        <v>4.7563090195020603</v>
      </c>
      <c r="R541">
        <v>20.149640623668901</v>
      </c>
      <c r="S541">
        <v>0.67452380656599398</v>
      </c>
      <c r="T541">
        <v>0.162236747065995</v>
      </c>
      <c r="U541">
        <v>2012</v>
      </c>
      <c r="V541">
        <v>13</v>
      </c>
      <c r="W541">
        <v>1</v>
      </c>
      <c r="X541" t="s">
        <v>732</v>
      </c>
      <c r="Y541" t="s">
        <v>1773</v>
      </c>
      <c r="Z541" t="s">
        <v>2141</v>
      </c>
    </row>
    <row r="542" spans="1:26" ht="15" customHeight="1" x14ac:dyDescent="0.3">
      <c r="A542">
        <v>637</v>
      </c>
      <c r="B542">
        <v>128</v>
      </c>
      <c r="C542" t="s">
        <v>1306</v>
      </c>
      <c r="D542" t="s">
        <v>1307</v>
      </c>
      <c r="E542" t="s">
        <v>772</v>
      </c>
      <c r="F542">
        <v>2022</v>
      </c>
      <c r="G542">
        <v>0</v>
      </c>
      <c r="H542">
        <v>0</v>
      </c>
      <c r="I542">
        <v>0</v>
      </c>
      <c r="J542">
        <v>0</v>
      </c>
      <c r="K542">
        <v>989910000</v>
      </c>
      <c r="L542">
        <v>0.48</v>
      </c>
      <c r="M542">
        <v>475156.8</v>
      </c>
      <c r="N542">
        <v>3172000</v>
      </c>
      <c r="O542">
        <v>4346000</v>
      </c>
      <c r="P542">
        <v>66240</v>
      </c>
      <c r="Q542">
        <v>0.83919852738150003</v>
      </c>
      <c r="R542">
        <v>15.284766439798499</v>
      </c>
      <c r="S542">
        <v>0.72986654394845796</v>
      </c>
      <c r="T542">
        <v>1.52416014726185E-2</v>
      </c>
      <c r="U542">
        <v>1980</v>
      </c>
      <c r="V542">
        <v>42</v>
      </c>
      <c r="W542">
        <v>0</v>
      </c>
      <c r="X542" t="s">
        <v>1309</v>
      </c>
      <c r="Y542" t="s">
        <v>1774</v>
      </c>
      <c r="Z542" t="s">
        <v>2141</v>
      </c>
    </row>
    <row r="543" spans="1:26" ht="15" customHeight="1" x14ac:dyDescent="0.3">
      <c r="A543">
        <v>638</v>
      </c>
      <c r="B543">
        <v>128</v>
      </c>
      <c r="C543" t="s">
        <v>1306</v>
      </c>
      <c r="D543" t="s">
        <v>1307</v>
      </c>
      <c r="E543" t="s">
        <v>772</v>
      </c>
      <c r="F543">
        <v>2023</v>
      </c>
      <c r="G543">
        <v>1</v>
      </c>
      <c r="H543">
        <v>0</v>
      </c>
      <c r="I543">
        <v>0</v>
      </c>
      <c r="J543">
        <v>0</v>
      </c>
      <c r="K543">
        <v>989910000</v>
      </c>
      <c r="L543">
        <v>0.39500000000000002</v>
      </c>
      <c r="M543">
        <v>391014.45</v>
      </c>
      <c r="N543">
        <v>4395000</v>
      </c>
      <c r="O543">
        <v>5662000</v>
      </c>
      <c r="P543">
        <v>122900</v>
      </c>
      <c r="Q543">
        <v>0.84528690392087602</v>
      </c>
      <c r="R543">
        <v>15.549287744654</v>
      </c>
      <c r="S543">
        <v>0.77622748145531595</v>
      </c>
      <c r="T543">
        <v>2.17061109148711E-2</v>
      </c>
      <c r="U543">
        <v>1980</v>
      </c>
      <c r="V543">
        <v>43</v>
      </c>
      <c r="W543">
        <v>0</v>
      </c>
      <c r="X543" t="s">
        <v>1309</v>
      </c>
      <c r="Y543" t="s">
        <v>1775</v>
      </c>
      <c r="Z543" t="s">
        <v>2141</v>
      </c>
    </row>
    <row r="544" spans="1:26" ht="15" customHeight="1" x14ac:dyDescent="0.3">
      <c r="A544">
        <v>639</v>
      </c>
      <c r="B544">
        <v>128</v>
      </c>
      <c r="C544" t="s">
        <v>1306</v>
      </c>
      <c r="D544" t="s">
        <v>1307</v>
      </c>
      <c r="E544" t="s">
        <v>772</v>
      </c>
      <c r="F544">
        <v>2024</v>
      </c>
      <c r="G544">
        <v>1</v>
      </c>
      <c r="H544">
        <v>0</v>
      </c>
      <c r="I544">
        <v>0</v>
      </c>
      <c r="J544">
        <v>0</v>
      </c>
      <c r="K544">
        <v>989910000</v>
      </c>
      <c r="L544">
        <v>1.0708</v>
      </c>
      <c r="M544">
        <v>1059995.628</v>
      </c>
      <c r="N544">
        <v>5537000</v>
      </c>
      <c r="O544">
        <v>6342000</v>
      </c>
      <c r="P544">
        <v>7000</v>
      </c>
      <c r="Q544">
        <v>1.04020744686219</v>
      </c>
      <c r="R544">
        <v>15.6627047340804</v>
      </c>
      <c r="S544">
        <v>0.87306843267108203</v>
      </c>
      <c r="T544">
        <v>1.1037527593819E-3</v>
      </c>
      <c r="U544">
        <v>1980</v>
      </c>
      <c r="V544">
        <v>44</v>
      </c>
      <c r="W544">
        <v>0</v>
      </c>
      <c r="X544" t="s">
        <v>1309</v>
      </c>
      <c r="Y544" t="s">
        <v>1776</v>
      </c>
      <c r="Z544" t="s">
        <v>2141</v>
      </c>
    </row>
    <row r="545" spans="1:26" ht="15" customHeight="1" x14ac:dyDescent="0.3">
      <c r="A545">
        <v>640</v>
      </c>
      <c r="B545">
        <v>128</v>
      </c>
      <c r="C545" t="s">
        <v>1306</v>
      </c>
      <c r="D545" t="s">
        <v>1307</v>
      </c>
      <c r="E545" t="s">
        <v>772</v>
      </c>
      <c r="F545">
        <v>2025</v>
      </c>
      <c r="G545">
        <v>1</v>
      </c>
      <c r="H545">
        <v>0</v>
      </c>
      <c r="I545">
        <v>0</v>
      </c>
      <c r="J545">
        <v>0</v>
      </c>
      <c r="K545">
        <v>989910000</v>
      </c>
      <c r="L545">
        <v>2.0507</v>
      </c>
      <c r="M545">
        <v>2030008.4369999999</v>
      </c>
      <c r="N545">
        <v>6065000</v>
      </c>
      <c r="O545">
        <v>5477000</v>
      </c>
      <c r="P545">
        <v>-1385000</v>
      </c>
      <c r="Q545">
        <v>1.47800044495162</v>
      </c>
      <c r="R545">
        <v>15.5160680637659</v>
      </c>
      <c r="S545">
        <v>1.1073580427241201</v>
      </c>
      <c r="T545">
        <v>-0.25287566185868199</v>
      </c>
      <c r="U545">
        <v>1980</v>
      </c>
      <c r="V545">
        <v>45</v>
      </c>
      <c r="W545">
        <v>0</v>
      </c>
      <c r="X545" t="s">
        <v>1309</v>
      </c>
      <c r="Y545" t="s">
        <v>1777</v>
      </c>
      <c r="Z545" t="s">
        <v>2141</v>
      </c>
    </row>
    <row r="546" spans="1:26" ht="15" customHeight="1" x14ac:dyDescent="0.3">
      <c r="A546">
        <v>641</v>
      </c>
      <c r="B546">
        <v>129</v>
      </c>
      <c r="C546" t="s">
        <v>1311</v>
      </c>
      <c r="D546" t="s">
        <v>1312</v>
      </c>
      <c r="E546" t="s">
        <v>870</v>
      </c>
      <c r="F546">
        <v>2021</v>
      </c>
      <c r="G546">
        <v>0</v>
      </c>
      <c r="H546">
        <v>0</v>
      </c>
      <c r="I546">
        <v>5</v>
      </c>
      <c r="J546">
        <v>0</v>
      </c>
      <c r="K546">
        <v>2881000000</v>
      </c>
      <c r="L546">
        <v>9.5001999999999995</v>
      </c>
      <c r="M546">
        <v>27370076.199999999</v>
      </c>
      <c r="N546">
        <v>48093000</v>
      </c>
      <c r="O546">
        <v>98932000</v>
      </c>
      <c r="P546">
        <v>1807000</v>
      </c>
      <c r="Q546">
        <v>0.76277722273885096</v>
      </c>
      <c r="R546">
        <v>18.409943303409602</v>
      </c>
      <c r="S546">
        <v>0.48612178061698902</v>
      </c>
      <c r="T546">
        <v>1.8265070957829602E-2</v>
      </c>
      <c r="U546">
        <v>1931</v>
      </c>
      <c r="V546">
        <v>90</v>
      </c>
      <c r="W546">
        <v>1</v>
      </c>
      <c r="X546" t="s">
        <v>727</v>
      </c>
      <c r="Y546" t="s">
        <v>1778</v>
      </c>
      <c r="Z546" t="s">
        <v>2141</v>
      </c>
    </row>
    <row r="547" spans="1:26" ht="15" customHeight="1" x14ac:dyDescent="0.3">
      <c r="A547">
        <v>642</v>
      </c>
      <c r="B547">
        <v>129</v>
      </c>
      <c r="C547" t="s">
        <v>1311</v>
      </c>
      <c r="D547" t="s">
        <v>1312</v>
      </c>
      <c r="E547" t="s">
        <v>870</v>
      </c>
      <c r="F547">
        <v>2022</v>
      </c>
      <c r="G547">
        <v>0</v>
      </c>
      <c r="H547">
        <v>0</v>
      </c>
      <c r="I547">
        <v>5</v>
      </c>
      <c r="J547">
        <v>0</v>
      </c>
      <c r="K547">
        <v>2926000000</v>
      </c>
      <c r="L547">
        <v>10.249499999999999</v>
      </c>
      <c r="M547">
        <v>29990037</v>
      </c>
      <c r="N547">
        <v>48547000</v>
      </c>
      <c r="O547">
        <v>93828000</v>
      </c>
      <c r="P547">
        <v>-3079000</v>
      </c>
      <c r="Q547">
        <v>0.83703198405593204</v>
      </c>
      <c r="R547">
        <v>18.356973876894699</v>
      </c>
      <c r="S547">
        <v>0.51740418638359598</v>
      </c>
      <c r="T547">
        <v>-3.2815364283582699E-2</v>
      </c>
      <c r="U547">
        <v>1931</v>
      </c>
      <c r="V547">
        <v>91</v>
      </c>
      <c r="W547">
        <v>1</v>
      </c>
      <c r="X547" t="s">
        <v>727</v>
      </c>
      <c r="Y547" t="s">
        <v>1779</v>
      </c>
      <c r="Z547" t="s">
        <v>2141</v>
      </c>
    </row>
    <row r="548" spans="1:26" ht="15" customHeight="1" x14ac:dyDescent="0.3">
      <c r="A548">
        <v>643</v>
      </c>
      <c r="B548">
        <v>129</v>
      </c>
      <c r="C548" t="s">
        <v>1311</v>
      </c>
      <c r="D548" t="s">
        <v>1312</v>
      </c>
      <c r="E548" t="s">
        <v>870</v>
      </c>
      <c r="F548">
        <v>2023</v>
      </c>
      <c r="G548">
        <v>1</v>
      </c>
      <c r="H548">
        <v>0</v>
      </c>
      <c r="I548">
        <v>0</v>
      </c>
      <c r="J548">
        <v>0</v>
      </c>
      <c r="K548">
        <v>2926000000</v>
      </c>
      <c r="L548">
        <v>12.850300000000001</v>
      </c>
      <c r="M548">
        <v>37599977.799999997</v>
      </c>
      <c r="N548">
        <v>59164000</v>
      </c>
      <c r="O548">
        <v>112345000</v>
      </c>
      <c r="P548">
        <v>9187000</v>
      </c>
      <c r="Q548">
        <v>0.86131094218701298</v>
      </c>
      <c r="R548">
        <v>18.537085051822501</v>
      </c>
      <c r="S548">
        <v>0.52662779829988005</v>
      </c>
      <c r="T548">
        <v>8.1774889848235402E-2</v>
      </c>
      <c r="U548">
        <v>1931</v>
      </c>
      <c r="V548">
        <v>92</v>
      </c>
      <c r="W548">
        <v>1</v>
      </c>
      <c r="X548" t="s">
        <v>727</v>
      </c>
      <c r="Y548" t="s">
        <v>1780</v>
      </c>
      <c r="Z548" t="s">
        <v>2141</v>
      </c>
    </row>
    <row r="549" spans="1:26" ht="15" customHeight="1" x14ac:dyDescent="0.3">
      <c r="A549">
        <v>644</v>
      </c>
      <c r="B549">
        <v>129</v>
      </c>
      <c r="C549" t="s">
        <v>1311</v>
      </c>
      <c r="D549" t="s">
        <v>1312</v>
      </c>
      <c r="E549" t="s">
        <v>870</v>
      </c>
      <c r="F549">
        <v>2024</v>
      </c>
      <c r="G549">
        <v>1</v>
      </c>
      <c r="H549">
        <v>0</v>
      </c>
      <c r="I549">
        <v>0</v>
      </c>
      <c r="J549">
        <v>0</v>
      </c>
      <c r="K549">
        <v>2926000000</v>
      </c>
      <c r="L549">
        <v>31.452500000000001</v>
      </c>
      <c r="M549">
        <v>92030015</v>
      </c>
      <c r="N549">
        <v>91316000</v>
      </c>
      <c r="O549">
        <v>157726000</v>
      </c>
      <c r="P549">
        <v>14539000</v>
      </c>
      <c r="Q549">
        <v>1.1624336824619901</v>
      </c>
      <c r="R549">
        <v>18.87636990835</v>
      </c>
      <c r="S549">
        <v>0.57895337483991205</v>
      </c>
      <c r="T549">
        <v>9.2178841788925103E-2</v>
      </c>
      <c r="U549">
        <v>1931</v>
      </c>
      <c r="V549">
        <v>93</v>
      </c>
      <c r="W549">
        <v>1</v>
      </c>
      <c r="X549" t="s">
        <v>727</v>
      </c>
      <c r="Y549" t="s">
        <v>1781</v>
      </c>
      <c r="Z549" t="s">
        <v>2141</v>
      </c>
    </row>
    <row r="550" spans="1:26" ht="15" customHeight="1" x14ac:dyDescent="0.3">
      <c r="A550">
        <v>645</v>
      </c>
      <c r="B550">
        <v>129</v>
      </c>
      <c r="C550" t="s">
        <v>1311</v>
      </c>
      <c r="D550" t="s">
        <v>1312</v>
      </c>
      <c r="E550" t="s">
        <v>870</v>
      </c>
      <c r="F550">
        <v>2025</v>
      </c>
      <c r="G550">
        <v>1</v>
      </c>
      <c r="H550">
        <v>0</v>
      </c>
      <c r="I550">
        <v>0</v>
      </c>
      <c r="J550">
        <v>0</v>
      </c>
      <c r="K550">
        <v>2926000000</v>
      </c>
      <c r="L550">
        <v>91.004800000000003</v>
      </c>
      <c r="M550">
        <v>266280044.80000001</v>
      </c>
      <c r="N550">
        <v>527288000</v>
      </c>
      <c r="O550">
        <v>597058000</v>
      </c>
      <c r="P550">
        <v>10587000</v>
      </c>
      <c r="Q550">
        <v>1.3291305782687799</v>
      </c>
      <c r="R550">
        <v>20.207524819066698</v>
      </c>
      <c r="S550">
        <v>0.88314368118340303</v>
      </c>
      <c r="T550">
        <v>1.77319456401221E-2</v>
      </c>
      <c r="U550">
        <v>1931</v>
      </c>
      <c r="V550">
        <v>94</v>
      </c>
      <c r="W550">
        <v>1</v>
      </c>
      <c r="X550" t="s">
        <v>727</v>
      </c>
      <c r="Y550" t="s">
        <v>1782</v>
      </c>
      <c r="Z550" t="s">
        <v>2141</v>
      </c>
    </row>
    <row r="551" spans="1:26" ht="15" customHeight="1" x14ac:dyDescent="0.3">
      <c r="A551">
        <v>646</v>
      </c>
      <c r="B551">
        <v>130</v>
      </c>
      <c r="C551" t="s">
        <v>1314</v>
      </c>
      <c r="D551" t="s">
        <v>1315</v>
      </c>
      <c r="E551" t="s">
        <v>709</v>
      </c>
      <c r="F551">
        <v>2021</v>
      </c>
      <c r="G551">
        <v>0</v>
      </c>
      <c r="H551">
        <v>0</v>
      </c>
      <c r="I551">
        <v>45</v>
      </c>
      <c r="J551">
        <v>80</v>
      </c>
      <c r="K551">
        <v>34199000000</v>
      </c>
      <c r="L551">
        <v>8.5396999999999998</v>
      </c>
      <c r="M551">
        <v>292049200.30000001</v>
      </c>
      <c r="N551">
        <v>7736511000</v>
      </c>
      <c r="O551">
        <v>8541318000</v>
      </c>
      <c r="P551">
        <v>115883000</v>
      </c>
      <c r="Q551">
        <v>0.93996736806895598</v>
      </c>
      <c r="R551">
        <v>22.868181165391501</v>
      </c>
      <c r="S551">
        <v>0.90577484645812301</v>
      </c>
      <c r="T551">
        <v>1.3567344056268599E-2</v>
      </c>
      <c r="U551">
        <v>1961</v>
      </c>
      <c r="V551">
        <v>60</v>
      </c>
      <c r="W551">
        <v>1</v>
      </c>
      <c r="X551" t="s">
        <v>722</v>
      </c>
      <c r="Y551" t="s">
        <v>1783</v>
      </c>
      <c r="Z551" t="s">
        <v>2141</v>
      </c>
    </row>
    <row r="552" spans="1:26" ht="15" customHeight="1" x14ac:dyDescent="0.3">
      <c r="A552">
        <v>647</v>
      </c>
      <c r="B552">
        <v>130</v>
      </c>
      <c r="C552" t="s">
        <v>1314</v>
      </c>
      <c r="D552" t="s">
        <v>1315</v>
      </c>
      <c r="E552" t="s">
        <v>709</v>
      </c>
      <c r="F552">
        <v>2022</v>
      </c>
      <c r="G552">
        <v>0</v>
      </c>
      <c r="H552">
        <v>0</v>
      </c>
      <c r="I552">
        <v>90</v>
      </c>
      <c r="J552">
        <v>86.6666666666667</v>
      </c>
      <c r="K552">
        <v>34199000000</v>
      </c>
      <c r="L552">
        <v>7.6002000000000001</v>
      </c>
      <c r="M552">
        <v>259919239.80000001</v>
      </c>
      <c r="N552">
        <v>9935467000</v>
      </c>
      <c r="O552">
        <v>10857571000</v>
      </c>
      <c r="P552">
        <v>165451000</v>
      </c>
      <c r="Q552">
        <v>0.93901170342795803</v>
      </c>
      <c r="R552">
        <v>23.108128461610502</v>
      </c>
      <c r="S552">
        <v>0.91507271746139196</v>
      </c>
      <c r="T552">
        <v>1.52383069841312E-2</v>
      </c>
      <c r="U552">
        <v>1961</v>
      </c>
      <c r="V552">
        <v>61</v>
      </c>
      <c r="W552">
        <v>1</v>
      </c>
      <c r="X552" t="s">
        <v>722</v>
      </c>
      <c r="Y552" t="s">
        <v>1784</v>
      </c>
      <c r="Z552" t="s">
        <v>2141</v>
      </c>
    </row>
    <row r="553" spans="1:26" ht="15" customHeight="1" x14ac:dyDescent="0.3">
      <c r="A553">
        <v>648</v>
      </c>
      <c r="B553">
        <v>130</v>
      </c>
      <c r="C553" t="s">
        <v>1314</v>
      </c>
      <c r="D553" t="s">
        <v>1315</v>
      </c>
      <c r="E553" t="s">
        <v>709</v>
      </c>
      <c r="F553">
        <v>2023</v>
      </c>
      <c r="G553">
        <v>1</v>
      </c>
      <c r="H553">
        <v>0</v>
      </c>
      <c r="I553">
        <v>90</v>
      </c>
      <c r="J553">
        <v>93.3333333333333</v>
      </c>
      <c r="K553">
        <v>34199000000</v>
      </c>
      <c r="L553">
        <v>25.650500000000001</v>
      </c>
      <c r="M553">
        <v>877221449.5</v>
      </c>
      <c r="N553">
        <v>18623002000</v>
      </c>
      <c r="O553">
        <v>20653197000</v>
      </c>
      <c r="P553">
        <v>598285000</v>
      </c>
      <c r="Q553">
        <v>0.94417457256133297</v>
      </c>
      <c r="R553">
        <v>23.751135962772299</v>
      </c>
      <c r="S553">
        <v>0.90170069069694203</v>
      </c>
      <c r="T553">
        <v>2.8968154421806998E-2</v>
      </c>
      <c r="U553">
        <v>1961</v>
      </c>
      <c r="V553">
        <v>62</v>
      </c>
      <c r="W553">
        <v>1</v>
      </c>
      <c r="X553" t="s">
        <v>722</v>
      </c>
      <c r="Y553" t="s">
        <v>1785</v>
      </c>
      <c r="Z553" t="s">
        <v>2141</v>
      </c>
    </row>
    <row r="554" spans="1:26" ht="15" customHeight="1" x14ac:dyDescent="0.3">
      <c r="A554">
        <v>649</v>
      </c>
      <c r="B554">
        <v>130</v>
      </c>
      <c r="C554" t="s">
        <v>1314</v>
      </c>
      <c r="D554" t="s">
        <v>1315</v>
      </c>
      <c r="E554" t="s">
        <v>709</v>
      </c>
      <c r="F554">
        <v>2024</v>
      </c>
      <c r="G554">
        <v>1</v>
      </c>
      <c r="H554">
        <v>0</v>
      </c>
      <c r="I554">
        <v>90</v>
      </c>
      <c r="J554">
        <v>93.3333333333333</v>
      </c>
      <c r="K554">
        <v>34199000000</v>
      </c>
      <c r="L554">
        <v>33.9191</v>
      </c>
      <c r="M554">
        <v>1159999300.9000001</v>
      </c>
      <c r="N554">
        <v>26904716000</v>
      </c>
      <c r="O554">
        <v>30323355000</v>
      </c>
      <c r="P554">
        <v>743121000</v>
      </c>
      <c r="Q554">
        <v>0.92551484823826402</v>
      </c>
      <c r="R554">
        <v>24.135184044633299</v>
      </c>
      <c r="S554">
        <v>0.88726052905425501</v>
      </c>
      <c r="T554">
        <v>2.45065560852353E-2</v>
      </c>
      <c r="U554">
        <v>1961</v>
      </c>
      <c r="V554">
        <v>63</v>
      </c>
      <c r="W554">
        <v>1</v>
      </c>
      <c r="X554" t="s">
        <v>722</v>
      </c>
      <c r="Y554" t="s">
        <v>1786</v>
      </c>
      <c r="Z554" t="s">
        <v>2141</v>
      </c>
    </row>
    <row r="555" spans="1:26" ht="15" customHeight="1" x14ac:dyDescent="0.3">
      <c r="A555">
        <v>650</v>
      </c>
      <c r="B555">
        <v>130</v>
      </c>
      <c r="C555" t="s">
        <v>1314</v>
      </c>
      <c r="D555" t="s">
        <v>1315</v>
      </c>
      <c r="E555" t="s">
        <v>709</v>
      </c>
      <c r="F555">
        <v>2025</v>
      </c>
      <c r="G555">
        <v>1</v>
      </c>
      <c r="H555">
        <v>0</v>
      </c>
      <c r="I555">
        <v>45</v>
      </c>
      <c r="J555">
        <v>80</v>
      </c>
      <c r="K555">
        <v>44196000000</v>
      </c>
      <c r="L555">
        <v>38.691299999999998</v>
      </c>
      <c r="M555">
        <v>1710000694.8</v>
      </c>
      <c r="N555">
        <v>28920246000</v>
      </c>
      <c r="O555">
        <v>33173188000</v>
      </c>
      <c r="P555">
        <v>373654000</v>
      </c>
      <c r="Q555">
        <v>0.92334347530300698</v>
      </c>
      <c r="R555">
        <v>24.225007796230599</v>
      </c>
      <c r="S555">
        <v>0.87179580087388597</v>
      </c>
      <c r="T555">
        <v>1.1263735038067499E-2</v>
      </c>
      <c r="U555">
        <v>1961</v>
      </c>
      <c r="V555">
        <v>64</v>
      </c>
      <c r="W555">
        <v>1</v>
      </c>
      <c r="X555" t="s">
        <v>722</v>
      </c>
      <c r="Y555" t="s">
        <v>1787</v>
      </c>
      <c r="Z555" t="s">
        <v>2141</v>
      </c>
    </row>
    <row r="556" spans="1:26" ht="15" customHeight="1" x14ac:dyDescent="0.3">
      <c r="A556">
        <v>651</v>
      </c>
      <c r="B556">
        <v>131</v>
      </c>
      <c r="C556" t="s">
        <v>1318</v>
      </c>
      <c r="D556" t="s">
        <v>1319</v>
      </c>
      <c r="E556" t="s">
        <v>709</v>
      </c>
      <c r="F556">
        <v>2021</v>
      </c>
      <c r="G556">
        <v>0</v>
      </c>
      <c r="H556">
        <v>0</v>
      </c>
      <c r="I556">
        <v>0</v>
      </c>
      <c r="J556">
        <v>0</v>
      </c>
      <c r="K556">
        <v>18000000000</v>
      </c>
      <c r="L556">
        <v>3.3</v>
      </c>
      <c r="M556">
        <v>59400000</v>
      </c>
      <c r="N556">
        <v>423051000</v>
      </c>
      <c r="O556">
        <v>453598000</v>
      </c>
      <c r="P556">
        <v>11259000</v>
      </c>
      <c r="Q556">
        <v>1.06360918698936</v>
      </c>
      <c r="R556">
        <v>19.932721901196999</v>
      </c>
      <c r="S556">
        <v>0.93265622864298403</v>
      </c>
      <c r="T556">
        <v>2.4821538013835999E-2</v>
      </c>
      <c r="U556">
        <v>2012</v>
      </c>
      <c r="V556">
        <v>9</v>
      </c>
      <c r="W556">
        <v>1</v>
      </c>
      <c r="X556" t="s">
        <v>711</v>
      </c>
      <c r="Y556" t="s">
        <v>1788</v>
      </c>
      <c r="Z556" t="s">
        <v>2141</v>
      </c>
    </row>
    <row r="557" spans="1:26" ht="15" customHeight="1" x14ac:dyDescent="0.3">
      <c r="A557">
        <v>652</v>
      </c>
      <c r="B557">
        <v>131</v>
      </c>
      <c r="C557" t="s">
        <v>1318</v>
      </c>
      <c r="D557" t="s">
        <v>1319</v>
      </c>
      <c r="E557" t="s">
        <v>709</v>
      </c>
      <c r="F557">
        <v>2022</v>
      </c>
      <c r="G557">
        <v>0</v>
      </c>
      <c r="H557">
        <v>0</v>
      </c>
      <c r="I557">
        <v>0</v>
      </c>
      <c r="J557">
        <v>0</v>
      </c>
      <c r="K557">
        <v>18000000000</v>
      </c>
      <c r="L557">
        <v>4.6666999999999996</v>
      </c>
      <c r="M557">
        <v>84000600</v>
      </c>
      <c r="N557">
        <v>568928000</v>
      </c>
      <c r="O557">
        <v>601915000</v>
      </c>
      <c r="P557">
        <v>9653000</v>
      </c>
      <c r="Q557">
        <v>1.08475216600351</v>
      </c>
      <c r="R557">
        <v>20.2156267972907</v>
      </c>
      <c r="S557">
        <v>0.94519658091258696</v>
      </c>
      <c r="T557">
        <v>1.60371481023068E-2</v>
      </c>
      <c r="U557">
        <v>2012</v>
      </c>
      <c r="V557">
        <v>10</v>
      </c>
      <c r="W557">
        <v>1</v>
      </c>
      <c r="X557" t="s">
        <v>711</v>
      </c>
      <c r="Y557" t="s">
        <v>1789</v>
      </c>
      <c r="Z557" t="s">
        <v>2141</v>
      </c>
    </row>
    <row r="558" spans="1:26" ht="15" customHeight="1" x14ac:dyDescent="0.3">
      <c r="A558">
        <v>653</v>
      </c>
      <c r="B558">
        <v>131</v>
      </c>
      <c r="C558" t="s">
        <v>1318</v>
      </c>
      <c r="D558" t="s">
        <v>1319</v>
      </c>
      <c r="E558" t="s">
        <v>709</v>
      </c>
      <c r="F558">
        <v>2023</v>
      </c>
      <c r="G558">
        <v>1</v>
      </c>
      <c r="H558">
        <v>0</v>
      </c>
      <c r="I558">
        <v>0</v>
      </c>
      <c r="J558">
        <v>0</v>
      </c>
      <c r="K558">
        <v>18000000000</v>
      </c>
      <c r="L558">
        <v>7.6666999999999996</v>
      </c>
      <c r="M558">
        <v>138000600</v>
      </c>
      <c r="N558">
        <v>841235000</v>
      </c>
      <c r="O558">
        <v>931948000</v>
      </c>
      <c r="P558">
        <v>11420000</v>
      </c>
      <c r="Q558">
        <v>1.0507405992609</v>
      </c>
      <c r="R558">
        <v>20.6527875771019</v>
      </c>
      <c r="S558">
        <v>0.90266302411722499</v>
      </c>
      <c r="T558">
        <v>1.2253902578255401E-2</v>
      </c>
      <c r="U558">
        <v>2012</v>
      </c>
      <c r="V558">
        <v>11</v>
      </c>
      <c r="W558">
        <v>1</v>
      </c>
      <c r="X558" t="s">
        <v>711</v>
      </c>
      <c r="Y558" t="s">
        <v>1790</v>
      </c>
      <c r="Z558" t="s">
        <v>2141</v>
      </c>
    </row>
    <row r="559" spans="1:26" ht="15" customHeight="1" x14ac:dyDescent="0.3">
      <c r="A559">
        <v>654</v>
      </c>
      <c r="B559">
        <v>131</v>
      </c>
      <c r="C559" t="s">
        <v>1318</v>
      </c>
      <c r="D559" t="s">
        <v>1319</v>
      </c>
      <c r="E559" t="s">
        <v>709</v>
      </c>
      <c r="F559">
        <v>2024</v>
      </c>
      <c r="G559">
        <v>1</v>
      </c>
      <c r="H559">
        <v>0</v>
      </c>
      <c r="I559">
        <v>0</v>
      </c>
      <c r="J559">
        <v>0</v>
      </c>
      <c r="K559">
        <v>18000000000</v>
      </c>
      <c r="L559">
        <v>20.399999999999999</v>
      </c>
      <c r="M559">
        <v>367200000</v>
      </c>
      <c r="N559">
        <v>1568200000</v>
      </c>
      <c r="O559">
        <v>1701704000</v>
      </c>
      <c r="P559">
        <v>24103000</v>
      </c>
      <c r="Q559">
        <v>1.13733058158176</v>
      </c>
      <c r="R559">
        <v>21.254895938929501</v>
      </c>
      <c r="S559">
        <v>0.92154687301669402</v>
      </c>
      <c r="T559">
        <v>1.41640379290405E-2</v>
      </c>
      <c r="U559">
        <v>2012</v>
      </c>
      <c r="V559">
        <v>12</v>
      </c>
      <c r="W559">
        <v>1</v>
      </c>
      <c r="X559" t="s">
        <v>711</v>
      </c>
      <c r="Y559" t="s">
        <v>1791</v>
      </c>
      <c r="Z559" t="s">
        <v>2141</v>
      </c>
    </row>
    <row r="560" spans="1:26" ht="15" customHeight="1" x14ac:dyDescent="0.3">
      <c r="A560">
        <v>655</v>
      </c>
      <c r="B560">
        <v>131</v>
      </c>
      <c r="C560" t="s">
        <v>1318</v>
      </c>
      <c r="D560" t="s">
        <v>1319</v>
      </c>
      <c r="E560" t="s">
        <v>709</v>
      </c>
      <c r="F560">
        <v>2025</v>
      </c>
      <c r="G560">
        <v>1</v>
      </c>
      <c r="H560">
        <v>0</v>
      </c>
      <c r="I560">
        <v>0</v>
      </c>
      <c r="J560">
        <v>0</v>
      </c>
      <c r="K560">
        <v>18000000000</v>
      </c>
      <c r="L560">
        <v>18.7</v>
      </c>
      <c r="M560">
        <v>336600000</v>
      </c>
      <c r="N560">
        <v>1611340000</v>
      </c>
      <c r="O560">
        <v>1761337000</v>
      </c>
      <c r="P560">
        <v>28147000</v>
      </c>
      <c r="Q560">
        <v>1.10594395053303</v>
      </c>
      <c r="R560">
        <v>21.289339016692502</v>
      </c>
      <c r="S560">
        <v>0.91483912505102705</v>
      </c>
      <c r="T560">
        <v>1.5980473924070201E-2</v>
      </c>
      <c r="U560">
        <v>2012</v>
      </c>
      <c r="V560">
        <v>13</v>
      </c>
      <c r="W560">
        <v>1</v>
      </c>
      <c r="X560" t="s">
        <v>711</v>
      </c>
      <c r="Y560" t="s">
        <v>1792</v>
      </c>
      <c r="Z560" t="s">
        <v>2141</v>
      </c>
    </row>
    <row r="561" spans="1:26" ht="15" customHeight="1" x14ac:dyDescent="0.3">
      <c r="A561">
        <v>661</v>
      </c>
      <c r="B561">
        <v>133</v>
      </c>
      <c r="C561" t="s">
        <v>1326</v>
      </c>
      <c r="D561" t="s">
        <v>1327</v>
      </c>
      <c r="E561" t="s">
        <v>806</v>
      </c>
      <c r="F561">
        <v>2021</v>
      </c>
      <c r="G561">
        <v>0</v>
      </c>
      <c r="H561">
        <v>0</v>
      </c>
      <c r="I561">
        <v>65</v>
      </c>
      <c r="J561">
        <v>46.6666666666667</v>
      </c>
      <c r="K561">
        <v>5745000000</v>
      </c>
      <c r="L561">
        <v>14.499599999999999</v>
      </c>
      <c r="M561">
        <v>83300202</v>
      </c>
      <c r="N561">
        <v>42527000</v>
      </c>
      <c r="O561">
        <v>108289000</v>
      </c>
      <c r="P561">
        <v>3409000</v>
      </c>
      <c r="Q561">
        <v>1.1619573733250801</v>
      </c>
      <c r="R561">
        <v>18.500314137098901</v>
      </c>
      <c r="S561">
        <v>0.39271763521687297</v>
      </c>
      <c r="T561">
        <v>3.1480575127667602E-2</v>
      </c>
      <c r="U561">
        <v>1923</v>
      </c>
      <c r="V561">
        <v>98</v>
      </c>
      <c r="W561">
        <v>0</v>
      </c>
      <c r="X561" t="s">
        <v>717</v>
      </c>
      <c r="Y561" t="s">
        <v>1793</v>
      </c>
      <c r="Z561" t="s">
        <v>2141</v>
      </c>
    </row>
    <row r="562" spans="1:26" ht="15" customHeight="1" x14ac:dyDescent="0.3">
      <c r="A562">
        <v>662</v>
      </c>
      <c r="B562">
        <v>133</v>
      </c>
      <c r="C562" t="s">
        <v>1326</v>
      </c>
      <c r="D562" t="s">
        <v>1327</v>
      </c>
      <c r="E562" t="s">
        <v>806</v>
      </c>
      <c r="F562">
        <v>2022</v>
      </c>
      <c r="G562">
        <v>0</v>
      </c>
      <c r="H562">
        <v>0</v>
      </c>
      <c r="I562">
        <v>65</v>
      </c>
      <c r="J562">
        <v>46.6666666666667</v>
      </c>
      <c r="K562">
        <v>5745000000</v>
      </c>
      <c r="L562">
        <v>11.5997</v>
      </c>
      <c r="M562">
        <v>66640276.5</v>
      </c>
      <c r="N562">
        <v>57825000</v>
      </c>
      <c r="O562">
        <v>125390000</v>
      </c>
      <c r="P562">
        <v>4467000</v>
      </c>
      <c r="Q562">
        <v>0.99262522130951403</v>
      </c>
      <c r="R562">
        <v>18.646939438166701</v>
      </c>
      <c r="S562">
        <v>0.46116117712736299</v>
      </c>
      <c r="T562">
        <v>3.56248504665444E-2</v>
      </c>
      <c r="U562">
        <v>1923</v>
      </c>
      <c r="V562">
        <v>99</v>
      </c>
      <c r="W562">
        <v>0</v>
      </c>
      <c r="X562" t="s">
        <v>717</v>
      </c>
      <c r="Y562" t="s">
        <v>1794</v>
      </c>
      <c r="Z562" t="s">
        <v>2141</v>
      </c>
    </row>
    <row r="563" spans="1:26" ht="15" customHeight="1" x14ac:dyDescent="0.3">
      <c r="A563">
        <v>663</v>
      </c>
      <c r="B563">
        <v>133</v>
      </c>
      <c r="C563" t="s">
        <v>1326</v>
      </c>
      <c r="D563" t="s">
        <v>1327</v>
      </c>
      <c r="E563" t="s">
        <v>806</v>
      </c>
      <c r="F563">
        <v>2023</v>
      </c>
      <c r="G563">
        <v>1</v>
      </c>
      <c r="H563">
        <v>0</v>
      </c>
      <c r="I563">
        <v>65</v>
      </c>
      <c r="J563">
        <v>46.6666666666667</v>
      </c>
      <c r="K563">
        <v>5745000000</v>
      </c>
      <c r="L563">
        <v>14.800700000000001</v>
      </c>
      <c r="M563">
        <v>85030021.5</v>
      </c>
      <c r="N563">
        <v>41793000</v>
      </c>
      <c r="O563">
        <v>116302000</v>
      </c>
      <c r="P563">
        <v>8440000</v>
      </c>
      <c r="Q563">
        <v>1.09046294560713</v>
      </c>
      <c r="R563">
        <v>18.571700814245599</v>
      </c>
      <c r="S563">
        <v>0.35934893638974402</v>
      </c>
      <c r="T563">
        <v>7.2569689257278497E-2</v>
      </c>
      <c r="U563">
        <v>1923</v>
      </c>
      <c r="V563">
        <v>100</v>
      </c>
      <c r="W563">
        <v>0</v>
      </c>
      <c r="X563" t="s">
        <v>717</v>
      </c>
      <c r="Y563" t="s">
        <v>1795</v>
      </c>
      <c r="Z563" t="s">
        <v>2141</v>
      </c>
    </row>
    <row r="564" spans="1:26" ht="15" customHeight="1" x14ac:dyDescent="0.3">
      <c r="A564">
        <v>664</v>
      </c>
      <c r="B564">
        <v>133</v>
      </c>
      <c r="C564" t="s">
        <v>1326</v>
      </c>
      <c r="D564" t="s">
        <v>1327</v>
      </c>
      <c r="E564" t="s">
        <v>806</v>
      </c>
      <c r="F564">
        <v>2024</v>
      </c>
      <c r="G564">
        <v>1</v>
      </c>
      <c r="H564">
        <v>1</v>
      </c>
      <c r="I564">
        <v>65</v>
      </c>
      <c r="J564">
        <v>46.6666666666667</v>
      </c>
      <c r="K564">
        <v>5745000000</v>
      </c>
      <c r="L564">
        <v>32.950400000000002</v>
      </c>
      <c r="M564">
        <v>189300048</v>
      </c>
      <c r="N564">
        <v>56541000</v>
      </c>
      <c r="O564">
        <v>141647000</v>
      </c>
      <c r="P564">
        <v>15143000</v>
      </c>
      <c r="Q564">
        <v>1.7355895147797</v>
      </c>
      <c r="R564">
        <v>18.768848605054298</v>
      </c>
      <c r="S564">
        <v>0.39916835513636001</v>
      </c>
      <c r="T564">
        <v>0.10690660585822501</v>
      </c>
      <c r="U564">
        <v>1923</v>
      </c>
      <c r="V564">
        <v>101</v>
      </c>
      <c r="W564">
        <v>0</v>
      </c>
      <c r="X564" t="s">
        <v>717</v>
      </c>
      <c r="Y564" t="s">
        <v>1796</v>
      </c>
      <c r="Z564" t="s">
        <v>2141</v>
      </c>
    </row>
    <row r="565" spans="1:26" ht="15" customHeight="1" x14ac:dyDescent="0.3">
      <c r="A565">
        <v>665</v>
      </c>
      <c r="B565">
        <v>133</v>
      </c>
      <c r="C565" t="s">
        <v>1326</v>
      </c>
      <c r="D565" t="s">
        <v>1327</v>
      </c>
      <c r="E565" t="s">
        <v>806</v>
      </c>
      <c r="F565">
        <v>2025</v>
      </c>
      <c r="G565">
        <v>1</v>
      </c>
      <c r="H565">
        <v>1</v>
      </c>
      <c r="I565">
        <v>65</v>
      </c>
      <c r="J565">
        <v>46.6666666666667</v>
      </c>
      <c r="K565">
        <v>5745000000</v>
      </c>
      <c r="L565">
        <v>72</v>
      </c>
      <c r="M565">
        <v>413640000</v>
      </c>
      <c r="N565">
        <v>72723000</v>
      </c>
      <c r="O565">
        <v>180179000</v>
      </c>
      <c r="P565">
        <v>32199000</v>
      </c>
      <c r="Q565">
        <v>2.69933233062677</v>
      </c>
      <c r="R565">
        <v>19.0094613591666</v>
      </c>
      <c r="S565">
        <v>0.40361529368017401</v>
      </c>
      <c r="T565">
        <v>0.17870562052181399</v>
      </c>
      <c r="U565">
        <v>1923</v>
      </c>
      <c r="V565">
        <v>102</v>
      </c>
      <c r="W565">
        <v>0</v>
      </c>
      <c r="X565" t="s">
        <v>717</v>
      </c>
      <c r="Y565" t="s">
        <v>1797</v>
      </c>
      <c r="Z565" t="s">
        <v>2141</v>
      </c>
    </row>
    <row r="566" spans="1:26" ht="15" customHeight="1" x14ac:dyDescent="0.3">
      <c r="A566">
        <v>671</v>
      </c>
      <c r="B566">
        <v>135</v>
      </c>
      <c r="C566" t="s">
        <v>1335</v>
      </c>
      <c r="D566" t="s">
        <v>1336</v>
      </c>
      <c r="E566" t="s">
        <v>709</v>
      </c>
      <c r="F566">
        <v>2021</v>
      </c>
      <c r="G566">
        <v>0</v>
      </c>
      <c r="H566">
        <v>0</v>
      </c>
      <c r="I566">
        <v>0</v>
      </c>
      <c r="J566">
        <v>0</v>
      </c>
      <c r="K566">
        <v>11689000000</v>
      </c>
      <c r="L566">
        <v>0.53979999999999995</v>
      </c>
      <c r="M566">
        <v>6309722.2000000002</v>
      </c>
      <c r="N566">
        <v>815022000</v>
      </c>
      <c r="O566">
        <v>538869000</v>
      </c>
      <c r="P566">
        <v>3173000</v>
      </c>
      <c r="Q566">
        <v>1.52417697473783</v>
      </c>
      <c r="R566">
        <v>20.104983056662</v>
      </c>
      <c r="S566">
        <v>1.5124677797386801</v>
      </c>
      <c r="T566">
        <v>5.8882585563467199E-3</v>
      </c>
      <c r="U566">
        <v>1987</v>
      </c>
      <c r="V566">
        <v>34</v>
      </c>
      <c r="W566">
        <v>1</v>
      </c>
      <c r="X566" t="s">
        <v>727</v>
      </c>
      <c r="Y566" t="s">
        <v>1803</v>
      </c>
      <c r="Z566" t="s">
        <v>733</v>
      </c>
    </row>
    <row r="567" spans="1:26" ht="15" customHeight="1" x14ac:dyDescent="0.3">
      <c r="A567">
        <v>672</v>
      </c>
      <c r="B567">
        <v>135</v>
      </c>
      <c r="C567" t="s">
        <v>1335</v>
      </c>
      <c r="D567" t="s">
        <v>1336</v>
      </c>
      <c r="E567" t="s">
        <v>709</v>
      </c>
      <c r="F567">
        <v>2022</v>
      </c>
      <c r="G567">
        <v>0</v>
      </c>
      <c r="H567">
        <v>0</v>
      </c>
      <c r="I567">
        <v>5</v>
      </c>
      <c r="J567">
        <v>0</v>
      </c>
      <c r="K567">
        <v>11689000000</v>
      </c>
      <c r="L567">
        <v>0.55010000000000003</v>
      </c>
      <c r="M567">
        <v>6430118.9000000004</v>
      </c>
      <c r="N567">
        <v>785092000</v>
      </c>
      <c r="O567">
        <v>510144000</v>
      </c>
      <c r="P567">
        <v>941380</v>
      </c>
      <c r="Q567">
        <v>1.5515660654638701</v>
      </c>
      <c r="R567">
        <v>20.050203596769698</v>
      </c>
      <c r="S567">
        <v>1.5389615481119101</v>
      </c>
      <c r="T567">
        <v>1.8453221051310999E-3</v>
      </c>
      <c r="U567">
        <v>1987</v>
      </c>
      <c r="V567">
        <v>35</v>
      </c>
      <c r="W567">
        <v>1</v>
      </c>
      <c r="X567" t="s">
        <v>727</v>
      </c>
      <c r="Y567" t="s">
        <v>1804</v>
      </c>
      <c r="Z567" t="s">
        <v>733</v>
      </c>
    </row>
    <row r="568" spans="1:26" ht="15" customHeight="1" x14ac:dyDescent="0.3">
      <c r="A568">
        <v>673</v>
      </c>
      <c r="B568">
        <v>135</v>
      </c>
      <c r="C568" t="s">
        <v>1335</v>
      </c>
      <c r="D568" t="s">
        <v>1336</v>
      </c>
      <c r="E568" t="s">
        <v>709</v>
      </c>
      <c r="F568">
        <v>2023</v>
      </c>
      <c r="G568">
        <v>1</v>
      </c>
      <c r="H568">
        <v>0</v>
      </c>
      <c r="I568">
        <v>5</v>
      </c>
      <c r="J568">
        <v>0</v>
      </c>
      <c r="K568">
        <v>11689000000</v>
      </c>
      <c r="L568">
        <v>1.6203000000000001</v>
      </c>
      <c r="M568">
        <v>18939686.699999999</v>
      </c>
      <c r="N568">
        <v>799458000</v>
      </c>
      <c r="O568">
        <v>472585000</v>
      </c>
      <c r="P568">
        <v>-62637000</v>
      </c>
      <c r="Q568">
        <v>1.73174706497244</v>
      </c>
      <c r="R568">
        <v>19.973728182898999</v>
      </c>
      <c r="S568">
        <v>1.69167028153665</v>
      </c>
      <c r="T568">
        <v>-0.132541235968133</v>
      </c>
      <c r="U568">
        <v>1987</v>
      </c>
      <c r="V568">
        <v>36</v>
      </c>
      <c r="W568">
        <v>1</v>
      </c>
      <c r="X568" t="s">
        <v>727</v>
      </c>
      <c r="Y568" t="s">
        <v>1805</v>
      </c>
      <c r="Z568" t="s">
        <v>733</v>
      </c>
    </row>
    <row r="569" spans="1:26" ht="15" customHeight="1" x14ac:dyDescent="0.3">
      <c r="A569">
        <v>674</v>
      </c>
      <c r="B569">
        <v>135</v>
      </c>
      <c r="C569" t="s">
        <v>1335</v>
      </c>
      <c r="D569" t="s">
        <v>1336</v>
      </c>
      <c r="E569" t="s">
        <v>709</v>
      </c>
      <c r="F569">
        <v>2024</v>
      </c>
      <c r="G569">
        <v>1</v>
      </c>
      <c r="H569">
        <v>0</v>
      </c>
      <c r="I569">
        <v>0</v>
      </c>
      <c r="J569">
        <v>0</v>
      </c>
      <c r="K569">
        <v>11689000000</v>
      </c>
      <c r="L569">
        <v>1.51</v>
      </c>
      <c r="M569">
        <v>17650390</v>
      </c>
      <c r="N569">
        <v>861414000</v>
      </c>
      <c r="O569">
        <v>414708000</v>
      </c>
      <c r="P569">
        <v>-114912000</v>
      </c>
      <c r="Q569">
        <v>2.1197189106552101</v>
      </c>
      <c r="R569">
        <v>19.843085216084301</v>
      </c>
      <c r="S569">
        <v>2.07715790387453</v>
      </c>
      <c r="T569">
        <v>-0.27709135102288801</v>
      </c>
      <c r="U569">
        <v>1987</v>
      </c>
      <c r="V569">
        <v>37</v>
      </c>
      <c r="W569">
        <v>1</v>
      </c>
      <c r="X569" t="s">
        <v>727</v>
      </c>
      <c r="Y569" t="s">
        <v>1806</v>
      </c>
      <c r="Z569" t="s">
        <v>733</v>
      </c>
    </row>
    <row r="570" spans="1:26" ht="15" customHeight="1" x14ac:dyDescent="0.3">
      <c r="A570">
        <v>676</v>
      </c>
      <c r="B570">
        <v>136</v>
      </c>
      <c r="C570" t="s">
        <v>1339</v>
      </c>
      <c r="D570" t="s">
        <v>1340</v>
      </c>
      <c r="E570" t="s">
        <v>709</v>
      </c>
      <c r="F570">
        <v>2021</v>
      </c>
      <c r="G570">
        <v>0</v>
      </c>
      <c r="H570">
        <v>0</v>
      </c>
      <c r="I570">
        <v>0</v>
      </c>
      <c r="J570">
        <v>0</v>
      </c>
      <c r="K570">
        <v>16000000000</v>
      </c>
      <c r="L570">
        <v>0.2</v>
      </c>
      <c r="M570">
        <v>3200000</v>
      </c>
      <c r="N570">
        <v>2318000</v>
      </c>
      <c r="O570">
        <v>12320000</v>
      </c>
      <c r="P570">
        <v>151430</v>
      </c>
      <c r="Q570">
        <v>0.44788961038961</v>
      </c>
      <c r="R570">
        <v>16.326734516069699</v>
      </c>
      <c r="S570">
        <v>0.18814935064935101</v>
      </c>
      <c r="T570">
        <v>1.22913961038961E-2</v>
      </c>
      <c r="U570">
        <v>1961</v>
      </c>
      <c r="V570">
        <v>60</v>
      </c>
      <c r="W570">
        <v>0</v>
      </c>
      <c r="X570" t="s">
        <v>1342</v>
      </c>
      <c r="Y570" t="s">
        <v>1807</v>
      </c>
      <c r="Z570" t="s">
        <v>2141</v>
      </c>
    </row>
    <row r="571" spans="1:26" ht="15" customHeight="1" x14ac:dyDescent="0.3">
      <c r="A571">
        <v>677</v>
      </c>
      <c r="B571">
        <v>136</v>
      </c>
      <c r="C571" t="s">
        <v>1339</v>
      </c>
      <c r="D571" t="s">
        <v>1340</v>
      </c>
      <c r="E571" t="s">
        <v>709</v>
      </c>
      <c r="F571">
        <v>2022</v>
      </c>
      <c r="G571">
        <v>0</v>
      </c>
      <c r="H571">
        <v>0</v>
      </c>
      <c r="I571">
        <v>0</v>
      </c>
      <c r="J571">
        <v>0</v>
      </c>
      <c r="K571">
        <v>16000000000</v>
      </c>
      <c r="L571">
        <v>0.2</v>
      </c>
      <c r="M571">
        <v>3200000</v>
      </c>
      <c r="N571">
        <v>3145000</v>
      </c>
      <c r="O571">
        <v>13487000</v>
      </c>
      <c r="P571">
        <v>314510</v>
      </c>
      <c r="Q571">
        <v>0.47045302884258899</v>
      </c>
      <c r="R571">
        <v>16.417236816498999</v>
      </c>
      <c r="S571">
        <v>0.23318751390227599</v>
      </c>
      <c r="T571">
        <v>2.3319492844961799E-2</v>
      </c>
      <c r="U571">
        <v>1961</v>
      </c>
      <c r="V571">
        <v>61</v>
      </c>
      <c r="W571">
        <v>0</v>
      </c>
      <c r="X571" t="s">
        <v>1342</v>
      </c>
      <c r="Y571" t="s">
        <v>1808</v>
      </c>
      <c r="Z571" t="s">
        <v>2141</v>
      </c>
    </row>
    <row r="572" spans="1:26" ht="15" customHeight="1" x14ac:dyDescent="0.3">
      <c r="A572">
        <v>678</v>
      </c>
      <c r="B572">
        <v>136</v>
      </c>
      <c r="C572" t="s">
        <v>1339</v>
      </c>
      <c r="D572" t="s">
        <v>1340</v>
      </c>
      <c r="E572" t="s">
        <v>709</v>
      </c>
      <c r="F572">
        <v>2023</v>
      </c>
      <c r="G572">
        <v>1</v>
      </c>
      <c r="H572">
        <v>0</v>
      </c>
      <c r="I572">
        <v>0</v>
      </c>
      <c r="J572">
        <v>0</v>
      </c>
      <c r="K572">
        <v>16000000000</v>
      </c>
      <c r="L572">
        <v>0.26</v>
      </c>
      <c r="M572">
        <v>4160000</v>
      </c>
      <c r="N572">
        <v>4898000</v>
      </c>
      <c r="O572">
        <v>17122000</v>
      </c>
      <c r="P572">
        <v>530060</v>
      </c>
      <c r="Q572">
        <v>0.52902698282910898</v>
      </c>
      <c r="R572">
        <v>16.655874744284599</v>
      </c>
      <c r="S572">
        <v>0.28606471206634698</v>
      </c>
      <c r="T572">
        <v>3.0957832028968599E-2</v>
      </c>
      <c r="U572">
        <v>1961</v>
      </c>
      <c r="V572">
        <v>62</v>
      </c>
      <c r="W572">
        <v>0</v>
      </c>
      <c r="X572" t="s">
        <v>1342</v>
      </c>
      <c r="Y572" t="s">
        <v>1809</v>
      </c>
      <c r="Z572" t="s">
        <v>2141</v>
      </c>
    </row>
    <row r="573" spans="1:26" ht="15" customHeight="1" x14ac:dyDescent="0.3">
      <c r="A573">
        <v>679</v>
      </c>
      <c r="B573">
        <v>136</v>
      </c>
      <c r="C573" t="s">
        <v>1339</v>
      </c>
      <c r="D573" t="s">
        <v>1340</v>
      </c>
      <c r="E573" t="s">
        <v>709</v>
      </c>
      <c r="F573">
        <v>2024</v>
      </c>
      <c r="G573">
        <v>1</v>
      </c>
      <c r="H573">
        <v>0</v>
      </c>
      <c r="I573">
        <v>0</v>
      </c>
      <c r="J573">
        <v>0</v>
      </c>
      <c r="K573">
        <v>16000000000</v>
      </c>
      <c r="L573">
        <v>0.66</v>
      </c>
      <c r="M573">
        <v>10560000</v>
      </c>
      <c r="N573">
        <v>7225000</v>
      </c>
      <c r="O573">
        <v>22194000</v>
      </c>
      <c r="P573">
        <v>1941000</v>
      </c>
      <c r="Q573">
        <v>0.80134270523564899</v>
      </c>
      <c r="R573">
        <v>16.915332540042598</v>
      </c>
      <c r="S573">
        <v>0.32553843381094</v>
      </c>
      <c r="T573">
        <v>8.7456069207894005E-2</v>
      </c>
      <c r="U573">
        <v>1961</v>
      </c>
      <c r="V573">
        <v>63</v>
      </c>
      <c r="W573">
        <v>0</v>
      </c>
      <c r="X573" t="s">
        <v>1342</v>
      </c>
      <c r="Y573" t="s">
        <v>1810</v>
      </c>
      <c r="Z573" t="s">
        <v>2141</v>
      </c>
    </row>
    <row r="574" spans="1:26" ht="15" customHeight="1" x14ac:dyDescent="0.3">
      <c r="A574">
        <v>680</v>
      </c>
      <c r="B574">
        <v>136</v>
      </c>
      <c r="C574" t="s">
        <v>1339</v>
      </c>
      <c r="D574" t="s">
        <v>1340</v>
      </c>
      <c r="E574" t="s">
        <v>709</v>
      </c>
      <c r="F574">
        <v>2025</v>
      </c>
      <c r="G574">
        <v>1</v>
      </c>
      <c r="H574">
        <v>0</v>
      </c>
      <c r="I574">
        <v>5</v>
      </c>
      <c r="J574">
        <v>0</v>
      </c>
      <c r="K574">
        <v>16000000000</v>
      </c>
      <c r="L574">
        <v>1.21</v>
      </c>
      <c r="M574">
        <v>19360000</v>
      </c>
      <c r="N574">
        <v>9302000</v>
      </c>
      <c r="O574">
        <v>28307000</v>
      </c>
      <c r="P574">
        <v>4495000</v>
      </c>
      <c r="Q574">
        <v>1.01254106758046</v>
      </c>
      <c r="R574">
        <v>17.158619681850901</v>
      </c>
      <c r="S574">
        <v>0.328611297558908</v>
      </c>
      <c r="T574">
        <v>0.15879464443423899</v>
      </c>
      <c r="U574">
        <v>1961</v>
      </c>
      <c r="V574">
        <v>64</v>
      </c>
      <c r="W574">
        <v>0</v>
      </c>
      <c r="X574" t="s">
        <v>1342</v>
      </c>
      <c r="Y574" t="s">
        <v>1811</v>
      </c>
      <c r="Z574" t="s">
        <v>2141</v>
      </c>
    </row>
    <row r="575" spans="1:26" ht="15" customHeight="1" x14ac:dyDescent="0.3">
      <c r="A575">
        <v>681</v>
      </c>
      <c r="B575">
        <v>137</v>
      </c>
      <c r="C575" t="s">
        <v>1345</v>
      </c>
      <c r="D575" t="s">
        <v>1346</v>
      </c>
      <c r="E575" t="s">
        <v>780</v>
      </c>
      <c r="F575">
        <v>2021</v>
      </c>
      <c r="G575">
        <v>0</v>
      </c>
      <c r="H575">
        <v>0</v>
      </c>
      <c r="I575">
        <v>0</v>
      </c>
      <c r="J575">
        <v>0</v>
      </c>
      <c r="K575">
        <v>18560000000</v>
      </c>
      <c r="L575">
        <v>1.1901999999999999</v>
      </c>
      <c r="M575">
        <v>22090112</v>
      </c>
      <c r="N575">
        <v>11501000</v>
      </c>
      <c r="O575">
        <v>19595000</v>
      </c>
      <c r="P575">
        <v>-1928000</v>
      </c>
      <c r="Q575">
        <v>1.7142695585608601</v>
      </c>
      <c r="R575">
        <v>16.790784989615901</v>
      </c>
      <c r="S575">
        <v>0.586935442714978</v>
      </c>
      <c r="T575">
        <v>-9.8392447052819604E-2</v>
      </c>
      <c r="U575">
        <v>1997</v>
      </c>
      <c r="V575">
        <v>24</v>
      </c>
      <c r="W575">
        <v>0</v>
      </c>
      <c r="X575" t="s">
        <v>1309</v>
      </c>
      <c r="Y575" t="s">
        <v>1812</v>
      </c>
      <c r="Z575" t="s">
        <v>826</v>
      </c>
    </row>
    <row r="576" spans="1:26" ht="15" customHeight="1" x14ac:dyDescent="0.3">
      <c r="A576">
        <v>682</v>
      </c>
      <c r="B576">
        <v>137</v>
      </c>
      <c r="C576" t="s">
        <v>1345</v>
      </c>
      <c r="D576" t="s">
        <v>1346</v>
      </c>
      <c r="E576" t="s">
        <v>780</v>
      </c>
      <c r="F576">
        <v>2022</v>
      </c>
      <c r="G576">
        <v>0</v>
      </c>
      <c r="H576">
        <v>0</v>
      </c>
      <c r="I576">
        <v>0</v>
      </c>
      <c r="J576">
        <v>0</v>
      </c>
      <c r="K576">
        <v>18560000000</v>
      </c>
      <c r="L576">
        <v>0.91</v>
      </c>
      <c r="M576">
        <v>16889600</v>
      </c>
      <c r="N576">
        <v>11238000</v>
      </c>
      <c r="O576">
        <v>19428000</v>
      </c>
      <c r="P576">
        <v>159660</v>
      </c>
      <c r="Q576">
        <v>1.44778669960881</v>
      </c>
      <c r="R576">
        <v>16.782225882447801</v>
      </c>
      <c r="S576">
        <v>0.57844348363187204</v>
      </c>
      <c r="T576">
        <v>8.2180358245830792E-3</v>
      </c>
      <c r="U576">
        <v>1997</v>
      </c>
      <c r="V576">
        <v>25</v>
      </c>
      <c r="W576">
        <v>0</v>
      </c>
      <c r="X576" t="s">
        <v>1309</v>
      </c>
      <c r="Y576" t="s">
        <v>1813</v>
      </c>
      <c r="Z576" t="s">
        <v>826</v>
      </c>
    </row>
    <row r="577" spans="1:26" ht="15" customHeight="1" x14ac:dyDescent="0.3">
      <c r="A577">
        <v>683</v>
      </c>
      <c r="B577">
        <v>137</v>
      </c>
      <c r="C577" t="s">
        <v>1345</v>
      </c>
      <c r="D577" t="s">
        <v>1346</v>
      </c>
      <c r="E577" t="s">
        <v>780</v>
      </c>
      <c r="F577">
        <v>2023</v>
      </c>
      <c r="G577">
        <v>1</v>
      </c>
      <c r="H577">
        <v>0</v>
      </c>
      <c r="I577">
        <v>0</v>
      </c>
      <c r="J577">
        <v>0</v>
      </c>
      <c r="K577">
        <v>18560000000</v>
      </c>
      <c r="L577">
        <v>1.2802</v>
      </c>
      <c r="M577">
        <v>23760512</v>
      </c>
      <c r="N577">
        <v>10829000</v>
      </c>
      <c r="O577">
        <v>19664000</v>
      </c>
      <c r="P577">
        <v>253510</v>
      </c>
      <c r="Q577">
        <v>1.75902725793328</v>
      </c>
      <c r="R577">
        <v>16.794300110788001</v>
      </c>
      <c r="S577">
        <v>0.55070179007322995</v>
      </c>
      <c r="T577">
        <v>1.28920870626526E-2</v>
      </c>
      <c r="U577">
        <v>1997</v>
      </c>
      <c r="V577">
        <v>26</v>
      </c>
      <c r="W577">
        <v>0</v>
      </c>
      <c r="X577" t="s">
        <v>1309</v>
      </c>
      <c r="Y577" t="s">
        <v>1814</v>
      </c>
      <c r="Z577" t="s">
        <v>826</v>
      </c>
    </row>
    <row r="578" spans="1:26" ht="15" customHeight="1" x14ac:dyDescent="0.3">
      <c r="A578">
        <v>684</v>
      </c>
      <c r="B578">
        <v>137</v>
      </c>
      <c r="C578" t="s">
        <v>1345</v>
      </c>
      <c r="D578" t="s">
        <v>1346</v>
      </c>
      <c r="E578" t="s">
        <v>780</v>
      </c>
      <c r="F578">
        <v>2024</v>
      </c>
      <c r="G578">
        <v>1</v>
      </c>
      <c r="H578">
        <v>0</v>
      </c>
      <c r="I578">
        <v>0</v>
      </c>
      <c r="J578">
        <v>0</v>
      </c>
      <c r="K578">
        <v>18560000000</v>
      </c>
      <c r="L578">
        <v>1.59</v>
      </c>
      <c r="M578">
        <v>29510400</v>
      </c>
      <c r="N578">
        <v>21503000</v>
      </c>
      <c r="O578">
        <v>30988000</v>
      </c>
      <c r="P578">
        <v>432190</v>
      </c>
      <c r="Q578">
        <v>1.64623079901898</v>
      </c>
      <c r="R578">
        <v>17.249110590733899</v>
      </c>
      <c r="S578">
        <v>0.69391377307344804</v>
      </c>
      <c r="T578">
        <v>1.39470117464825E-2</v>
      </c>
      <c r="U578">
        <v>1997</v>
      </c>
      <c r="V578">
        <v>27</v>
      </c>
      <c r="W578">
        <v>0</v>
      </c>
      <c r="X578" t="s">
        <v>1309</v>
      </c>
      <c r="Y578" t="s">
        <v>1815</v>
      </c>
      <c r="Z578" t="s">
        <v>826</v>
      </c>
    </row>
    <row r="579" spans="1:26" ht="15" customHeight="1" x14ac:dyDescent="0.3">
      <c r="A579">
        <v>685</v>
      </c>
      <c r="B579">
        <v>137</v>
      </c>
      <c r="C579" t="s">
        <v>1345</v>
      </c>
      <c r="D579" t="s">
        <v>1346</v>
      </c>
      <c r="E579" t="s">
        <v>780</v>
      </c>
      <c r="F579">
        <v>2025</v>
      </c>
      <c r="G579">
        <v>1</v>
      </c>
      <c r="H579">
        <v>0</v>
      </c>
      <c r="I579">
        <v>0</v>
      </c>
      <c r="J579">
        <v>0</v>
      </c>
      <c r="K579">
        <v>18560000000</v>
      </c>
      <c r="L579">
        <v>4.8997999999999999</v>
      </c>
      <c r="M579">
        <v>90940288</v>
      </c>
      <c r="N579">
        <v>18538000</v>
      </c>
      <c r="O579">
        <v>29989000</v>
      </c>
      <c r="P579">
        <v>974620</v>
      </c>
      <c r="Q579">
        <v>3.6506148254359898</v>
      </c>
      <c r="R579">
        <v>17.2163412057211</v>
      </c>
      <c r="S579">
        <v>0.61815999199706595</v>
      </c>
      <c r="T579">
        <v>3.24992497248991E-2</v>
      </c>
      <c r="U579">
        <v>1997</v>
      </c>
      <c r="V579">
        <v>28</v>
      </c>
      <c r="W579">
        <v>0</v>
      </c>
      <c r="X579" t="s">
        <v>1309</v>
      </c>
      <c r="Y579" t="s">
        <v>1816</v>
      </c>
      <c r="Z579" t="s">
        <v>826</v>
      </c>
    </row>
    <row r="580" spans="1:26" ht="15" customHeight="1" x14ac:dyDescent="0.3">
      <c r="A580">
        <v>691</v>
      </c>
      <c r="B580">
        <v>139</v>
      </c>
      <c r="C580" t="s">
        <v>1354</v>
      </c>
      <c r="D580" t="s">
        <v>1355</v>
      </c>
      <c r="E580" t="s">
        <v>715</v>
      </c>
      <c r="F580">
        <v>2021</v>
      </c>
      <c r="G580">
        <v>0</v>
      </c>
      <c r="H580">
        <v>0</v>
      </c>
      <c r="I580">
        <v>0</v>
      </c>
      <c r="J580">
        <v>0</v>
      </c>
      <c r="K580">
        <v>431409504</v>
      </c>
      <c r="L580">
        <v>2.94</v>
      </c>
      <c r="M580">
        <v>1268343.9417600001</v>
      </c>
      <c r="N580">
        <v>1124536</v>
      </c>
      <c r="O580">
        <v>3785015</v>
      </c>
      <c r="P580">
        <v>57106</v>
      </c>
      <c r="Q580">
        <v>0.63219827180605603</v>
      </c>
      <c r="R580">
        <v>15.146560407857701</v>
      </c>
      <c r="S580">
        <v>0.29710212509065398</v>
      </c>
      <c r="T580">
        <v>1.5087390670842801E-2</v>
      </c>
      <c r="U580">
        <v>1978</v>
      </c>
      <c r="V580">
        <v>43</v>
      </c>
      <c r="X580" t="s">
        <v>832</v>
      </c>
      <c r="Y580" t="s">
        <v>1822</v>
      </c>
      <c r="Z580" t="s">
        <v>2141</v>
      </c>
    </row>
    <row r="581" spans="1:26" ht="15" customHeight="1" x14ac:dyDescent="0.3">
      <c r="A581">
        <v>692</v>
      </c>
      <c r="B581">
        <v>139</v>
      </c>
      <c r="C581" t="s">
        <v>1354</v>
      </c>
      <c r="D581" t="s">
        <v>1355</v>
      </c>
      <c r="E581" t="s">
        <v>715</v>
      </c>
      <c r="F581">
        <v>2022</v>
      </c>
      <c r="G581">
        <v>0</v>
      </c>
      <c r="H581">
        <v>0</v>
      </c>
      <c r="I581">
        <v>0</v>
      </c>
      <c r="J581">
        <v>0</v>
      </c>
      <c r="K581">
        <v>431410000</v>
      </c>
      <c r="L581">
        <v>2.9438</v>
      </c>
      <c r="M581">
        <v>1269984.7579999999</v>
      </c>
      <c r="N581">
        <v>1115000</v>
      </c>
      <c r="O581">
        <v>4287000</v>
      </c>
      <c r="P581">
        <v>207490</v>
      </c>
      <c r="Q581">
        <v>0.55632954466993201</v>
      </c>
      <c r="R581">
        <v>15.2710977455801</v>
      </c>
      <c r="S581">
        <v>0.260088640074644</v>
      </c>
      <c r="T581">
        <v>4.8399813389316503E-2</v>
      </c>
      <c r="U581">
        <v>1978</v>
      </c>
      <c r="V581">
        <v>44</v>
      </c>
      <c r="W581">
        <v>0</v>
      </c>
      <c r="X581" t="s">
        <v>832</v>
      </c>
      <c r="Y581" t="s">
        <v>1823</v>
      </c>
      <c r="Z581" t="s">
        <v>2141</v>
      </c>
    </row>
    <row r="582" spans="1:26" ht="15" customHeight="1" x14ac:dyDescent="0.3">
      <c r="A582">
        <v>693</v>
      </c>
      <c r="B582">
        <v>139</v>
      </c>
      <c r="C582" t="s">
        <v>1354</v>
      </c>
      <c r="D582" t="s">
        <v>1355</v>
      </c>
      <c r="E582" t="s">
        <v>715</v>
      </c>
      <c r="F582">
        <v>2023</v>
      </c>
      <c r="G582">
        <v>1</v>
      </c>
      <c r="H582">
        <v>0</v>
      </c>
      <c r="I582">
        <v>0</v>
      </c>
      <c r="J582">
        <v>0</v>
      </c>
      <c r="K582">
        <v>431410000</v>
      </c>
      <c r="L582">
        <v>1.9</v>
      </c>
      <c r="M582">
        <v>819679</v>
      </c>
      <c r="N582">
        <v>964620</v>
      </c>
      <c r="O582">
        <v>4236000</v>
      </c>
      <c r="P582">
        <v>142290</v>
      </c>
      <c r="Q582">
        <v>0.421222615675165</v>
      </c>
      <c r="R582">
        <v>15.2591299857034</v>
      </c>
      <c r="S582">
        <v>0.22771954674221001</v>
      </c>
      <c r="T582">
        <v>3.3590651558073698E-2</v>
      </c>
      <c r="U582">
        <v>1978</v>
      </c>
      <c r="V582">
        <v>45</v>
      </c>
      <c r="W582">
        <v>0</v>
      </c>
      <c r="X582" t="s">
        <v>832</v>
      </c>
      <c r="Y582" t="s">
        <v>1824</v>
      </c>
      <c r="Z582" t="s">
        <v>2141</v>
      </c>
    </row>
    <row r="583" spans="1:26" ht="15" customHeight="1" x14ac:dyDescent="0.3">
      <c r="A583">
        <v>694</v>
      </c>
      <c r="B583">
        <v>139</v>
      </c>
      <c r="C583" t="s">
        <v>1354</v>
      </c>
      <c r="D583" t="s">
        <v>1355</v>
      </c>
      <c r="E583" t="s">
        <v>715</v>
      </c>
      <c r="F583">
        <v>2024</v>
      </c>
      <c r="G583">
        <v>1</v>
      </c>
      <c r="H583">
        <v>0</v>
      </c>
      <c r="I583">
        <v>5</v>
      </c>
      <c r="J583">
        <v>0</v>
      </c>
      <c r="K583">
        <v>431410000</v>
      </c>
      <c r="L583">
        <v>2.4106999999999998</v>
      </c>
      <c r="M583">
        <v>1040000.0870000001</v>
      </c>
      <c r="N583">
        <v>2041000</v>
      </c>
      <c r="O583">
        <v>5112000</v>
      </c>
      <c r="P583">
        <v>-157720</v>
      </c>
      <c r="Q583">
        <v>0.60269954753521104</v>
      </c>
      <c r="R583">
        <v>15.4471012750395</v>
      </c>
      <c r="S583">
        <v>0.39925665101721403</v>
      </c>
      <c r="T583">
        <v>-3.08528951486698E-2</v>
      </c>
      <c r="U583">
        <v>1978</v>
      </c>
      <c r="V583">
        <v>46</v>
      </c>
      <c r="W583">
        <v>0</v>
      </c>
      <c r="X583" t="s">
        <v>832</v>
      </c>
      <c r="Y583" t="s">
        <v>1825</v>
      </c>
      <c r="Z583" t="s">
        <v>2141</v>
      </c>
    </row>
    <row r="584" spans="1:26" ht="15" customHeight="1" x14ac:dyDescent="0.3">
      <c r="A584">
        <v>695</v>
      </c>
      <c r="B584">
        <v>139</v>
      </c>
      <c r="C584" t="s">
        <v>1354</v>
      </c>
      <c r="D584" t="s">
        <v>1355</v>
      </c>
      <c r="E584" t="s">
        <v>715</v>
      </c>
      <c r="F584">
        <v>2025</v>
      </c>
      <c r="G584">
        <v>1</v>
      </c>
      <c r="H584">
        <v>0</v>
      </c>
      <c r="I584">
        <v>5</v>
      </c>
      <c r="J584">
        <v>0</v>
      </c>
      <c r="K584">
        <v>431410000</v>
      </c>
      <c r="L584">
        <v>3.8477999999999999</v>
      </c>
      <c r="M584">
        <v>1659979.398</v>
      </c>
      <c r="N584">
        <v>1099000</v>
      </c>
      <c r="O584">
        <v>4508000</v>
      </c>
      <c r="P584">
        <v>450630</v>
      </c>
      <c r="Q584">
        <v>0.61201850000000002</v>
      </c>
      <c r="R584">
        <v>15.321364154141801</v>
      </c>
      <c r="S584">
        <v>0.243788819875776</v>
      </c>
      <c r="T584">
        <v>9.9962289263531498E-2</v>
      </c>
      <c r="U584">
        <v>1978</v>
      </c>
      <c r="V584">
        <v>47</v>
      </c>
      <c r="W584">
        <v>0</v>
      </c>
      <c r="X584" t="s">
        <v>832</v>
      </c>
      <c r="Y584" t="s">
        <v>1826</v>
      </c>
      <c r="Z584" t="s">
        <v>2141</v>
      </c>
    </row>
    <row r="585" spans="1:26" ht="15" customHeight="1" x14ac:dyDescent="0.3">
      <c r="A585">
        <v>696</v>
      </c>
      <c r="B585">
        <v>140</v>
      </c>
      <c r="C585" t="s">
        <v>1357</v>
      </c>
      <c r="D585" t="s">
        <v>1358</v>
      </c>
      <c r="E585" t="s">
        <v>709</v>
      </c>
      <c r="F585">
        <v>2021</v>
      </c>
      <c r="G585">
        <v>0</v>
      </c>
      <c r="H585">
        <v>0</v>
      </c>
      <c r="I585">
        <v>0</v>
      </c>
      <c r="J585">
        <v>0</v>
      </c>
      <c r="K585">
        <v>13867000000</v>
      </c>
      <c r="L585">
        <v>0.2099</v>
      </c>
      <c r="M585">
        <v>2910683.3</v>
      </c>
      <c r="N585">
        <v>5762000</v>
      </c>
      <c r="O585">
        <v>16565000</v>
      </c>
      <c r="P585">
        <v>505300</v>
      </c>
      <c r="Q585">
        <v>0.52355468155750096</v>
      </c>
      <c r="R585">
        <v>16.622802593716099</v>
      </c>
      <c r="S585">
        <v>0.34784183519468798</v>
      </c>
      <c r="T585">
        <v>3.0504074856625402E-2</v>
      </c>
      <c r="U585">
        <v>1973</v>
      </c>
      <c r="V585">
        <v>48</v>
      </c>
      <c r="W585">
        <v>1</v>
      </c>
      <c r="X585" t="s">
        <v>722</v>
      </c>
      <c r="Y585" t="s">
        <v>1827</v>
      </c>
      <c r="Z585" t="s">
        <v>2141</v>
      </c>
    </row>
    <row r="586" spans="1:26" ht="15" customHeight="1" x14ac:dyDescent="0.3">
      <c r="A586">
        <v>697</v>
      </c>
      <c r="B586">
        <v>140</v>
      </c>
      <c r="C586" t="s">
        <v>1357</v>
      </c>
      <c r="D586" t="s">
        <v>1358</v>
      </c>
      <c r="E586" t="s">
        <v>709</v>
      </c>
      <c r="F586">
        <v>2022</v>
      </c>
      <c r="G586">
        <v>0</v>
      </c>
      <c r="H586">
        <v>0</v>
      </c>
      <c r="I586">
        <v>0</v>
      </c>
      <c r="J586">
        <v>0</v>
      </c>
      <c r="K586">
        <v>13867000000</v>
      </c>
      <c r="L586">
        <v>0.19980000000000001</v>
      </c>
      <c r="M586">
        <v>2770626.6</v>
      </c>
      <c r="N586">
        <v>4791000</v>
      </c>
      <c r="O586">
        <v>17250000</v>
      </c>
      <c r="P586">
        <v>540610</v>
      </c>
      <c r="Q586">
        <v>0.43835516521739099</v>
      </c>
      <c r="R586">
        <v>16.663322701441601</v>
      </c>
      <c r="S586">
        <v>0.27773913043478299</v>
      </c>
      <c r="T586">
        <v>3.13397101449275E-2</v>
      </c>
      <c r="U586">
        <v>1973</v>
      </c>
      <c r="V586">
        <v>49</v>
      </c>
      <c r="W586">
        <v>1</v>
      </c>
      <c r="X586" t="s">
        <v>722</v>
      </c>
      <c r="Y586" t="s">
        <v>1828</v>
      </c>
      <c r="Z586" t="s">
        <v>2141</v>
      </c>
    </row>
    <row r="587" spans="1:26" ht="15" customHeight="1" x14ac:dyDescent="0.3">
      <c r="A587">
        <v>698</v>
      </c>
      <c r="B587">
        <v>140</v>
      </c>
      <c r="C587" t="s">
        <v>1357</v>
      </c>
      <c r="D587" t="s">
        <v>1358</v>
      </c>
      <c r="E587" t="s">
        <v>709</v>
      </c>
      <c r="F587">
        <v>2023</v>
      </c>
      <c r="G587">
        <v>1</v>
      </c>
      <c r="H587">
        <v>0</v>
      </c>
      <c r="I587">
        <v>0</v>
      </c>
      <c r="J587">
        <v>0</v>
      </c>
      <c r="K587">
        <v>13867000000</v>
      </c>
      <c r="L587">
        <v>0.36990000000000001</v>
      </c>
      <c r="M587">
        <v>5129403.3</v>
      </c>
      <c r="N587">
        <v>8311000</v>
      </c>
      <c r="O587">
        <v>24680000</v>
      </c>
      <c r="P587">
        <v>2575000</v>
      </c>
      <c r="Q587">
        <v>0.54458684359805498</v>
      </c>
      <c r="R587">
        <v>17.021503757001501</v>
      </c>
      <c r="S587">
        <v>0.33675040518638599</v>
      </c>
      <c r="T587">
        <v>0.104335494327391</v>
      </c>
      <c r="U587">
        <v>1973</v>
      </c>
      <c r="V587">
        <v>50</v>
      </c>
      <c r="W587">
        <v>1</v>
      </c>
      <c r="X587" t="s">
        <v>722</v>
      </c>
      <c r="Y587" t="s">
        <v>1829</v>
      </c>
      <c r="Z587" t="s">
        <v>2141</v>
      </c>
    </row>
    <row r="588" spans="1:26" ht="15" customHeight="1" x14ac:dyDescent="0.3">
      <c r="A588">
        <v>699</v>
      </c>
      <c r="B588">
        <v>140</v>
      </c>
      <c r="C588" t="s">
        <v>1357</v>
      </c>
      <c r="D588" t="s">
        <v>1358</v>
      </c>
      <c r="E588" t="s">
        <v>709</v>
      </c>
      <c r="F588">
        <v>2024</v>
      </c>
      <c r="G588">
        <v>1</v>
      </c>
      <c r="H588">
        <v>0</v>
      </c>
      <c r="I588">
        <v>0</v>
      </c>
      <c r="J588">
        <v>0</v>
      </c>
      <c r="K588">
        <v>13867000000</v>
      </c>
      <c r="L588">
        <v>1.3601000000000001</v>
      </c>
      <c r="M588">
        <v>18860506.699999999</v>
      </c>
      <c r="N588">
        <v>22255000</v>
      </c>
      <c r="O588">
        <v>37540000</v>
      </c>
      <c r="P588">
        <v>-1224000</v>
      </c>
      <c r="Q588">
        <v>1.09524525039957</v>
      </c>
      <c r="R588">
        <v>17.440917589122598</v>
      </c>
      <c r="S588">
        <v>0.59283431006926002</v>
      </c>
      <c r="T588">
        <v>-3.2605221097496001E-2</v>
      </c>
      <c r="U588">
        <v>1973</v>
      </c>
      <c r="V588">
        <v>51</v>
      </c>
      <c r="W588">
        <v>1</v>
      </c>
      <c r="X588" t="s">
        <v>722</v>
      </c>
      <c r="Y588" t="s">
        <v>1830</v>
      </c>
      <c r="Z588" t="s">
        <v>2141</v>
      </c>
    </row>
    <row r="589" spans="1:26" ht="15" customHeight="1" x14ac:dyDescent="0.3">
      <c r="A589">
        <v>700</v>
      </c>
      <c r="B589">
        <v>140</v>
      </c>
      <c r="C589" t="s">
        <v>1357</v>
      </c>
      <c r="D589" t="s">
        <v>1358</v>
      </c>
      <c r="E589" t="s">
        <v>709</v>
      </c>
      <c r="F589">
        <v>2025</v>
      </c>
      <c r="G589">
        <v>1</v>
      </c>
      <c r="H589">
        <v>0</v>
      </c>
      <c r="I589">
        <v>5</v>
      </c>
      <c r="J589">
        <v>0</v>
      </c>
      <c r="K589">
        <v>13867000000</v>
      </c>
      <c r="L589">
        <v>1.7098</v>
      </c>
      <c r="M589">
        <v>23709796.600000001</v>
      </c>
      <c r="N589">
        <v>16270000</v>
      </c>
      <c r="O589">
        <v>35397000</v>
      </c>
      <c r="P589">
        <v>3733000</v>
      </c>
      <c r="Q589">
        <v>1.1294685029804801</v>
      </c>
      <c r="R589">
        <v>17.382137628750201</v>
      </c>
      <c r="S589">
        <v>0.45964347261067301</v>
      </c>
      <c r="T589">
        <v>0.105460914766788</v>
      </c>
      <c r="U589">
        <v>1973</v>
      </c>
      <c r="V589">
        <v>52</v>
      </c>
      <c r="W589">
        <v>1</v>
      </c>
      <c r="X589" t="s">
        <v>722</v>
      </c>
      <c r="Y589" t="s">
        <v>1831</v>
      </c>
      <c r="Z589" t="s">
        <v>2141</v>
      </c>
    </row>
    <row r="590" spans="1:26" ht="15" customHeight="1" x14ac:dyDescent="0.3">
      <c r="A590">
        <v>703</v>
      </c>
      <c r="B590">
        <v>141</v>
      </c>
      <c r="C590" t="s">
        <v>1361</v>
      </c>
      <c r="D590" t="s">
        <v>1362</v>
      </c>
      <c r="E590" t="s">
        <v>1363</v>
      </c>
      <c r="F590">
        <v>2023</v>
      </c>
      <c r="G590">
        <v>1</v>
      </c>
      <c r="H590">
        <v>0</v>
      </c>
      <c r="I590">
        <v>0</v>
      </c>
      <c r="J590">
        <v>0</v>
      </c>
      <c r="K590">
        <v>5701000000</v>
      </c>
      <c r="L590">
        <v>6.7637</v>
      </c>
      <c r="M590">
        <v>38559853.700000003</v>
      </c>
      <c r="N590">
        <v>186747000</v>
      </c>
      <c r="O590">
        <v>219277000</v>
      </c>
      <c r="P590">
        <v>-2463000</v>
      </c>
      <c r="Q590">
        <v>1.0274987969554501</v>
      </c>
      <c r="R590">
        <v>19.205846328726899</v>
      </c>
      <c r="S590">
        <v>0.85164882773843098</v>
      </c>
      <c r="T590">
        <v>-1.12323681918304E-2</v>
      </c>
      <c r="U590">
        <v>2009</v>
      </c>
      <c r="V590">
        <v>14</v>
      </c>
      <c r="W590">
        <v>1</v>
      </c>
      <c r="X590" t="s">
        <v>711</v>
      </c>
      <c r="Y590" t="s">
        <v>1832</v>
      </c>
      <c r="Z590" t="s">
        <v>2141</v>
      </c>
    </row>
    <row r="591" spans="1:26" ht="15" customHeight="1" x14ac:dyDescent="0.3">
      <c r="A591">
        <v>704</v>
      </c>
      <c r="B591">
        <v>141</v>
      </c>
      <c r="C591" t="s">
        <v>1361</v>
      </c>
      <c r="D591" t="s">
        <v>1362</v>
      </c>
      <c r="E591" t="s">
        <v>1363</v>
      </c>
      <c r="F591">
        <v>2024</v>
      </c>
      <c r="G591">
        <v>1</v>
      </c>
      <c r="H591">
        <v>0</v>
      </c>
      <c r="I591">
        <v>5</v>
      </c>
      <c r="J591">
        <v>0</v>
      </c>
      <c r="K591">
        <v>7601000000</v>
      </c>
      <c r="L591">
        <v>7.4002999999999997</v>
      </c>
      <c r="M591">
        <v>56249680.299999997</v>
      </c>
      <c r="N591">
        <v>237143000</v>
      </c>
      <c r="O591">
        <v>295669000</v>
      </c>
      <c r="P591">
        <v>6265000</v>
      </c>
      <c r="Q591">
        <v>0.99230112152440697</v>
      </c>
      <c r="R591">
        <v>19.504751143344599</v>
      </c>
      <c r="S591">
        <v>0.80205567712543402</v>
      </c>
      <c r="T591">
        <v>2.11892352596992E-2</v>
      </c>
      <c r="U591">
        <v>2009</v>
      </c>
      <c r="V591">
        <v>15</v>
      </c>
      <c r="W591">
        <v>1</v>
      </c>
      <c r="X591" t="s">
        <v>711</v>
      </c>
      <c r="Y591" t="s">
        <v>1833</v>
      </c>
      <c r="Z591" t="s">
        <v>2141</v>
      </c>
    </row>
    <row r="592" spans="1:26" ht="15" customHeight="1" x14ac:dyDescent="0.3">
      <c r="A592">
        <v>705</v>
      </c>
      <c r="B592">
        <v>141</v>
      </c>
      <c r="C592" t="s">
        <v>1361</v>
      </c>
      <c r="D592" t="s">
        <v>1362</v>
      </c>
      <c r="E592" t="s">
        <v>1363</v>
      </c>
      <c r="F592">
        <v>2025</v>
      </c>
      <c r="G592">
        <v>1</v>
      </c>
      <c r="H592">
        <v>0</v>
      </c>
      <c r="I592">
        <v>5</v>
      </c>
      <c r="J592">
        <v>0</v>
      </c>
      <c r="K592">
        <v>7601000000</v>
      </c>
      <c r="L592">
        <v>10.9999</v>
      </c>
      <c r="M592">
        <v>83610239.900000006</v>
      </c>
      <c r="N592">
        <v>376185000</v>
      </c>
      <c r="O592">
        <v>445806000</v>
      </c>
      <c r="P592">
        <v>7246000</v>
      </c>
      <c r="Q592">
        <v>1.03137965819213</v>
      </c>
      <c r="R592">
        <v>19.915394437775699</v>
      </c>
      <c r="S592">
        <v>0.84383117320089895</v>
      </c>
      <c r="T592">
        <v>1.62537067693122E-2</v>
      </c>
      <c r="U592">
        <v>2009</v>
      </c>
      <c r="V592">
        <v>16</v>
      </c>
      <c r="W592">
        <v>1</v>
      </c>
      <c r="X592" t="s">
        <v>711</v>
      </c>
      <c r="Y592" t="s">
        <v>1834</v>
      </c>
      <c r="Z592" t="s">
        <v>2141</v>
      </c>
    </row>
    <row r="593" spans="1:26" ht="15" customHeight="1" x14ac:dyDescent="0.3">
      <c r="A593">
        <v>706</v>
      </c>
      <c r="B593">
        <v>142</v>
      </c>
      <c r="C593" t="s">
        <v>1366</v>
      </c>
      <c r="D593" t="s">
        <v>1367</v>
      </c>
      <c r="E593" t="s">
        <v>806</v>
      </c>
      <c r="F593">
        <v>2021</v>
      </c>
      <c r="G593">
        <v>0</v>
      </c>
      <c r="H593">
        <v>0</v>
      </c>
      <c r="I593">
        <v>0</v>
      </c>
      <c r="J593">
        <v>0</v>
      </c>
      <c r="K593">
        <v>1501000000</v>
      </c>
      <c r="L593">
        <v>18.747499999999999</v>
      </c>
      <c r="M593">
        <v>28139997.5</v>
      </c>
      <c r="N593">
        <v>18854000</v>
      </c>
      <c r="O593">
        <v>31790000</v>
      </c>
      <c r="P593">
        <v>4237000</v>
      </c>
      <c r="Q593">
        <v>1.4782635262661199</v>
      </c>
      <c r="R593">
        <v>17.274662332887001</v>
      </c>
      <c r="S593">
        <v>0.59307958477508704</v>
      </c>
      <c r="T593">
        <v>0.13328090594526601</v>
      </c>
      <c r="U593">
        <v>1962</v>
      </c>
      <c r="V593">
        <v>59</v>
      </c>
      <c r="W593">
        <v>1</v>
      </c>
      <c r="X593" t="s">
        <v>711</v>
      </c>
      <c r="Y593" t="s">
        <v>1835</v>
      </c>
      <c r="Z593" t="s">
        <v>2141</v>
      </c>
    </row>
    <row r="594" spans="1:26" ht="15" customHeight="1" x14ac:dyDescent="0.3">
      <c r="A594">
        <v>707</v>
      </c>
      <c r="B594">
        <v>142</v>
      </c>
      <c r="C594" t="s">
        <v>1366</v>
      </c>
      <c r="D594" t="s">
        <v>1367</v>
      </c>
      <c r="E594" t="s">
        <v>806</v>
      </c>
      <c r="F594">
        <v>2022</v>
      </c>
      <c r="G594">
        <v>0</v>
      </c>
      <c r="H594">
        <v>0</v>
      </c>
      <c r="I594">
        <v>0</v>
      </c>
      <c r="J594">
        <v>0</v>
      </c>
      <c r="K594">
        <v>1501000000</v>
      </c>
      <c r="L594">
        <v>17.042000000000002</v>
      </c>
      <c r="M594">
        <v>25580042</v>
      </c>
      <c r="N594">
        <v>23768000</v>
      </c>
      <c r="O594">
        <v>39437000</v>
      </c>
      <c r="P594">
        <v>4223000</v>
      </c>
      <c r="Q594">
        <v>1.25131328447904</v>
      </c>
      <c r="R594">
        <v>17.490215019896901</v>
      </c>
      <c r="S594">
        <v>0.60268275984481601</v>
      </c>
      <c r="T594">
        <v>0.107082181707534</v>
      </c>
      <c r="U594">
        <v>1962</v>
      </c>
      <c r="V594">
        <v>60</v>
      </c>
      <c r="W594">
        <v>1</v>
      </c>
      <c r="X594" t="s">
        <v>711</v>
      </c>
      <c r="Y594" t="s">
        <v>1836</v>
      </c>
      <c r="Z594" t="s">
        <v>2141</v>
      </c>
    </row>
    <row r="595" spans="1:26" ht="15" customHeight="1" x14ac:dyDescent="0.3">
      <c r="A595">
        <v>708</v>
      </c>
      <c r="B595">
        <v>142</v>
      </c>
      <c r="C595" t="s">
        <v>1366</v>
      </c>
      <c r="D595" t="s">
        <v>1367</v>
      </c>
      <c r="E595" t="s">
        <v>806</v>
      </c>
      <c r="F595">
        <v>2023</v>
      </c>
      <c r="G595">
        <v>1</v>
      </c>
      <c r="H595">
        <v>0</v>
      </c>
      <c r="I595">
        <v>0</v>
      </c>
      <c r="J595">
        <v>0</v>
      </c>
      <c r="K595">
        <v>1501000000</v>
      </c>
      <c r="L595">
        <v>18.334399999999999</v>
      </c>
      <c r="M595">
        <v>27519934.399999999</v>
      </c>
      <c r="N595">
        <v>32255000</v>
      </c>
      <c r="O595">
        <v>49661000</v>
      </c>
      <c r="P595">
        <v>3939000</v>
      </c>
      <c r="Q595">
        <v>1.2036594994059699</v>
      </c>
      <c r="R595">
        <v>17.720730474772701</v>
      </c>
      <c r="S595">
        <v>0.64950363464287897</v>
      </c>
      <c r="T595">
        <v>7.9317774511185796E-2</v>
      </c>
      <c r="U595">
        <v>1962</v>
      </c>
      <c r="V595">
        <v>61</v>
      </c>
      <c r="W595">
        <v>1</v>
      </c>
      <c r="X595" t="s">
        <v>711</v>
      </c>
      <c r="Y595" t="s">
        <v>1837</v>
      </c>
      <c r="Z595" t="s">
        <v>2141</v>
      </c>
    </row>
    <row r="596" spans="1:26" ht="15" customHeight="1" x14ac:dyDescent="0.3">
      <c r="A596">
        <v>709</v>
      </c>
      <c r="B596">
        <v>142</v>
      </c>
      <c r="C596" t="s">
        <v>1366</v>
      </c>
      <c r="D596" t="s">
        <v>1367</v>
      </c>
      <c r="E596" t="s">
        <v>806</v>
      </c>
      <c r="F596">
        <v>2024</v>
      </c>
      <c r="G596">
        <v>1</v>
      </c>
      <c r="H596">
        <v>0</v>
      </c>
      <c r="I596">
        <v>30</v>
      </c>
      <c r="J596">
        <v>0</v>
      </c>
      <c r="K596">
        <v>1501000000</v>
      </c>
      <c r="L596">
        <v>19.167200000000001</v>
      </c>
      <c r="M596">
        <v>28769967.199999999</v>
      </c>
      <c r="N596">
        <v>27181000</v>
      </c>
      <c r="O596">
        <v>52211000</v>
      </c>
      <c r="P596">
        <v>359700</v>
      </c>
      <c r="Q596">
        <v>1.0716317864051601</v>
      </c>
      <c r="R596">
        <v>17.770803758622201</v>
      </c>
      <c r="S596">
        <v>0.52059910746777505</v>
      </c>
      <c r="T596">
        <v>6.8893528183716097E-3</v>
      </c>
      <c r="U596">
        <v>1962</v>
      </c>
      <c r="V596">
        <v>62</v>
      </c>
      <c r="W596">
        <v>1</v>
      </c>
      <c r="X596" t="s">
        <v>711</v>
      </c>
      <c r="Y596" t="s">
        <v>1838</v>
      </c>
      <c r="Z596" t="s">
        <v>2141</v>
      </c>
    </row>
    <row r="597" spans="1:26" ht="15" customHeight="1" x14ac:dyDescent="0.3">
      <c r="A597">
        <v>710</v>
      </c>
      <c r="B597">
        <v>142</v>
      </c>
      <c r="C597" t="s">
        <v>1366</v>
      </c>
      <c r="D597" t="s">
        <v>1367</v>
      </c>
      <c r="E597" t="s">
        <v>806</v>
      </c>
      <c r="F597">
        <v>2025</v>
      </c>
      <c r="G597">
        <v>1</v>
      </c>
      <c r="H597">
        <v>0</v>
      </c>
      <c r="I597">
        <v>0</v>
      </c>
      <c r="J597">
        <v>0</v>
      </c>
      <c r="K597">
        <v>1501000000</v>
      </c>
      <c r="L597">
        <v>76.668899999999994</v>
      </c>
      <c r="M597">
        <v>115080018.90000001</v>
      </c>
      <c r="N597">
        <v>29721000</v>
      </c>
      <c r="O597">
        <v>65275000</v>
      </c>
      <c r="P597">
        <v>13511000</v>
      </c>
      <c r="Q597">
        <v>2.21832277135197</v>
      </c>
      <c r="R597">
        <v>17.994119672549498</v>
      </c>
      <c r="S597">
        <v>0.455319800842589</v>
      </c>
      <c r="T597">
        <v>0.20698582918422101</v>
      </c>
      <c r="U597">
        <v>1962</v>
      </c>
      <c r="V597">
        <v>63</v>
      </c>
      <c r="W597">
        <v>1</v>
      </c>
      <c r="X597" t="s">
        <v>711</v>
      </c>
      <c r="Y597" t="s">
        <v>1839</v>
      </c>
      <c r="Z597" t="s">
        <v>2141</v>
      </c>
    </row>
    <row r="598" spans="1:26" ht="15" customHeight="1" x14ac:dyDescent="0.3">
      <c r="A598">
        <v>711</v>
      </c>
      <c r="B598">
        <v>143</v>
      </c>
      <c r="C598" t="s">
        <v>1370</v>
      </c>
      <c r="D598" t="s">
        <v>1371</v>
      </c>
      <c r="E598" t="s">
        <v>709</v>
      </c>
      <c r="F598">
        <v>2021</v>
      </c>
      <c r="G598">
        <v>0</v>
      </c>
      <c r="H598">
        <v>0</v>
      </c>
      <c r="I598">
        <v>0</v>
      </c>
      <c r="J598">
        <v>0</v>
      </c>
      <c r="K598">
        <v>23992000000</v>
      </c>
      <c r="L598">
        <v>0.56020000000000003</v>
      </c>
      <c r="M598">
        <v>13440318.4</v>
      </c>
      <c r="N598">
        <v>18213000</v>
      </c>
      <c r="O598">
        <v>39802000</v>
      </c>
      <c r="P598">
        <v>-2583000</v>
      </c>
      <c r="Q598">
        <v>0.79526954424400798</v>
      </c>
      <c r="R598">
        <v>17.499427720248399</v>
      </c>
      <c r="S598">
        <v>0.45759007085071102</v>
      </c>
      <c r="T598">
        <v>-6.4896236370031696E-2</v>
      </c>
      <c r="U598">
        <v>1958</v>
      </c>
      <c r="V598">
        <v>63</v>
      </c>
      <c r="W598">
        <v>1</v>
      </c>
      <c r="X598" t="s">
        <v>722</v>
      </c>
      <c r="Y598" t="s">
        <v>1840</v>
      </c>
      <c r="Z598" t="s">
        <v>2141</v>
      </c>
    </row>
    <row r="599" spans="1:26" ht="15" customHeight="1" x14ac:dyDescent="0.3">
      <c r="A599">
        <v>712</v>
      </c>
      <c r="B599">
        <v>143</v>
      </c>
      <c r="C599" t="s">
        <v>1370</v>
      </c>
      <c r="D599" t="s">
        <v>1371</v>
      </c>
      <c r="E599" t="s">
        <v>709</v>
      </c>
      <c r="F599">
        <v>2022</v>
      </c>
      <c r="G599">
        <v>0</v>
      </c>
      <c r="H599">
        <v>0</v>
      </c>
      <c r="I599">
        <v>0</v>
      </c>
      <c r="J599">
        <v>0</v>
      </c>
      <c r="K599">
        <v>23992000000</v>
      </c>
      <c r="L599">
        <v>0.40010000000000001</v>
      </c>
      <c r="M599">
        <v>9599199.1999999993</v>
      </c>
      <c r="N599">
        <v>17199000</v>
      </c>
      <c r="O599">
        <v>36765000</v>
      </c>
      <c r="P599">
        <v>-1968000</v>
      </c>
      <c r="Q599">
        <v>0.72890518699850404</v>
      </c>
      <c r="R599">
        <v>17.420056863612501</v>
      </c>
      <c r="S599">
        <v>0.46780905752753998</v>
      </c>
      <c r="T599">
        <v>-5.3529171766625902E-2</v>
      </c>
      <c r="U599">
        <v>1958</v>
      </c>
      <c r="V599">
        <v>64</v>
      </c>
      <c r="W599">
        <v>1</v>
      </c>
      <c r="X599" t="s">
        <v>722</v>
      </c>
      <c r="Y599" t="s">
        <v>1841</v>
      </c>
      <c r="Z599" t="s">
        <v>2141</v>
      </c>
    </row>
    <row r="600" spans="1:26" ht="15" customHeight="1" x14ac:dyDescent="0.3">
      <c r="A600">
        <v>713</v>
      </c>
      <c r="B600">
        <v>143</v>
      </c>
      <c r="C600" t="s">
        <v>1370</v>
      </c>
      <c r="D600" t="s">
        <v>1371</v>
      </c>
      <c r="E600" t="s">
        <v>709</v>
      </c>
      <c r="F600">
        <v>2023</v>
      </c>
      <c r="G600">
        <v>1</v>
      </c>
      <c r="H600">
        <v>0</v>
      </c>
      <c r="I600">
        <v>5</v>
      </c>
      <c r="J600">
        <v>0</v>
      </c>
      <c r="K600">
        <v>23992000000</v>
      </c>
      <c r="L600">
        <v>0.67979999999999996</v>
      </c>
      <c r="M600">
        <v>16309761.6</v>
      </c>
      <c r="N600">
        <v>23627000</v>
      </c>
      <c r="O600">
        <v>48014000</v>
      </c>
      <c r="P600">
        <v>1819000</v>
      </c>
      <c r="Q600">
        <v>0.83177326613071201</v>
      </c>
      <c r="R600">
        <v>17.687003193012401</v>
      </c>
      <c r="S600">
        <v>0.49208564168784102</v>
      </c>
      <c r="T600">
        <v>3.7884783604781903E-2</v>
      </c>
      <c r="U600">
        <v>1958</v>
      </c>
      <c r="V600">
        <v>65</v>
      </c>
      <c r="W600">
        <v>1</v>
      </c>
      <c r="X600" t="s">
        <v>722</v>
      </c>
      <c r="Y600" t="s">
        <v>1842</v>
      </c>
      <c r="Z600" t="s">
        <v>2141</v>
      </c>
    </row>
    <row r="601" spans="1:26" ht="15" customHeight="1" x14ac:dyDescent="0.3">
      <c r="A601">
        <v>714</v>
      </c>
      <c r="B601">
        <v>143</v>
      </c>
      <c r="C601" t="s">
        <v>1370</v>
      </c>
      <c r="D601" t="s">
        <v>1371</v>
      </c>
      <c r="E601" t="s">
        <v>709</v>
      </c>
      <c r="F601">
        <v>2024</v>
      </c>
      <c r="G601">
        <v>1</v>
      </c>
      <c r="H601">
        <v>0</v>
      </c>
      <c r="I601">
        <v>5</v>
      </c>
      <c r="J601">
        <v>0</v>
      </c>
      <c r="K601">
        <v>23992000000</v>
      </c>
      <c r="L601">
        <v>2.2498999999999998</v>
      </c>
      <c r="M601">
        <v>53979600.799999997</v>
      </c>
      <c r="N601">
        <v>37039000</v>
      </c>
      <c r="O601">
        <v>76798000</v>
      </c>
      <c r="P601">
        <v>11911000</v>
      </c>
      <c r="Q601">
        <v>1.1851688950233099</v>
      </c>
      <c r="R601">
        <v>18.156689156112101</v>
      </c>
      <c r="S601">
        <v>0.48229120550014298</v>
      </c>
      <c r="T601">
        <v>0.15509518477043699</v>
      </c>
      <c r="U601">
        <v>1958</v>
      </c>
      <c r="V601">
        <v>66</v>
      </c>
      <c r="W601">
        <v>1</v>
      </c>
      <c r="X601" t="s">
        <v>722</v>
      </c>
      <c r="Y601" t="s">
        <v>1843</v>
      </c>
      <c r="Z601" t="s">
        <v>2141</v>
      </c>
    </row>
    <row r="602" spans="1:26" ht="15" customHeight="1" x14ac:dyDescent="0.3">
      <c r="A602">
        <v>715</v>
      </c>
      <c r="B602">
        <v>143</v>
      </c>
      <c r="C602" t="s">
        <v>1370</v>
      </c>
      <c r="D602" t="s">
        <v>1371</v>
      </c>
      <c r="E602" t="s">
        <v>709</v>
      </c>
      <c r="F602">
        <v>2025</v>
      </c>
      <c r="G602">
        <v>1</v>
      </c>
      <c r="H602">
        <v>0</v>
      </c>
      <c r="I602">
        <v>0</v>
      </c>
      <c r="J602">
        <v>0</v>
      </c>
      <c r="K602">
        <v>23992000000</v>
      </c>
      <c r="L602">
        <v>3.2498</v>
      </c>
      <c r="M602">
        <v>77969201.599999994</v>
      </c>
      <c r="N602">
        <v>49608000</v>
      </c>
      <c r="O602">
        <v>98100000</v>
      </c>
      <c r="P602">
        <v>7515000</v>
      </c>
      <c r="Q602">
        <v>1.3004811580020399</v>
      </c>
      <c r="R602">
        <v>18.401497924535601</v>
      </c>
      <c r="S602">
        <v>0.50568807339449495</v>
      </c>
      <c r="T602">
        <v>7.6605504587155995E-2</v>
      </c>
      <c r="U602">
        <v>1958</v>
      </c>
      <c r="V602">
        <v>67</v>
      </c>
      <c r="W602">
        <v>1</v>
      </c>
      <c r="X602" t="s">
        <v>722</v>
      </c>
      <c r="Y602" t="s">
        <v>1844</v>
      </c>
      <c r="Z602" t="s">
        <v>2141</v>
      </c>
    </row>
    <row r="603" spans="1:26" ht="15" customHeight="1" x14ac:dyDescent="0.3">
      <c r="A603">
        <v>716</v>
      </c>
      <c r="B603">
        <v>144</v>
      </c>
      <c r="C603" t="s">
        <v>1374</v>
      </c>
      <c r="D603" t="s">
        <v>1375</v>
      </c>
      <c r="E603" t="s">
        <v>709</v>
      </c>
      <c r="F603">
        <v>2021</v>
      </c>
      <c r="G603">
        <v>0</v>
      </c>
      <c r="H603">
        <v>0</v>
      </c>
      <c r="I603">
        <v>0</v>
      </c>
      <c r="J603">
        <v>0</v>
      </c>
      <c r="K603">
        <v>12858000000</v>
      </c>
      <c r="L603">
        <v>2.1597</v>
      </c>
      <c r="M603">
        <v>27769422.600000001</v>
      </c>
      <c r="N603">
        <v>1105344000</v>
      </c>
      <c r="O603">
        <v>1175490000</v>
      </c>
      <c r="P603">
        <v>8927000</v>
      </c>
      <c r="Q603">
        <v>0.96394986141949301</v>
      </c>
      <c r="R603">
        <v>20.884950918889899</v>
      </c>
      <c r="S603">
        <v>0.94032616185590701</v>
      </c>
      <c r="T603">
        <v>7.5942798322401698E-3</v>
      </c>
      <c r="U603">
        <v>1945</v>
      </c>
      <c r="V603">
        <v>76</v>
      </c>
      <c r="W603">
        <v>1</v>
      </c>
      <c r="X603" t="s">
        <v>727</v>
      </c>
      <c r="Y603" t="s">
        <v>1845</v>
      </c>
      <c r="Z603" t="s">
        <v>2141</v>
      </c>
    </row>
    <row r="604" spans="1:26" ht="15" customHeight="1" x14ac:dyDescent="0.3">
      <c r="A604">
        <v>717</v>
      </c>
      <c r="B604">
        <v>144</v>
      </c>
      <c r="C604" t="s">
        <v>1374</v>
      </c>
      <c r="D604" t="s">
        <v>1375</v>
      </c>
      <c r="E604" t="s">
        <v>709</v>
      </c>
      <c r="F604">
        <v>2022</v>
      </c>
      <c r="G604">
        <v>0</v>
      </c>
      <c r="H604">
        <v>0</v>
      </c>
      <c r="I604">
        <v>0</v>
      </c>
      <c r="J604">
        <v>0</v>
      </c>
      <c r="K604">
        <v>12858000000</v>
      </c>
      <c r="L604">
        <v>3.9003000000000001</v>
      </c>
      <c r="M604">
        <v>50150057.399999999</v>
      </c>
      <c r="N604">
        <v>1359322000</v>
      </c>
      <c r="O604">
        <v>1441865000</v>
      </c>
      <c r="P604">
        <v>11352000</v>
      </c>
      <c r="Q604">
        <v>0.97753399756565296</v>
      </c>
      <c r="R604">
        <v>21.0892032514543</v>
      </c>
      <c r="S604">
        <v>0.94275261553612899</v>
      </c>
      <c r="T604">
        <v>7.8731365280383398E-3</v>
      </c>
      <c r="U604">
        <v>1945</v>
      </c>
      <c r="V604">
        <v>77</v>
      </c>
      <c r="W604">
        <v>1</v>
      </c>
      <c r="X604" t="s">
        <v>727</v>
      </c>
      <c r="Y604" t="s">
        <v>1846</v>
      </c>
      <c r="Z604" t="s">
        <v>2141</v>
      </c>
    </row>
    <row r="605" spans="1:26" ht="15" customHeight="1" x14ac:dyDescent="0.3">
      <c r="A605">
        <v>718</v>
      </c>
      <c r="B605">
        <v>144</v>
      </c>
      <c r="C605" t="s">
        <v>1374</v>
      </c>
      <c r="D605" t="s">
        <v>1375</v>
      </c>
      <c r="E605" t="s">
        <v>709</v>
      </c>
      <c r="F605">
        <v>2023</v>
      </c>
      <c r="G605">
        <v>1</v>
      </c>
      <c r="H605">
        <v>0</v>
      </c>
      <c r="I605">
        <v>0</v>
      </c>
      <c r="J605">
        <v>0</v>
      </c>
      <c r="K605">
        <v>12858000000</v>
      </c>
      <c r="L605">
        <v>5.6003999999999996</v>
      </c>
      <c r="M605">
        <v>72009943.200000003</v>
      </c>
      <c r="N605">
        <v>2108941000</v>
      </c>
      <c r="O605">
        <v>2248240000</v>
      </c>
      <c r="P605">
        <v>35989000</v>
      </c>
      <c r="Q605">
        <v>0.97007034088887301</v>
      </c>
      <c r="R605">
        <v>21.533413524845098</v>
      </c>
      <c r="S605">
        <v>0.93804086752303995</v>
      </c>
      <c r="T605">
        <v>1.6007632637085E-2</v>
      </c>
      <c r="U605">
        <v>1945</v>
      </c>
      <c r="V605">
        <v>78</v>
      </c>
      <c r="W605">
        <v>1</v>
      </c>
      <c r="X605" t="s">
        <v>727</v>
      </c>
      <c r="Y605" t="s">
        <v>1847</v>
      </c>
      <c r="Z605" t="s">
        <v>2141</v>
      </c>
    </row>
    <row r="606" spans="1:26" ht="15" customHeight="1" x14ac:dyDescent="0.3">
      <c r="A606">
        <v>719</v>
      </c>
      <c r="B606">
        <v>144</v>
      </c>
      <c r="C606" t="s">
        <v>1374</v>
      </c>
      <c r="D606" t="s">
        <v>1375</v>
      </c>
      <c r="E606" t="s">
        <v>709</v>
      </c>
      <c r="F606">
        <v>2024</v>
      </c>
      <c r="G606">
        <v>1</v>
      </c>
      <c r="H606">
        <v>0</v>
      </c>
      <c r="I606">
        <v>0</v>
      </c>
      <c r="J606">
        <v>0</v>
      </c>
      <c r="K606">
        <v>21430000000</v>
      </c>
      <c r="L606">
        <v>9.0998999999999999</v>
      </c>
      <c r="M606">
        <v>195010857</v>
      </c>
      <c r="N606">
        <v>3336807000</v>
      </c>
      <c r="O606">
        <v>3593228000</v>
      </c>
      <c r="P606">
        <v>86280000</v>
      </c>
      <c r="Q606">
        <v>0.98290947777318904</v>
      </c>
      <c r="R606">
        <v>22.002316799785898</v>
      </c>
      <c r="S606">
        <v>0.92863770403659296</v>
      </c>
      <c r="T606">
        <v>2.4011835597407102E-2</v>
      </c>
      <c r="U606">
        <v>1945</v>
      </c>
      <c r="V606">
        <v>79</v>
      </c>
      <c r="W606">
        <v>1</v>
      </c>
      <c r="X606" t="s">
        <v>727</v>
      </c>
      <c r="Y606" t="s">
        <v>1848</v>
      </c>
      <c r="Z606" t="s">
        <v>2141</v>
      </c>
    </row>
    <row r="607" spans="1:26" ht="15" customHeight="1" x14ac:dyDescent="0.3">
      <c r="A607">
        <v>720</v>
      </c>
      <c r="B607">
        <v>144</v>
      </c>
      <c r="C607" t="s">
        <v>1374</v>
      </c>
      <c r="D607" t="s">
        <v>1375</v>
      </c>
      <c r="E607" t="s">
        <v>709</v>
      </c>
      <c r="F607">
        <v>2025</v>
      </c>
      <c r="G607">
        <v>1</v>
      </c>
      <c r="H607">
        <v>1</v>
      </c>
      <c r="I607">
        <v>60</v>
      </c>
      <c r="J607">
        <v>13.3333333333333</v>
      </c>
      <c r="K607">
        <v>40119000000</v>
      </c>
      <c r="L607">
        <v>20.400099999999998</v>
      </c>
      <c r="M607">
        <v>818431611.89999998</v>
      </c>
      <c r="N607">
        <v>4451847000</v>
      </c>
      <c r="O607">
        <v>5072310000</v>
      </c>
      <c r="P607">
        <v>194476000</v>
      </c>
      <c r="Q607">
        <v>1.03902928091934</v>
      </c>
      <c r="R607">
        <v>22.347062172087401</v>
      </c>
      <c r="S607">
        <v>0.87767644327732297</v>
      </c>
      <c r="T607">
        <v>3.8340716557150503E-2</v>
      </c>
      <c r="U607">
        <v>1945</v>
      </c>
      <c r="V607">
        <v>80</v>
      </c>
      <c r="W607">
        <v>1</v>
      </c>
      <c r="X607" t="s">
        <v>727</v>
      </c>
      <c r="Y607" t="s">
        <v>1849</v>
      </c>
      <c r="Z607" t="s">
        <v>2141</v>
      </c>
    </row>
    <row r="608" spans="1:26" ht="15" customHeight="1" x14ac:dyDescent="0.3">
      <c r="A608">
        <v>721</v>
      </c>
      <c r="B608">
        <v>145</v>
      </c>
      <c r="C608" t="s">
        <v>1377</v>
      </c>
      <c r="D608" t="s">
        <v>1378</v>
      </c>
      <c r="E608" t="s">
        <v>709</v>
      </c>
      <c r="F608">
        <v>2021</v>
      </c>
      <c r="G608">
        <v>0</v>
      </c>
      <c r="H608">
        <v>0</v>
      </c>
      <c r="I608">
        <v>0</v>
      </c>
      <c r="J608">
        <v>0</v>
      </c>
      <c r="K608">
        <v>31396000000</v>
      </c>
      <c r="L608">
        <v>25.150300000000001</v>
      </c>
      <c r="M608">
        <v>789618818.79999995</v>
      </c>
      <c r="N608">
        <v>8168181000</v>
      </c>
      <c r="O608">
        <v>9447843000</v>
      </c>
      <c r="P608">
        <v>244402000</v>
      </c>
      <c r="Q608">
        <v>0.94813173957272601</v>
      </c>
      <c r="R608">
        <v>22.969052298429901</v>
      </c>
      <c r="S608">
        <v>0.864555115913759</v>
      </c>
      <c r="T608">
        <v>2.5868550101859199E-2</v>
      </c>
      <c r="U608">
        <v>1990</v>
      </c>
      <c r="V608">
        <v>31</v>
      </c>
      <c r="W608">
        <v>0</v>
      </c>
      <c r="X608" t="s">
        <v>1309</v>
      </c>
      <c r="Y608" t="s">
        <v>1850</v>
      </c>
      <c r="Z608" t="s">
        <v>2141</v>
      </c>
    </row>
    <row r="609" spans="1:26" ht="15" customHeight="1" x14ac:dyDescent="0.3">
      <c r="A609">
        <v>722</v>
      </c>
      <c r="B609">
        <v>145</v>
      </c>
      <c r="C609" t="s">
        <v>1377</v>
      </c>
      <c r="D609" t="s">
        <v>1378</v>
      </c>
      <c r="E609" t="s">
        <v>709</v>
      </c>
      <c r="F609">
        <v>2022</v>
      </c>
      <c r="G609">
        <v>0</v>
      </c>
      <c r="H609">
        <v>0</v>
      </c>
      <c r="I609">
        <v>0</v>
      </c>
      <c r="J609">
        <v>0</v>
      </c>
      <c r="K609">
        <v>31396000000</v>
      </c>
      <c r="L609">
        <v>24.000499999999999</v>
      </c>
      <c r="M609">
        <v>753519698</v>
      </c>
      <c r="N609">
        <v>10906689000</v>
      </c>
      <c r="O609">
        <v>12285629000</v>
      </c>
      <c r="P609">
        <v>224050000</v>
      </c>
      <c r="Q609">
        <v>0.94909334296192704</v>
      </c>
      <c r="R609">
        <v>23.231696042260001</v>
      </c>
      <c r="S609">
        <v>0.88775991851943403</v>
      </c>
      <c r="T609">
        <v>1.8236754503981802E-2</v>
      </c>
      <c r="U609">
        <v>1990</v>
      </c>
      <c r="V609">
        <v>32</v>
      </c>
      <c r="W609">
        <v>0</v>
      </c>
      <c r="X609" t="s">
        <v>1309</v>
      </c>
      <c r="Y609" t="s">
        <v>1851</v>
      </c>
      <c r="Z609" t="s">
        <v>2141</v>
      </c>
    </row>
    <row r="610" spans="1:26" ht="15" customHeight="1" x14ac:dyDescent="0.3">
      <c r="A610">
        <v>723</v>
      </c>
      <c r="B610">
        <v>145</v>
      </c>
      <c r="C610" t="s">
        <v>1377</v>
      </c>
      <c r="D610" t="s">
        <v>1378</v>
      </c>
      <c r="E610" t="s">
        <v>709</v>
      </c>
      <c r="F610">
        <v>2023</v>
      </c>
      <c r="G610">
        <v>1</v>
      </c>
      <c r="H610">
        <v>0</v>
      </c>
      <c r="I610">
        <v>0</v>
      </c>
      <c r="J610">
        <v>0</v>
      </c>
      <c r="K610">
        <v>31396000000</v>
      </c>
      <c r="L610">
        <v>38.539900000000003</v>
      </c>
      <c r="M610">
        <v>1209998700.4000001</v>
      </c>
      <c r="N610">
        <v>18045075000</v>
      </c>
      <c r="O610">
        <v>20368455000</v>
      </c>
      <c r="P610">
        <v>676569000</v>
      </c>
      <c r="Q610">
        <v>0.94533796011528604</v>
      </c>
      <c r="R610">
        <v>23.737253217475001</v>
      </c>
      <c r="S610">
        <v>0.88593243817461897</v>
      </c>
      <c r="T610">
        <v>3.3216510530622002E-2</v>
      </c>
      <c r="U610">
        <v>1990</v>
      </c>
      <c r="V610">
        <v>33</v>
      </c>
      <c r="W610">
        <v>0</v>
      </c>
      <c r="X610" t="s">
        <v>1309</v>
      </c>
      <c r="Y610" t="s">
        <v>1852</v>
      </c>
      <c r="Z610" t="s">
        <v>2141</v>
      </c>
    </row>
    <row r="611" spans="1:26" ht="15" customHeight="1" x14ac:dyDescent="0.3">
      <c r="A611">
        <v>724</v>
      </c>
      <c r="B611">
        <v>145</v>
      </c>
      <c r="C611" t="s">
        <v>1377</v>
      </c>
      <c r="D611" t="s">
        <v>1378</v>
      </c>
      <c r="E611" t="s">
        <v>709</v>
      </c>
      <c r="F611">
        <v>2024</v>
      </c>
      <c r="G611">
        <v>1</v>
      </c>
      <c r="H611">
        <v>0</v>
      </c>
      <c r="I611">
        <v>5</v>
      </c>
      <c r="J611">
        <v>0</v>
      </c>
      <c r="K611">
        <v>31396000000</v>
      </c>
      <c r="L611">
        <v>45.547199999999997</v>
      </c>
      <c r="M611">
        <v>1429999891.2</v>
      </c>
      <c r="N611">
        <v>25928252000</v>
      </c>
      <c r="O611">
        <v>29957525000</v>
      </c>
      <c r="P611">
        <v>1032711000</v>
      </c>
      <c r="Q611">
        <v>0.913234717861372</v>
      </c>
      <c r="R611">
        <v>24.1230463820362</v>
      </c>
      <c r="S611">
        <v>0.86550047108364303</v>
      </c>
      <c r="T611">
        <v>3.4472507324954299E-2</v>
      </c>
      <c r="U611">
        <v>1990</v>
      </c>
      <c r="V611">
        <v>34</v>
      </c>
      <c r="W611">
        <v>0</v>
      </c>
      <c r="X611" t="s">
        <v>1309</v>
      </c>
      <c r="Y611" t="s">
        <v>1853</v>
      </c>
      <c r="Z611" t="s">
        <v>2141</v>
      </c>
    </row>
    <row r="612" spans="1:26" ht="15" customHeight="1" x14ac:dyDescent="0.3">
      <c r="A612">
        <v>725</v>
      </c>
      <c r="B612">
        <v>145</v>
      </c>
      <c r="C612" t="s">
        <v>1377</v>
      </c>
      <c r="D612" t="s">
        <v>1378</v>
      </c>
      <c r="E612" t="s">
        <v>709</v>
      </c>
      <c r="F612">
        <v>2025</v>
      </c>
      <c r="G612">
        <v>1</v>
      </c>
      <c r="H612">
        <v>1</v>
      </c>
      <c r="I612">
        <v>85</v>
      </c>
      <c r="J612">
        <v>66.6666666666667</v>
      </c>
      <c r="K612">
        <v>41070000000</v>
      </c>
      <c r="L612">
        <v>61.845599999999997</v>
      </c>
      <c r="M612">
        <v>2539998792</v>
      </c>
      <c r="N612">
        <v>26533845000</v>
      </c>
      <c r="O612">
        <v>31458051000</v>
      </c>
      <c r="P612">
        <v>1039747000</v>
      </c>
      <c r="Q612">
        <v>0.92420995159553898</v>
      </c>
      <c r="R612">
        <v>24.171920780972801</v>
      </c>
      <c r="S612">
        <v>0.84346754349149</v>
      </c>
      <c r="T612">
        <v>3.3051856899844197E-2</v>
      </c>
      <c r="U612">
        <v>1990</v>
      </c>
      <c r="V612">
        <v>35</v>
      </c>
      <c r="W612">
        <v>0</v>
      </c>
      <c r="X612" t="s">
        <v>1309</v>
      </c>
      <c r="Y612" t="s">
        <v>1854</v>
      </c>
      <c r="Z612" t="s">
        <v>2141</v>
      </c>
    </row>
  </sheetData>
  <autoFilter ref="A1:Z612" xr:uid="{00000000-0001-0000-0600-000000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20"/>
  <sheetViews>
    <sheetView tabSelected="1" topLeftCell="A103" zoomScaleNormal="100" workbookViewId="0">
      <pane xSplit="1" topLeftCell="B1" activePane="topRight" state="frozen"/>
      <selection pane="topRight" activeCell="E2" sqref="E2"/>
    </sheetView>
  </sheetViews>
  <sheetFormatPr defaultColWidth="8.6640625" defaultRowHeight="24" customHeight="1" x14ac:dyDescent="0.3"/>
  <cols>
    <col min="1" max="1" width="12" customWidth="1"/>
    <col min="2" max="2" width="20" customWidth="1"/>
    <col min="3" max="3" width="30" customWidth="1"/>
    <col min="4" max="4" width="55" customWidth="1"/>
    <col min="5" max="5" width="57.109375" customWidth="1"/>
    <col min="6" max="6" width="82.5546875" style="41" customWidth="1"/>
  </cols>
  <sheetData>
    <row r="1" spans="1:6" ht="24" customHeight="1" x14ac:dyDescent="0.3">
      <c r="A1" s="4" t="s">
        <v>132</v>
      </c>
      <c r="B1" s="4" t="s">
        <v>1856</v>
      </c>
      <c r="C1" s="4" t="s">
        <v>1857</v>
      </c>
      <c r="D1" s="4" t="s">
        <v>1858</v>
      </c>
      <c r="E1" s="4" t="s">
        <v>1859</v>
      </c>
      <c r="F1" s="4" t="s">
        <v>706</v>
      </c>
    </row>
    <row r="2" spans="1:6" ht="24" customHeight="1" x14ac:dyDescent="0.3">
      <c r="A2" s="29" t="s">
        <v>707</v>
      </c>
      <c r="B2" s="29" t="s">
        <v>1860</v>
      </c>
      <c r="C2" s="29" t="s">
        <v>1861</v>
      </c>
      <c r="D2" s="29" t="s">
        <v>1862</v>
      </c>
      <c r="E2" s="38" t="s">
        <v>1863</v>
      </c>
      <c r="F2" s="45" t="s">
        <v>2488</v>
      </c>
    </row>
    <row r="3" spans="1:6" ht="24" customHeight="1" x14ac:dyDescent="0.3">
      <c r="A3" s="29" t="s">
        <v>713</v>
      </c>
      <c r="B3" s="29" t="s">
        <v>1864</v>
      </c>
      <c r="C3" s="29" t="s">
        <v>1861</v>
      </c>
      <c r="D3" s="29" t="s">
        <v>1865</v>
      </c>
      <c r="E3" s="38" t="s">
        <v>1866</v>
      </c>
      <c r="F3" s="45" t="s">
        <v>2489</v>
      </c>
    </row>
    <row r="4" spans="1:6" ht="24" customHeight="1" x14ac:dyDescent="0.3">
      <c r="A4" s="29" t="s">
        <v>713</v>
      </c>
      <c r="B4" s="29" t="s">
        <v>1867</v>
      </c>
      <c r="C4" s="29" t="s">
        <v>1868</v>
      </c>
      <c r="D4" s="29" t="s">
        <v>1869</v>
      </c>
      <c r="E4" s="38" t="s">
        <v>1870</v>
      </c>
      <c r="F4" s="45" t="s">
        <v>2489</v>
      </c>
    </row>
    <row r="5" spans="1:6" ht="24" customHeight="1" x14ac:dyDescent="0.3">
      <c r="A5" s="29" t="s">
        <v>713</v>
      </c>
      <c r="B5" s="29" t="s">
        <v>1871</v>
      </c>
      <c r="C5" s="29" t="s">
        <v>1868</v>
      </c>
      <c r="D5" s="29" t="s">
        <v>1872</v>
      </c>
      <c r="E5" s="38" t="s">
        <v>1873</v>
      </c>
      <c r="F5" s="45" t="s">
        <v>2489</v>
      </c>
    </row>
    <row r="6" spans="1:6" ht="24" customHeight="1" x14ac:dyDescent="0.3">
      <c r="A6" s="29" t="s">
        <v>719</v>
      </c>
      <c r="B6" s="29" t="s">
        <v>1874</v>
      </c>
      <c r="C6" s="29" t="s">
        <v>1861</v>
      </c>
      <c r="D6" s="29" t="s">
        <v>1875</v>
      </c>
      <c r="E6" s="38" t="s">
        <v>1876</v>
      </c>
      <c r="F6" s="45" t="s">
        <v>2490</v>
      </c>
    </row>
    <row r="7" spans="1:6" ht="24" customHeight="1" x14ac:dyDescent="0.3">
      <c r="A7" s="29" t="s">
        <v>719</v>
      </c>
      <c r="B7" s="29" t="s">
        <v>1867</v>
      </c>
      <c r="C7" s="29" t="s">
        <v>1877</v>
      </c>
      <c r="D7" s="29" t="s">
        <v>1878</v>
      </c>
      <c r="E7" s="38" t="s">
        <v>1879</v>
      </c>
      <c r="F7" s="45" t="s">
        <v>2490</v>
      </c>
    </row>
    <row r="8" spans="1:6" ht="24" customHeight="1" x14ac:dyDescent="0.3">
      <c r="A8" s="29" t="s">
        <v>719</v>
      </c>
      <c r="B8" s="29" t="s">
        <v>1218</v>
      </c>
      <c r="C8" s="29" t="s">
        <v>1880</v>
      </c>
      <c r="D8" s="29" t="s">
        <v>1881</v>
      </c>
      <c r="E8" s="38" t="s">
        <v>1882</v>
      </c>
      <c r="F8" s="45" t="s">
        <v>2490</v>
      </c>
    </row>
    <row r="9" spans="1:6" ht="24" customHeight="1" x14ac:dyDescent="0.3">
      <c r="A9" s="29" t="s">
        <v>719</v>
      </c>
      <c r="B9" s="29" t="s">
        <v>1883</v>
      </c>
      <c r="C9" s="29" t="s">
        <v>1884</v>
      </c>
      <c r="D9" s="29" t="s">
        <v>1885</v>
      </c>
      <c r="E9" s="38" t="s">
        <v>1886</v>
      </c>
      <c r="F9" s="45" t="s">
        <v>2490</v>
      </c>
    </row>
    <row r="10" spans="1:6" ht="24" customHeight="1" x14ac:dyDescent="0.3">
      <c r="A10" s="29" t="s">
        <v>724</v>
      </c>
      <c r="B10" s="29" t="s">
        <v>1887</v>
      </c>
      <c r="C10" s="29" t="s">
        <v>1868</v>
      </c>
      <c r="D10" s="29" t="s">
        <v>1888</v>
      </c>
      <c r="E10" s="38" t="s">
        <v>1889</v>
      </c>
      <c r="F10" s="45" t="s">
        <v>2491</v>
      </c>
    </row>
    <row r="11" spans="1:6" ht="24" customHeight="1" x14ac:dyDescent="0.3">
      <c r="A11" s="29" t="s">
        <v>724</v>
      </c>
      <c r="B11" s="29" t="s">
        <v>1864</v>
      </c>
      <c r="C11" s="29" t="s">
        <v>1890</v>
      </c>
      <c r="D11" s="29" t="s">
        <v>1891</v>
      </c>
      <c r="E11" s="38" t="s">
        <v>1892</v>
      </c>
      <c r="F11" s="45" t="s">
        <v>2491</v>
      </c>
    </row>
    <row r="12" spans="1:6" ht="24" customHeight="1" x14ac:dyDescent="0.3">
      <c r="A12" s="29" t="s">
        <v>724</v>
      </c>
      <c r="B12" s="29" t="s">
        <v>1893</v>
      </c>
      <c r="C12" s="29" t="s">
        <v>1890</v>
      </c>
      <c r="D12" s="29" t="s">
        <v>1894</v>
      </c>
      <c r="E12" s="38" t="s">
        <v>1895</v>
      </c>
      <c r="F12" s="45" t="s">
        <v>2491</v>
      </c>
    </row>
    <row r="13" spans="1:6" ht="24" customHeight="1" x14ac:dyDescent="0.3">
      <c r="A13" s="29" t="s">
        <v>724</v>
      </c>
      <c r="B13" s="29" t="s">
        <v>1871</v>
      </c>
      <c r="C13" s="29" t="s">
        <v>1896</v>
      </c>
      <c r="D13" s="29" t="s">
        <v>1897</v>
      </c>
      <c r="E13" s="38" t="s">
        <v>1898</v>
      </c>
      <c r="F13" s="45" t="s">
        <v>2491</v>
      </c>
    </row>
    <row r="14" spans="1:6" ht="24" customHeight="1" x14ac:dyDescent="0.3">
      <c r="A14" s="29" t="s">
        <v>724</v>
      </c>
      <c r="B14" s="29" t="s">
        <v>1899</v>
      </c>
      <c r="C14" s="29" t="s">
        <v>1900</v>
      </c>
      <c r="D14" s="29" t="s">
        <v>1901</v>
      </c>
      <c r="E14" s="38" t="s">
        <v>1902</v>
      </c>
      <c r="F14" s="45" t="s">
        <v>2491</v>
      </c>
    </row>
    <row r="15" spans="1:6" ht="24" customHeight="1" x14ac:dyDescent="0.3">
      <c r="A15" s="29" t="s">
        <v>729</v>
      </c>
      <c r="B15" s="29" t="s">
        <v>1218</v>
      </c>
      <c r="C15" s="29" t="s">
        <v>1903</v>
      </c>
      <c r="D15" s="29" t="s">
        <v>1904</v>
      </c>
      <c r="E15" s="38" t="s">
        <v>1905</v>
      </c>
      <c r="F15" s="45" t="s">
        <v>2492</v>
      </c>
    </row>
    <row r="16" spans="1:6" ht="24" customHeight="1" x14ac:dyDescent="0.3">
      <c r="A16" s="29" t="s">
        <v>736</v>
      </c>
      <c r="B16" s="29" t="s">
        <v>1906</v>
      </c>
      <c r="C16" s="29" t="s">
        <v>1868</v>
      </c>
      <c r="D16" s="29" t="s">
        <v>1907</v>
      </c>
      <c r="E16" s="38" t="s">
        <v>1908</v>
      </c>
      <c r="F16" s="45" t="s">
        <v>2493</v>
      </c>
    </row>
    <row r="17" spans="1:6" ht="24" customHeight="1" x14ac:dyDescent="0.3">
      <c r="A17" s="29" t="s">
        <v>736</v>
      </c>
      <c r="B17" s="29" t="s">
        <v>1867</v>
      </c>
      <c r="C17" s="29" t="s">
        <v>1868</v>
      </c>
      <c r="D17" s="29" t="s">
        <v>1909</v>
      </c>
      <c r="E17" s="38" t="s">
        <v>1910</v>
      </c>
      <c r="F17" s="45" t="s">
        <v>2493</v>
      </c>
    </row>
    <row r="18" spans="1:6" ht="24" customHeight="1" x14ac:dyDescent="0.3">
      <c r="A18" s="29" t="s">
        <v>736</v>
      </c>
      <c r="B18" s="29" t="s">
        <v>1864</v>
      </c>
      <c r="C18" s="29" t="s">
        <v>1868</v>
      </c>
      <c r="D18" s="29" t="s">
        <v>1911</v>
      </c>
      <c r="E18" s="38" t="s">
        <v>1912</v>
      </c>
      <c r="F18" s="45" t="s">
        <v>2493</v>
      </c>
    </row>
    <row r="19" spans="1:6" ht="24" customHeight="1" x14ac:dyDescent="0.3">
      <c r="A19" s="29" t="s">
        <v>740</v>
      </c>
      <c r="B19" s="29" t="s">
        <v>1913</v>
      </c>
      <c r="C19" s="29" t="s">
        <v>1868</v>
      </c>
      <c r="D19" s="29" t="s">
        <v>1914</v>
      </c>
      <c r="E19" s="38" t="s">
        <v>1915</v>
      </c>
      <c r="F19" s="45" t="s">
        <v>2494</v>
      </c>
    </row>
    <row r="20" spans="1:6" ht="24" customHeight="1" x14ac:dyDescent="0.3">
      <c r="A20" s="29" t="s">
        <v>740</v>
      </c>
      <c r="B20" s="29" t="s">
        <v>1916</v>
      </c>
      <c r="C20" s="29" t="s">
        <v>1917</v>
      </c>
      <c r="D20" s="29" t="s">
        <v>1918</v>
      </c>
      <c r="E20" s="38" t="s">
        <v>1919</v>
      </c>
      <c r="F20" s="45" t="s">
        <v>2494</v>
      </c>
    </row>
    <row r="21" spans="1:6" ht="24" customHeight="1" x14ac:dyDescent="0.3">
      <c r="A21" s="29" t="s">
        <v>746</v>
      </c>
      <c r="B21" s="29" t="s">
        <v>1906</v>
      </c>
      <c r="C21" s="29" t="s">
        <v>1861</v>
      </c>
      <c r="D21" s="29" t="s">
        <v>1920</v>
      </c>
      <c r="E21" s="38" t="s">
        <v>1921</v>
      </c>
      <c r="F21" s="45" t="s">
        <v>2495</v>
      </c>
    </row>
    <row r="22" spans="1:6" ht="24" customHeight="1" x14ac:dyDescent="0.3">
      <c r="A22" s="29" t="s">
        <v>746</v>
      </c>
      <c r="B22" s="29" t="s">
        <v>1864</v>
      </c>
      <c r="C22" s="29" t="s">
        <v>1868</v>
      </c>
      <c r="D22" s="29" t="s">
        <v>1922</v>
      </c>
      <c r="E22" s="38" t="s">
        <v>1923</v>
      </c>
      <c r="F22" s="45" t="s">
        <v>2495</v>
      </c>
    </row>
    <row r="23" spans="1:6" ht="24" customHeight="1" x14ac:dyDescent="0.3">
      <c r="A23" s="29" t="s">
        <v>746</v>
      </c>
      <c r="B23" s="29" t="s">
        <v>1924</v>
      </c>
      <c r="C23" s="29" t="s">
        <v>1925</v>
      </c>
      <c r="D23" s="29" t="s">
        <v>1926</v>
      </c>
      <c r="E23" s="38" t="s">
        <v>1927</v>
      </c>
      <c r="F23" s="45" t="s">
        <v>2495</v>
      </c>
    </row>
    <row r="24" spans="1:6" ht="24" customHeight="1" x14ac:dyDescent="0.3">
      <c r="A24" s="29" t="s">
        <v>750</v>
      </c>
      <c r="B24" s="29" t="s">
        <v>1928</v>
      </c>
      <c r="C24" s="29" t="s">
        <v>1929</v>
      </c>
      <c r="D24" s="29" t="s">
        <v>1930</v>
      </c>
      <c r="E24" s="38" t="s">
        <v>1931</v>
      </c>
      <c r="F24" s="45" t="s">
        <v>2496</v>
      </c>
    </row>
    <row r="25" spans="1:6" ht="24" customHeight="1" x14ac:dyDescent="0.3">
      <c r="A25" s="29" t="s">
        <v>750</v>
      </c>
      <c r="B25" s="29" t="s">
        <v>1932</v>
      </c>
      <c r="C25" s="29" t="s">
        <v>1933</v>
      </c>
      <c r="D25" s="29" t="s">
        <v>1934</v>
      </c>
      <c r="E25" s="38" t="s">
        <v>1935</v>
      </c>
      <c r="F25" s="45" t="s">
        <v>2496</v>
      </c>
    </row>
    <row r="26" spans="1:6" ht="24" customHeight="1" x14ac:dyDescent="0.3">
      <c r="A26" s="29" t="s">
        <v>750</v>
      </c>
      <c r="B26" s="29" t="s">
        <v>1936</v>
      </c>
      <c r="C26" s="29" t="s">
        <v>1937</v>
      </c>
      <c r="D26" s="29" t="s">
        <v>1938</v>
      </c>
      <c r="E26" s="38" t="s">
        <v>1939</v>
      </c>
      <c r="F26" s="45" t="s">
        <v>2496</v>
      </c>
    </row>
    <row r="27" spans="1:6" ht="24" customHeight="1" x14ac:dyDescent="0.3">
      <c r="A27" s="29" t="s">
        <v>756</v>
      </c>
      <c r="B27" s="29" t="s">
        <v>1913</v>
      </c>
      <c r="C27" s="29" t="s">
        <v>1940</v>
      </c>
      <c r="D27" s="29" t="s">
        <v>1941</v>
      </c>
      <c r="E27" s="38" t="s">
        <v>1942</v>
      </c>
      <c r="F27" s="45" t="s">
        <v>2497</v>
      </c>
    </row>
    <row r="28" spans="1:6" ht="24" customHeight="1" x14ac:dyDescent="0.3">
      <c r="A28" s="29" t="s">
        <v>756</v>
      </c>
      <c r="B28" s="29" t="s">
        <v>1943</v>
      </c>
      <c r="C28" s="29" t="s">
        <v>1944</v>
      </c>
      <c r="D28" s="29" t="s">
        <v>1945</v>
      </c>
      <c r="E28" s="38" t="s">
        <v>1946</v>
      </c>
      <c r="F28" s="45" t="s">
        <v>2497</v>
      </c>
    </row>
    <row r="29" spans="1:6" ht="24" customHeight="1" x14ac:dyDescent="0.3">
      <c r="A29" s="29" t="s">
        <v>764</v>
      </c>
      <c r="B29" s="29" t="s">
        <v>1906</v>
      </c>
      <c r="C29" s="29" t="s">
        <v>1868</v>
      </c>
      <c r="D29" s="29" t="s">
        <v>1947</v>
      </c>
      <c r="E29" s="38" t="s">
        <v>1948</v>
      </c>
      <c r="F29" s="45" t="s">
        <v>2498</v>
      </c>
    </row>
    <row r="30" spans="1:6" ht="24" customHeight="1" x14ac:dyDescent="0.3">
      <c r="A30" s="29" t="s">
        <v>770</v>
      </c>
      <c r="B30" s="29" t="s">
        <v>1949</v>
      </c>
      <c r="C30" s="29" t="s">
        <v>1950</v>
      </c>
      <c r="D30" s="29" t="s">
        <v>1951</v>
      </c>
      <c r="E30" s="38" t="s">
        <v>1952</v>
      </c>
      <c r="F30" s="45" t="s">
        <v>1449</v>
      </c>
    </row>
    <row r="31" spans="1:6" ht="24" customHeight="1" x14ac:dyDescent="0.3">
      <c r="A31" s="29" t="s">
        <v>770</v>
      </c>
      <c r="B31" s="29" t="s">
        <v>1953</v>
      </c>
      <c r="C31" s="29" t="s">
        <v>1954</v>
      </c>
      <c r="D31" s="29" t="s">
        <v>1955</v>
      </c>
      <c r="E31" s="38" t="s">
        <v>1956</v>
      </c>
      <c r="F31" s="45" t="s">
        <v>1449</v>
      </c>
    </row>
    <row r="32" spans="1:6" ht="24" customHeight="1" x14ac:dyDescent="0.3">
      <c r="A32" s="37" t="s">
        <v>778</v>
      </c>
      <c r="B32" s="37" t="s">
        <v>1860</v>
      </c>
      <c r="C32" s="37" t="s">
        <v>2145</v>
      </c>
      <c r="D32" s="37" t="s">
        <v>2146</v>
      </c>
      <c r="E32" s="40" t="s">
        <v>2096</v>
      </c>
      <c r="F32" s="46" t="s">
        <v>2499</v>
      </c>
    </row>
    <row r="33" spans="1:6" ht="24" customHeight="1" x14ac:dyDescent="0.3">
      <c r="A33" s="29" t="s">
        <v>786</v>
      </c>
      <c r="B33" s="29" t="s">
        <v>1864</v>
      </c>
      <c r="C33" s="29" t="s">
        <v>1861</v>
      </c>
      <c r="D33" s="29" t="s">
        <v>1957</v>
      </c>
      <c r="E33" s="38" t="s">
        <v>1958</v>
      </c>
      <c r="F33" s="45" t="s">
        <v>2500</v>
      </c>
    </row>
    <row r="34" spans="1:6" ht="24" customHeight="1" x14ac:dyDescent="0.3">
      <c r="A34" s="29" t="s">
        <v>786</v>
      </c>
      <c r="B34" s="29" t="s">
        <v>1893</v>
      </c>
      <c r="C34" s="29" t="s">
        <v>1861</v>
      </c>
      <c r="D34" s="29" t="s">
        <v>1959</v>
      </c>
      <c r="E34" s="38" t="s">
        <v>1960</v>
      </c>
      <c r="F34" s="45" t="s">
        <v>2500</v>
      </c>
    </row>
    <row r="35" spans="1:6" ht="24" customHeight="1" x14ac:dyDescent="0.3">
      <c r="A35" s="29" t="s">
        <v>786</v>
      </c>
      <c r="B35" s="29" t="s">
        <v>1961</v>
      </c>
      <c r="C35" s="29" t="s">
        <v>1962</v>
      </c>
      <c r="D35" s="29" t="s">
        <v>1963</v>
      </c>
      <c r="E35" s="38" t="s">
        <v>1964</v>
      </c>
      <c r="F35" s="45" t="s">
        <v>2500</v>
      </c>
    </row>
    <row r="36" spans="1:6" ht="24" customHeight="1" x14ac:dyDescent="0.3">
      <c r="A36" s="29" t="s">
        <v>791</v>
      </c>
      <c r="B36" s="29" t="s">
        <v>1218</v>
      </c>
      <c r="C36" s="29" t="s">
        <v>1868</v>
      </c>
      <c r="D36" s="29" t="s">
        <v>1965</v>
      </c>
      <c r="E36" s="38" t="s">
        <v>1966</v>
      </c>
      <c r="F36" s="45" t="s">
        <v>2501</v>
      </c>
    </row>
    <row r="37" spans="1:6" ht="24" customHeight="1" x14ac:dyDescent="0.3">
      <c r="A37" s="29" t="s">
        <v>791</v>
      </c>
      <c r="B37" s="29" t="s">
        <v>1874</v>
      </c>
      <c r="C37" s="29" t="s">
        <v>1868</v>
      </c>
      <c r="D37" s="29" t="s">
        <v>1967</v>
      </c>
      <c r="E37" s="38" t="s">
        <v>1968</v>
      </c>
      <c r="F37" s="45" t="s">
        <v>2501</v>
      </c>
    </row>
    <row r="38" spans="1:6" ht="24" customHeight="1" x14ac:dyDescent="0.3">
      <c r="A38" s="29" t="s">
        <v>791</v>
      </c>
      <c r="B38" s="29" t="s">
        <v>1906</v>
      </c>
      <c r="C38" s="29" t="s">
        <v>1969</v>
      </c>
      <c r="D38" s="29" t="s">
        <v>1970</v>
      </c>
      <c r="E38" s="38" t="s">
        <v>1946</v>
      </c>
      <c r="F38" s="45" t="s">
        <v>2501</v>
      </c>
    </row>
    <row r="39" spans="1:6" ht="24" customHeight="1" x14ac:dyDescent="0.3">
      <c r="A39" s="29" t="s">
        <v>796</v>
      </c>
      <c r="B39" s="29" t="s">
        <v>1971</v>
      </c>
      <c r="C39" s="29" t="s">
        <v>1972</v>
      </c>
      <c r="D39" s="29" t="s">
        <v>1973</v>
      </c>
      <c r="E39" s="38" t="s">
        <v>1974</v>
      </c>
      <c r="F39" s="45" t="s">
        <v>2502</v>
      </c>
    </row>
    <row r="40" spans="1:6" ht="24" customHeight="1" x14ac:dyDescent="0.3">
      <c r="A40" s="29" t="s">
        <v>796</v>
      </c>
      <c r="B40" s="29" t="s">
        <v>1906</v>
      </c>
      <c r="C40" s="29" t="s">
        <v>1975</v>
      </c>
      <c r="D40" s="29" t="s">
        <v>1976</v>
      </c>
      <c r="E40" s="38" t="s">
        <v>1977</v>
      </c>
      <c r="F40" s="45" t="s">
        <v>2502</v>
      </c>
    </row>
    <row r="41" spans="1:6" ht="24" customHeight="1" x14ac:dyDescent="0.3">
      <c r="A41" s="29" t="s">
        <v>796</v>
      </c>
      <c r="B41" s="29" t="s">
        <v>1978</v>
      </c>
      <c r="C41" s="29" t="s">
        <v>1954</v>
      </c>
      <c r="D41" s="29" t="s">
        <v>1979</v>
      </c>
      <c r="E41" s="38" t="s">
        <v>1956</v>
      </c>
      <c r="F41" s="45" t="s">
        <v>2502</v>
      </c>
    </row>
    <row r="42" spans="1:6" ht="24" customHeight="1" x14ac:dyDescent="0.3">
      <c r="A42" s="29" t="s">
        <v>800</v>
      </c>
      <c r="B42" s="29" t="s">
        <v>1874</v>
      </c>
      <c r="C42" s="29" t="s">
        <v>1868</v>
      </c>
      <c r="D42" s="29" t="s">
        <v>1980</v>
      </c>
      <c r="E42" s="38" t="s">
        <v>1981</v>
      </c>
      <c r="F42" s="45" t="s">
        <v>2503</v>
      </c>
    </row>
    <row r="43" spans="1:6" ht="24" customHeight="1" x14ac:dyDescent="0.3">
      <c r="A43" s="29" t="s">
        <v>800</v>
      </c>
      <c r="B43" s="29" t="s">
        <v>1867</v>
      </c>
      <c r="C43" s="29" t="s">
        <v>1868</v>
      </c>
      <c r="D43" s="29" t="s">
        <v>1982</v>
      </c>
      <c r="E43" s="38" t="s">
        <v>1983</v>
      </c>
      <c r="F43" s="45" t="s">
        <v>2503</v>
      </c>
    </row>
    <row r="44" spans="1:6" ht="24" customHeight="1" x14ac:dyDescent="0.3">
      <c r="A44" s="29" t="s">
        <v>800</v>
      </c>
      <c r="B44" s="29" t="s">
        <v>1984</v>
      </c>
      <c r="C44" s="29" t="s">
        <v>1868</v>
      </c>
      <c r="D44" s="29" t="s">
        <v>1985</v>
      </c>
      <c r="E44" s="38" t="s">
        <v>1986</v>
      </c>
      <c r="F44" s="45" t="s">
        <v>2503</v>
      </c>
    </row>
    <row r="45" spans="1:6" ht="24" customHeight="1" x14ac:dyDescent="0.3">
      <c r="A45" s="29" t="s">
        <v>804</v>
      </c>
      <c r="B45" s="29" t="s">
        <v>1864</v>
      </c>
      <c r="C45" s="29" t="s">
        <v>1868</v>
      </c>
      <c r="D45" s="29" t="s">
        <v>1987</v>
      </c>
      <c r="E45" s="38" t="s">
        <v>1988</v>
      </c>
      <c r="F45" s="45" t="s">
        <v>2504</v>
      </c>
    </row>
    <row r="46" spans="1:6" ht="24" customHeight="1" x14ac:dyDescent="0.3">
      <c r="A46" s="29" t="s">
        <v>804</v>
      </c>
      <c r="B46" s="29" t="s">
        <v>1867</v>
      </c>
      <c r="C46" s="29" t="s">
        <v>1868</v>
      </c>
      <c r="D46" s="29" t="s">
        <v>1989</v>
      </c>
      <c r="E46" s="38" t="s">
        <v>1990</v>
      </c>
      <c r="F46" s="45" t="s">
        <v>2504</v>
      </c>
    </row>
    <row r="47" spans="1:6" ht="24" customHeight="1" x14ac:dyDescent="0.3">
      <c r="A47" s="29" t="s">
        <v>809</v>
      </c>
      <c r="B47" s="29" t="s">
        <v>1913</v>
      </c>
      <c r="C47" s="29" t="s">
        <v>1868</v>
      </c>
      <c r="D47" s="29" t="s">
        <v>1991</v>
      </c>
      <c r="E47" s="38" t="s">
        <v>1992</v>
      </c>
      <c r="F47" s="45" t="s">
        <v>2505</v>
      </c>
    </row>
    <row r="48" spans="1:6" ht="24" customHeight="1" x14ac:dyDescent="0.3">
      <c r="A48" s="29" t="s">
        <v>809</v>
      </c>
      <c r="B48" s="29" t="s">
        <v>1993</v>
      </c>
      <c r="C48" s="29" t="s">
        <v>1994</v>
      </c>
      <c r="D48" s="29" t="s">
        <v>1995</v>
      </c>
      <c r="E48" s="38" t="s">
        <v>1996</v>
      </c>
      <c r="F48" s="45" t="s">
        <v>2505</v>
      </c>
    </row>
    <row r="49" spans="1:6" ht="24" customHeight="1" x14ac:dyDescent="0.3">
      <c r="A49" s="29" t="s">
        <v>809</v>
      </c>
      <c r="B49" s="29" t="s">
        <v>1997</v>
      </c>
      <c r="C49" s="29" t="s">
        <v>1868</v>
      </c>
      <c r="D49" s="29" t="s">
        <v>1998</v>
      </c>
      <c r="E49" s="38" t="s">
        <v>1999</v>
      </c>
      <c r="F49" s="45" t="s">
        <v>2505</v>
      </c>
    </row>
    <row r="50" spans="1:6" ht="24" customHeight="1" x14ac:dyDescent="0.3">
      <c r="A50" s="29" t="s">
        <v>809</v>
      </c>
      <c r="B50" s="29" t="s">
        <v>1906</v>
      </c>
      <c r="C50" s="29" t="s">
        <v>1868</v>
      </c>
      <c r="D50" s="29" t="s">
        <v>2000</v>
      </c>
      <c r="E50" s="38" t="s">
        <v>2001</v>
      </c>
      <c r="F50" s="45" t="s">
        <v>2505</v>
      </c>
    </row>
    <row r="51" spans="1:6" ht="24" customHeight="1" x14ac:dyDescent="0.3">
      <c r="A51" s="29" t="s">
        <v>814</v>
      </c>
      <c r="B51" s="29" t="s">
        <v>1864</v>
      </c>
      <c r="C51" s="29" t="s">
        <v>1868</v>
      </c>
      <c r="D51" s="29" t="s">
        <v>2002</v>
      </c>
      <c r="E51" s="38" t="s">
        <v>2003</v>
      </c>
      <c r="F51" s="45" t="s">
        <v>2506</v>
      </c>
    </row>
    <row r="52" spans="1:6" ht="24" customHeight="1" x14ac:dyDescent="0.3">
      <c r="A52" s="29" t="s">
        <v>814</v>
      </c>
      <c r="B52" s="29" t="s">
        <v>1867</v>
      </c>
      <c r="C52" s="29" t="s">
        <v>1868</v>
      </c>
      <c r="D52" s="29" t="s">
        <v>2004</v>
      </c>
      <c r="E52" s="38" t="s">
        <v>2005</v>
      </c>
      <c r="F52" s="45" t="s">
        <v>2506</v>
      </c>
    </row>
    <row r="53" spans="1:6" ht="24" customHeight="1" x14ac:dyDescent="0.3">
      <c r="A53" s="29" t="s">
        <v>814</v>
      </c>
      <c r="B53" s="29" t="s">
        <v>1871</v>
      </c>
      <c r="C53" s="29" t="s">
        <v>2006</v>
      </c>
      <c r="D53" s="29" t="s">
        <v>2007</v>
      </c>
      <c r="E53" s="38" t="s">
        <v>2008</v>
      </c>
      <c r="F53" s="45" t="s">
        <v>2506</v>
      </c>
    </row>
    <row r="54" spans="1:6" ht="24" customHeight="1" x14ac:dyDescent="0.3">
      <c r="A54" s="30" t="s">
        <v>818</v>
      </c>
      <c r="B54" s="30" t="s">
        <v>1874</v>
      </c>
      <c r="C54" s="30" t="s">
        <v>1868</v>
      </c>
      <c r="D54" s="30" t="s">
        <v>2009</v>
      </c>
      <c r="E54" s="39" t="s">
        <v>2010</v>
      </c>
      <c r="F54" s="45" t="s">
        <v>2507</v>
      </c>
    </row>
    <row r="55" spans="1:6" ht="24" customHeight="1" x14ac:dyDescent="0.3">
      <c r="A55" s="30" t="s">
        <v>818</v>
      </c>
      <c r="B55" s="30" t="s">
        <v>2011</v>
      </c>
      <c r="C55" s="30" t="s">
        <v>1972</v>
      </c>
      <c r="D55" s="30" t="s">
        <v>2012</v>
      </c>
      <c r="E55" s="39" t="s">
        <v>2013</v>
      </c>
      <c r="F55" s="45" t="s">
        <v>2508</v>
      </c>
    </row>
    <row r="56" spans="1:6" ht="24" customHeight="1" x14ac:dyDescent="0.3">
      <c r="A56" s="30" t="s">
        <v>822</v>
      </c>
      <c r="B56" s="30" t="s">
        <v>1874</v>
      </c>
      <c r="C56" s="30" t="s">
        <v>1868</v>
      </c>
      <c r="D56" s="30" t="s">
        <v>2014</v>
      </c>
      <c r="E56" s="39" t="s">
        <v>2015</v>
      </c>
      <c r="F56" s="45" t="s">
        <v>2509</v>
      </c>
    </row>
    <row r="57" spans="1:6" ht="24" customHeight="1" x14ac:dyDescent="0.3">
      <c r="A57" s="30" t="s">
        <v>822</v>
      </c>
      <c r="B57" s="30" t="s">
        <v>1906</v>
      </c>
      <c r="C57" s="30" t="s">
        <v>1868</v>
      </c>
      <c r="D57" s="30" t="s">
        <v>2016</v>
      </c>
      <c r="E57" s="39" t="s">
        <v>2017</v>
      </c>
      <c r="F57" s="45" t="s">
        <v>2509</v>
      </c>
    </row>
    <row r="58" spans="1:6" ht="24" customHeight="1" x14ac:dyDescent="0.3">
      <c r="A58" s="30" t="s">
        <v>829</v>
      </c>
      <c r="B58" s="30" t="s">
        <v>1864</v>
      </c>
      <c r="C58" s="30" t="s">
        <v>1868</v>
      </c>
      <c r="D58" s="30" t="s">
        <v>2018</v>
      </c>
      <c r="E58" s="39" t="s">
        <v>2019</v>
      </c>
      <c r="F58" s="45" t="s">
        <v>2510</v>
      </c>
    </row>
    <row r="59" spans="1:6" ht="24" customHeight="1" x14ac:dyDescent="0.3">
      <c r="A59" s="30" t="s">
        <v>829</v>
      </c>
      <c r="B59" s="30" t="s">
        <v>1893</v>
      </c>
      <c r="C59" s="30" t="s">
        <v>1868</v>
      </c>
      <c r="D59" s="30" t="s">
        <v>2020</v>
      </c>
      <c r="E59" s="39" t="s">
        <v>2021</v>
      </c>
      <c r="F59" s="45" t="s">
        <v>2510</v>
      </c>
    </row>
    <row r="60" spans="1:6" ht="24" customHeight="1" x14ac:dyDescent="0.3">
      <c r="A60" s="30" t="s">
        <v>829</v>
      </c>
      <c r="B60" s="30" t="s">
        <v>1906</v>
      </c>
      <c r="C60" s="30" t="s">
        <v>1868</v>
      </c>
      <c r="D60" s="30" t="s">
        <v>2022</v>
      </c>
      <c r="E60" s="39" t="s">
        <v>2023</v>
      </c>
      <c r="F60" s="45" t="s">
        <v>2510</v>
      </c>
    </row>
    <row r="61" spans="1:6" ht="24" customHeight="1" x14ac:dyDescent="0.3">
      <c r="A61" s="30" t="s">
        <v>834</v>
      </c>
      <c r="B61" s="30" t="s">
        <v>1864</v>
      </c>
      <c r="C61" s="30" t="s">
        <v>1868</v>
      </c>
      <c r="D61" s="30" t="s">
        <v>2024</v>
      </c>
      <c r="E61" s="39" t="s">
        <v>2025</v>
      </c>
      <c r="F61" s="45" t="s">
        <v>2511</v>
      </c>
    </row>
    <row r="62" spans="1:6" ht="24" customHeight="1" x14ac:dyDescent="0.3">
      <c r="A62" s="30" t="s">
        <v>834</v>
      </c>
      <c r="B62" s="30" t="s">
        <v>1893</v>
      </c>
      <c r="C62" s="30" t="s">
        <v>2026</v>
      </c>
      <c r="D62" s="30" t="s">
        <v>2027</v>
      </c>
      <c r="E62" s="39" t="s">
        <v>2028</v>
      </c>
      <c r="F62" s="45" t="s">
        <v>2511</v>
      </c>
    </row>
    <row r="63" spans="1:6" ht="24" customHeight="1" x14ac:dyDescent="0.3">
      <c r="A63" s="30" t="s">
        <v>834</v>
      </c>
      <c r="B63" s="30" t="s">
        <v>1906</v>
      </c>
      <c r="C63" s="30" t="s">
        <v>1868</v>
      </c>
      <c r="D63" s="30" t="s">
        <v>2029</v>
      </c>
      <c r="E63" s="39" t="s">
        <v>2030</v>
      </c>
      <c r="F63" s="45" t="s">
        <v>2511</v>
      </c>
    </row>
    <row r="64" spans="1:6" ht="24" customHeight="1" x14ac:dyDescent="0.3">
      <c r="A64" s="30" t="s">
        <v>839</v>
      </c>
      <c r="B64" s="30" t="s">
        <v>1874</v>
      </c>
      <c r="C64" s="30" t="s">
        <v>1868</v>
      </c>
      <c r="D64" s="30" t="s">
        <v>2031</v>
      </c>
      <c r="E64" s="39" t="s">
        <v>2032</v>
      </c>
      <c r="F64" s="45" t="s">
        <v>2514</v>
      </c>
    </row>
    <row r="65" spans="1:6" ht="24" customHeight="1" x14ac:dyDescent="0.3">
      <c r="A65" s="30" t="s">
        <v>839</v>
      </c>
      <c r="B65" s="30" t="s">
        <v>1218</v>
      </c>
      <c r="C65" s="30" t="s">
        <v>1975</v>
      </c>
      <c r="D65" s="30" t="s">
        <v>2033</v>
      </c>
      <c r="E65" s="39" t="s">
        <v>2034</v>
      </c>
      <c r="F65" s="45" t="s">
        <v>2514</v>
      </c>
    </row>
    <row r="66" spans="1:6" ht="24" customHeight="1" x14ac:dyDescent="0.3">
      <c r="A66" s="30" t="s">
        <v>843</v>
      </c>
      <c r="B66" s="30" t="s">
        <v>2035</v>
      </c>
      <c r="C66" s="30" t="s">
        <v>2036</v>
      </c>
      <c r="D66" s="30" t="s">
        <v>844</v>
      </c>
      <c r="E66" s="39" t="s">
        <v>2037</v>
      </c>
      <c r="F66" s="45" t="s">
        <v>2512</v>
      </c>
    </row>
    <row r="67" spans="1:6" ht="24" customHeight="1" x14ac:dyDescent="0.3">
      <c r="A67" s="30" t="s">
        <v>850</v>
      </c>
      <c r="B67" s="30" t="s">
        <v>2035</v>
      </c>
      <c r="C67" s="30" t="s">
        <v>2038</v>
      </c>
      <c r="D67" s="30" t="s">
        <v>2039</v>
      </c>
      <c r="E67" s="38" t="s">
        <v>1974</v>
      </c>
      <c r="F67" s="45" t="s">
        <v>2513</v>
      </c>
    </row>
    <row r="68" spans="1:6" ht="24" customHeight="1" x14ac:dyDescent="0.3">
      <c r="A68" s="30" t="s">
        <v>855</v>
      </c>
      <c r="B68" s="30" t="s">
        <v>2040</v>
      </c>
      <c r="C68" s="30" t="s">
        <v>2041</v>
      </c>
      <c r="D68" s="30" t="s">
        <v>2042</v>
      </c>
      <c r="E68" s="39" t="s">
        <v>2043</v>
      </c>
      <c r="F68" s="45" t="s">
        <v>2515</v>
      </c>
    </row>
    <row r="69" spans="1:6" ht="24" customHeight="1" x14ac:dyDescent="0.3">
      <c r="A69" s="30" t="s">
        <v>858</v>
      </c>
      <c r="B69" s="30" t="s">
        <v>1874</v>
      </c>
      <c r="C69" s="30" t="s">
        <v>2026</v>
      </c>
      <c r="D69" s="30" t="s">
        <v>2044</v>
      </c>
      <c r="E69" s="39" t="s">
        <v>2045</v>
      </c>
      <c r="F69" s="45" t="s">
        <v>2516</v>
      </c>
    </row>
    <row r="70" spans="1:6" ht="24" customHeight="1" x14ac:dyDescent="0.3">
      <c r="A70" s="30" t="s">
        <v>858</v>
      </c>
      <c r="B70" s="30" t="s">
        <v>1864</v>
      </c>
      <c r="C70" s="30" t="s">
        <v>2046</v>
      </c>
      <c r="D70" s="30" t="s">
        <v>2047</v>
      </c>
      <c r="E70" s="39" t="s">
        <v>2048</v>
      </c>
      <c r="F70" s="45" t="s">
        <v>2517</v>
      </c>
    </row>
    <row r="71" spans="1:6" ht="24" customHeight="1" x14ac:dyDescent="0.3">
      <c r="A71" s="30" t="s">
        <v>863</v>
      </c>
      <c r="B71" s="30" t="s">
        <v>2049</v>
      </c>
      <c r="C71" s="30" t="s">
        <v>1975</v>
      </c>
      <c r="D71" s="30" t="s">
        <v>2050</v>
      </c>
      <c r="E71" s="39" t="s">
        <v>2051</v>
      </c>
      <c r="F71" s="46" t="s">
        <v>2518</v>
      </c>
    </row>
    <row r="72" spans="1:6" ht="24" customHeight="1" x14ac:dyDescent="0.3">
      <c r="A72" s="30" t="s">
        <v>863</v>
      </c>
      <c r="B72" s="30" t="s">
        <v>1906</v>
      </c>
      <c r="C72" s="30" t="s">
        <v>2052</v>
      </c>
      <c r="D72" s="30" t="s">
        <v>2053</v>
      </c>
      <c r="E72" s="39" t="s">
        <v>2054</v>
      </c>
      <c r="F72" s="46" t="s">
        <v>2518</v>
      </c>
    </row>
    <row r="73" spans="1:6" ht="24" customHeight="1" x14ac:dyDescent="0.3">
      <c r="A73" t="s">
        <v>855</v>
      </c>
      <c r="B73" t="s">
        <v>1871</v>
      </c>
      <c r="C73" t="s">
        <v>2055</v>
      </c>
      <c r="D73" t="s">
        <v>2056</v>
      </c>
      <c r="E73" s="40" t="s">
        <v>2057</v>
      </c>
      <c r="F73" s="47" t="s">
        <v>2058</v>
      </c>
    </row>
    <row r="74" spans="1:6" ht="24" customHeight="1" x14ac:dyDescent="0.3">
      <c r="A74" t="s">
        <v>855</v>
      </c>
      <c r="B74" t="s">
        <v>1867</v>
      </c>
      <c r="C74" t="s">
        <v>2059</v>
      </c>
      <c r="D74" t="s">
        <v>2060</v>
      </c>
      <c r="E74" s="40" t="s">
        <v>2061</v>
      </c>
      <c r="F74" s="47" t="s">
        <v>2520</v>
      </c>
    </row>
    <row r="75" spans="1:6" ht="24" customHeight="1" x14ac:dyDescent="0.3">
      <c r="A75" t="s">
        <v>855</v>
      </c>
      <c r="B75" t="s">
        <v>1864</v>
      </c>
      <c r="C75" t="s">
        <v>2063</v>
      </c>
      <c r="D75" t="s">
        <v>2064</v>
      </c>
      <c r="E75" s="40" t="s">
        <v>2057</v>
      </c>
      <c r="F75" s="47" t="s">
        <v>2062</v>
      </c>
    </row>
    <row r="76" spans="1:6" ht="24" customHeight="1" x14ac:dyDescent="0.3">
      <c r="A76" t="s">
        <v>868</v>
      </c>
      <c r="B76" t="s">
        <v>1860</v>
      </c>
      <c r="C76" t="s">
        <v>2065</v>
      </c>
      <c r="D76" s="36" t="s">
        <v>2066</v>
      </c>
      <c r="E76" s="40" t="s">
        <v>2067</v>
      </c>
      <c r="F76" s="47" t="s">
        <v>2068</v>
      </c>
    </row>
    <row r="77" spans="1:6" ht="24" customHeight="1" x14ac:dyDescent="0.3">
      <c r="A77" t="s">
        <v>874</v>
      </c>
      <c r="B77" t="s">
        <v>2069</v>
      </c>
      <c r="C77" t="s">
        <v>2065</v>
      </c>
      <c r="D77" t="s">
        <v>2070</v>
      </c>
      <c r="E77" s="40" t="s">
        <v>2071</v>
      </c>
      <c r="F77" s="47" t="s">
        <v>2072</v>
      </c>
    </row>
    <row r="78" spans="1:6" ht="24" customHeight="1" x14ac:dyDescent="0.3">
      <c r="A78" t="s">
        <v>878</v>
      </c>
      <c r="B78" t="s">
        <v>1860</v>
      </c>
      <c r="C78" t="s">
        <v>2065</v>
      </c>
      <c r="D78" t="s">
        <v>2073</v>
      </c>
      <c r="E78" s="40" t="s">
        <v>2074</v>
      </c>
      <c r="F78" s="47" t="s">
        <v>2075</v>
      </c>
    </row>
    <row r="79" spans="1:6" ht="24" customHeight="1" x14ac:dyDescent="0.3">
      <c r="A79" t="s">
        <v>882</v>
      </c>
      <c r="B79" t="s">
        <v>1860</v>
      </c>
      <c r="C79" t="s">
        <v>2065</v>
      </c>
      <c r="D79" t="s">
        <v>2073</v>
      </c>
      <c r="E79" s="40" t="s">
        <v>2076</v>
      </c>
      <c r="F79" s="47" t="s">
        <v>2077</v>
      </c>
    </row>
    <row r="80" spans="1:6" ht="24" customHeight="1" x14ac:dyDescent="0.3">
      <c r="A80" t="s">
        <v>888</v>
      </c>
      <c r="B80" t="s">
        <v>1860</v>
      </c>
      <c r="C80" t="s">
        <v>2065</v>
      </c>
      <c r="D80" t="s">
        <v>2073</v>
      </c>
      <c r="E80" s="40" t="s">
        <v>2078</v>
      </c>
      <c r="F80" s="47" t="s">
        <v>2079</v>
      </c>
    </row>
    <row r="81" spans="1:6" ht="24" customHeight="1" x14ac:dyDescent="0.3">
      <c r="A81" t="s">
        <v>892</v>
      </c>
      <c r="B81" t="s">
        <v>1860</v>
      </c>
      <c r="C81" t="s">
        <v>2065</v>
      </c>
      <c r="D81" t="s">
        <v>2073</v>
      </c>
      <c r="E81" s="40" t="s">
        <v>2080</v>
      </c>
      <c r="F81" s="47" t="s">
        <v>2081</v>
      </c>
    </row>
    <row r="82" spans="1:6" ht="24" customHeight="1" x14ac:dyDescent="0.3">
      <c r="A82" t="s">
        <v>855</v>
      </c>
      <c r="B82" t="s">
        <v>1864</v>
      </c>
      <c r="C82" t="s">
        <v>2082</v>
      </c>
      <c r="D82" t="s">
        <v>2083</v>
      </c>
      <c r="E82" s="40" t="s">
        <v>2084</v>
      </c>
      <c r="F82" s="47" t="s">
        <v>2085</v>
      </c>
    </row>
    <row r="83" spans="1:6" ht="24" customHeight="1" x14ac:dyDescent="0.3">
      <c r="A83" t="s">
        <v>874</v>
      </c>
      <c r="B83" t="s">
        <v>1218</v>
      </c>
      <c r="C83" t="s">
        <v>2082</v>
      </c>
      <c r="D83" t="s">
        <v>2086</v>
      </c>
      <c r="E83" s="40" t="s">
        <v>2087</v>
      </c>
      <c r="F83" s="47" t="s">
        <v>2088</v>
      </c>
    </row>
    <row r="84" spans="1:6" ht="24" customHeight="1" x14ac:dyDescent="0.3">
      <c r="A84" t="s">
        <v>2089</v>
      </c>
      <c r="B84" t="s">
        <v>1860</v>
      </c>
      <c r="C84" t="s">
        <v>2065</v>
      </c>
      <c r="D84" t="s">
        <v>2090</v>
      </c>
      <c r="E84" s="40" t="s">
        <v>2091</v>
      </c>
      <c r="F84" s="47" t="s">
        <v>2092</v>
      </c>
    </row>
    <row r="85" spans="1:6" ht="24" customHeight="1" x14ac:dyDescent="0.3">
      <c r="A85" t="s">
        <v>878</v>
      </c>
      <c r="B85" t="s">
        <v>2093</v>
      </c>
      <c r="C85" t="s">
        <v>2094</v>
      </c>
      <c r="D85" t="s">
        <v>2095</v>
      </c>
      <c r="E85" s="38" t="s">
        <v>1974</v>
      </c>
      <c r="F85" s="47" t="s">
        <v>2522</v>
      </c>
    </row>
    <row r="86" spans="1:6" ht="24" customHeight="1" x14ac:dyDescent="0.3">
      <c r="A86" t="s">
        <v>882</v>
      </c>
      <c r="B86" t="s">
        <v>2093</v>
      </c>
      <c r="C86" t="s">
        <v>2094</v>
      </c>
      <c r="D86" t="s">
        <v>2097</v>
      </c>
      <c r="E86" s="38" t="s">
        <v>1974</v>
      </c>
      <c r="F86" s="47" t="s">
        <v>2098</v>
      </c>
    </row>
    <row r="87" spans="1:6" ht="24" customHeight="1" x14ac:dyDescent="0.3">
      <c r="A87" t="s">
        <v>901</v>
      </c>
      <c r="B87" t="s">
        <v>2069</v>
      </c>
      <c r="C87" t="s">
        <v>2065</v>
      </c>
      <c r="D87" t="s">
        <v>2099</v>
      </c>
      <c r="E87" s="40" t="s">
        <v>2100</v>
      </c>
      <c r="F87" s="47" t="s">
        <v>2101</v>
      </c>
    </row>
    <row r="88" spans="1:6" ht="24" customHeight="1" x14ac:dyDescent="0.3">
      <c r="A88" t="s">
        <v>907</v>
      </c>
      <c r="B88" t="s">
        <v>2069</v>
      </c>
      <c r="C88" t="s">
        <v>2065</v>
      </c>
      <c r="D88" t="s">
        <v>2102</v>
      </c>
      <c r="E88" s="40" t="s">
        <v>2103</v>
      </c>
      <c r="F88" s="47" t="s">
        <v>2104</v>
      </c>
    </row>
    <row r="89" spans="1:6" ht="24" customHeight="1" x14ac:dyDescent="0.3">
      <c r="A89" t="s">
        <v>912</v>
      </c>
      <c r="B89" t="s">
        <v>1860</v>
      </c>
      <c r="C89" t="s">
        <v>2065</v>
      </c>
      <c r="D89" t="s">
        <v>2105</v>
      </c>
      <c r="E89" s="40" t="s">
        <v>2106</v>
      </c>
      <c r="F89" s="47" t="s">
        <v>2107</v>
      </c>
    </row>
    <row r="90" spans="1:6" ht="24" customHeight="1" x14ac:dyDescent="0.3">
      <c r="A90" t="s">
        <v>916</v>
      </c>
      <c r="B90" t="s">
        <v>2108</v>
      </c>
      <c r="C90" t="s">
        <v>2109</v>
      </c>
      <c r="D90" t="s">
        <v>2110</v>
      </c>
      <c r="E90" s="40" t="s">
        <v>2111</v>
      </c>
      <c r="F90" s="46" t="s">
        <v>2523</v>
      </c>
    </row>
    <row r="91" spans="1:6" ht="24" customHeight="1" x14ac:dyDescent="0.3">
      <c r="A91" t="s">
        <v>921</v>
      </c>
      <c r="B91" t="s">
        <v>1860</v>
      </c>
      <c r="C91" t="s">
        <v>2065</v>
      </c>
      <c r="D91" t="s">
        <v>2105</v>
      </c>
      <c r="E91" s="40" t="s">
        <v>2112</v>
      </c>
      <c r="F91" s="47" t="s">
        <v>2113</v>
      </c>
    </row>
    <row r="92" spans="1:6" ht="24" customHeight="1" x14ac:dyDescent="0.3">
      <c r="A92" t="s">
        <v>896</v>
      </c>
      <c r="B92" t="s">
        <v>2114</v>
      </c>
      <c r="C92" t="s">
        <v>2115</v>
      </c>
      <c r="D92" t="s">
        <v>2116</v>
      </c>
      <c r="E92" s="40" t="s">
        <v>2117</v>
      </c>
      <c r="F92" s="47" t="s">
        <v>2118</v>
      </c>
    </row>
    <row r="93" spans="1:6" ht="24" customHeight="1" x14ac:dyDescent="0.3">
      <c r="A93" t="s">
        <v>916</v>
      </c>
      <c r="B93" t="s">
        <v>1860</v>
      </c>
      <c r="C93" t="s">
        <v>2119</v>
      </c>
      <c r="D93" t="s">
        <v>2120</v>
      </c>
      <c r="E93" s="40" t="s">
        <v>2121</v>
      </c>
      <c r="F93" s="47" t="s">
        <v>2122</v>
      </c>
    </row>
    <row r="94" spans="1:6" ht="24" customHeight="1" x14ac:dyDescent="0.3">
      <c r="A94" t="s">
        <v>925</v>
      </c>
      <c r="B94" t="s">
        <v>2069</v>
      </c>
      <c r="C94" t="s">
        <v>2065</v>
      </c>
      <c r="D94" t="s">
        <v>2123</v>
      </c>
      <c r="E94" s="40" t="s">
        <v>2124</v>
      </c>
      <c r="F94" s="47" t="s">
        <v>2125</v>
      </c>
    </row>
    <row r="95" spans="1:6" ht="24" customHeight="1" x14ac:dyDescent="0.3">
      <c r="A95" t="s">
        <v>930</v>
      </c>
      <c r="B95" t="s">
        <v>1860</v>
      </c>
      <c r="C95" t="s">
        <v>2065</v>
      </c>
      <c r="D95" t="s">
        <v>2126</v>
      </c>
      <c r="E95" s="40" t="s">
        <v>2127</v>
      </c>
      <c r="F95" s="47" t="s">
        <v>2128</v>
      </c>
    </row>
    <row r="96" spans="1:6" ht="24" customHeight="1" x14ac:dyDescent="0.3">
      <c r="A96" t="s">
        <v>935</v>
      </c>
      <c r="B96" t="s">
        <v>1860</v>
      </c>
      <c r="C96" t="s">
        <v>2065</v>
      </c>
      <c r="D96" t="s">
        <v>2126</v>
      </c>
      <c r="E96" s="40" t="s">
        <v>2129</v>
      </c>
      <c r="F96" s="47" t="s">
        <v>2130</v>
      </c>
    </row>
    <row r="97" spans="1:6" ht="24" customHeight="1" x14ac:dyDescent="0.3">
      <c r="A97" t="s">
        <v>939</v>
      </c>
      <c r="B97" t="s">
        <v>1860</v>
      </c>
      <c r="C97" t="s">
        <v>2065</v>
      </c>
      <c r="D97" t="s">
        <v>2105</v>
      </c>
      <c r="E97" s="40" t="s">
        <v>2131</v>
      </c>
      <c r="F97" s="47" t="s">
        <v>2132</v>
      </c>
    </row>
    <row r="98" spans="1:6" ht="24" customHeight="1" x14ac:dyDescent="0.3">
      <c r="A98" t="s">
        <v>943</v>
      </c>
      <c r="B98" t="s">
        <v>1860</v>
      </c>
      <c r="C98" t="s">
        <v>2065</v>
      </c>
      <c r="D98" t="s">
        <v>2126</v>
      </c>
      <c r="E98" s="40" t="s">
        <v>2133</v>
      </c>
      <c r="F98" s="47" t="s">
        <v>2134</v>
      </c>
    </row>
    <row r="99" spans="1:6" ht="24" customHeight="1" x14ac:dyDescent="0.3">
      <c r="A99" t="s">
        <v>947</v>
      </c>
      <c r="B99" t="s">
        <v>2135</v>
      </c>
      <c r="C99" t="s">
        <v>2065</v>
      </c>
      <c r="D99" t="s">
        <v>2136</v>
      </c>
      <c r="E99" s="40" t="s">
        <v>2137</v>
      </c>
      <c r="F99" s="47" t="s">
        <v>2138</v>
      </c>
    </row>
    <row r="100" spans="1:6" ht="24" customHeight="1" x14ac:dyDescent="0.3">
      <c r="A100" t="s">
        <v>952</v>
      </c>
      <c r="B100" t="s">
        <v>1860</v>
      </c>
      <c r="C100" t="s">
        <v>2065</v>
      </c>
      <c r="D100" t="s">
        <v>2105</v>
      </c>
      <c r="E100" s="40" t="s">
        <v>2139</v>
      </c>
      <c r="F100" s="47" t="s">
        <v>2140</v>
      </c>
    </row>
    <row r="101" spans="1:6" ht="24" customHeight="1" x14ac:dyDescent="0.3">
      <c r="A101" s="37" t="s">
        <v>957</v>
      </c>
      <c r="B101" s="37" t="s">
        <v>1218</v>
      </c>
      <c r="C101" s="37" t="s">
        <v>2147</v>
      </c>
      <c r="D101" s="37" t="s">
        <v>2148</v>
      </c>
      <c r="E101" s="38" t="s">
        <v>1974</v>
      </c>
      <c r="F101" s="46" t="s">
        <v>2149</v>
      </c>
    </row>
    <row r="102" spans="1:6" ht="24" customHeight="1" x14ac:dyDescent="0.3">
      <c r="A102" s="37" t="s">
        <v>957</v>
      </c>
      <c r="B102" s="37" t="s">
        <v>1928</v>
      </c>
      <c r="C102" s="37" t="s">
        <v>2150</v>
      </c>
      <c r="D102" s="37" t="s">
        <v>2151</v>
      </c>
      <c r="E102" s="39" t="s">
        <v>2152</v>
      </c>
      <c r="F102" s="46" t="s">
        <v>2153</v>
      </c>
    </row>
    <row r="103" spans="1:6" ht="24" customHeight="1" x14ac:dyDescent="0.3">
      <c r="A103" s="37" t="s">
        <v>962</v>
      </c>
      <c r="B103" s="37" t="s">
        <v>1864</v>
      </c>
      <c r="C103" s="37" t="s">
        <v>2150</v>
      </c>
      <c r="D103" s="37" t="s">
        <v>2154</v>
      </c>
      <c r="E103" s="39" t="s">
        <v>2155</v>
      </c>
      <c r="F103" s="46" t="s">
        <v>2156</v>
      </c>
    </row>
    <row r="104" spans="1:6" ht="24" customHeight="1" x14ac:dyDescent="0.3">
      <c r="A104" s="37" t="s">
        <v>962</v>
      </c>
      <c r="B104" s="37" t="s">
        <v>1867</v>
      </c>
      <c r="C104" s="37" t="s">
        <v>2157</v>
      </c>
      <c r="D104" s="37" t="s">
        <v>2158</v>
      </c>
      <c r="E104" s="39" t="s">
        <v>2159</v>
      </c>
      <c r="F104" s="46" t="s">
        <v>2160</v>
      </c>
    </row>
    <row r="105" spans="1:6" ht="24" customHeight="1" x14ac:dyDescent="0.3">
      <c r="A105" s="37" t="s">
        <v>962</v>
      </c>
      <c r="B105" s="37" t="s">
        <v>1871</v>
      </c>
      <c r="C105" s="37" t="s">
        <v>2161</v>
      </c>
      <c r="D105" s="37" t="s">
        <v>2162</v>
      </c>
      <c r="E105" s="38" t="s">
        <v>1974</v>
      </c>
      <c r="F105" s="46" t="s">
        <v>2163</v>
      </c>
    </row>
    <row r="106" spans="1:6" ht="24" customHeight="1" x14ac:dyDescent="0.3">
      <c r="A106" s="37" t="s">
        <v>968</v>
      </c>
      <c r="B106" s="37" t="s">
        <v>1860</v>
      </c>
      <c r="C106" s="37" t="s">
        <v>2150</v>
      </c>
      <c r="D106" s="37" t="s">
        <v>2164</v>
      </c>
      <c r="E106" s="39" t="s">
        <v>2165</v>
      </c>
      <c r="F106" s="46" t="s">
        <v>2166</v>
      </c>
    </row>
    <row r="107" spans="1:6" ht="24" customHeight="1" x14ac:dyDescent="0.3">
      <c r="A107" s="37" t="s">
        <v>972</v>
      </c>
      <c r="B107" s="37" t="s">
        <v>1860</v>
      </c>
      <c r="C107" s="37" t="s">
        <v>2150</v>
      </c>
      <c r="D107" s="37" t="s">
        <v>2167</v>
      </c>
      <c r="E107" s="39" t="s">
        <v>2168</v>
      </c>
      <c r="F107" s="46" t="s">
        <v>2169</v>
      </c>
    </row>
    <row r="108" spans="1:6" ht="24" customHeight="1" x14ac:dyDescent="0.3">
      <c r="A108" s="37" t="s">
        <v>977</v>
      </c>
      <c r="B108" s="37" t="s">
        <v>1218</v>
      </c>
      <c r="C108" s="37" t="s">
        <v>2157</v>
      </c>
      <c r="D108" s="37" t="s">
        <v>2170</v>
      </c>
      <c r="E108" s="39" t="s">
        <v>2171</v>
      </c>
      <c r="F108" s="46" t="s">
        <v>2172</v>
      </c>
    </row>
    <row r="109" spans="1:6" ht="24" customHeight="1" x14ac:dyDescent="0.3">
      <c r="A109" s="37" t="s">
        <v>977</v>
      </c>
      <c r="B109" s="37" t="s">
        <v>1928</v>
      </c>
      <c r="C109" s="37" t="s">
        <v>2150</v>
      </c>
      <c r="D109" s="37" t="s">
        <v>2173</v>
      </c>
      <c r="E109" s="39" t="s">
        <v>2174</v>
      </c>
      <c r="F109" s="46" t="s">
        <v>2175</v>
      </c>
    </row>
    <row r="110" spans="1:6" ht="24" customHeight="1" x14ac:dyDescent="0.3">
      <c r="A110" s="37" t="s">
        <v>981</v>
      </c>
      <c r="B110" s="37" t="s">
        <v>1860</v>
      </c>
      <c r="C110" s="37" t="s">
        <v>2150</v>
      </c>
      <c r="D110" s="37" t="s">
        <v>2176</v>
      </c>
      <c r="E110" s="39" t="s">
        <v>2177</v>
      </c>
      <c r="F110" s="46" t="s">
        <v>2178</v>
      </c>
    </row>
    <row r="111" spans="1:6" ht="24" customHeight="1" x14ac:dyDescent="0.3">
      <c r="A111" s="37" t="s">
        <v>985</v>
      </c>
      <c r="B111" s="37" t="s">
        <v>2049</v>
      </c>
      <c r="C111" s="37" t="s">
        <v>2179</v>
      </c>
      <c r="D111" s="37" t="s">
        <v>2180</v>
      </c>
      <c r="E111" s="38" t="s">
        <v>1974</v>
      </c>
      <c r="F111" s="46" t="s">
        <v>2181</v>
      </c>
    </row>
    <row r="112" spans="1:6" ht="24" customHeight="1" x14ac:dyDescent="0.3">
      <c r="A112" s="37" t="s">
        <v>985</v>
      </c>
      <c r="B112" s="37" t="s">
        <v>1887</v>
      </c>
      <c r="C112" s="37" t="s">
        <v>2182</v>
      </c>
      <c r="D112" s="37" t="s">
        <v>2183</v>
      </c>
      <c r="E112" s="39" t="s">
        <v>2184</v>
      </c>
      <c r="F112" s="46" t="s">
        <v>2185</v>
      </c>
    </row>
    <row r="113" spans="1:6" ht="24" customHeight="1" x14ac:dyDescent="0.3">
      <c r="A113" s="37" t="s">
        <v>985</v>
      </c>
      <c r="B113" s="37" t="s">
        <v>1871</v>
      </c>
      <c r="C113" s="37" t="s">
        <v>2150</v>
      </c>
      <c r="D113" s="37" t="s">
        <v>2186</v>
      </c>
      <c r="E113" s="39" t="s">
        <v>2187</v>
      </c>
      <c r="F113" s="46" t="s">
        <v>2188</v>
      </c>
    </row>
    <row r="114" spans="1:6" ht="24" customHeight="1" x14ac:dyDescent="0.3">
      <c r="A114" s="37" t="s">
        <v>990</v>
      </c>
      <c r="B114" s="37" t="s">
        <v>1860</v>
      </c>
      <c r="C114" s="37" t="s">
        <v>2150</v>
      </c>
      <c r="D114" s="37" t="s">
        <v>2189</v>
      </c>
      <c r="E114" s="39" t="s">
        <v>2190</v>
      </c>
      <c r="F114" s="46" t="s">
        <v>2191</v>
      </c>
    </row>
    <row r="115" spans="1:6" ht="24" customHeight="1" x14ac:dyDescent="0.3">
      <c r="A115" s="37" t="s">
        <v>995</v>
      </c>
      <c r="B115" s="37" t="s">
        <v>1860</v>
      </c>
      <c r="C115" s="37" t="s">
        <v>2150</v>
      </c>
      <c r="D115" s="37" t="s">
        <v>2192</v>
      </c>
      <c r="E115" s="39" t="s">
        <v>2193</v>
      </c>
      <c r="F115" s="46" t="s">
        <v>2194</v>
      </c>
    </row>
    <row r="116" spans="1:6" ht="24" customHeight="1" x14ac:dyDescent="0.3">
      <c r="A116" s="37" t="s">
        <v>1000</v>
      </c>
      <c r="B116" s="37" t="s">
        <v>1860</v>
      </c>
      <c r="C116" s="37" t="s">
        <v>2150</v>
      </c>
      <c r="D116" s="37" t="s">
        <v>2195</v>
      </c>
      <c r="E116" s="39" t="s">
        <v>2196</v>
      </c>
      <c r="F116" s="46" t="s">
        <v>2197</v>
      </c>
    </row>
    <row r="117" spans="1:6" ht="24" customHeight="1" x14ac:dyDescent="0.3">
      <c r="A117" s="37" t="s">
        <v>1004</v>
      </c>
      <c r="B117" s="37" t="s">
        <v>1860</v>
      </c>
      <c r="C117" s="37" t="s">
        <v>2150</v>
      </c>
      <c r="D117" s="37" t="s">
        <v>2198</v>
      </c>
      <c r="E117" s="39" t="s">
        <v>2199</v>
      </c>
      <c r="F117" s="46" t="s">
        <v>2200</v>
      </c>
    </row>
    <row r="118" spans="1:6" ht="24" customHeight="1" x14ac:dyDescent="0.3">
      <c r="A118" s="37" t="s">
        <v>1009</v>
      </c>
      <c r="B118" s="37" t="s">
        <v>1860</v>
      </c>
      <c r="C118" s="37" t="s">
        <v>2150</v>
      </c>
      <c r="D118" s="37" t="s">
        <v>2201</v>
      </c>
      <c r="E118" s="39" t="s">
        <v>2202</v>
      </c>
      <c r="F118" s="46" t="s">
        <v>2203</v>
      </c>
    </row>
    <row r="119" spans="1:6" ht="24" customHeight="1" x14ac:dyDescent="0.3">
      <c r="A119" s="37" t="s">
        <v>1014</v>
      </c>
      <c r="B119" s="37" t="s">
        <v>1860</v>
      </c>
      <c r="C119" s="37" t="s">
        <v>2150</v>
      </c>
      <c r="D119" s="37" t="s">
        <v>2204</v>
      </c>
      <c r="E119" s="39" t="s">
        <v>2205</v>
      </c>
      <c r="F119" s="46" t="s">
        <v>2206</v>
      </c>
    </row>
    <row r="120" spans="1:6" ht="24" customHeight="1" x14ac:dyDescent="0.3">
      <c r="A120" s="37" t="s">
        <v>1020</v>
      </c>
      <c r="B120" s="37" t="s">
        <v>1860</v>
      </c>
      <c r="C120" s="37" t="s">
        <v>2150</v>
      </c>
      <c r="D120" s="37" t="s">
        <v>2207</v>
      </c>
      <c r="E120" s="39" t="s">
        <v>2208</v>
      </c>
      <c r="F120" s="46" t="s">
        <v>2209</v>
      </c>
    </row>
    <row r="121" spans="1:6" ht="24" customHeight="1" x14ac:dyDescent="0.3">
      <c r="A121" s="37" t="s">
        <v>1024</v>
      </c>
      <c r="B121" s="37" t="s">
        <v>1860</v>
      </c>
      <c r="C121" s="37" t="s">
        <v>2150</v>
      </c>
      <c r="D121" s="37" t="s">
        <v>2210</v>
      </c>
      <c r="E121" s="39" t="s">
        <v>2211</v>
      </c>
      <c r="F121" s="46" t="s">
        <v>2212</v>
      </c>
    </row>
    <row r="122" spans="1:6" ht="24" customHeight="1" x14ac:dyDescent="0.3">
      <c r="A122" s="37" t="s">
        <v>1028</v>
      </c>
      <c r="B122" s="37" t="s">
        <v>1860</v>
      </c>
      <c r="C122" s="37" t="s">
        <v>2150</v>
      </c>
      <c r="D122" s="37" t="s">
        <v>2213</v>
      </c>
      <c r="E122" s="39" t="s">
        <v>2214</v>
      </c>
      <c r="F122" s="46" t="s">
        <v>2215</v>
      </c>
    </row>
    <row r="123" spans="1:6" ht="24" customHeight="1" x14ac:dyDescent="0.3">
      <c r="A123" s="37" t="s">
        <v>1032</v>
      </c>
      <c r="B123" s="37" t="s">
        <v>1860</v>
      </c>
      <c r="C123" s="37" t="s">
        <v>2150</v>
      </c>
      <c r="D123" s="37" t="s">
        <v>2216</v>
      </c>
      <c r="E123" s="39" t="s">
        <v>2217</v>
      </c>
      <c r="F123" s="46" t="s">
        <v>2218</v>
      </c>
    </row>
    <row r="124" spans="1:6" ht="24" customHeight="1" x14ac:dyDescent="0.3">
      <c r="A124" s="37" t="s">
        <v>1036</v>
      </c>
      <c r="B124" s="37" t="s">
        <v>1860</v>
      </c>
      <c r="C124" s="37" t="s">
        <v>2150</v>
      </c>
      <c r="D124" s="37" t="s">
        <v>2219</v>
      </c>
      <c r="E124" s="39" t="s">
        <v>2220</v>
      </c>
      <c r="F124" s="46" t="s">
        <v>2221</v>
      </c>
    </row>
    <row r="125" spans="1:6" ht="24" customHeight="1" x14ac:dyDescent="0.3">
      <c r="A125" s="37" t="s">
        <v>1041</v>
      </c>
      <c r="B125" s="37" t="s">
        <v>1860</v>
      </c>
      <c r="C125" s="37" t="s">
        <v>2150</v>
      </c>
      <c r="D125" s="37" t="s">
        <v>2222</v>
      </c>
      <c r="E125" s="39" t="s">
        <v>2223</v>
      </c>
      <c r="F125" s="46" t="s">
        <v>1580</v>
      </c>
    </row>
    <row r="126" spans="1:6" ht="24" customHeight="1" x14ac:dyDescent="0.3">
      <c r="A126" s="37" t="s">
        <v>1045</v>
      </c>
      <c r="B126" s="37" t="s">
        <v>1218</v>
      </c>
      <c r="C126" s="37" t="s">
        <v>2157</v>
      </c>
      <c r="D126" s="37" t="s">
        <v>2224</v>
      </c>
      <c r="E126" s="39" t="s">
        <v>2225</v>
      </c>
      <c r="F126" s="46" t="s">
        <v>2226</v>
      </c>
    </row>
    <row r="127" spans="1:6" ht="24" customHeight="1" x14ac:dyDescent="0.3">
      <c r="A127" s="37" t="s">
        <v>1045</v>
      </c>
      <c r="B127" s="37" t="s">
        <v>1928</v>
      </c>
      <c r="C127" s="37" t="s">
        <v>2150</v>
      </c>
      <c r="D127" s="37" t="s">
        <v>2227</v>
      </c>
      <c r="E127" s="39" t="s">
        <v>2228</v>
      </c>
      <c r="F127" s="46" t="s">
        <v>2229</v>
      </c>
    </row>
    <row r="128" spans="1:6" ht="24" customHeight="1" x14ac:dyDescent="0.3">
      <c r="A128" s="37" t="s">
        <v>1049</v>
      </c>
      <c r="B128" s="37" t="s">
        <v>2230</v>
      </c>
      <c r="C128" s="37" t="s">
        <v>2179</v>
      </c>
      <c r="D128" s="37" t="s">
        <v>2231</v>
      </c>
      <c r="E128" s="38" t="s">
        <v>1974</v>
      </c>
      <c r="F128" s="46" t="s">
        <v>2232</v>
      </c>
    </row>
    <row r="129" spans="1:6" ht="24" customHeight="1" x14ac:dyDescent="0.3">
      <c r="A129" s="37" t="s">
        <v>1049</v>
      </c>
      <c r="B129" s="37" t="s">
        <v>1871</v>
      </c>
      <c r="C129" s="37" t="s">
        <v>2233</v>
      </c>
      <c r="D129" s="37" t="s">
        <v>2234</v>
      </c>
      <c r="E129" s="39" t="s">
        <v>2235</v>
      </c>
      <c r="F129" s="46" t="s">
        <v>2236</v>
      </c>
    </row>
    <row r="130" spans="1:6" ht="24" customHeight="1" x14ac:dyDescent="0.3">
      <c r="A130" s="37" t="s">
        <v>1054</v>
      </c>
      <c r="B130" s="37" t="s">
        <v>1860</v>
      </c>
      <c r="C130" s="37" t="s">
        <v>2150</v>
      </c>
      <c r="D130" s="37" t="s">
        <v>2237</v>
      </c>
      <c r="E130" s="39" t="s">
        <v>2238</v>
      </c>
      <c r="F130" s="46" t="s">
        <v>1584</v>
      </c>
    </row>
    <row r="131" spans="1:6" ht="24" customHeight="1" x14ac:dyDescent="0.3">
      <c r="A131" s="37" t="s">
        <v>1059</v>
      </c>
      <c r="B131" s="37" t="s">
        <v>1860</v>
      </c>
      <c r="C131" s="37" t="s">
        <v>2150</v>
      </c>
      <c r="D131" s="37" t="s">
        <v>2239</v>
      </c>
      <c r="E131" s="39" t="s">
        <v>2240</v>
      </c>
      <c r="F131" s="46" t="s">
        <v>2241</v>
      </c>
    </row>
    <row r="132" spans="1:6" ht="24" customHeight="1" x14ac:dyDescent="0.3">
      <c r="A132" s="37" t="s">
        <v>1064</v>
      </c>
      <c r="B132" s="37" t="s">
        <v>1860</v>
      </c>
      <c r="C132" s="37" t="s">
        <v>2150</v>
      </c>
      <c r="D132" s="37" t="s">
        <v>2242</v>
      </c>
      <c r="E132" s="39" t="s">
        <v>2243</v>
      </c>
      <c r="F132" s="46" t="s">
        <v>2244</v>
      </c>
    </row>
    <row r="133" spans="1:6" ht="24" customHeight="1" x14ac:dyDescent="0.3">
      <c r="A133" s="37" t="s">
        <v>1067</v>
      </c>
      <c r="B133" s="37" t="s">
        <v>1860</v>
      </c>
      <c r="C133" s="37" t="s">
        <v>2150</v>
      </c>
      <c r="D133" s="37" t="s">
        <v>2245</v>
      </c>
      <c r="E133" s="39" t="s">
        <v>2246</v>
      </c>
      <c r="F133" s="46" t="s">
        <v>2247</v>
      </c>
    </row>
    <row r="134" spans="1:6" ht="24" customHeight="1" x14ac:dyDescent="0.3">
      <c r="A134" s="37" t="s">
        <v>1071</v>
      </c>
      <c r="B134" s="37" t="s">
        <v>1860</v>
      </c>
      <c r="C134" s="37" t="s">
        <v>2150</v>
      </c>
      <c r="D134" s="37" t="s">
        <v>2248</v>
      </c>
      <c r="E134" s="39" t="s">
        <v>2249</v>
      </c>
      <c r="F134" s="46" t="s">
        <v>2250</v>
      </c>
    </row>
    <row r="135" spans="1:6" ht="24" customHeight="1" x14ac:dyDescent="0.3">
      <c r="A135" s="37" t="s">
        <v>1075</v>
      </c>
      <c r="B135" s="37" t="s">
        <v>1860</v>
      </c>
      <c r="C135" s="37" t="s">
        <v>2150</v>
      </c>
      <c r="D135" s="37" t="s">
        <v>2251</v>
      </c>
      <c r="E135" s="39" t="s">
        <v>2252</v>
      </c>
      <c r="F135" s="46" t="s">
        <v>2253</v>
      </c>
    </row>
    <row r="136" spans="1:6" ht="24" customHeight="1" x14ac:dyDescent="0.3">
      <c r="A136" s="37" t="s">
        <v>1079</v>
      </c>
      <c r="B136" s="37" t="s">
        <v>1860</v>
      </c>
      <c r="C136" s="37" t="s">
        <v>2150</v>
      </c>
      <c r="D136" s="37" t="s">
        <v>2254</v>
      </c>
      <c r="E136" s="39" t="s">
        <v>2255</v>
      </c>
      <c r="F136" s="46" t="s">
        <v>2256</v>
      </c>
    </row>
    <row r="137" spans="1:6" ht="24" customHeight="1" x14ac:dyDescent="0.3">
      <c r="A137" s="37" t="s">
        <v>1084</v>
      </c>
      <c r="B137" s="37" t="s">
        <v>1864</v>
      </c>
      <c r="C137" s="37" t="s">
        <v>2179</v>
      </c>
      <c r="D137" s="37" t="s">
        <v>2257</v>
      </c>
      <c r="E137" s="40" t="s">
        <v>2096</v>
      </c>
      <c r="F137" s="46" t="s">
        <v>2258</v>
      </c>
    </row>
    <row r="138" spans="1:6" ht="24" customHeight="1" x14ac:dyDescent="0.3">
      <c r="A138" s="37" t="s">
        <v>1084</v>
      </c>
      <c r="B138" s="37" t="s">
        <v>2259</v>
      </c>
      <c r="C138" s="37" t="s">
        <v>2150</v>
      </c>
      <c r="D138" s="37" t="s">
        <v>2260</v>
      </c>
      <c r="E138" s="39" t="s">
        <v>2261</v>
      </c>
      <c r="F138" s="46" t="s">
        <v>2262</v>
      </c>
    </row>
    <row r="139" spans="1:6" ht="24" customHeight="1" x14ac:dyDescent="0.3">
      <c r="A139" s="37" t="s">
        <v>1089</v>
      </c>
      <c r="B139" s="37" t="s">
        <v>1860</v>
      </c>
      <c r="C139" s="37" t="s">
        <v>2150</v>
      </c>
      <c r="D139" s="37" t="s">
        <v>2263</v>
      </c>
      <c r="E139" s="39" t="s">
        <v>2264</v>
      </c>
      <c r="F139" s="46" t="s">
        <v>2265</v>
      </c>
    </row>
    <row r="140" spans="1:6" ht="24" customHeight="1" x14ac:dyDescent="0.3">
      <c r="A140" s="37" t="s">
        <v>1092</v>
      </c>
      <c r="B140" s="37" t="s">
        <v>1860</v>
      </c>
      <c r="C140" s="37" t="s">
        <v>2145</v>
      </c>
      <c r="D140" s="37" t="s">
        <v>2266</v>
      </c>
      <c r="E140" s="38" t="s">
        <v>1974</v>
      </c>
      <c r="F140" s="46" t="s">
        <v>2267</v>
      </c>
    </row>
    <row r="141" spans="1:6" ht="24" customHeight="1" x14ac:dyDescent="0.3">
      <c r="A141" s="37" t="s">
        <v>1096</v>
      </c>
      <c r="B141" s="37" t="s">
        <v>1860</v>
      </c>
      <c r="C141" s="37" t="s">
        <v>2150</v>
      </c>
      <c r="D141" s="37" t="s">
        <v>2268</v>
      </c>
      <c r="E141" s="39" t="s">
        <v>2269</v>
      </c>
      <c r="F141" s="46" t="s">
        <v>1596</v>
      </c>
    </row>
    <row r="142" spans="1:6" ht="24" customHeight="1" x14ac:dyDescent="0.3">
      <c r="A142" s="37" t="s">
        <v>1099</v>
      </c>
      <c r="B142" s="37" t="s">
        <v>1860</v>
      </c>
      <c r="C142" s="37" t="s">
        <v>2150</v>
      </c>
      <c r="D142" s="37" t="s">
        <v>2270</v>
      </c>
      <c r="E142" s="39" t="s">
        <v>2271</v>
      </c>
      <c r="F142" s="46" t="s">
        <v>2272</v>
      </c>
    </row>
    <row r="143" spans="1:6" ht="24" customHeight="1" x14ac:dyDescent="0.3">
      <c r="A143" s="37" t="s">
        <v>1103</v>
      </c>
      <c r="B143" s="37" t="s">
        <v>1860</v>
      </c>
      <c r="C143" s="37" t="s">
        <v>2150</v>
      </c>
      <c r="D143" s="37" t="s">
        <v>2273</v>
      </c>
      <c r="E143" s="39" t="s">
        <v>2274</v>
      </c>
      <c r="F143" s="46" t="s">
        <v>2275</v>
      </c>
    </row>
    <row r="144" spans="1:6" ht="24" customHeight="1" x14ac:dyDescent="0.3">
      <c r="A144" s="37" t="s">
        <v>1108</v>
      </c>
      <c r="B144" s="37" t="s">
        <v>1860</v>
      </c>
      <c r="C144" s="37" t="s">
        <v>2150</v>
      </c>
      <c r="D144" s="37" t="s">
        <v>2276</v>
      </c>
      <c r="E144" s="39" t="s">
        <v>2277</v>
      </c>
      <c r="F144" s="46" t="s">
        <v>2278</v>
      </c>
    </row>
    <row r="145" spans="1:6" ht="24" customHeight="1" x14ac:dyDescent="0.3">
      <c r="A145" s="37" t="s">
        <v>1113</v>
      </c>
      <c r="B145" s="37" t="s">
        <v>1860</v>
      </c>
      <c r="C145" s="37" t="s">
        <v>2150</v>
      </c>
      <c r="D145" s="37" t="s">
        <v>2279</v>
      </c>
      <c r="E145" s="39" t="s">
        <v>2280</v>
      </c>
      <c r="F145" s="46" t="s">
        <v>1603</v>
      </c>
    </row>
    <row r="146" spans="1:6" ht="24" customHeight="1" x14ac:dyDescent="0.3">
      <c r="A146" s="37" t="s">
        <v>1117</v>
      </c>
      <c r="B146" s="37" t="s">
        <v>1860</v>
      </c>
      <c r="C146" s="37" t="s">
        <v>2150</v>
      </c>
      <c r="D146" s="37" t="s">
        <v>2281</v>
      </c>
      <c r="E146" s="39" t="s">
        <v>2282</v>
      </c>
      <c r="F146" s="46" t="s">
        <v>1604</v>
      </c>
    </row>
    <row r="147" spans="1:6" ht="24" customHeight="1" x14ac:dyDescent="0.3">
      <c r="A147" s="37" t="s">
        <v>1121</v>
      </c>
      <c r="B147" s="37" t="s">
        <v>1860</v>
      </c>
      <c r="C147" s="37" t="s">
        <v>2150</v>
      </c>
      <c r="D147" s="37" t="s">
        <v>2283</v>
      </c>
      <c r="E147" s="39" t="s">
        <v>2284</v>
      </c>
      <c r="F147" s="46" t="s">
        <v>2285</v>
      </c>
    </row>
    <row r="148" spans="1:6" ht="24" customHeight="1" x14ac:dyDescent="0.3">
      <c r="A148" s="37" t="s">
        <v>1126</v>
      </c>
      <c r="B148" s="37" t="s">
        <v>1860</v>
      </c>
      <c r="C148" s="37" t="s">
        <v>2150</v>
      </c>
      <c r="D148" s="37" t="s">
        <v>2286</v>
      </c>
      <c r="E148" s="39" t="s">
        <v>2287</v>
      </c>
      <c r="F148" s="46" t="s">
        <v>2288</v>
      </c>
    </row>
    <row r="149" spans="1:6" ht="24" customHeight="1" x14ac:dyDescent="0.3">
      <c r="A149" s="37" t="s">
        <v>1131</v>
      </c>
      <c r="B149" s="37" t="s">
        <v>1218</v>
      </c>
      <c r="C149" s="37" t="s">
        <v>2289</v>
      </c>
      <c r="D149" s="37" t="s">
        <v>2290</v>
      </c>
      <c r="E149" s="39" t="s">
        <v>2291</v>
      </c>
      <c r="F149" s="46" t="s">
        <v>2292</v>
      </c>
    </row>
    <row r="150" spans="1:6" ht="24" customHeight="1" x14ac:dyDescent="0.3">
      <c r="A150" s="37" t="s">
        <v>1131</v>
      </c>
      <c r="B150" s="37" t="s">
        <v>1928</v>
      </c>
      <c r="C150" s="37" t="s">
        <v>2150</v>
      </c>
      <c r="D150" s="37" t="s">
        <v>2293</v>
      </c>
      <c r="E150" s="39" t="s">
        <v>2294</v>
      </c>
      <c r="F150" s="46" t="s">
        <v>1612</v>
      </c>
    </row>
    <row r="151" spans="1:6" ht="24" customHeight="1" x14ac:dyDescent="0.3">
      <c r="A151" s="37" t="s">
        <v>1135</v>
      </c>
      <c r="B151" s="37" t="s">
        <v>1860</v>
      </c>
      <c r="C151" s="37" t="s">
        <v>2150</v>
      </c>
      <c r="D151" s="37" t="s">
        <v>2295</v>
      </c>
      <c r="E151" s="39" t="s">
        <v>2296</v>
      </c>
      <c r="F151" s="46" t="s">
        <v>1614</v>
      </c>
    </row>
    <row r="152" spans="1:6" ht="24" customHeight="1" x14ac:dyDescent="0.3">
      <c r="A152" s="37" t="s">
        <v>1139</v>
      </c>
      <c r="B152" s="37" t="s">
        <v>1860</v>
      </c>
      <c r="C152" s="37" t="s">
        <v>2150</v>
      </c>
      <c r="D152" s="37" t="s">
        <v>2297</v>
      </c>
      <c r="E152" s="39" t="s">
        <v>2298</v>
      </c>
      <c r="F152" s="46" t="s">
        <v>2299</v>
      </c>
    </row>
    <row r="153" spans="1:6" ht="24" customHeight="1" x14ac:dyDescent="0.3">
      <c r="A153" s="37" t="s">
        <v>1143</v>
      </c>
      <c r="B153" s="37" t="s">
        <v>1860</v>
      </c>
      <c r="C153" s="37" t="s">
        <v>2150</v>
      </c>
      <c r="D153" s="37" t="s">
        <v>2300</v>
      </c>
      <c r="E153" s="39" t="s">
        <v>2301</v>
      </c>
      <c r="F153" s="46" t="s">
        <v>2302</v>
      </c>
    </row>
    <row r="154" spans="1:6" ht="24" customHeight="1" x14ac:dyDescent="0.3">
      <c r="A154" s="37" t="s">
        <v>1147</v>
      </c>
      <c r="B154" s="37" t="s">
        <v>1860</v>
      </c>
      <c r="C154" s="37" t="s">
        <v>2145</v>
      </c>
      <c r="D154" s="37" t="s">
        <v>2303</v>
      </c>
      <c r="E154" s="38" t="s">
        <v>1974</v>
      </c>
      <c r="F154" s="46" t="s">
        <v>2304</v>
      </c>
    </row>
    <row r="155" spans="1:6" ht="24" customHeight="1" x14ac:dyDescent="0.3">
      <c r="A155" s="37" t="s">
        <v>1152</v>
      </c>
      <c r="B155" s="37" t="s">
        <v>1218</v>
      </c>
      <c r="C155" s="37" t="s">
        <v>2157</v>
      </c>
      <c r="D155" s="37" t="s">
        <v>2305</v>
      </c>
      <c r="E155" s="39" t="s">
        <v>2306</v>
      </c>
      <c r="F155" s="46" t="s">
        <v>2307</v>
      </c>
    </row>
    <row r="156" spans="1:6" ht="24" customHeight="1" x14ac:dyDescent="0.3">
      <c r="A156" s="37" t="s">
        <v>1152</v>
      </c>
      <c r="B156" s="37" t="s">
        <v>1928</v>
      </c>
      <c r="C156" s="37" t="s">
        <v>2150</v>
      </c>
      <c r="D156" s="37" t="s">
        <v>2308</v>
      </c>
      <c r="E156" s="39" t="s">
        <v>2309</v>
      </c>
      <c r="F156" s="46" t="s">
        <v>2310</v>
      </c>
    </row>
    <row r="157" spans="1:6" ht="24" customHeight="1" x14ac:dyDescent="0.3">
      <c r="A157" s="37" t="s">
        <v>1156</v>
      </c>
      <c r="B157" s="37" t="s">
        <v>1860</v>
      </c>
      <c r="C157" s="37" t="s">
        <v>2150</v>
      </c>
      <c r="D157" s="37" t="s">
        <v>2311</v>
      </c>
      <c r="E157" s="39" t="s">
        <v>2312</v>
      </c>
      <c r="F157" s="46" t="s">
        <v>2313</v>
      </c>
    </row>
    <row r="158" spans="1:6" ht="24" customHeight="1" x14ac:dyDescent="0.3">
      <c r="A158" s="37" t="s">
        <v>1161</v>
      </c>
      <c r="B158" s="37" t="s">
        <v>1860</v>
      </c>
      <c r="C158" s="37" t="s">
        <v>2145</v>
      </c>
      <c r="D158" s="37" t="s">
        <v>2314</v>
      </c>
      <c r="E158" s="38" t="s">
        <v>1974</v>
      </c>
      <c r="F158" s="46" t="s">
        <v>2315</v>
      </c>
    </row>
    <row r="159" spans="1:6" ht="24" customHeight="1" x14ac:dyDescent="0.3">
      <c r="A159" s="37" t="s">
        <v>1164</v>
      </c>
      <c r="B159" s="37" t="s">
        <v>1860</v>
      </c>
      <c r="C159" s="37" t="s">
        <v>2150</v>
      </c>
      <c r="D159" s="37" t="s">
        <v>2316</v>
      </c>
      <c r="E159" s="39" t="s">
        <v>2317</v>
      </c>
      <c r="F159" s="46" t="s">
        <v>2318</v>
      </c>
    </row>
    <row r="160" spans="1:6" ht="24" customHeight="1" x14ac:dyDescent="0.3">
      <c r="A160" s="37" t="s">
        <v>1169</v>
      </c>
      <c r="B160" s="37" t="s">
        <v>1860</v>
      </c>
      <c r="C160" s="37" t="s">
        <v>2150</v>
      </c>
      <c r="D160" s="37" t="s">
        <v>2319</v>
      </c>
      <c r="E160" s="39" t="s">
        <v>2320</v>
      </c>
      <c r="F160" s="46" t="s">
        <v>2321</v>
      </c>
    </row>
    <row r="161" spans="1:6" ht="24" customHeight="1" x14ac:dyDescent="0.3">
      <c r="A161" s="37" t="s">
        <v>1174</v>
      </c>
      <c r="B161" s="37" t="s">
        <v>1860</v>
      </c>
      <c r="C161" s="37" t="s">
        <v>2150</v>
      </c>
      <c r="D161" s="37" t="s">
        <v>2322</v>
      </c>
      <c r="E161" s="39" t="s">
        <v>2323</v>
      </c>
      <c r="F161" s="46" t="s">
        <v>2324</v>
      </c>
    </row>
    <row r="162" spans="1:6" ht="24" customHeight="1" x14ac:dyDescent="0.3">
      <c r="A162" s="37" t="s">
        <v>1178</v>
      </c>
      <c r="B162" s="37" t="s">
        <v>1860</v>
      </c>
      <c r="C162" s="37" t="s">
        <v>2150</v>
      </c>
      <c r="D162" s="37" t="s">
        <v>2325</v>
      </c>
      <c r="E162" s="39" t="s">
        <v>2326</v>
      </c>
      <c r="F162" s="46" t="s">
        <v>2327</v>
      </c>
    </row>
    <row r="163" spans="1:6" ht="24" customHeight="1" x14ac:dyDescent="0.3">
      <c r="A163" s="37" t="s">
        <v>1183</v>
      </c>
      <c r="B163" s="37" t="s">
        <v>1860</v>
      </c>
      <c r="C163" s="37" t="s">
        <v>2150</v>
      </c>
      <c r="D163" s="37" t="s">
        <v>2328</v>
      </c>
      <c r="E163" s="39" t="s">
        <v>2329</v>
      </c>
      <c r="F163" s="46" t="s">
        <v>2330</v>
      </c>
    </row>
    <row r="164" spans="1:6" ht="24" customHeight="1" x14ac:dyDescent="0.3">
      <c r="A164" s="37" t="s">
        <v>1190</v>
      </c>
      <c r="B164" s="37" t="s">
        <v>1860</v>
      </c>
      <c r="C164" s="37" t="s">
        <v>2150</v>
      </c>
      <c r="D164" s="37" t="s">
        <v>2331</v>
      </c>
      <c r="E164" s="39" t="s">
        <v>2332</v>
      </c>
      <c r="F164" s="46" t="s">
        <v>1651</v>
      </c>
    </row>
    <row r="165" spans="1:6" ht="24" customHeight="1" x14ac:dyDescent="0.3">
      <c r="A165" s="37" t="s">
        <v>1194</v>
      </c>
      <c r="B165" s="37" t="s">
        <v>1860</v>
      </c>
      <c r="C165" s="37" t="s">
        <v>2150</v>
      </c>
      <c r="D165" s="37" t="s">
        <v>2333</v>
      </c>
      <c r="E165" s="39" t="s">
        <v>2334</v>
      </c>
      <c r="F165" s="46" t="s">
        <v>2335</v>
      </c>
    </row>
    <row r="166" spans="1:6" ht="24" customHeight="1" x14ac:dyDescent="0.3">
      <c r="A166" s="37" t="s">
        <v>1199</v>
      </c>
      <c r="B166" s="37" t="s">
        <v>1860</v>
      </c>
      <c r="C166" s="37" t="s">
        <v>2150</v>
      </c>
      <c r="D166" s="37" t="s">
        <v>2336</v>
      </c>
      <c r="E166" s="39" t="s">
        <v>2337</v>
      </c>
      <c r="F166" s="46" t="s">
        <v>1661</v>
      </c>
    </row>
    <row r="167" spans="1:6" ht="24" customHeight="1" x14ac:dyDescent="0.3">
      <c r="A167" s="37" t="s">
        <v>1203</v>
      </c>
      <c r="B167" s="37" t="s">
        <v>1860</v>
      </c>
      <c r="C167" s="37" t="s">
        <v>2150</v>
      </c>
      <c r="D167" s="37" t="s">
        <v>2338</v>
      </c>
      <c r="E167" s="39" t="s">
        <v>2339</v>
      </c>
      <c r="F167" s="46" t="s">
        <v>2340</v>
      </c>
    </row>
    <row r="168" spans="1:6" ht="24" customHeight="1" x14ac:dyDescent="0.3">
      <c r="A168" s="37" t="s">
        <v>1207</v>
      </c>
      <c r="B168" s="37" t="s">
        <v>1218</v>
      </c>
      <c r="C168" s="37" t="s">
        <v>2341</v>
      </c>
      <c r="D168" s="37" t="s">
        <v>2342</v>
      </c>
      <c r="E168" s="39" t="s">
        <v>2343</v>
      </c>
      <c r="F168" s="46" t="s">
        <v>2344</v>
      </c>
    </row>
    <row r="169" spans="1:6" ht="24" customHeight="1" x14ac:dyDescent="0.3">
      <c r="A169" s="37" t="s">
        <v>1207</v>
      </c>
      <c r="B169" s="37" t="s">
        <v>1928</v>
      </c>
      <c r="C169" s="37" t="s">
        <v>2150</v>
      </c>
      <c r="D169" s="37" t="s">
        <v>2345</v>
      </c>
      <c r="E169" s="39" t="s">
        <v>2346</v>
      </c>
      <c r="F169" s="46" t="s">
        <v>2347</v>
      </c>
    </row>
    <row r="170" spans="1:6" ht="24" customHeight="1" x14ac:dyDescent="0.3">
      <c r="A170" s="37" t="s">
        <v>1211</v>
      </c>
      <c r="B170" s="37" t="s">
        <v>1860</v>
      </c>
      <c r="C170" s="37" t="s">
        <v>2150</v>
      </c>
      <c r="D170" s="37" t="s">
        <v>2348</v>
      </c>
      <c r="E170" s="39" t="s">
        <v>2349</v>
      </c>
      <c r="F170" s="46" t="s">
        <v>1676</v>
      </c>
    </row>
    <row r="171" spans="1:6" ht="24" customHeight="1" x14ac:dyDescent="0.3">
      <c r="A171" s="37" t="s">
        <v>1216</v>
      </c>
      <c r="B171" s="37" t="s">
        <v>1218</v>
      </c>
      <c r="C171" s="37" t="s">
        <v>2150</v>
      </c>
      <c r="D171" s="37" t="s">
        <v>2350</v>
      </c>
      <c r="E171" s="39" t="s">
        <v>2351</v>
      </c>
      <c r="F171" s="46" t="s">
        <v>2352</v>
      </c>
    </row>
    <row r="172" spans="1:6" ht="24" customHeight="1" x14ac:dyDescent="0.3">
      <c r="A172" s="37" t="s">
        <v>1216</v>
      </c>
      <c r="B172" s="37" t="s">
        <v>1874</v>
      </c>
      <c r="C172" s="37" t="s">
        <v>2157</v>
      </c>
      <c r="D172" s="37" t="s">
        <v>2353</v>
      </c>
      <c r="E172" s="39" t="s">
        <v>2354</v>
      </c>
      <c r="F172" s="46" t="s">
        <v>2355</v>
      </c>
    </row>
    <row r="173" spans="1:6" ht="24" customHeight="1" x14ac:dyDescent="0.3">
      <c r="A173" s="37" t="s">
        <v>1216</v>
      </c>
      <c r="B173" s="37" t="s">
        <v>1906</v>
      </c>
      <c r="C173" s="37" t="s">
        <v>2150</v>
      </c>
      <c r="D173" s="37" t="s">
        <v>2356</v>
      </c>
      <c r="E173" s="39" t="s">
        <v>2351</v>
      </c>
      <c r="F173" s="46" t="s">
        <v>2357</v>
      </c>
    </row>
    <row r="174" spans="1:6" ht="24" customHeight="1" x14ac:dyDescent="0.3">
      <c r="A174" s="37" t="s">
        <v>1221</v>
      </c>
      <c r="B174" s="37" t="s">
        <v>1860</v>
      </c>
      <c r="C174" s="37" t="s">
        <v>2150</v>
      </c>
      <c r="D174" s="37" t="s">
        <v>2358</v>
      </c>
      <c r="E174" s="39" t="s">
        <v>2359</v>
      </c>
      <c r="F174" s="46" t="s">
        <v>1686</v>
      </c>
    </row>
    <row r="175" spans="1:6" ht="24" customHeight="1" x14ac:dyDescent="0.3">
      <c r="A175" s="37" t="s">
        <v>1225</v>
      </c>
      <c r="B175" s="37" t="s">
        <v>1860</v>
      </c>
      <c r="C175" s="37" t="s">
        <v>2150</v>
      </c>
      <c r="D175" s="37" t="s">
        <v>2360</v>
      </c>
      <c r="E175" s="39" t="s">
        <v>2361</v>
      </c>
      <c r="F175" s="46" t="s">
        <v>1691</v>
      </c>
    </row>
    <row r="176" spans="1:6" ht="24" customHeight="1" x14ac:dyDescent="0.3">
      <c r="A176" s="37" t="s">
        <v>1230</v>
      </c>
      <c r="B176" s="37" t="s">
        <v>1860</v>
      </c>
      <c r="C176" s="37" t="s">
        <v>2150</v>
      </c>
      <c r="D176" s="37" t="s">
        <v>2362</v>
      </c>
      <c r="E176" s="39" t="s">
        <v>2363</v>
      </c>
      <c r="F176" s="46" t="s">
        <v>2364</v>
      </c>
    </row>
    <row r="177" spans="1:6" ht="24" customHeight="1" x14ac:dyDescent="0.3">
      <c r="A177" s="37" t="s">
        <v>1235</v>
      </c>
      <c r="B177" s="37" t="s">
        <v>2230</v>
      </c>
      <c r="C177" s="37" t="s">
        <v>2150</v>
      </c>
      <c r="D177" s="37" t="s">
        <v>2365</v>
      </c>
      <c r="E177" s="39" t="s">
        <v>2366</v>
      </c>
      <c r="F177" s="46" t="s">
        <v>2367</v>
      </c>
    </row>
    <row r="178" spans="1:6" ht="24" customHeight="1" x14ac:dyDescent="0.3">
      <c r="A178" s="37" t="s">
        <v>1235</v>
      </c>
      <c r="B178" s="37" t="s">
        <v>1871</v>
      </c>
      <c r="C178" s="37" t="s">
        <v>2368</v>
      </c>
      <c r="D178" s="37" t="s">
        <v>2369</v>
      </c>
      <c r="E178" s="39" t="s">
        <v>2366</v>
      </c>
      <c r="F178" s="46" t="s">
        <v>2370</v>
      </c>
    </row>
    <row r="179" spans="1:6" ht="24" customHeight="1" x14ac:dyDescent="0.3">
      <c r="A179" s="37" t="s">
        <v>1239</v>
      </c>
      <c r="B179" s="37" t="s">
        <v>1860</v>
      </c>
      <c r="C179" s="37" t="s">
        <v>2145</v>
      </c>
      <c r="D179" s="37" t="s">
        <v>2371</v>
      </c>
      <c r="E179" s="38" t="s">
        <v>1974</v>
      </c>
      <c r="F179" s="46" t="s">
        <v>2372</v>
      </c>
    </row>
    <row r="180" spans="1:6" ht="24" customHeight="1" x14ac:dyDescent="0.3">
      <c r="A180" s="37" t="s">
        <v>1244</v>
      </c>
      <c r="B180" s="37" t="s">
        <v>1860</v>
      </c>
      <c r="C180" s="37" t="s">
        <v>2150</v>
      </c>
      <c r="D180" s="37" t="s">
        <v>2373</v>
      </c>
      <c r="E180" s="39" t="s">
        <v>2374</v>
      </c>
      <c r="F180" s="46" t="s">
        <v>2375</v>
      </c>
    </row>
    <row r="181" spans="1:6" ht="24" customHeight="1" x14ac:dyDescent="0.3">
      <c r="A181" s="37" t="s">
        <v>1249</v>
      </c>
      <c r="B181" s="37" t="s">
        <v>1860</v>
      </c>
      <c r="C181" s="37" t="s">
        <v>2150</v>
      </c>
      <c r="D181" s="37" t="s">
        <v>2376</v>
      </c>
      <c r="E181" s="39" t="s">
        <v>2377</v>
      </c>
      <c r="F181" s="46" t="s">
        <v>2378</v>
      </c>
    </row>
    <row r="182" spans="1:6" ht="24" customHeight="1" x14ac:dyDescent="0.3">
      <c r="A182" s="37" t="s">
        <v>1253</v>
      </c>
      <c r="B182" s="37" t="s">
        <v>1860</v>
      </c>
      <c r="C182" s="37" t="s">
        <v>2379</v>
      </c>
      <c r="D182" s="37" t="s">
        <v>2380</v>
      </c>
      <c r="E182" s="40" t="s">
        <v>2096</v>
      </c>
      <c r="F182" s="46" t="s">
        <v>2381</v>
      </c>
    </row>
    <row r="183" spans="1:6" ht="24" customHeight="1" x14ac:dyDescent="0.3">
      <c r="A183" s="37" t="s">
        <v>1259</v>
      </c>
      <c r="B183" s="37" t="s">
        <v>1860</v>
      </c>
      <c r="C183" s="37" t="s">
        <v>2150</v>
      </c>
      <c r="D183" s="37" t="s">
        <v>2382</v>
      </c>
      <c r="E183" s="39" t="s">
        <v>2383</v>
      </c>
      <c r="F183" s="46" t="s">
        <v>2384</v>
      </c>
    </row>
    <row r="184" spans="1:6" ht="24" customHeight="1" x14ac:dyDescent="0.3">
      <c r="A184" s="37" t="s">
        <v>1263</v>
      </c>
      <c r="B184" s="37" t="s">
        <v>1860</v>
      </c>
      <c r="C184" s="37" t="s">
        <v>2150</v>
      </c>
      <c r="D184" s="37" t="s">
        <v>2385</v>
      </c>
      <c r="E184" s="39" t="s">
        <v>2386</v>
      </c>
      <c r="F184" s="46" t="s">
        <v>2387</v>
      </c>
    </row>
    <row r="185" spans="1:6" ht="24" customHeight="1" x14ac:dyDescent="0.3">
      <c r="A185" s="37" t="s">
        <v>1267</v>
      </c>
      <c r="B185" s="37" t="s">
        <v>1860</v>
      </c>
      <c r="C185" s="37" t="s">
        <v>2150</v>
      </c>
      <c r="D185" s="37" t="s">
        <v>2388</v>
      </c>
      <c r="E185" s="39" t="s">
        <v>2389</v>
      </c>
      <c r="F185" s="46" t="s">
        <v>2390</v>
      </c>
    </row>
    <row r="186" spans="1:6" ht="24" customHeight="1" x14ac:dyDescent="0.3">
      <c r="A186" s="37" t="s">
        <v>1271</v>
      </c>
      <c r="B186" s="37" t="s">
        <v>1860</v>
      </c>
      <c r="C186" s="37" t="s">
        <v>2391</v>
      </c>
      <c r="D186" s="37" t="s">
        <v>2392</v>
      </c>
      <c r="E186" s="39" t="s">
        <v>1946</v>
      </c>
      <c r="F186" s="46" t="s">
        <v>2393</v>
      </c>
    </row>
    <row r="187" spans="1:6" ht="24" customHeight="1" x14ac:dyDescent="0.3">
      <c r="A187" s="37" t="s">
        <v>1276</v>
      </c>
      <c r="B187" s="37" t="s">
        <v>1218</v>
      </c>
      <c r="C187" s="37" t="s">
        <v>2391</v>
      </c>
      <c r="D187" s="37" t="s">
        <v>2394</v>
      </c>
      <c r="E187" s="39" t="s">
        <v>1946</v>
      </c>
      <c r="F187" s="46" t="s">
        <v>2395</v>
      </c>
    </row>
    <row r="188" spans="1:6" ht="24" customHeight="1" x14ac:dyDescent="0.3">
      <c r="A188" s="37" t="s">
        <v>1276</v>
      </c>
      <c r="B188" s="37" t="s">
        <v>1874</v>
      </c>
      <c r="C188" s="37" t="s">
        <v>2150</v>
      </c>
      <c r="D188" s="37" t="s">
        <v>2396</v>
      </c>
      <c r="E188" s="39" t="s">
        <v>2397</v>
      </c>
      <c r="F188" s="46" t="s">
        <v>2398</v>
      </c>
    </row>
    <row r="189" spans="1:6" ht="24" customHeight="1" x14ac:dyDescent="0.3">
      <c r="A189" s="37" t="s">
        <v>1276</v>
      </c>
      <c r="B189" s="37" t="s">
        <v>1887</v>
      </c>
      <c r="C189" s="37" t="s">
        <v>2391</v>
      </c>
      <c r="D189" s="37" t="s">
        <v>2399</v>
      </c>
      <c r="E189" s="39" t="s">
        <v>1946</v>
      </c>
      <c r="F189" s="46" t="s">
        <v>2400</v>
      </c>
    </row>
    <row r="190" spans="1:6" ht="24" customHeight="1" x14ac:dyDescent="0.3">
      <c r="A190" s="37" t="s">
        <v>1276</v>
      </c>
      <c r="B190" s="37" t="s">
        <v>1871</v>
      </c>
      <c r="C190" s="37" t="s">
        <v>2150</v>
      </c>
      <c r="D190" s="37" t="s">
        <v>2401</v>
      </c>
      <c r="E190" s="39" t="s">
        <v>2397</v>
      </c>
      <c r="F190" s="46" t="s">
        <v>2402</v>
      </c>
    </row>
    <row r="191" spans="1:6" ht="24" customHeight="1" x14ac:dyDescent="0.3">
      <c r="A191" s="37" t="s">
        <v>1281</v>
      </c>
      <c r="B191" s="37" t="s">
        <v>1860</v>
      </c>
      <c r="C191" s="37" t="s">
        <v>2150</v>
      </c>
      <c r="D191" s="37" t="s">
        <v>2403</v>
      </c>
      <c r="E191" s="39" t="s">
        <v>2404</v>
      </c>
      <c r="F191" s="46" t="s">
        <v>2405</v>
      </c>
    </row>
    <row r="192" spans="1:6" ht="24" customHeight="1" x14ac:dyDescent="0.3">
      <c r="A192" s="37" t="s">
        <v>1286</v>
      </c>
      <c r="B192" s="37" t="s">
        <v>1860</v>
      </c>
      <c r="C192" s="37" t="s">
        <v>2150</v>
      </c>
      <c r="D192" s="37" t="s">
        <v>2406</v>
      </c>
      <c r="E192" s="39" t="s">
        <v>2407</v>
      </c>
      <c r="F192" s="46" t="s">
        <v>2408</v>
      </c>
    </row>
    <row r="193" spans="1:6" ht="24" customHeight="1" x14ac:dyDescent="0.3">
      <c r="A193" s="37" t="s">
        <v>1290</v>
      </c>
      <c r="B193" s="37" t="s">
        <v>1860</v>
      </c>
      <c r="C193" s="37" t="s">
        <v>2150</v>
      </c>
      <c r="D193" s="37" t="s">
        <v>2409</v>
      </c>
      <c r="E193" s="39" t="s">
        <v>2410</v>
      </c>
      <c r="F193" s="46" t="s">
        <v>2411</v>
      </c>
    </row>
    <row r="194" spans="1:6" ht="24" customHeight="1" x14ac:dyDescent="0.3">
      <c r="A194" s="37" t="s">
        <v>1294</v>
      </c>
      <c r="B194" s="37" t="s">
        <v>1860</v>
      </c>
      <c r="C194" s="37" t="s">
        <v>2150</v>
      </c>
      <c r="D194" s="37" t="s">
        <v>2412</v>
      </c>
      <c r="E194" s="39" t="s">
        <v>2413</v>
      </c>
      <c r="F194" s="46" t="s">
        <v>2414</v>
      </c>
    </row>
    <row r="195" spans="1:6" ht="24" customHeight="1" x14ac:dyDescent="0.3">
      <c r="A195" s="37" t="s">
        <v>1298</v>
      </c>
      <c r="B195" s="37" t="s">
        <v>1860</v>
      </c>
      <c r="C195" s="37" t="s">
        <v>2150</v>
      </c>
      <c r="D195" s="37" t="s">
        <v>2415</v>
      </c>
      <c r="E195" s="39" t="s">
        <v>2416</v>
      </c>
      <c r="F195" s="46" t="s">
        <v>2417</v>
      </c>
    </row>
    <row r="196" spans="1:6" ht="24" customHeight="1" x14ac:dyDescent="0.3">
      <c r="A196" s="37" t="s">
        <v>1302</v>
      </c>
      <c r="B196" s="37" t="s">
        <v>2049</v>
      </c>
      <c r="C196" s="37" t="s">
        <v>2418</v>
      </c>
      <c r="D196" s="37" t="s">
        <v>2419</v>
      </c>
      <c r="E196" s="38" t="s">
        <v>1974</v>
      </c>
      <c r="F196" s="46" t="s">
        <v>2420</v>
      </c>
    </row>
    <row r="197" spans="1:6" ht="24" customHeight="1" x14ac:dyDescent="0.3">
      <c r="A197" s="37" t="s">
        <v>1302</v>
      </c>
      <c r="B197" s="37" t="s">
        <v>1906</v>
      </c>
      <c r="C197" s="37" t="s">
        <v>2150</v>
      </c>
      <c r="D197" s="37" t="s">
        <v>2421</v>
      </c>
      <c r="E197" s="39" t="s">
        <v>2422</v>
      </c>
      <c r="F197" s="46" t="s">
        <v>2423</v>
      </c>
    </row>
    <row r="198" spans="1:6" ht="24" customHeight="1" x14ac:dyDescent="0.3">
      <c r="A198" s="37" t="s">
        <v>1306</v>
      </c>
      <c r="B198" s="37" t="s">
        <v>1218</v>
      </c>
      <c r="C198" s="37" t="s">
        <v>2424</v>
      </c>
      <c r="D198" s="37" t="s">
        <v>2425</v>
      </c>
      <c r="E198" s="39" t="s">
        <v>2426</v>
      </c>
      <c r="F198" s="46" t="s">
        <v>2427</v>
      </c>
    </row>
    <row r="199" spans="1:6" ht="24" customHeight="1" x14ac:dyDescent="0.3">
      <c r="A199" s="37" t="s">
        <v>1306</v>
      </c>
      <c r="B199" s="37" t="s">
        <v>1928</v>
      </c>
      <c r="C199" s="37" t="s">
        <v>2150</v>
      </c>
      <c r="D199" s="37" t="s">
        <v>2428</v>
      </c>
      <c r="E199" s="39" t="s">
        <v>2429</v>
      </c>
      <c r="F199" s="46" t="s">
        <v>2430</v>
      </c>
    </row>
    <row r="200" spans="1:6" ht="24" customHeight="1" x14ac:dyDescent="0.3">
      <c r="A200" s="37" t="s">
        <v>1311</v>
      </c>
      <c r="B200" s="37" t="s">
        <v>1860</v>
      </c>
      <c r="C200" s="37" t="s">
        <v>2150</v>
      </c>
      <c r="D200" s="37" t="s">
        <v>2431</v>
      </c>
      <c r="E200" s="39" t="s">
        <v>2432</v>
      </c>
      <c r="F200" s="46" t="s">
        <v>2433</v>
      </c>
    </row>
    <row r="201" spans="1:6" ht="24" customHeight="1" x14ac:dyDescent="0.3">
      <c r="A201" s="37" t="s">
        <v>1314</v>
      </c>
      <c r="B201" s="37" t="s">
        <v>1860</v>
      </c>
      <c r="C201" s="37" t="s">
        <v>2150</v>
      </c>
      <c r="D201" s="37" t="s">
        <v>2434</v>
      </c>
      <c r="E201" s="39" t="s">
        <v>2435</v>
      </c>
      <c r="F201" s="46" t="s">
        <v>2436</v>
      </c>
    </row>
    <row r="202" spans="1:6" ht="24" customHeight="1" x14ac:dyDescent="0.3">
      <c r="A202" s="37" t="s">
        <v>1318</v>
      </c>
      <c r="B202" s="37" t="s">
        <v>1860</v>
      </c>
      <c r="C202" s="37" t="s">
        <v>2150</v>
      </c>
      <c r="D202" s="37" t="s">
        <v>2437</v>
      </c>
      <c r="E202" s="39" t="s">
        <v>2438</v>
      </c>
      <c r="F202" s="46" t="s">
        <v>2439</v>
      </c>
    </row>
    <row r="203" spans="1:6" ht="24" customHeight="1" x14ac:dyDescent="0.3">
      <c r="A203" s="37" t="s">
        <v>1322</v>
      </c>
      <c r="B203" s="37" t="s">
        <v>1860</v>
      </c>
      <c r="C203" s="37" t="s">
        <v>2145</v>
      </c>
      <c r="D203" s="37" t="s">
        <v>2440</v>
      </c>
      <c r="E203" s="38" t="s">
        <v>1974</v>
      </c>
      <c r="F203" s="46" t="s">
        <v>2441</v>
      </c>
    </row>
    <row r="204" spans="1:6" ht="24" customHeight="1" x14ac:dyDescent="0.3">
      <c r="A204" s="37" t="s">
        <v>1326</v>
      </c>
      <c r="B204" s="37" t="s">
        <v>1860</v>
      </c>
      <c r="C204" s="37" t="s">
        <v>2150</v>
      </c>
      <c r="D204" s="37" t="s">
        <v>2442</v>
      </c>
      <c r="E204" s="39" t="s">
        <v>2443</v>
      </c>
      <c r="F204" s="46" t="s">
        <v>2444</v>
      </c>
    </row>
    <row r="205" spans="1:6" ht="24" customHeight="1" x14ac:dyDescent="0.3">
      <c r="A205" s="37" t="s">
        <v>1330</v>
      </c>
      <c r="B205" s="37" t="s">
        <v>1860</v>
      </c>
      <c r="C205" s="37" t="s">
        <v>2150</v>
      </c>
      <c r="D205" s="37" t="s">
        <v>2445</v>
      </c>
      <c r="E205" s="39" t="s">
        <v>2446</v>
      </c>
      <c r="F205" s="46" t="s">
        <v>2447</v>
      </c>
    </row>
    <row r="206" spans="1:6" ht="24" customHeight="1" x14ac:dyDescent="0.3">
      <c r="A206" s="37" t="s">
        <v>1335</v>
      </c>
      <c r="B206" s="37" t="s">
        <v>2230</v>
      </c>
      <c r="C206" s="37" t="s">
        <v>2150</v>
      </c>
      <c r="D206" s="37" t="s">
        <v>2448</v>
      </c>
      <c r="E206" s="39" t="s">
        <v>2449</v>
      </c>
      <c r="F206" s="46" t="s">
        <v>2450</v>
      </c>
    </row>
    <row r="207" spans="1:6" ht="24" customHeight="1" x14ac:dyDescent="0.3">
      <c r="A207" s="37" t="s">
        <v>1335</v>
      </c>
      <c r="B207" s="37" t="s">
        <v>1871</v>
      </c>
      <c r="C207" s="37" t="s">
        <v>2451</v>
      </c>
      <c r="D207" s="37" t="s">
        <v>2452</v>
      </c>
      <c r="E207" s="38" t="s">
        <v>1974</v>
      </c>
      <c r="F207" s="46" t="s">
        <v>2453</v>
      </c>
    </row>
    <row r="208" spans="1:6" ht="24" customHeight="1" x14ac:dyDescent="0.3">
      <c r="A208" s="37" t="s">
        <v>1339</v>
      </c>
      <c r="B208" s="37" t="s">
        <v>1860</v>
      </c>
      <c r="C208" s="37" t="s">
        <v>2150</v>
      </c>
      <c r="D208" s="37" t="s">
        <v>2454</v>
      </c>
      <c r="E208" s="39" t="s">
        <v>2455</v>
      </c>
      <c r="F208" s="46" t="s">
        <v>2456</v>
      </c>
    </row>
    <row r="209" spans="1:6" ht="24" customHeight="1" x14ac:dyDescent="0.3">
      <c r="A209" s="37" t="s">
        <v>1345</v>
      </c>
      <c r="B209" s="37" t="s">
        <v>1860</v>
      </c>
      <c r="C209" s="37" t="s">
        <v>2150</v>
      </c>
      <c r="D209" s="37" t="s">
        <v>2457</v>
      </c>
      <c r="E209" s="39" t="s">
        <v>2458</v>
      </c>
      <c r="F209" s="46" t="s">
        <v>2459</v>
      </c>
    </row>
    <row r="210" spans="1:6" ht="24" customHeight="1" x14ac:dyDescent="0.3">
      <c r="A210" s="37" t="s">
        <v>1350</v>
      </c>
      <c r="B210" s="37" t="s">
        <v>1860</v>
      </c>
      <c r="C210" s="37" t="s">
        <v>2145</v>
      </c>
      <c r="D210" s="37" t="s">
        <v>2460</v>
      </c>
      <c r="E210" s="38" t="s">
        <v>1974</v>
      </c>
      <c r="F210" s="46" t="s">
        <v>2461</v>
      </c>
    </row>
    <row r="211" spans="1:6" ht="24" customHeight="1" x14ac:dyDescent="0.3">
      <c r="A211" s="37" t="s">
        <v>1354</v>
      </c>
      <c r="B211" s="37" t="s">
        <v>1218</v>
      </c>
      <c r="C211" s="37" t="s">
        <v>2157</v>
      </c>
      <c r="D211" s="37" t="s">
        <v>2462</v>
      </c>
      <c r="E211" s="39" t="s">
        <v>2463</v>
      </c>
      <c r="F211" s="46" t="s">
        <v>2464</v>
      </c>
    </row>
    <row r="212" spans="1:6" ht="24" customHeight="1" x14ac:dyDescent="0.3">
      <c r="A212" s="37" t="s">
        <v>1354</v>
      </c>
      <c r="B212" s="37" t="s">
        <v>1928</v>
      </c>
      <c r="C212" s="37" t="s">
        <v>2150</v>
      </c>
      <c r="D212" s="37" t="s">
        <v>2465</v>
      </c>
      <c r="E212" s="39" t="s">
        <v>2466</v>
      </c>
      <c r="F212" s="46" t="s">
        <v>2467</v>
      </c>
    </row>
    <row r="213" spans="1:6" ht="24" customHeight="1" x14ac:dyDescent="0.3">
      <c r="A213" s="37" t="s">
        <v>1357</v>
      </c>
      <c r="B213" s="37" t="s">
        <v>1860</v>
      </c>
      <c r="C213" s="37" t="s">
        <v>2150</v>
      </c>
      <c r="D213" s="37" t="s">
        <v>2468</v>
      </c>
      <c r="E213" s="39" t="s">
        <v>2469</v>
      </c>
      <c r="F213" s="46" t="s">
        <v>2470</v>
      </c>
    </row>
    <row r="214" spans="1:6" ht="24" customHeight="1" x14ac:dyDescent="0.3">
      <c r="A214" s="37" t="s">
        <v>1361</v>
      </c>
      <c r="B214" s="37" t="s">
        <v>1218</v>
      </c>
      <c r="C214" s="37" t="s">
        <v>2179</v>
      </c>
      <c r="D214" s="37" t="s">
        <v>2471</v>
      </c>
      <c r="E214" s="38" t="s">
        <v>1974</v>
      </c>
      <c r="F214" s="46" t="s">
        <v>2472</v>
      </c>
    </row>
    <row r="215" spans="1:6" ht="24" customHeight="1" x14ac:dyDescent="0.3">
      <c r="A215" s="37" t="s">
        <v>1361</v>
      </c>
      <c r="B215" s="37" t="s">
        <v>1928</v>
      </c>
      <c r="C215" s="37" t="s">
        <v>2150</v>
      </c>
      <c r="D215" s="37" t="s">
        <v>2473</v>
      </c>
      <c r="E215" s="39" t="s">
        <v>2474</v>
      </c>
      <c r="F215" s="46" t="s">
        <v>2475</v>
      </c>
    </row>
    <row r="216" spans="1:6" ht="24" customHeight="1" x14ac:dyDescent="0.3">
      <c r="A216" s="37" t="s">
        <v>1366</v>
      </c>
      <c r="B216" s="37" t="s">
        <v>1860</v>
      </c>
      <c r="C216" s="37" t="s">
        <v>2150</v>
      </c>
      <c r="D216" s="37" t="s">
        <v>2476</v>
      </c>
      <c r="E216" s="39" t="s">
        <v>2477</v>
      </c>
      <c r="F216" s="46" t="s">
        <v>2478</v>
      </c>
    </row>
    <row r="217" spans="1:6" ht="24" customHeight="1" x14ac:dyDescent="0.3">
      <c r="A217" s="37" t="s">
        <v>1370</v>
      </c>
      <c r="B217" s="37" t="s">
        <v>1860</v>
      </c>
      <c r="C217" s="37" t="s">
        <v>2150</v>
      </c>
      <c r="D217" s="37" t="s">
        <v>2479</v>
      </c>
      <c r="E217" s="39" t="s">
        <v>2480</v>
      </c>
      <c r="F217" s="46" t="s">
        <v>2521</v>
      </c>
    </row>
    <row r="218" spans="1:6" ht="24" customHeight="1" x14ac:dyDescent="0.3">
      <c r="A218" s="37" t="s">
        <v>1374</v>
      </c>
      <c r="B218" s="37" t="s">
        <v>1860</v>
      </c>
      <c r="C218" s="37" t="s">
        <v>2150</v>
      </c>
      <c r="D218" s="37" t="s">
        <v>2481</v>
      </c>
      <c r="E218" s="39" t="s">
        <v>2482</v>
      </c>
      <c r="F218" s="46" t="s">
        <v>2519</v>
      </c>
    </row>
    <row r="219" spans="1:6" ht="24" customHeight="1" x14ac:dyDescent="0.3">
      <c r="A219" s="37" t="s">
        <v>1377</v>
      </c>
      <c r="B219" s="37" t="s">
        <v>1860</v>
      </c>
      <c r="C219" s="37" t="s">
        <v>2150</v>
      </c>
      <c r="D219" s="37" t="s">
        <v>2483</v>
      </c>
      <c r="E219" s="39" t="s">
        <v>2484</v>
      </c>
      <c r="F219" s="46" t="s">
        <v>2485</v>
      </c>
    </row>
    <row r="220" spans="1:6" ht="24" customHeight="1" x14ac:dyDescent="0.3">
      <c r="A220" s="37" t="s">
        <v>1381</v>
      </c>
      <c r="B220" s="37" t="s">
        <v>1860</v>
      </c>
      <c r="C220" s="37" t="s">
        <v>2418</v>
      </c>
      <c r="D220" s="37" t="s">
        <v>2486</v>
      </c>
      <c r="E220" s="38" t="s">
        <v>1974</v>
      </c>
      <c r="F220" s="46" t="s">
        <v>2487</v>
      </c>
    </row>
  </sheetData>
  <phoneticPr fontId="18"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Coding Instrument</vt:lpstr>
      <vt:lpstr>Coding Sheet</vt:lpstr>
      <vt:lpstr>Firm Master</vt:lpstr>
      <vt:lpstr>Panel Data (Long Format)</vt:lpstr>
      <vt:lpstr>Usable Sample (WIP)</vt:lpstr>
      <vt:lpstr>Final Sample</vt:lpstr>
      <vt:lpstr>Data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BERNARD ASANBE</cp:lastModifiedBy>
  <cp:revision>0</cp:revision>
  <dcterms:created xsi:type="dcterms:W3CDTF">2026-07-27T22:18:21Z</dcterms:created>
  <dcterms:modified xsi:type="dcterms:W3CDTF">2026-09-02T15:43:47Z</dcterms:modified>
  <dc:language>en-US</dc:language>
</cp:coreProperties>
</file>