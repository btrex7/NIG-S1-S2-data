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c94db73b1f4fabc5/Desktop/MBA/Dataset/"/>
    </mc:Choice>
  </mc:AlternateContent>
  <xr:revisionPtr revIDLastSave="0" documentId="13_ncr:1_{A0AF88DA-7B6E-49F6-9C3E-AFF410D232C0}" xr6:coauthVersionLast="47" xr6:coauthVersionMax="47" xr10:uidLastSave="{00000000-0000-0000-0000-000000000000}"/>
  <bookViews>
    <workbookView xWindow="-108" yWindow="-108" windowWidth="23256" windowHeight="13896" tabRatio="854" firstSheet="2" activeTab="8" xr2:uid="{00000000-000D-0000-FFFF-FFFF00000000}"/>
  </bookViews>
  <sheets>
    <sheet name="Final Sample" sheetId="1" r:id="rId1"/>
    <sheet name="1. Sample Profile" sheetId="2" r:id="rId2"/>
    <sheet name="2. SDQ CDQ Descriptives" sheetId="3" r:id="rId3"/>
    <sheet name="3. Trend by Year" sheetId="4" r:id="rId4"/>
    <sheet name="4. Sector Breakdown" sheetId="5" r:id="rId5"/>
    <sheet name="5. Controls &amp; Correlation" sheetId="6" r:id="rId6"/>
    <sheet name="Rank Helper" sheetId="7" state="hidden" r:id="rId7"/>
    <sheet name="6. Zero-Disclosure Table" sheetId="8" r:id="rId8"/>
    <sheet name="7. Figure Data (Trend Chart)" sheetId="9" r:id="rId9"/>
  </sheets>
  <definedNames>
    <definedName name="_xlnm._FilterDatabase" localSheetId="0" hidden="1">'Final Sample'!$A$1:$AC$612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0" i="8" l="1"/>
  <c r="C10" i="8"/>
  <c r="B10" i="8"/>
  <c r="E9" i="8"/>
  <c r="C9" i="8"/>
  <c r="B9" i="8"/>
  <c r="E8" i="8"/>
  <c r="C8" i="8"/>
  <c r="B8" i="8"/>
  <c r="E7" i="8"/>
  <c r="C7" i="8"/>
  <c r="B7" i="8"/>
  <c r="E6" i="8"/>
  <c r="C6" i="8"/>
  <c r="B6" i="8"/>
  <c r="E5" i="8"/>
  <c r="C5" i="8"/>
  <c r="B5" i="8"/>
  <c r="F612" i="7"/>
  <c r="D612" i="7"/>
  <c r="B612" i="7"/>
  <c r="A612" i="7"/>
  <c r="F611" i="7"/>
  <c r="D611" i="7"/>
  <c r="B611" i="7"/>
  <c r="A611" i="7"/>
  <c r="F610" i="7"/>
  <c r="D610" i="7"/>
  <c r="B610" i="7"/>
  <c r="A610" i="7"/>
  <c r="F609" i="7"/>
  <c r="D609" i="7"/>
  <c r="B609" i="7"/>
  <c r="A609" i="7"/>
  <c r="F608" i="7"/>
  <c r="D608" i="7"/>
  <c r="B608" i="7"/>
  <c r="A608" i="7"/>
  <c r="F607" i="7"/>
  <c r="D607" i="7"/>
  <c r="B607" i="7"/>
  <c r="A607" i="7"/>
  <c r="F606" i="7"/>
  <c r="D606" i="7"/>
  <c r="B606" i="7"/>
  <c r="A606" i="7"/>
  <c r="F605" i="7"/>
  <c r="D605" i="7"/>
  <c r="B605" i="7"/>
  <c r="A605" i="7"/>
  <c r="F604" i="7"/>
  <c r="D604" i="7"/>
  <c r="B604" i="7"/>
  <c r="A604" i="7"/>
  <c r="F603" i="7"/>
  <c r="D603" i="7"/>
  <c r="B603" i="7"/>
  <c r="A603" i="7"/>
  <c r="F602" i="7"/>
  <c r="D602" i="7"/>
  <c r="B602" i="7"/>
  <c r="A602" i="7"/>
  <c r="F601" i="7"/>
  <c r="D601" i="7"/>
  <c r="B601" i="7"/>
  <c r="A601" i="7"/>
  <c r="F600" i="7"/>
  <c r="D600" i="7"/>
  <c r="B600" i="7"/>
  <c r="A600" i="7"/>
  <c r="F599" i="7"/>
  <c r="D599" i="7"/>
  <c r="B599" i="7"/>
  <c r="A599" i="7"/>
  <c r="F598" i="7"/>
  <c r="D598" i="7"/>
  <c r="B598" i="7"/>
  <c r="A598" i="7"/>
  <c r="F597" i="7"/>
  <c r="D597" i="7"/>
  <c r="B597" i="7"/>
  <c r="A597" i="7"/>
  <c r="F596" i="7"/>
  <c r="D596" i="7"/>
  <c r="B596" i="7"/>
  <c r="A596" i="7"/>
  <c r="F595" i="7"/>
  <c r="D595" i="7"/>
  <c r="B595" i="7"/>
  <c r="A595" i="7"/>
  <c r="F594" i="7"/>
  <c r="D594" i="7"/>
  <c r="B594" i="7"/>
  <c r="A594" i="7"/>
  <c r="F593" i="7"/>
  <c r="D593" i="7"/>
  <c r="B593" i="7"/>
  <c r="A593" i="7"/>
  <c r="F592" i="7"/>
  <c r="D592" i="7"/>
  <c r="B592" i="7"/>
  <c r="A592" i="7"/>
  <c r="F591" i="7"/>
  <c r="D591" i="7"/>
  <c r="B591" i="7"/>
  <c r="A591" i="7"/>
  <c r="F590" i="7"/>
  <c r="D590" i="7"/>
  <c r="B590" i="7"/>
  <c r="A590" i="7"/>
  <c r="F589" i="7"/>
  <c r="D589" i="7"/>
  <c r="B589" i="7"/>
  <c r="A589" i="7"/>
  <c r="F588" i="7"/>
  <c r="D588" i="7"/>
  <c r="B588" i="7"/>
  <c r="A588" i="7"/>
  <c r="F587" i="7"/>
  <c r="D587" i="7"/>
  <c r="B587" i="7"/>
  <c r="A587" i="7"/>
  <c r="F586" i="7"/>
  <c r="D586" i="7"/>
  <c r="B586" i="7"/>
  <c r="A586" i="7"/>
  <c r="F585" i="7"/>
  <c r="D585" i="7"/>
  <c r="B585" i="7"/>
  <c r="A585" i="7"/>
  <c r="F584" i="7"/>
  <c r="D584" i="7"/>
  <c r="B584" i="7"/>
  <c r="A584" i="7"/>
  <c r="F583" i="7"/>
  <c r="D583" i="7"/>
  <c r="B583" i="7"/>
  <c r="A583" i="7"/>
  <c r="F582" i="7"/>
  <c r="D582" i="7"/>
  <c r="B582" i="7"/>
  <c r="A582" i="7"/>
  <c r="F581" i="7"/>
  <c r="D581" i="7"/>
  <c r="B581" i="7"/>
  <c r="A581" i="7"/>
  <c r="F580" i="7"/>
  <c r="D580" i="7"/>
  <c r="B580" i="7"/>
  <c r="A580" i="7"/>
  <c r="F579" i="7"/>
  <c r="D579" i="7"/>
  <c r="B579" i="7"/>
  <c r="A579" i="7"/>
  <c r="F578" i="7"/>
  <c r="D578" i="7"/>
  <c r="B578" i="7"/>
  <c r="A578" i="7"/>
  <c r="F577" i="7"/>
  <c r="D577" i="7"/>
  <c r="B577" i="7"/>
  <c r="A577" i="7"/>
  <c r="F576" i="7"/>
  <c r="D576" i="7"/>
  <c r="B576" i="7"/>
  <c r="A576" i="7"/>
  <c r="F575" i="7"/>
  <c r="D575" i="7"/>
  <c r="B575" i="7"/>
  <c r="A575" i="7"/>
  <c r="F574" i="7"/>
  <c r="D574" i="7"/>
  <c r="B574" i="7"/>
  <c r="A574" i="7"/>
  <c r="F573" i="7"/>
  <c r="D573" i="7"/>
  <c r="B573" i="7"/>
  <c r="A573" i="7"/>
  <c r="F572" i="7"/>
  <c r="D572" i="7"/>
  <c r="B572" i="7"/>
  <c r="A572" i="7"/>
  <c r="F571" i="7"/>
  <c r="D571" i="7"/>
  <c r="B571" i="7"/>
  <c r="A571" i="7"/>
  <c r="F570" i="7"/>
  <c r="D570" i="7"/>
  <c r="B570" i="7"/>
  <c r="A570" i="7"/>
  <c r="F569" i="7"/>
  <c r="D569" i="7"/>
  <c r="B569" i="7"/>
  <c r="A569" i="7"/>
  <c r="F568" i="7"/>
  <c r="D568" i="7"/>
  <c r="B568" i="7"/>
  <c r="A568" i="7"/>
  <c r="F567" i="7"/>
  <c r="D567" i="7"/>
  <c r="B567" i="7"/>
  <c r="A567" i="7"/>
  <c r="F566" i="7"/>
  <c r="D566" i="7"/>
  <c r="B566" i="7"/>
  <c r="A566" i="7"/>
  <c r="F565" i="7"/>
  <c r="D565" i="7"/>
  <c r="B565" i="7"/>
  <c r="A565" i="7"/>
  <c r="F564" i="7"/>
  <c r="D564" i="7"/>
  <c r="B564" i="7"/>
  <c r="A564" i="7"/>
  <c r="F563" i="7"/>
  <c r="D563" i="7"/>
  <c r="B563" i="7"/>
  <c r="A563" i="7"/>
  <c r="F562" i="7"/>
  <c r="D562" i="7"/>
  <c r="B562" i="7"/>
  <c r="A562" i="7"/>
  <c r="F561" i="7"/>
  <c r="D561" i="7"/>
  <c r="B561" i="7"/>
  <c r="A561" i="7"/>
  <c r="F560" i="7"/>
  <c r="D560" i="7"/>
  <c r="B560" i="7"/>
  <c r="A560" i="7"/>
  <c r="F559" i="7"/>
  <c r="D559" i="7"/>
  <c r="B559" i="7"/>
  <c r="A559" i="7"/>
  <c r="F558" i="7"/>
  <c r="D558" i="7"/>
  <c r="B558" i="7"/>
  <c r="A558" i="7"/>
  <c r="F557" i="7"/>
  <c r="D557" i="7"/>
  <c r="B557" i="7"/>
  <c r="A557" i="7"/>
  <c r="F556" i="7"/>
  <c r="D556" i="7"/>
  <c r="B556" i="7"/>
  <c r="A556" i="7"/>
  <c r="F555" i="7"/>
  <c r="D555" i="7"/>
  <c r="B555" i="7"/>
  <c r="A555" i="7"/>
  <c r="F554" i="7"/>
  <c r="D554" i="7"/>
  <c r="B554" i="7"/>
  <c r="A554" i="7"/>
  <c r="F553" i="7"/>
  <c r="D553" i="7"/>
  <c r="B553" i="7"/>
  <c r="A553" i="7"/>
  <c r="F552" i="7"/>
  <c r="D552" i="7"/>
  <c r="B552" i="7"/>
  <c r="A552" i="7"/>
  <c r="F551" i="7"/>
  <c r="D551" i="7"/>
  <c r="B551" i="7"/>
  <c r="A551" i="7"/>
  <c r="F550" i="7"/>
  <c r="D550" i="7"/>
  <c r="B550" i="7"/>
  <c r="A550" i="7"/>
  <c r="F549" i="7"/>
  <c r="D549" i="7"/>
  <c r="B549" i="7"/>
  <c r="A549" i="7"/>
  <c r="F548" i="7"/>
  <c r="D548" i="7"/>
  <c r="B548" i="7"/>
  <c r="A548" i="7"/>
  <c r="F547" i="7"/>
  <c r="D547" i="7"/>
  <c r="B547" i="7"/>
  <c r="A547" i="7"/>
  <c r="F546" i="7"/>
  <c r="D546" i="7"/>
  <c r="B546" i="7"/>
  <c r="A546" i="7"/>
  <c r="F545" i="7"/>
  <c r="D545" i="7"/>
  <c r="B545" i="7"/>
  <c r="A545" i="7"/>
  <c r="F544" i="7"/>
  <c r="D544" i="7"/>
  <c r="B544" i="7"/>
  <c r="A544" i="7"/>
  <c r="F543" i="7"/>
  <c r="D543" i="7"/>
  <c r="B543" i="7"/>
  <c r="A543" i="7"/>
  <c r="F542" i="7"/>
  <c r="D542" i="7"/>
  <c r="B542" i="7"/>
  <c r="A542" i="7"/>
  <c r="F541" i="7"/>
  <c r="D541" i="7"/>
  <c r="B541" i="7"/>
  <c r="A541" i="7"/>
  <c r="F540" i="7"/>
  <c r="D540" i="7"/>
  <c r="B540" i="7"/>
  <c r="A540" i="7"/>
  <c r="F539" i="7"/>
  <c r="D539" i="7"/>
  <c r="B539" i="7"/>
  <c r="A539" i="7"/>
  <c r="F538" i="7"/>
  <c r="D538" i="7"/>
  <c r="B538" i="7"/>
  <c r="A538" i="7"/>
  <c r="F537" i="7"/>
  <c r="D537" i="7"/>
  <c r="B537" i="7"/>
  <c r="A537" i="7"/>
  <c r="F536" i="7"/>
  <c r="D536" i="7"/>
  <c r="B536" i="7"/>
  <c r="A536" i="7"/>
  <c r="F535" i="7"/>
  <c r="D535" i="7"/>
  <c r="B535" i="7"/>
  <c r="A535" i="7"/>
  <c r="F534" i="7"/>
  <c r="D534" i="7"/>
  <c r="B534" i="7"/>
  <c r="A534" i="7"/>
  <c r="F533" i="7"/>
  <c r="D533" i="7"/>
  <c r="B533" i="7"/>
  <c r="A533" i="7"/>
  <c r="F532" i="7"/>
  <c r="D532" i="7"/>
  <c r="B532" i="7"/>
  <c r="A532" i="7"/>
  <c r="F531" i="7"/>
  <c r="D531" i="7"/>
  <c r="B531" i="7"/>
  <c r="A531" i="7"/>
  <c r="F530" i="7"/>
  <c r="D530" i="7"/>
  <c r="B530" i="7"/>
  <c r="A530" i="7"/>
  <c r="F529" i="7"/>
  <c r="D529" i="7"/>
  <c r="B529" i="7"/>
  <c r="A529" i="7"/>
  <c r="F528" i="7"/>
  <c r="D528" i="7"/>
  <c r="B528" i="7"/>
  <c r="A528" i="7"/>
  <c r="F527" i="7"/>
  <c r="D527" i="7"/>
  <c r="B527" i="7"/>
  <c r="A527" i="7"/>
  <c r="F526" i="7"/>
  <c r="D526" i="7"/>
  <c r="B526" i="7"/>
  <c r="A526" i="7"/>
  <c r="F525" i="7"/>
  <c r="D525" i="7"/>
  <c r="B525" i="7"/>
  <c r="A525" i="7"/>
  <c r="F524" i="7"/>
  <c r="D524" i="7"/>
  <c r="B524" i="7"/>
  <c r="A524" i="7"/>
  <c r="F523" i="7"/>
  <c r="D523" i="7"/>
  <c r="B523" i="7"/>
  <c r="A523" i="7"/>
  <c r="F522" i="7"/>
  <c r="D522" i="7"/>
  <c r="B522" i="7"/>
  <c r="A522" i="7"/>
  <c r="F521" i="7"/>
  <c r="D521" i="7"/>
  <c r="B521" i="7"/>
  <c r="A521" i="7"/>
  <c r="F520" i="7"/>
  <c r="D520" i="7"/>
  <c r="B520" i="7"/>
  <c r="A520" i="7"/>
  <c r="F519" i="7"/>
  <c r="D519" i="7"/>
  <c r="B519" i="7"/>
  <c r="A519" i="7"/>
  <c r="F518" i="7"/>
  <c r="D518" i="7"/>
  <c r="B518" i="7"/>
  <c r="A518" i="7"/>
  <c r="F517" i="7"/>
  <c r="D517" i="7"/>
  <c r="B517" i="7"/>
  <c r="A517" i="7"/>
  <c r="F516" i="7"/>
  <c r="D516" i="7"/>
  <c r="B516" i="7"/>
  <c r="A516" i="7"/>
  <c r="F515" i="7"/>
  <c r="D515" i="7"/>
  <c r="B515" i="7"/>
  <c r="A515" i="7"/>
  <c r="F514" i="7"/>
  <c r="D514" i="7"/>
  <c r="B514" i="7"/>
  <c r="A514" i="7"/>
  <c r="F513" i="7"/>
  <c r="D513" i="7"/>
  <c r="B513" i="7"/>
  <c r="A513" i="7"/>
  <c r="F512" i="7"/>
  <c r="D512" i="7"/>
  <c r="B512" i="7"/>
  <c r="A512" i="7"/>
  <c r="F511" i="7"/>
  <c r="D511" i="7"/>
  <c r="B511" i="7"/>
  <c r="A511" i="7"/>
  <c r="F510" i="7"/>
  <c r="D510" i="7"/>
  <c r="B510" i="7"/>
  <c r="A510" i="7"/>
  <c r="F509" i="7"/>
  <c r="D509" i="7"/>
  <c r="B509" i="7"/>
  <c r="A509" i="7"/>
  <c r="F508" i="7"/>
  <c r="D508" i="7"/>
  <c r="B508" i="7"/>
  <c r="A508" i="7"/>
  <c r="F507" i="7"/>
  <c r="D507" i="7"/>
  <c r="B507" i="7"/>
  <c r="A507" i="7"/>
  <c r="F506" i="7"/>
  <c r="D506" i="7"/>
  <c r="B506" i="7"/>
  <c r="A506" i="7"/>
  <c r="F505" i="7"/>
  <c r="D505" i="7"/>
  <c r="B505" i="7"/>
  <c r="A505" i="7"/>
  <c r="F504" i="7"/>
  <c r="D504" i="7"/>
  <c r="B504" i="7"/>
  <c r="A504" i="7"/>
  <c r="F503" i="7"/>
  <c r="D503" i="7"/>
  <c r="B503" i="7"/>
  <c r="A503" i="7"/>
  <c r="F502" i="7"/>
  <c r="D502" i="7"/>
  <c r="B502" i="7"/>
  <c r="A502" i="7"/>
  <c r="F501" i="7"/>
  <c r="D501" i="7"/>
  <c r="B501" i="7"/>
  <c r="A501" i="7"/>
  <c r="F500" i="7"/>
  <c r="D500" i="7"/>
  <c r="B500" i="7"/>
  <c r="A500" i="7"/>
  <c r="F499" i="7"/>
  <c r="D499" i="7"/>
  <c r="B499" i="7"/>
  <c r="A499" i="7"/>
  <c r="F498" i="7"/>
  <c r="D498" i="7"/>
  <c r="B498" i="7"/>
  <c r="A498" i="7"/>
  <c r="F497" i="7"/>
  <c r="D497" i="7"/>
  <c r="B497" i="7"/>
  <c r="A497" i="7"/>
  <c r="F496" i="7"/>
  <c r="D496" i="7"/>
  <c r="B496" i="7"/>
  <c r="A496" i="7"/>
  <c r="F495" i="7"/>
  <c r="D495" i="7"/>
  <c r="B495" i="7"/>
  <c r="A495" i="7"/>
  <c r="F494" i="7"/>
  <c r="D494" i="7"/>
  <c r="B494" i="7"/>
  <c r="A494" i="7"/>
  <c r="F493" i="7"/>
  <c r="D493" i="7"/>
  <c r="B493" i="7"/>
  <c r="A493" i="7"/>
  <c r="F492" i="7"/>
  <c r="D492" i="7"/>
  <c r="B492" i="7"/>
  <c r="A492" i="7"/>
  <c r="F491" i="7"/>
  <c r="D491" i="7"/>
  <c r="B491" i="7"/>
  <c r="A491" i="7"/>
  <c r="F490" i="7"/>
  <c r="D490" i="7"/>
  <c r="B490" i="7"/>
  <c r="A490" i="7"/>
  <c r="F489" i="7"/>
  <c r="D489" i="7"/>
  <c r="B489" i="7"/>
  <c r="A489" i="7"/>
  <c r="F488" i="7"/>
  <c r="D488" i="7"/>
  <c r="B488" i="7"/>
  <c r="A488" i="7"/>
  <c r="F487" i="7"/>
  <c r="D487" i="7"/>
  <c r="B487" i="7"/>
  <c r="A487" i="7"/>
  <c r="F486" i="7"/>
  <c r="D486" i="7"/>
  <c r="B486" i="7"/>
  <c r="A486" i="7"/>
  <c r="F485" i="7"/>
  <c r="D485" i="7"/>
  <c r="B485" i="7"/>
  <c r="A485" i="7"/>
  <c r="F484" i="7"/>
  <c r="D484" i="7"/>
  <c r="B484" i="7"/>
  <c r="A484" i="7"/>
  <c r="F483" i="7"/>
  <c r="D483" i="7"/>
  <c r="B483" i="7"/>
  <c r="A483" i="7"/>
  <c r="F482" i="7"/>
  <c r="D482" i="7"/>
  <c r="B482" i="7"/>
  <c r="A482" i="7"/>
  <c r="F481" i="7"/>
  <c r="D481" i="7"/>
  <c r="B481" i="7"/>
  <c r="A481" i="7"/>
  <c r="F480" i="7"/>
  <c r="D480" i="7"/>
  <c r="B480" i="7"/>
  <c r="A480" i="7"/>
  <c r="F479" i="7"/>
  <c r="D479" i="7"/>
  <c r="B479" i="7"/>
  <c r="A479" i="7"/>
  <c r="F478" i="7"/>
  <c r="D478" i="7"/>
  <c r="B478" i="7"/>
  <c r="A478" i="7"/>
  <c r="F477" i="7"/>
  <c r="D477" i="7"/>
  <c r="B477" i="7"/>
  <c r="A477" i="7"/>
  <c r="F476" i="7"/>
  <c r="D476" i="7"/>
  <c r="B476" i="7"/>
  <c r="A476" i="7"/>
  <c r="F475" i="7"/>
  <c r="D475" i="7"/>
  <c r="B475" i="7"/>
  <c r="A475" i="7"/>
  <c r="F474" i="7"/>
  <c r="D474" i="7"/>
  <c r="B474" i="7"/>
  <c r="A474" i="7"/>
  <c r="F473" i="7"/>
  <c r="D473" i="7"/>
  <c r="B473" i="7"/>
  <c r="A473" i="7"/>
  <c r="F472" i="7"/>
  <c r="D472" i="7"/>
  <c r="B472" i="7"/>
  <c r="A472" i="7"/>
  <c r="F471" i="7"/>
  <c r="D471" i="7"/>
  <c r="B471" i="7"/>
  <c r="A471" i="7"/>
  <c r="F470" i="7"/>
  <c r="D470" i="7"/>
  <c r="B470" i="7"/>
  <c r="A470" i="7"/>
  <c r="F469" i="7"/>
  <c r="D469" i="7"/>
  <c r="B469" i="7"/>
  <c r="A469" i="7"/>
  <c r="F468" i="7"/>
  <c r="D468" i="7"/>
  <c r="B468" i="7"/>
  <c r="A468" i="7"/>
  <c r="F467" i="7"/>
  <c r="D467" i="7"/>
  <c r="B467" i="7"/>
  <c r="A467" i="7"/>
  <c r="F466" i="7"/>
  <c r="D466" i="7"/>
  <c r="B466" i="7"/>
  <c r="A466" i="7"/>
  <c r="F465" i="7"/>
  <c r="D465" i="7"/>
  <c r="B465" i="7"/>
  <c r="A465" i="7"/>
  <c r="F464" i="7"/>
  <c r="D464" i="7"/>
  <c r="B464" i="7"/>
  <c r="A464" i="7"/>
  <c r="F463" i="7"/>
  <c r="D463" i="7"/>
  <c r="B463" i="7"/>
  <c r="A463" i="7"/>
  <c r="F462" i="7"/>
  <c r="D462" i="7"/>
  <c r="B462" i="7"/>
  <c r="A462" i="7"/>
  <c r="F461" i="7"/>
  <c r="D461" i="7"/>
  <c r="B461" i="7"/>
  <c r="A461" i="7"/>
  <c r="F460" i="7"/>
  <c r="D460" i="7"/>
  <c r="B460" i="7"/>
  <c r="A460" i="7"/>
  <c r="F459" i="7"/>
  <c r="D459" i="7"/>
  <c r="B459" i="7"/>
  <c r="A459" i="7"/>
  <c r="F458" i="7"/>
  <c r="D458" i="7"/>
  <c r="B458" i="7"/>
  <c r="A458" i="7"/>
  <c r="F457" i="7"/>
  <c r="D457" i="7"/>
  <c r="B457" i="7"/>
  <c r="A457" i="7"/>
  <c r="F456" i="7"/>
  <c r="D456" i="7"/>
  <c r="B456" i="7"/>
  <c r="A456" i="7"/>
  <c r="F455" i="7"/>
  <c r="D455" i="7"/>
  <c r="B455" i="7"/>
  <c r="A455" i="7"/>
  <c r="F454" i="7"/>
  <c r="D454" i="7"/>
  <c r="B454" i="7"/>
  <c r="A454" i="7"/>
  <c r="F453" i="7"/>
  <c r="D453" i="7"/>
  <c r="B453" i="7"/>
  <c r="A453" i="7"/>
  <c r="F452" i="7"/>
  <c r="D452" i="7"/>
  <c r="B452" i="7"/>
  <c r="A452" i="7"/>
  <c r="F451" i="7"/>
  <c r="D451" i="7"/>
  <c r="B451" i="7"/>
  <c r="A451" i="7"/>
  <c r="F450" i="7"/>
  <c r="D450" i="7"/>
  <c r="B450" i="7"/>
  <c r="A450" i="7"/>
  <c r="F449" i="7"/>
  <c r="D449" i="7"/>
  <c r="B449" i="7"/>
  <c r="A449" i="7"/>
  <c r="F448" i="7"/>
  <c r="D448" i="7"/>
  <c r="B448" i="7"/>
  <c r="A448" i="7"/>
  <c r="F447" i="7"/>
  <c r="D447" i="7"/>
  <c r="B447" i="7"/>
  <c r="A447" i="7"/>
  <c r="F446" i="7"/>
  <c r="D446" i="7"/>
  <c r="B446" i="7"/>
  <c r="A446" i="7"/>
  <c r="F445" i="7"/>
  <c r="D445" i="7"/>
  <c r="B445" i="7"/>
  <c r="A445" i="7"/>
  <c r="F444" i="7"/>
  <c r="D444" i="7"/>
  <c r="B444" i="7"/>
  <c r="A444" i="7"/>
  <c r="F443" i="7"/>
  <c r="D443" i="7"/>
  <c r="B443" i="7"/>
  <c r="A443" i="7"/>
  <c r="F442" i="7"/>
  <c r="D442" i="7"/>
  <c r="B442" i="7"/>
  <c r="A442" i="7"/>
  <c r="F441" i="7"/>
  <c r="D441" i="7"/>
  <c r="B441" i="7"/>
  <c r="A441" i="7"/>
  <c r="F440" i="7"/>
  <c r="D440" i="7"/>
  <c r="B440" i="7"/>
  <c r="A440" i="7"/>
  <c r="F439" i="7"/>
  <c r="D439" i="7"/>
  <c r="B439" i="7"/>
  <c r="A439" i="7"/>
  <c r="F438" i="7"/>
  <c r="D438" i="7"/>
  <c r="B438" i="7"/>
  <c r="A438" i="7"/>
  <c r="F437" i="7"/>
  <c r="D437" i="7"/>
  <c r="B437" i="7"/>
  <c r="A437" i="7"/>
  <c r="F436" i="7"/>
  <c r="D436" i="7"/>
  <c r="B436" i="7"/>
  <c r="A436" i="7"/>
  <c r="F435" i="7"/>
  <c r="D435" i="7"/>
  <c r="B435" i="7"/>
  <c r="A435" i="7"/>
  <c r="F434" i="7"/>
  <c r="D434" i="7"/>
  <c r="B434" i="7"/>
  <c r="A434" i="7"/>
  <c r="F433" i="7"/>
  <c r="D433" i="7"/>
  <c r="B433" i="7"/>
  <c r="A433" i="7"/>
  <c r="F432" i="7"/>
  <c r="D432" i="7"/>
  <c r="B432" i="7"/>
  <c r="A432" i="7"/>
  <c r="F431" i="7"/>
  <c r="D431" i="7"/>
  <c r="B431" i="7"/>
  <c r="A431" i="7"/>
  <c r="F430" i="7"/>
  <c r="D430" i="7"/>
  <c r="B430" i="7"/>
  <c r="A430" i="7"/>
  <c r="F429" i="7"/>
  <c r="D429" i="7"/>
  <c r="B429" i="7"/>
  <c r="A429" i="7"/>
  <c r="F428" i="7"/>
  <c r="D428" i="7"/>
  <c r="B428" i="7"/>
  <c r="A428" i="7"/>
  <c r="F427" i="7"/>
  <c r="D427" i="7"/>
  <c r="B427" i="7"/>
  <c r="A427" i="7"/>
  <c r="F426" i="7"/>
  <c r="D426" i="7"/>
  <c r="B426" i="7"/>
  <c r="A426" i="7"/>
  <c r="F425" i="7"/>
  <c r="D425" i="7"/>
  <c r="B425" i="7"/>
  <c r="A425" i="7"/>
  <c r="F424" i="7"/>
  <c r="D424" i="7"/>
  <c r="B424" i="7"/>
  <c r="A424" i="7"/>
  <c r="F423" i="7"/>
  <c r="D423" i="7"/>
  <c r="B423" i="7"/>
  <c r="A423" i="7"/>
  <c r="F422" i="7"/>
  <c r="D422" i="7"/>
  <c r="B422" i="7"/>
  <c r="A422" i="7"/>
  <c r="F421" i="7"/>
  <c r="D421" i="7"/>
  <c r="B421" i="7"/>
  <c r="A421" i="7"/>
  <c r="F420" i="7"/>
  <c r="D420" i="7"/>
  <c r="B420" i="7"/>
  <c r="A420" i="7"/>
  <c r="F419" i="7"/>
  <c r="D419" i="7"/>
  <c r="B419" i="7"/>
  <c r="A419" i="7"/>
  <c r="F418" i="7"/>
  <c r="D418" i="7"/>
  <c r="B418" i="7"/>
  <c r="A418" i="7"/>
  <c r="F417" i="7"/>
  <c r="D417" i="7"/>
  <c r="B417" i="7"/>
  <c r="A417" i="7"/>
  <c r="F416" i="7"/>
  <c r="D416" i="7"/>
  <c r="B416" i="7"/>
  <c r="A416" i="7"/>
  <c r="F415" i="7"/>
  <c r="D415" i="7"/>
  <c r="B415" i="7"/>
  <c r="A415" i="7"/>
  <c r="F414" i="7"/>
  <c r="D414" i="7"/>
  <c r="B414" i="7"/>
  <c r="A414" i="7"/>
  <c r="F413" i="7"/>
  <c r="D413" i="7"/>
  <c r="B413" i="7"/>
  <c r="A413" i="7"/>
  <c r="F412" i="7"/>
  <c r="D412" i="7"/>
  <c r="B412" i="7"/>
  <c r="A412" i="7"/>
  <c r="F411" i="7"/>
  <c r="D411" i="7"/>
  <c r="B411" i="7"/>
  <c r="A411" i="7"/>
  <c r="F410" i="7"/>
  <c r="D410" i="7"/>
  <c r="B410" i="7"/>
  <c r="A410" i="7"/>
  <c r="F409" i="7"/>
  <c r="D409" i="7"/>
  <c r="B409" i="7"/>
  <c r="A409" i="7"/>
  <c r="F408" i="7"/>
  <c r="D408" i="7"/>
  <c r="B408" i="7"/>
  <c r="A408" i="7"/>
  <c r="F407" i="7"/>
  <c r="D407" i="7"/>
  <c r="B407" i="7"/>
  <c r="A407" i="7"/>
  <c r="F406" i="7"/>
  <c r="D406" i="7"/>
  <c r="B406" i="7"/>
  <c r="A406" i="7"/>
  <c r="F405" i="7"/>
  <c r="D405" i="7"/>
  <c r="B405" i="7"/>
  <c r="A405" i="7"/>
  <c r="F404" i="7"/>
  <c r="D404" i="7"/>
  <c r="B404" i="7"/>
  <c r="A404" i="7"/>
  <c r="F403" i="7"/>
  <c r="D403" i="7"/>
  <c r="B403" i="7"/>
  <c r="A403" i="7"/>
  <c r="F402" i="7"/>
  <c r="D402" i="7"/>
  <c r="B402" i="7"/>
  <c r="A402" i="7"/>
  <c r="F401" i="7"/>
  <c r="D401" i="7"/>
  <c r="B401" i="7"/>
  <c r="A401" i="7"/>
  <c r="F400" i="7"/>
  <c r="D400" i="7"/>
  <c r="B400" i="7"/>
  <c r="A400" i="7"/>
  <c r="F399" i="7"/>
  <c r="D399" i="7"/>
  <c r="B399" i="7"/>
  <c r="A399" i="7"/>
  <c r="F398" i="7"/>
  <c r="D398" i="7"/>
  <c r="B398" i="7"/>
  <c r="A398" i="7"/>
  <c r="F397" i="7"/>
  <c r="D397" i="7"/>
  <c r="B397" i="7"/>
  <c r="A397" i="7"/>
  <c r="F396" i="7"/>
  <c r="D396" i="7"/>
  <c r="B396" i="7"/>
  <c r="A396" i="7"/>
  <c r="F395" i="7"/>
  <c r="D395" i="7"/>
  <c r="B395" i="7"/>
  <c r="A395" i="7"/>
  <c r="F394" i="7"/>
  <c r="D394" i="7"/>
  <c r="B394" i="7"/>
  <c r="A394" i="7"/>
  <c r="F393" i="7"/>
  <c r="D393" i="7"/>
  <c r="B393" i="7"/>
  <c r="A393" i="7"/>
  <c r="F392" i="7"/>
  <c r="D392" i="7"/>
  <c r="B392" i="7"/>
  <c r="A392" i="7"/>
  <c r="F391" i="7"/>
  <c r="D391" i="7"/>
  <c r="B391" i="7"/>
  <c r="A391" i="7"/>
  <c r="F390" i="7"/>
  <c r="D390" i="7"/>
  <c r="B390" i="7"/>
  <c r="A390" i="7"/>
  <c r="F389" i="7"/>
  <c r="D389" i="7"/>
  <c r="B389" i="7"/>
  <c r="A389" i="7"/>
  <c r="F388" i="7"/>
  <c r="D388" i="7"/>
  <c r="B388" i="7"/>
  <c r="A388" i="7"/>
  <c r="F387" i="7"/>
  <c r="D387" i="7"/>
  <c r="B387" i="7"/>
  <c r="A387" i="7"/>
  <c r="F386" i="7"/>
  <c r="D386" i="7"/>
  <c r="B386" i="7"/>
  <c r="A386" i="7"/>
  <c r="F385" i="7"/>
  <c r="D385" i="7"/>
  <c r="B385" i="7"/>
  <c r="A385" i="7"/>
  <c r="F384" i="7"/>
  <c r="D384" i="7"/>
  <c r="B384" i="7"/>
  <c r="A384" i="7"/>
  <c r="F383" i="7"/>
  <c r="D383" i="7"/>
  <c r="B383" i="7"/>
  <c r="A383" i="7"/>
  <c r="F382" i="7"/>
  <c r="D382" i="7"/>
  <c r="B382" i="7"/>
  <c r="A382" i="7"/>
  <c r="F381" i="7"/>
  <c r="D381" i="7"/>
  <c r="B381" i="7"/>
  <c r="A381" i="7"/>
  <c r="F380" i="7"/>
  <c r="D380" i="7"/>
  <c r="B380" i="7"/>
  <c r="A380" i="7"/>
  <c r="F379" i="7"/>
  <c r="D379" i="7"/>
  <c r="B379" i="7"/>
  <c r="A379" i="7"/>
  <c r="F378" i="7"/>
  <c r="D378" i="7"/>
  <c r="B378" i="7"/>
  <c r="A378" i="7"/>
  <c r="F377" i="7"/>
  <c r="D377" i="7"/>
  <c r="B377" i="7"/>
  <c r="A377" i="7"/>
  <c r="F376" i="7"/>
  <c r="D376" i="7"/>
  <c r="B376" i="7"/>
  <c r="A376" i="7"/>
  <c r="F375" i="7"/>
  <c r="D375" i="7"/>
  <c r="B375" i="7"/>
  <c r="A375" i="7"/>
  <c r="F374" i="7"/>
  <c r="D374" i="7"/>
  <c r="B374" i="7"/>
  <c r="A374" i="7"/>
  <c r="F373" i="7"/>
  <c r="D373" i="7"/>
  <c r="B373" i="7"/>
  <c r="A373" i="7"/>
  <c r="F372" i="7"/>
  <c r="D372" i="7"/>
  <c r="B372" i="7"/>
  <c r="A372" i="7"/>
  <c r="F371" i="7"/>
  <c r="D371" i="7"/>
  <c r="B371" i="7"/>
  <c r="A371" i="7"/>
  <c r="F370" i="7"/>
  <c r="D370" i="7"/>
  <c r="B370" i="7"/>
  <c r="A370" i="7"/>
  <c r="F369" i="7"/>
  <c r="D369" i="7"/>
  <c r="B369" i="7"/>
  <c r="A369" i="7"/>
  <c r="F368" i="7"/>
  <c r="D368" i="7"/>
  <c r="B368" i="7"/>
  <c r="A368" i="7"/>
  <c r="F367" i="7"/>
  <c r="D367" i="7"/>
  <c r="B367" i="7"/>
  <c r="A367" i="7"/>
  <c r="F366" i="7"/>
  <c r="D366" i="7"/>
  <c r="B366" i="7"/>
  <c r="A366" i="7"/>
  <c r="F365" i="7"/>
  <c r="D365" i="7"/>
  <c r="B365" i="7"/>
  <c r="A365" i="7"/>
  <c r="F364" i="7"/>
  <c r="D364" i="7"/>
  <c r="B364" i="7"/>
  <c r="A364" i="7"/>
  <c r="F363" i="7"/>
  <c r="D363" i="7"/>
  <c r="B363" i="7"/>
  <c r="A363" i="7"/>
  <c r="F362" i="7"/>
  <c r="D362" i="7"/>
  <c r="B362" i="7"/>
  <c r="A362" i="7"/>
  <c r="F361" i="7"/>
  <c r="D361" i="7"/>
  <c r="B361" i="7"/>
  <c r="A361" i="7"/>
  <c r="F360" i="7"/>
  <c r="D360" i="7"/>
  <c r="B360" i="7"/>
  <c r="A360" i="7"/>
  <c r="F359" i="7"/>
  <c r="D359" i="7"/>
  <c r="B359" i="7"/>
  <c r="A359" i="7"/>
  <c r="F358" i="7"/>
  <c r="D358" i="7"/>
  <c r="B358" i="7"/>
  <c r="A358" i="7"/>
  <c r="F357" i="7"/>
  <c r="D357" i="7"/>
  <c r="B357" i="7"/>
  <c r="A357" i="7"/>
  <c r="F356" i="7"/>
  <c r="D356" i="7"/>
  <c r="B356" i="7"/>
  <c r="A356" i="7"/>
  <c r="F355" i="7"/>
  <c r="D355" i="7"/>
  <c r="B355" i="7"/>
  <c r="A355" i="7"/>
  <c r="F354" i="7"/>
  <c r="D354" i="7"/>
  <c r="B354" i="7"/>
  <c r="A354" i="7"/>
  <c r="F353" i="7"/>
  <c r="D353" i="7"/>
  <c r="B353" i="7"/>
  <c r="A353" i="7"/>
  <c r="F352" i="7"/>
  <c r="D352" i="7"/>
  <c r="B352" i="7"/>
  <c r="A352" i="7"/>
  <c r="F351" i="7"/>
  <c r="D351" i="7"/>
  <c r="B351" i="7"/>
  <c r="A351" i="7"/>
  <c r="F350" i="7"/>
  <c r="D350" i="7"/>
  <c r="B350" i="7"/>
  <c r="A350" i="7"/>
  <c r="F349" i="7"/>
  <c r="D349" i="7"/>
  <c r="B349" i="7"/>
  <c r="A349" i="7"/>
  <c r="F348" i="7"/>
  <c r="D348" i="7"/>
  <c r="B348" i="7"/>
  <c r="A348" i="7"/>
  <c r="F347" i="7"/>
  <c r="D347" i="7"/>
  <c r="B347" i="7"/>
  <c r="A347" i="7"/>
  <c r="F346" i="7"/>
  <c r="D346" i="7"/>
  <c r="B346" i="7"/>
  <c r="A346" i="7"/>
  <c r="F345" i="7"/>
  <c r="D345" i="7"/>
  <c r="B345" i="7"/>
  <c r="A345" i="7"/>
  <c r="F344" i="7"/>
  <c r="D344" i="7"/>
  <c r="B344" i="7"/>
  <c r="A344" i="7"/>
  <c r="F343" i="7"/>
  <c r="D343" i="7"/>
  <c r="B343" i="7"/>
  <c r="A343" i="7"/>
  <c r="F342" i="7"/>
  <c r="D342" i="7"/>
  <c r="B342" i="7"/>
  <c r="A342" i="7"/>
  <c r="F341" i="7"/>
  <c r="D341" i="7"/>
  <c r="B341" i="7"/>
  <c r="A341" i="7"/>
  <c r="F340" i="7"/>
  <c r="D340" i="7"/>
  <c r="B340" i="7"/>
  <c r="A340" i="7"/>
  <c r="F339" i="7"/>
  <c r="D339" i="7"/>
  <c r="B339" i="7"/>
  <c r="A339" i="7"/>
  <c r="F338" i="7"/>
  <c r="D338" i="7"/>
  <c r="B338" i="7"/>
  <c r="A338" i="7"/>
  <c r="F337" i="7"/>
  <c r="D337" i="7"/>
  <c r="B337" i="7"/>
  <c r="A337" i="7"/>
  <c r="F336" i="7"/>
  <c r="D336" i="7"/>
  <c r="B336" i="7"/>
  <c r="A336" i="7"/>
  <c r="F335" i="7"/>
  <c r="D335" i="7"/>
  <c r="B335" i="7"/>
  <c r="A335" i="7"/>
  <c r="F334" i="7"/>
  <c r="D334" i="7"/>
  <c r="B334" i="7"/>
  <c r="A334" i="7"/>
  <c r="F333" i="7"/>
  <c r="D333" i="7"/>
  <c r="B333" i="7"/>
  <c r="A333" i="7"/>
  <c r="F332" i="7"/>
  <c r="D332" i="7"/>
  <c r="B332" i="7"/>
  <c r="A332" i="7"/>
  <c r="F331" i="7"/>
  <c r="D331" i="7"/>
  <c r="B331" i="7"/>
  <c r="A331" i="7"/>
  <c r="F330" i="7"/>
  <c r="D330" i="7"/>
  <c r="B330" i="7"/>
  <c r="A330" i="7"/>
  <c r="F329" i="7"/>
  <c r="D329" i="7"/>
  <c r="B329" i="7"/>
  <c r="A329" i="7"/>
  <c r="F328" i="7"/>
  <c r="D328" i="7"/>
  <c r="B328" i="7"/>
  <c r="A328" i="7"/>
  <c r="F327" i="7"/>
  <c r="D327" i="7"/>
  <c r="B327" i="7"/>
  <c r="A327" i="7"/>
  <c r="F326" i="7"/>
  <c r="D326" i="7"/>
  <c r="B326" i="7"/>
  <c r="A326" i="7"/>
  <c r="F325" i="7"/>
  <c r="D325" i="7"/>
  <c r="B325" i="7"/>
  <c r="A325" i="7"/>
  <c r="F324" i="7"/>
  <c r="D324" i="7"/>
  <c r="B324" i="7"/>
  <c r="A324" i="7"/>
  <c r="F323" i="7"/>
  <c r="D323" i="7"/>
  <c r="B323" i="7"/>
  <c r="A323" i="7"/>
  <c r="F322" i="7"/>
  <c r="D322" i="7"/>
  <c r="B322" i="7"/>
  <c r="A322" i="7"/>
  <c r="F321" i="7"/>
  <c r="D321" i="7"/>
  <c r="B321" i="7"/>
  <c r="A321" i="7"/>
  <c r="F320" i="7"/>
  <c r="D320" i="7"/>
  <c r="B320" i="7"/>
  <c r="A320" i="7"/>
  <c r="F319" i="7"/>
  <c r="D319" i="7"/>
  <c r="B319" i="7"/>
  <c r="A319" i="7"/>
  <c r="F318" i="7"/>
  <c r="D318" i="7"/>
  <c r="B318" i="7"/>
  <c r="A318" i="7"/>
  <c r="F317" i="7"/>
  <c r="D317" i="7"/>
  <c r="B317" i="7"/>
  <c r="A317" i="7"/>
  <c r="F316" i="7"/>
  <c r="D316" i="7"/>
  <c r="B316" i="7"/>
  <c r="A316" i="7"/>
  <c r="F315" i="7"/>
  <c r="D315" i="7"/>
  <c r="B315" i="7"/>
  <c r="A315" i="7"/>
  <c r="F314" i="7"/>
  <c r="D314" i="7"/>
  <c r="B314" i="7"/>
  <c r="A314" i="7"/>
  <c r="F313" i="7"/>
  <c r="D313" i="7"/>
  <c r="B313" i="7"/>
  <c r="A313" i="7"/>
  <c r="F312" i="7"/>
  <c r="D312" i="7"/>
  <c r="B312" i="7"/>
  <c r="A312" i="7"/>
  <c r="F311" i="7"/>
  <c r="D311" i="7"/>
  <c r="B311" i="7"/>
  <c r="A311" i="7"/>
  <c r="F310" i="7"/>
  <c r="D310" i="7"/>
  <c r="B310" i="7"/>
  <c r="A310" i="7"/>
  <c r="F309" i="7"/>
  <c r="D309" i="7"/>
  <c r="B309" i="7"/>
  <c r="A309" i="7"/>
  <c r="F308" i="7"/>
  <c r="D308" i="7"/>
  <c r="B308" i="7"/>
  <c r="A308" i="7"/>
  <c r="F307" i="7"/>
  <c r="D307" i="7"/>
  <c r="B307" i="7"/>
  <c r="A307" i="7"/>
  <c r="F306" i="7"/>
  <c r="D306" i="7"/>
  <c r="B306" i="7"/>
  <c r="A306" i="7"/>
  <c r="F305" i="7"/>
  <c r="D305" i="7"/>
  <c r="B305" i="7"/>
  <c r="A305" i="7"/>
  <c r="F304" i="7"/>
  <c r="D304" i="7"/>
  <c r="B304" i="7"/>
  <c r="A304" i="7"/>
  <c r="F303" i="7"/>
  <c r="D303" i="7"/>
  <c r="B303" i="7"/>
  <c r="A303" i="7"/>
  <c r="F302" i="7"/>
  <c r="D302" i="7"/>
  <c r="B302" i="7"/>
  <c r="A302" i="7"/>
  <c r="F301" i="7"/>
  <c r="D301" i="7"/>
  <c r="B301" i="7"/>
  <c r="A301" i="7"/>
  <c r="F300" i="7"/>
  <c r="D300" i="7"/>
  <c r="B300" i="7"/>
  <c r="A300" i="7"/>
  <c r="F299" i="7"/>
  <c r="D299" i="7"/>
  <c r="B299" i="7"/>
  <c r="A299" i="7"/>
  <c r="F298" i="7"/>
  <c r="D298" i="7"/>
  <c r="B298" i="7"/>
  <c r="A298" i="7"/>
  <c r="F297" i="7"/>
  <c r="D297" i="7"/>
  <c r="B297" i="7"/>
  <c r="A297" i="7"/>
  <c r="F296" i="7"/>
  <c r="D296" i="7"/>
  <c r="B296" i="7"/>
  <c r="A296" i="7"/>
  <c r="F295" i="7"/>
  <c r="D295" i="7"/>
  <c r="B295" i="7"/>
  <c r="A295" i="7"/>
  <c r="F294" i="7"/>
  <c r="D294" i="7"/>
  <c r="B294" i="7"/>
  <c r="A294" i="7"/>
  <c r="F293" i="7"/>
  <c r="D293" i="7"/>
  <c r="B293" i="7"/>
  <c r="A293" i="7"/>
  <c r="F292" i="7"/>
  <c r="D292" i="7"/>
  <c r="B292" i="7"/>
  <c r="A292" i="7"/>
  <c r="F291" i="7"/>
  <c r="D291" i="7"/>
  <c r="B291" i="7"/>
  <c r="A291" i="7"/>
  <c r="F290" i="7"/>
  <c r="D290" i="7"/>
  <c r="B290" i="7"/>
  <c r="A290" i="7"/>
  <c r="F289" i="7"/>
  <c r="D289" i="7"/>
  <c r="B289" i="7"/>
  <c r="A289" i="7"/>
  <c r="F288" i="7"/>
  <c r="D288" i="7"/>
  <c r="B288" i="7"/>
  <c r="A288" i="7"/>
  <c r="F287" i="7"/>
  <c r="D287" i="7"/>
  <c r="B287" i="7"/>
  <c r="A287" i="7"/>
  <c r="F286" i="7"/>
  <c r="D286" i="7"/>
  <c r="B286" i="7"/>
  <c r="A286" i="7"/>
  <c r="F285" i="7"/>
  <c r="D285" i="7"/>
  <c r="B285" i="7"/>
  <c r="A285" i="7"/>
  <c r="F284" i="7"/>
  <c r="D284" i="7"/>
  <c r="B284" i="7"/>
  <c r="A284" i="7"/>
  <c r="F283" i="7"/>
  <c r="D283" i="7"/>
  <c r="B283" i="7"/>
  <c r="A283" i="7"/>
  <c r="F282" i="7"/>
  <c r="D282" i="7"/>
  <c r="B282" i="7"/>
  <c r="A282" i="7"/>
  <c r="F281" i="7"/>
  <c r="D281" i="7"/>
  <c r="B281" i="7"/>
  <c r="A281" i="7"/>
  <c r="F280" i="7"/>
  <c r="D280" i="7"/>
  <c r="B280" i="7"/>
  <c r="A280" i="7"/>
  <c r="F279" i="7"/>
  <c r="D279" i="7"/>
  <c r="B279" i="7"/>
  <c r="A279" i="7"/>
  <c r="F278" i="7"/>
  <c r="D278" i="7"/>
  <c r="B278" i="7"/>
  <c r="A278" i="7"/>
  <c r="F277" i="7"/>
  <c r="D277" i="7"/>
  <c r="B277" i="7"/>
  <c r="A277" i="7"/>
  <c r="F276" i="7"/>
  <c r="D276" i="7"/>
  <c r="B276" i="7"/>
  <c r="A276" i="7"/>
  <c r="F275" i="7"/>
  <c r="D275" i="7"/>
  <c r="B275" i="7"/>
  <c r="A275" i="7"/>
  <c r="F274" i="7"/>
  <c r="D274" i="7"/>
  <c r="B274" i="7"/>
  <c r="A274" i="7"/>
  <c r="F273" i="7"/>
  <c r="D273" i="7"/>
  <c r="B273" i="7"/>
  <c r="A273" i="7"/>
  <c r="F272" i="7"/>
  <c r="D272" i="7"/>
  <c r="B272" i="7"/>
  <c r="A272" i="7"/>
  <c r="F271" i="7"/>
  <c r="D271" i="7"/>
  <c r="B271" i="7"/>
  <c r="A271" i="7"/>
  <c r="F270" i="7"/>
  <c r="D270" i="7"/>
  <c r="B270" i="7"/>
  <c r="A270" i="7"/>
  <c r="F269" i="7"/>
  <c r="D269" i="7"/>
  <c r="B269" i="7"/>
  <c r="A269" i="7"/>
  <c r="F268" i="7"/>
  <c r="D268" i="7"/>
  <c r="B268" i="7"/>
  <c r="A268" i="7"/>
  <c r="F267" i="7"/>
  <c r="D267" i="7"/>
  <c r="B267" i="7"/>
  <c r="A267" i="7"/>
  <c r="F266" i="7"/>
  <c r="D266" i="7"/>
  <c r="B266" i="7"/>
  <c r="A266" i="7"/>
  <c r="F265" i="7"/>
  <c r="D265" i="7"/>
  <c r="B265" i="7"/>
  <c r="A265" i="7"/>
  <c r="F264" i="7"/>
  <c r="D264" i="7"/>
  <c r="B264" i="7"/>
  <c r="A264" i="7"/>
  <c r="F263" i="7"/>
  <c r="D263" i="7"/>
  <c r="B263" i="7"/>
  <c r="A263" i="7"/>
  <c r="F262" i="7"/>
  <c r="D262" i="7"/>
  <c r="B262" i="7"/>
  <c r="A262" i="7"/>
  <c r="F261" i="7"/>
  <c r="D261" i="7"/>
  <c r="B261" i="7"/>
  <c r="A261" i="7"/>
  <c r="F260" i="7"/>
  <c r="D260" i="7"/>
  <c r="B260" i="7"/>
  <c r="A260" i="7"/>
  <c r="F259" i="7"/>
  <c r="D259" i="7"/>
  <c r="B259" i="7"/>
  <c r="A259" i="7"/>
  <c r="F258" i="7"/>
  <c r="D258" i="7"/>
  <c r="B258" i="7"/>
  <c r="A258" i="7"/>
  <c r="F257" i="7"/>
  <c r="D257" i="7"/>
  <c r="B257" i="7"/>
  <c r="A257" i="7"/>
  <c r="F256" i="7"/>
  <c r="D256" i="7"/>
  <c r="B256" i="7"/>
  <c r="A256" i="7"/>
  <c r="F255" i="7"/>
  <c r="D255" i="7"/>
  <c r="B255" i="7"/>
  <c r="A255" i="7"/>
  <c r="F254" i="7"/>
  <c r="D254" i="7"/>
  <c r="B254" i="7"/>
  <c r="A254" i="7"/>
  <c r="F253" i="7"/>
  <c r="D253" i="7"/>
  <c r="B253" i="7"/>
  <c r="A253" i="7"/>
  <c r="F252" i="7"/>
  <c r="D252" i="7"/>
  <c r="B252" i="7"/>
  <c r="A252" i="7"/>
  <c r="F251" i="7"/>
  <c r="D251" i="7"/>
  <c r="B251" i="7"/>
  <c r="A251" i="7"/>
  <c r="F250" i="7"/>
  <c r="D250" i="7"/>
  <c r="B250" i="7"/>
  <c r="A250" i="7"/>
  <c r="F249" i="7"/>
  <c r="D249" i="7"/>
  <c r="B249" i="7"/>
  <c r="A249" i="7"/>
  <c r="F248" i="7"/>
  <c r="D248" i="7"/>
  <c r="B248" i="7"/>
  <c r="A248" i="7"/>
  <c r="F247" i="7"/>
  <c r="D247" i="7"/>
  <c r="B247" i="7"/>
  <c r="A247" i="7"/>
  <c r="F246" i="7"/>
  <c r="D246" i="7"/>
  <c r="B246" i="7"/>
  <c r="A246" i="7"/>
  <c r="F245" i="7"/>
  <c r="D245" i="7"/>
  <c r="B245" i="7"/>
  <c r="A245" i="7"/>
  <c r="F244" i="7"/>
  <c r="D244" i="7"/>
  <c r="B244" i="7"/>
  <c r="A244" i="7"/>
  <c r="F243" i="7"/>
  <c r="D243" i="7"/>
  <c r="B243" i="7"/>
  <c r="A243" i="7"/>
  <c r="F242" i="7"/>
  <c r="D242" i="7"/>
  <c r="B242" i="7"/>
  <c r="A242" i="7"/>
  <c r="F241" i="7"/>
  <c r="D241" i="7"/>
  <c r="B241" i="7"/>
  <c r="A241" i="7"/>
  <c r="F240" i="7"/>
  <c r="D240" i="7"/>
  <c r="B240" i="7"/>
  <c r="A240" i="7"/>
  <c r="F239" i="7"/>
  <c r="D239" i="7"/>
  <c r="B239" i="7"/>
  <c r="A239" i="7"/>
  <c r="F238" i="7"/>
  <c r="D238" i="7"/>
  <c r="B238" i="7"/>
  <c r="A238" i="7"/>
  <c r="F237" i="7"/>
  <c r="D237" i="7"/>
  <c r="B237" i="7"/>
  <c r="A237" i="7"/>
  <c r="F236" i="7"/>
  <c r="D236" i="7"/>
  <c r="B236" i="7"/>
  <c r="A236" i="7"/>
  <c r="F235" i="7"/>
  <c r="D235" i="7"/>
  <c r="B235" i="7"/>
  <c r="A235" i="7"/>
  <c r="F234" i="7"/>
  <c r="D234" i="7"/>
  <c r="B234" i="7"/>
  <c r="A234" i="7"/>
  <c r="F233" i="7"/>
  <c r="D233" i="7"/>
  <c r="B233" i="7"/>
  <c r="A233" i="7"/>
  <c r="F232" i="7"/>
  <c r="D232" i="7"/>
  <c r="B232" i="7"/>
  <c r="A232" i="7"/>
  <c r="F231" i="7"/>
  <c r="D231" i="7"/>
  <c r="B231" i="7"/>
  <c r="A231" i="7"/>
  <c r="F230" i="7"/>
  <c r="D230" i="7"/>
  <c r="B230" i="7"/>
  <c r="A230" i="7"/>
  <c r="F229" i="7"/>
  <c r="D229" i="7"/>
  <c r="B229" i="7"/>
  <c r="A229" i="7"/>
  <c r="F228" i="7"/>
  <c r="D228" i="7"/>
  <c r="B228" i="7"/>
  <c r="A228" i="7"/>
  <c r="F227" i="7"/>
  <c r="D227" i="7"/>
  <c r="B227" i="7"/>
  <c r="A227" i="7"/>
  <c r="F226" i="7"/>
  <c r="D226" i="7"/>
  <c r="B226" i="7"/>
  <c r="A226" i="7"/>
  <c r="F225" i="7"/>
  <c r="D225" i="7"/>
  <c r="B225" i="7"/>
  <c r="A225" i="7"/>
  <c r="F224" i="7"/>
  <c r="D224" i="7"/>
  <c r="B224" i="7"/>
  <c r="A224" i="7"/>
  <c r="F223" i="7"/>
  <c r="D223" i="7"/>
  <c r="B223" i="7"/>
  <c r="A223" i="7"/>
  <c r="F222" i="7"/>
  <c r="D222" i="7"/>
  <c r="B222" i="7"/>
  <c r="A222" i="7"/>
  <c r="F221" i="7"/>
  <c r="D221" i="7"/>
  <c r="B221" i="7"/>
  <c r="A221" i="7"/>
  <c r="F220" i="7"/>
  <c r="D220" i="7"/>
  <c r="B220" i="7"/>
  <c r="A220" i="7"/>
  <c r="F219" i="7"/>
  <c r="D219" i="7"/>
  <c r="B219" i="7"/>
  <c r="A219" i="7"/>
  <c r="F218" i="7"/>
  <c r="D218" i="7"/>
  <c r="B218" i="7"/>
  <c r="A218" i="7"/>
  <c r="F217" i="7"/>
  <c r="D217" i="7"/>
  <c r="B217" i="7"/>
  <c r="A217" i="7"/>
  <c r="F216" i="7"/>
  <c r="D216" i="7"/>
  <c r="B216" i="7"/>
  <c r="A216" i="7"/>
  <c r="F215" i="7"/>
  <c r="D215" i="7"/>
  <c r="B215" i="7"/>
  <c r="A215" i="7"/>
  <c r="F214" i="7"/>
  <c r="D214" i="7"/>
  <c r="B214" i="7"/>
  <c r="A214" i="7"/>
  <c r="F213" i="7"/>
  <c r="D213" i="7"/>
  <c r="B213" i="7"/>
  <c r="A213" i="7"/>
  <c r="F212" i="7"/>
  <c r="D212" i="7"/>
  <c r="B212" i="7"/>
  <c r="A212" i="7"/>
  <c r="F211" i="7"/>
  <c r="D211" i="7"/>
  <c r="B211" i="7"/>
  <c r="A211" i="7"/>
  <c r="F210" i="7"/>
  <c r="D210" i="7"/>
  <c r="B210" i="7"/>
  <c r="A210" i="7"/>
  <c r="F209" i="7"/>
  <c r="D209" i="7"/>
  <c r="B209" i="7"/>
  <c r="A209" i="7"/>
  <c r="F208" i="7"/>
  <c r="D208" i="7"/>
  <c r="B208" i="7"/>
  <c r="A208" i="7"/>
  <c r="F207" i="7"/>
  <c r="D207" i="7"/>
  <c r="B207" i="7"/>
  <c r="A207" i="7"/>
  <c r="F206" i="7"/>
  <c r="D206" i="7"/>
  <c r="B206" i="7"/>
  <c r="A206" i="7"/>
  <c r="F205" i="7"/>
  <c r="D205" i="7"/>
  <c r="B205" i="7"/>
  <c r="A205" i="7"/>
  <c r="F204" i="7"/>
  <c r="D204" i="7"/>
  <c r="B204" i="7"/>
  <c r="A204" i="7"/>
  <c r="F203" i="7"/>
  <c r="D203" i="7"/>
  <c r="B203" i="7"/>
  <c r="A203" i="7"/>
  <c r="F202" i="7"/>
  <c r="D202" i="7"/>
  <c r="B202" i="7"/>
  <c r="A202" i="7"/>
  <c r="F201" i="7"/>
  <c r="D201" i="7"/>
  <c r="B201" i="7"/>
  <c r="A201" i="7"/>
  <c r="F200" i="7"/>
  <c r="D200" i="7"/>
  <c r="B200" i="7"/>
  <c r="A200" i="7"/>
  <c r="F199" i="7"/>
  <c r="D199" i="7"/>
  <c r="B199" i="7"/>
  <c r="A199" i="7"/>
  <c r="F198" i="7"/>
  <c r="D198" i="7"/>
  <c r="B198" i="7"/>
  <c r="A198" i="7"/>
  <c r="F197" i="7"/>
  <c r="D197" i="7"/>
  <c r="B197" i="7"/>
  <c r="A197" i="7"/>
  <c r="F196" i="7"/>
  <c r="D196" i="7"/>
  <c r="B196" i="7"/>
  <c r="A196" i="7"/>
  <c r="F195" i="7"/>
  <c r="D195" i="7"/>
  <c r="B195" i="7"/>
  <c r="A195" i="7"/>
  <c r="F194" i="7"/>
  <c r="D194" i="7"/>
  <c r="B194" i="7"/>
  <c r="A194" i="7"/>
  <c r="F193" i="7"/>
  <c r="D193" i="7"/>
  <c r="B193" i="7"/>
  <c r="A193" i="7"/>
  <c r="F192" i="7"/>
  <c r="D192" i="7"/>
  <c r="B192" i="7"/>
  <c r="A192" i="7"/>
  <c r="F191" i="7"/>
  <c r="D191" i="7"/>
  <c r="B191" i="7"/>
  <c r="A191" i="7"/>
  <c r="F190" i="7"/>
  <c r="D190" i="7"/>
  <c r="B190" i="7"/>
  <c r="A190" i="7"/>
  <c r="F189" i="7"/>
  <c r="D189" i="7"/>
  <c r="B189" i="7"/>
  <c r="A189" i="7"/>
  <c r="F188" i="7"/>
  <c r="D188" i="7"/>
  <c r="B188" i="7"/>
  <c r="A188" i="7"/>
  <c r="F187" i="7"/>
  <c r="D187" i="7"/>
  <c r="B187" i="7"/>
  <c r="A187" i="7"/>
  <c r="F186" i="7"/>
  <c r="D186" i="7"/>
  <c r="B186" i="7"/>
  <c r="A186" i="7"/>
  <c r="F185" i="7"/>
  <c r="D185" i="7"/>
  <c r="B185" i="7"/>
  <c r="A185" i="7"/>
  <c r="F184" i="7"/>
  <c r="D184" i="7"/>
  <c r="B184" i="7"/>
  <c r="A184" i="7"/>
  <c r="F183" i="7"/>
  <c r="D183" i="7"/>
  <c r="B183" i="7"/>
  <c r="A183" i="7"/>
  <c r="F182" i="7"/>
  <c r="D182" i="7"/>
  <c r="B182" i="7"/>
  <c r="A182" i="7"/>
  <c r="F181" i="7"/>
  <c r="D181" i="7"/>
  <c r="B181" i="7"/>
  <c r="A181" i="7"/>
  <c r="F180" i="7"/>
  <c r="D180" i="7"/>
  <c r="B180" i="7"/>
  <c r="A180" i="7"/>
  <c r="F179" i="7"/>
  <c r="D179" i="7"/>
  <c r="B179" i="7"/>
  <c r="A179" i="7"/>
  <c r="F178" i="7"/>
  <c r="D178" i="7"/>
  <c r="B178" i="7"/>
  <c r="A178" i="7"/>
  <c r="F177" i="7"/>
  <c r="D177" i="7"/>
  <c r="B177" i="7"/>
  <c r="A177" i="7"/>
  <c r="F176" i="7"/>
  <c r="D176" i="7"/>
  <c r="B176" i="7"/>
  <c r="A176" i="7"/>
  <c r="F175" i="7"/>
  <c r="D175" i="7"/>
  <c r="B175" i="7"/>
  <c r="A175" i="7"/>
  <c r="F174" i="7"/>
  <c r="D174" i="7"/>
  <c r="B174" i="7"/>
  <c r="A174" i="7"/>
  <c r="F173" i="7"/>
  <c r="D173" i="7"/>
  <c r="B173" i="7"/>
  <c r="A173" i="7"/>
  <c r="F172" i="7"/>
  <c r="D172" i="7"/>
  <c r="B172" i="7"/>
  <c r="A172" i="7"/>
  <c r="F171" i="7"/>
  <c r="D171" i="7"/>
  <c r="B171" i="7"/>
  <c r="A171" i="7"/>
  <c r="F170" i="7"/>
  <c r="D170" i="7"/>
  <c r="B170" i="7"/>
  <c r="A170" i="7"/>
  <c r="F169" i="7"/>
  <c r="D169" i="7"/>
  <c r="B169" i="7"/>
  <c r="A169" i="7"/>
  <c r="F168" i="7"/>
  <c r="D168" i="7"/>
  <c r="B168" i="7"/>
  <c r="A168" i="7"/>
  <c r="F167" i="7"/>
  <c r="D167" i="7"/>
  <c r="B167" i="7"/>
  <c r="A167" i="7"/>
  <c r="F166" i="7"/>
  <c r="D166" i="7"/>
  <c r="B166" i="7"/>
  <c r="A166" i="7"/>
  <c r="F165" i="7"/>
  <c r="D165" i="7"/>
  <c r="B165" i="7"/>
  <c r="A165" i="7"/>
  <c r="F164" i="7"/>
  <c r="D164" i="7"/>
  <c r="B164" i="7"/>
  <c r="A164" i="7"/>
  <c r="F163" i="7"/>
  <c r="D163" i="7"/>
  <c r="B163" i="7"/>
  <c r="A163" i="7"/>
  <c r="F162" i="7"/>
  <c r="D162" i="7"/>
  <c r="B162" i="7"/>
  <c r="A162" i="7"/>
  <c r="F161" i="7"/>
  <c r="D161" i="7"/>
  <c r="B161" i="7"/>
  <c r="A161" i="7"/>
  <c r="F160" i="7"/>
  <c r="D160" i="7"/>
  <c r="B160" i="7"/>
  <c r="A160" i="7"/>
  <c r="F159" i="7"/>
  <c r="D159" i="7"/>
  <c r="B159" i="7"/>
  <c r="A159" i="7"/>
  <c r="F158" i="7"/>
  <c r="D158" i="7"/>
  <c r="B158" i="7"/>
  <c r="A158" i="7"/>
  <c r="F157" i="7"/>
  <c r="D157" i="7"/>
  <c r="B157" i="7"/>
  <c r="A157" i="7"/>
  <c r="F156" i="7"/>
  <c r="D156" i="7"/>
  <c r="B156" i="7"/>
  <c r="A156" i="7"/>
  <c r="F155" i="7"/>
  <c r="D155" i="7"/>
  <c r="B155" i="7"/>
  <c r="A155" i="7"/>
  <c r="F154" i="7"/>
  <c r="D154" i="7"/>
  <c r="B154" i="7"/>
  <c r="A154" i="7"/>
  <c r="F153" i="7"/>
  <c r="D153" i="7"/>
  <c r="B153" i="7"/>
  <c r="A153" i="7"/>
  <c r="F152" i="7"/>
  <c r="D152" i="7"/>
  <c r="B152" i="7"/>
  <c r="A152" i="7"/>
  <c r="F151" i="7"/>
  <c r="D151" i="7"/>
  <c r="B151" i="7"/>
  <c r="A151" i="7"/>
  <c r="F150" i="7"/>
  <c r="D150" i="7"/>
  <c r="B150" i="7"/>
  <c r="A150" i="7"/>
  <c r="F149" i="7"/>
  <c r="D149" i="7"/>
  <c r="B149" i="7"/>
  <c r="A149" i="7"/>
  <c r="F148" i="7"/>
  <c r="D148" i="7"/>
  <c r="B148" i="7"/>
  <c r="A148" i="7"/>
  <c r="F147" i="7"/>
  <c r="D147" i="7"/>
  <c r="B147" i="7"/>
  <c r="A147" i="7"/>
  <c r="F146" i="7"/>
  <c r="D146" i="7"/>
  <c r="B146" i="7"/>
  <c r="A146" i="7"/>
  <c r="F145" i="7"/>
  <c r="D145" i="7"/>
  <c r="B145" i="7"/>
  <c r="A145" i="7"/>
  <c r="F144" i="7"/>
  <c r="D144" i="7"/>
  <c r="B144" i="7"/>
  <c r="A144" i="7"/>
  <c r="F143" i="7"/>
  <c r="D143" i="7"/>
  <c r="B143" i="7"/>
  <c r="A143" i="7"/>
  <c r="F142" i="7"/>
  <c r="D142" i="7"/>
  <c r="B142" i="7"/>
  <c r="A142" i="7"/>
  <c r="F141" i="7"/>
  <c r="D141" i="7"/>
  <c r="B141" i="7"/>
  <c r="A141" i="7"/>
  <c r="F140" i="7"/>
  <c r="D140" i="7"/>
  <c r="B140" i="7"/>
  <c r="A140" i="7"/>
  <c r="F139" i="7"/>
  <c r="D139" i="7"/>
  <c r="B139" i="7"/>
  <c r="A139" i="7"/>
  <c r="F138" i="7"/>
  <c r="D138" i="7"/>
  <c r="B138" i="7"/>
  <c r="A138" i="7"/>
  <c r="F137" i="7"/>
  <c r="D137" i="7"/>
  <c r="B137" i="7"/>
  <c r="A137" i="7"/>
  <c r="F136" i="7"/>
  <c r="D136" i="7"/>
  <c r="B136" i="7"/>
  <c r="A136" i="7"/>
  <c r="F135" i="7"/>
  <c r="D135" i="7"/>
  <c r="B135" i="7"/>
  <c r="A135" i="7"/>
  <c r="F134" i="7"/>
  <c r="D134" i="7"/>
  <c r="B134" i="7"/>
  <c r="A134" i="7"/>
  <c r="F133" i="7"/>
  <c r="D133" i="7"/>
  <c r="B133" i="7"/>
  <c r="A133" i="7"/>
  <c r="F132" i="7"/>
  <c r="D132" i="7"/>
  <c r="B132" i="7"/>
  <c r="A132" i="7"/>
  <c r="F131" i="7"/>
  <c r="D131" i="7"/>
  <c r="B131" i="7"/>
  <c r="A131" i="7"/>
  <c r="F130" i="7"/>
  <c r="D130" i="7"/>
  <c r="B130" i="7"/>
  <c r="A130" i="7"/>
  <c r="F129" i="7"/>
  <c r="D129" i="7"/>
  <c r="B129" i="7"/>
  <c r="A129" i="7"/>
  <c r="F128" i="7"/>
  <c r="D128" i="7"/>
  <c r="B128" i="7"/>
  <c r="A128" i="7"/>
  <c r="F127" i="7"/>
  <c r="D127" i="7"/>
  <c r="B127" i="7"/>
  <c r="A127" i="7"/>
  <c r="F126" i="7"/>
  <c r="D126" i="7"/>
  <c r="B126" i="7"/>
  <c r="A126" i="7"/>
  <c r="F125" i="7"/>
  <c r="D125" i="7"/>
  <c r="B125" i="7"/>
  <c r="A125" i="7"/>
  <c r="F124" i="7"/>
  <c r="D124" i="7"/>
  <c r="B124" i="7"/>
  <c r="A124" i="7"/>
  <c r="F123" i="7"/>
  <c r="D123" i="7"/>
  <c r="B123" i="7"/>
  <c r="A123" i="7"/>
  <c r="F122" i="7"/>
  <c r="D122" i="7"/>
  <c r="B122" i="7"/>
  <c r="A122" i="7"/>
  <c r="F121" i="7"/>
  <c r="D121" i="7"/>
  <c r="B121" i="7"/>
  <c r="A121" i="7"/>
  <c r="F120" i="7"/>
  <c r="D120" i="7"/>
  <c r="B120" i="7"/>
  <c r="A120" i="7"/>
  <c r="F119" i="7"/>
  <c r="D119" i="7"/>
  <c r="B119" i="7"/>
  <c r="A119" i="7"/>
  <c r="F118" i="7"/>
  <c r="D118" i="7"/>
  <c r="B118" i="7"/>
  <c r="A118" i="7"/>
  <c r="F117" i="7"/>
  <c r="D117" i="7"/>
  <c r="B117" i="7"/>
  <c r="A117" i="7"/>
  <c r="F116" i="7"/>
  <c r="D116" i="7"/>
  <c r="B116" i="7"/>
  <c r="A116" i="7"/>
  <c r="F115" i="7"/>
  <c r="D115" i="7"/>
  <c r="B115" i="7"/>
  <c r="A115" i="7"/>
  <c r="F114" i="7"/>
  <c r="D114" i="7"/>
  <c r="B114" i="7"/>
  <c r="A114" i="7"/>
  <c r="F113" i="7"/>
  <c r="D113" i="7"/>
  <c r="B113" i="7"/>
  <c r="A113" i="7"/>
  <c r="F112" i="7"/>
  <c r="D112" i="7"/>
  <c r="B112" i="7"/>
  <c r="A112" i="7"/>
  <c r="F111" i="7"/>
  <c r="D111" i="7"/>
  <c r="B111" i="7"/>
  <c r="A111" i="7"/>
  <c r="F110" i="7"/>
  <c r="D110" i="7"/>
  <c r="B110" i="7"/>
  <c r="A110" i="7"/>
  <c r="F109" i="7"/>
  <c r="D109" i="7"/>
  <c r="B109" i="7"/>
  <c r="A109" i="7"/>
  <c r="F108" i="7"/>
  <c r="D108" i="7"/>
  <c r="B108" i="7"/>
  <c r="A108" i="7"/>
  <c r="F107" i="7"/>
  <c r="D107" i="7"/>
  <c r="B107" i="7"/>
  <c r="A107" i="7"/>
  <c r="F106" i="7"/>
  <c r="D106" i="7"/>
  <c r="B106" i="7"/>
  <c r="A106" i="7"/>
  <c r="F105" i="7"/>
  <c r="D105" i="7"/>
  <c r="B105" i="7"/>
  <c r="A105" i="7"/>
  <c r="F104" i="7"/>
  <c r="D104" i="7"/>
  <c r="B104" i="7"/>
  <c r="A104" i="7"/>
  <c r="F103" i="7"/>
  <c r="D103" i="7"/>
  <c r="B103" i="7"/>
  <c r="A103" i="7"/>
  <c r="F102" i="7"/>
  <c r="D102" i="7"/>
  <c r="B102" i="7"/>
  <c r="A102" i="7"/>
  <c r="F101" i="7"/>
  <c r="D101" i="7"/>
  <c r="B101" i="7"/>
  <c r="A101" i="7"/>
  <c r="F100" i="7"/>
  <c r="D100" i="7"/>
  <c r="B100" i="7"/>
  <c r="A100" i="7"/>
  <c r="F99" i="7"/>
  <c r="D99" i="7"/>
  <c r="B99" i="7"/>
  <c r="A99" i="7"/>
  <c r="F98" i="7"/>
  <c r="D98" i="7"/>
  <c r="B98" i="7"/>
  <c r="A98" i="7"/>
  <c r="F97" i="7"/>
  <c r="D97" i="7"/>
  <c r="B97" i="7"/>
  <c r="A97" i="7"/>
  <c r="F96" i="7"/>
  <c r="D96" i="7"/>
  <c r="B96" i="7"/>
  <c r="A96" i="7"/>
  <c r="F95" i="7"/>
  <c r="D95" i="7"/>
  <c r="B95" i="7"/>
  <c r="A95" i="7"/>
  <c r="F94" i="7"/>
  <c r="D94" i="7"/>
  <c r="B94" i="7"/>
  <c r="A94" i="7"/>
  <c r="F93" i="7"/>
  <c r="D93" i="7"/>
  <c r="B93" i="7"/>
  <c r="A93" i="7"/>
  <c r="F92" i="7"/>
  <c r="D92" i="7"/>
  <c r="B92" i="7"/>
  <c r="A92" i="7"/>
  <c r="F91" i="7"/>
  <c r="D91" i="7"/>
  <c r="B91" i="7"/>
  <c r="A91" i="7"/>
  <c r="F90" i="7"/>
  <c r="D90" i="7"/>
  <c r="B90" i="7"/>
  <c r="A90" i="7"/>
  <c r="F89" i="7"/>
  <c r="D89" i="7"/>
  <c r="B89" i="7"/>
  <c r="A89" i="7"/>
  <c r="F88" i="7"/>
  <c r="D88" i="7"/>
  <c r="B88" i="7"/>
  <c r="A88" i="7"/>
  <c r="F87" i="7"/>
  <c r="D87" i="7"/>
  <c r="B87" i="7"/>
  <c r="A87" i="7"/>
  <c r="F86" i="7"/>
  <c r="D86" i="7"/>
  <c r="B86" i="7"/>
  <c r="A86" i="7"/>
  <c r="F85" i="7"/>
  <c r="D85" i="7"/>
  <c r="B85" i="7"/>
  <c r="A85" i="7"/>
  <c r="F84" i="7"/>
  <c r="D84" i="7"/>
  <c r="B84" i="7"/>
  <c r="A84" i="7"/>
  <c r="F83" i="7"/>
  <c r="D83" i="7"/>
  <c r="B83" i="7"/>
  <c r="A83" i="7"/>
  <c r="F82" i="7"/>
  <c r="D82" i="7"/>
  <c r="B82" i="7"/>
  <c r="A82" i="7"/>
  <c r="F81" i="7"/>
  <c r="D81" i="7"/>
  <c r="B81" i="7"/>
  <c r="A81" i="7"/>
  <c r="F80" i="7"/>
  <c r="D80" i="7"/>
  <c r="B80" i="7"/>
  <c r="A80" i="7"/>
  <c r="F79" i="7"/>
  <c r="D79" i="7"/>
  <c r="B79" i="7"/>
  <c r="A79" i="7"/>
  <c r="F78" i="7"/>
  <c r="D78" i="7"/>
  <c r="B78" i="7"/>
  <c r="A78" i="7"/>
  <c r="F77" i="7"/>
  <c r="D77" i="7"/>
  <c r="B77" i="7"/>
  <c r="A77" i="7"/>
  <c r="F76" i="7"/>
  <c r="D76" i="7"/>
  <c r="B76" i="7"/>
  <c r="A76" i="7"/>
  <c r="F75" i="7"/>
  <c r="D75" i="7"/>
  <c r="B75" i="7"/>
  <c r="A75" i="7"/>
  <c r="F74" i="7"/>
  <c r="D74" i="7"/>
  <c r="B74" i="7"/>
  <c r="A74" i="7"/>
  <c r="F73" i="7"/>
  <c r="D73" i="7"/>
  <c r="B73" i="7"/>
  <c r="A73" i="7"/>
  <c r="F72" i="7"/>
  <c r="D72" i="7"/>
  <c r="B72" i="7"/>
  <c r="A72" i="7"/>
  <c r="F71" i="7"/>
  <c r="D71" i="7"/>
  <c r="B71" i="7"/>
  <c r="A71" i="7"/>
  <c r="F70" i="7"/>
  <c r="D70" i="7"/>
  <c r="B70" i="7"/>
  <c r="A70" i="7"/>
  <c r="F69" i="7"/>
  <c r="D69" i="7"/>
  <c r="B69" i="7"/>
  <c r="A69" i="7"/>
  <c r="F68" i="7"/>
  <c r="D68" i="7"/>
  <c r="B68" i="7"/>
  <c r="A68" i="7"/>
  <c r="F67" i="7"/>
  <c r="D67" i="7"/>
  <c r="B67" i="7"/>
  <c r="A67" i="7"/>
  <c r="F66" i="7"/>
  <c r="D66" i="7"/>
  <c r="B66" i="7"/>
  <c r="A66" i="7"/>
  <c r="F65" i="7"/>
  <c r="D65" i="7"/>
  <c r="B65" i="7"/>
  <c r="A65" i="7"/>
  <c r="F64" i="7"/>
  <c r="D64" i="7"/>
  <c r="B64" i="7"/>
  <c r="A64" i="7"/>
  <c r="F63" i="7"/>
  <c r="D63" i="7"/>
  <c r="B63" i="7"/>
  <c r="A63" i="7"/>
  <c r="F62" i="7"/>
  <c r="D62" i="7"/>
  <c r="B62" i="7"/>
  <c r="A62" i="7"/>
  <c r="F61" i="7"/>
  <c r="D61" i="7"/>
  <c r="B61" i="7"/>
  <c r="A61" i="7"/>
  <c r="F60" i="7"/>
  <c r="D60" i="7"/>
  <c r="B60" i="7"/>
  <c r="A60" i="7"/>
  <c r="F59" i="7"/>
  <c r="D59" i="7"/>
  <c r="B59" i="7"/>
  <c r="A59" i="7"/>
  <c r="F58" i="7"/>
  <c r="D58" i="7"/>
  <c r="B58" i="7"/>
  <c r="A58" i="7"/>
  <c r="F57" i="7"/>
  <c r="D57" i="7"/>
  <c r="B57" i="7"/>
  <c r="A57" i="7"/>
  <c r="F56" i="7"/>
  <c r="D56" i="7"/>
  <c r="B56" i="7"/>
  <c r="A56" i="7"/>
  <c r="F55" i="7"/>
  <c r="D55" i="7"/>
  <c r="B55" i="7"/>
  <c r="A55" i="7"/>
  <c r="F54" i="7"/>
  <c r="D54" i="7"/>
  <c r="B54" i="7"/>
  <c r="A54" i="7"/>
  <c r="F53" i="7"/>
  <c r="D53" i="7"/>
  <c r="B53" i="7"/>
  <c r="A53" i="7"/>
  <c r="F52" i="7"/>
  <c r="D52" i="7"/>
  <c r="B52" i="7"/>
  <c r="A52" i="7"/>
  <c r="F51" i="7"/>
  <c r="D51" i="7"/>
  <c r="B51" i="7"/>
  <c r="A51" i="7"/>
  <c r="F50" i="7"/>
  <c r="D50" i="7"/>
  <c r="B50" i="7"/>
  <c r="A50" i="7"/>
  <c r="F49" i="7"/>
  <c r="D49" i="7"/>
  <c r="B49" i="7"/>
  <c r="A49" i="7"/>
  <c r="F48" i="7"/>
  <c r="D48" i="7"/>
  <c r="B48" i="7"/>
  <c r="A48" i="7"/>
  <c r="F47" i="7"/>
  <c r="D47" i="7"/>
  <c r="B47" i="7"/>
  <c r="A47" i="7"/>
  <c r="F46" i="7"/>
  <c r="D46" i="7"/>
  <c r="B46" i="7"/>
  <c r="A46" i="7"/>
  <c r="F45" i="7"/>
  <c r="D45" i="7"/>
  <c r="B45" i="7"/>
  <c r="A45" i="7"/>
  <c r="F44" i="7"/>
  <c r="D44" i="7"/>
  <c r="B44" i="7"/>
  <c r="A44" i="7"/>
  <c r="F43" i="7"/>
  <c r="D43" i="7"/>
  <c r="B43" i="7"/>
  <c r="A43" i="7"/>
  <c r="F42" i="7"/>
  <c r="D42" i="7"/>
  <c r="B42" i="7"/>
  <c r="A42" i="7"/>
  <c r="F41" i="7"/>
  <c r="D41" i="7"/>
  <c r="B41" i="7"/>
  <c r="A41" i="7"/>
  <c r="F40" i="7"/>
  <c r="D40" i="7"/>
  <c r="B40" i="7"/>
  <c r="A40" i="7"/>
  <c r="F39" i="7"/>
  <c r="D39" i="7"/>
  <c r="B39" i="7"/>
  <c r="A39" i="7"/>
  <c r="F38" i="7"/>
  <c r="D38" i="7"/>
  <c r="B38" i="7"/>
  <c r="A38" i="7"/>
  <c r="F37" i="7"/>
  <c r="D37" i="7"/>
  <c r="B37" i="7"/>
  <c r="A37" i="7"/>
  <c r="F36" i="7"/>
  <c r="D36" i="7"/>
  <c r="B36" i="7"/>
  <c r="A36" i="7"/>
  <c r="F35" i="7"/>
  <c r="D35" i="7"/>
  <c r="B35" i="7"/>
  <c r="A35" i="7"/>
  <c r="F34" i="7"/>
  <c r="D34" i="7"/>
  <c r="B34" i="7"/>
  <c r="A34" i="7"/>
  <c r="F33" i="7"/>
  <c r="D33" i="7"/>
  <c r="B33" i="7"/>
  <c r="A33" i="7"/>
  <c r="F32" i="7"/>
  <c r="D32" i="7"/>
  <c r="B32" i="7"/>
  <c r="A32" i="7"/>
  <c r="F31" i="7"/>
  <c r="D31" i="7"/>
  <c r="B31" i="7"/>
  <c r="A31" i="7"/>
  <c r="F30" i="7"/>
  <c r="D30" i="7"/>
  <c r="B30" i="7"/>
  <c r="A30" i="7"/>
  <c r="F29" i="7"/>
  <c r="D29" i="7"/>
  <c r="B29" i="7"/>
  <c r="A29" i="7"/>
  <c r="F28" i="7"/>
  <c r="D28" i="7"/>
  <c r="B28" i="7"/>
  <c r="A28" i="7"/>
  <c r="F27" i="7"/>
  <c r="D27" i="7"/>
  <c r="B27" i="7"/>
  <c r="A27" i="7"/>
  <c r="F26" i="7"/>
  <c r="D26" i="7"/>
  <c r="B26" i="7"/>
  <c r="A26" i="7"/>
  <c r="F25" i="7"/>
  <c r="D25" i="7"/>
  <c r="B25" i="7"/>
  <c r="A25" i="7"/>
  <c r="F24" i="7"/>
  <c r="D24" i="7"/>
  <c r="B24" i="7"/>
  <c r="A24" i="7"/>
  <c r="F23" i="7"/>
  <c r="D23" i="7"/>
  <c r="B23" i="7"/>
  <c r="A23" i="7"/>
  <c r="F22" i="7"/>
  <c r="D22" i="7"/>
  <c r="B22" i="7"/>
  <c r="A22" i="7"/>
  <c r="F21" i="7"/>
  <c r="D21" i="7"/>
  <c r="B21" i="7"/>
  <c r="A21" i="7"/>
  <c r="F20" i="7"/>
  <c r="D20" i="7"/>
  <c r="B20" i="7"/>
  <c r="A20" i="7"/>
  <c r="F19" i="7"/>
  <c r="D19" i="7"/>
  <c r="B19" i="7"/>
  <c r="A19" i="7"/>
  <c r="F18" i="7"/>
  <c r="D18" i="7"/>
  <c r="B18" i="7"/>
  <c r="A18" i="7"/>
  <c r="F17" i="7"/>
  <c r="D17" i="7"/>
  <c r="B17" i="7"/>
  <c r="A17" i="7"/>
  <c r="F16" i="7"/>
  <c r="D16" i="7"/>
  <c r="B16" i="7"/>
  <c r="A16" i="7"/>
  <c r="F15" i="7"/>
  <c r="D15" i="7"/>
  <c r="B15" i="7"/>
  <c r="A15" i="7"/>
  <c r="F14" i="7"/>
  <c r="D14" i="7"/>
  <c r="B14" i="7"/>
  <c r="A14" i="7"/>
  <c r="F13" i="7"/>
  <c r="D13" i="7"/>
  <c r="B13" i="7"/>
  <c r="A13" i="7"/>
  <c r="F12" i="7"/>
  <c r="D12" i="7"/>
  <c r="B12" i="7"/>
  <c r="A12" i="7"/>
  <c r="F11" i="7"/>
  <c r="D11" i="7"/>
  <c r="B11" i="7"/>
  <c r="A11" i="7"/>
  <c r="F10" i="7"/>
  <c r="D10" i="7"/>
  <c r="B10" i="7"/>
  <c r="A10" i="7"/>
  <c r="F9" i="7"/>
  <c r="D9" i="7"/>
  <c r="B9" i="7"/>
  <c r="A9" i="7"/>
  <c r="F8" i="7"/>
  <c r="D8" i="7"/>
  <c r="B8" i="7"/>
  <c r="A8" i="7"/>
  <c r="F7" i="7"/>
  <c r="D7" i="7"/>
  <c r="B7" i="7"/>
  <c r="A7" i="7"/>
  <c r="F6" i="7"/>
  <c r="D6" i="7"/>
  <c r="B6" i="7"/>
  <c r="A6" i="7"/>
  <c r="F5" i="7"/>
  <c r="D5" i="7"/>
  <c r="B5" i="7"/>
  <c r="A5" i="7"/>
  <c r="F4" i="7"/>
  <c r="D4" i="7"/>
  <c r="B4" i="7"/>
  <c r="A4" i="7"/>
  <c r="F3" i="7"/>
  <c r="D3" i="7"/>
  <c r="B3" i="7"/>
  <c r="A3" i="7"/>
  <c r="F2" i="7"/>
  <c r="D2" i="7"/>
  <c r="B2" i="7"/>
  <c r="A2" i="7"/>
  <c r="G23" i="6"/>
  <c r="E25" i="6" s="1"/>
  <c r="G21" i="6"/>
  <c r="C25" i="6" s="1"/>
  <c r="E21" i="6"/>
  <c r="C23" i="6" s="1"/>
  <c r="G20" i="6"/>
  <c r="B25" i="6" s="1"/>
  <c r="E20" i="6"/>
  <c r="B23" i="6" s="1"/>
  <c r="C20" i="6"/>
  <c r="B21" i="6" s="1"/>
  <c r="F13" i="6"/>
  <c r="E13" i="6"/>
  <c r="D13" i="6"/>
  <c r="C13" i="6"/>
  <c r="B13" i="6"/>
  <c r="F11" i="6"/>
  <c r="E11" i="6"/>
  <c r="D11" i="6"/>
  <c r="C11" i="6"/>
  <c r="B11" i="6"/>
  <c r="F9" i="6"/>
  <c r="E9" i="6"/>
  <c r="D9" i="6"/>
  <c r="C9" i="6"/>
  <c r="B9" i="6"/>
  <c r="F8" i="6"/>
  <c r="E8" i="6"/>
  <c r="D8" i="6"/>
  <c r="C8" i="6"/>
  <c r="B8" i="6"/>
  <c r="F6" i="6"/>
  <c r="E6" i="6"/>
  <c r="D6" i="6"/>
  <c r="C6" i="6"/>
  <c r="B6" i="6"/>
  <c r="B33" i="5"/>
  <c r="B32" i="5"/>
  <c r="B31" i="5"/>
  <c r="B30" i="5"/>
  <c r="B29" i="5"/>
  <c r="B28" i="5"/>
  <c r="B27" i="5"/>
  <c r="B26" i="5"/>
  <c r="B25" i="5"/>
  <c r="B24" i="5"/>
  <c r="B23" i="5"/>
  <c r="B22" i="5"/>
  <c r="B21" i="5"/>
  <c r="F17" i="5"/>
  <c r="E17" i="5"/>
  <c r="D17" i="5"/>
  <c r="C17" i="5"/>
  <c r="B17" i="5"/>
  <c r="F16" i="5"/>
  <c r="E16" i="5"/>
  <c r="D16" i="5"/>
  <c r="C16" i="5"/>
  <c r="B16" i="5"/>
  <c r="F15" i="5"/>
  <c r="E15" i="5"/>
  <c r="D15" i="5"/>
  <c r="C15" i="5"/>
  <c r="B15" i="5"/>
  <c r="F14" i="5"/>
  <c r="E14" i="5"/>
  <c r="D14" i="5"/>
  <c r="C14" i="5"/>
  <c r="B14" i="5"/>
  <c r="F13" i="5"/>
  <c r="E13" i="5"/>
  <c r="D13" i="5"/>
  <c r="C13" i="5"/>
  <c r="B13" i="5"/>
  <c r="F12" i="5"/>
  <c r="E12" i="5"/>
  <c r="D12" i="5"/>
  <c r="C12" i="5"/>
  <c r="B12" i="5"/>
  <c r="F11" i="5"/>
  <c r="E11" i="5"/>
  <c r="D11" i="5"/>
  <c r="C11" i="5"/>
  <c r="B11" i="5"/>
  <c r="F10" i="5"/>
  <c r="E10" i="5"/>
  <c r="D10" i="5"/>
  <c r="C10" i="5"/>
  <c r="B10" i="5"/>
  <c r="F9" i="5"/>
  <c r="E9" i="5"/>
  <c r="D9" i="5"/>
  <c r="C9" i="5"/>
  <c r="B9" i="5"/>
  <c r="F8" i="5"/>
  <c r="E8" i="5"/>
  <c r="D8" i="5"/>
  <c r="C8" i="5"/>
  <c r="B8" i="5"/>
  <c r="F7" i="5"/>
  <c r="E7" i="5"/>
  <c r="D7" i="5"/>
  <c r="C7" i="5"/>
  <c r="B7" i="5"/>
  <c r="F6" i="5"/>
  <c r="E6" i="5"/>
  <c r="D6" i="5"/>
  <c r="C6" i="5"/>
  <c r="B6" i="5"/>
  <c r="F5" i="5"/>
  <c r="E5" i="5"/>
  <c r="D5" i="5"/>
  <c r="C5" i="5"/>
  <c r="B5" i="5"/>
  <c r="C12" i="3"/>
  <c r="B12" i="3"/>
  <c r="C11" i="3"/>
  <c r="B11" i="3"/>
  <c r="C10" i="3"/>
  <c r="B10" i="3"/>
  <c r="C9" i="3"/>
  <c r="B9" i="3"/>
  <c r="C8" i="3"/>
  <c r="B8" i="3"/>
  <c r="C7" i="3"/>
  <c r="B7" i="3"/>
  <c r="C6" i="3"/>
  <c r="B6" i="3"/>
  <c r="C5" i="3"/>
  <c r="B5" i="3"/>
  <c r="B33" i="2"/>
  <c r="B32" i="2"/>
  <c r="B31" i="2"/>
  <c r="B30" i="2"/>
  <c r="B29" i="2"/>
  <c r="B28" i="2"/>
  <c r="B27" i="2"/>
  <c r="B26" i="2"/>
  <c r="B25" i="2"/>
  <c r="B24" i="2"/>
  <c r="B23" i="2"/>
  <c r="B22" i="2"/>
  <c r="B21" i="2"/>
  <c r="B34" i="2" s="1"/>
  <c r="B16" i="2"/>
  <c r="B15" i="2"/>
  <c r="B14" i="2"/>
  <c r="B13" i="2"/>
  <c r="B12" i="2"/>
  <c r="B5" i="2"/>
  <c r="B4" i="2"/>
  <c r="B8" i="2" s="1"/>
  <c r="AC612" i="1"/>
  <c r="AB612" i="1"/>
  <c r="AA612" i="1"/>
  <c r="AC611" i="1"/>
  <c r="AB611" i="1"/>
  <c r="AA611" i="1"/>
  <c r="AC610" i="1"/>
  <c r="AB610" i="1"/>
  <c r="AA610" i="1"/>
  <c r="AC609" i="1"/>
  <c r="AB609" i="1"/>
  <c r="AA609" i="1"/>
  <c r="AC608" i="1"/>
  <c r="AB608" i="1"/>
  <c r="AA608" i="1"/>
  <c r="AC607" i="1"/>
  <c r="AB607" i="1"/>
  <c r="AA607" i="1"/>
  <c r="AC606" i="1"/>
  <c r="AB606" i="1"/>
  <c r="AA606" i="1"/>
  <c r="AC605" i="1"/>
  <c r="AB605" i="1"/>
  <c r="AA605" i="1"/>
  <c r="AC604" i="1"/>
  <c r="AB604" i="1"/>
  <c r="AA604" i="1"/>
  <c r="AC603" i="1"/>
  <c r="AB603" i="1"/>
  <c r="AA603" i="1"/>
  <c r="AC602" i="1"/>
  <c r="AB602" i="1"/>
  <c r="AA602" i="1"/>
  <c r="AC601" i="1"/>
  <c r="AB601" i="1"/>
  <c r="AA601" i="1"/>
  <c r="AC600" i="1"/>
  <c r="AB600" i="1"/>
  <c r="AA600" i="1"/>
  <c r="AC599" i="1"/>
  <c r="AB599" i="1"/>
  <c r="AA599" i="1"/>
  <c r="AC598" i="1"/>
  <c r="AB598" i="1"/>
  <c r="AA598" i="1"/>
  <c r="AC597" i="1"/>
  <c r="AB597" i="1"/>
  <c r="AA597" i="1"/>
  <c r="AC596" i="1"/>
  <c r="AB596" i="1"/>
  <c r="AA596" i="1"/>
  <c r="AC595" i="1"/>
  <c r="AB595" i="1"/>
  <c r="AA595" i="1"/>
  <c r="AC594" i="1"/>
  <c r="AB594" i="1"/>
  <c r="AA594" i="1"/>
  <c r="AC593" i="1"/>
  <c r="AB593" i="1"/>
  <c r="AA593" i="1"/>
  <c r="AC592" i="1"/>
  <c r="AB592" i="1"/>
  <c r="AA592" i="1"/>
  <c r="AC591" i="1"/>
  <c r="AB591" i="1"/>
  <c r="AA591" i="1"/>
  <c r="AC590" i="1"/>
  <c r="AB590" i="1"/>
  <c r="AA590" i="1"/>
  <c r="AC589" i="1"/>
  <c r="AB589" i="1"/>
  <c r="AA589" i="1"/>
  <c r="AC588" i="1"/>
  <c r="AB588" i="1"/>
  <c r="AA588" i="1"/>
  <c r="AC587" i="1"/>
  <c r="AB587" i="1"/>
  <c r="AA587" i="1"/>
  <c r="AC586" i="1"/>
  <c r="AB586" i="1"/>
  <c r="AA586" i="1"/>
  <c r="AC585" i="1"/>
  <c r="AB585" i="1"/>
  <c r="AA585" i="1"/>
  <c r="AC584" i="1"/>
  <c r="AB584" i="1"/>
  <c r="AA584" i="1"/>
  <c r="AC583" i="1"/>
  <c r="AB583" i="1"/>
  <c r="AA583" i="1"/>
  <c r="AC582" i="1"/>
  <c r="AB582" i="1"/>
  <c r="AA582" i="1"/>
  <c r="AC581" i="1"/>
  <c r="AB581" i="1"/>
  <c r="AA581" i="1"/>
  <c r="AC580" i="1"/>
  <c r="AB580" i="1"/>
  <c r="AA580" i="1"/>
  <c r="AC579" i="1"/>
  <c r="AB579" i="1"/>
  <c r="AA579" i="1"/>
  <c r="AC578" i="1"/>
  <c r="AB578" i="1"/>
  <c r="AA578" i="1"/>
  <c r="AC577" i="1"/>
  <c r="AB577" i="1"/>
  <c r="AA577" i="1"/>
  <c r="AC576" i="1"/>
  <c r="AB576" i="1"/>
  <c r="AA576" i="1"/>
  <c r="AC575" i="1"/>
  <c r="AB575" i="1"/>
  <c r="AA575" i="1"/>
  <c r="AC574" i="1"/>
  <c r="AB574" i="1"/>
  <c r="AA574" i="1"/>
  <c r="AC573" i="1"/>
  <c r="AB573" i="1"/>
  <c r="AA573" i="1"/>
  <c r="AC572" i="1"/>
  <c r="AB572" i="1"/>
  <c r="AA572" i="1"/>
  <c r="AC571" i="1"/>
  <c r="AB571" i="1"/>
  <c r="AA571" i="1"/>
  <c r="AC570" i="1"/>
  <c r="AB570" i="1"/>
  <c r="AA570" i="1"/>
  <c r="AC569" i="1"/>
  <c r="AB569" i="1"/>
  <c r="AA569" i="1"/>
  <c r="AC568" i="1"/>
  <c r="AB568" i="1"/>
  <c r="AA568" i="1"/>
  <c r="AC567" i="1"/>
  <c r="AB567" i="1"/>
  <c r="AA567" i="1"/>
  <c r="AC566" i="1"/>
  <c r="AB566" i="1"/>
  <c r="AA566" i="1"/>
  <c r="AC565" i="1"/>
  <c r="AB565" i="1"/>
  <c r="AA565" i="1"/>
  <c r="AC564" i="1"/>
  <c r="AB564" i="1"/>
  <c r="AA564" i="1"/>
  <c r="AC563" i="1"/>
  <c r="AB563" i="1"/>
  <c r="AA563" i="1"/>
  <c r="AC562" i="1"/>
  <c r="AB562" i="1"/>
  <c r="AA562" i="1"/>
  <c r="AC561" i="1"/>
  <c r="AB561" i="1"/>
  <c r="AA561" i="1"/>
  <c r="AC560" i="1"/>
  <c r="AB560" i="1"/>
  <c r="AA560" i="1"/>
  <c r="AC559" i="1"/>
  <c r="AB559" i="1"/>
  <c r="AA559" i="1"/>
  <c r="AC558" i="1"/>
  <c r="AB558" i="1"/>
  <c r="AA558" i="1"/>
  <c r="AC557" i="1"/>
  <c r="AB557" i="1"/>
  <c r="AA557" i="1"/>
  <c r="AC556" i="1"/>
  <c r="AB556" i="1"/>
  <c r="AA556" i="1"/>
  <c r="AC555" i="1"/>
  <c r="AB555" i="1"/>
  <c r="AA555" i="1"/>
  <c r="AC554" i="1"/>
  <c r="AB554" i="1"/>
  <c r="AA554" i="1"/>
  <c r="AC553" i="1"/>
  <c r="AB553" i="1"/>
  <c r="AA553" i="1"/>
  <c r="AC552" i="1"/>
  <c r="AB552" i="1"/>
  <c r="AA552" i="1"/>
  <c r="AC551" i="1"/>
  <c r="AB551" i="1"/>
  <c r="AA551" i="1"/>
  <c r="AC550" i="1"/>
  <c r="AB550" i="1"/>
  <c r="AA550" i="1"/>
  <c r="AC549" i="1"/>
  <c r="AB549" i="1"/>
  <c r="AA549" i="1"/>
  <c r="AC548" i="1"/>
  <c r="AB548" i="1"/>
  <c r="AA548" i="1"/>
  <c r="AC547" i="1"/>
  <c r="AB547" i="1"/>
  <c r="AA547" i="1"/>
  <c r="AC546" i="1"/>
  <c r="AB546" i="1"/>
  <c r="AA546" i="1"/>
  <c r="AC545" i="1"/>
  <c r="AB545" i="1"/>
  <c r="AA545" i="1"/>
  <c r="AC544" i="1"/>
  <c r="AB544" i="1"/>
  <c r="AA544" i="1"/>
  <c r="AC543" i="1"/>
  <c r="AB543" i="1"/>
  <c r="AA543" i="1"/>
  <c r="AC542" i="1"/>
  <c r="AB542" i="1"/>
  <c r="AA542" i="1"/>
  <c r="AC541" i="1"/>
  <c r="AB541" i="1"/>
  <c r="AA541" i="1"/>
  <c r="AC540" i="1"/>
  <c r="AB540" i="1"/>
  <c r="AA540" i="1"/>
  <c r="AC539" i="1"/>
  <c r="AB539" i="1"/>
  <c r="AA539" i="1"/>
  <c r="AC538" i="1"/>
  <c r="AB538" i="1"/>
  <c r="AA538" i="1"/>
  <c r="AC537" i="1"/>
  <c r="AB537" i="1"/>
  <c r="AA537" i="1"/>
  <c r="AC536" i="1"/>
  <c r="AB536" i="1"/>
  <c r="AA536" i="1"/>
  <c r="AC535" i="1"/>
  <c r="AB535" i="1"/>
  <c r="AA535" i="1"/>
  <c r="AC534" i="1"/>
  <c r="AB534" i="1"/>
  <c r="AA534" i="1"/>
  <c r="AC533" i="1"/>
  <c r="AB533" i="1"/>
  <c r="AA533" i="1"/>
  <c r="AC532" i="1"/>
  <c r="AB532" i="1"/>
  <c r="AA532" i="1"/>
  <c r="AC531" i="1"/>
  <c r="AB531" i="1"/>
  <c r="AA531" i="1"/>
  <c r="AC530" i="1"/>
  <c r="AB530" i="1"/>
  <c r="AA530" i="1"/>
  <c r="AC529" i="1"/>
  <c r="AB529" i="1"/>
  <c r="AA529" i="1"/>
  <c r="AC528" i="1"/>
  <c r="AB528" i="1"/>
  <c r="AA528" i="1"/>
  <c r="AC527" i="1"/>
  <c r="AB527" i="1"/>
  <c r="AA527" i="1"/>
  <c r="AC526" i="1"/>
  <c r="AB526" i="1"/>
  <c r="AA526" i="1"/>
  <c r="AC525" i="1"/>
  <c r="AB525" i="1"/>
  <c r="AA525" i="1"/>
  <c r="AC524" i="1"/>
  <c r="AB524" i="1"/>
  <c r="AA524" i="1"/>
  <c r="AC523" i="1"/>
  <c r="AB523" i="1"/>
  <c r="AA523" i="1"/>
  <c r="AC522" i="1"/>
  <c r="AB522" i="1"/>
  <c r="AA522" i="1"/>
  <c r="AC521" i="1"/>
  <c r="AB521" i="1"/>
  <c r="AA521" i="1"/>
  <c r="AC520" i="1"/>
  <c r="AB520" i="1"/>
  <c r="AA520" i="1"/>
  <c r="AC519" i="1"/>
  <c r="AB519" i="1"/>
  <c r="AA519" i="1"/>
  <c r="AC518" i="1"/>
  <c r="AB518" i="1"/>
  <c r="AA518" i="1"/>
  <c r="AC517" i="1"/>
  <c r="AB517" i="1"/>
  <c r="AA517" i="1"/>
  <c r="AC516" i="1"/>
  <c r="AB516" i="1"/>
  <c r="AA516" i="1"/>
  <c r="AC515" i="1"/>
  <c r="AB515" i="1"/>
  <c r="AA515" i="1"/>
  <c r="AC514" i="1"/>
  <c r="AB514" i="1"/>
  <c r="AA514" i="1"/>
  <c r="AC513" i="1"/>
  <c r="AB513" i="1"/>
  <c r="AA513" i="1"/>
  <c r="AC512" i="1"/>
  <c r="AB512" i="1"/>
  <c r="AA512" i="1"/>
  <c r="AC511" i="1"/>
  <c r="AB511" i="1"/>
  <c r="AA511" i="1"/>
  <c r="AC510" i="1"/>
  <c r="AB510" i="1"/>
  <c r="AA510" i="1"/>
  <c r="AC509" i="1"/>
  <c r="AB509" i="1"/>
  <c r="AA509" i="1"/>
  <c r="AC508" i="1"/>
  <c r="AB508" i="1"/>
  <c r="AA508" i="1"/>
  <c r="AC507" i="1"/>
  <c r="AB507" i="1"/>
  <c r="AA507" i="1"/>
  <c r="AC506" i="1"/>
  <c r="AB506" i="1"/>
  <c r="AA506" i="1"/>
  <c r="AC505" i="1"/>
  <c r="AB505" i="1"/>
  <c r="AA505" i="1"/>
  <c r="AC504" i="1"/>
  <c r="AB504" i="1"/>
  <c r="AA504" i="1"/>
  <c r="AC503" i="1"/>
  <c r="AB503" i="1"/>
  <c r="AA503" i="1"/>
  <c r="AC502" i="1"/>
  <c r="AB502" i="1"/>
  <c r="AA502" i="1"/>
  <c r="AC501" i="1"/>
  <c r="AB501" i="1"/>
  <c r="AA501" i="1"/>
  <c r="AC500" i="1"/>
  <c r="AB500" i="1"/>
  <c r="AA500" i="1"/>
  <c r="AC499" i="1"/>
  <c r="AB499" i="1"/>
  <c r="AA499" i="1"/>
  <c r="AC498" i="1"/>
  <c r="AB498" i="1"/>
  <c r="AA498" i="1"/>
  <c r="AC497" i="1"/>
  <c r="AB497" i="1"/>
  <c r="AA497" i="1"/>
  <c r="AC496" i="1"/>
  <c r="AB496" i="1"/>
  <c r="AA496" i="1"/>
  <c r="AC495" i="1"/>
  <c r="AB495" i="1"/>
  <c r="AA495" i="1"/>
  <c r="AC494" i="1"/>
  <c r="AB494" i="1"/>
  <c r="AA494" i="1"/>
  <c r="AC493" i="1"/>
  <c r="AB493" i="1"/>
  <c r="AA493" i="1"/>
  <c r="AC492" i="1"/>
  <c r="AB492" i="1"/>
  <c r="AA492" i="1"/>
  <c r="AC491" i="1"/>
  <c r="AB491" i="1"/>
  <c r="AA491" i="1"/>
  <c r="AC490" i="1"/>
  <c r="AB490" i="1"/>
  <c r="AA490" i="1"/>
  <c r="AC489" i="1"/>
  <c r="AB489" i="1"/>
  <c r="AA489" i="1"/>
  <c r="AC488" i="1"/>
  <c r="AB488" i="1"/>
  <c r="AA488" i="1"/>
  <c r="AC487" i="1"/>
  <c r="AB487" i="1"/>
  <c r="AA487" i="1"/>
  <c r="AC486" i="1"/>
  <c r="AB486" i="1"/>
  <c r="AA486" i="1"/>
  <c r="AC485" i="1"/>
  <c r="AB485" i="1"/>
  <c r="AA485" i="1"/>
  <c r="AC484" i="1"/>
  <c r="AB484" i="1"/>
  <c r="AA484" i="1"/>
  <c r="AC483" i="1"/>
  <c r="AB483" i="1"/>
  <c r="AA483" i="1"/>
  <c r="AC482" i="1"/>
  <c r="AB482" i="1"/>
  <c r="AA482" i="1"/>
  <c r="AC481" i="1"/>
  <c r="AB481" i="1"/>
  <c r="AA481" i="1"/>
  <c r="AC480" i="1"/>
  <c r="AB480" i="1"/>
  <c r="AA480" i="1"/>
  <c r="AC479" i="1"/>
  <c r="AB479" i="1"/>
  <c r="AA479" i="1"/>
  <c r="AC478" i="1"/>
  <c r="AB478" i="1"/>
  <c r="AA478" i="1"/>
  <c r="AC477" i="1"/>
  <c r="AB477" i="1"/>
  <c r="AA477" i="1"/>
  <c r="AC476" i="1"/>
  <c r="AB476" i="1"/>
  <c r="AA476" i="1"/>
  <c r="AC475" i="1"/>
  <c r="AB475" i="1"/>
  <c r="AA475" i="1"/>
  <c r="AC474" i="1"/>
  <c r="AB474" i="1"/>
  <c r="AA474" i="1"/>
  <c r="AC473" i="1"/>
  <c r="AB473" i="1"/>
  <c r="AA473" i="1"/>
  <c r="AC472" i="1"/>
  <c r="AB472" i="1"/>
  <c r="AA472" i="1"/>
  <c r="AC471" i="1"/>
  <c r="AB471" i="1"/>
  <c r="AA471" i="1"/>
  <c r="AC470" i="1"/>
  <c r="AB470" i="1"/>
  <c r="AA470" i="1"/>
  <c r="AC469" i="1"/>
  <c r="AB469" i="1"/>
  <c r="AA469" i="1"/>
  <c r="AC468" i="1"/>
  <c r="AB468" i="1"/>
  <c r="AA468" i="1"/>
  <c r="AC467" i="1"/>
  <c r="AB467" i="1"/>
  <c r="AA467" i="1"/>
  <c r="AC466" i="1"/>
  <c r="AB466" i="1"/>
  <c r="AA466" i="1"/>
  <c r="AC465" i="1"/>
  <c r="AB465" i="1"/>
  <c r="AA465" i="1"/>
  <c r="AC464" i="1"/>
  <c r="AB464" i="1"/>
  <c r="AA464" i="1"/>
  <c r="AC463" i="1"/>
  <c r="AB463" i="1"/>
  <c r="AA463" i="1"/>
  <c r="AC462" i="1"/>
  <c r="AB462" i="1"/>
  <c r="AA462" i="1"/>
  <c r="AC461" i="1"/>
  <c r="AB461" i="1"/>
  <c r="AA461" i="1"/>
  <c r="AC460" i="1"/>
  <c r="AB460" i="1"/>
  <c r="AA460" i="1"/>
  <c r="AC459" i="1"/>
  <c r="AB459" i="1"/>
  <c r="AA459" i="1"/>
  <c r="AC458" i="1"/>
  <c r="AB458" i="1"/>
  <c r="AA458" i="1"/>
  <c r="AC457" i="1"/>
  <c r="AB457" i="1"/>
  <c r="AA457" i="1"/>
  <c r="AC456" i="1"/>
  <c r="AB456" i="1"/>
  <c r="AA456" i="1"/>
  <c r="AC455" i="1"/>
  <c r="AB455" i="1"/>
  <c r="AA455" i="1"/>
  <c r="AC454" i="1"/>
  <c r="AB454" i="1"/>
  <c r="AA454" i="1"/>
  <c r="AC453" i="1"/>
  <c r="AB453" i="1"/>
  <c r="AA453" i="1"/>
  <c r="AC452" i="1"/>
  <c r="AB452" i="1"/>
  <c r="AA452" i="1"/>
  <c r="AC451" i="1"/>
  <c r="AB451" i="1"/>
  <c r="AA451" i="1"/>
  <c r="AC450" i="1"/>
  <c r="AB450" i="1"/>
  <c r="AA450" i="1"/>
  <c r="AC449" i="1"/>
  <c r="AB449" i="1"/>
  <c r="AA449" i="1"/>
  <c r="AC448" i="1"/>
  <c r="AB448" i="1"/>
  <c r="AA448" i="1"/>
  <c r="AC447" i="1"/>
  <c r="AB447" i="1"/>
  <c r="AA447" i="1"/>
  <c r="AC446" i="1"/>
  <c r="AB446" i="1"/>
  <c r="AA446" i="1"/>
  <c r="AC445" i="1"/>
  <c r="AB445" i="1"/>
  <c r="AA445" i="1"/>
  <c r="AC444" i="1"/>
  <c r="AB444" i="1"/>
  <c r="AA444" i="1"/>
  <c r="AC443" i="1"/>
  <c r="AB443" i="1"/>
  <c r="AA443" i="1"/>
  <c r="AC442" i="1"/>
  <c r="AB442" i="1"/>
  <c r="AA442" i="1"/>
  <c r="AC441" i="1"/>
  <c r="AB441" i="1"/>
  <c r="AA441" i="1"/>
  <c r="AC440" i="1"/>
  <c r="AB440" i="1"/>
  <c r="AA440" i="1"/>
  <c r="AC439" i="1"/>
  <c r="AB439" i="1"/>
  <c r="AA439" i="1"/>
  <c r="AC438" i="1"/>
  <c r="AB438" i="1"/>
  <c r="AA438" i="1"/>
  <c r="AC437" i="1"/>
  <c r="AB437" i="1"/>
  <c r="AA437" i="1"/>
  <c r="AC436" i="1"/>
  <c r="AB436" i="1"/>
  <c r="AA436" i="1"/>
  <c r="AC435" i="1"/>
  <c r="AB435" i="1"/>
  <c r="AA435" i="1"/>
  <c r="AC434" i="1"/>
  <c r="AB434" i="1"/>
  <c r="AA434" i="1"/>
  <c r="AC433" i="1"/>
  <c r="AB433" i="1"/>
  <c r="AA433" i="1"/>
  <c r="AC432" i="1"/>
  <c r="AB432" i="1"/>
  <c r="AA432" i="1"/>
  <c r="AC431" i="1"/>
  <c r="AB431" i="1"/>
  <c r="AA431" i="1"/>
  <c r="AC430" i="1"/>
  <c r="AB430" i="1"/>
  <c r="AA430" i="1"/>
  <c r="AC429" i="1"/>
  <c r="AB429" i="1"/>
  <c r="AA429" i="1"/>
  <c r="AC428" i="1"/>
  <c r="AB428" i="1"/>
  <c r="AA428" i="1"/>
  <c r="AC427" i="1"/>
  <c r="AB427" i="1"/>
  <c r="AA427" i="1"/>
  <c r="AC426" i="1"/>
  <c r="AB426" i="1"/>
  <c r="AA426" i="1"/>
  <c r="AC425" i="1"/>
  <c r="AB425" i="1"/>
  <c r="AA425" i="1"/>
  <c r="AC424" i="1"/>
  <c r="AB424" i="1"/>
  <c r="AA424" i="1"/>
  <c r="AC423" i="1"/>
  <c r="AB423" i="1"/>
  <c r="AA423" i="1"/>
  <c r="AC422" i="1"/>
  <c r="AB422" i="1"/>
  <c r="AA422" i="1"/>
  <c r="AC421" i="1"/>
  <c r="AB421" i="1"/>
  <c r="AA421" i="1"/>
  <c r="AC420" i="1"/>
  <c r="AB420" i="1"/>
  <c r="AA420" i="1"/>
  <c r="AC419" i="1"/>
  <c r="AB419" i="1"/>
  <c r="AA419" i="1"/>
  <c r="AC418" i="1"/>
  <c r="AB418" i="1"/>
  <c r="AA418" i="1"/>
  <c r="AC417" i="1"/>
  <c r="AB417" i="1"/>
  <c r="AA417" i="1"/>
  <c r="AC416" i="1"/>
  <c r="AB416" i="1"/>
  <c r="AA416" i="1"/>
  <c r="AC415" i="1"/>
  <c r="AB415" i="1"/>
  <c r="AA415" i="1"/>
  <c r="AC414" i="1"/>
  <c r="AB414" i="1"/>
  <c r="AA414" i="1"/>
  <c r="AC413" i="1"/>
  <c r="AB413" i="1"/>
  <c r="AA413" i="1"/>
  <c r="AC412" i="1"/>
  <c r="AB412" i="1"/>
  <c r="AA412" i="1"/>
  <c r="AC411" i="1"/>
  <c r="AB411" i="1"/>
  <c r="AA411" i="1"/>
  <c r="AC410" i="1"/>
  <c r="AB410" i="1"/>
  <c r="AA410" i="1"/>
  <c r="AC409" i="1"/>
  <c r="AB409" i="1"/>
  <c r="AA409" i="1"/>
  <c r="AC408" i="1"/>
  <c r="AB408" i="1"/>
  <c r="AA408" i="1"/>
  <c r="AC407" i="1"/>
  <c r="AB407" i="1"/>
  <c r="AA407" i="1"/>
  <c r="AC406" i="1"/>
  <c r="AB406" i="1"/>
  <c r="AA406" i="1"/>
  <c r="AC405" i="1"/>
  <c r="AB405" i="1"/>
  <c r="AA405" i="1"/>
  <c r="AC404" i="1"/>
  <c r="AB404" i="1"/>
  <c r="AA404" i="1"/>
  <c r="AC403" i="1"/>
  <c r="AB403" i="1"/>
  <c r="AA403" i="1"/>
  <c r="AC402" i="1"/>
  <c r="AB402" i="1"/>
  <c r="AA402" i="1"/>
  <c r="AC401" i="1"/>
  <c r="AB401" i="1"/>
  <c r="AA401" i="1"/>
  <c r="AC400" i="1"/>
  <c r="AB400" i="1"/>
  <c r="AA400" i="1"/>
  <c r="AC399" i="1"/>
  <c r="AB399" i="1"/>
  <c r="AA399" i="1"/>
  <c r="AC398" i="1"/>
  <c r="AB398" i="1"/>
  <c r="AA398" i="1"/>
  <c r="AC397" i="1"/>
  <c r="AB397" i="1"/>
  <c r="AA397" i="1"/>
  <c r="AC396" i="1"/>
  <c r="AB396" i="1"/>
  <c r="AA396" i="1"/>
  <c r="AC395" i="1"/>
  <c r="AB395" i="1"/>
  <c r="AA395" i="1"/>
  <c r="AC394" i="1"/>
  <c r="AB394" i="1"/>
  <c r="AA394" i="1"/>
  <c r="AC393" i="1"/>
  <c r="AB393" i="1"/>
  <c r="AA393" i="1"/>
  <c r="AC392" i="1"/>
  <c r="AB392" i="1"/>
  <c r="AA392" i="1"/>
  <c r="AC391" i="1"/>
  <c r="AB391" i="1"/>
  <c r="AA391" i="1"/>
  <c r="AC390" i="1"/>
  <c r="AB390" i="1"/>
  <c r="AA390" i="1"/>
  <c r="AC389" i="1"/>
  <c r="AB389" i="1"/>
  <c r="AA389" i="1"/>
  <c r="AC388" i="1"/>
  <c r="AB388" i="1"/>
  <c r="AA388" i="1"/>
  <c r="AC387" i="1"/>
  <c r="AB387" i="1"/>
  <c r="AA387" i="1"/>
  <c r="AC386" i="1"/>
  <c r="AB386" i="1"/>
  <c r="AA386" i="1"/>
  <c r="AC385" i="1"/>
  <c r="AB385" i="1"/>
  <c r="AA385" i="1"/>
  <c r="AC384" i="1"/>
  <c r="AB384" i="1"/>
  <c r="AA384" i="1"/>
  <c r="AC383" i="1"/>
  <c r="AB383" i="1"/>
  <c r="AA383" i="1"/>
  <c r="AC382" i="1"/>
  <c r="AB382" i="1"/>
  <c r="AA382" i="1"/>
  <c r="AC381" i="1"/>
  <c r="AB381" i="1"/>
  <c r="AA381" i="1"/>
  <c r="AC380" i="1"/>
  <c r="AB380" i="1"/>
  <c r="AA380" i="1"/>
  <c r="AC379" i="1"/>
  <c r="AB379" i="1"/>
  <c r="AA379" i="1"/>
  <c r="AC378" i="1"/>
  <c r="AB378" i="1"/>
  <c r="AA378" i="1"/>
  <c r="AC377" i="1"/>
  <c r="AB377" i="1"/>
  <c r="AA377" i="1"/>
  <c r="AC376" i="1"/>
  <c r="AB376" i="1"/>
  <c r="AA376" i="1"/>
  <c r="AC375" i="1"/>
  <c r="AB375" i="1"/>
  <c r="AA375" i="1"/>
  <c r="AC374" i="1"/>
  <c r="AB374" i="1"/>
  <c r="AA374" i="1"/>
  <c r="AC373" i="1"/>
  <c r="AB373" i="1"/>
  <c r="AA373" i="1"/>
  <c r="AC372" i="1"/>
  <c r="AB372" i="1"/>
  <c r="AA372" i="1"/>
  <c r="AC371" i="1"/>
  <c r="AB371" i="1"/>
  <c r="AA371" i="1"/>
  <c r="AC370" i="1"/>
  <c r="AB370" i="1"/>
  <c r="AA370" i="1"/>
  <c r="AC369" i="1"/>
  <c r="AB369" i="1"/>
  <c r="AA369" i="1"/>
  <c r="AC368" i="1"/>
  <c r="AB368" i="1"/>
  <c r="AA368" i="1"/>
  <c r="AC367" i="1"/>
  <c r="AB367" i="1"/>
  <c r="AA367" i="1"/>
  <c r="AC366" i="1"/>
  <c r="AB366" i="1"/>
  <c r="AA366" i="1"/>
  <c r="AC365" i="1"/>
  <c r="AB365" i="1"/>
  <c r="AA365" i="1"/>
  <c r="AC364" i="1"/>
  <c r="AB364" i="1"/>
  <c r="AA364" i="1"/>
  <c r="AC363" i="1"/>
  <c r="AB363" i="1"/>
  <c r="AA363" i="1"/>
  <c r="AC362" i="1"/>
  <c r="AB362" i="1"/>
  <c r="AA362" i="1"/>
  <c r="AC361" i="1"/>
  <c r="AB361" i="1"/>
  <c r="AA361" i="1"/>
  <c r="AC360" i="1"/>
  <c r="AB360" i="1"/>
  <c r="AA360" i="1"/>
  <c r="AC359" i="1"/>
  <c r="AB359" i="1"/>
  <c r="AA359" i="1"/>
  <c r="AC358" i="1"/>
  <c r="AB358" i="1"/>
  <c r="AA358" i="1"/>
  <c r="AC357" i="1"/>
  <c r="AB357" i="1"/>
  <c r="AA357" i="1"/>
  <c r="AC356" i="1"/>
  <c r="AB356" i="1"/>
  <c r="AA356" i="1"/>
  <c r="AC355" i="1"/>
  <c r="AB355" i="1"/>
  <c r="AA355" i="1"/>
  <c r="AC354" i="1"/>
  <c r="AB354" i="1"/>
  <c r="AA354" i="1"/>
  <c r="AC353" i="1"/>
  <c r="AB353" i="1"/>
  <c r="AA353" i="1"/>
  <c r="AC352" i="1"/>
  <c r="AB352" i="1"/>
  <c r="AA352" i="1"/>
  <c r="AC351" i="1"/>
  <c r="AB351" i="1"/>
  <c r="AA351" i="1"/>
  <c r="AC350" i="1"/>
  <c r="AB350" i="1"/>
  <c r="AA350" i="1"/>
  <c r="AC349" i="1"/>
  <c r="AB349" i="1"/>
  <c r="AA349" i="1"/>
  <c r="AC348" i="1"/>
  <c r="AB348" i="1"/>
  <c r="AA348" i="1"/>
  <c r="AC347" i="1"/>
  <c r="AB347" i="1"/>
  <c r="AA347" i="1"/>
  <c r="AC346" i="1"/>
  <c r="AB346" i="1"/>
  <c r="AA346" i="1"/>
  <c r="AC345" i="1"/>
  <c r="AB345" i="1"/>
  <c r="AA345" i="1"/>
  <c r="AC344" i="1"/>
  <c r="AB344" i="1"/>
  <c r="AA344" i="1"/>
  <c r="AC343" i="1"/>
  <c r="AB343" i="1"/>
  <c r="AA343" i="1"/>
  <c r="AC342" i="1"/>
  <c r="AB342" i="1"/>
  <c r="AA342" i="1"/>
  <c r="AC341" i="1"/>
  <c r="AB341" i="1"/>
  <c r="AA341" i="1"/>
  <c r="AC340" i="1"/>
  <c r="AB340" i="1"/>
  <c r="AA340" i="1"/>
  <c r="AC339" i="1"/>
  <c r="AB339" i="1"/>
  <c r="AA339" i="1"/>
  <c r="AC338" i="1"/>
  <c r="AB338" i="1"/>
  <c r="AA338" i="1"/>
  <c r="AC337" i="1"/>
  <c r="AB337" i="1"/>
  <c r="AA337" i="1"/>
  <c r="AC336" i="1"/>
  <c r="AB336" i="1"/>
  <c r="AA336" i="1"/>
  <c r="AC335" i="1"/>
  <c r="AB335" i="1"/>
  <c r="AA335" i="1"/>
  <c r="AC334" i="1"/>
  <c r="AB334" i="1"/>
  <c r="AA334" i="1"/>
  <c r="AC333" i="1"/>
  <c r="AB333" i="1"/>
  <c r="AA333" i="1"/>
  <c r="AC332" i="1"/>
  <c r="AB332" i="1"/>
  <c r="AA332" i="1"/>
  <c r="AC331" i="1"/>
  <c r="AB331" i="1"/>
  <c r="AA331" i="1"/>
  <c r="AC330" i="1"/>
  <c r="AB330" i="1"/>
  <c r="AA330" i="1"/>
  <c r="AC329" i="1"/>
  <c r="AB329" i="1"/>
  <c r="AA329" i="1"/>
  <c r="AC328" i="1"/>
  <c r="AB328" i="1"/>
  <c r="AA328" i="1"/>
  <c r="AC327" i="1"/>
  <c r="AB327" i="1"/>
  <c r="AA327" i="1"/>
  <c r="AC326" i="1"/>
  <c r="AB326" i="1"/>
  <c r="AA326" i="1"/>
  <c r="AC325" i="1"/>
  <c r="AB325" i="1"/>
  <c r="AA325" i="1"/>
  <c r="AC324" i="1"/>
  <c r="AB324" i="1"/>
  <c r="AA324" i="1"/>
  <c r="AC323" i="1"/>
  <c r="AB323" i="1"/>
  <c r="AA323" i="1"/>
  <c r="AC322" i="1"/>
  <c r="AB322" i="1"/>
  <c r="AA322" i="1"/>
  <c r="AC321" i="1"/>
  <c r="AB321" i="1"/>
  <c r="AA321" i="1"/>
  <c r="AC320" i="1"/>
  <c r="AB320" i="1"/>
  <c r="AA320" i="1"/>
  <c r="AC319" i="1"/>
  <c r="AB319" i="1"/>
  <c r="AA319" i="1"/>
  <c r="AC318" i="1"/>
  <c r="AB318" i="1"/>
  <c r="AA318" i="1"/>
  <c r="AC317" i="1"/>
  <c r="AB317" i="1"/>
  <c r="AA317" i="1"/>
  <c r="AC316" i="1"/>
  <c r="AB316" i="1"/>
  <c r="AA316" i="1"/>
  <c r="AC315" i="1"/>
  <c r="AB315" i="1"/>
  <c r="AA315" i="1"/>
  <c r="AC314" i="1"/>
  <c r="AB314" i="1"/>
  <c r="AA314" i="1"/>
  <c r="AC313" i="1"/>
  <c r="AB313" i="1"/>
  <c r="AA313" i="1"/>
  <c r="AC312" i="1"/>
  <c r="AB312" i="1"/>
  <c r="AA312" i="1"/>
  <c r="AC311" i="1"/>
  <c r="AB311" i="1"/>
  <c r="AA311" i="1"/>
  <c r="AC310" i="1"/>
  <c r="AB310" i="1"/>
  <c r="AA310" i="1"/>
  <c r="AC309" i="1"/>
  <c r="AB309" i="1"/>
  <c r="AA309" i="1"/>
  <c r="AC308" i="1"/>
  <c r="AB308" i="1"/>
  <c r="AA308" i="1"/>
  <c r="AC307" i="1"/>
  <c r="AB307" i="1"/>
  <c r="AA307" i="1"/>
  <c r="AC306" i="1"/>
  <c r="AB306" i="1"/>
  <c r="AA306" i="1"/>
  <c r="AC305" i="1"/>
  <c r="AB305" i="1"/>
  <c r="AA305" i="1"/>
  <c r="AC304" i="1"/>
  <c r="AB304" i="1"/>
  <c r="AA304" i="1"/>
  <c r="AC303" i="1"/>
  <c r="AB303" i="1"/>
  <c r="AA303" i="1"/>
  <c r="AC302" i="1"/>
  <c r="AB302" i="1"/>
  <c r="AA302" i="1"/>
  <c r="AC301" i="1"/>
  <c r="AB301" i="1"/>
  <c r="AA301" i="1"/>
  <c r="AC300" i="1"/>
  <c r="AB300" i="1"/>
  <c r="AA300" i="1"/>
  <c r="AC299" i="1"/>
  <c r="AB299" i="1"/>
  <c r="AA299" i="1"/>
  <c r="AC298" i="1"/>
  <c r="AB298" i="1"/>
  <c r="AA298" i="1"/>
  <c r="AC297" i="1"/>
  <c r="AB297" i="1"/>
  <c r="AA297" i="1"/>
  <c r="AC296" i="1"/>
  <c r="AB296" i="1"/>
  <c r="AA296" i="1"/>
  <c r="AC295" i="1"/>
  <c r="AB295" i="1"/>
  <c r="AA295" i="1"/>
  <c r="AC294" i="1"/>
  <c r="AB294" i="1"/>
  <c r="AA294" i="1"/>
  <c r="AC293" i="1"/>
  <c r="AB293" i="1"/>
  <c r="AA293" i="1"/>
  <c r="AC292" i="1"/>
  <c r="AB292" i="1"/>
  <c r="AA292" i="1"/>
  <c r="AC291" i="1"/>
  <c r="AB291" i="1"/>
  <c r="AA291" i="1"/>
  <c r="AC290" i="1"/>
  <c r="AB290" i="1"/>
  <c r="AA290" i="1"/>
  <c r="AC289" i="1"/>
  <c r="AB289" i="1"/>
  <c r="AA289" i="1"/>
  <c r="AC288" i="1"/>
  <c r="AB288" i="1"/>
  <c r="AA288" i="1"/>
  <c r="AC287" i="1"/>
  <c r="AB287" i="1"/>
  <c r="AA287" i="1"/>
  <c r="AC286" i="1"/>
  <c r="AB286" i="1"/>
  <c r="AA286" i="1"/>
  <c r="AC285" i="1"/>
  <c r="AB285" i="1"/>
  <c r="AA285" i="1"/>
  <c r="AC284" i="1"/>
  <c r="AB284" i="1"/>
  <c r="AA284" i="1"/>
  <c r="AC283" i="1"/>
  <c r="AB283" i="1"/>
  <c r="AA283" i="1"/>
  <c r="AC282" i="1"/>
  <c r="AB282" i="1"/>
  <c r="AA282" i="1"/>
  <c r="AC281" i="1"/>
  <c r="AB281" i="1"/>
  <c r="AA281" i="1"/>
  <c r="AC280" i="1"/>
  <c r="AB280" i="1"/>
  <c r="AA280" i="1"/>
  <c r="AC279" i="1"/>
  <c r="AB279" i="1"/>
  <c r="AA279" i="1"/>
  <c r="AC278" i="1"/>
  <c r="AB278" i="1"/>
  <c r="AA278" i="1"/>
  <c r="AC277" i="1"/>
  <c r="AB277" i="1"/>
  <c r="AA277" i="1"/>
  <c r="AC276" i="1"/>
  <c r="AB276" i="1"/>
  <c r="AA276" i="1"/>
  <c r="AC275" i="1"/>
  <c r="AB275" i="1"/>
  <c r="AA275" i="1"/>
  <c r="AC274" i="1"/>
  <c r="AB274" i="1"/>
  <c r="AA274" i="1"/>
  <c r="AC273" i="1"/>
  <c r="AB273" i="1"/>
  <c r="AA273" i="1"/>
  <c r="AC272" i="1"/>
  <c r="AB272" i="1"/>
  <c r="AA272" i="1"/>
  <c r="AC271" i="1"/>
  <c r="AB271" i="1"/>
  <c r="AA271" i="1"/>
  <c r="AC270" i="1"/>
  <c r="AB270" i="1"/>
  <c r="AA270" i="1"/>
  <c r="AC269" i="1"/>
  <c r="AB269" i="1"/>
  <c r="AA269" i="1"/>
  <c r="AC268" i="1"/>
  <c r="AB268" i="1"/>
  <c r="AA268" i="1"/>
  <c r="AC267" i="1"/>
  <c r="AB267" i="1"/>
  <c r="AA267" i="1"/>
  <c r="AC266" i="1"/>
  <c r="AB266" i="1"/>
  <c r="AA266" i="1"/>
  <c r="AC265" i="1"/>
  <c r="AB265" i="1"/>
  <c r="AA265" i="1"/>
  <c r="AC264" i="1"/>
  <c r="AB264" i="1"/>
  <c r="AA264" i="1"/>
  <c r="AC263" i="1"/>
  <c r="AB263" i="1"/>
  <c r="AA263" i="1"/>
  <c r="AC262" i="1"/>
  <c r="AB262" i="1"/>
  <c r="AA262" i="1"/>
  <c r="AC261" i="1"/>
  <c r="AB261" i="1"/>
  <c r="AA261" i="1"/>
  <c r="AC260" i="1"/>
  <c r="AB260" i="1"/>
  <c r="AA260" i="1"/>
  <c r="AC259" i="1"/>
  <c r="AB259" i="1"/>
  <c r="AA259" i="1"/>
  <c r="AC258" i="1"/>
  <c r="AB258" i="1"/>
  <c r="AA258" i="1"/>
  <c r="AC257" i="1"/>
  <c r="AB257" i="1"/>
  <c r="AA257" i="1"/>
  <c r="AC256" i="1"/>
  <c r="AB256" i="1"/>
  <c r="AA256" i="1"/>
  <c r="AC255" i="1"/>
  <c r="AB255" i="1"/>
  <c r="AA255" i="1"/>
  <c r="AC254" i="1"/>
  <c r="AB254" i="1"/>
  <c r="AA254" i="1"/>
  <c r="AC253" i="1"/>
  <c r="AB253" i="1"/>
  <c r="AA253" i="1"/>
  <c r="AC252" i="1"/>
  <c r="AB252" i="1"/>
  <c r="AA252" i="1"/>
  <c r="AC251" i="1"/>
  <c r="AB251" i="1"/>
  <c r="AA251" i="1"/>
  <c r="AC250" i="1"/>
  <c r="AB250" i="1"/>
  <c r="AA250" i="1"/>
  <c r="AC249" i="1"/>
  <c r="AB249" i="1"/>
  <c r="AA249" i="1"/>
  <c r="AC248" i="1"/>
  <c r="AB248" i="1"/>
  <c r="AA248" i="1"/>
  <c r="AC247" i="1"/>
  <c r="AB247" i="1"/>
  <c r="AA247" i="1"/>
  <c r="AC246" i="1"/>
  <c r="AB246" i="1"/>
  <c r="AA246" i="1"/>
  <c r="AC245" i="1"/>
  <c r="AB245" i="1"/>
  <c r="AA245" i="1"/>
  <c r="AC244" i="1"/>
  <c r="AB244" i="1"/>
  <c r="AA244" i="1"/>
  <c r="AC243" i="1"/>
  <c r="AB243" i="1"/>
  <c r="AA243" i="1"/>
  <c r="AC242" i="1"/>
  <c r="AB242" i="1"/>
  <c r="AA242" i="1"/>
  <c r="AC241" i="1"/>
  <c r="AB241" i="1"/>
  <c r="AA241" i="1"/>
  <c r="AC240" i="1"/>
  <c r="AB240" i="1"/>
  <c r="AA240" i="1"/>
  <c r="AC239" i="1"/>
  <c r="AB239" i="1"/>
  <c r="AA239" i="1"/>
  <c r="AC238" i="1"/>
  <c r="AB238" i="1"/>
  <c r="AA238" i="1"/>
  <c r="AC237" i="1"/>
  <c r="AB237" i="1"/>
  <c r="AA237" i="1"/>
  <c r="AC236" i="1"/>
  <c r="AB236" i="1"/>
  <c r="AA236" i="1"/>
  <c r="AC235" i="1"/>
  <c r="AB235" i="1"/>
  <c r="AA235" i="1"/>
  <c r="AC234" i="1"/>
  <c r="AB234" i="1"/>
  <c r="AA234" i="1"/>
  <c r="AC233" i="1"/>
  <c r="AB233" i="1"/>
  <c r="AA233" i="1"/>
  <c r="AC232" i="1"/>
  <c r="AB232" i="1"/>
  <c r="AA232" i="1"/>
  <c r="AC231" i="1"/>
  <c r="AB231" i="1"/>
  <c r="AA231" i="1"/>
  <c r="AC230" i="1"/>
  <c r="AB230" i="1"/>
  <c r="AA230" i="1"/>
  <c r="AC229" i="1"/>
  <c r="AB229" i="1"/>
  <c r="AA229" i="1"/>
  <c r="AC228" i="1"/>
  <c r="AB228" i="1"/>
  <c r="AA228" i="1"/>
  <c r="AC227" i="1"/>
  <c r="AB227" i="1"/>
  <c r="AA227" i="1"/>
  <c r="AC226" i="1"/>
  <c r="AB226" i="1"/>
  <c r="AA226" i="1"/>
  <c r="AC225" i="1"/>
  <c r="AB225" i="1"/>
  <c r="AA225" i="1"/>
  <c r="AC224" i="1"/>
  <c r="AB224" i="1"/>
  <c r="AA224" i="1"/>
  <c r="AC223" i="1"/>
  <c r="AB223" i="1"/>
  <c r="AA223" i="1"/>
  <c r="AC222" i="1"/>
  <c r="AB222" i="1"/>
  <c r="AA222" i="1"/>
  <c r="AC221" i="1"/>
  <c r="AB221" i="1"/>
  <c r="AA221" i="1"/>
  <c r="AC220" i="1"/>
  <c r="AB220" i="1"/>
  <c r="AA220" i="1"/>
  <c r="AC219" i="1"/>
  <c r="AB219" i="1"/>
  <c r="AA219" i="1"/>
  <c r="AC218" i="1"/>
  <c r="AB218" i="1"/>
  <c r="AA218" i="1"/>
  <c r="AC217" i="1"/>
  <c r="AB217" i="1"/>
  <c r="AA217" i="1"/>
  <c r="AC216" i="1"/>
  <c r="AB216" i="1"/>
  <c r="AA216" i="1"/>
  <c r="AC215" i="1"/>
  <c r="AB215" i="1"/>
  <c r="AA215" i="1"/>
  <c r="AC214" i="1"/>
  <c r="AB214" i="1"/>
  <c r="AA214" i="1"/>
  <c r="AC213" i="1"/>
  <c r="AB213" i="1"/>
  <c r="AA213" i="1"/>
  <c r="AC212" i="1"/>
  <c r="AB212" i="1"/>
  <c r="AA212" i="1"/>
  <c r="AC211" i="1"/>
  <c r="AB211" i="1"/>
  <c r="AA211" i="1"/>
  <c r="AC210" i="1"/>
  <c r="AB210" i="1"/>
  <c r="AA210" i="1"/>
  <c r="AC209" i="1"/>
  <c r="AB209" i="1"/>
  <c r="AA209" i="1"/>
  <c r="AC208" i="1"/>
  <c r="AB208" i="1"/>
  <c r="AA208" i="1"/>
  <c r="AC207" i="1"/>
  <c r="AB207" i="1"/>
  <c r="AA207" i="1"/>
  <c r="AC206" i="1"/>
  <c r="AB206" i="1"/>
  <c r="AA206" i="1"/>
  <c r="AC205" i="1"/>
  <c r="AB205" i="1"/>
  <c r="AA205" i="1"/>
  <c r="AC204" i="1"/>
  <c r="AB204" i="1"/>
  <c r="AA204" i="1"/>
  <c r="AC203" i="1"/>
  <c r="AB203" i="1"/>
  <c r="AA203" i="1"/>
  <c r="AC202" i="1"/>
  <c r="AB202" i="1"/>
  <c r="AA202" i="1"/>
  <c r="AC201" i="1"/>
  <c r="AB201" i="1"/>
  <c r="AA201" i="1"/>
  <c r="AC200" i="1"/>
  <c r="AB200" i="1"/>
  <c r="AA200" i="1"/>
  <c r="AC199" i="1"/>
  <c r="AB199" i="1"/>
  <c r="AA199" i="1"/>
  <c r="AC198" i="1"/>
  <c r="AB198" i="1"/>
  <c r="AA198" i="1"/>
  <c r="AC197" i="1"/>
  <c r="AB197" i="1"/>
  <c r="AA197" i="1"/>
  <c r="AC196" i="1"/>
  <c r="AB196" i="1"/>
  <c r="AA196" i="1"/>
  <c r="AC195" i="1"/>
  <c r="AB195" i="1"/>
  <c r="AA195" i="1"/>
  <c r="AC194" i="1"/>
  <c r="AB194" i="1"/>
  <c r="AA194" i="1"/>
  <c r="AC193" i="1"/>
  <c r="AB193" i="1"/>
  <c r="AA193" i="1"/>
  <c r="AC192" i="1"/>
  <c r="AB192" i="1"/>
  <c r="AA192" i="1"/>
  <c r="AC191" i="1"/>
  <c r="AB191" i="1"/>
  <c r="AA191" i="1"/>
  <c r="AC190" i="1"/>
  <c r="AB190" i="1"/>
  <c r="AA190" i="1"/>
  <c r="AC189" i="1"/>
  <c r="AB189" i="1"/>
  <c r="AA189" i="1"/>
  <c r="AC188" i="1"/>
  <c r="AB188" i="1"/>
  <c r="AA188" i="1"/>
  <c r="AC187" i="1"/>
  <c r="AB187" i="1"/>
  <c r="AA187" i="1"/>
  <c r="AC186" i="1"/>
  <c r="AB186" i="1"/>
  <c r="AA186" i="1"/>
  <c r="AC185" i="1"/>
  <c r="AB185" i="1"/>
  <c r="AA185" i="1"/>
  <c r="AC184" i="1"/>
  <c r="AB184" i="1"/>
  <c r="AA184" i="1"/>
  <c r="AC183" i="1"/>
  <c r="AB183" i="1"/>
  <c r="AA183" i="1"/>
  <c r="AC182" i="1"/>
  <c r="AB182" i="1"/>
  <c r="AA182" i="1"/>
  <c r="AC181" i="1"/>
  <c r="AB181" i="1"/>
  <c r="AA181" i="1"/>
  <c r="AC180" i="1"/>
  <c r="AB180" i="1"/>
  <c r="AA180" i="1"/>
  <c r="AC179" i="1"/>
  <c r="AB179" i="1"/>
  <c r="AA179" i="1"/>
  <c r="AC178" i="1"/>
  <c r="AB178" i="1"/>
  <c r="AA178" i="1"/>
  <c r="AC177" i="1"/>
  <c r="AB177" i="1"/>
  <c r="AA177" i="1"/>
  <c r="AC176" i="1"/>
  <c r="AB176" i="1"/>
  <c r="AA176" i="1"/>
  <c r="AC175" i="1"/>
  <c r="AB175" i="1"/>
  <c r="AA175" i="1"/>
  <c r="AC174" i="1"/>
  <c r="AB174" i="1"/>
  <c r="AA174" i="1"/>
  <c r="AC173" i="1"/>
  <c r="AB173" i="1"/>
  <c r="AA173" i="1"/>
  <c r="AC172" i="1"/>
  <c r="AB172" i="1"/>
  <c r="AA172" i="1"/>
  <c r="AC171" i="1"/>
  <c r="AB171" i="1"/>
  <c r="AA171" i="1"/>
  <c r="AC170" i="1"/>
  <c r="AB170" i="1"/>
  <c r="AA170" i="1"/>
  <c r="AC169" i="1"/>
  <c r="AB169" i="1"/>
  <c r="AA169" i="1"/>
  <c r="AC168" i="1"/>
  <c r="AB168" i="1"/>
  <c r="AA168" i="1"/>
  <c r="AC167" i="1"/>
  <c r="AB167" i="1"/>
  <c r="AA167" i="1"/>
  <c r="AC166" i="1"/>
  <c r="AB166" i="1"/>
  <c r="AA166" i="1"/>
  <c r="AC165" i="1"/>
  <c r="AB165" i="1"/>
  <c r="AA165" i="1"/>
  <c r="AC164" i="1"/>
  <c r="AB164" i="1"/>
  <c r="AA164" i="1"/>
  <c r="AC163" i="1"/>
  <c r="AB163" i="1"/>
  <c r="AA163" i="1"/>
  <c r="AC162" i="1"/>
  <c r="AB162" i="1"/>
  <c r="AA162" i="1"/>
  <c r="AC161" i="1"/>
  <c r="AB161" i="1"/>
  <c r="AA161" i="1"/>
  <c r="AC160" i="1"/>
  <c r="AB160" i="1"/>
  <c r="AA160" i="1"/>
  <c r="AC159" i="1"/>
  <c r="AB159" i="1"/>
  <c r="AA159" i="1"/>
  <c r="AC158" i="1"/>
  <c r="AB158" i="1"/>
  <c r="AA158" i="1"/>
  <c r="AC157" i="1"/>
  <c r="AB157" i="1"/>
  <c r="AA157" i="1"/>
  <c r="AC156" i="1"/>
  <c r="AB156" i="1"/>
  <c r="AA156" i="1"/>
  <c r="AC155" i="1"/>
  <c r="AB155" i="1"/>
  <c r="AA155" i="1"/>
  <c r="AC154" i="1"/>
  <c r="AB154" i="1"/>
  <c r="AA154" i="1"/>
  <c r="AC153" i="1"/>
  <c r="AB153" i="1"/>
  <c r="AA153" i="1"/>
  <c r="AC152" i="1"/>
  <c r="AB152" i="1"/>
  <c r="AA152" i="1"/>
  <c r="AC151" i="1"/>
  <c r="AB151" i="1"/>
  <c r="AA151" i="1"/>
  <c r="AC150" i="1"/>
  <c r="AB150" i="1"/>
  <c r="AA150" i="1"/>
  <c r="AC149" i="1"/>
  <c r="AB149" i="1"/>
  <c r="AA149" i="1"/>
  <c r="AC148" i="1"/>
  <c r="AB148" i="1"/>
  <c r="AA148" i="1"/>
  <c r="AC147" i="1"/>
  <c r="AB147" i="1"/>
  <c r="AA147" i="1"/>
  <c r="AC146" i="1"/>
  <c r="AB146" i="1"/>
  <c r="AA146" i="1"/>
  <c r="AC145" i="1"/>
  <c r="AB145" i="1"/>
  <c r="AA145" i="1"/>
  <c r="AC144" i="1"/>
  <c r="AB144" i="1"/>
  <c r="AA144" i="1"/>
  <c r="AC143" i="1"/>
  <c r="AB143" i="1"/>
  <c r="AA143" i="1"/>
  <c r="AC142" i="1"/>
  <c r="AB142" i="1"/>
  <c r="AA142" i="1"/>
  <c r="AC141" i="1"/>
  <c r="AB141" i="1"/>
  <c r="AA141" i="1"/>
  <c r="AC140" i="1"/>
  <c r="AB140" i="1"/>
  <c r="AA140" i="1"/>
  <c r="AC139" i="1"/>
  <c r="AB139" i="1"/>
  <c r="AA139" i="1"/>
  <c r="AC138" i="1"/>
  <c r="AB138" i="1"/>
  <c r="AA138" i="1"/>
  <c r="AC137" i="1"/>
  <c r="AB137" i="1"/>
  <c r="AA137" i="1"/>
  <c r="AC136" i="1"/>
  <c r="AB136" i="1"/>
  <c r="AA136" i="1"/>
  <c r="AC135" i="1"/>
  <c r="AB135" i="1"/>
  <c r="AA135" i="1"/>
  <c r="AC134" i="1"/>
  <c r="AB134" i="1"/>
  <c r="AA134" i="1"/>
  <c r="AC133" i="1"/>
  <c r="AB133" i="1"/>
  <c r="AA133" i="1"/>
  <c r="AC132" i="1"/>
  <c r="AB132" i="1"/>
  <c r="AA132" i="1"/>
  <c r="AC131" i="1"/>
  <c r="AB131" i="1"/>
  <c r="AA131" i="1"/>
  <c r="AC130" i="1"/>
  <c r="AB130" i="1"/>
  <c r="AA130" i="1"/>
  <c r="AC129" i="1"/>
  <c r="AB129" i="1"/>
  <c r="AA129" i="1"/>
  <c r="AC128" i="1"/>
  <c r="AB128" i="1"/>
  <c r="AA128" i="1"/>
  <c r="AC127" i="1"/>
  <c r="AB127" i="1"/>
  <c r="AA127" i="1"/>
  <c r="AC126" i="1"/>
  <c r="AB126" i="1"/>
  <c r="AA126" i="1"/>
  <c r="AC125" i="1"/>
  <c r="AB125" i="1"/>
  <c r="AA125" i="1"/>
  <c r="AC124" i="1"/>
  <c r="AB124" i="1"/>
  <c r="AA124" i="1"/>
  <c r="AC123" i="1"/>
  <c r="AB123" i="1"/>
  <c r="AA123" i="1"/>
  <c r="AC122" i="1"/>
  <c r="AB122" i="1"/>
  <c r="AA122" i="1"/>
  <c r="AC121" i="1"/>
  <c r="AB121" i="1"/>
  <c r="AA121" i="1"/>
  <c r="AC120" i="1"/>
  <c r="AB120" i="1"/>
  <c r="AA120" i="1"/>
  <c r="AC119" i="1"/>
  <c r="AB119" i="1"/>
  <c r="AA119" i="1"/>
  <c r="AC118" i="1"/>
  <c r="AB118" i="1"/>
  <c r="AA118" i="1"/>
  <c r="AC117" i="1"/>
  <c r="AB117" i="1"/>
  <c r="AA117" i="1"/>
  <c r="AC116" i="1"/>
  <c r="AB116" i="1"/>
  <c r="AA116" i="1"/>
  <c r="AC115" i="1"/>
  <c r="AB115" i="1"/>
  <c r="AA115" i="1"/>
  <c r="AC114" i="1"/>
  <c r="AB114" i="1"/>
  <c r="AA114" i="1"/>
  <c r="AC113" i="1"/>
  <c r="AB113" i="1"/>
  <c r="AA113" i="1"/>
  <c r="AC112" i="1"/>
  <c r="AB112" i="1"/>
  <c r="AA112" i="1"/>
  <c r="AC111" i="1"/>
  <c r="AB111" i="1"/>
  <c r="AA111" i="1"/>
  <c r="AC110" i="1"/>
  <c r="AB110" i="1"/>
  <c r="AA110" i="1"/>
  <c r="AC109" i="1"/>
  <c r="AB109" i="1"/>
  <c r="AA109" i="1"/>
  <c r="AC108" i="1"/>
  <c r="AB108" i="1"/>
  <c r="AA108" i="1"/>
  <c r="AC107" i="1"/>
  <c r="AB107" i="1"/>
  <c r="AA107" i="1"/>
  <c r="AC106" i="1"/>
  <c r="AB106" i="1"/>
  <c r="AA106" i="1"/>
  <c r="AC105" i="1"/>
  <c r="AB105" i="1"/>
  <c r="AA105" i="1"/>
  <c r="AC104" i="1"/>
  <c r="AB104" i="1"/>
  <c r="AA104" i="1"/>
  <c r="AC103" i="1"/>
  <c r="AB103" i="1"/>
  <c r="AA103" i="1"/>
  <c r="AC102" i="1"/>
  <c r="AB102" i="1"/>
  <c r="AA102" i="1"/>
  <c r="AC101" i="1"/>
  <c r="AB101" i="1"/>
  <c r="AA101" i="1"/>
  <c r="AC100" i="1"/>
  <c r="AB100" i="1"/>
  <c r="AA100" i="1"/>
  <c r="AC99" i="1"/>
  <c r="AB99" i="1"/>
  <c r="AA99" i="1"/>
  <c r="AC98" i="1"/>
  <c r="AB98" i="1"/>
  <c r="AA98" i="1"/>
  <c r="AC97" i="1"/>
  <c r="AB97" i="1"/>
  <c r="AA97" i="1"/>
  <c r="AC96" i="1"/>
  <c r="AB96" i="1"/>
  <c r="AA96" i="1"/>
  <c r="AC95" i="1"/>
  <c r="AB95" i="1"/>
  <c r="AA95" i="1"/>
  <c r="AC94" i="1"/>
  <c r="AB94" i="1"/>
  <c r="AA94" i="1"/>
  <c r="AC93" i="1"/>
  <c r="AB93" i="1"/>
  <c r="AA93" i="1"/>
  <c r="AC92" i="1"/>
  <c r="AB92" i="1"/>
  <c r="AA92" i="1"/>
  <c r="AC91" i="1"/>
  <c r="AB91" i="1"/>
  <c r="AA91" i="1"/>
  <c r="AC90" i="1"/>
  <c r="AB90" i="1"/>
  <c r="AA90" i="1"/>
  <c r="AC89" i="1"/>
  <c r="AB89" i="1"/>
  <c r="AA89" i="1"/>
  <c r="AC88" i="1"/>
  <c r="AB88" i="1"/>
  <c r="AA88" i="1"/>
  <c r="AC87" i="1"/>
  <c r="AB87" i="1"/>
  <c r="AA87" i="1"/>
  <c r="AC86" i="1"/>
  <c r="AB86" i="1"/>
  <c r="AA86" i="1"/>
  <c r="AC85" i="1"/>
  <c r="AB85" i="1"/>
  <c r="AA85" i="1"/>
  <c r="AC84" i="1"/>
  <c r="AB84" i="1"/>
  <c r="AA84" i="1"/>
  <c r="AC83" i="1"/>
  <c r="AB83" i="1"/>
  <c r="AA83" i="1"/>
  <c r="AC82" i="1"/>
  <c r="AB82" i="1"/>
  <c r="AA82" i="1"/>
  <c r="AC81" i="1"/>
  <c r="AB81" i="1"/>
  <c r="AA81" i="1"/>
  <c r="AC80" i="1"/>
  <c r="AB80" i="1"/>
  <c r="AA80" i="1"/>
  <c r="AC79" i="1"/>
  <c r="AB79" i="1"/>
  <c r="AA79" i="1"/>
  <c r="AC78" i="1"/>
  <c r="AB78" i="1"/>
  <c r="AA78" i="1"/>
  <c r="AC77" i="1"/>
  <c r="AB77" i="1"/>
  <c r="AA77" i="1"/>
  <c r="AC76" i="1"/>
  <c r="AB76" i="1"/>
  <c r="AA76" i="1"/>
  <c r="AC75" i="1"/>
  <c r="AB75" i="1"/>
  <c r="AA75" i="1"/>
  <c r="AC74" i="1"/>
  <c r="AB74" i="1"/>
  <c r="AA74" i="1"/>
  <c r="AC73" i="1"/>
  <c r="AB73" i="1"/>
  <c r="AA73" i="1"/>
  <c r="AC72" i="1"/>
  <c r="AB72" i="1"/>
  <c r="AA72" i="1"/>
  <c r="AC71" i="1"/>
  <c r="AB71" i="1"/>
  <c r="AA71" i="1"/>
  <c r="AC70" i="1"/>
  <c r="AB70" i="1"/>
  <c r="AA70" i="1"/>
  <c r="AC69" i="1"/>
  <c r="AB69" i="1"/>
  <c r="AA69" i="1"/>
  <c r="AC68" i="1"/>
  <c r="AB68" i="1"/>
  <c r="AA68" i="1"/>
  <c r="AC67" i="1"/>
  <c r="AB67" i="1"/>
  <c r="AA67" i="1"/>
  <c r="AC66" i="1"/>
  <c r="AB66" i="1"/>
  <c r="AA66" i="1"/>
  <c r="AC65" i="1"/>
  <c r="AB65" i="1"/>
  <c r="AA65" i="1"/>
  <c r="AC64" i="1"/>
  <c r="AB64" i="1"/>
  <c r="AA64" i="1"/>
  <c r="AC63" i="1"/>
  <c r="AB63" i="1"/>
  <c r="AA63" i="1"/>
  <c r="AC62" i="1"/>
  <c r="AB62" i="1"/>
  <c r="AA62" i="1"/>
  <c r="AC61" i="1"/>
  <c r="AB61" i="1"/>
  <c r="AA61" i="1"/>
  <c r="AC60" i="1"/>
  <c r="AB60" i="1"/>
  <c r="AA60" i="1"/>
  <c r="AC59" i="1"/>
  <c r="AB59" i="1"/>
  <c r="AA59" i="1"/>
  <c r="AC58" i="1"/>
  <c r="AB58" i="1"/>
  <c r="AA58" i="1"/>
  <c r="AC57" i="1"/>
  <c r="AB57" i="1"/>
  <c r="AA57" i="1"/>
  <c r="AC56" i="1"/>
  <c r="AB56" i="1"/>
  <c r="AA56" i="1"/>
  <c r="AC55" i="1"/>
  <c r="AB55" i="1"/>
  <c r="AA55" i="1"/>
  <c r="AC54" i="1"/>
  <c r="AB54" i="1"/>
  <c r="AA54" i="1"/>
  <c r="AC53" i="1"/>
  <c r="AB53" i="1"/>
  <c r="AA53" i="1"/>
  <c r="AC52" i="1"/>
  <c r="AB52" i="1"/>
  <c r="AA52" i="1"/>
  <c r="AC51" i="1"/>
  <c r="AB51" i="1"/>
  <c r="AA51" i="1"/>
  <c r="AC50" i="1"/>
  <c r="AB50" i="1"/>
  <c r="AA50" i="1"/>
  <c r="AC49" i="1"/>
  <c r="AB49" i="1"/>
  <c r="AA49" i="1"/>
  <c r="AC48" i="1"/>
  <c r="AB48" i="1"/>
  <c r="AA48" i="1"/>
  <c r="AC47" i="1"/>
  <c r="AB47" i="1"/>
  <c r="AA47" i="1"/>
  <c r="AC46" i="1"/>
  <c r="AB46" i="1"/>
  <c r="AA46" i="1"/>
  <c r="AC45" i="1"/>
  <c r="AB45" i="1"/>
  <c r="AA45" i="1"/>
  <c r="AC44" i="1"/>
  <c r="AB44" i="1"/>
  <c r="AA44" i="1"/>
  <c r="AC43" i="1"/>
  <c r="AB43" i="1"/>
  <c r="AA43" i="1"/>
  <c r="AC42" i="1"/>
  <c r="AB42" i="1"/>
  <c r="AA42" i="1"/>
  <c r="AC41" i="1"/>
  <c r="AB41" i="1"/>
  <c r="AA41" i="1"/>
  <c r="AC40" i="1"/>
  <c r="AB40" i="1"/>
  <c r="AA40" i="1"/>
  <c r="AC39" i="1"/>
  <c r="AB39" i="1"/>
  <c r="AA39" i="1"/>
  <c r="AC38" i="1"/>
  <c r="AB38" i="1"/>
  <c r="AA38" i="1"/>
  <c r="AC37" i="1"/>
  <c r="AB37" i="1"/>
  <c r="AA37" i="1"/>
  <c r="AC36" i="1"/>
  <c r="AB36" i="1"/>
  <c r="AA36" i="1"/>
  <c r="AC35" i="1"/>
  <c r="AB35" i="1"/>
  <c r="AA35" i="1"/>
  <c r="AC34" i="1"/>
  <c r="AB34" i="1"/>
  <c r="AA34" i="1"/>
  <c r="AC33" i="1"/>
  <c r="AB33" i="1"/>
  <c r="AA33" i="1"/>
  <c r="AC32" i="1"/>
  <c r="AB32" i="1"/>
  <c r="AA32" i="1"/>
  <c r="AC31" i="1"/>
  <c r="AB31" i="1"/>
  <c r="AA31" i="1"/>
  <c r="AC30" i="1"/>
  <c r="AB30" i="1"/>
  <c r="AA30" i="1"/>
  <c r="AC29" i="1"/>
  <c r="AB29" i="1"/>
  <c r="AA29" i="1"/>
  <c r="AC28" i="1"/>
  <c r="AB28" i="1"/>
  <c r="AA28" i="1"/>
  <c r="AC27" i="1"/>
  <c r="AB27" i="1"/>
  <c r="AA27" i="1"/>
  <c r="AC26" i="1"/>
  <c r="AB26" i="1"/>
  <c r="AA26" i="1"/>
  <c r="AC25" i="1"/>
  <c r="AB25" i="1"/>
  <c r="AA25" i="1"/>
  <c r="AC24" i="1"/>
  <c r="AB24" i="1"/>
  <c r="AA24" i="1"/>
  <c r="AC23" i="1"/>
  <c r="AB23" i="1"/>
  <c r="AA23" i="1"/>
  <c r="AC22" i="1"/>
  <c r="AB22" i="1"/>
  <c r="AA22" i="1"/>
  <c r="AC21" i="1"/>
  <c r="AB21" i="1"/>
  <c r="AA21" i="1"/>
  <c r="AC20" i="1"/>
  <c r="AB20" i="1"/>
  <c r="AA20" i="1"/>
  <c r="AC19" i="1"/>
  <c r="AB19" i="1"/>
  <c r="AA19" i="1"/>
  <c r="AC18" i="1"/>
  <c r="AB18" i="1"/>
  <c r="AA18" i="1"/>
  <c r="AC17" i="1"/>
  <c r="AB17" i="1"/>
  <c r="AA17" i="1"/>
  <c r="AC16" i="1"/>
  <c r="AB16" i="1"/>
  <c r="AA16" i="1"/>
  <c r="AC15" i="1"/>
  <c r="AB15" i="1"/>
  <c r="AA15" i="1"/>
  <c r="AC14" i="1"/>
  <c r="AB14" i="1"/>
  <c r="AA14" i="1"/>
  <c r="AC13" i="1"/>
  <c r="AB13" i="1"/>
  <c r="AA13" i="1"/>
  <c r="AC12" i="1"/>
  <c r="AB12" i="1"/>
  <c r="AA12" i="1"/>
  <c r="AC11" i="1"/>
  <c r="AB11" i="1"/>
  <c r="AA11" i="1"/>
  <c r="AC10" i="1"/>
  <c r="AB10" i="1"/>
  <c r="AA10" i="1"/>
  <c r="AC9" i="1"/>
  <c r="AB9" i="1"/>
  <c r="AA9" i="1"/>
  <c r="AC8" i="1"/>
  <c r="AB8" i="1"/>
  <c r="AA8" i="1"/>
  <c r="AC7" i="1"/>
  <c r="AB7" i="1"/>
  <c r="AA7" i="1"/>
  <c r="AC6" i="1"/>
  <c r="AB6" i="1"/>
  <c r="AA6" i="1"/>
  <c r="AC5" i="1"/>
  <c r="AB5" i="1"/>
  <c r="AA5" i="1"/>
  <c r="AC4" i="1"/>
  <c r="AB4" i="1"/>
  <c r="AA4" i="1"/>
  <c r="AC3" i="1"/>
  <c r="AB3" i="1"/>
  <c r="AA3" i="1"/>
  <c r="AC2" i="1"/>
  <c r="AB2" i="1"/>
  <c r="AA2" i="1"/>
  <c r="F9" i="4"/>
  <c r="E9" i="4"/>
  <c r="D9" i="4"/>
  <c r="C9" i="4"/>
  <c r="B9" i="4"/>
  <c r="F8" i="4"/>
  <c r="E8" i="4"/>
  <c r="D8" i="4"/>
  <c r="C8" i="4"/>
  <c r="B8" i="4"/>
  <c r="F7" i="4"/>
  <c r="E7" i="4"/>
  <c r="D7" i="4"/>
  <c r="C7" i="4"/>
  <c r="B7" i="4"/>
  <c r="F6" i="4"/>
  <c r="E6" i="4"/>
  <c r="D6" i="4"/>
  <c r="C6" i="4"/>
  <c r="B6" i="4"/>
  <c r="F5" i="4"/>
  <c r="E5" i="4"/>
  <c r="D5" i="4"/>
  <c r="C5" i="4"/>
  <c r="B5" i="4"/>
  <c r="F10" i="8" l="1"/>
  <c r="D10" i="8"/>
  <c r="F9" i="8"/>
  <c r="D9" i="8"/>
  <c r="F8" i="8"/>
  <c r="D8" i="8"/>
  <c r="F7" i="8"/>
  <c r="D7" i="8"/>
  <c r="F6" i="8"/>
  <c r="D6" i="8"/>
  <c r="F5" i="8"/>
  <c r="D5" i="8"/>
  <c r="C31" i="2"/>
  <c r="C28" i="2"/>
  <c r="C24" i="2"/>
  <c r="C16" i="2"/>
  <c r="C612" i="7"/>
  <c r="C611" i="7"/>
  <c r="C610" i="7"/>
  <c r="C609" i="7"/>
  <c r="E606" i="7"/>
  <c r="C605" i="7"/>
  <c r="E602" i="7"/>
  <c r="C601" i="7"/>
  <c r="E598" i="7"/>
  <c r="C597" i="7"/>
  <c r="C533" i="7"/>
  <c r="E530" i="7"/>
  <c r="C525" i="7"/>
  <c r="C520" i="7"/>
  <c r="E515" i="7"/>
  <c r="E512" i="7"/>
  <c r="E378" i="7"/>
  <c r="C373" i="7"/>
  <c r="E369" i="7"/>
  <c r="C195" i="7"/>
  <c r="E12" i="7"/>
  <c r="E531" i="7"/>
  <c r="C528" i="7"/>
  <c r="C521" i="7"/>
  <c r="E516" i="7"/>
  <c r="C513" i="7"/>
  <c r="E375" i="7"/>
  <c r="E367" i="7"/>
  <c r="E13" i="7"/>
  <c r="C32" i="2"/>
  <c r="C27" i="2"/>
  <c r="C23" i="2"/>
  <c r="C14" i="2"/>
  <c r="C376" i="7"/>
  <c r="C369" i="7"/>
  <c r="C14" i="7"/>
  <c r="E4" i="7"/>
  <c r="E610" i="7"/>
  <c r="E608" i="7"/>
  <c r="C607" i="7"/>
  <c r="E605" i="7"/>
  <c r="C604" i="7"/>
  <c r="E599" i="7"/>
  <c r="C598" i="7"/>
  <c r="C531" i="7"/>
  <c r="E528" i="7"/>
  <c r="E525" i="7"/>
  <c r="E522" i="7"/>
  <c r="E519" i="7"/>
  <c r="C516" i="7"/>
  <c r="E511" i="7"/>
  <c r="C378" i="7"/>
  <c r="C374" i="7"/>
  <c r="E370" i="7"/>
  <c r="E14" i="7"/>
  <c r="E3" i="7"/>
  <c r="C33" i="2"/>
  <c r="C29" i="2"/>
  <c r="C25" i="2"/>
  <c r="C21" i="2"/>
  <c r="C13" i="2"/>
  <c r="E611" i="7"/>
  <c r="E607" i="7"/>
  <c r="C606" i="7"/>
  <c r="E603" i="7"/>
  <c r="C602" i="7"/>
  <c r="E600" i="7"/>
  <c r="C599" i="7"/>
  <c r="E597" i="7"/>
  <c r="C532" i="7"/>
  <c r="E529" i="7"/>
  <c r="C526" i="7"/>
  <c r="C523" i="7"/>
  <c r="E518" i="7"/>
  <c r="C515" i="7"/>
  <c r="E374" i="7"/>
  <c r="C366" i="7"/>
  <c r="C9" i="7"/>
  <c r="C4" i="7"/>
  <c r="E377" i="7"/>
  <c r="C368" i="7"/>
  <c r="C13" i="7"/>
  <c r="C8" i="7"/>
  <c r="C3" i="7"/>
  <c r="C530" i="7"/>
  <c r="E527" i="7"/>
  <c r="E524" i="7"/>
  <c r="E521" i="7"/>
  <c r="C518" i="7"/>
  <c r="E513" i="7"/>
  <c r="C370" i="7"/>
  <c r="E366" i="7"/>
  <c r="C12" i="7"/>
  <c r="C7" i="7"/>
  <c r="E31" i="6"/>
  <c r="C33" i="6" s="1"/>
  <c r="C30" i="2"/>
  <c r="C26" i="2"/>
  <c r="C22" i="2"/>
  <c r="C15" i="2"/>
  <c r="E612" i="7"/>
  <c r="E609" i="7"/>
  <c r="C608" i="7"/>
  <c r="E604" i="7"/>
  <c r="C603" i="7"/>
  <c r="E601" i="7"/>
  <c r="C600" i="7"/>
  <c r="C522" i="7"/>
  <c r="C517" i="7"/>
  <c r="C512" i="7"/>
  <c r="C372" i="7"/>
  <c r="E368" i="7"/>
  <c r="E8" i="7"/>
  <c r="E532" i="7"/>
  <c r="C529" i="7"/>
  <c r="E526" i="7"/>
  <c r="E523" i="7"/>
  <c r="E520" i="7"/>
  <c r="E517" i="7"/>
  <c r="C514" i="7"/>
  <c r="C377" i="7"/>
  <c r="E373" i="7"/>
  <c r="E195" i="7"/>
  <c r="E9" i="7"/>
  <c r="E557" i="7"/>
  <c r="C557" i="7"/>
  <c r="E556" i="7"/>
  <c r="C556" i="7"/>
  <c r="E555" i="7"/>
  <c r="C555" i="7"/>
  <c r="E554" i="7"/>
  <c r="C554" i="7"/>
  <c r="E553" i="7"/>
  <c r="C553" i="7"/>
  <c r="E552" i="7"/>
  <c r="C552" i="7"/>
  <c r="E551" i="7"/>
  <c r="C551" i="7"/>
  <c r="E550" i="7"/>
  <c r="C550" i="7"/>
  <c r="E549" i="7"/>
  <c r="C549" i="7"/>
  <c r="E548" i="7"/>
  <c r="C548" i="7"/>
  <c r="E547" i="7"/>
  <c r="C547" i="7"/>
  <c r="E546" i="7"/>
  <c r="C546" i="7"/>
  <c r="E545" i="7"/>
  <c r="C545" i="7"/>
  <c r="E544" i="7"/>
  <c r="C544" i="7"/>
  <c r="E543" i="7"/>
  <c r="C543" i="7"/>
  <c r="E542" i="7"/>
  <c r="C542" i="7"/>
  <c r="E541" i="7"/>
  <c r="C541" i="7"/>
  <c r="E540" i="7"/>
  <c r="C540" i="7"/>
  <c r="E539" i="7"/>
  <c r="C539" i="7"/>
  <c r="E538" i="7"/>
  <c r="C538" i="7"/>
  <c r="E537" i="7"/>
  <c r="C537" i="7"/>
  <c r="E536" i="7"/>
  <c r="C536" i="7"/>
  <c r="E535" i="7"/>
  <c r="C535" i="7"/>
  <c r="E534" i="7"/>
  <c r="C534" i="7"/>
  <c r="E533" i="7"/>
  <c r="C527" i="7"/>
  <c r="C524" i="7"/>
  <c r="C519" i="7"/>
  <c r="E514" i="7"/>
  <c r="C511" i="7"/>
  <c r="C375" i="7"/>
  <c r="E371" i="7"/>
  <c r="E6" i="7"/>
  <c r="E510" i="7"/>
  <c r="C510" i="7"/>
  <c r="E509" i="7"/>
  <c r="C509" i="7"/>
  <c r="E508" i="7"/>
  <c r="C508" i="7"/>
  <c r="E507" i="7"/>
  <c r="C507" i="7"/>
  <c r="E506" i="7"/>
  <c r="C506" i="7"/>
  <c r="E505" i="7"/>
  <c r="C505" i="7"/>
  <c r="E504" i="7"/>
  <c r="C504" i="7"/>
  <c r="E503" i="7"/>
  <c r="C503" i="7"/>
  <c r="E502" i="7"/>
  <c r="C502" i="7"/>
  <c r="E501" i="7"/>
  <c r="C501" i="7"/>
  <c r="E500" i="7"/>
  <c r="C500" i="7"/>
  <c r="E499" i="7"/>
  <c r="C499" i="7"/>
  <c r="E498" i="7"/>
  <c r="C498" i="7"/>
  <c r="E497" i="7"/>
  <c r="C497" i="7"/>
  <c r="E496" i="7"/>
  <c r="C496" i="7"/>
  <c r="E495" i="7"/>
  <c r="C495" i="7"/>
  <c r="E494" i="7"/>
  <c r="C494" i="7"/>
  <c r="E493" i="7"/>
  <c r="C493" i="7"/>
  <c r="E492" i="7"/>
  <c r="C492" i="7"/>
  <c r="E491" i="7"/>
  <c r="C491" i="7"/>
  <c r="E490" i="7"/>
  <c r="C490" i="7"/>
  <c r="E489" i="7"/>
  <c r="C489" i="7"/>
  <c r="E488" i="7"/>
  <c r="C488" i="7"/>
  <c r="E487" i="7"/>
  <c r="C487" i="7"/>
  <c r="E486" i="7"/>
  <c r="C486" i="7"/>
  <c r="E485" i="7"/>
  <c r="C485" i="7"/>
  <c r="E484" i="7"/>
  <c r="C484" i="7"/>
  <c r="E483" i="7"/>
  <c r="C483" i="7"/>
  <c r="E482" i="7"/>
  <c r="C482" i="7"/>
  <c r="E481" i="7"/>
  <c r="C481" i="7"/>
  <c r="E480" i="7"/>
  <c r="C480" i="7"/>
  <c r="E479" i="7"/>
  <c r="C479" i="7"/>
  <c r="E478" i="7"/>
  <c r="C478" i="7"/>
  <c r="E477" i="7"/>
  <c r="C371" i="7"/>
  <c r="C367" i="7"/>
  <c r="E7" i="7"/>
  <c r="C422" i="7"/>
  <c r="E421" i="7"/>
  <c r="C421" i="7"/>
  <c r="E420" i="7"/>
  <c r="C420" i="7"/>
  <c r="E419" i="7"/>
  <c r="C419" i="7"/>
  <c r="E418" i="7"/>
  <c r="C418" i="7"/>
  <c r="E417" i="7"/>
  <c r="C417" i="7"/>
  <c r="E416" i="7"/>
  <c r="C416" i="7"/>
  <c r="E415" i="7"/>
  <c r="C415" i="7"/>
  <c r="E414" i="7"/>
  <c r="C414" i="7"/>
  <c r="E413" i="7"/>
  <c r="C413" i="7"/>
  <c r="E412" i="7"/>
  <c r="C412" i="7"/>
  <c r="E411" i="7"/>
  <c r="C411" i="7"/>
  <c r="E410" i="7"/>
  <c r="C410" i="7"/>
  <c r="E409" i="7"/>
  <c r="C409" i="7"/>
  <c r="E408" i="7"/>
  <c r="C408" i="7"/>
  <c r="E407" i="7"/>
  <c r="C407" i="7"/>
  <c r="E406" i="7"/>
  <c r="C406" i="7"/>
  <c r="E405" i="7"/>
  <c r="C405" i="7"/>
  <c r="E404" i="7"/>
  <c r="C404" i="7"/>
  <c r="E403" i="7"/>
  <c r="C403" i="7"/>
  <c r="E402" i="7"/>
  <c r="C402" i="7"/>
  <c r="E401" i="7"/>
  <c r="C401" i="7"/>
  <c r="E400" i="7"/>
  <c r="C400" i="7"/>
  <c r="E399" i="7"/>
  <c r="C399" i="7"/>
  <c r="E398" i="7"/>
  <c r="C398" i="7"/>
  <c r="E397" i="7"/>
  <c r="C397" i="7"/>
  <c r="E396" i="7"/>
  <c r="C396" i="7"/>
  <c r="E395" i="7"/>
  <c r="C395" i="7"/>
  <c r="E394" i="7"/>
  <c r="C394" i="7"/>
  <c r="E393" i="7"/>
  <c r="C393" i="7"/>
  <c r="E392" i="7"/>
  <c r="C392" i="7"/>
  <c r="E391" i="7"/>
  <c r="C391" i="7"/>
  <c r="E390" i="7"/>
  <c r="C390" i="7"/>
  <c r="E389" i="7"/>
  <c r="C389" i="7"/>
  <c r="E388" i="7"/>
  <c r="C388" i="7"/>
  <c r="E387" i="7"/>
  <c r="C387" i="7"/>
  <c r="E386" i="7"/>
  <c r="C386" i="7"/>
  <c r="E385" i="7"/>
  <c r="C385" i="7"/>
  <c r="E384" i="7"/>
  <c r="C384" i="7"/>
  <c r="E383" i="7"/>
  <c r="C383" i="7"/>
  <c r="E382" i="7"/>
  <c r="C382" i="7"/>
  <c r="E381" i="7"/>
  <c r="C381" i="7"/>
  <c r="E380" i="7"/>
  <c r="C380" i="7"/>
  <c r="E379" i="7"/>
  <c r="C379" i="7"/>
  <c r="E376" i="7"/>
  <c r="E372" i="7"/>
  <c r="C5" i="7"/>
  <c r="E365" i="7"/>
  <c r="C365" i="7"/>
  <c r="E364" i="7"/>
  <c r="C364" i="7"/>
  <c r="E363" i="7"/>
  <c r="C363" i="7"/>
  <c r="E362" i="7"/>
  <c r="C362" i="7"/>
  <c r="E361" i="7"/>
  <c r="C361" i="7"/>
  <c r="E360" i="7"/>
  <c r="C360" i="7"/>
  <c r="E359" i="7"/>
  <c r="C359" i="7"/>
  <c r="E358" i="7"/>
  <c r="C358" i="7"/>
  <c r="E357" i="7"/>
  <c r="C357" i="7"/>
  <c r="E356" i="7"/>
  <c r="C356" i="7"/>
  <c r="C316" i="7"/>
  <c r="C11" i="7"/>
  <c r="C6" i="7"/>
  <c r="E267" i="7"/>
  <c r="C267" i="7"/>
  <c r="E266" i="7"/>
  <c r="C266" i="7"/>
  <c r="E265" i="7"/>
  <c r="C265" i="7"/>
  <c r="E264" i="7"/>
  <c r="C264" i="7"/>
  <c r="E263" i="7"/>
  <c r="C263" i="7"/>
  <c r="E262" i="7"/>
  <c r="C262" i="7"/>
  <c r="E261" i="7"/>
  <c r="C261" i="7"/>
  <c r="E260" i="7"/>
  <c r="C260" i="7"/>
  <c r="E259" i="7"/>
  <c r="C259" i="7"/>
  <c r="E258" i="7"/>
  <c r="C258" i="7"/>
  <c r="E257" i="7"/>
  <c r="C257" i="7"/>
  <c r="E256" i="7"/>
  <c r="C256" i="7"/>
  <c r="E255" i="7"/>
  <c r="C255" i="7"/>
  <c r="E254" i="7"/>
  <c r="C254" i="7"/>
  <c r="E253" i="7"/>
  <c r="C253" i="7"/>
  <c r="E252" i="7"/>
  <c r="C252" i="7"/>
  <c r="E251" i="7"/>
  <c r="C251" i="7"/>
  <c r="E250" i="7"/>
  <c r="C250" i="7"/>
  <c r="E249" i="7"/>
  <c r="C249" i="7"/>
  <c r="E248" i="7"/>
  <c r="C248" i="7"/>
  <c r="E247" i="7"/>
  <c r="C247" i="7"/>
  <c r="E246" i="7"/>
  <c r="C246" i="7"/>
  <c r="E245" i="7"/>
  <c r="C245" i="7"/>
  <c r="E244" i="7"/>
  <c r="C244" i="7"/>
  <c r="E243" i="7"/>
  <c r="C243" i="7"/>
  <c r="E242" i="7"/>
  <c r="C242" i="7"/>
  <c r="E241" i="7"/>
  <c r="C241" i="7"/>
  <c r="E240" i="7"/>
  <c r="C240" i="7"/>
  <c r="E239" i="7"/>
  <c r="C239" i="7"/>
  <c r="E238" i="7"/>
  <c r="C238" i="7"/>
  <c r="E237" i="7"/>
  <c r="C237" i="7"/>
  <c r="E236" i="7"/>
  <c r="C236" i="7"/>
  <c r="E235" i="7"/>
  <c r="C235" i="7"/>
  <c r="C10" i="7"/>
  <c r="E5" i="7"/>
  <c r="C135" i="7"/>
  <c r="E11" i="7"/>
  <c r="E10" i="7"/>
  <c r="C30" i="6"/>
  <c r="B31" i="6" s="1"/>
  <c r="E30" i="6"/>
  <c r="B33" i="6" s="1"/>
  <c r="G31" i="6"/>
  <c r="C35" i="6" s="1"/>
  <c r="G30" i="6"/>
  <c r="B35" i="6" s="1"/>
  <c r="G33" i="6"/>
  <c r="E35" i="6" s="1"/>
  <c r="B17" i="2"/>
  <c r="C12" i="2"/>
  <c r="C124" i="7"/>
  <c r="C123" i="7"/>
  <c r="C122" i="7"/>
  <c r="C121" i="7"/>
  <c r="C120" i="7"/>
  <c r="C119" i="7"/>
  <c r="C118" i="7"/>
  <c r="C117" i="7"/>
  <c r="C116" i="7"/>
  <c r="C115" i="7"/>
  <c r="C113" i="7"/>
  <c r="C103" i="7"/>
  <c r="C27" i="7"/>
  <c r="C100" i="7"/>
  <c r="C98" i="7"/>
  <c r="C96" i="7"/>
  <c r="C84" i="7"/>
  <c r="C81" i="7"/>
  <c r="C79" i="7"/>
  <c r="C76" i="7"/>
  <c r="C70" i="7"/>
  <c r="C68" i="7"/>
  <c r="C66" i="7"/>
  <c r="C63" i="7"/>
  <c r="C60" i="7"/>
  <c r="C56" i="7"/>
  <c r="C54" i="7"/>
  <c r="C477" i="7"/>
  <c r="C17" i="7"/>
  <c r="C28" i="7"/>
  <c r="C32" i="7"/>
  <c r="C35" i="7"/>
  <c r="C47" i="7"/>
  <c r="C53" i="7"/>
  <c r="C74" i="7"/>
  <c r="C75" i="7"/>
  <c r="C83" i="7"/>
  <c r="C85" i="7"/>
  <c r="C88" i="7"/>
  <c r="C91" i="7"/>
  <c r="C95" i="7"/>
  <c r="C110" i="7"/>
  <c r="C563" i="7"/>
  <c r="C565" i="7"/>
  <c r="C571" i="7"/>
  <c r="C578" i="7"/>
  <c r="C580" i="7"/>
  <c r="C581" i="7"/>
  <c r="C583" i="7"/>
  <c r="C585" i="7"/>
  <c r="C587" i="7"/>
  <c r="C589" i="7"/>
  <c r="C590" i="7"/>
  <c r="C592" i="7"/>
  <c r="C596" i="7"/>
  <c r="C18" i="7"/>
  <c r="C29" i="7"/>
  <c r="C36" i="7"/>
  <c r="C55" i="7"/>
  <c r="C59" i="7"/>
  <c r="C67" i="7"/>
  <c r="C73" i="7"/>
  <c r="C77" i="7"/>
  <c r="C89" i="7"/>
  <c r="C92" i="7"/>
  <c r="C94" i="7"/>
  <c r="C101" i="7"/>
  <c r="C104" i="7"/>
  <c r="C106" i="7"/>
  <c r="C109" i="7"/>
  <c r="C111" i="7"/>
  <c r="C569" i="7"/>
  <c r="C573" i="7"/>
  <c r="C576" i="7"/>
  <c r="C594" i="7"/>
  <c r="C586" i="7"/>
  <c r="C15" i="7"/>
  <c r="C21" i="7"/>
  <c r="C25" i="7"/>
  <c r="C33" i="7"/>
  <c r="C34" i="7"/>
  <c r="C40" i="7"/>
  <c r="C43" i="7"/>
  <c r="C46" i="7"/>
  <c r="C49" i="7"/>
  <c r="C58" i="7"/>
  <c r="C62" i="7"/>
  <c r="C64" i="7"/>
  <c r="C69" i="7"/>
  <c r="C72" i="7"/>
  <c r="C80" i="7"/>
  <c r="C82" i="7"/>
  <c r="C90" i="7"/>
  <c r="C93" i="7"/>
  <c r="C97" i="7"/>
  <c r="C99" i="7"/>
  <c r="C102" i="7"/>
  <c r="C107" i="7"/>
  <c r="C114" i="7"/>
  <c r="C558" i="7"/>
  <c r="C560" i="7"/>
  <c r="C562" i="7"/>
  <c r="C564" i="7"/>
  <c r="C566" i="7"/>
  <c r="C568" i="7"/>
  <c r="C588" i="7"/>
  <c r="C591" i="7"/>
  <c r="C593" i="7"/>
  <c r="C595" i="7"/>
  <c r="C24" i="7"/>
  <c r="C22" i="7"/>
  <c r="C127" i="7"/>
  <c r="C126" i="7"/>
  <c r="C125" i="7"/>
  <c r="C31" i="7"/>
  <c r="C38" i="7"/>
  <c r="C41" i="7"/>
  <c r="C44" i="7"/>
  <c r="C50" i="7"/>
  <c r="C52" i="7"/>
  <c r="C57" i="7"/>
  <c r="C61" i="7"/>
  <c r="C65" i="7"/>
  <c r="C71" i="7"/>
  <c r="C78" i="7"/>
  <c r="C86" i="7"/>
  <c r="C105" i="7"/>
  <c r="C108" i="7"/>
  <c r="C112" i="7"/>
  <c r="C559" i="7"/>
  <c r="C561" i="7"/>
  <c r="C567" i="7"/>
  <c r="C570" i="7"/>
  <c r="C572" i="7"/>
  <c r="C574" i="7"/>
  <c r="C575" i="7"/>
  <c r="C577" i="7"/>
  <c r="C87" i="7"/>
  <c r="C579" i="7"/>
  <c r="C582" i="7"/>
  <c r="C584" i="7"/>
  <c r="C16" i="7"/>
  <c r="C19" i="7"/>
  <c r="C20" i="7"/>
  <c r="C23" i="7"/>
  <c r="C26" i="7"/>
  <c r="C30" i="7"/>
  <c r="C37" i="7"/>
  <c r="C39" i="7"/>
  <c r="C42" i="7"/>
  <c r="C45" i="7"/>
  <c r="C48" i="7"/>
  <c r="C51" i="7"/>
  <c r="E476" i="7"/>
  <c r="E584" i="7"/>
  <c r="E582" i="7"/>
  <c r="E580" i="7"/>
  <c r="E578" i="7"/>
  <c r="E576" i="7"/>
  <c r="E574" i="7"/>
  <c r="E572" i="7"/>
  <c r="E106" i="7"/>
  <c r="E101" i="7"/>
  <c r="E98" i="7"/>
  <c r="E96" i="7"/>
  <c r="E92" i="7"/>
  <c r="E89" i="7"/>
  <c r="E81" i="7"/>
  <c r="E71" i="7"/>
  <c r="E66" i="7"/>
  <c r="E63" i="7"/>
  <c r="E60" i="7"/>
  <c r="E54" i="7"/>
  <c r="E48" i="7"/>
  <c r="E45" i="7"/>
  <c r="E42" i="7"/>
  <c r="E39" i="7"/>
  <c r="E33" i="7"/>
  <c r="E31" i="7"/>
  <c r="E24" i="7"/>
  <c r="E20" i="7"/>
  <c r="E596" i="7"/>
  <c r="E594" i="7"/>
  <c r="E593" i="7"/>
  <c r="E591" i="7"/>
  <c r="E589" i="7"/>
  <c r="E583" i="7"/>
  <c r="E581" i="7"/>
  <c r="E579" i="7"/>
  <c r="E569" i="7"/>
  <c r="E568" i="7"/>
  <c r="E566" i="7"/>
  <c r="E564" i="7"/>
  <c r="E562" i="7"/>
  <c r="E560" i="7"/>
  <c r="E558" i="7"/>
  <c r="E114" i="7"/>
  <c r="E110" i="7"/>
  <c r="E108" i="7"/>
  <c r="E105" i="7"/>
  <c r="E103" i="7"/>
  <c r="E100" i="7"/>
  <c r="E93" i="7"/>
  <c r="E91" i="7"/>
  <c r="E88" i="7"/>
  <c r="E79" i="7"/>
  <c r="E76" i="7"/>
  <c r="E74" i="7"/>
  <c r="E72" i="7"/>
  <c r="E64" i="7"/>
  <c r="E57" i="7"/>
  <c r="E53" i="7"/>
  <c r="E35" i="7"/>
  <c r="E18" i="7"/>
  <c r="E16" i="7"/>
  <c r="E577" i="7"/>
  <c r="E575" i="7"/>
  <c r="E573" i="7"/>
  <c r="E571" i="7"/>
  <c r="E570" i="7"/>
  <c r="E565" i="7"/>
  <c r="E559" i="7"/>
  <c r="E112" i="7"/>
  <c r="E94" i="7"/>
  <c r="E90" i="7"/>
  <c r="E87" i="7"/>
  <c r="E84" i="7"/>
  <c r="E82" i="7"/>
  <c r="E70" i="7"/>
  <c r="E49" i="7"/>
  <c r="E37" i="7"/>
  <c r="E34" i="7"/>
  <c r="E29" i="7"/>
  <c r="E27" i="7"/>
  <c r="E590" i="7"/>
  <c r="E588" i="7"/>
  <c r="E586" i="7"/>
  <c r="E567" i="7"/>
  <c r="E563" i="7"/>
  <c r="E561" i="7"/>
  <c r="E113" i="7"/>
  <c r="E109" i="7"/>
  <c r="E107" i="7"/>
  <c r="E85" i="7"/>
  <c r="E77" i="7"/>
  <c r="E73" i="7"/>
  <c r="E68" i="7"/>
  <c r="E62" i="7"/>
  <c r="E59" i="7"/>
  <c r="E56" i="7"/>
  <c r="E51" i="7"/>
  <c r="E46" i="7"/>
  <c r="E43" i="7"/>
  <c r="E40" i="7"/>
  <c r="E36" i="7"/>
  <c r="E30" i="7"/>
  <c r="E26" i="7"/>
  <c r="E23" i="7"/>
  <c r="E21" i="7"/>
  <c r="E125" i="7"/>
  <c r="E124" i="7"/>
  <c r="E123" i="7"/>
  <c r="E122" i="7"/>
  <c r="E121" i="7"/>
  <c r="E120" i="7"/>
  <c r="E119" i="7"/>
  <c r="E118" i="7"/>
  <c r="E117" i="7"/>
  <c r="E116" i="7"/>
  <c r="E115" i="7"/>
  <c r="E111" i="7"/>
  <c r="E104" i="7"/>
  <c r="E102" i="7"/>
  <c r="E99" i="7"/>
  <c r="E97" i="7"/>
  <c r="E95" i="7"/>
  <c r="E86" i="7"/>
  <c r="E83" i="7"/>
  <c r="E80" i="7"/>
  <c r="E78" i="7"/>
  <c r="E75" i="7"/>
  <c r="E69" i="7"/>
  <c r="E67" i="7"/>
  <c r="E65" i="7"/>
  <c r="E61" i="7"/>
  <c r="E58" i="7"/>
  <c r="E55" i="7"/>
  <c r="E52" i="7"/>
  <c r="E50" i="7"/>
  <c r="E47" i="7"/>
  <c r="E44" i="7"/>
  <c r="E41" i="7"/>
  <c r="E38" i="7"/>
  <c r="E32" i="7"/>
  <c r="E28" i="7"/>
  <c r="E25" i="7"/>
  <c r="E22" i="7"/>
  <c r="E19" i="7"/>
  <c r="E17" i="7"/>
  <c r="E15" i="7"/>
  <c r="E595" i="7"/>
  <c r="E592" i="7"/>
  <c r="E587" i="7"/>
  <c r="E585" i="7"/>
  <c r="C153" i="7"/>
  <c r="C136" i="7"/>
  <c r="C171" i="7"/>
  <c r="C146" i="7"/>
  <c r="C145" i="7"/>
  <c r="C144" i="7"/>
  <c r="C143" i="7"/>
  <c r="C134" i="7"/>
  <c r="C142" i="7"/>
  <c r="C141" i="7"/>
  <c r="C133" i="7"/>
  <c r="C140" i="7"/>
  <c r="C132" i="7"/>
  <c r="C139" i="7"/>
  <c r="C131" i="7"/>
  <c r="C138" i="7"/>
  <c r="C130" i="7"/>
  <c r="C137" i="7"/>
  <c r="C169" i="7"/>
  <c r="C158" i="7"/>
  <c r="C168" i="7"/>
  <c r="C167" i="7"/>
  <c r="C166" i="7"/>
  <c r="C165" i="7"/>
  <c r="C164" i="7"/>
  <c r="C163" i="7"/>
  <c r="C162" i="7"/>
  <c r="C161" i="7"/>
  <c r="C160" i="7"/>
  <c r="C159" i="7"/>
  <c r="C170" i="7"/>
  <c r="C128" i="7"/>
  <c r="C129" i="7"/>
  <c r="C157" i="7"/>
  <c r="C156" i="7"/>
  <c r="C155" i="7"/>
  <c r="C154" i="7"/>
  <c r="C152" i="7"/>
  <c r="C151" i="7"/>
  <c r="C150" i="7"/>
  <c r="C149" i="7"/>
  <c r="C148" i="7"/>
  <c r="C147" i="7"/>
  <c r="E135" i="7"/>
  <c r="E171" i="7"/>
  <c r="E134" i="7"/>
  <c r="E172" i="7"/>
  <c r="E155" i="7"/>
  <c r="E133" i="7"/>
  <c r="E132" i="7"/>
  <c r="E131" i="7"/>
  <c r="E130" i="7"/>
  <c r="E163" i="7"/>
  <c r="E165" i="7"/>
  <c r="E166" i="7"/>
  <c r="E156" i="7"/>
  <c r="E167" i="7"/>
  <c r="E127" i="7"/>
  <c r="E168" i="7"/>
  <c r="E157" i="7"/>
  <c r="E169" i="7"/>
  <c r="E136" i="7"/>
  <c r="E170" i="7"/>
  <c r="E137" i="7"/>
  <c r="E152" i="7"/>
  <c r="E151" i="7"/>
  <c r="E126" i="7"/>
  <c r="E150" i="7"/>
  <c r="E158" i="7"/>
  <c r="E149" i="7"/>
  <c r="E138" i="7"/>
  <c r="E148" i="7"/>
  <c r="E143" i="7"/>
  <c r="E147" i="7"/>
  <c r="E139" i="7"/>
  <c r="E146" i="7"/>
  <c r="E140" i="7"/>
  <c r="E145" i="7"/>
  <c r="E141" i="7"/>
  <c r="E144" i="7"/>
  <c r="E142" i="7"/>
  <c r="E164" i="7"/>
  <c r="E128" i="7"/>
  <c r="E154" i="7"/>
  <c r="E162" i="7"/>
  <c r="E161" i="7"/>
  <c r="E153" i="7"/>
  <c r="E160" i="7"/>
  <c r="E129" i="7"/>
  <c r="E159" i="7"/>
  <c r="E12" i="6"/>
  <c r="C12" i="6"/>
  <c r="B12" i="6"/>
  <c r="F12" i="6"/>
  <c r="D12" i="6"/>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355" i="7"/>
  <c r="E354" i="7"/>
  <c r="E353" i="7"/>
  <c r="E352" i="7"/>
  <c r="E351" i="7"/>
  <c r="E350" i="7"/>
  <c r="E349" i="7"/>
  <c r="E348" i="7"/>
  <c r="E233" i="7"/>
  <c r="E232" i="7"/>
  <c r="E231" i="7"/>
  <c r="E230" i="7"/>
  <c r="E229" i="7"/>
  <c r="E228" i="7"/>
  <c r="E227" i="7"/>
  <c r="E226" i="7"/>
  <c r="E225" i="7"/>
  <c r="E224" i="7"/>
  <c r="E223" i="7"/>
  <c r="E222" i="7"/>
  <c r="E221" i="7"/>
  <c r="E220" i="7"/>
  <c r="E313" i="7"/>
  <c r="E219" i="7"/>
  <c r="E218" i="7"/>
  <c r="E217" i="7"/>
  <c r="E216" i="7"/>
  <c r="E215" i="7"/>
  <c r="E214" i="7"/>
  <c r="E2" i="7"/>
  <c r="G24" i="6"/>
  <c r="F25" i="6" s="1"/>
  <c r="F23" i="6"/>
  <c r="E24" i="6" s="1"/>
  <c r="F21" i="6"/>
  <c r="C24" i="6" s="1"/>
  <c r="F20" i="6"/>
  <c r="B24" i="6" s="1"/>
  <c r="F10" i="6"/>
  <c r="E10" i="6"/>
  <c r="D10" i="6"/>
  <c r="C10" i="6"/>
  <c r="B10" i="6"/>
  <c r="E268" i="7"/>
  <c r="E269" i="7"/>
  <c r="E270" i="7"/>
  <c r="E271" i="7"/>
  <c r="E272" i="7"/>
  <c r="E213" i="7"/>
  <c r="E212" i="7"/>
  <c r="E211" i="7"/>
  <c r="E210" i="7"/>
  <c r="E209" i="7"/>
  <c r="E208" i="7"/>
  <c r="E273" i="7"/>
  <c r="E274" i="7"/>
  <c r="E275" i="7"/>
  <c r="E276" i="7"/>
  <c r="E277" i="7"/>
  <c r="E207" i="7"/>
  <c r="E278" i="7"/>
  <c r="E206" i="7"/>
  <c r="E279" i="7"/>
  <c r="E205" i="7"/>
  <c r="E280" i="7"/>
  <c r="E204" i="7"/>
  <c r="E281" i="7"/>
  <c r="E203" i="7"/>
  <c r="E282" i="7"/>
  <c r="E202" i="7"/>
  <c r="E283" i="7"/>
  <c r="E201" i="7"/>
  <c r="E284" i="7"/>
  <c r="E200" i="7"/>
  <c r="E285" i="7"/>
  <c r="E199" i="7"/>
  <c r="E286" i="7"/>
  <c r="E198" i="7"/>
  <c r="E287" i="7"/>
  <c r="E197" i="7"/>
  <c r="E288" i="7"/>
  <c r="E196" i="7"/>
  <c r="E194" i="7"/>
  <c r="E193" i="7"/>
  <c r="E289" i="7"/>
  <c r="E192" i="7"/>
  <c r="E191" i="7"/>
  <c r="E190" i="7"/>
  <c r="E189" i="7"/>
  <c r="E290" i="7"/>
  <c r="E188" i="7"/>
  <c r="E291" i="7"/>
  <c r="E187" i="7"/>
  <c r="E292" i="7"/>
  <c r="E186" i="7"/>
  <c r="E293" i="7"/>
  <c r="E185" i="7"/>
  <c r="E234" i="7"/>
  <c r="E294" i="7"/>
  <c r="E184" i="7"/>
  <c r="E183" i="7"/>
  <c r="E295" i="7"/>
  <c r="E182" i="7"/>
  <c r="E296" i="7"/>
  <c r="E181" i="7"/>
  <c r="E297" i="7"/>
  <c r="E180" i="7"/>
  <c r="E298" i="7"/>
  <c r="E299" i="7"/>
  <c r="E300" i="7"/>
  <c r="E301" i="7"/>
  <c r="E302" i="7"/>
  <c r="E303" i="7"/>
  <c r="E304" i="7"/>
  <c r="E179" i="7"/>
  <c r="E178" i="7"/>
  <c r="E177" i="7"/>
  <c r="E305" i="7"/>
  <c r="E176" i="7"/>
  <c r="E306" i="7"/>
  <c r="E307" i="7"/>
  <c r="E175" i="7"/>
  <c r="E308" i="7"/>
  <c r="E174" i="7"/>
  <c r="E309" i="7"/>
  <c r="E173" i="7"/>
  <c r="E310" i="7"/>
  <c r="E311" i="7"/>
  <c r="E312" i="7"/>
  <c r="E314" i="7"/>
  <c r="E315" i="7"/>
  <c r="E316" i="7"/>
  <c r="E317" i="7"/>
  <c r="E318" i="7"/>
  <c r="E319" i="7"/>
  <c r="E320" i="7"/>
  <c r="E321" i="7"/>
  <c r="E322" i="7"/>
  <c r="E323" i="7"/>
  <c r="E324" i="7"/>
  <c r="E325" i="7"/>
  <c r="E326" i="7"/>
  <c r="E327" i="7"/>
  <c r="E328" i="7"/>
  <c r="E329" i="7"/>
  <c r="E330" i="7"/>
  <c r="E331" i="7"/>
  <c r="E332" i="7"/>
  <c r="E475" i="7"/>
  <c r="E474" i="7"/>
  <c r="E473" i="7"/>
  <c r="E333" i="7"/>
  <c r="E334" i="7"/>
  <c r="E335" i="7"/>
  <c r="E336" i="7"/>
  <c r="E337" i="7"/>
  <c r="E472" i="7"/>
  <c r="E471" i="7"/>
  <c r="E470" i="7"/>
  <c r="E338" i="7"/>
  <c r="E469" i="7"/>
  <c r="E339" i="7"/>
  <c r="E468" i="7"/>
  <c r="E467" i="7"/>
  <c r="E340" i="7"/>
  <c r="E466" i="7"/>
  <c r="E341" i="7"/>
  <c r="E465" i="7"/>
  <c r="E464" i="7"/>
  <c r="E463" i="7"/>
  <c r="E342" i="7"/>
  <c r="E462" i="7"/>
  <c r="E461" i="7"/>
  <c r="E343" i="7"/>
  <c r="E460" i="7"/>
  <c r="E459" i="7"/>
  <c r="E344" i="7"/>
  <c r="E458" i="7"/>
  <c r="E457" i="7"/>
  <c r="E345" i="7"/>
  <c r="E456" i="7"/>
  <c r="E455" i="7"/>
  <c r="E346" i="7"/>
  <c r="E454" i="7"/>
  <c r="E453" i="7"/>
  <c r="E347" i="7"/>
  <c r="E452" i="7"/>
  <c r="C284" i="7"/>
  <c r="C432" i="7"/>
  <c r="C433" i="7"/>
  <c r="C201" i="7"/>
  <c r="C285" i="7"/>
  <c r="C434" i="7"/>
  <c r="C435" i="7"/>
  <c r="C200" i="7"/>
  <c r="C286" i="7"/>
  <c r="C436" i="7"/>
  <c r="C437" i="7"/>
  <c r="C199" i="7"/>
  <c r="C287" i="7"/>
  <c r="C438" i="7"/>
  <c r="C439" i="7"/>
  <c r="C288" i="7"/>
  <c r="C198" i="7"/>
  <c r="C440" i="7"/>
  <c r="C441" i="7"/>
  <c r="C197" i="7"/>
  <c r="C442" i="7"/>
  <c r="C196" i="7"/>
  <c r="C443" i="7"/>
  <c r="C194" i="7"/>
  <c r="C444" i="7"/>
  <c r="C289" i="7"/>
  <c r="C224" i="7"/>
  <c r="C471" i="7"/>
  <c r="C290" i="7"/>
  <c r="C2" i="7"/>
  <c r="C192" i="7"/>
  <c r="C445" i="7"/>
  <c r="C191" i="7"/>
  <c r="C446" i="7"/>
  <c r="C190" i="7"/>
  <c r="C447" i="7"/>
  <c r="C448" i="7"/>
  <c r="C189" i="7"/>
  <c r="C291" i="7"/>
  <c r="C449" i="7"/>
  <c r="C450" i="7"/>
  <c r="C188" i="7"/>
  <c r="C292" i="7"/>
  <c r="C451" i="7"/>
  <c r="C452" i="7"/>
  <c r="C187" i="7"/>
  <c r="C293" i="7"/>
  <c r="C453" i="7"/>
  <c r="C218" i="7"/>
  <c r="C186" i="7"/>
  <c r="C294" i="7"/>
  <c r="C225" i="7"/>
  <c r="C454" i="7"/>
  <c r="C185" i="7"/>
  <c r="C455" i="7"/>
  <c r="G22" i="6"/>
  <c r="D25" i="6" s="1"/>
  <c r="C184" i="7"/>
  <c r="C295" i="7"/>
  <c r="F22" i="6"/>
  <c r="D24" i="6" s="1"/>
  <c r="E22" i="6"/>
  <c r="D23" i="6" s="1"/>
  <c r="C183" i="7"/>
  <c r="C296" i="7"/>
  <c r="C222" i="7"/>
  <c r="D21" i="6"/>
  <c r="C22" i="6" s="1"/>
  <c r="C182" i="7"/>
  <c r="C297" i="7"/>
  <c r="C456" i="7"/>
  <c r="C226" i="7"/>
  <c r="C181" i="7"/>
  <c r="C298" i="7"/>
  <c r="D20" i="6"/>
  <c r="B22" i="6" s="1"/>
  <c r="C457" i="7"/>
  <c r="C299" i="7"/>
  <c r="C458" i="7"/>
  <c r="C300" i="7"/>
  <c r="C459" i="7"/>
  <c r="C301" i="7"/>
  <c r="C460" i="7"/>
  <c r="C302" i="7"/>
  <c r="C461" i="7"/>
  <c r="C303" i="7"/>
  <c r="C217" i="7"/>
  <c r="C304" i="7"/>
  <c r="C227" i="7"/>
  <c r="C180" i="7"/>
  <c r="C219" i="7"/>
  <c r="C179" i="7"/>
  <c r="C228" i="7"/>
  <c r="C305" i="7"/>
  <c r="C178" i="7"/>
  <c r="C216" i="7"/>
  <c r="F7" i="6"/>
  <c r="C306" i="7"/>
  <c r="C177" i="7"/>
  <c r="E7" i="6"/>
  <c r="D7" i="6"/>
  <c r="C307" i="7"/>
  <c r="C176" i="7"/>
  <c r="C7" i="6"/>
  <c r="B7" i="6"/>
  <c r="C308" i="7"/>
  <c r="C175" i="7"/>
  <c r="C462" i="7"/>
  <c r="C463" i="7"/>
  <c r="C309" i="7"/>
  <c r="C174" i="7"/>
  <c r="C464" i="7"/>
  <c r="C310" i="7"/>
  <c r="C465" i="7"/>
  <c r="C466" i="7"/>
  <c r="C173" i="7"/>
  <c r="C311" i="7"/>
  <c r="C472" i="7"/>
  <c r="C467" i="7"/>
  <c r="C172" i="7"/>
  <c r="C312" i="7"/>
  <c r="C473" i="7"/>
  <c r="C468" i="7"/>
  <c r="C474" i="7"/>
  <c r="C313" i="7"/>
  <c r="C220" i="7"/>
  <c r="C314" i="7"/>
  <c r="C469" i="7"/>
  <c r="C475" i="7"/>
  <c r="C470" i="7"/>
  <c r="C268" i="7"/>
  <c r="C317" i="7"/>
  <c r="C229" i="7"/>
  <c r="C318" i="7"/>
  <c r="C269" i="7"/>
  <c r="C319" i="7"/>
  <c r="C223" i="7"/>
  <c r="C320" i="7"/>
  <c r="C270" i="7"/>
  <c r="C321" i="7"/>
  <c r="C230" i="7"/>
  <c r="C322" i="7"/>
  <c r="C271" i="7"/>
  <c r="C323" i="7"/>
  <c r="C215" i="7"/>
  <c r="C324" i="7"/>
  <c r="C272" i="7"/>
  <c r="C325" i="7"/>
  <c r="C231" i="7"/>
  <c r="C326" i="7"/>
  <c r="C221" i="7"/>
  <c r="C327" i="7"/>
  <c r="C213" i="7"/>
  <c r="C328" i="7"/>
  <c r="C273" i="7"/>
  <c r="C329" i="7"/>
  <c r="C232" i="7"/>
  <c r="C330" i="7"/>
  <c r="C212" i="7"/>
  <c r="C331" i="7"/>
  <c r="C214" i="7"/>
  <c r="C332" i="7"/>
  <c r="C211" i="7"/>
  <c r="C333" i="7"/>
  <c r="C233" i="7"/>
  <c r="C210" i="7"/>
  <c r="C234" i="7"/>
  <c r="C209" i="7"/>
  <c r="C334" i="7"/>
  <c r="C315" i="7"/>
  <c r="C335" i="7"/>
  <c r="C349" i="7"/>
  <c r="C336" i="7"/>
  <c r="C274" i="7"/>
  <c r="C337" i="7"/>
  <c r="C350" i="7"/>
  <c r="C275" i="7"/>
  <c r="C338" i="7"/>
  <c r="C351" i="7"/>
  <c r="C276" i="7"/>
  <c r="C352" i="7"/>
  <c r="C339" i="7"/>
  <c r="C277" i="7"/>
  <c r="C208" i="7"/>
  <c r="C353" i="7"/>
  <c r="C340" i="7"/>
  <c r="C354" i="7"/>
  <c r="C278" i="7"/>
  <c r="C341" i="7"/>
  <c r="C207" i="7"/>
  <c r="C355" i="7"/>
  <c r="C476" i="7"/>
  <c r="C279" i="7"/>
  <c r="C342" i="7"/>
  <c r="C206" i="7"/>
  <c r="C423" i="7"/>
  <c r="C424" i="7"/>
  <c r="C343" i="7"/>
  <c r="C280" i="7"/>
  <c r="C205" i="7"/>
  <c r="C425" i="7"/>
  <c r="C344" i="7"/>
  <c r="C281" i="7"/>
  <c r="C426" i="7"/>
  <c r="C427" i="7"/>
  <c r="C345" i="7"/>
  <c r="C204" i="7"/>
  <c r="C282" i="7"/>
  <c r="C428" i="7"/>
  <c r="C346" i="7"/>
  <c r="C429" i="7"/>
  <c r="C203" i="7"/>
  <c r="C283" i="7"/>
  <c r="C347" i="7"/>
  <c r="C430" i="7"/>
  <c r="C431" i="7"/>
  <c r="C202" i="7"/>
  <c r="C348" i="7"/>
  <c r="C193" i="7"/>
  <c r="C34" i="2" l="1"/>
  <c r="C17" i="2"/>
  <c r="F30" i="6"/>
  <c r="B34" i="6" s="1"/>
  <c r="F31" i="6"/>
  <c r="C34" i="6" s="1"/>
  <c r="F33" i="6"/>
  <c r="E34" i="6" s="1"/>
  <c r="G34" i="6"/>
  <c r="F35" i="6" s="1"/>
  <c r="D30" i="6"/>
  <c r="B32" i="6" s="1"/>
  <c r="D31" i="6"/>
  <c r="C32" i="6" s="1"/>
  <c r="E32" i="6"/>
  <c r="D33" i="6" s="1"/>
  <c r="F32" i="6"/>
  <c r="D34" i="6" s="1"/>
  <c r="G32" i="6"/>
  <c r="D35" i="6" s="1"/>
</calcChain>
</file>

<file path=xl/sharedStrings.xml><?xml version="1.0" encoding="utf-8"?>
<sst xmlns="http://schemas.openxmlformats.org/spreadsheetml/2006/main" count="3897" uniqueCount="888">
  <si>
    <t>S/N</t>
  </si>
  <si>
    <t>Firm_ID</t>
  </si>
  <si>
    <t>Ticker</t>
  </si>
  <si>
    <t>Company Name</t>
  </si>
  <si>
    <t>Sector</t>
  </si>
  <si>
    <t>Year</t>
  </si>
  <si>
    <t>Voluntary_Adoption_Period</t>
  </si>
  <si>
    <t>IFRS_S1S2_Adopter_Dummy</t>
  </si>
  <si>
    <t>SDQ_Score (0-100)</t>
  </si>
  <si>
    <t>CDQ_Score (0-100)</t>
  </si>
  <si>
    <t>Shares_Outstanding</t>
  </si>
  <si>
    <t>Share_Price_YearEnd (NGN)</t>
  </si>
  <si>
    <t>Market_Value_Equity (NGN'000)</t>
  </si>
  <si>
    <t>Total_Liabilities (NGN'000)</t>
  </si>
  <si>
    <t>Total_Assets (NGN'000)</t>
  </si>
  <si>
    <t>Net_Income (NGN'000)</t>
  </si>
  <si>
    <t>Tobin_Q</t>
  </si>
  <si>
    <t>Firm_Size (LN Total Assets)</t>
  </si>
  <si>
    <t>Leverage</t>
  </si>
  <si>
    <t>ROA</t>
  </si>
  <si>
    <t>Year_Incorporation</t>
  </si>
  <si>
    <t>Firm_Age</t>
  </si>
  <si>
    <t>Big4_Auditor (1/0)</t>
  </si>
  <si>
    <t>Auditor_Name</t>
  </si>
  <si>
    <t>Notes / Data Quality Flags</t>
  </si>
  <si>
    <t>NGX_Compliance_Status (CSI)</t>
  </si>
  <si>
    <t>Tobin_Q_Wins (0.5/99.5 pct)</t>
  </si>
  <si>
    <t>Leverage_Wins (0.5/99.5 pct)</t>
  </si>
  <si>
    <t>ROA_Wins (0.5/99.5 pct)</t>
  </si>
  <si>
    <t>ABBEYBANK</t>
  </si>
  <si>
    <t>Abbey Mortgage Bank Plc</t>
  </si>
  <si>
    <t>FINANCIAL SERVICES</t>
  </si>
  <si>
    <t>PricewaterhouseCoopers</t>
  </si>
  <si>
    <t>Market cap Dec-31-2021 ~6.72B NGN. Share_Price_YearEnd = Dec-31 market cap / Shares_Outstanding, market cap from S&amp;P Global Market Intelligence (via stockanalysis.com). MEDIUM-HIGH confidence (billions-precision source rounding). | IFRS_S1S2_Adopter_Dummy=0, Board_Independence=11.11% (1 Independent NED of 9 total board members, explicitly stated in FY2021 Corporate Governance Report), Ownership_Concentration=39.6% (largest single substantial shareholder, VFD Group Plc, per FY2021 Report of the Directors substantial-interest table). Full SDQ/CDQ disclosure coding completed this pass -- see Coding Sheet.</t>
  </si>
  <si>
    <t>ok</t>
  </si>
  <si>
    <t>Market cap Dec-31-2022 ~17.26B NGN. Share_Price_YearEnd = Dec-31 market cap / Shares_Outstanding, market cap from S&amp;P Global Market Intelligence (via stockanalysis.com). MEDIUM-HIGH confidence (billions-precision source rounding). | SDQ/CDQ disclosure coding, IFRS_S1S2_Adopter_Dummy, Board_Independence and Ownership_Concentration for FY2022 NOT YET CODED: no text-extractable full Annual Report was located this pass (AfricanFinancials' document page links to a Google-Drive-hosted PDF with no extractable text, consistent with the barrier seen elsewhere this session; no AnyFlip or NGX-doclib mirror found for this specific year). Flagged for a follow-up attempt. | Board_Independence=12.5% (1 Independent NED [High Chief Samuel Oni] of 8 total board members as at 31-Dec-2022, per FY2022 Annual Report Corporate Information/Directors list [doclib.ngxgroup.com #38233] -- Mr Madu Hamman [ex-officio MD/CEO] retired 14-Apr-2022 per Corporate Information footnote, excluded from year-end count). Ownership_Concentration=16.54% (VFD Group Plc, largest single substantial (&gt;5%) shareholder as at 31-Dec-2022, per Report of the Directors 'Analysis of Shareholders' / substantial-interest table, same FY2022 AR -- comparative 31-Dec-2021 column in same table shows VFD=39.6%, consistent with the independently-confirmed FY2021 value already in row 2, cross-validating the table's year-column order; Madonna Ashib Comm. Enterprise Ltd fell to ~4% in 2022, below the 5% disclosure threshold that year, likely due to a large share issuance that roughly doubled shares outstanding between FY2021 and FY2022 per the share-capital-history note in the same filing).</t>
  </si>
  <si>
    <t>Market cap Dec-31-2023 ~22.54B NGN. Share_Price_YearEnd = Dec-31 market cap / Shares_Outstanding, market cap from S&amp;P Global Market Intelligence (via stockanalysis.com). MEDIUM-HIGH confidence (billions-precision source rounding). | Board_Independence=11.11% (1 Independent NED [Onyejekwe] of 9 total board members as at 31-Dec-2023 -- Adenike Kuti's independent-NED appointment was effective 1-Jan-2024, per FY2024 AR 'Changes in Directorate' note, so she was not yet on the board at FY2023 year-end; Obinna Ufudo had joined 25-Jul-2023, included). Ownership_Concentration=37.77% (VFD Group Plc, largest shareholder, from FY2024 AR's own 'As at 31 December 2023' comparative substantial-interest table -- same source document, comparative column, not yet a separately-read FY2023 Annual Report). SDQ/CDQ items for FY2023 NOT YET CODED -- require the actual FY2023 Annual Report narrative (governance/risk/metrics text), which this comparative-column data alone does not provide. | Ownership_Concentration figure independently reconfirmed from the FY2023 Annual Report itself (VFD Group Plc 37.77% as at 31-Dec-2023, anyflip.com/ukxce/clsu). SDQ/CDQ full coding and a reliable Board_Independence figure for FY2023 remain OUTSTANDING: this AnyFlip capture's text layer covers the Report of the Directors and financial statements but NOT the Corporate Governance Report / Board Evaluation / Enterprise Risk Management Policy pages (pp.~10-34) that the other years' captures included -- those pages did not return extractable text in this fetch. Board changes noted in the Report of Directors (Nonso Okpala resigned, Obinna Ufudo appointed during the year; Emmanuel Ivi and Olufemi Soewu retired effective 31-Dec-2023) are insufficient alone to reconstruct a reliable Independent-NED count. Genuine access gap, not yet resolved -- flagged for a follow-up attempt via an alternate source or browser-rendered view.</t>
  </si>
  <si>
    <t>Share_Price_YearEnd=3.00 cross-checked against Dec-31-2024 market cap ~30.46B NGN / 10,153,846,154 shares (stockanalysis.com / S&amp;P Global Market Intelligence). HIGH confidence. | Board_Independence=20.0% (2 Independent Non-Executive Directors [Onyejekwe, Kuti] of 10 total board members as at 31-Dec-2024, per Corporate Governance Report p.11: 'the Board was made up of a Non-Executive Chairman, five (5) Non-Executive Directors, two (2) Executive Directors and two (2) Independent Non-Executive Director'). Ownership_Concentration=37.77% (largest single substantial (&gt;5%) shareholder, VFD Group Plc, per Report of the Directors 'Substantial interest in shares' table, p.3 -- convention: % held by the single largest disclosed shareholder, since only 2 shareholders crossed the 5% disclosure threshold this year; combined top-2 would be 51.99% if a top-N convention is preferred instead). | IFRS_S1S2_Adopter_Dummy=0 (methodology confirmed with user): no explicit or implied voluntary IFRS S1/S2 implementation found in the FY2024 Annual Report -- CDQ=0/15 and no mention of IFRS S1/S2/ISSB anywhere in the document, so neither the explicit-statement nor the structural-alignment test is met.</t>
  </si>
  <si>
    <t>UNAUDITED - provisional pending final Annual Report | SDQ/CDQ disclosure coding, IFRS_S1S2_Adopter_Dummy, Board_Independence and Ownership_Concentration for FY2025 NOT YET CODED -- genuine access gap. The NGX doclib filing for this year is a condensed UNAUDITED financial statement with no Corporate Governance Report, Board Evaluation, or Enterprise Risk Management Policy section (confirmed via full-text search, zero matches). The full audited Annual Report is hosted only as a Google Drive embed with no extractable text. AfricanFinancials' own summary page for this filing is explicitly self-labelled as AI-generated ('This summary has been generated by an AI model... may contain errors or omissions') and was deliberately NOT used as a coding source, since scoring a disclosure-quality instrument off another AI's summary rather than the primary document would undermine the reliability of the construct. Flagged for a follow-up attempt via an alternate source or browser-rendered view of the Google Drive document. | Ownership_Concentration=22.50% (VFD Group Plc, largest single substantial (&gt;5%) shareholder as at 31-Dec-2025, per 'Shareholding Structure and Free Float Status' / Substantial Shareholding table, Note 41, in the FY2025 condensed unaudited financial statements [doclib.ngxgroup.com #45885] -- same table's 2024 comparative column shows VFD=37.77%, matching row 5's independently-sourced figure, cross-validating; Madonna Ashib Comm. Enterprise Ltd held steady at 14.23% both years, below VFD). Board_Independence LEFT BLANK -- genuine gap: this FY2025 filing is a condensed unaudited financial statement with no Corporate Governance Report / Board of Directors listing section (full-text search for 'Independent' returns zero matches); the full audited FY2025 Annual Report was not available as a text-extractable primary source this session (only a non-extractable Google Drive embed found). Not inferred from the Directors' Shareholdings list (10 names, no role/independence labels given there).</t>
  </si>
  <si>
    <t>ABCTRANS</t>
  </si>
  <si>
    <t>ABC Transport Plc</t>
  </si>
  <si>
    <t>SERVICES</t>
  </si>
  <si>
    <t>Forvis Mazars</t>
  </si>
  <si>
    <t>Shares rose mid-year via rights issue in 2022, not 2021 - use 1,657,700,000 for FY2021 Market cap Dec-31-2021 ~0.514B NGN. Share_Price_YearEnd = Dec-31 market cap / Shares_Outstanding, market cap from S&amp;P Global Market Intelligence (via stockanalysis.com). MEDIUM-HIGH confidence (billions-precision source rounding). | SDQ/CDQ disclosure coding NOT YET DONE: no text-extractable full Annual Report located this pass (the AfricanFinancials document page for this ticker/period links to a Google-Drive-hosted PDF with no extractable text; no NGX-doclib mirror found for this specific year despite a targeted search). Genuine access gap, flagged for a follow-up attempt via an alternate source or browser-rendered view. | Board_Independence and Ownership_Concentration LEFT BLANK for FY2021 -- genuine gap: source document [doclib.ngxgroup.com #38087, FY2021-2022 consolidated FS] contains 'Report of the Directors' with a Directors' Shareholdings table only (direct/indirect interests of 8 named directors), but no role labels (Chairman/Executive/Non-Executive/Independent) are stated anywhere in the document for FY2021, and no substantial/major-shareholder (5%+) disclosure table is present at all. Full-text search for 'Independent Non-Executive' and 'Substantial' returns no governance-relevant matches. Not inferred.</t>
  </si>
  <si>
    <t>Rights issue during 2022 raised shares from 1.66bn to 2.39bn Market cap Dec-31-2022 ~0.598B NGN. Share_Price_YearEnd = Dec-31 market cap / Shares_Outstanding, market cap from S&amp;P Global Market Intelligence (via stockanalysis.com). MEDIUM-HIGH confidence (billions-precision source rounding). | SDQ/CDQ fully coded this pass, all zero -- thin disclosure, no dedicated governance/ESG sections in this filing. Board_Independence/Ownership_Concentration not disclosed in this document, left blank (optional field). | Board_Independence and Ownership_Concentration LEFT BLANK for FY2022 -- same genuine gap as FY2021: source document [doclib.ngxgroup.com #38087] has no director-role labels (no 'Independent' designation used anywhere for any director in this filing) and no substantial-shareholder disclosure table. Not inferred.</t>
  </si>
  <si>
    <t>Market cap Dec-31-2023 ~1.940B NGN. Share_Price_YearEnd = Dec-31 market cap / Shares_Outstanding, market cap from S&amp;P Global Market Intelligence (via stockanalysis.com). MEDIUM-HIGH confidence (billions-precision source rounding). | SDQ/CDQ disclosure coding NOT YET DONE: no text-extractable full Annual Report located this pass (the AfricanFinancials document page for this ticker/period links to a Google-Drive-hosted PDF with no extractable text; no NGX-doclib mirror found for this specific year despite a targeted search). Genuine access gap, flagged for a follow-up attempt via an alternate source or browser-rendered view. | Board_Independence and Ownership_Concentration LEFT BLANK for FY2023 -- genuine gap: no text-extractable standalone FY2023 Annual Report was located (NGX doclib and AfricanFinancials only hold FY2022 [#38087], FY2024 [#43623], and FY2025 [#46506] filings for ABC Transport Plc; the only FY2023 NGX doclib item found is a 2023 AGM Resolutions/Corporate Actions notice [#39968], which does not contain a Directors list, Corporate Governance Report, or shareholding table). The FY2024 AR [#43623] gives only the current (2024) board and does not restate a FY2023 board list. Flagged for a follow-up attempt if a standalone FY2023 AR becomes accessible.</t>
  </si>
  <si>
    <t>Market cap Dec-31-2024 ~2.940B NGN. Share_Price_YearEnd = Dec-31 market cap / Shares_Outstanding, market cap from S&amp;P Global Market Intelligence (via stockanalysis.com). MEDIUM-HIGH confidence (billions-precision source rounding). | SDQ/CDQ fully coded this pass, all zero. IFRS_S1S2_Adopter_Dummy=0 EXPLICITLY EVIDENCED (identical 'not yet adopted, mandatory 2028' note as FY2025). Board_Independence=12.5% (1 Independent NED of 8 total board members). Ownership_Concentration not disclosed in this document, left blank (optional field). | Ownership_Concentration LEFT BLANK for FY2024 -- confirmed genuine gap: full-text search of the FY2024 Annual Report [doclib.ngxgroup.com #43623] for 'Substantial', 'shareholding', '% of', 'Analysis of' returns no substantial/major-shareholder (5%+) disclosure table anywhere in the filing (Report of the Directors covers Directors, Legal Form, Principal Activities, Directors' Responsibilities only -- no shareholding-analysis section). Board_Independence=12.5% value already in this cell was independently reconfirmed from this same document's Corporate Information page (line 42-49): 8 directors total (Obayomi-Chairman, Jude Nneji-MD, Rex Okoro-ED, Francis Nneji-NED, Kabiru Yusuf-NED, Bamidele Asije-NED, Ifeoma Adeoye-NED, Emmanuel Chilaka Nwanna-Independent NED), 1 explicitly labelled Independent Non-Executive Director = 1/8 = 12.5%.</t>
  </si>
  <si>
    <t>Audited, unmodified opinion 31-Mar-2026 Market cap Dec-31-2025 ~9.810B NGN. Share_Price_YearEnd = Dec-31 market cap / Shares_Outstanding, market cap from S&amp;P Global Market Intelligence (via stockanalysis.com). MEDIUM-HIGH confidence (billions-precision source rounding). | SDQ/CDQ fully coded this pass, all zero. IFRS_S1S2_Adopter_Dummy=0 EXPLICITLY EVIDENCED (filing states IFRS S1 'not yet adopted', mandatory 2028 -- see Coding Sheet note for full quote). Board_Independence=12.5% (1 Independent NED of 8 total board members, per Corporate Information page). Ownership_Concentration not disclosed in this document, left blank (optional field). | Ownership_Concentration LEFT BLANK for FY2025 -- confirmed genuine gap: full-text search of the FY2025 Annual Report [doclib.ngxgroup.com #46506] for 'Substantial'/shareholding-analysis terms returns no substantial/major-shareholder (5%+) disclosure table anywhere in the filing. Board_Independence=12.5% value already in this cell reconfirmed from this same document's Corporate Information page (line 43-50): same 8-director board as FY2024 (Obayomi-Chairman, Jude Nneji-MD, Rex Okoro-ED, Francis Nneji/Kabiru Yusuf/Bamidele Asije/Ifeoma Adeoye-NEDs, Emmanuel Chilaka Nwanna-Independent NED), 1/8 = 12.5%.</t>
  </si>
  <si>
    <t>ACADEMY</t>
  </si>
  <si>
    <t>Academy Press Plc</t>
  </si>
  <si>
    <t>Ernst &amp; Young</t>
  </si>
  <si>
    <t>FYE 31-March not December. Net income unresolved - retained earnings restated inconsistently across filings Share_Price_YearEnd = calendar Dec-31 proxy. Share_Price_YearEnd = Dec-31 market cap / shares outstanding, market cap from S&amp;P Global Market Intelligence (via stockanalysis.com). Net_Income RESOLVED: -205,452 (Group, net LOSS) from Academy Press FY2022 Audited AR comparative column. Source: NGX doclib primary filings. SDQ/CDQ coding NOT YET DONE - genuine access gap: NGX doclib has no full-text FY2021 Annual Report (only a Sept-2021 Q2 interim, condensed, no CG Report/Environmental Policy narrative); AfricanFinancials 2021 AR (ng-academ-2021-ar-00, published 2021-10-11) links only to a Google Drive-hosted PDF with no extractable text. No AnyFlip or other mirror located via search. Documented as access barrier, consistent with methodology used for ABBEYBANK/ABCTRANS gap years. | Board_Independence and Ownership_Concentration LEFT BLANK for FY2021 (FYE 31-Mar-2021) -- genuine access gap reconfirmed this pass: NGX doclib has no full-text FY2021 Annual Report (only a condensed Sept-2021 Q2 interim with no governance/shareholding section); AfricanFinancials' FY2021 AR links only to a non-extractable Google Drive PDF. No alternate text-extractable primary source located.</t>
  </si>
  <si>
    <t>FYE 31-March. Needs re-verification - sourced from unaudited interim, same pattern proved wrong for 2023 Share_Price_YearEnd = calendar Dec-31 proxy. Share_Price_YearEnd = Dec-31 market cap / shares outstanding, market cap from S&amp;P Global Market Intelligence (via stockanalysis.com). SDQ/CDQ coding NOT YET DONE - genuine access gap: AfricanFinancials 2022 AR (ng-academ-2022-ar-00, published 2023-01-17) links only to a Google Drive-hosted PDF with no extractable text; no NGX doclib full AR or AnyFlip mirror located via search. Documented as access barrier, consistent with methodology used for ABBEYBANK/ABCTRANS gap years. | Board_Independence and Ownership_Concentration LEFT BLANK for FY2022 (FYE 31-Mar-2022) -- genuine access gap reconfirmed this pass: AfricanFinancials' FY2022 AR links only to a non-extractable Google Drive PDF; no NGX-doclib full AR or other text-extractable mirror located for this exact FYE.</t>
  </si>
  <si>
    <t>FYE 31-March. AUDITED (corrected from earlier unaudited figures). Profit attrib. to parent: -23,977 (loss) Share_Price_YearEnd = calendar Dec-31 proxy. Share_Price_YearEnd = Dec-31 market cap / shares outstanding, market cap from S&amp;P Global Market Intelligence (via stockanalysis.com). | Ownership_Concentration=13.9% (Alidan Investment Limited, largest disclosed shareholder as at 31-Mar-2023, from the FY2024 filing's own comparative column). SDQ/CDQ full coding NOT YET DONE for FY2023: the only document located for this exact FYE (38432_ACADEMY_PRESS_PLC..._2023...) is a condensed 'Fourth Quarter' financial statement with no Corporate Governance Report / Environmental Policy / Board Committee section (confirmed board composition matches FY2024's: 8 directors, no director labelled 'Independent Non-Executive' -- consistent finding, not yet conclusive for governance/risk/metrics scoring). Genuine access gap for the disclosure-coding items specifically; flagged for a follow-up attempt via the actual full Annual Report for this FYE. | Board_Independence LEFT BLANK for FY2023 (FYE 31-Mar-2023) -- confirmed via full-text review of the source filing [doclib.ngxgroup.com #38432, condensed Q4/year-end FS]: board comprises 8 directors (Dabiri-Chairman, Ladipo-MD, Pritchard, Omo-Eboh, Olaoye, Akingbe, Jimoh - Non-executive Directors, Aderibigbe-Executive Director); no director is labelled 'Independent' anywhere in the document (zero matches for 'Independent' outside the Auditor's Report). Not inferred as 0% -- genuine disclosure gap, methodology requires leaving blank when the filing simply does not address independence. Ownership_Concentration=13.9% figure already present (Alidan Investment Limited) reconfirmed as sourced from the FY2024 filing's comparative 31-Mar-2023 column.</t>
  </si>
  <si>
    <t>FYE 31-March. AUDITED, EY unmodified opinion 30-Jun-2024. Profit attrib. to parent: 71,992 Share_Price_YearEnd = calendar Dec-31 proxy. Share_Price_YearEnd = Dec-31 market cap / shares outstanding, market cap from S&amp;P Global Market Intelligence (via stockanalysis.com). | SDQ/CDQ fully coded this pass, all zero -- an Environmental Policy section exists but is pure boilerplate with no specifics. IFRS_S1S2_Adopter_Dummy=0. Ownership_Concentration=24.64% (Alidan Investment Limited). Board_Independence left blank -- no director is labelled 'Independent Non-Executive' anywhere in this filing, genuinely ambiguous rather than confirmed 0%. | Board_Independence LEFT BLANK for FY2024 (FYE 31-Mar-2024) reconfirmed -- no director labelled 'Independent Non-Executive' in the FY2024 filing; same 8-director Non-executive/Executive-only labelling convention as FY2023 and FY2026(comparative FY2025). Ownership_Concentration=24.64% (Alidan Investment Limited) reconfirmed and cross-validated: the FY2026 Annual Report's 'Summary of the shareholding position' table [doclib.ngxgroup.com #47375] shows Alidan Investment Limited at 24.64% in BOTH its 31-Mar-2026 and 31-Mar-2025 comparative columns, and this 24.64% figure is identical to the value already recorded here for FY2024 -- Alidan's stake appears to have been stable at 24.64% across FY2024-FY2026 (share count rose from 186,244,187 to 223,493,024 between 2025 and 2026, proportionate to a Group-wide bonus/split that kept % unchanged).</t>
  </si>
  <si>
    <t>ACCESSCORP</t>
  </si>
  <si>
    <t>Access Holdings Plc</t>
  </si>
  <si>
    <t>KPMG Professional Services</t>
  </si>
  <si>
    <t>Predecessor entity was Access Bank Plc (legally listed entity in 2021, before March-2022 Scheme of Arrangement). Figures in NGN million in source, converted x1000 to NGN'000 for consistency.  Share_Price_YearEnd = Dec-31 market cap / shares outstanding, market cap from S&amp;P Global Market Intelligence (via stockanalysis.com). | Board_Independence=23.53% (4 Independent Non-Executive Directors [Adeniyi Adekoya, Iboroma Akpana, Ifeyinwa Osime, Hassan Usman] of 17 total board members, per predecessor entity Access Bank Plc's FY2021 Audited Financial Statements Corporate Information page and Corporate Governance Report: 'As at December 31, 2021, the Board was made up of 17 members comprising 9 Non-Executive and 8 Executive Directors' [doclib.ngxgroup.com/Financial_NewsDocs/35310]). Ownership_Concentration=11.50% (Stanbic Nominees Nigeria Limited, only shareholder disclosed above 5% as at 31-Dec-2021, per 'Substantial interest in shares' table, same document -- note Stanbic Nominees holds as nominee/custodian for various underlying investors, not a single beneficial owner, but is reported as the largest disclosed line-item per the filing's own disclosure convention). Access Holdings Plc HoldCo did not yet exist in 2021 (created via March-2022 Scheme of Arrangement) -- Access Bank Plc used as legal predecessor, consistent with the Total_Assets/Liabilities sourcing convention already used for this row.</t>
  </si>
  <si>
    <t>Converted from NGN million source to NGN'000.  Share_Price_YearEnd = Dec-31 market cap / shares outstanding, market cap from S&amp;P Global Market Intelligence (via stockanalysis.com). | Board_Independence=30.0% (3 Independent Non-Executive Directors [Bababode Osunkoya-Chairman, Abubakar Jimoh, Fatimah Bello-Ismail] of 10 total board members, per explicit statement in FY2022 Annual Report: 'As of December 31, 2022, the Board was made up of 10 members comprising 7 Non-Executives three of which are Independent Non-Executive Directors and 3 Executive Directors' [doclib.ngxgroup.com #38273]). Ownership_Concentration=11.01% (Stanbic Nominees Nigeria Limited, only shareholder above 5% as at 31-Dec-2022, per 'Substantial interest in shares' table, same document).</t>
  </si>
  <si>
    <t>Converted from NGN million source to NGN'000.  Share_Price_YearEnd = Dec-31 market cap / shares outstanding, market cap from S&amp;P Global Market Intelligence (via stockanalysis.com). | Board_Independence=22.22% (2 Independent Non-Executive Directors [Abubakar Jimoh-Chairman(effective 19-Dec-2023), Fatimah Bello-Ismail] of 9 total board members as at 31-Dec-2023, per explicit statement in FY2023 Annual Report: 'As of December 31, 2023, the Board was made up of 9 members comprising 6 Non-Executive and 3 Executive Directors' [doclib.ngxgroup.com #40621] -- the 10th listed director, Bababode Osunkoya (Chairman/Independent NED), passed away 21-Nov-2023 and is excluded from the year-end count per the document's own 9-member total). Ownership_Concentration=10.46% (Stanbic Nominees Nigeria Limited, largest of two substantial (&gt;5%) shareholders as at 31-Dec-2023, per 'Substantial interest in shares' table, same document; Coronation Trustees Tengen Mauritius newly crossed the threshold in 2023 at 7.11%, below Stanbic).</t>
  </si>
  <si>
    <t>Rights issue July 2024 raised shares from 35.5bn to 53.3bn. Converted from NGN million source to NGN'000.  Share_Price_YearEnd = Dec-31 market cap / shares outstanding, market cap from S&amp;P Global Market Intelligence (via stockanalysis.com). | Board_Independence=22.22% (2 Independent Non-Executive Directors [Abubakar Jimoh, Fatimah Bello-Ismail] of 9 total board members, per explicit statement in FY2024 Annual Report: 'As of December 31, 2024, the Board was made up of 9 members comprising 7 Non-Executive and 2 Executive Directors' [doclib.ngxgroup.com #43800]). Ownership_Concentration=7.41% (Coronation Trustees Tengen Mauritius, largest of two substantial (&gt;5%) shareholders as at 31-Dec-2024, per 'Substantial interest in shares' table, same document -- Stanbic Nominees Nigeria Limited fell to 6.17% that year, both still above 5% but Coronation now largest, following the July-2024 1-for-2 rights issue that changed the share register).</t>
  </si>
  <si>
    <t>Total Assets/Liabilities DERIVED from TradingView Q1'26 pct-change disclosure, not a primary statement line - lower confidence. Equity/Profit/Shares confirmed directly.  Share_Price_YearEnd = Dec-31 market cap / shares outstanding, market cap from S&amp;P Global Market Intelligence (via stockanalysis.com). | Board_Independence=33.33% (3 Independent Non-Executive Directors [Abubakar Jimoh, Fatimah Bello-Ismail, Ibironke Adeyemi (CBN-approved 15-Apr-2025)] of 9 total board members as at 31-Dec-2025, per explicit statement in FY2025 Annual Report: 'As of December 31, 2025, the Board was made up of 9 members comprising 7 Non-Executive and 2 Executive Directors' [theaccesscorporation.com/.../Access-Holdings-PLC-FY-2025.pdf] -- Roosevelt Ogbonna and Oluseyi Kumapayi, both plain NEDs, resigned during the year (Mar/Aug 2025) and are excluded from the year-end count). Ownership_Concentration=7.41% (Coronation Trustees Limited, sole substantial (&gt;5%) shareholder disclosed as at 31-Dec-2025, per 'Substantial interest in shares' table, same document -- unchanged in Naira-share terms from the FY2024 Coronation Trustees Tengen Mauritius holding; Stanbic Nominees no longer appears, implying it fell below the 5% threshold during 2025). | EAS FORWARD-FILLED 17-Aug-2026 (user-directed methodology correction): IFRS_S1S2_Adopter_Dummy changed from 0 to 1. Firm first made an explicit voluntary-adoption statement in FY2023; per corrected methodology, firms are not assumed to un-adopt a standard they've voluntarily aligned with, so all subsequent years are coded 1 even where a later report is quiet on the topic.</t>
  </si>
  <si>
    <t>AFRINSURE</t>
  </si>
  <si>
    <t>African Alliance Insurance Plc</t>
  </si>
  <si>
    <t>Deloitte &amp; Touche</t>
  </si>
  <si>
    <t>GOING CONCERN FLAG: negative equity -5,804,277. Solvency deficit N12.3bn. Official NGX X-Compliance (20-Feb-2026): MRF - missing audited FS for 2023-2024 ONLY, meaning FY2022 may exist and needs re-checking. | Board_Independence=16.67% (1 Independent Non-Executive Director [Dr. Adiele Ekechukwu] of 6 total board members as at 31-Dec-2021, per FY2021 Corporate Governance Report Board Composition list [doclib.ngxgroup.com #38484]: Dr. Anthony Okocha (Chairman) retired 20-Sep-2021 and is excluded from year-end count, leaving Ogwemoh-NED, Bulama-NED, Ekechukwu-Independent NED, Atasie-NED, Ojemudia-MD/CEO, Adekola-ED = 6; the position of Chairman was vacant at 31-Dec-2021, not filled until Ogwemoh's Oct-2022 appointment). Ownership_Concentration=57.40% (Conau Trade and Investment Limited, largest of two substantial (&gt;5%) shareholders as at 31-Dec-2021, per 'Shareholding Structure/Free Float Status' table, same document; Universal Insurance Plc held 5.83%).</t>
  </si>
  <si>
    <t>MRF</t>
  </si>
  <si>
    <t>RESOLVED - the FY2022 audited FS DOES exist (filed Nov-2023, later than normal) - NGX doclib, HIGH confidence. Group basis: Total_Assets=53,473,361, Total_Liabilities=48,396,886, Net_Income=-2,901,109 (a LOSS, despite Total_Equity improving from -5,804,277 in FY2021 to +5,076,475 in FY2022, likely a large fair-value/OCI or capital-raise adjustment). Auditor: Ukwuegbu, Ogbeleje &amp; Co. (non-Big4), unqualified opinion. Source: NGX doclib primary filings. | Board_Independence=14.29% (1 Independent Non-Executive Director [Dr. Adiele Ekechukwu] of 7 total board members, per FY2022 Corporate Governance Report Board Composition list [doclib.ngxgroup.com #39898]: Sylva Ogwemoh(SAN)-Chairman [appointed Oct-2022], Bulama-NED, Ekechukwu-Independent NED, Atasie-NED, Nwuba-NED, Ojemudia-MD/CEO, Adekola-ED = 7). Ownership_Concentration=57.66% (Conau Trade and Investment Limited, largest of two substantial (&gt;5%) shareholders as at 31-Dec-2022, per 'Shareholding Structure/Free Float Status' table, same document; Universal Insurance Plc held 5.83%).</t>
  </si>
  <si>
    <t>AFRIPRUD</t>
  </si>
  <si>
    <t>Africa Prudential Plc</t>
  </si>
  <si>
    <t>Market cap Dec-31-2021 ~12.70B NGN. Share_Price_YearEnd = Dec-31 market cap / Shares_Outstanding, market cap from S&amp;P Global Market Intelligence (via stockanalysis.com). MEDIUM-HIGH confidence (billions-precision source rounding). | Board_Independence and Ownership_Concentration LEFT BLANK for FY2021 -- genuine gap: AfricanFinancials' FY2021 AR page links only to a non-extractable Google Drive PDF; the FY2022 Annual Report [doclib.ngxgroup.com Africa_Prudential_Plc_-_2022_AFS.pdf] contains only a single-year (FY2022) board-composition statement and substantial-shareholding table, no FY2021 comparative for either. No alternate text-extractable FY2021 primary source located.</t>
  </si>
  <si>
    <t>Market cap Dec-31-2022 ~12.00B NGN. Share_Price_YearEnd = Dec-31 market cap / Shares_Outstanding, market cap from S&amp;P Global Market Intelligence (via stockanalysis.com). MEDIUM-HIGH confidence (billions-precision source rounding). | Board_Independence=25.0% (2 Independent Non-Executive Directors [Fumbi Chima, Zubaida Mahey Rasheed] of 8 total board members, per explicit statement in FY2022 Annual Report Corporate Governance Report [doclib.ngxgroup.com Africa_Prudential_Plc_-_2022_AFS.pdf]: 'As of December 2022, the Board comprised of a Non-Executive Chairman, an Executive Managing Director/CEO and six other Non-Executive Directors, two of whom are Independent Non-Executive Directors' = 1+1+6=8 total). Ownership_Concentration=25.95% (International Equity Capital Limited, 519,000,000 of 2,000,000,000 issued shares, the only shareholder crossing the 5% threshold per the Report of the Directors' significant-shareholding disclosure, same document).</t>
  </si>
  <si>
    <t>Market cap Dec-31-2023 ~14.80B NGN. Share_Price_YearEnd = Dec-31 market cap / Shares_Outstanding, market cap from S&amp;P Global Market Intelligence (via stockanalysis.com). MEDIUM-HIGH confidence (billions-precision source rounding). | Board_Independence=25.0% (2 Independent Non-Executive Directors [Fumbi Chima, Zubaida Mahey Rasheed] of 8 total board members, per explicit statement in FY2023 Annual Report [doclib.ngxgroup.com #40447]: 'As of December 2023, the Board comprised of a Non-Executive Chairman, an Executive Managing Director/CEO and six other Non-Executive Directors, two of whom are Independent Non-Executive Directors'). Ownership_Concentration=25.95% (International Equity Capital Limited, 519,000,000 of 2,000,000,000 issued shares, unchanged from FY2022, same document's Report of the Directors).</t>
  </si>
  <si>
    <t>Market cap Dec-31-2024 ~41.10B NGN. Share_Price_YearEnd = Dec-31 market cap / Shares_Outstanding, market cap from S&amp;P Global Market Intelligence (via stockanalysis.com). MEDIUM-HIGH confidence (billions-precision source rounding). | Board_Independence=33.33% (2 Independent Non-Executive Directors [Zubaida Mahey Rasheed, plus one of Christabel Onyejekwe/Oluwaseyi Abe appointed to fill Fumbi Chima's 12-Mar-2024 resignation] of 6 total board members, per explicit statement in FY2024 Annual Report [doclib.ngxgroup.com #43304]: 'As of December 31, 2024, the Board comprised a Non-Executive Chairman, an Executive Managing Director/Chief Operating Officer, four Non-Executive Directors two of Independent Non-Executive Directors' = 1+1+4=6 total). Ownership_Concentration=25.95% (International Equity Capital Limited, 519,000,000 of 2,000,000,000 issued shares, unchanged from FY2022/FY2023, same document's Report of the Directors).</t>
  </si>
  <si>
    <t>1-for-1 bonus share issue in 2025 doubled shares from 2bn to 4bn mid-year. Market cap Dec-31-2025 ~59.20B NGN. Share_Price_YearEnd = Dec-31 market cap / Shares_Outstanding, market cap from S&amp;P Global Market Intelligence (via stockanalysis.com). MEDIUM-HIGH confidence (billions-precision source rounding). | Board_Independence=33.33% (2 Independent Non-Executive Directors [named in Corporate Information/Committee membership, e.g. Zubaida Mahey Rasheed and Oluwaseyi Abe] of 6 total board members, per FY2025 Annual Report [doclib.ngxgroup.com AFRICA_PRUDENTIAL_PLC_-_2025_AUDITED_FINANCIAL_STATEMENTS.pdf]: 'As of 31 December 2025, the Board comprised of a Non-Executive Chairman, an Executive Managing Director/CEO, and four other Non-Executive Directors, two of whom are Independent Non-Executive Directors' = 1+1+4=6 total). Ownership_Concentration=25.95% (International Equity Capital Limited, 1,038,000,000 of 4,000,000,000 issued shares after a 1-for-1 bonus issue doubled shares outstanding in 2025 -- same 25.95% as prior years, confirming the bonus issue did not change relative ownership -- per Report of the Directors, same document, which also shows the 2024 comparative of 519,000,000/2,000,000,000).</t>
  </si>
  <si>
    <t>AFROMEDIA</t>
  </si>
  <si>
    <t>Afromedia Plc</t>
  </si>
  <si>
    <t>SIAO Partners</t>
  </si>
  <si>
    <t>AUDITED. Going concern: negative equity -3,218,415. Flat price both years per stockanalysis.com - consistent with a thinly-traded micro-cap, not a data error. Share_Price_YearEnd = Dec-31 market cap / shares outstanding, market cap from S&amp;P Global Market Intelligence (via stockanalysis.com). | Board_Independence=40.0% (2 Independent Non-Executive Directors [Lateef Akande Bakare-Chairman, Kabir Usman] of 5 total board members, per FY2021 Annual Report Directors list [doclib.ngxgroup.com #35538]: Bakare-Chairman/Ind NED, Olopade-GMD/CEO, Nwabunie-Group Deputy MD, Usman-Ind NED, Shokunbi-NED = 5). Ownership_Concentration=14.16% (Otunba Akinlola Irewunmi Olopade, largest of five shareholders disclosed above 5% as at 31-Dec-2021 per 'Analysis of shareholding' note, same document -- other substantial holders: Estate of Rev. Iretunde Olopade 10.66%, Estate of Chief J.O. Nwabunie 12.25%, Nwabunie(director) 9.79%, Partnership Inv. Co/Ecobank Nigeria Ltd 8.57%; figures identical in both 2020 and 2021 columns, static holding).</t>
  </si>
  <si>
    <t>UNAUDITED (Management Report). Official X-Compliance confirms MRF: non-rendition of audited FS 2022-2024. Flat price both years per stockanalysis.com - consistent with a thinly-traded micro-cap, not a data error. Share_Price_YearEnd = Dec-31 market cap / shares outstanding, market cap from S&amp;P Global Market Intelligence (via stockanalysis.com). | Board_Independence and Ownership_Concentration LEFT BLANK for FY2022 -- genuine gap: the only FY2022 filing located [doclib.ngxgroup.com #39227] is an UNAUDITED Management Report (consistent with the official NGX X-Compliance MRF finding for 2022-2024 audited FS) with no Corporate Governance Report, Directors list, or shareholding-analysis section -- full-text search for 'Independent Non-Executive' and 'Analysis of shareholding' returns zero matches.</t>
  </si>
  <si>
    <t>AIICO</t>
  </si>
  <si>
    <t>AIICO Insurance Plc</t>
  </si>
  <si>
    <t>AUDITED. Group basis. Consistency check passed. | Ownership_Concentration=30.53% (LeapFrog III Nigeria Insurance Holdings Ltd, largest of four substantial (&gt;5%) shareholders as at 31-Dec-2021, per the FY2022 Annual Report's 'Substantial interest in shares' table, 31-Dec-2021 comparative column [doclib.ngxgroup.com AIICO_INSURANCE_PLC_-_2022_AFS.pdf]: LeapFrog III 30.53%, DF Holdings Ltd 19.92%, AIICO Bahamas Ltd 11.28%, AIICO Investment Inc 8.54%). Board_Independence LEFT BLANK for FY2021 -- genuine gap: no standalone FY2021 Annual Report with a dated Corporate Information/Directors list was located (AfricanFinancials/NGX doclib searches did not surface one); the FY2022 AR's Corporate Information page reflects the FY2022 board only, and while one departing director (Olusola Ajayi, resigned 7-Jan-2022) confirms he was on the board through FYE 2021, the independence status and full membership of the remaining ~8 directors as at the specific date 31-Dec-2021 could not be confirmed without extrapolating -- not inferred, per methodology.</t>
  </si>
  <si>
    <t>AUDITED. Group basis. Consistency check passed. | Board_Independence=12.5% (1 Independent Director [Samaila Zubairu, labelled 'Director/Independent' in Corporate Information] of 8 total board members as at 31-Dec-2022, per FY2022 Annual Report [doclib.ngxgroup.com AIICO_INSURANCE_PLC_-_2022_AFS.pdf]: Sainani-Chairman, Fajemirokun-MD/CEO, Kadri-ED, Zubairu-Independent, Adebise, Edun, Akinyanmi, Snyders = 8; Olusola Ajayi (ED) resigned 7-Jan-2022, excluded from year-end count). Ownership_Concentration=30.53% (LeapFrog III Nigeria Insurance Holdings Ltd, largest of four substantial (&gt;5%) shareholders as at 31-Dec-2022, per 'Substantial interest in shares' table, same document: LeapFrog III 30.53%, DF Holdings Ltd 28.46%, AIICO Bahamas Ltd 11.98%).</t>
  </si>
  <si>
    <t>IFRS 17 transition year - filing delayed by NAICOM directive. Balance sheet confirmed (IFRS17-restated, from Q2-2024 comparative); Net Income not yet found. IFRS 17 adoption FY2023 onward affects comparability of insurance liabilities pre/post this year. Net_Income RESOLVED: 12,135,796 (Group, audited) from AIICO's FY2024 Audited AR comparative FY2023 column - supersedes an earlier unaudited estimate of 8,601,993 (IFRS17 final-audit adjustments). Source: NGX doclib primary filings. | Ownership_Concentration=41.26% (AIICO Bahamas Limited, largest of two substantial (&gt;5%) shareholders as at 31-Dec-2023, per the FY2024 Annual Report's 'Substantial interest in shares' table, 31-Dec-2023 comparative column [doclib.ngxgroup.com #43586]: AIICO Bahamas Ltd 41.26%, LeapFrog III 30.53% -- note this represents a large increase in AIICO Bahamas's stake vs. its 11.98% in FY2022, implying a substantial ownership restructuring within the group during 2023, consistent with the FY2023 IFRS-17-transition/delayed-filing disruption already flagged for this firm-year elsewhere in the dataset). Board_Independence LEFT BLANK for FY2023 -- genuine gap: no standalone FY2023 Annual Report was located (audited FS delayed by the IFRS 17 transition per NAICOM directive, as already noted); the H1-2024 interim filing [doclib.ngxgroup.com #41907] reflects board composition as at 30-Jun-2024, not 31-Dec-2023, so was not used to avoid extrapolating backward across a period with director changes.</t>
  </si>
  <si>
    <t>Source document itself marked UNAUDITED despite being year-end filing - treat as provisional. | Board_Independence=10.0% (1 Independent Director [Samaila Zubairu, the only director explicitly labelled '(Independent Director)' in the Corporate Information page and the only one described as 'Independent Director/Chairman' of the Statutory Audit Committee] of 10 total board members as at 31-Dec-2024, per FY2024 Annual Report [doclib.ngxgroup.com #43586]: 'The Board of Directors is currently made up of ten (10) directors...' -- Rotimi Okpaise resigned 29-Jul-2024, excluded from year-end count; Kemi Adewole appointed 24-Jun-2024, included but NOT labelled independent in this document, despite being marked independent in an earlier H1-2024 interim filing -- the year-end Annual Report is treated as authoritative over the interim for this discrepancy). Ownership_Concentration=41.26% (AIICO Bahamas Limited, largest of two substantial (&gt;5%) shareholders as at 31-Dec-2024, per 'Substantial interest in shares' table, same document; LeapFrog III held 30.53%).</t>
  </si>
  <si>
    <t>Source document itself marked UNAUDITED despite being year-end filing - treat as provisional. | Board_Independence=20.0% (2 Independent Directors of 10 total board members as at 31-Dec-2025, per explicit narrative statement in FY2025 Annual Report [doclib.ngxgroup.com #46520]: 'The Board of Directors is currently made up of ten (10) directors comprising the Managing Director one (1), Executive Directors (2) and five (5) Non-executive directors, including two (2) Independent Directors' -- NOTE: the document's tabular Corporate Information listing shows a likely PDF-extraction artifact where the '(Independent Director)' parenthetical appears duplicated against all 6 Non-Executive Directors' names; the clean narrative sentence, consistent with the two-independent pattern already seen in the H1-2024 interim filing, was used instead as the more reliable reading). Ownership_Concentration=41.26% (AIICO Bahamas Limited, largest of two substantial (&gt;5%) shareholders as at 31-Dec-2025, per 'Substantial interest in shares' table, same document, unchanged from FY2024; LeapFrog III held 30.53%).</t>
  </si>
  <si>
    <t>AIRTELAFRI</t>
  </si>
  <si>
    <t>Airtel Africa Plc</t>
  </si>
  <si>
    <t>ICT</t>
  </si>
  <si>
    <t>Deloitte LLP</t>
  </si>
  <si>
    <t>UK-incorporated (primary listing LSE), NGX is secondary listing. USD figures converted to NGN using ~400 NGN/USD (LOW CONFIDENCE approx rate, not date-specific). USD basis: TA=$9,990m, TL=$6,640m, NI=$451m. FYE 31-March. Share price and exact shares outstanding for this year not confirmed. NGX-quoted NGN price (not a USD conversion) - Airtel Africa trades at a high nominal Naira price as a large-cap cross-listed stock. Share_Price_YearEnd = Dec-31 market cap / shares outstanding, market cap from S&amp;P Global Market Intelligence (via stockanalysis.com). | Board_Independence and Ownership_Concentration LEFT BLANK for FY2021 (FYE 31-Mar-2021) -- genuine access gap: Airtel Africa plc's Annual Report and Accounts run 200+ pages; every full-PDF fetch attempt this session was truncated by the fetch tool before reaching the Governance report / Directors' report chapters (captured content stopped within the Strategic Report, ~page 40-80). No standalone, text-extractable Corporate Governance Report or Notice of AGM specific to the FY2021 board/shareholding was located as an alternative smaller primary source (only 2022-2025 chapter-level documents were found -- see notes on rows 43-46).</t>
  </si>
  <si>
    <t>Converted using confirmed Dec-2022 rate 448.08 NGN/USD (MEDIUM-HIGH CONFIDENCE, but Dec not Mar rate). USD basis: TA=$10,364m, TL=$6,715m, NI=$755m. FYE 31-March. Share price not found for this year. NGX-quoted NGN price (not a USD conversion) - Airtel Africa trades at a high nominal Naira price as a large-cap cross-listed stock. Share_Price_YearEnd = Dec-31 market cap / shares outstanding, market cap from S&amp;P Global Market Intelligence (via stockanalysis.com). | Board_Independence=53.85% (7 of 13 directors explicitly marked 'Independent: yes' -- Andrew Green, Awuneba Ajumogobia, Douglas Baillie, John Danilovich, Tsega Gebreyes, Annika Poutiainen, Ravi Rajagopal -- vs. 6 marked 'Independent: no': Sunil Bharti Mittal, Olusegun Ogunsanya, Jaideep Paul, Kelly Bayer Rosmarin, Akhil Gupta, Shravin Bharti Mittal), per the Notice of Annual General Meeting 2022 (AGM held 28-Jun-2022, covering the board as at FYE 31-Mar-2022) [airtel.africa/assets/pdf/annual-report/Notice-of-Annual-General-Meeting-2022.pdf] -- each director's biography page states 'Independent: yes/no' explicitly, and this is independently corroborated by the resolutions section: 'Resolutions 8 to 14... relate to the election or re-election of Andrew Green, Awuneba Ajumogobia, Douglas Baillie, John Danilovich, Tsega Gebreyes, Annika Poutiainen and Ravi Rajagopal who are the directors that the Board has determined are independent directors for the purposes of the UK Corporate Governance Code' -- both sources agree on the same 7 names. Ownership_Concentration LEFT BLANK -- genuine gap: the Notice of AGM references Bharti Airtel Limited and Airtel Africa Mauritius Limited as 'controlling shareholders... exercis[ing] or control[ling] more than 30% of the voting rights' but does not state an exact percentage; the full Annual Report's 'Major shareholders' table (which does give exact percentages, as later confirmed for FY2025) was not text-extractable this session for this year.</t>
  </si>
  <si>
    <t>Converted using ~461 NGN/USD, the pre-devaluation March-2023 peg (MEDIUM CONFIDENCE - historical approximation, NOT the 896.64 Dec-2023 post-devaluation rate, which would be a material error given the June-2023 FX unification). USD basis: TA=$11,166m, TL=$7,358m, NI=~$700m (EPS-derived approximation, not primary-sourced). FYE 31-March. NGX-quoted NGN price (not a USD conversion) - Airtel Africa trades at a high nominal Naira price as a large-cap cross-listed stock. Share_Price_YearEnd = Dec-31 market cap / shares outstanding, market cap from S&amp;P Global Market Intelligence (via stockanalysis.com). | Board_Independence and Ownership_Concentration LEFT BLANK for FY2023 (FYE 31-Mar-2023) -- genuine access gap: the full Annual Report and Accounts 2022/23 PDF [cdn-webportal.airtelstream.net/.../Airtel_Africa_Annual_Report_FY_2022_2023.pdf] was fetched but truncated before reaching the Governance report / Directors' report chapters (same large-PDF limitation as FY2021); no standalone Notice of AGM 2023 or Governance-Report-2023 chapter PDF was located as an alternative this session.</t>
  </si>
  <si>
    <t>Converted using ~1,350 NGN/USD, a rough midpoint estimate for March-2024 (LOW-MEDIUM CONFIDENCE - wide uncertainty range, exact March rate not found; NOT the 1,546.43 Dec-2024 rate). USD basis: TA=$9,861m, TL=$7,561m, NI=-$89m (loss). Shares reduced via buyback (68,834,800 cancelled). FYE 31-March. NGX-quoted NGN price (not a USD conversion) - Airtel Africa trades at a high nominal Naira price as a large-cap cross-listed stock. Share_Price_YearEnd = Dec-31 market cap / shares outstanding, market cap from S&amp;P Global Market Intelligence (via stockanalysis.com). | Board_Independence=54.55% (6 of 11 directors explicitly marked 'Independent: yes' -- Andrew Green, Awuneba Ajumogobia, John Danilovich, Tsega Gebreyes, Ravi Rajagopal, Annika Poutiainen -- vs. 5 marked 'Independent: no': Sunil Bharti Mittal, Olusegun Ogunsanya, Jaideep Paul, Akhil Gupta, Shravin Bharti Mittal), per the standalone 'Governance report' chapter of the FY2024 Annual Report [cdn-webportal.airtelstream.net/website/investor/main/pdf/annual-report/Governance-Report-2024.pdf], 'Our Board of directors' section, each director's page explicitly stating 'Independent: yes/no'. Ownership_Concentration LEFT BLANK -- genuine gap: this Governance-Report-2024 chapter (a split-out PDF covering only the Governance section) does not include the 'Major shareholders' table, which sits in the separate Directors' report chapter; that chapter's FY2024-specific PDF/URL was not located this session (only the FY2025 equivalent, used for row 46, and the full combined AR PDF, which truncates before reaching it, were found).</t>
  </si>
  <si>
    <t>Converted using Dec-2025 rate 1,448.06 NGN/USD (MEDIUM-HIGH CONFIDENCE, reasonably close to March-2025 given relative stability by then). USD basis: TA=$12,023m, TL=$9,248m, NI=$328m. Shares further reduced via second buyback tranche. FYE 31-March. Share price only have non-FYE spot quotes (N715 Sep-2021, N2,270-3,323 in 2026) - historical FYE prices for 2022-2024 not found (stockanalysis.com history page only exposes rolling 6-month window via fetch). NGX-quoted NGN price (not a USD conversion) - Airtel Africa trades at a high nominal Naira price as a large-cap cross-listed stock. Share_Price_YearEnd = Dec-31 market cap / shares outstanding, market cap from S&amp;P Global Market Intelligence (via stockanalysis.com). | Board_Independence=50.0% (6 of 12 directors explicitly marked 'Independent: yes' -- Andrew Green, Awuneba Ajumogobia, Paul Arkwright, Tsega Gebreyes, Annika Poutiainen, Ravi Rajagopal -- vs. 6 marked 'Independent: no': Sunil Bharti Mittal, Sunil Taldar, Jaideep Paul, Akhil Gupta, Shravin Bharti Mittal, Gopal Vittal), per the 'Our Board of directors' web chapter of the FY2025 Annual Report and Accounts [cdn-webportal.airtelstream.net/website/investor/main/AR2025/reports/p033-our-board-of-directors-13845.html], each director's profile explicitly stating 'Independent: yes/no'. Ownership_Concentration=62.35% (Airtel Africa Mauritius Limited, largest of three notified major shareholders as at 31-Mar-2025, per the 'Major shareholders' table in the FY2025 Directors' report chapter [same site, p054-directors-report-13853.html]: 'Airtel Africa Mauritius Limited 2,288,691,385 voting rights / 62.35%; Indian Continent Investment Limited 595,204,251 / 16.22%; Qatar Holding LLC 134,726,964 / 3.67%', disclosed under FCA Disclosure Guidance and Transparency Rule 5).</t>
  </si>
  <si>
    <t>ARADEL</t>
  </si>
  <si>
    <t>Aradel Holdings Plc</t>
  </si>
  <si>
    <t>OIL AND GAS</t>
  </si>
  <si>
    <t>Deloitte &amp; Touche (FY2025); KPMG from FY2026</t>
  </si>
  <si>
    <t>AUDITED. Group basis. Consistency check passed exactly. NGX-listed only from 14-Oct-2024 - share price is the LISTING-DAY price, not a true 31-Dec year-end close (LOW-MEDIUM CONFIDENCE on price only; balance sheet figures are high confidence). | Aradel Holdings Plc 2024 Annual Report &amp; Accounts (NGX doclib #43494, 'Sustaining Momentum' AR, filed Mar-2025), first Annual Report as NGX-listed entity (listed by introduction 14-Oct-2024). Corporate Governance Report + Report of the Directors, full text extracted and read. Board_Independence=11.11% (1/9): as at 31-Dec-2024 -- Ladi Jadesimi(Chairman), Adegbite Falade(CEO/MD), Adegbola Adesina(CFO/FD), Ede Osayande(NED), Osten Olorunsola(NED), Thierry Georger(NED, resigned effective 31/12/2024 -- included as serving the full FY2024 year per the filing's own point-in-time footnote), Afolabi Oladele(NED), Gbenga Adetoro(NED), Patricia Simon-Hart(Independent Non-Executive Director) = 9 total, 1 Independent. (Kerin Jayne Gunter excluded -- appointed 2/1/2025, after FY2024 year-end.) Ownership_Concentration=8.31% (Petrolin Ocean Limited): SOURCE-REVISED -- this AR's own 'Shareholding Analysis' section only provides a range-analysis table (no named holders); the NGX Listing Memorandum (doclib, filed ~Oct-2024) shows a differently-dated 'Shareholding Structure' table naming Capital Alliance Private Equity IV Limited at 16.49% as at the Listing Memorandum date, but the more precise, later-dated FY2025 Annual Report (NGX doclib #47218)'s 'Share Capital' note explicitly states 'As at 31 December 2024, the below shareholders held 5% or more...': Petrolin Ocean Limited 360,899,945 shares=8.31%, Adeola Fola 240,002,980=5.52%, Badagry Creek FZE 229,034,760=5.27% (Capital Alliance Private Equity IV Limited no longer appears in this Dec-31-2024-dated table, implying its stake fell below 5% between the Oct-2024 Listing Memorandum date and FY-end). The Dec-31-2024-dated figure is preferred as more precisely matching the required fiscal-year-end point-in-time definition. Largest = Petrolin Ocean Limited, 8.31%.</t>
  </si>
  <si>
    <t>AUDITED. Group basis. Consistency check passed exactly. Total Assets grew ~5.7x due to a major, auditor-flagged step acquisition (ND Western Ltd + Renaissance Africa Energy) consolidated as subsidiaries on 31-Dec-2025 - a real structural break, not a data error. Share price confirmed as 2026 opening price (=31-Dec-2025 close). | Aradel Holdings Plc FY2025 Consolidated and Separate Financial Statements (NGX doclib #47218, 'Quarter 5' filing, filed Jun-2026 -- supersedes the earlier, less-complete #45966 'Year End' Feb-2026 filing which lacked the full Report of Directors). Full text extracted and read. Board_Independence=20% (2/10): as at 31-Dec-2025 -- Osten/Augustine Olorunsola(Chairman, succeeded Ladi Jadesimi who resigned 8/7/2025), Adegbite Falade(CEO/MD), Adegbola Adesina(CFO), Afolabi Oladele(NED), Olugbenga Adetoro(NED), Patricia Simon-Hart(Independent NED), Kerin Jayne Gunter(NED, appointed 2/1/2025), Olusola Adeeyo(NED, appointed 25/7/2025), George Osahon(NED, appointed 25/7/2025), Mahmud Tukur(Independent NED, appointed 25/7/2025) = 10 total, 2 explicitly labelled Independent. (Excluded: Ladi Jadesimi -- resigned 8/7/2025, before year-end; Nnoli Akpedeye, Independent NED -- appointed 2/2/2026, AFTER FY2025 year-end; Thierry Georger and Ede Osayande -- resigned 31/12/2024, before FY2025 began.) Ownership_Concentration=8.31% (Petrolin Ocean Limited): 'Report of the Directors - Share Capital' note states 'As at 31 December 2025, the below shareholders held 5% or more of the issued and fully paid shares': Petrolin Ocean Limited 360,899,945=8.31%, Petrolin Trading Limited 171,793,774=3.95% (below threshold, listed due to relatedness), Adeola Fola 240,002,980=5.52%, Badagry Creek FZE 230,034,760=5.29%. Largest = Petrolin Ocean Limited, 8.31% (unchanged from FY2024).</t>
  </si>
  <si>
    <t>AUSTINLAZ</t>
  </si>
  <si>
    <t>Austin Laz &amp; Company Plc</t>
  </si>
  <si>
    <t>INDUSTRIAL GOODS</t>
  </si>
  <si>
    <t>David Ugiagbe &amp; Co.</t>
  </si>
  <si>
    <t>AUDITED balance sheet; Net Income DERIVED from equity change (liabilities held flat), not a primary income statement line.  Share_Price_YearEnd = Dec-31 market cap / shares outstanding, market cap from S&amp;P Global Market Intelligence (via stockanalysis.com). | Austin Laz &amp; Co. Plc, Statement of Affairs FYE 31-Dec-2021 (NGX doclib #34832), full text extracted and read. Board_Independence: GENUINE GAP - Corporate Information lists 6 directors: Prof. Pat Utomi(Chairman), Dr. A.L. Asimonye(Vice Chairman/CEO), Barr.(Mrs.) C.O. Asimonye(Director), Barr. Ifeanyi Ofor(Director), Engr. Charles Odita(Director), Dr. Oguike Tempe(Director) -- none labelled 'Non-Executive' or 'Independent', simply 'Director'/'Chairman'/'Vice Chairman-CEO'; not inferred. (Note: 'The members of the Audit Committee are not required to be independent' is boilerplate specific to the separate Statutory Audit Committee, not the main board.) Ownership_Concentration=9.26%: 'Substantial Shareholders Interest' table, 'On the record of the register of members as at December 31, 2021': Arin Labs Int'l Ltd, Unibake Ltd, and Resort Securities Ltd EACH hold 100,000,000 shares -- a three-way tie for largest. Total issued shares = 1,079,860,000 (derived from the Range Analysis table's 'Above 50,000,000' row: 6 holders/1,047,860,000 units/97.03%, implying total ~1,079,860,000, consistent with the Directors' Report's own statement 'about 1,079,860 shares are held by about 370 Nigerians' read in thousands). 100,000,000/1,079,860,000 = 9.26% each (tied largest); company operationally dormant/suspended since Q3-2019 (zero turnover).</t>
  </si>
  <si>
    <t>RST</t>
  </si>
  <si>
    <t>AUDITED balance sheet; Net Income DERIVED from equity change (liabilities held flat), not a primary income statement line.  Share_Price_YearEnd = Dec-31 market cap / shares outstanding, market cap from S&amp;P Global Market Intelligence (via stockanalysis.com). | Austin Laz &amp; Co. Plc FY2022: no standalone FY2022 Annual Report/Statement of Affairs was located on NGX doclib distinct from the FY2021 and FY2023 filings. Derived via the sanctioned comparative-column method from the FY2023 Statement of Affairs (NGX doclib #40358, filed Feb-2024), full text extracted and read: Corporate Information lists the IDENTICAL 6 directors as FY2021 (Prof. Pat Utomi-Chairman, Dr. A.L. Asimonye-Vice Chairman/CEO, Barr.(Mrs.) C.O. Asimonye-Director, Barr. Ifeanyi Ofor-Director, Engr. Charles Odita-Director, Dr. Oguike Tempe-Director), and the 'Directors Interest in Shares' table's 2022 column shows unchanged holdings from 2021 -- Board_Independence: GENUINE GAP, no director labelled Independent (same reasoning as FY2021). Ownership_Concentration=9.26%: the FY2023 filing's 'Substantial Shareholders Interest' table is explicitly captioned 'as at December 31, 2022' (i.e. this filing's own labelled FY2022 data): Arin Labs Int'l Ltd, Unibake Ltd, Resort Securities Ltd each 100,000,000 shares = 9.26% (three-way tie), total issued shares 1,079,860,000 (unchanged). Company remained dormant (zero turnover, identical Total Assets 1,302,578 in both 2022 and 2023 columns) throughout the year.</t>
  </si>
  <si>
    <t>AUDITED, directly stated.  Share_Price_YearEnd = Dec-31 market cap / shares outstanding, market cap from S&amp;P Global Market Intelligence (via stockanalysis.com). | Austin Laz &amp; Co. Plc, Statement of Affairs FYE 31-Dec-2023 (NGX doclib #40358, filed Feb-2024), full text extracted and read. Board_Independence: GENUINE GAP - same 6 directors as FY2021/FY2022 (Utomi-Chairman, A.L.Asimonye-Vice Chairman/CEO, C.O.Asimonye-Director, Ofor-Director, Odita-Director, Tempe-Director), none labelled Independent. Ownership_Concentration=9.26%: SOURCE CAVEAT - this filing's 'Substantial Shareholders Interest' table is captioned 'as at December 31, 2022' (an apparent un-updated label/copy-paste artifact carried over from the prior year's template, since this is nominally the FY2023 filing), showing Arin Labs Int'l Ltd, Unibake Ltd, Resort Securities Ltd each 100,000,000 shares = 9.26% (tied largest) of 1,079,860,000 total issued shares. Applied to FY2023 on the basis that the company was completely dormant with zero share-capital or shareholding changes all year (Total Assets, Paid-up Share Capital, and all Directors' share-interest figures are IDENTICAL between the 2023 and 2022 columns throughout this filing, confirming no share transactions occurred).</t>
  </si>
  <si>
    <t>AUDITED, directly stated. Consistency check passed exactly.  Share_Price_YearEnd = Dec-31 market cap / shares outstanding, market cap from S&amp;P Global Market Intelligence (via stockanalysis.com). | Austin Laz &amp; Co. Plc, Audited Financial Statements FYE 31-Dec-2024 (NGX doclib #43103, filed Feb-2025), full text extracted and read. Operations resumed this year (Turnover N1,316,125,000, first revenue since Q3-2019 suspension). Board_Independence: GENUINE GAP - board reconstituted to 8 directors: Engr.(Dr) Austin L. Asimonye(Chairman/CEO), Chief(Engr.) Andrew C. Ojogbo(NED), Bar.(Mrs.) C.O. Asimonye(NED), Engr. Kingsley Oyakhire(NED), Mr. Abel Enechezian(NED), Mr. Christopher Eromosele Itua(NED), Engr. Judith Asimonye(NED), Mr. Nyemike Ogbechie(NED) -- all explicitly 'NON-EXECUTIVE DIRECTOR' except the Chairman/CEO, but none labelled 'Independent Non-Executive Director'; not inferred from Non-Executive status alone. Ownership_Concentration=9.26%: 'Substantial Shareholders Interest ... as at December 31, 2024': Arin Labs Int'l Ltd, Unibake Ltd, Resort Securities Ltd each 100,000,000 shares = 9.26% (tied largest) of 1,079,860,000 total issued shares (unchanged from prior years).</t>
  </si>
  <si>
    <t>Q3-2025 INTERIM ONLY (9-month figures), not full-year audited. Company reported ZERO revenue in 2025 due to ongoing 'retooling' operational halt. Share price is 2026 opening price (~31-Dec-2025 close proxy). | Austin Laz &amp; Co. Plc, Financial Statements FYE 31-Dec-2025 (NGX doclib #45913, filed Jan-2026), full text extracted and read. Directors' Report states the company 'was inactive in most part of 2024 and throughout the year 2025 due to the moribund condition of the productive capacity' -- zero turnover confirmed. Board_Independence: GENUINE GAP - 9 directors: Mr. Christopher Eromosele Itua(Chairman, promoted from NED), Engr.(Dr) Austin L. Asimonye(CEO), Chief(Engr.) Andrew C. Ojogbo(NED), Bar.(Mrs.) C.O. Asimonye(NED), Engr. Kingsley Oyakhire(NED), Mr. Abel Enechezian(NED), Engr. Judith Asimonye(NED), Mr. Nyemike Ogbechie(NED), Rear Admiral Julius Nwagu RTD(NED, new appointee) -- none labelled Independent. Ownership_Concentration=9.26%: 'Substantial Shareholders Interest ... as at December 31, 2025': only Arin Labs Int'l Ltd and Unibake Ltd now listed, each still 100,000,000 shares = 9.26% (tied largest) of 1,079,860,000 total issued shares (Resort Securities Ltd no longer appears in this year's table vs. prior years -- stake presumably fell below disclosure threshold or was omitted; not independently verifiable from this filing).</t>
  </si>
  <si>
    <t>BAPLC</t>
  </si>
  <si>
    <t>Briclinks Africa Plc (trading as Btel)</t>
  </si>
  <si>
    <t>Emmanuel Osuagwu &amp; Co.</t>
  </si>
  <si>
    <t>AUDITED. CORRECTED IDENTITY: original list mislabeled this ticker as British American Tobacco Nigeria - verified BAPLC is actually Briclinks Africa Plc, an internet service provider. ~96%% of liabilities is a single Director's Loan Account, not conventional debt. Flat price across the window per stockanalysis.com, matches the live quote - consistent with an illiquid micro-cap, not a data error. Share_Price_YearEnd = Dec-31 market cap / shares outstanding, market cap from S&amp;P Global Market Intelligence (via stockanalysis.com).</t>
  </si>
  <si>
    <t>AUDITED. Consistency check passed exactly. Flat price across the window per stockanalysis.com, matches the live quote - consistent with an illiquid micro-cap, not a data error. Share_Price_YearEnd = Dec-31 market cap / shares outstanding, market cap from S&amp;P Global Market Intelligence (via stockanalysis.com).</t>
  </si>
  <si>
    <t>Balance sheet AUDITED; Net Income DERIVED from retained earnings change (filing itself only shows Q4-only income statement, a filing-format quirk for this small company). Flat price across the window per stockanalysis.com, matches the live quote - consistent with an illiquid micro-cap, not a data error. Share_Price_YearEnd = Dec-31 market cap / shares outstanding, market cap from S&amp;P Global Market Intelligence (via stockanalysis.com).</t>
  </si>
  <si>
    <t>CORRECTED this session: the prior TA figure (767,000,000) was an approximation based on a stale 30-Jun-2024 interim snapshot. NGX doclib primary filings (Q1-2025 report's audited 31-Dec-2024 comparative column) confirm the REAL year-end position is far larger: Total_Assets=8,169,037k, Total_Liabilities=8,113,557k, Total_Equity=55,480k. The ~10x jump vs mid-2024 is REAL, not a data error - driven by a large intangible-asset addition (+N6.02bn) funded by a matching new non-current liability (+N7.38bn), with no explanatory note disclosed in the filings (flagged for scrutiny - looks like an undisclosed related-party asset injection). HIGH confidence (primary NGX doclib source, machine-readable). | CORRECTED 17-Aug-2026 (user-supplied, manually verified): Net_Income FY2024 changed from 38000000 to 22363.63 (raw NGN 22,363,630 converted to NGN'000), superseding the prior related-party-injection-flagged figure of 38,000,000.</t>
  </si>
  <si>
    <t>RESOLVED, moderate confidence: the earlier 'REJECTED' N8.18bn figure was in fact directionally correct (see FY2024 note - a real, large balance-sheet expansion occurred in Dec-2024, not FY2025). FY2025 figures built from primary NGX doclib Q1/Q2 interims (high confidence) plus AfricanFinancials AI-summarized Q3/Q4 interims (secondary, moderate confidence) that roll forward consistently from the audited base: Total_Assets and Total_Liabilities are Q4-2025 (Dec-31) snapshot; Net_Income is the sum of all 4 quarters (10,582+9,272+11,075+9,990=40,919). Share_Price_YearEnd remains an open gap. | Share_Price_YearEnd=6.25 sourced from the firm's own corporate/investor-relations website, manually verified by user (Ben) and supplied directly, 17-Aug-2026 -- resolves the previously-flagged Share_Price_YearEnd open gap. Market_Value_Equity and Tobin_Q recompute automatically via existing workbook formulas.</t>
  </si>
  <si>
    <t>BERGER</t>
  </si>
  <si>
    <t>Berger Paints Nigeria Plc</t>
  </si>
  <si>
    <t>Pannell Kerr Forster</t>
  </si>
  <si>
    <t>AUDITED. Consistency check passed exactly. Auditor: KPMG (Big4=1).</t>
  </si>
  <si>
    <t>AUDITED, Company basis (first year with Swift Painting subsidiary). Auditor: KPMG (Big4=1).</t>
  </si>
  <si>
    <t>Group basis, secondary AI-summarized source (medium confidence). AUDITOR CHANGED to Pannell Kerr Forster (NOT Big4) - Big4_Auditor=0 for this year, overriding default. Share_Price_YearEnd=20.0122 from Dec-31-2024 market cap ~5.80B NGN (stockanalysis.com / S&amp;P Global Market Intelligence).</t>
  </si>
  <si>
    <t>Group basis, secondary AI-summarized source (medium confidence). Auditor Pannell Kerr Forster - Big4_Auditor=0 for this year, overriding default. Share_Price_YearEnd=47.9947 from Dec-31-2025 market cap ~13.91B NGN (stockanalysis.com / S&amp;P Global Market Intelligence).</t>
  </si>
  <si>
    <t>BETAGLAS</t>
  </si>
  <si>
    <t>Beta Glass Plc</t>
  </si>
  <si>
    <t>RESOLVED, HIGH confidence: Beta Glass Plc 2021 Annual Report ('Results at a Glance' + MD&amp;A), CardinalStone Registrars. TA-TL=42,127,418 matches already-confirmed Total_Equity exactly. Source: NGX doclib / registrar-hosted primary annual report. | Net_Income=5,457,671 backfilled this pass (was confirmed in this note but never written to cell).</t>
  </si>
  <si>
    <t>RESOLVED, HIGH confidence: Beta Glass Plc 2022 Annual Report, CardinalStone Registrars (full Statement of Financial Position reconstructed from PPE/ROU/Intangibles/current-assets and deferred-tax/borrowings/payables/tax/dividend line items). TA-TL=46,263,350 matches already-confirmed Total_Equity exactly. Source: NGX doclib / registrar-hosted primary annual report. | Net_Income=4,685,414 backfilled this pass (was confirmed in this note but never written to cell).</t>
  </si>
  <si>
    <t>RESOLVED, HIGH confidence: Total_Assets=106,851,901, Total_Liabilities=54,846,891, Net_Income=6,442,220 sourced from Beta Glass Plc Audited 2023 Annual Report (Statement of Financial Position &amp; Statement of Profit or Loss), user-supplied and cross-verified: TA-TL=52,005,010 matches already-confirmed Total_Equity=52,005,006 (rounding), NI matches already-confirmed 6,442,223 (rounding). Trend-consistent with FY2022 TA=75,944,552 and FY2024 TA=134,352,197. SFP extraction barrier from prior session (scanned doclib PDF) resolved via alternate source (fliphtml5-hosted annual report).</t>
  </si>
  <si>
    <t>FULLY RESOLVED - audited, consistency check passed exactly. Source: company's own IR site, not NGX doclib (failed 3 times). Shares_Outstanding CORRECTED this session (was wrong/inconsistent - see Firm Master Notes). Share_Price_YearEnd = Dec-31 market cap / shares outstanding, market cap from S&amp;P Global Market Intelligence (via stockanalysis.com).</t>
  </si>
  <si>
    <t>FULLY RESOLVED - audited, consistency check passed exactly. Majority shareholding sold to Helios Investment Partners, Feb-2026 (subsequent event). Shares_Outstanding CORRECTED this session (was wrong/inconsistent - see Firm Master Notes). Share_Price_YearEnd = Dec-31 market cap / shares outstanding, market cap from S&amp;P Global Market Intelligence (via stockanalysis.com).</t>
  </si>
  <si>
    <t>BUACEMENT</t>
  </si>
  <si>
    <t>BUA Cement Plc</t>
  </si>
  <si>
    <t>Total Equity=398,116,748 confirmed audited. Total Assets/Liabilities UNRESOLVED - SFP page did not extract. Price for completeness only - Total_Assets/Liabilities remain an unresolved data gap for FY2021 (see note above). Share_Price_YearEnd = Dec-31 market cap / shares outstanding, market cap from S&amp;P Global Market Intelligence (via stockanalysis.com). RESOLVED, MEDIUM confidence (rounded to nearest ~N0.1bn): ThisDayLive coverage (4-Apr-2022) of the audited FY2021 results - the article's P&amp;L figures (Revenue 257,327,091; PBT 102,873,325; PAT 90,079,011) match the primary audited FS exactly, lending confidence to the rounded balance-sheet figures too, though the primary doclib SOFP page itself is image-only/non-extractable. TA-TL=398,100,000 approx. matches already-confirmed Total_Equity=398,116,748.</t>
  </si>
  <si>
    <t>AUDITED. Consistency check passed exactly. Shares_Outstanding CORRECTED this session (was off by 2-3 orders of magnitude - see Firm Master Notes). Share_Price_YearEnd = Dec-31 market cap / shares outstanding, market cap from S&amp;P Global Market Intelligence (via stockanalysis.com).</t>
  </si>
  <si>
    <t>AUDITED. Consistency check passed exactly. IFRS_S1S2_Adopter_Dummy=0 evidenced - notes discuss IFRS S1/S2 as 'not yet adopted', mandatory 2028. Shares_Outstanding CORRECTED this session (was off by 2-3 orders of magnitude - see Firm Master Notes). Share_Price_YearEnd = Dec-31 market cap / shares outstanding, market cap from S&amp;P Global Market Intelligence (via stockanalysis.com).</t>
  </si>
  <si>
    <t>Medium confidence - from AR press summary/secondary source, not primary SFP line yet. Shares_Outstanding CORRECTED this session (was off by 2-3 orders of magnitude - see Firm Master Notes). Share_Price_YearEnd = Dec-31 market cap / shares outstanding, market cap from S&amp;P Global Market Intelligence (via stockanalysis.com).</t>
  </si>
  <si>
    <t>BUAFOODS</t>
  </si>
  <si>
    <t>BUA Foods Plc</t>
  </si>
  <si>
    <t>CONSUMER GOODS</t>
  </si>
  <si>
    <t>AUDITED. Consistency check passed exactly. Shares_Outstanding CORRECTED this session (was off by 35x-260x - see Firm Master Notes). Share_Price_YearEnd = Dec-31 market cap / shares outstanding, market cap from S&amp;P Global Market Intelligence (via stockanalysis.com).</t>
  </si>
  <si>
    <t>AUDITED. Consistency check passed exactly. IFRS_S1S2_Adopter_Dummy=0 explicitly evidenced. Shares_Outstanding CORRECTED this session (was off by 35x-260x - see Firm Master Notes). Share_Price_YearEnd = Dec-31 market cap / shares outstanding, market cap from S&amp;P Global Market Intelligence (via stockanalysis.com).</t>
  </si>
  <si>
    <t>Medium confidence - unaudited full-year press release, not yet primary-confirmed. Shares_Outstanding CORRECTED this session (was off by 35x-260x - see Firm Master Notes). Share_Price_YearEnd = Dec-31 market cap / shares outstanding, market cap from S&amp;P Global Market Intelligence (via stockanalysis.com).</t>
  </si>
  <si>
    <t>CADBURY</t>
  </si>
  <si>
    <t>Cadbury Nigeria Plc</t>
  </si>
  <si>
    <t>PricewaterhouseCoopers (stepping down after FY2026 - 10yr CAMA limit)</t>
  </si>
  <si>
    <t>AUDITED. Consistency check passed exactly. CORRECTED this session: Shares_Outstanding and Share_Price_YearEnd were corrupted/swapped (had a value resembling shares outstanding sitting in the price column, and garbage/negative values in the shares column). Restored Shares_Outstanding=1,878,000,000 from the balance sheet; Share_Price_YearEnd=8.8019 computed from Dec-31-2021 market cap ~16.53B NGN. Share_Price_YearEnd = Dec-31 market cap / Shares_Outstanding, market cap from S&amp;P Global Market Intelligence (via stockanalysis.com). MEDIUM-HIGH confidence (billions-precision source rounding).</t>
  </si>
  <si>
    <t>RESTATED (Note 32 correction) - 1-Jan-2023 restated opening balance = 31-Dec-2022 closing. NI confirmed independently. CORRECTED this session: Shares_Outstanding and Share_Price_YearEnd were corrupted/swapped (had a value resembling shares outstanding sitting in the price column, and garbage/negative values in the shares column). Restored Shares_Outstanding=1,878,000,000 from the balance sheet; Share_Price_YearEnd=11.901 computed from Dec-31-2022 market cap ~22.35B NGN. Share_Price_YearEnd = Dec-31 market cap / Shares_Outstanding, market cap from S&amp;P Global Market Intelligence (via stockanalysis.com). MEDIUM-HIGH confidence (billions-precision source rounding).</t>
  </si>
  <si>
    <t>RESTATED, audited - CORRECTED from an earlier unaudited version with materially different figures. Consistency check passed exactly. CORRECTED this session: Shares_Outstanding and Share_Price_YearEnd were corrupted/swapped (had a value resembling shares outstanding sitting in the price column, and garbage/negative values in the shares column). Restored Shares_Outstanding=1,878,000,000 from the balance sheet; Share_Price_YearEnd=19.0043 computed from Dec-31-2023 market cap ~35.69B NGN. Share_Price_YearEnd = Dec-31 market cap / Shares_Outstanding, market cap from S&amp;P Global Market Intelligence (via stockanalysis.com). MEDIUM-HIGH confidence (billions-precision source rounding).</t>
  </si>
  <si>
    <t>GENUINELY AUDITED, PwC unqualified opinion 31-Mar-2025. Shares rose via Feb-2024 debt-to-equity conversion. Consistency check passed exactly. CORRECTED this session: Shares_Outstanding and Share_Price_YearEnd were corrupted/swapped (had a value resembling shares outstanding sitting in the price column, and garbage/negative values in the shares column). Restored Shares_Outstanding=2,280,000,000 from the balance sheet; Share_Price_YearEnd=21.5044 computed from Dec-31-2024 market cap ~49.03B NGN. Share_Price_YearEnd = Dec-31 market cap / Shares_Outstanding, market cap from S&amp;P Global Market Intelligence (via stockanalysis.com). MEDIUM-HIGH confidence (billions-precision source rounding).</t>
  </si>
  <si>
    <t>GENUINELY AUDITED, PwC unqualified opinion 31-Mar-2026. Consistency check passed exactly. PwC steps down after FY2026 (10yr CAMA limit). CORRECTED this session: Shares_Outstanding and Share_Price_YearEnd were corrupted/swapped (had a value resembling shares outstanding sitting in the price column, and garbage/negative values in the shares column). Restored Shares_Outstanding=2,280,000,000 from the balance sheet; Share_Price_YearEnd=59.9079 computed from Dec-31-2025 market cap ~136.59B NGN. Share_Price_YearEnd = Dec-31 market cap / Shares_Outstanding, market cap from S&amp;P Global Market Intelligence (via stockanalysis.com). MEDIUM-HIGH confidence (billions-precision source rounding).</t>
  </si>
  <si>
    <t>CAP</t>
  </si>
  <si>
    <t>Chemical and Allied Products Plc</t>
  </si>
  <si>
    <t>AUDITED. Consistency check passed exactly. Absorbed Portland Paints and Products Nigeria Plc via merger effective 1-Jul-2021. CORRECTED this session: Shares_Outstanding and Share_Price_YearEnd were corrupted/swapped (see Firm Master Notes). Share_Price_YearEnd = Dec-31 market cap / shares outstanding, market cap from S&amp;P Global Market Intelligence (via stockanalysis.com).</t>
  </si>
  <si>
    <t>AUDITED. Consistency check passed exactly. Shares rose via 2022 scrip dividend. CORRECTED this session: Shares_Outstanding and Share_Price_YearEnd were corrupted/swapped (see Firm Master Notes). Share_Price_YearEnd = Dec-31 market cap / shares outstanding, market cap from S&amp;P Global Market Intelligence (via stockanalysis.com).</t>
  </si>
  <si>
    <t>AUDITED. Consistency check passed exactly. CORRECTED this session: Shares_Outstanding and Share_Price_YearEnd were corrupted/swapped (see Firm Master Notes). Share_Price_YearEnd = Dec-31 market cap / shares outstanding, market cap from S&amp;P Global Market Intelligence (via stockanalysis.com).</t>
  </si>
  <si>
    <t>AUDITED (explicit 'FY 2025 Audited Results'). Consistency check passed exactly. Subsidiary of UAC of Nigeria Plc (57.85%%), also in this sample - related-party link. CORRECTED this session: Shares_Outstanding and Share_Price_YearEnd were corrupted/swapped (see Firm Master Notes). Share_Price_YearEnd = Dec-31 market cap / shares outstanding, market cap from S&amp;P Global Market Intelligence (via stockanalysis.com).</t>
  </si>
  <si>
    <t>CAVERTON</t>
  </si>
  <si>
    <t>Caverton Offshore Support Group Plc</t>
  </si>
  <si>
    <t>AUDITED. Consistency check passed exactly (Total Equity=17,306,920).  Share_Price_YearEnd = Dec-31 market cap / shares outstanding, market cap from S&amp;P Global Market Intelligence (via stockanalysis.com).</t>
  </si>
  <si>
    <t>AUDITED. Consistency check passed exactly (Total Equity=12,145,206).  Share_Price_YearEnd = Dec-31 market cap / shares outstanding, market cap from S&amp;P Global Market Intelligence (via stockanalysis.com).</t>
  </si>
  <si>
    <t>AUDITED. Consistency check passed exactly (Total Equity=-747,635). Equity turns negative this year.  Share_Price_YearEnd = Dec-31 market cap / shares outstanding, market cap from S&amp;P Global Market Intelligence (via stockanalysis.com).</t>
  </si>
  <si>
    <t>AUDITED. Consistency check passed exactly (Total Equity=-54,607,451). Deep going-concern losses.  Share_Price_YearEnd = Dec-31 market cap / shares outstanding, market cap from S&amp;P Global Market Intelligence (via stockanalysis.com).</t>
  </si>
  <si>
    <t>AUDITED (board approved Jul-2026). Consistency check passed exactly (Total Equity=-8,761,365). Asset jump vs H1 driven by a N59.7bn one-off property revaluation gain.  Share_Price_YearEnd = Dec-31 market cap / shares outstanding, market cap from S&amp;P Global Market Intelligence (via stockanalysis.com).</t>
  </si>
  <si>
    <t>CHAMPION</t>
  </si>
  <si>
    <t>Champion Breweries Plc</t>
  </si>
  <si>
    <t>KPMG (through 2021); Deloitte &amp; Touche (2022 AGM onward)</t>
  </si>
  <si>
    <t>AUDITED (Group). Consistency check passed exactly (Total Equity=9,532,384). NI for this year not found.  Share_Price_YearEnd = Dec-31 market cap / shares outstanding, market cap from S&amp;P Global Market Intelligence (via stockanalysis.com). Net_Income RESOLVED: 984,233, HIGH confidence - Champion Breweries Plc Annual Report FY2021 (audited, KPMG), NGX doclib, confirms the earlier secondary-source estimate. NOTE: the same primary document's Statement of Financial Position shows Total equity=9,219,643 / TA=13,486,815 / TL=4,267,172 (single-entity, no Group/Company split found - Champion appears to have no subsidiaries), a small (~0.1%) reconciliation difference vs. the TA=13,473,094/TL=3,940,710/Equity=9,532,384 already on file - flagged for awareness, not overwritten since the on-file figures are internally consistent and the variance is immaterial.</t>
  </si>
  <si>
    <t>BLS</t>
  </si>
  <si>
    <t>AUDITED (Group), restated. Consistency check passed exactly (Total Equity=10,914,460).  Share_Price_YearEnd = Dec-31 market cap / shares outstanding, market cap from S&amp;P Global Market Intelligence (via stockanalysis.com).</t>
  </si>
  <si>
    <t>AUDITED (Group), restated per Note 36. Consistency check passed exactly (Total Equity=11,195,299).  Share_Price_YearEnd = Dec-31 market cap / shares outstanding, market cap from S&amp;P Global Market Intelligence (via stockanalysis.com).</t>
  </si>
  <si>
    <t>AUDITED (Group). Consistency check passed exactly (Total Equity=12,056,086). Bonus share issue in 2024.  Share_Price_YearEnd = Dec-31 market cap / shares outstanding, market cap from S&amp;P Global Market Intelligence (via stockanalysis.com).</t>
  </si>
  <si>
    <t>AUDITED (Group). Consistency check passed exactly (Total Equity=13,077,096). Heineken exited stake, replaced by EnjoyCorp Limited as ultimate parent.  Share_Price_YearEnd = Dec-31 market cap / shares outstanding, market cap from S&amp;P Global Market Intelligence (via stockanalysis.com).</t>
  </si>
  <si>
    <t>CHAMS</t>
  </si>
  <si>
    <t>Chams Holding Company Plc</t>
  </si>
  <si>
    <t>PKF Professional Services</t>
  </si>
  <si>
    <t>AUDITED (Group). Consistency check passed exactly (Total Equity=4,734,635).  Share_Price_YearEnd = Dec-31 market cap / shares outstanding, market cap from S&amp;P Global Market Intelligence (via stockanalysis.com).</t>
  </si>
  <si>
    <t>AUDITED (Group). Consistency check passed exactly (Total Equity=9,449,453). Renamed Chams Plc -&gt; Chams Holding Company Plc, 12-May-2022.  Share_Price_YearEnd = Dec-31 market cap / shares outstanding, market cap from S&amp;P Global Market Intelligence (via stockanalysis.com).</t>
  </si>
  <si>
    <t>AUDITED (Group). Consistency check passed exactly (Total Equity=9,667,349).  Share_Price_YearEnd = Dec-31 market cap / shares outstanding, market cap from S&amp;P Global Market Intelligence (via stockanalysis.com).</t>
  </si>
  <si>
    <t>AUDITED (Group). Consistency check passed exactly (Total Equity=9,993,325).  Share_Price_YearEnd = Dec-31 market cap / shares outstanding, market cap from S&amp;P Global Market Intelligence (via stockanalysis.com).</t>
  </si>
  <si>
    <t>AUDITED (Group). Consistency check passed exactly (Total Equity=19,521,496). Shares roughly doubled via capital-raising transaction.  Share_Price_YearEnd = Dec-31 market cap / shares outstanding, market cap from S&amp;P Global Market Intelligence (via stockanalysis.com).</t>
  </si>
  <si>
    <t>CHELLARAM</t>
  </si>
  <si>
    <t>Chellarams Plc</t>
  </si>
  <si>
    <t>BDO Professional Services (2021-2023); PKF Professional Services (by FY2025)</t>
  </si>
  <si>
    <t>AUDITED (Group), FYE 31-March. Consistency check passed exactly (Total Equity=-7,022,809). Going concern: persistent negative equity.  Share_Price_YearEnd = Dec-31 market cap / shares outstanding, market cap from S&amp;P Global Market Intelligence (via stockanalysis.com).</t>
  </si>
  <si>
    <t>AUDITED (Group), FYE 31-March. Consistency check passed exactly (Total Equity=-3,814,160).  Share_Price_YearEnd = Dec-31 market cap / shares outstanding, market cap from S&amp;P Global Market Intelligence (via stockanalysis.com).</t>
  </si>
  <si>
    <t>AUDITED (Group), FYE 31-March. Consistency check within small rounding tolerance (Total Equity=-25,600).  Share_Price_YearEnd = Dec-31 market cap / shares outstanding, market cap from S&amp;P Global Market Intelligence (via stockanalysis.com).</t>
  </si>
  <si>
    <t>MEDIUM CONFIDENCE. Total Equity(-1,897,831) and NI confirmed directly (matches Chairman's Statement 'N3.00bn loss'); TL/TA DERIVED from components. FYE 31-March.  Share_Price_YearEnd = Dec-31 market cap / shares outstanding, market cap from S&amp;P Global Market Intelligence (via stockanalysis.com).</t>
  </si>
  <si>
    <t>AUDITED (Group), FYE 31-March. Consistency check passed exactly (Total Equity=2,295,625). NI confirmed matching Chairman's Statement 'N2.58bn loss' exactly.  Share_Price_YearEnd = Dec-31 market cap / shares outstanding, market cap from S&amp;P Global Market Intelligence (via stockanalysis.com).</t>
  </si>
  <si>
    <t>CILEASING</t>
  </si>
  <si>
    <t>C &amp; I Leasing Plc</t>
  </si>
  <si>
    <t>AUDITED (Group). Consistency check passed (Total Equity=13,862,555, off by N1,000 rounding). Source: company's own IR site. Shares_Outstanding CORRECTED this session (was stale - see Firm Master Notes). Share_Price_YearEnd = Dec-31 market cap / shares outstanding, market cap from S&amp;P Global Market Intelligence (via stockanalysis.com).</t>
  </si>
  <si>
    <t>AUDITED (Group). Consistency check passed exactly (Total Equity=16,714,240). Shares_Outstanding CORRECTED this session (was stale - see Firm Master Notes). Share_Price_YearEnd = Dec-31 market cap / shares outstanding, market cap from S&amp;P Global Market Intelligence (via stockanalysis.com).</t>
  </si>
  <si>
    <t>AUDITED (Group). Consistency check passed exactly (Total Equity=26,396,206). Only leasing company listed on NGX. Shares_Outstanding CORRECTED this session (was stale - see Firm Master Notes). Share_Price_YearEnd = Dec-31 market cap / shares outstanding, market cap from S&amp;P Global Market Intelligence (via stockanalysis.com).</t>
  </si>
  <si>
    <t>Medium-high confidence - AfricanFinancials interim summary, consistency check passed (Total Equity=48,150,000). Shares_Outstanding CORRECTED this session (was stale - see Firm Master Notes). Share_Price_YearEnd = Dec-31 market cap / shares outstanding, market cap from S&amp;P Global Market Intelligence (via stockanalysis.com).</t>
  </si>
  <si>
    <t>Medium confidence - unaudited full-year interim summary (Total Equity=45,560,000). Shares_Outstanding CORRECTED this session (was stale - see Firm Master Notes). Share_Price_YearEnd = Dec-31 market cap / shares outstanding, market cap from S&amp;P Global Market Intelligence (via stockanalysis.com).</t>
  </si>
  <si>
    <t>CONHALLPLC</t>
  </si>
  <si>
    <t>Consolidated Hallmark Holdings Plc (formerly Consolidated Hallmark Insurance Plc)</t>
  </si>
  <si>
    <t>RESOLVED - Group/Consolidated Total Assets = N15,674,166,000 and Total Liabilities = N6,662,383,000 as at 31-Dec-2021, extracted directly from chiplc.com's own '2022 AUDITED FINANCIAL STATEMENTS' PDF (Results at a Glance summary table, page 5, Dec-2021 comparative column, Group basis) - a different, cleaner-extracting source than NGX doclib, which had failed on this firm 4 times. HIGH confidence, primary source. Matches the earlier secondary-source estimate (~N15.7bn) almost exactly. Shares_Outstanding was completely missing on file - filled this session (see Firm Master Notes). Share_Price_YearEnd = Dec-31 market cap / shares outstanding, market cap from S&amp;P Global Market Intelligence (via stockanalysis.com). Net_Income RESOLVED: 790,638, from the 'Results at a Glance' summary in the FY2022 Audited FS (NGX doclib) - matches already-confirmed TA/TL exactly. Source: NGX doclib primary filings.</t>
  </si>
  <si>
    <t>RESOLVED - Group/Consolidated Total Assets = N18,535,742,000 and Total Liabilities = N8,726,725,000 as at 31-Dec-2022, extracted directly from chiplc.com's own '2022 AUDITED FINANCIAL STATEMENTS' PDF (Results at a Glance summary table, page 5, Group basis). HIGH confidence, primary source. Matches the earlier secondary-source estimate (~N18.2-18.54bn) almost exactly. Shares_Outstanding was completely missing on file - filled this session (see Firm Master Notes). Share_Price_YearEnd = Dec-31 market cap / shares outstanding, market cap from S&amp;P Global Market Intelligence (via stockanalysis.com). Net_Income RESOLVED: 995,985, same source as FY2021. Source: NGX doclib primary filings.</t>
  </si>
  <si>
    <t>Total Assets = N26.2bn per Group CEO Eddie Efekoha's statement at the 2nd AGM, reported in Tribune Online (1-Sep-2025), corroborated by a separate search summary citing the NGX doclib FY2023 filing (40250) as source context. MEDIUM confidence - management-cited at a public AGM and reported by a mainstream Nigerian business paper, but not independently verified against the primary SFP line-item (NGX doclib extraction failed a 4th time on this firm's FY2023 filing, same reproducible barrier noted for 2021/2022). Total Liabilities NOT found in any source - still a gap. Do not compute Leverage/Tobin's Q for this row until Total Liabilities is resolved. Shares_Outstanding was completely missing on file - filled this session (see Firm Master Notes). Share_Price_YearEnd = Dec-31 market cap / shares outstanding, market cap from S&amp;P Global Market Intelligence (via stockanalysis.com). Total_Liabilities/Net_Income added, MODERATE confidence (rounded press figures from BusinessDay/ThisDay/Nairametrics coverage of the audited FY2023 results and AGM statements - the primary PDF's Statement of Financial Position could not be reached, document too long to extract past accounting-policy notes).</t>
  </si>
  <si>
    <t>PARTIAL, IMPROVED - Revenue N49.04bn, Net Income N22.63bn previously confirmed. Total Assets NOW ADDED: N56.9bn per Group CEO Eddie Efekoha's statement at the 2nd AGM (Tribune Online, 1-Sep-2025) - '117% asset growth, rising from N26.2bn in 2023 to N56.9bn in 2024'. MEDIUM confidence (management-cited, mainstream press-reported, internally consistent with the 2023 figure's 117% growth claim), but not independently verified against the primary SFP line-item - NGX doclib extraction (43061) failed a 4th time on this firm. Total Liabilities NOT found in any source - still a gap. Do not compute Leverage/Tobin's Q for this row until Total Liabilities is resolved. Shares_Outstanding was completely missing on file - filled this session (see Firm Master Notes). Share_Price_YearEnd = Dec-31 market cap / shares outstanding, market cap from S&amp;P Global Market Intelligence (via stockanalysis.com). Total_Liabilities added (21,900,000, moderate confidence, same press sourcing as FY2023). Net_Income=22,630,000 CONFIRMED genuine audited PAT (independently corroborated by BusinessDay and Nairametrics, both citing the audited FY2024 statements directly) - not a mislabeled Revenue/Gross Premium figure as initially suspected.</t>
  </si>
  <si>
    <t>RESOLVED - Group/Consolidated Total Assets = N75,939,296,064 and Total Liabilities = N33,782,035,797 as at 31-Dec-2025, extracted directly from the primary source: CONSOLIDATED_HALLMARK_HOLDINGS_PLC Q1 2026 unaudited financial statements (NGX doclib doc 46914, filed April 2026), 'Financial highlights' table, December 2025 comparative column (Group basis). HIGH confidence - genuine primary-source figure, not a secondary estimate. First CONHALLPLC fiscal year with a fully resolved Total Assets/Total Liabilities pair; Tobin_Q, Firm_Size and Leverage should now compute for this row once Share_Price_YearEnd and Shares_Outstanding are filled in. Shares_Outstanding was completely missing on file - filled this session (see Firm Master Notes). Share_Price_YearEnd = Dec-31 market cap / shares outstanding, market cap from S&amp;P Global Market Intelligence (via stockanalysis.com). Net_Income RESOLVED: 8,440,000 (a 65% YoY profit decline vs FY2024), from Nairametrics' coverage of the audited FY2025 results (03-Apr-2026), HIGH confidence.</t>
  </si>
  <si>
    <t>CONOIL</t>
  </si>
  <si>
    <t>Conoil Plc</t>
  </si>
  <si>
    <t>Nexia Agbo Abel &amp; Co</t>
  </si>
  <si>
    <t>AUDITED (marked Unaudited in source, a recurring pattern for this firm). Consistency check passed exactly (Total Equity=21,789,368).  Share_Price_YearEnd = Dec-31 market cap / shares outstanding, market cap from S&amp;P Global Market Intelligence (via stockanalysis.com).</t>
  </si>
  <si>
    <t>Consistency check passed exactly (Total Equity=26,275,993).  Share_Price_YearEnd = Dec-31 market cap / shares outstanding, market cap from S&amp;P Global Market Intelligence (via stockanalysis.com).</t>
  </si>
  <si>
    <t>Consistency check passed exactly (Total Equity=33,145,573).  Share_Price_YearEnd = Dec-31 market cap / shares outstanding, market cap from S&amp;P Global Market Intelligence (via stockanalysis.com).</t>
  </si>
  <si>
    <t>Confirmed via HY2025 interim comparative. Consistency check passed (Total Equity=39,490,000).  Share_Price_YearEnd = Dec-31 market cap / shares outstanding, market cap from S&amp;P Global Market Intelligence (via stockanalysis.com).</t>
  </si>
  <si>
    <t>Unaudited (recurring pattern for this firm - 2025 AFS under filing extension to 30-Jun-2026). Consistency check passed (Total Equity=39,240,000).  Share_Price_YearEnd = Dec-31 market cap / shares outstanding, market cap from S&amp;P Global Market Intelligence (via stockanalysis.com).</t>
  </si>
  <si>
    <t>CORNERST</t>
  </si>
  <si>
    <t>Cornerstone Insurance Plc</t>
  </si>
  <si>
    <t>KPMG Professional Services (through 2023); Deloitte (by FY2025)</t>
  </si>
  <si>
    <t>AUDITED (Group), restated for IFRS17. Consistency check passed exactly (Total Equity=19,068,250). NI not directly stated for this year.  Share_Price_YearEnd = Dec-31 market cap / shares outstanding, market cap from S&amp;P Global Market Intelligence (via stockanalysis.com). Net_Income RESOLVED: 3,535,935 (Group, Profit for the year, pre-IFRS17 original-audited basis), MEDIUM-HIGH confidence - Cornerstone Insurance Plc 2021 Annual Report &amp; Accounts ('Consolidated Results at a Glance'). Note: IFRS17 first-time adoption only restates the balance sheet at transition (1-Jan-2022) and the immediately-preceding year's P&amp;L (2022) - it does NOT restate FY2021's income statement, so this original-audited figure is the correct one to pair with the already-confirmed restated Total_Equity=19,068,250. Minor uncertainty whether this is total profit or attributable-to-owners only (NCI was ~1.4% of total equity, so the difference would be small).</t>
  </si>
  <si>
    <t>AUDITED (Group), restated. Consistency check passed exactly (Total Equity=18,245,287).  Share_Price_YearEnd = Dec-31 market cap / shares outstanding, market cap from S&amp;P Global Market Intelligence (via stockanalysis.com).</t>
  </si>
  <si>
    <t>AUDITED (Group). Consistency check passed exactly (Total Equity=33,918,772). Big jump driven by IFRS17 transition + N21.5bn investment return gain.  Share_Price_YearEnd = Dec-31 market cap / shares outstanding, market cap from S&amp;P Global Market Intelligence (via stockanalysis.com).</t>
  </si>
  <si>
    <t>AUDITED (Group), from primary SFP. Consistency check passed exactly (Total Equity=60,496,726). Supersedes earlier lower-confidence secondary-source estimate.  Share_Price_YearEnd = Dec-31 market cap / shares outstanding, market cap from S&amp;P Global Market Intelligence (via stockanalysis.com).</t>
  </si>
  <si>
    <t>AUDITED (Group), from primary SFP. Consistency check passed exactly (Total Equity=69,834,078). Auditor changed KPMG-&gt;Deloitte by this year.  Share_Price_YearEnd = Dec-31 market cap / shares outstanding, market cap from S&amp;P Global Market Intelligence (via stockanalysis.com).</t>
  </si>
  <si>
    <t>CUSTODIAN</t>
  </si>
  <si>
    <t>Custodian Investment Plc</t>
  </si>
  <si>
    <t>CONGLOMERATES</t>
  </si>
  <si>
    <t>Deloitte</t>
  </si>
  <si>
    <t>Total Assets/Liabilities/Net Income/Shares Outstanding from stockanalysis.com (S&amp;P Global Market Intelligence, Insurance template) 5-year balance sheet + income statement tables, cross-checked against NGX doclib filing list (documents exist for all 5 years: 37840, 41372, 43021/43585, 45898/46512) but not individually re-extracted line-by-line given this firm's data was cleanly available via the aggregator. MEDIUM-HIGH confidence (reputable aggregator, not hand-verified against primary PDF for each year). Share_Price_YearEnd NOT found - still a gap, consistent with the dataset-wide share price shortfall already flagged in the README; Market_Value_Equity and Tobin_Q will not compute until it is filled. Share_Price_YearEnd back-calculated from stockanalysis.com Ratios page (Market Capitalization / Shares Outstanding for each fiscal year, since this firm's Ratios page did not show a direct 'Last Close Price' row) - cross-checked against PE Ratio x EPS for FY2021 (4.36 x 1.81 = 7.89, matches the back-calculated 7.90). MEDIUM-HIGH confidence.</t>
  </si>
  <si>
    <t>CUTIX</t>
  </si>
  <si>
    <t>Cutix Plc</t>
  </si>
  <si>
    <t>Ngozi Monica Okonkwo &amp; Co.</t>
  </si>
  <si>
    <t>RESOLVED - Total Assets N4,792,191,000, Total Liabilities N2,636,402,000, Net Income N594,023,000, Shares in issue 1,761,321,000 as at 30-Apr-2021, all extracted directly from Cutix Plc's own FY2022 Annual Report 'Financial Highlights' comparative table (primary source, cutixplc.com.ng). HIGH confidence. Share_Price_YearEnd for Apr-2021 still not found (a calendar-year-2021 price of N2.30 was found but doesn't reliably represent the Apr-2021 fiscal year-end point - not entered). Share_Price_YearEnd RESOLVED: 5.2803, from Dec-31-2021 market cap (N9.30bn, stockanalysis.com/S&amp;P Global) / 1,761,321,000 shares (the FY2021-dated share count already on file, pre-dating a later ~4x bonus/split - verified as period-consistent).</t>
  </si>
  <si>
    <t>FYE is 30 April, not 31 December like most firms in this sample (per NGX doclib filing titles: 'AUDITED FINANCIAL STATEMENTS FOR THE YEAR ENDED 30TH APRIL [year]'). Mapped this firm's FYE-labelled year directly to the study's 'Year' column (i.e. FYE 30-Apr-2022 = Year 2022), same convention as ACADEMY's existing FYE flag. Total Assets/Liabilities/Net Income from stockanalysis.com (S&amp;P Global Market Intelligence) 5-year balance sheet + income statement tables. MEDIUM-HIGH confidence (reputable aggregator, not hand-verified against primary PDF for each year). Share_Price_YearEnd NOT found - still a gap. IMPORTANT CORRECTION: Shares_Outstanding was previously entered as a flat 7,045,000,000 for all 5 years (from stockanalysis.com's 'Total Common Shares Outstanding', which applies the CURRENT share count retroactively to all historical years - a known aggregator limitation after a stock split/bonus issue). CORRECTED using primary-source data: Cutix Plc's own FY2022 Annual Report 'Financial Highlights' table confirms 1,761,321,000 shares in issue at 30-Apr-2021 and 3,522,644,000 at 30-Apr-2022 (a 1-for-1 bonus issue occurred during FY2022). A second 1-for-1 bonus issue was announced July-2024 (qualification date 16-Aug-2024, register closed 19-23-Aug-2024) - this falls within FY2025 (May-2024 to Apr-2025), bringing shares to 7,045,288,000 - matching stockanalysis.com's figure for FY2025 specifically. FY2023 and FY2024 shares assumed unchanged at 3,522,644,000 (no bonus/split evidence found for those two years) - not individually re-verified against each year's own annual report, flagged for a follow-up spot-check.</t>
  </si>
  <si>
    <t>CWG</t>
  </si>
  <si>
    <t>CWG Plc</t>
  </si>
  <si>
    <t>Total Assets/Liabilities/Net Income/Shares Outstanding from stockanalysis.com (S&amp;P Global Market Intelligence) 5-year balance sheet + income statement tables. MEDIUM-HIGH confidence (reputable aggregator, not hand-verified against primary NGX doclib PDF for each year, though filings confirmed to exist for all 5 years). Share_Price_YearEnd NOT found - still a gap. Auditor NOT confirmed this session (search did not surface the specific firm name) - flagged for follow-up. Share_Price_YearEnd added from stockanalysis.com Ratios page 'Last Close Price' by fiscal year (S&amp;P Global Market Intelligence) - MEDIUM-HIGH confidence, fiscal-year-end closing price, not hand-verified against an NGX historical price archive. Market_Value_Equity and Tobin_Q should now compute via the workbook's live formulas.</t>
  </si>
  <si>
    <t>DAARCOMM</t>
  </si>
  <si>
    <t>DAAR Communications Plc</t>
  </si>
  <si>
    <t>Baker Tilly Nigeria</t>
  </si>
  <si>
    <t>Total Assets/Liabilities/Net Income/Shares Outstanding from stockanalysis.com (S&amp;P Global Market Intelligence) 5-year tables. MEDIUM-HIGH confidence aggregator data, not hand-verified against primary NGX doclib PDF for each year. Firm has persistent negative Net Income and large accumulated deficit (Retained Earnings ~-N18.5bn by 2025) across the full panel window - real reported figures, not a data error; Shareholders' Equity remains positive throughout due to large paid-in capital/share premium. Share_Price_YearEnd NOT found - still a gap. Auditor NOT confirmed this session (varies by year per search result, specific name not surfaced) - flagged for follow-up. Share_Price_YearEnd added from stockanalysis.com Ratios page 'Last Close Price' by fiscal year (S&amp;P Global Market Intelligence) - MEDIUM-HIGH confidence, fiscal-year-end closing price, not hand-verified against an NGX historical price archive. Market_Value_Equity and Tobin_Q should now compute via the workbook's live formulas.</t>
  </si>
  <si>
    <t>DANGCEM</t>
  </si>
  <si>
    <t>Dangote Cement Plc</t>
  </si>
  <si>
    <t>Total Assets/Liabilities/Net Income/Shares Outstanding from stockanalysis.com (S&amp;P Global Market Intelligence) 5-year tables, cross-checked against NGX doclib/Dangote Cement IR filing list (documents confirmed to exist for all 5 years). MEDIUM-HIGH confidence aggregator data, not hand-verified line-by-line against primary PDF for each year given clean availability. Shares Outstanding declines slightly year to year due to treasury stock buybacks (17,000m in 2021 down to 16,752m by 2024-2025) - year-specific values used, not held constant. Share_Price_YearEnd NOT found - still a gap. Share_Price_YearEnd added from stockanalysis.com Ratios page 'Last Close Price' by fiscal year (S&amp;P Global Market Intelligence) - MEDIUM-HIGH confidence, fiscal-year-end closing price, not hand-verified against an NGX historical price archive. Market_Value_Equity and Tobin_Q should now compute via the workbook's live formulas.</t>
  </si>
  <si>
    <t>DANGSUGAR</t>
  </si>
  <si>
    <t>Dangote Sugar Refinery Plc</t>
  </si>
  <si>
    <t>Total Assets/Liabilities/Net Income/Shares Outstanding from stockanalysis.com (S&amp;P Global Market Intelligence) 5-year tables. MEDIUM-HIGH confidence aggregator data, not hand-verified line-by-line against primary PDF for each year. Firm swings from strong profit (2021-2022) to large losses (2023-2025), driven mainly by FX/currency exchange losses on USD-denominated debt following the naira devaluation - real reported figures, not a data error; Retained Earnings turns negative by 2024. Share_Price_YearEnd NOT found - still a gap. Share_Price_YearEnd added from stockanalysis.com Ratios page 'Last Close Price' by fiscal year (S&amp;P Global Market Intelligence) - MEDIUM-HIGH confidence, fiscal-year-end closing price, not hand-verified against an NGX historical price archive. Market_Value_Equity and Tobin_Q should now compute via the workbook's live formulas.</t>
  </si>
  <si>
    <t>ELLAHLAKES</t>
  </si>
  <si>
    <t>Ellah Lakes Plc</t>
  </si>
  <si>
    <t>AGRICULTURE</t>
  </si>
  <si>
    <t>Olabode Akande &amp; Co.</t>
  </si>
  <si>
    <t>RESOLVED, HIGH confidence: Ellah Lakes Plc 2021 Annual Report &amp; Accounts (year ended 31-Jul-2021, audited by Olabode Akande &amp; Co.), CardinalStone Registrars, Group/consolidated basis. Loss of -563,279 (of which -562,924 attributable to owners, -355 to NCI). TA-TL=7,121,283 matches reported Total_Equity (incl. NCI 799,900). Shares=2,000,000,000 (50 kobo par value, cross-checked against the shareholding-range table). Share_Price_YearEnd remains an open gap. Source: NGX doclib / registrar-hosted primary annual report. | Share_Price_YearEnd=4.25 sourced from the firm's own corporate/investor-relations website, manually verified by user (Ben) and supplied directly, 17-Aug-2026 -- resolves the previously-flagged Share_Price_YearEnd open gap. Market_Value_Equity and Tobin_Q recompute automatically via existing workbook formulas.</t>
  </si>
  <si>
    <t>MEDIUM-HIGH confidence. FYE is 31 July (not 31 December) for FY2022-2025 - mapped FYE-labelled year directly to the study's Year column (FYE 31-Jul-2022 = Year 2022), same convention as CUTIX/ACADEMY. IMPORTANT: the company changed its fiscal year-end to 31 December during 2025, filing a 17-month transition-period statement covering Aug-2024 to Dec-2025 (Total Assets N28.257bn, Total Liabilities N7.827bn, Net Income -N3.251bn, per that stub filing) - NOT used here, to preserve consistency with the FYE-Jul convention for all other years; the regular FYE 31-Jul-2025 annual figures were used instead for Study Year 2025. Future data collection should watch for this firm reporting on a calendar-year basis in Study Year 2026 onward. Total Assets/Liabilities/Net Income/Shares Outstanding/Share Price from stockanalysis.com (S&amp;P Global Market Intelligence) balance sheet, income statement and ratios pages. MEDIUM-HIGH confidence aggregator data.</t>
  </si>
  <si>
    <t>ENAMELWA</t>
  </si>
  <si>
    <t>Nigerian Enamelware Plc</t>
  </si>
  <si>
    <t>OOP and Partners (Chartered Accountants)</t>
  </si>
  <si>
    <t>RESOLVED, HIGH confidence (P&amp;L/equity) / MEDIUM-HIGH (TA/TL derived): Nigerian Enamelware Plc audited FS for year ended 30-Apr-2021, NGX doclib primary source. Net loss confirmed directly (-275,533); Total_Equity=555,806 confirmed directly (stated in 3 places). TA/TL reconstructed from note-level line items (PPE+Inventories+Receivables+Cash; Payables+Tax+DeferredTax) since the SOFP page itself didn't extract as text - both reconcile exactly to the confirmed equity (1,507,040-951,234=555,806). Shares=76,032,000 (50k par value). Share_Price_YearEnd remains an open gap. Source: NGX doclib / registrar-hosted primary annual report. | Share_Price_YearEnd=16.2 sourced from the firm's own corporate/investor-relations website, manually verified by user (Ben) and supplied directly, 17-Aug-2026 -- resolves the previously-flagged Share_Price_YearEnd open gap. Market_Value_Equity and Tobin_Q recompute automatically via existing workbook formulas.</t>
  </si>
  <si>
    <t>MEDIUM-HIGH confidence. FYE is 30 April (1-May to 30-Apr) - mapped FYE-labelled year directly to study Year column (FYE 30-Apr-2022 = Year 2022), same convention as CUTIX/ELLAHLAKES. Total Assets/Total Liabilities/Net Income/Shares Outstanding/Share Price (Last Close) from stockanalysis.com (S&amp;P Global Market Intelligence) balance sheet, income statement, and ratios pages. Auditor: OOP and Partners (Chartered Accountants) per FY2023 NGX-filed financial statements, NOT Big4.</t>
  </si>
  <si>
    <t>MEDIUM-HIGH confidence. FYE is 30 April (1-May to 30-Apr) - mapped FYE-labelled year directly to study Year column (FYE 30-Apr-2022 = Year 2022), same convention as CUTIX/ELLAHLAKES. Total Assets/Total Liabilities/Net Income/Shares Outstanding/Share Price (Last Close) from stockanalysis.com (S&amp;P Global Market Intelligence) balance sheet, income statement, and ratios pages. Auditor: OOP and Partners (Chartered Accountants) per FY2023 NGX-filed financial statements, NOT Big4. DATA QUALITY FLAG: firm in negative shareholders'-equity position this year (per stockanalysis.com balance sheet) - real financial distress, not a data error; see Firm Master note.</t>
  </si>
  <si>
    <t>ETERNA</t>
  </si>
  <si>
    <t>Eterna Plc</t>
  </si>
  <si>
    <t>MEDIUM-HIGH confidence. Standard FYE 31-Dec, no year-mapping adjustment needed. Total Assets/Total Liabilities/Net Income/Shares Outstanding/Share Price (Last Close) from stockanalysis.com (S&amp;P Global Market Intelligence) balance sheet, income statement, and ratios pages. Auditor: PricewaterhouseCoopers, Big4, per search of NGX-filed annual reports/AGM notices.</t>
  </si>
  <si>
    <t>ETI</t>
  </si>
  <si>
    <t>Ecobank Transnational Incorporated</t>
  </si>
  <si>
    <t>Deloitte and Grant Thornton (joint auditors)</t>
  </si>
  <si>
    <t>GAP CLOSED per user instruction. HIGH confidence - unlike the initial USD-only stockanalysis.com pull, ETI's own NGX-filed 'Quarter 5 / Year-End' financial statements include an official company-prepared 'Consolidated statement of financial position - NGN' companion statement (translated from the USD Group consolidated accounts at each period's applicable exchange rate), used here instead of an independently estimated FX conversion. Sourced from three NGX doclib filings: doc 46650 (FY2025 vs FY2024 restated NGN comparatives), doc 41114 (FY2023 vs FY2022 NGN comparatives), and doc 37946 (FY2022 filing, whose FY2021 NGN comparative column supplies the FY2021 figures). The large NGN asset growth from FY2022 to FY2023 (+94%) reflects the June-2023 naira devaluation/unification, not real operating growth - a currency-translation effect inherent to any NGN-denominated view of this USD-functional-currency group; flag for methodology chapter if Firm_Size/Leverage trends for this firm look anomalous relative to NGN-functional-currency peers. Auditor: Deloitte and Grant Thornton (joint auditors), Big4 (Deloitte). Shares Outstanding: FY2021 uses the company's own reported period-end count (24.73bn, FY2021 earnings release); FY2022-2025 use stockanalysis.com balance-sheet period-end counts (24.593bn 2022-2024, 24.566bn 2025, reflecting a small buyback). Share Price (Last Close, already NGN-denominated on NGX) from stockanalysis.com Ratios page.</t>
  </si>
  <si>
    <t>ETRANZACT</t>
  </si>
  <si>
    <t>eTranzact International Plc</t>
  </si>
  <si>
    <t>MEDIUM-HIGH confidence. Standard FYE 31-Dec, no year-mapping adjustment needed. Total Assets/Total Liabilities/Net Income from stockanalysis.com (S&amp;P Global Market Intelligence) balance sheet and income statement pages. Shares_Outstanding uses period-end balance sheet count (not the EPS-weighted-average shown on the income statement page, which differs for FY2021-2022 due to a mid-year share issuance/rights issue). Share Price (Last Close) from ratios page. Auditor name NOT confirmed this session - a search of NGX doclib/africanfinancials.com listings did not surface the specific audit firm name in the returned snippets; left blank pending a direct read of the FY2024/2025 annual report PDF as a follow-up. Auditor: Ernst &amp; Young (Big4), confirmed via FY2025 audited FS. HIGH confidence.</t>
  </si>
  <si>
    <t>EUNISELL</t>
  </si>
  <si>
    <t>Eunisell Chemicals Plc</t>
  </si>
  <si>
    <t>ANOC Professional Services</t>
  </si>
  <si>
    <t>MEDIUM-HIGH confidence. FYE is 30 June - mapped FYE-labelled year directly to study Year column (FYE 30-Jun-2022 = Year 2022), same convention as CUTIX/ELLAHLAKES/ENAMELWA. Total Assets/Liabilities/Net Income/Shares/Price from stockanalysis.com (S&amp;P Global Market Intelligence) balance sheet, income statement, ratios pages. Auditor not confirmed this session. Auditor: ANOC Professional Services (non-Big4), confirmed via NGX doclib filings. MEDIUM-HIGH confidence.</t>
  </si>
  <si>
    <t>FCMB</t>
  </si>
  <si>
    <t>FCMB Group Plc</t>
  </si>
  <si>
    <t>Deloitte and Touche</t>
  </si>
  <si>
    <t>MEDIUM-HIGH confidence. Standard FYE 31-Dec, no year-mapping adjustment needed. Total Assets/Total Liabilities/Net Income (Group total, before preferred-dividend adjustment)/Shares Outstanding/Share Price from stockanalysis.com (S&amp;P Global Market Intelligence). Auditor Deloitte and Touche (Big4) confirmed via WebSearch.</t>
  </si>
  <si>
    <t>MEDIUM-HIGH confidence. Standard FYE 31-Dec, no year-mapping adjustment needed. Total Assets/Total Liabilities/Net Income (Group total, before preferred-dividend adjustment)/Shares Outstanding/Share Price from stockanalysis.com (S&amp;P Global Market Intelligence). Auditor Deloitte and Touche (Big4) confirmed via WebSearch. NOTE: FY2025 figures are UNAUDITED as filed by the company (year-end results released January 2026 ahead of the audited annual report) - flag for methodology chapter if full-sample audited-vs-unaudited consistency is discussed.</t>
  </si>
  <si>
    <t>FIDELITYBK</t>
  </si>
  <si>
    <t>Fidelity Bank Plc</t>
  </si>
  <si>
    <t>MEDIUM-HIGH confidence. Standard FYE 31-Dec, no year-mapping adjustment needed. Total Assets/Total Liabilities/Net Income/Shares Outstanding from stockanalysis.com (S&amp;P Global Market Intelligence) balance sheet and income statement (Banks template). Share Price (Last Close, Dec 31 fiscal year-end) cross-checked against the quarterly ratios breakdown. Auditor Deloitte &amp; Touche (Big4) confirmed via WebSearch.</t>
  </si>
  <si>
    <t>MEDIUM-HIGH confidence. Standard FYE 31-Dec, no year-mapping adjustment needed. Total Assets/Total Liabilities/Net Income/Shares Outstanding from stockanalysis.com (S&amp;P Global Market Intelligence) balance sheet and income statement (Banks template). Share Price (Last Close, Dec 31 fiscal year-end) cross-checked against the quarterly ratios breakdown. Auditor Deloitte &amp; Touche (Big4) confirmed via WebSearch. | EAS FORWARD-FILLED 17-Aug-2026 (user-directed methodology correction): IFRS_S1S2_Adopter_Dummy changed from 0 to 1. Firm first made an explicit voluntary-adoption statement in FY2024; per corrected methodology, firms are not assumed to un-adopt a standard they've voluntarily aligned with, so all subsequent years are coded 1 even where a later report is quiet on the topic.</t>
  </si>
  <si>
    <t>FIDSON</t>
  </si>
  <si>
    <t>Fidson Healthcare Plc</t>
  </si>
  <si>
    <t>HEALTHCARE</t>
  </si>
  <si>
    <t>MEDIUM-HIGH confidence. Standard FYE 31-Dec, no year-mapping adjustment needed. Total Assets/Total Liabilities/Net Income/Shares Outstanding/Share Price from stockanalysis.com (S&amp;P Global Market Intelligence). Auditor Deloitte and Touche (Big4) confirmed via WebSearch.</t>
  </si>
  <si>
    <t>FIRSTHOLDCO</t>
  </si>
  <si>
    <t>FirstHoldCo Plc (First Bank Holding)</t>
  </si>
  <si>
    <t>MEDIUM-HIGH confidence. Standard FYE 31-Dec, no year-mapping adjustment needed. Total Assets/Total Liabilities/Net Income (Group total, before minority-interest adjustment)/Shares Outstanding/Share Price from stockanalysis.com (S&amp;P Global Market Intelligence). Auditor KPMG Professional Services (Big4) confirmed via WebSearch.</t>
  </si>
  <si>
    <t>FTGINSURE</t>
  </si>
  <si>
    <t>Fortis Global Insurance Plc (formerly Standard Alliance Insurance Plc)</t>
  </si>
  <si>
    <t>Muhtari Dangana &amp; Co (2021-2024); TAC Professional Services (2025)</t>
  </si>
  <si>
    <t>MEDIUM-HIGH confidence for Total Assets/Total Liabilities/Net Income/Shares Outstanding (from stockanalysis.com balance sheet and income statement, S&amp;P Global Market Intelligence). Share_Price_YearEnd deliberately LEFT BLANK - NGX trading was suspended for this entire study window (2-Jul-2019 to 4-Feb-2026), so no genuine year-end market price exists; the aggregator's flat N2,582m 'market cap' across all 5 years reflects a frozen pre-suspension price, not real price discovery, and using it would corrupt Market_Value_Equity/Tobin's Q. See Firm Master notes for full detail. RESOLVED (per user request): using N0.20 as Share_Price_YearEnd for all 5 study years (2021-2025) - this is the LAST GENUINE TRADED PRICE (Friday 28-Jun-2019, the trading day immediately before the 2-Jul-2019 suspension), carried forward as a stale/frozen reference price since NO trading occurred at any point during the entire FY2021-2025 study window (suspension ran 2-Jul-2019 to 4-Feb-2026). This is a standard convention for illiquid/suspended securities in panel datasets (last-observed-price-carried-forward) but should be read with the caveat that it does NOT reflect genuine price discovery for these specific fiscal year-ends - Market_Value_Equity and Tobin's Q computed from it are therefore a LOWER-CONFIDENCE estimate for this firm only, not a market-validated figure like every other firm-year in the panel. IMPORTANT SUBSEQUENT EVENT (outside study window, for context): the company completed a 4-for-1 share capital reconstruction in Jun/Jul-2026, reducing shares from 12.911bn to 3.228bn and relisting at a reference price of N3.96 on 2-Jul-2026 - the pre-reconstruction 12.911bn share count used throughout FY2021-2025 in this panel is correct for those years and should NOT be adjusted retroactively for the later reconstruction.</t>
  </si>
  <si>
    <t>FTNCOCOA</t>
  </si>
  <si>
    <t>FTN Cocoa Processors Plc</t>
  </si>
  <si>
    <t>MEDIUM-HIGH confidence. Standard FYE 31-Dec, no year-mapping adjustment needed. Total Assets/Total Liabilities/Net Income/Share Price from stockanalysis.com (S&amp;P Global Market Intelligence). Shares_Outstanding uses balance-sheet period-end counts (2.2bn FY2021, 3.9bn FY2022-2025) rather than the EPS-weighted-average shown on the income statement page, which differs materially for FY2021 due to a large in-year share issuance. Auditor Baker Tilly Nigeria (non-Big4) confirmed via WebSearch. Large net losses FY2023-2024 driven primarily by FX-translation charges (naira devaluation impact on foreign-currency liabilities), consistent with the pattern seen for other firms with material FX exposure in this panel (DAARCOMM, DANGSUGAR).</t>
  </si>
  <si>
    <t>GEREGU</t>
  </si>
  <si>
    <t>Geregu Power Plc</t>
  </si>
  <si>
    <t>UTILITIES</t>
  </si>
  <si>
    <t>MEDIUM-HIGH confidence. Balance sheet/income statement from stockanalysis.com (S&amp;P Global Market Intelligence). Share_Price_YearEnd derived from stockanalysis.com's official NGX market-cap-history snapshot (nearest year-end trading day) divided by constant 2.5bn shares outstanding: Dec-30-2022 cap N372.50bn-&gt;N149.00; Dec-29-2023 cap N997.50bn-&gt;N399.00 (cross-checked against Nairametrics 28-Dec-2023 report of ~N399/share); Dec-31-2024 cap N2.88trn-&gt;N1,152.00; Dec-31-2025 cap N2.85trn-&gt;N1,140.00 (cross-checked against afx.kwayisi.org recent quote ~N1,141.50).</t>
  </si>
  <si>
    <t>GTCO</t>
  </si>
  <si>
    <t>Guaranty Trust Holding Company Plc</t>
  </si>
  <si>
    <t>HIGH-MEDIUM confidence. Total_Assets/Total_Liabilities/Net_Income/Shares_Outstanding from stockanalysis.com (S&amp;P Global Market Intelligence) audited consolidated balance sheet + income statement, calendar FYE 31-Dec (standard). Shares_Outstanding grew materially in 2024-2025 (28.0bn-&gt;29.6bn-&gt;34.6bn) due to GTCO's capital raise/public offer to meet the CBN's revised N500bn minimum capital requirement for holding companies (2024 bank recapitalisation programme) - a genuine structural event, not a data error. Share_Price_YearEnd derived from stockanalysis.com's official NGX market-cap-history (nearest year-end trading day) divided by that year's exact shares outstanding: Dec-31-2021 N765.21bn/27.981bn-&gt;N27.35; Dec-30-2022 N676.92bn/28.022bn-&gt;N24.16; Dec-29-2023 N1.19trn/28.022bn-&gt;N42.47; Dec-31-2024 N1.68trn/29.554bn-&gt;N56.85; Dec-31-2025 N3.30trn/34.601bn-&gt;N95.37.</t>
  </si>
  <si>
    <t>HIGH-MEDIUM confidence. Total_Assets/Total_Liabilities/Net_Income/Shares_Outstanding from stockanalysis.com (S&amp;P Global Market Intelligence) audited consolidated balance sheet + income statement, calendar FYE 31-Dec (standard). Shares_Outstanding grew materially in 2024-2025 (28.0bn-&gt;29.6bn-&gt;34.6bn) due to GTCO's capital raise/public offer to meet the CBN's revised N500bn minimum capital requirement for holding companies (2024 bank recapitalisation programme) - a genuine structural event, not a data error. Share_Price_YearEnd derived from stockanalysis.com's official NGX market-cap-history (nearest year-end trading day) divided by that year's exact shares outstanding: Dec-31-2021 N765.21bn/27.981bn-&gt;N27.35; Dec-30-2022 N676.92bn/28.022bn-&gt;N24.16; Dec-29-2023 N1.19trn/28.022bn-&gt;N42.47; Dec-31-2024 N1.68trn/29.554bn-&gt;N56.85; Dec-31-2025 N3.30trn/34.601bn-&gt;N95.37. | EAS FORWARD-FILLED 17-Aug-2026 (user-directed methodology correction): IFRS_S1S2_Adopter_Dummy changed from 0 to 1. Firm first made an explicit voluntary-adoption statement in FY2023; per corrected methodology, firms are not assumed to un-adopt a standard they've voluntarily aligned with, so all subsequent years are coded 1 even where a later report is quiet on the topic. | SDQ/CDQ IMPUTED 17-Aug-2026 (user-directed): original score of 0/0 was an explicitly-flagged 'floor' value (document fetch cut off before reaching governance/ESG sections, NOT a confirmed disclosure decline -- see Coding Sheet Coding_Notes). Replaced with this firm's average SDQ/CDQ across its 3 genuinely-read panel years ([2021, 2022, 2023]): SDQ=46.6667, CDQ=22.2222. Coding Sheet's item-level codes and AC/AT formulas left untouched as the as-observed historical record.</t>
  </si>
  <si>
    <t>GUINEAINS</t>
  </si>
  <si>
    <t>Guinea Insurance Plc</t>
  </si>
  <si>
    <t>BDO Professional Services</t>
  </si>
  <si>
    <t>MEDIUM-HIGH confidence. Standard calendar FYE 31-Dec. Total_Assets/Total_Liabilities/Net_Income/Shares_Outstanding from stockanalysis.com (S&amp;P Global Market Intelligence) balance sheet + income statement tables. Shares_Outstanding rose from 6.14bn to 7.943bn between FY2022 and FY2023 (+29.36%, confirmed in stockanalysis's own YoY figure) - a genuine capital raise, consistent with NAICOM's tightened minimum capital requirements for Nigerian insurers around 2022-2023, not a data error. Share_Price_YearEnd derived from stockanalysis.com's official NGX market-cap-history (nearest year-end trading day) divided by that year's exact shares outstanding: Dec-31-2021 and Dec-30-2022 both N1.23bn cap/6.14bn shares-&gt;N0.20 (flat/illiquid both years); Dec-29-2023 N2.30bn/7.943bn-&gt;N0.29; Dec-31-2024 N6.43bn/7.943bn-&gt;N0.81; Dec-31-2025 N10.56bn/7.943bn-&gt;N1.33.</t>
  </si>
  <si>
    <t>MEDIUM-HIGH confidence. Standard calendar FYE 31-Dec. Total_Assets/Total_Liabilities/Net_Income/Shares_Outstanding from stockanalysis.com (S&amp;P Global Market Intelligence) balance sheet + income statement tables. Shares_Outstanding rose from 6.14bn to 7.943bn between FY2022 and FY2023 (+29.36%, confirmed in stockanalysis's own YoY figure) - a genuine capital raise, consistent with NAICOM's tightened minimum capital requirements for Nigerian insurers around 2022-2023, not a data error. Share_Price_YearEnd derived from stockanalysis.com's official NGX market-cap-history (nearest year-end trading day) divided by that year's exact shares outstanding: Dec-31-2021 and Dec-30-2022 both N1.23bn cap/6.14bn shares-&gt;N0.20 (flat/illiquid both years); Dec-29-2023 N2.30bn/7.943bn-&gt;N0.29; Dec-31-2024 N6.43bn/7.943bn-&gt;N0.81; Dec-31-2025 N10.56bn/7.943bn-&gt;N1.33. | SDQ/CDQ IMPUTED 17-Aug-2026 (user-directed): original score of 0/0 was an explicitly-flagged 'floor' value (document fetch cut off before reaching governance/ESG sections, NOT a confirmed disclosure decline -- see Coding Sheet Coding_Notes). Replaced with this firm's average SDQ/CDQ across its 4 genuinely-read panel years ([2021, 2022, 2023, 2024]): SDQ=28.75, CDQ=10.0. Coding Sheet's item-level codes and AC/AT formulas left untouched as the as-observed historical record.</t>
  </si>
  <si>
    <t>GUINNESS</t>
  </si>
  <si>
    <t>Guinness Nigeria Plc</t>
  </si>
  <si>
    <t>HIGH CONFIDENCE. FYE 30-Jun-2021, mapped to study Year 2021. Total_Assets (N169,406,525k), Total_Liabilities (N95,119,950k), Net_Income (N1,255,338k, a small profit - NOT a loss, despite FY2022-2024 all showing losses) and Shares_Outstanding (2,190,382,819 ordinary shares of 50k each) hand-verified DIRECTLY from Guinness Nigeria Plc's own FY2021 Audited Financial Statements (NGX doclib primary source, signed 25-Aug-2021). Share_Price_YearEnd: calendar 31-Dec-2021 proxy from stockanalysis.com market-cap-history (N85.42bn / 2,190,382,819 shares = N39.00) - note this is a Dec-2021 price against a Jun-2021 balance sheet (6-month lag), a known limitation of the FYE-mapping convention applied consistently across all non-standard-FYE firms in this panel.</t>
  </si>
  <si>
    <t>MEDIUM-HIGH confidence. FYE 30-Jun, mapped directly to study Year (FYE 30-Jun-2022=Year 2022). Total_Assets/Total_Liabilities/Net_Income/Shares_Outstanding from stockanalysis.com (S&amp;P Global Market Intelligence) balance sheet + income statement tables - not independently hand-verified against a primary PDF for this specific year (unlike FY2021 above). Share_Price_YearEnd: calendar year-end proxy from stockanalysis.com official NGX market-cap-history (nearest trading day to 31-Dec) / 2,190,382,819 shares.</t>
  </si>
  <si>
    <t>MEDIUM-HIGH confidence. FYE 30-Jun, mapped directly to study Year (FYE 30-Jun-2023=Year 2023). Total_Assets/Total_Liabilities/Net_Income/Shares_Outstanding from stockanalysis.com (S&amp;P Global Market Intelligence) balance sheet + income statement tables - not independently hand-verified against a primary PDF for this specific year (unlike FY2021 above). Share_Price_YearEnd: calendar year-end proxy from stockanalysis.com official NGX market-cap-history (nearest trading day to 31-Dec) / 2,190,382,819 shares.</t>
  </si>
  <si>
    <t>MEDIUM-HIGH confidence. FYE 30-Jun, mapped directly to study Year (FYE 30-Jun-2024=Year 2024). Total_Assets/Total_Liabilities/Net_Income/Shares_Outstanding from stockanalysis.com (S&amp;P Global Market Intelligence) balance sheet + income statement tables - not independently hand-verified against a primary PDF for this specific year (unlike FY2021 above). Share_Price_YearEnd: calendar year-end proxy from stockanalysis.com official NGX market-cap-history (nearest trading day to 31-Dec) / 2,190,382,819 shares.</t>
  </si>
  <si>
    <t>MEDIUM-HIGH confidence. FYE 30-Jun, mapped directly to study Year (FYE 30-Jun-2025=Year 2025). Total_Assets/Total_Liabilities/Net_Income/Shares_Outstanding from stockanalysis.com (S&amp;P Global Market Intelligence) balance sheet + income statement tables - not independently hand-verified against a primary PDF for this specific year (unlike FY2021 above). Share_Price_YearEnd: calendar year-end proxy from stockanalysis.com official NGX market-cap-history (nearest trading day to 31-Dec) / 2,190,382,819 shares.</t>
  </si>
  <si>
    <t>HBMNG</t>
  </si>
  <si>
    <t>HBM Nigeria Plc (formerly Lafarge Africa)</t>
  </si>
  <si>
    <t>MEDIUM-HIGH confidence. Total_Assets/Total_Liabilities/Net_Income/Shares_Outstanding from stockanalysis.com (S&amp;P Global Market Intelligence) balance sheet + income statement, standard calendar FYE 31-Dec. Company traded/reported under the name 'Lafarge Africa Plc' for the entirety of this study window (2021-2025) - the HBM Nigeria rebrand only took effect in 2026. Share_Price_YearEnd derived from stockanalysis.com's official NGX market-cap-history / 16.108bn shares: Dec-31-2021 N385.78bn-&gt;N23.95; Dec-30-2022 N386.59bn-&gt;N24.00; Dec-29-2023 N507.40bn-&gt;N31.50; Dec-31-2024 N1.13trn-&gt;N70.15; Dec-31-2025 N2.17trn-&gt;N134.71.</t>
  </si>
  <si>
    <t>MEDIUM-HIGH confidence. Total_Assets/Total_Liabilities/Net_Income/Shares_Outstanding from stockanalysis.com (S&amp;P Global Market Intelligence) balance sheet + income statement, standard calendar FYE 31-Dec. Company traded/reported under the name 'Lafarge Africa Plc' for the entirety of this study window (2021-2025) - the HBM Nigeria rebrand only took effect in 2026. Share_Price_YearEnd derived from stockanalysis.com's official NGX market-cap-history / 16.108bn shares: Dec-31-2021 N385.78bn-&gt;N23.95; Dec-30-2022 N386.59bn-&gt;N24.00; Dec-29-2023 N507.40bn-&gt;N31.50; Dec-31-2024 N1.13trn-&gt;N70.15; Dec-31-2025 N2.17trn-&gt;N134.71. | SDQ/CDQ IMPUTED 17-Aug-2026 (user-directed): original score of 0/0 was an explicitly-flagged 'floor' value (document fetch cut off before reaching governance/ESG sections, NOT a confirmed disclosure decline -- see Coding Sheet Coding_Notes). Replaced with this firm's average SDQ/CDQ across its 3 genuinely-read panel years ([2021, 2022, 2023]): SDQ=46.6667, CDQ=35.5556. Coding Sheet's item-level codes and AC/AT formulas left untouched as the as-observed historical record.</t>
  </si>
  <si>
    <t>HMCALL</t>
  </si>
  <si>
    <t>Haldane McCall Plc</t>
  </si>
  <si>
    <t>CONSTRUCTION/REAL ESTATE</t>
  </si>
  <si>
    <t>Funsho Owoyemi &amp; Co</t>
  </si>
  <si>
    <t>HIGH CONFIDENCE. Total_Assets (N21,994,814k), Total_Liabilities (N5,338,909k), Net_Income (N679,625k) hand-verified DIRECTLY from Haldane McCall Plc's own FY2024 Audited Financial Statements (company-hosted primary source). Shares_Outstanding: 3,122,000,000 (per NGX listing announcement, 20-Nov-2024). Share_Price_YearEnd: N4.78, the 31-Dec-2024 NGX close per stockanalysis.com's official market-cap-history (N14.92bn / 3.122bn shares) - this is only ~6 weeks after listing, so should be read as an early post-listing price, not a price reflecting a full year of market discovery (similar caveat to ARADEL's FY2024 row).</t>
  </si>
  <si>
    <t>MEDIUM-HIGH confidence. Net_Income (N642,461k) hand-confirmed from company results coverage (FY2025, Revenue N2,276,222k, PBT N754,899k). Total_Assets (N21.83bn) and Total_Liabilities (derived: N21.83bn TA - N17.15bn Shareholders' Equity = N4.68bn) from the same FY2025 results coverage - not independently cross-checked against the full primary audited FS PDF for exact to-the-naira figures. Share_Price_YearEnd: N4.00, from stockanalysis.com's official 31-Dec-2025 market-cap-history (N12.49bn / 3.122bn shares).</t>
  </si>
  <si>
    <t>HONYFLOUR</t>
  </si>
  <si>
    <t>Honeywell Flour Mills Plc</t>
  </si>
  <si>
    <t>Baker Tilly Nigeria (FY2021-2023); Ernst &amp; Young (FY2024-2025)</t>
  </si>
  <si>
    <t>HIGH CONFIDENCE. FYE 31-Mar-2021, mapped to study Year 2021. Total_Assets (N147,394,656k), Total_Liabilities (N89,425,978k, cross-checked: TA-TL=Shareholders' Fund N57,968,678k matches exactly), Net_Income (N1,125,864k) and Shares_Outstanding (7,930,198,000, derived from N3,965,099k share capital at 50k par) hand-verified DIRECTLY from Honeywell Flour Mills Plc's own FY2021 Annual Report (company S3-hosted primary source). Share_Price_YearEnd: calendar 31-Dec-2021 proxy from stockanalysis.com market-cap-history (N26.96bn / 7.93bn shares = N3.40). AUDITOR: Baker Tilly Nigeria (non-Big4) - HIGH confidence for FY2021 (primary source), MEDIUM confidence FY2022-2023 (confirmed non-EY per FY2024 Auditor's Report reference to prior year being audited 'by another auditor', but Baker Tilly specifically not independently re-verified for FY2022-2023).</t>
  </si>
  <si>
    <t>MEDIUM-HIGH confidence. FYE 31-March, mapped directly to study Year (FYE 31-Mar-2022=Year 2022). Total_Assets/Total_Liabilities/Net_Income/Shares_Outstanding from stockanalysis.com (S&amp;P Global Market Intelligence). Share_Price_YearEnd: calendar year-end proxy from stockanalysis.com market-cap-history / 7.93bn shares. AUDITOR: Baker Tilly Nigeria (non-Big4) - HIGH confidence for FY2021 (primary source), MEDIUM confidence FY2022-2023 (confirmed non-EY per FY2024 Auditor's Report reference to prior year being audited 'by another auditor', but Baker Tilly specifically not independently re-verified for FY2022-2023).</t>
  </si>
  <si>
    <t>MEDIUM-HIGH confidence. FYE 31-March, mapped directly to study Year (FYE 31-Mar-2023=Year 2023). Total_Assets/Total_Liabilities/Net_Income/Shares_Outstanding from stockanalysis.com (S&amp;P Global Market Intelligence). Share_Price_YearEnd: calendar year-end proxy from stockanalysis.com market-cap-history / 7.93bn shares. AUDITOR: Baker Tilly Nigeria (non-Big4) - HIGH confidence for FY2021 (primary source), MEDIUM confidence FY2022-2023 (confirmed non-EY per FY2024 Auditor's Report reference to prior year being audited 'by another auditor', but Baker Tilly specifically not independently re-verified for FY2022-2023).</t>
  </si>
  <si>
    <t>MEDIUM-HIGH confidence. FYE 31-March, mapped directly to study Year (FYE 31-Mar-2024=Year 2024). Total_Assets/Total_Liabilities/Net_Income/Shares_Outstanding from stockanalysis.com (S&amp;P Global Market Intelligence). Share_Price_YearEnd: calendar year-end proxy from stockanalysis.com market-cap-history / 7.93bn shares. AUDITOR: Ernst &amp; Young (Big4) confirmed HIGH confidence from FY2024 Independent Auditor's Report (doclib.ngxgroup.com), which also confirms FY2023 was audited by a different (non-EY) firm.</t>
  </si>
  <si>
    <t>MEDIUM-HIGH confidence. FYE 31-March, mapped directly to study Year (FYE 31-Mar-2025=Year 2025). Total_Assets/Total_Liabilities/Net_Income/Shares_Outstanding from stockanalysis.com (S&amp;P Global Market Intelligence). Share_Price_YearEnd: calendar year-end proxy from stockanalysis.com market-cap-history / 7.93bn shares. AUDITOR: Ernst &amp; Young (Big4) confirmed HIGH confidence from FY2024 Independent Auditor's Report (doclib.ngxgroup.com), which also confirms FY2023 was audited by a different (non-EY) firm.</t>
  </si>
  <si>
    <t>IKEJAHOTEL</t>
  </si>
  <si>
    <t>Ikeja Hotel Plc</t>
  </si>
  <si>
    <t>Ugochukwu, Ike &amp; Co / Ahmed Zakari &amp; Co (Joint Auditors)</t>
  </si>
  <si>
    <t>MEDIUM-HIGH confidence: balance sheet/income statement figures from stockanalysis.com (S&amp;P Global Market Intelligence aggregator). Share_Price_YearEnd derived by dividing stockanalysis.com's year-end Market Cap by shares outstanding for that year (own quoted trading price not independently cross-checked against an NGX closing-price data feed). FY2022 net income is a genuine reported loss (-3,954,000 thousand), consistent with a sharp operating-margin decline that year per the same source.</t>
  </si>
  <si>
    <t>IMG</t>
  </si>
  <si>
    <t>IMG Plc (name not yet fully confirmed - ticker verified active/trading)</t>
  </si>
  <si>
    <t>NATURAL RESOURCES</t>
  </si>
  <si>
    <t>MEDIUM-HIGH confidence: balance sheet/income statement figures from stockanalysis.com (S&amp;P Global Market Intelligence aggregator). Share_Price_YearEnd derived by dividing stockanalysis.com's year-end Market Cap by shares outstanding for that year. See Firm Master Notes re: FY2025 shares-outstanding jump (balance-sheet period-end count vs EPS weighted-average count) - used the higher period-end figure for consistency with dataset convention.</t>
  </si>
  <si>
    <t>INFINITY</t>
  </si>
  <si>
    <t>Infinity Trust Mortgage Bank Plc</t>
  </si>
  <si>
    <t>MEDIUM-HIGH confidence: balance sheet/income statement figures from stockanalysis.com (S&amp;P Global Market Intelligence aggregator). Share_Price_YearEnd derived by dividing stockanalysis.com's year-end Market Cap by the constant 8.341bn shares outstanding. NOTE: stockanalysis.com's own market-cap history shows an IDENTICAL 29.19B figure for both Dec-2024 and Dec-2025 year-ends, which may indicate the FY2025 data point had not yet been refreshed by the aggregator as of data-pull date (5-Aug-2026) rather than a genuine flat year - flagged as a LOW-MEDIUM confidence point for the FY2025 Share_Price_YearEnd specifically; all other years and the balance-sheet/income-statement figures are MEDIUM-HIGH confidence.</t>
  </si>
  <si>
    <t>INTBREW</t>
  </si>
  <si>
    <t>International Breweries Plc</t>
  </si>
  <si>
    <t>PricewaterhouseCoopers (PwC)</t>
  </si>
  <si>
    <t>MEDIUM-HIGH confidence: balance sheet/income statement figures from stockanalysis.com (S&amp;P Global Market Intelligence aggregator). Share_Price_YearEnd derived by dividing year-end Market Cap by period-end Shares_Outstanding (balance-sheet 'Total Common Shares Outstanding' figure, not the lower EPS-weighted-average count) for consistency with dataset convention. FY2024 Shares_Outstanding reflects a large in-year capital raise (~6.3x share count increase) - genuine corporate event, not a data error, consistent with AB InBev's publicly reported deleveraging of the Nigerian subsidiary around this time.</t>
  </si>
  <si>
    <t>INTENEGINS</t>
  </si>
  <si>
    <t>International Energy Insurance Plc</t>
  </si>
  <si>
    <t>Doyin Owolabi &amp; Co</t>
  </si>
  <si>
    <t>MEDIUM-HIGH confidence: balance sheet/income statement figures from stockanalysis.com (S&amp;P Global Market Intelligence aggregator). Share_Price_YearEnd derived by dividing year-end Market Cap by shares outstanding. NOTE: source shows an IDENTICAL 487.95M market cap for both Dec-2021 and Dec-2022 year-ends - plausible for a distressed micro-cap with negative equity and thin trading, but flagged LOW-MEDIUM confidence for those two Share_Price_YearEnd points specifically since it could also reflect a stale/illiquid quote. Total_Liabilities exceeds Total_Assets for FY2021-2024 (genuine negative equity, matches company's reported accumulated losses), turning positive in FY2025 after the NAPL recapitalisation.</t>
  </si>
  <si>
    <t>JAIZBANK</t>
  </si>
  <si>
    <t>Jaiz Bank Plc</t>
  </si>
  <si>
    <t>MEDIUM-HIGH confidence: balance sheet/income statement figures from stockanalysis.com (S&amp;P Global Market Intelligence aggregator). Share_Price_YearEnd derived by dividing year-end Market Cap by period-end Shares_Outstanding. FY2025 Shares_Outstanding increase (34.541bn to 44.589bn) reflects a capital raise, consistent with CBN's ongoing bank recapitalisation programme affecting the whole Nigerian banking sector in this period.</t>
  </si>
  <si>
    <t>JAPAULGOLD</t>
  </si>
  <si>
    <t>Japaul Gold &amp; Ventures Plc</t>
  </si>
  <si>
    <t>MEDIUM-HIGH confidence: balance sheet/income statement figures from stockanalysis.com (S&amp;P Global Market Intelligence aggregator). Share_Price_YearEnd derived by dividing year-end Market Cap by period-end Shares_Outstanding. Total_Liabilities exceeded Total_Assets-linked equity in FY2022-2023 (genuine negative equity from accumulated losses), resolved by the FY2024 capital raise.</t>
  </si>
  <si>
    <t>JBERGER</t>
  </si>
  <si>
    <t>Julius Berger Nigeria Plc</t>
  </si>
  <si>
    <t>MEDIUM-HIGH confidence: balance sheet/income statement figures from stockanalysis.com (S&amp;P Global Market Intelligence aggregator). Share_Price_YearEnd derived by dividing year-end Market Cap by the constant 1.6bn shares outstanding (unchanged across all 5 years).</t>
  </si>
  <si>
    <t>JOHNHOLT</t>
  </si>
  <si>
    <t>John Holt Plc</t>
  </si>
  <si>
    <t>MEDIUM-HIGH confidence for Total_Assets/Total_Liabilities/Net_Income/Shares_Outstanding (genuine FYE 30-Sep figures from stockanalysis.com, S&amp;P Global Market Intelligence aggregator). Share_Price_YearEnd is LOW-MEDIUM confidence: approximated using the nearest available calendar Dec-31 market-cap data point (same numeric year) divided by shares outstanding, since no Sep-30 specific closing price was available from this source - flagged as an approximation, consistent with the FYE-mapping convention used elsewhere in this dataset.</t>
  </si>
  <si>
    <t>JULI</t>
  </si>
  <si>
    <t>Juli Plc</t>
  </si>
  <si>
    <t>Ayinde Saheed &amp; Co</t>
  </si>
  <si>
    <t>MEDIUM-HIGH confidence: balance sheet/income statement figures from stockanalysis.com (S&amp;P Global Market Intelligence aggregator). Share_Price_YearEnd derived by dividing year-end Market Cap by shares outstanding. Total_Liabilities exceeded Total_Assets FY2021-2024 (genuine negative equity from accumulated losses), resolved by a FY2024-2025 capital raise. FY2024 Share_Price shows a large jump (0.59 -&gt; 10.30) coinciding with the capital raise - a real market re-rating event per the source, not verified against an independent NGX closing-price feed.</t>
  </si>
  <si>
    <t>LASACO</t>
  </si>
  <si>
    <t>Lasaco Assurance Plc</t>
  </si>
  <si>
    <t>MEDIUM-HIGH confidence: balance sheet/income statement figures from stockanalysis.com (S&amp;P Global Market Intelligence aggregator). Share_Price_YearEnd derived by dividing year-end Market Cap by period-end Shares_Outstanding.</t>
  </si>
  <si>
    <t>LEARNAFRCA</t>
  </si>
  <si>
    <t>Learn Africa Plc</t>
  </si>
  <si>
    <t>RESOLVED, HIGH confidence: Learn Africa Plc Audited FS for year ended 31-Mar-2021, NGX doclib primary source. TA-TL=3,228,774 matches reported Total_Equity. Shares=771,450,000 (50k par value). Share_Price_YearEnd remains an open gap - stockanalysis.com's historical price pages are JS-paginated and 2021 data could not be retrieved via headless fetch this session. Source: NGX doclib / registrar-hosted primary annual report. | Share_Price_YearEnd=1.17 sourced from the firm's own corporate/investor-relations website, manually verified by user (Ben) and supplied directly, 17-Aug-2026 -- resolves the previously-flagged Share_Price_YearEnd open gap. Market_Value_Equity and Tobin_Q recompute automatically via existing workbook formulas.</t>
  </si>
  <si>
    <t>MEDIUM-HIGH confidence: balance sheet/income statement figures from stockanalysis.com (S&amp;P Global Market Intelligence aggregator), genuine FYE 31-March figures. Share_Price_YearEnd is LOW-MEDIUM confidence: approximated from the nearest PRECEDING calendar Dec-31 market-cap point (no Mar-31-specific closing price was available from this source) - see Firm Master Notes for the pairing logic.</t>
  </si>
  <si>
    <t>LEGENDINT</t>
  </si>
  <si>
    <t>Legend Internet Plc</t>
  </si>
  <si>
    <t>Poju Professional Services</t>
  </si>
  <si>
    <t>LISTING-YEAR (2025): Shares_Outstanding=2bn per the NGX listing announcement (HIGH confidence). Share_Price_YearEnd is the nearest-year-end proxy (Dec-31-2025 market cap of 10.58B / 2bn shares = 5.29), LOW-MEDIUM confidence, reflecting only a partial year of post-listing (Apr-Dec 2025) market discovery. Total_Assets/Total_Liabilities are INDIRECTLY DERIVED from press-reported Shareholders' Funds (N2.87bn = ~86% of total assets) for the year ended 31-Jul-2025 - LOW-MEDIUM confidence, not independently verified against the primary audited FS. Net_Income (N142,457,000) is HIGH confidence, directly reported.</t>
  </si>
  <si>
    <t>LINKASSURE</t>
  </si>
  <si>
    <t>Linkage Assurance Plc</t>
  </si>
  <si>
    <t>Ernst &amp; Young (FY2021-2024); KPMG Professional Services (FY2025)</t>
  </si>
  <si>
    <t>MEDIUM-HIGH confidence: stockanalysis.com (S&amp;P Global Market Intelligence aggregator) balance sheet/income statement/market-cap-history. Auditor this year: Ernst &amp; Young (Big4). Share_Price_YearEnd = Dec-31 market cap / period-end shares outstanding.</t>
  </si>
  <si>
    <t>MEDIUM-HIGH confidence: stockanalysis.com (S&amp;P Global Market Intelligence aggregator) balance sheet/income statement/market-cap-history. Auditor this year: KPMG Professional Services (Big4). Share_Price_YearEnd = Dec-31 market cap / period-end shares outstanding.</t>
  </si>
  <si>
    <t>LIVESTOCK</t>
  </si>
  <si>
    <t>Livestock Feeds Plc</t>
  </si>
  <si>
    <t>Ernst &amp; Young (since 20-Sep-2018 AGM)</t>
  </si>
  <si>
    <t>MEDIUM-HIGH confidence: stockanalysis.com (S&amp;P Global Market Intelligence aggregator) balance sheet/income statement/market-cap-history. Auditor Ernst &amp; Young (Big4) since 20-Sep-2018 AGM. Share_Price_YearEnd = Dec-31 market cap / period-end shares outstanding.</t>
  </si>
  <si>
    <t>LIVINGTRUST</t>
  </si>
  <si>
    <t>Living Trust Mortgage Bank Plc</t>
  </si>
  <si>
    <t>MEDIUM-HIGH confidence: stockanalysis.com (S&amp;P Global Market Intelligence aggregator) balance sheet/income statement/market-cap-history. Auditor PKF Professional Services (non-Big4) - confirmed HIGH confidence via the company's FY2024 Audited FS Corporate Information page (doclib.ngxgroup.com), after three prior WebSearch attempts were inconclusive. Share_Price_YearEnd = Dec-31 market cap / period-end shares outstanding.</t>
  </si>
  <si>
    <t>MANSARD</t>
  </si>
  <si>
    <t>AXA Mansard Insurance Plc</t>
  </si>
  <si>
    <t>MEDIUM-HIGH confidence: stockanalysis.com (S&amp;P Global Market Intelligence aggregator) balance sheet/income statement/market-cap-history. Auditor KPMG Professional Services (Big4). Net_Income is the 'Net Income' (attributable to owners of parent) line, not the pre-minority-interest 'Net Income to Company' line. Share_Price_YearEnd = Dec-31 market cap / period-end shares outstanding.</t>
  </si>
  <si>
    <t>MAYBAKER</t>
  </si>
  <si>
    <t>May &amp; Baker Nigeria Plc</t>
  </si>
  <si>
    <t>MEDIUM-HIGH confidence: stockanalysis.com (S&amp;P Global Market Intelligence aggregator) balance sheet/income statement/market-cap-history. Auditor PKF Professional Services (non-Big4, per 2019 AFS, most recent confirmation available). Share_Price_YearEnd = Dec-31 market cap / period-end shares outstanding.</t>
  </si>
  <si>
    <t>MBENEFIT</t>
  </si>
  <si>
    <t>Mutual Benefits Assurance Plc</t>
  </si>
  <si>
    <t>MEDIUM-HIGH confidence: stockanalysis.com (S&amp;P Global Market Intelligence aggregator) balance sheet/income statement/market-cap-history. Auditor KPMG Professional Services (Big4) - HIGH confidence, confirmed via the company's own FY2025 FS Corporate Information page. FY2021 shows a genuine reported net loss (-5,575,000). Share_Price_YearEnd = Dec-31 market cap / period-end shares outstanding.</t>
  </si>
  <si>
    <t>MCNICHOLS</t>
  </si>
  <si>
    <t>McNichols Consolidated Plc</t>
  </si>
  <si>
    <t>Not independently confirmed</t>
  </si>
  <si>
    <t>MEDIUM-HIGH confidence (financials): stockanalysis.com (S&amp;P Global Market Intelligence aggregator) balance sheet/income statement/market-cap-history. Auditor name UNRESOLVED (LOW confidence) - see Firm Master Notes; a large share-count increase occurred in FY2023 (718.74m -&gt; 1,117m). Share_Price_YearEnd = Dec-31 market cap / period-end shares outstanding.</t>
  </si>
  <si>
    <t>MECURE</t>
  </si>
  <si>
    <t>Mecure Industries Plc</t>
  </si>
  <si>
    <t>Alexander Johnson &amp; Co</t>
  </si>
  <si>
    <t>MEDIUM-HIGH confidence: stockanalysis.com (S&amp;P Global Market Intelligence aggregator) balance sheet/income statement/market-cap-history. Auditor Alexander Johnson &amp; Co (non-Big4). FY2023 is the NGX listing year (7-Nov-2023) - Share_Price_YearEnd uses the nearest-year-end (Dec-31-2023) trading price as a LOW-MEDIUM confidence proxy per the listing-year-price convention.</t>
  </si>
  <si>
    <t>MEDIUM-HIGH confidence: stockanalysis.com (S&amp;P Global Market Intelligence aggregator) balance sheet/income statement/market-cap-history. Auditor Alexander Johnson &amp; Co (non-Big4).</t>
  </si>
  <si>
    <t>MEYER</t>
  </si>
  <si>
    <t>Meyer Plc</t>
  </si>
  <si>
    <t>MEDIUM-HIGH confidence: stockanalysis.com (S&amp;P Global Market Intelligence aggregator) balance sheet/income statement/market-cap-history. Auditor BDO Professional Services (non-Big4). FY2021-2022 show weak/negative operating income consistent with post-COVID input-cost pressure in the paints sector, before a strong recovery from FY2023.</t>
  </si>
  <si>
    <t>MORISON</t>
  </si>
  <si>
    <t>Morison Industries Plc</t>
  </si>
  <si>
    <t>MEDIUM-HIGH confidence: stockanalysis.com (S&amp;P Global Market Intelligence aggregator) balance sheet/income statement/market-cap-history. Auditor BDO Professional Services (non-Big4). Genuine reported net losses FY2021-2024, small profit in FY2025.</t>
  </si>
  <si>
    <t>MTNN</t>
  </si>
  <si>
    <t>MTN Nigeria Communications Plc</t>
  </si>
  <si>
    <t>MEDIUM-HIGH confidence: stockanalysis.com (S&amp;P Global Market Intelligence aggregator) balance sheet/income statement/market-cap-history. Auditor Ernst &amp; Young (Big4). FY2023-2024 net losses driven by naira-devaluation-related FX losses, consistent with MTN Group's publicly reported Nigerian operating environment commentary for this period.</t>
  </si>
  <si>
    <t>MEDIUM-HIGH confidence: stockanalysis.com (S&amp;P Global Market Intelligence aggregator) balance sheet/income statement/market-cap-history. Auditor Ernst &amp; Young (Big4). FY2023-2024 net losses driven by naira-devaluation-related FX losses, consistent with MTN Group's publicly reported Nigerian operating environment commentary for this period. | EAS FORWARD-FILLED 17-Aug-2026 (user-directed methodology correction): IFRS_S1S2_Adopter_Dummy changed from 0 to 1. Firm first made an explicit voluntary-adoption statement in FY2023; per corrected methodology, firms are not assumed to un-adopt a standard they've voluntarily aligned with, so all subsequent years are coded 1 even where a later report is quiet on the topic.</t>
  </si>
  <si>
    <t>MULTIVERSE</t>
  </si>
  <si>
    <t>Multiverse Mining and Exploration Plc</t>
  </si>
  <si>
    <t>Olukayode Aina &amp; Co</t>
  </si>
  <si>
    <t>MEDIUM-HIGH confidence: stockanalysis.com (S&amp;P Global Market Intelligence aggregator) balance sheet/income statement/market-cap-history. Auditor Olukayode Aina &amp; Co (non-Big4) - HIGH confidence, confirmed via the company's own website Corporate Information page.</t>
  </si>
  <si>
    <t>NAHCO</t>
  </si>
  <si>
    <t>Nigerian Aviation Handling Company (NAHCO) Plc</t>
  </si>
  <si>
    <t>MEDIUM-HIGH confidence: stockanalysis.com (S&amp;P Global Market Intelligence aggregator) balance sheet/income statement/market-cap-history. Auditor Ernst &amp; Young (Big4). Strong growth in revenue and net income across the study window (aviation-sector recovery).</t>
  </si>
  <si>
    <t>NASCON</t>
  </si>
  <si>
    <t>NASCON Allied Industries Plc</t>
  </si>
  <si>
    <t>MEDIUM-HIGH confidence: stockanalysis.com (S&amp;P Global Market Intelligence aggregator) balance sheet/income statement/market-cap-history. Auditor PwC (Big4). Dangote Group subsidiary; strong consistent revenue/profit growth across the study window.</t>
  </si>
  <si>
    <t>NB</t>
  </si>
  <si>
    <t>Nigerian Breweries Plc</t>
  </si>
  <si>
    <t>Deloitte &amp; Touche (FY2021-2024); KPMG Professional Services (FY2025, appointed 16-Apr-2025)</t>
  </si>
  <si>
    <t xml:space="preserve">MEDIUM-HIGH confidence: stockanalysis.com (S&amp;P Global Market Intelligence aggregator) balance sheet/income statement/market-cap-history. Auditor for FY2021: Deloitte &amp; Touche (Big4). </t>
  </si>
  <si>
    <t xml:space="preserve">MEDIUM-HIGH confidence: stockanalysis.com (S&amp;P Global Market Intelligence aggregator) balance sheet/income statement/market-cap-history. Auditor for FY2022: Deloitte &amp; Touche (Big4). </t>
  </si>
  <si>
    <t xml:space="preserve">MEDIUM-HIGH confidence: stockanalysis.com (S&amp;P Global Market Intelligence aggregator) balance sheet/income statement/market-cap-history. Auditor for FY2023: Deloitte &amp; Touche (Big4). Large reported net loss driven by naira-devaluation-related FX losses. </t>
  </si>
  <si>
    <t xml:space="preserve">MEDIUM-HIGH confidence: stockanalysis.com (S&amp;P Global Market Intelligence aggregator) balance sheet/income statement/market-cap-history. Auditor for FY2024: Deloitte &amp; Touche (Big4). Large reported net loss driven by naira-devaluation-related FX losses. Large share-count increase (10.276bn-&gt;30.983bn) from a major capital raise/rights issue. </t>
  </si>
  <si>
    <t xml:space="preserve">MEDIUM-HIGH confidence: stockanalysis.com (S&amp;P Global Market Intelligence aggregator) balance sheet/income statement/market-cap-history. Auditor for FY2025: KPMG Professional Services (appointed 16-Apr-2025) (Big4). </t>
  </si>
  <si>
    <t>NCR</t>
  </si>
  <si>
    <t>NCR (Nigeria) Plc</t>
  </si>
  <si>
    <t>Grant Thornton</t>
  </si>
  <si>
    <t>MEDIUM-HIGH confidence: stockanalysis.com (S&amp;P Global Market Intelligence aggregator) balance sheet/income statement/market-cap-history. Auditor Grant Thornton (non-Big4). Persistently negative Shareholders' Equity (genuine financial distress) across the study window - Total_Liabilities exceeds Total_Assets in the underlying source data; standard Leverage/ROA/Tobin's Q ratios computed from the entered figures may need cautious interpretation given the negative-equity condition.</t>
  </si>
  <si>
    <t>NEIMETH</t>
  </si>
  <si>
    <t>Neimeth International Pharmaceuticals Plc</t>
  </si>
  <si>
    <t>RESOLVED, HIGH confidence: FY2022 transition-period annual report (15-month period 1-Oct-2021 to 31-Dec-2022, following a FYE change from September to December) presents FY2021 (12 months to 30-Sep-2021) as its comparative column. TA-TL=1,414,067 matches reported Total_Equity. Confirms and refines the previously-flagged press estimate (~271m PAT at the 63rd AGM). Source: NGX doclib / registrar-hosted primary annual report.</t>
  </si>
  <si>
    <t>MEDIUM confidence: stockanalysis.com (S&amp;P Global Market Intelligence aggregator) balance sheet/income statement/market-cap-history, calendar-year (Dec-31 FYE) figures post the FYE-transition. Auditor BDO Professional Services (non-Big4).</t>
  </si>
  <si>
    <t>MEDIUM confidence: stockanalysis.com (S&amp;P Global Market Intelligence aggregator) balance sheet/income statement/market-cap-history, calendar-year (Dec-31 FYE) figures post the FYE-transition. Auditor BDO Professional Services (non-Big4). Large share-count increase (1.899bn-&gt;4.273bn, +125%) from a bonus/capital-raise issue.</t>
  </si>
  <si>
    <t>NEM</t>
  </si>
  <si>
    <t>NEM Insurance Plc</t>
  </si>
  <si>
    <t>MEDIUM-HIGH confidence: stockanalysis.com (S&amp;P Global Market Intelligence aggregator) balance sheet/income statement/market-cap-history. Auditor KPMG Professional Services (Big4). Strong consistent revenue/profit growth across the study window.</t>
  </si>
  <si>
    <t>NESTLE</t>
  </si>
  <si>
    <t>Nestle Nigeria Plc</t>
  </si>
  <si>
    <t xml:space="preserve">MEDIUM-HIGH confidence: stockanalysis.com (S&amp;P Global Market Intelligence aggregator) balance sheet/income statement/market-cap-history. Auditor Ernst &amp; Young (Big4). </t>
  </si>
  <si>
    <t>MEDIUM-HIGH confidence: stockanalysis.com (S&amp;P Global Market Intelligence aggregator) balance sheet/income statement/market-cap-history. Auditor Ernst &amp; Young (Big4). Large reported net loss driven by naira-devaluation-related FX losses, pushing Shareholders' Equity negative - genuine reported condition, not a data error.</t>
  </si>
  <si>
    <t>NGXGROUP</t>
  </si>
  <si>
    <t>Nigerian Exchange Group Plc</t>
  </si>
  <si>
    <t>MEDIUM-HIGH confidence: stockanalysis.com (S&amp;P Global Market Intelligence aggregator) balance sheet/income statement/market-cap-history. Auditor Ernst &amp; Young (Big4). Listed by introduction 15-Oct-2021 (before the FY2021 year-end, so included per the mid-year-listing convention). Strong consistent revenue/profit growth across the study window.</t>
  </si>
  <si>
    <t>MEDIUM-HIGH confidence: stockanalysis.com (S&amp;P Global Market Intelligence aggregator) balance sheet/income statement/market-cap-history. Auditor Ernst &amp; Young (Big4). Listed by introduction 15-Oct-2021 (before the FY2021 year-end, so included per the mid-year-listing convention). Strong consistent revenue/profit growth across the study window. Share count increased 2.619bn-&gt;2.939bn (+12.2%) shortly after listing.</t>
  </si>
  <si>
    <t>NNFM</t>
  </si>
  <si>
    <t>Northern Nigeria Flour Mills Plc</t>
  </si>
  <si>
    <t>KPMG Professional Services and Ahmed Zakari &amp; Co. (joint auditors)</t>
  </si>
  <si>
    <t>RESOLVED, HIGH confidence: NNFM 2021 Annual Report &amp; Accounts (audited, KPMG + Ahmed Zakari &amp; Co.), from the company's own site. TA-TL=2,787,821 vs. reported equity components summing to 2,787,771 - an immaterial N50k rounding artifact in the source PDF itself. Source: NGX doclib / registrar-hosted primary annual report.</t>
  </si>
  <si>
    <t>MEDIUM-HIGH confidence: stockanalysis.com (S&amp;P Global Market Intelligence aggregator) balance sheet/income statement, FYE 31-March mapped directly to study Year. Share_Price_YearEnd from the nearest PRECEDING calendar Dec-31 market cap. Joint auditors KPMG Professional Services (Big4) and Ahmed Zakari &amp; Co.</t>
  </si>
  <si>
    <t>MEDIUM-HIGH confidence: stockanalysis.com (S&amp;P Global Market Intelligence aggregator) balance sheet/income statement, FYE 31-March mapped directly to study Year. Share_Price_YearEnd from the nearest PRECEDING calendar Dec-31 market cap. Joint auditors KPMG Professional Services (Big4) and Ahmed Zakari &amp; Co. Shares_Outstanding 179.42m reflects a minor in-year share movement.</t>
  </si>
  <si>
    <t>NPFMCRFBK</t>
  </si>
  <si>
    <t>NPF Microfinance Bank Plc</t>
  </si>
  <si>
    <t>Deloitte &amp; Touche (from FY2023, appointed 1-Jun-2023); prior auditor (FY2021-2022) unconfirmed</t>
  </si>
  <si>
    <t>MEDIUM-HIGH confidence for financials: stockanalysis.com (S&amp;P Global Market Intelligence aggregator) balance sheet/income statement/market-cap-history. LOW confidence on auditor: pre-FY2023 auditor unresolved after multiple search attempts - Big4_Auditor defaulted to 0 rather than guessed, per the MCNICHOLS-precedent gap-documentation convention.</t>
  </si>
  <si>
    <t>MEDIUM-HIGH confidence for financials: stockanalysis.com (S&amp;P Global Market Intelligence aggregator) balance sheet/income statement/market-cap-history. LOW confidence on auditor: pre-FY2023 auditor unresolved after multiple search attempts - Big4_Auditor defaulted to 0 rather than guessed, per the MCNICHOLS-precedent gap-documentation convention. Share count +135.9% (2.541bn-&gt;5.993bn) from a capital raise.</t>
  </si>
  <si>
    <t>MEDIUM-HIGH confidence: stockanalysis.com (S&amp;P Global Market Intelligence aggregator) balance sheet/income statement/market-cap-history. Auditor Deloitte &amp; Touche (Big4, appointed 1-Jun-2023).</t>
  </si>
  <si>
    <t>NSLTECH</t>
  </si>
  <si>
    <t>Secure Electronic Technology Plc</t>
  </si>
  <si>
    <t>Auditor unresolved (LOW confidence)</t>
  </si>
  <si>
    <t>MEDIUM-HIGH confidence. Source: stockanalysis.com (S&amp;P Global Market Intelligence) balance sheet/income statement/market-cap-history for FY2021. Total_Common_Shares_Outstanding constant at 5,632m across window. Share_Price_YearEnd = Dec-2021 market cap / shares outstanding. Auditor unresolved (see Firm Master note).</t>
  </si>
  <si>
    <t>MEDIUM-HIGH confidence. Source: stockanalysis.com (S&amp;P Global Market Intelligence) balance sheet/income statement/market-cap-history for FY2022. Total_Common_Shares_Outstanding constant at 5,632m across window. Share_Price_YearEnd = Dec-2022 market cap / shares outstanding. Auditor unresolved (see Firm Master note).</t>
  </si>
  <si>
    <t>MEDIUM-HIGH confidence. Source: stockanalysis.com (S&amp;P Global Market Intelligence) balance sheet/income statement/market-cap-history for FY2023. Total_Common_Shares_Outstanding constant at 5,632m across window. Share_Price_YearEnd = Dec-2023 market cap / shares outstanding. Auditor unresolved (see Firm Master note).</t>
  </si>
  <si>
    <t>MEDIUM-HIGH confidence. Source: stockanalysis.com (S&amp;P Global Market Intelligence) balance sheet/income statement/market-cap-history for FY2024. Total_Common_Shares_Outstanding constant at 5,632m across window. Share_Price_YearEnd = Dec-2024 market cap / shares outstanding. Auditor unresolved (see Firm Master note).</t>
  </si>
  <si>
    <t>MEDIUM-HIGH confidence. Source: stockanalysis.com (S&amp;P Global Market Intelligence) balance sheet/income statement/market-cap-history for FY2025. Total_Common_Shares_Outstanding constant at 5,632m across window. Share_Price_YearEnd = Dec-2025 market cap / shares outstanding. Auditor unresolved (see Firm Master note).</t>
  </si>
  <si>
    <t>OANDO</t>
  </si>
  <si>
    <t>Oando Plc</t>
  </si>
  <si>
    <t>Ernst &amp; Young (FY2021); BDO Professional Services (FY2022-2025)</t>
  </si>
  <si>
    <t>MEDIUM-HIGH confidence. Source: stockanalysis.com (S&amp;P Global Market Intelligence) balance sheet/income statement/market-cap-history for FY2021. Auditor this year: Ernst &amp; Young (Big4) (auditor-transition-within-window convention). Share_Price_YearEnd = Dec-2021 market cap / period-end shares outstanding.</t>
  </si>
  <si>
    <t>MEDIUM-HIGH confidence. Source: stockanalysis.com (S&amp;P Global Market Intelligence) balance sheet/income statement/market-cap-history for FY2022. Auditor this year: BDO Professional Services (non-Big4) (auditor-transition-within-window convention). Share_Price_YearEnd = Dec-2022 market cap / period-end shares outstanding.</t>
  </si>
  <si>
    <t>MEDIUM-HIGH confidence. Source: stockanalysis.com (S&amp;P Global Market Intelligence) balance sheet/income statement/market-cap-history for FY2023. Auditor this year: BDO Professional Services (non-Big4) (auditor-transition-within-window convention). Share_Price_YearEnd = Dec-2023 market cap / period-end shares outstanding.</t>
  </si>
  <si>
    <t>MEDIUM-HIGH confidence. Source: stockanalysis.com (S&amp;P Global Market Intelligence) balance sheet/income statement/market-cap-history for FY2024. Auditor this year: BDO Professional Services (non-Big4) (auditor-transition-within-window convention). Share_Price_YearEnd = Dec-2024 market cap / period-end shares outstanding.</t>
  </si>
  <si>
    <t>MEDIUM-HIGH confidence. Source: stockanalysis.com (S&amp;P Global Market Intelligence) balance sheet/income statement/market-cap-history for FY2025. Auditor this year: BDO Professional Services (non-Big4) (auditor-transition-within-window convention). Share_Price_YearEnd = Dec-2025 market cap / period-end shares outstanding.</t>
  </si>
  <si>
    <t>OKOMUOIL</t>
  </si>
  <si>
    <t>The Okomu Oil Palm Company Plc</t>
  </si>
  <si>
    <t>MEDIUM-HIGH confidence. Source: stockanalysis.com (S&amp;P Global Market Intelligence) balance sheet/income statement/market-cap-history for FY2021. Total_Common_Shares_Outstanding constant at 953.91m. Share_Price_YearEnd = Dec-2021 market cap / shares outstanding, cross-checked against reported EPS/dividend trend. Auditor Ernst &amp; Young (Big4) confirmed for FY2024, assumed for other years.</t>
  </si>
  <si>
    <t>MEDIUM-HIGH confidence. Source: stockanalysis.com (S&amp;P Global Market Intelligence) balance sheet/income statement/market-cap-history for FY2022. Total_Common_Shares_Outstanding constant at 953.91m. Share_Price_YearEnd = Dec-2022 market cap / shares outstanding, cross-checked against reported EPS/dividend trend. Auditor Ernst &amp; Young (Big4) confirmed for FY2024, assumed for other years.</t>
  </si>
  <si>
    <t>MEDIUM-HIGH confidence. Source: stockanalysis.com (S&amp;P Global Market Intelligence) balance sheet/income statement/market-cap-history for FY2023. Total_Common_Shares_Outstanding constant at 953.91m. Share_Price_YearEnd = Dec-2023 market cap / shares outstanding, cross-checked against reported EPS/dividend trend. Auditor Ernst &amp; Young (Big4) confirmed for FY2024, assumed for other years.</t>
  </si>
  <si>
    <t>MEDIUM-HIGH confidence. Source: stockanalysis.com (S&amp;P Global Market Intelligence) balance sheet/income statement/market-cap-history for FY2024. Total_Common_Shares_Outstanding constant at 953.91m. Share_Price_YearEnd = Dec-2024 market cap / shares outstanding, cross-checked against reported EPS/dividend trend. Auditor Ernst &amp; Young (Big4) confirmed for FY2024, assumed for other years.</t>
  </si>
  <si>
    <t>MEDIUM-HIGH confidence. Source: stockanalysis.com (S&amp;P Global Market Intelligence) balance sheet/income statement/market-cap-history for FY2025. Total_Common_Shares_Outstanding constant at 953.91m. Share_Price_YearEnd = Dec-2025 market cap / shares outstanding, cross-checked against reported EPS/dividend trend. Auditor Ernst &amp; Young (Big4) confirmed for FY2024, assumed for other years.</t>
  </si>
  <si>
    <t>OMATEK</t>
  </si>
  <si>
    <t>Omatek Ventures Plc</t>
  </si>
  <si>
    <t>Olaolu Olabimtan &amp; Co. (Chartered Accountants)</t>
  </si>
  <si>
    <t>LOW-MEDIUM (stale/flat year-end price, minimal trading activity) confidence. Source: stockanalysis.com (S&amp;P Global Market Intelligence) balance sheet/income statement/market-cap-history for FY2021. Total_Common_Shares_Outstanding constant at 2,942m across window (TTM figure reflects a post-window ~2026 share consolidation, not applicable to this study year). Auditor Olaolu Olabimtan &amp; Co. (non-Big4).</t>
  </si>
  <si>
    <t>LOW-MEDIUM (stale/flat year-end price, minimal trading activity) confidence. Source: stockanalysis.com (S&amp;P Global Market Intelligence) balance sheet/income statement/market-cap-history for FY2022. Total_Common_Shares_Outstanding constant at 2,942m across window (TTM figure reflects a post-window ~2026 share consolidation, not applicable to this study year). Auditor Olaolu Olabimtan &amp; Co. (non-Big4).</t>
  </si>
  <si>
    <t>MEDIUM-HIGH confidence. Source: stockanalysis.com (S&amp;P Global Market Intelligence) balance sheet/income statement/market-cap-history for FY2023. Total_Common_Shares_Outstanding constant at 2,942m across window (TTM figure reflects a post-window ~2026 share consolidation, not applicable to this study year). Auditor Olaolu Olabimtan &amp; Co. (non-Big4).</t>
  </si>
  <si>
    <t>MEDIUM-HIGH confidence. Source: stockanalysis.com (S&amp;P Global Market Intelligence) balance sheet/income statement/market-cap-history for FY2024. Total_Common_Shares_Outstanding constant at 2,942m across window (TTM figure reflects a post-window ~2026 share consolidation, not applicable to this study year). Auditor Olaolu Olabimtan &amp; Co. (non-Big4).</t>
  </si>
  <si>
    <t>MEDIUM-HIGH confidence. Source: stockanalysis.com (S&amp;P Global Market Intelligence) balance sheet/income statement/market-cap-history for FY2025. Total_Common_Shares_Outstanding constant at 2,942m across window (TTM figure reflects a post-window ~2026 share consolidation, not applicable to this study year). Auditor Olaolu Olabimtan &amp; Co. (non-Big4).</t>
  </si>
  <si>
    <t>PREMPAINTS</t>
  </si>
  <si>
    <t>Premier Paints Plc</t>
  </si>
  <si>
    <t>LOW-MEDIUM confidence (stale/flat year-end price, illiquid micro-cap). Source: stockanalysis.com (S&amp;P Global Market Intelligence) balance sheet/income statement/market-cap-history for FY2021. Auditor unresolved (see Firm Master note).</t>
  </si>
  <si>
    <t>LOW-MEDIUM confidence (stale/flat year-end price, illiquid micro-cap). Source: stockanalysis.com (S&amp;P Global Market Intelligence) balance sheet/income statement/market-cap-history for FY2022. Auditor unresolved (see Firm Master note).</t>
  </si>
  <si>
    <t>LOW-MEDIUM confidence (stale/flat year-end price, illiquid micro-cap). Source: stockanalysis.com (S&amp;P Global Market Intelligence) balance sheet/income statement/market-cap-history for FY2023. Auditor unresolved (see Firm Master note).</t>
  </si>
  <si>
    <t>LOW-MEDIUM confidence (stale/flat year-end price, illiquid micro-cap). Source: stockanalysis.com (S&amp;P Global Market Intelligence) balance sheet/income statement/market-cap-history for FY2024. Auditor unresolved (see Firm Master note).</t>
  </si>
  <si>
    <t>LOW-MEDIUM confidence (stale/flat year-end price, illiquid micro-cap). Source: stockanalysis.com (S&amp;P Global Market Intelligence) balance sheet/income statement/market-cap-history for FY2025. Auditor unresolved (see Firm Master note).</t>
  </si>
  <si>
    <t>PRESCO</t>
  </si>
  <si>
    <t>Presco Plc</t>
  </si>
  <si>
    <t>Deloitte &amp; Touche (FY2021-2024); KPMG Professional Services (FY2025)</t>
  </si>
  <si>
    <t>MEDIUM-HIGH confidence. Source: stockanalysis.com (S&amp;P Global Market Intelligence) balance sheet/income statement/market-cap-history for FY2021. Auditor this year: Deloitte &amp; Touche (Big4). Share_Price_YearEnd = Dec-2021 market cap / period-end shares outstanding.</t>
  </si>
  <si>
    <t>MEDIUM-HIGH confidence. Source: stockanalysis.com (S&amp;P Global Market Intelligence) balance sheet/income statement/market-cap-history for FY2022. Auditor this year: Deloitte &amp; Touche (Big4). Share_Price_YearEnd = Dec-2022 market cap / period-end shares outstanding.</t>
  </si>
  <si>
    <t>MEDIUM-HIGH confidence. Source: stockanalysis.com (S&amp;P Global Market Intelligence) balance sheet/income statement/market-cap-history for FY2023. Auditor this year: Deloitte &amp; Touche (Big4). Share_Price_YearEnd = Dec-2023 market cap / period-end shares outstanding.</t>
  </si>
  <si>
    <t>MEDIUM-HIGH confidence. Source: stockanalysis.com (S&amp;P Global Market Intelligence) balance sheet/income statement/market-cap-history for FY2024. Auditor this year: Deloitte &amp; Touche (Big4). Share_Price_YearEnd = Dec-2024 market cap / period-end shares outstanding.</t>
  </si>
  <si>
    <t>MEDIUM-HIGH confidence. Source: stockanalysis.com (S&amp;P Global Market Intelligence) balance sheet/income statement/market-cap-history for FY2025. Auditor this year: KPMG Professional Services (Big4). Share_Price_YearEnd = Dec-2025 market cap / period-end shares outstanding.</t>
  </si>
  <si>
    <t>PRESTIGE</t>
  </si>
  <si>
    <t>Prestige Assurance Plc</t>
  </si>
  <si>
    <t>MEDIUM-HIGH confidence. Source: stockanalysis.com (S&amp;P Global Market Intelligence) balance sheet/income statement/market-cap-history for FY2021. Total_Common_Shares_Outstanding constant at 13,253m. Auditor unresolved (see Firm Master note).</t>
  </si>
  <si>
    <t>MEDIUM-HIGH confidence. Source: stockanalysis.com (S&amp;P Global Market Intelligence) balance sheet/income statement/market-cap-history for FY2022. Total_Common_Shares_Outstanding constant at 13,253m. Auditor unresolved (see Firm Master note).</t>
  </si>
  <si>
    <t>MEDIUM-HIGH confidence. Source: stockanalysis.com (S&amp;P Global Market Intelligence) balance sheet/income statement/market-cap-history for FY2023. Total_Common_Shares_Outstanding constant at 13,253m. Auditor unresolved (see Firm Master note).</t>
  </si>
  <si>
    <t>MEDIUM-HIGH confidence. Source: stockanalysis.com (S&amp;P Global Market Intelligence) balance sheet/income statement/market-cap-history for FY2024. Total_Common_Shares_Outstanding constant at 13,253m. Auditor unresolved (see Firm Master note).</t>
  </si>
  <si>
    <t>MEDIUM-HIGH confidence. Source: stockanalysis.com (S&amp;P Global Market Intelligence) balance sheet/income statement/market-cap-history for FY2025. Total_Common_Shares_Outstanding constant at 13,253m. Auditor unresolved (see Firm Master note).</t>
  </si>
  <si>
    <t>PZ</t>
  </si>
  <si>
    <t>PZ Cussons Nigeria Plc</t>
  </si>
  <si>
    <t>LOW-MEDIUM (fallback: true nearest-preceding Dec-2020 unavailable, used Dec-2021 instead). Source: stockanalysis.com (S&amp;P Global Market Intelligence) balance sheet/income statement (FYE 31-May-2021, mapped directly to study Year=2021) and market-cap-history. Auditor PricewaterhouseCoopers (Big4).</t>
  </si>
  <si>
    <t>MEDIUM (nearest-preceding-Dec-31 convention: Dec-2021). Source: stockanalysis.com (S&amp;P Global Market Intelligence) balance sheet/income statement (FYE 31-May-2022, mapped directly to study Year=2022) and market-cap-history. Auditor PricewaterhouseCoopers (Big4).</t>
  </si>
  <si>
    <t>MEDIUM (nearest-preceding-Dec-31 convention: Dec-2022). Source: stockanalysis.com (S&amp;P Global Market Intelligence) balance sheet/income statement (FYE 31-May-2023, mapped directly to study Year=2023) and market-cap-history. Auditor PricewaterhouseCoopers (Big4).</t>
  </si>
  <si>
    <t>MEDIUM (nearest-preceding-Dec-31 convention: Dec-2023). Source: stockanalysis.com (S&amp;P Global Market Intelligence) balance sheet/income statement (FYE 31-May-2024, mapped directly to study Year=2024) and market-cap-history. Auditor PricewaterhouseCoopers (Big4).</t>
  </si>
  <si>
    <t>MEDIUM (nearest-preceding-Dec-31 convention: Dec-2024). Source: stockanalysis.com (S&amp;P Global Market Intelligence) balance sheet/income statement (FYE 31-May-2025, mapped directly to study Year=2025) and market-cap-history. Auditor PricewaterhouseCoopers (Big4).</t>
  </si>
  <si>
    <t>REDSTAREX</t>
  </si>
  <si>
    <t>Red Star Express Plc</t>
  </si>
  <si>
    <t>RESOLVED, HIGH confidence: audited FYE 31-Mar-2021 results per THISDAY's detailed coverage of the audited financial statements (Oct-2021). Total_Assets=7,540,000 (non-current 3,050,000 + current 4,490,000), Total_Liabilities=3,310,000 (current 2,720,000 + non-current 586,000... rounding), Net_Income=150,070 (down from 468,990 in FY2020). Cross-check: TA-TL=4,230,000 matches reported Total Equity.</t>
  </si>
  <si>
    <t>MEDIUM confidence. Source: stockanalysis.com (S&amp;P Global Market Intelligence) balance sheet/income statement (FYE 31-Mar-2022, mapped directly to study Year=2022) and market-cap-history (nearest-preceding-Dec-31 convention). Auditor KPMG Professional Services (Big4).</t>
  </si>
  <si>
    <t>MEDIUM confidence. Source: stockanalysis.com (S&amp;P Global Market Intelligence) balance sheet/income statement (FYE 31-Mar-2023, mapped directly to study Year=2023) and market-cap-history (nearest-preceding-Dec-31 convention). Auditor KPMG Professional Services (Big4).</t>
  </si>
  <si>
    <t>MEDIUM confidence. Source: stockanalysis.com (S&amp;P Global Market Intelligence) balance sheet/income statement (FYE 31-Mar-2024, mapped directly to study Year=2024) and market-cap-history (nearest-preceding-Dec-31 convention). Auditor KPMG Professional Services (Big4).</t>
  </si>
  <si>
    <t>MEDIUM confidence. Source: stockanalysis.com (S&amp;P Global Market Intelligence) balance sheet/income statement (FYE 31-Mar-2025, mapped directly to study Year=2025) and market-cap-history (nearest-preceding-Dec-31 convention). Auditor KPMG Professional Services (Big4).</t>
  </si>
  <si>
    <t>REGALINS</t>
  </si>
  <si>
    <t>Regency Alliance Insurance Plc</t>
  </si>
  <si>
    <t>MEDIUM-HIGH confidence. Source: stockanalysis.com (S&amp;P Global Market Intelligence) balance sheet/income statement/market-cap-history for FY2021. Auditor unresolved (see Firm Master note).</t>
  </si>
  <si>
    <t>MEDIUM-HIGH confidence. Source: stockanalysis.com (S&amp;P Global Market Intelligence) balance sheet/income statement/market-cap-history for FY2022. Auditor unresolved (see Firm Master note).</t>
  </si>
  <si>
    <t>MEDIUM-HIGH confidence. Source: stockanalysis.com (S&amp;P Global Market Intelligence) balance sheet/income statement/market-cap-history for FY2023. Auditor unresolved (see Firm Master note).</t>
  </si>
  <si>
    <t>MEDIUM-HIGH confidence. Source: stockanalysis.com (S&amp;P Global Market Intelligence) balance sheet/income statement/market-cap-history for FY2024. Auditor unresolved (see Firm Master note).</t>
  </si>
  <si>
    <t>MEDIUM-HIGH confidence. Source: stockanalysis.com (S&amp;P Global Market Intelligence) balance sheet/income statement/market-cap-history for FY2025. Auditor unresolved (see Firm Master note).</t>
  </si>
  <si>
    <t>RONCHESS</t>
  </si>
  <si>
    <t>Ronchess Global Resources Plc</t>
  </si>
  <si>
    <t>Shelze Professional Services</t>
  </si>
  <si>
    <t>RESOLVED - TA/TL/NI/Shares from RONCHESS GLOBAL RESOURCES PLC FY2022 Audited Financial Statements (comparative FY2021 column), HIGH confidence. Source: NGX doclib audited financial statements (primary source). Share_Price_YearEnd=81.00 (flat/illiquid Growth Board stock - stockanalysis.com shows an identical market cap across all available dates including Dec-2021 through Aug-2026, consistent with a stock that essentially never trades - LOW-MEDIUM confidence as a true 31-Dec close, but the best available data point).</t>
  </si>
  <si>
    <t>RESOLVED - TA/TL/NI/Shares from RONCHESS GLOBAL RESOURCES PLC FY2022 Audited Financial Statements, HIGH confidence. Source: NGX doclib audited financial statements (primary source). Share_Price_YearEnd=81.00, LOW-MEDIUM confidence (see FY2021 note - flat/illiquid Growth Board stock).</t>
  </si>
  <si>
    <t>PARTIALLY RESOLVED - Total_Assets/Total_Liabilities from RONCHESS GLOBAL RESOURCES PLC's UNAUDITED Q4-2023 financial statements (31-Dec-2023 balance sheet snapshot), MEDIUM-HIGH confidence (point-in-time balance figures, audited FY2022 comparatives on the same document reconcile exactly). Net_Income=735,794 is RECONSTRUCTED (not directly stated) via retained-earnings bridging: FY2023 closing retained earnings 14,634,714 minus FY2022 closing retained earnings 13,898,920 (from the FY2022 audited FS) = 735,794, assuming no dividends paid during the year (none disclosed) - MEDIUM confidence. The filing's own P&amp;L table shows only the Oct-Dec Q4 quarter (157,457), not the cumulative full year, hence the bridging approach. Source: NGX doclib audited financial statements (primary source). Share_Price_YearEnd=81.00, LOW-MEDIUM confidence (flat/illiquid Growth Board stock).</t>
  </si>
  <si>
    <t>DATA GAP: Total_Liabilities/Total_Assets/Net_Income and Share_Price_YearEnd for FY2024 could not be reliably sourced - stockanalysis.com has no balance-sheet/income-statement coverage for this ticker, and its market-cap-history is a static figure (current price applied retroactively to all years), not genuine historical trading data, consistent with the stock's near-total illiquidity (98.40% insider-owned, only 1.46m of 91.00m shares free-floating). Shares_Outstanding (91.00m, current figure) filled as MEDIUM-LOW confidence. RESOLVED (FY2025 Audited FS comparative column). Share count rose 91,000,000-&gt;101,000,000 during FY2024 (new issuance). Source: NGX doclib primary filings. Price=81.00 flat/illiquid (free float 11.34%, below 15% requirement) - genuinely non-trading, not a data gap.</t>
  </si>
  <si>
    <t>DATA GAP: Total_Liabilities/Total_Assets/Net_Income and Share_Price_YearEnd for FY2025 could not be reliably sourced - stockanalysis.com has no balance-sheet/income-statement coverage for this ticker, and its market-cap-history is a static figure (current price applied retroactively to all years), not genuine historical trading data, consistent with the stock's near-total illiquidity (98.40% insider-owned, only 1.46m of 91.00m shares free-floating). Shares_Outstanding (91.00m, current figure) filled as MEDIUM-LOW confidence. RESOLVED - RONCHESS GLOBAL RESOURCES PLC Audited FY2025 Annual Report. Source: NGX doclib primary filings. Company moved to a net loss and equity nearly halved (4.81bn-&gt;2.05bn) - flag for scrutiny, real result not a data error (TA=TL+TE balances exactly). Price=81.00 flat/illiquid.</t>
  </si>
  <si>
    <t>ROYALEX</t>
  </si>
  <si>
    <t>Royal Exchange Plc</t>
  </si>
  <si>
    <t>Deloitte &amp; Touche (FY2021-2022); Grant Thornton Nigeria (FY2023-2025)</t>
  </si>
  <si>
    <t>MEDIUM-HIGH confidence. Source: stockanalysis.com (S&amp;P Global Market Intelligence) balance sheet/income statement/market-cap-history for FY2021. Auditor this year: Deloitte &amp; Touche.</t>
  </si>
  <si>
    <t>MEDIUM-HIGH confidence. Source: stockanalysis.com (S&amp;P Global Market Intelligence) balance sheet/income statement/market-cap-history for FY2022. Auditor this year: Deloitte &amp; Touche (assumed).</t>
  </si>
  <si>
    <t>MEDIUM-HIGH confidence. Source: stockanalysis.com (S&amp;P Global Market Intelligence) balance sheet/income statement/market-cap-history for FY2023. Auditor this year: Grant Thornton Nigeria.</t>
  </si>
  <si>
    <t>MEDIUM-HIGH confidence. Source: stockanalysis.com (S&amp;P Global Market Intelligence) balance sheet/income statement/market-cap-history for FY2024. Auditor this year: Grant Thornton Nigeria.</t>
  </si>
  <si>
    <t>MEDIUM-HIGH confidence. Source: stockanalysis.com (S&amp;P Global Market Intelligence) balance sheet/income statement/market-cap-history for FY2025. Auditor this year: Grant Thornton Nigeria.</t>
  </si>
  <si>
    <t>RTBRISCOE</t>
  </si>
  <si>
    <t>R.T. Briscoe Nigeria Plc</t>
  </si>
  <si>
    <t>Auditor unresolved pre-2023 (LOW confidence); Crowe Dafinone (FY2023-2025)</t>
  </si>
  <si>
    <t>MEDIUM-HIGH confidence. Source: stockanalysis.com (S&amp;P Global Market Intelligence) balance sheet/income statement/market-cap-history for FY2021. Auditor this year: auditor unresolved (LOW confidence, pre-transition).</t>
  </si>
  <si>
    <t>MEDIUM-HIGH confidence. Source: stockanalysis.com (S&amp;P Global Market Intelligence) balance sheet/income statement/market-cap-history for FY2022. Auditor this year: auditor unresolved (LOW confidence, pre-transition).</t>
  </si>
  <si>
    <t>MEDIUM-HIGH confidence. Source: stockanalysis.com (S&amp;P Global Market Intelligence) balance sheet/income statement/market-cap-history for FY2023. Auditor this year: Crowe Dafinone (non-Big4).</t>
  </si>
  <si>
    <t>MEDIUM-HIGH confidence. Source: stockanalysis.com (S&amp;P Global Market Intelligence) balance sheet/income statement/market-cap-history for FY2024. Auditor this year: Crowe Dafinone (non-Big4).</t>
  </si>
  <si>
    <t>MEDIUM-HIGH confidence. Source: stockanalysis.com (S&amp;P Global Market Intelligence) balance sheet/income statement/market-cap-history for FY2025. Auditor this year: Crowe Dafinone (non-Big4).</t>
  </si>
  <si>
    <t>SCOA</t>
  </si>
  <si>
    <t>SCOA Nigeria Plc</t>
  </si>
  <si>
    <t>BBC Professionals Chartered Accountants</t>
  </si>
  <si>
    <t>SCOA Nigeria Plc FY2021: TA/TL/NI from stockanalysis.com balance sheet/income statement (millions NGN, x1000 applied), MEDIUM-HIGH confidence. Shares_Outstanding (649.83m) assumed constant across FY2021-2025 (no share-count change identified). Share_Price_YearEnd = stockanalysis.com year-end market cap / shares, MEDIUM confidence. Auditor: BBC Professionals Chartered Accountants (non-Big4), confirmed via NGX doclib FY2023 filing.</t>
  </si>
  <si>
    <t>SCOA Nigeria Plc FY2022: TA/TL/NI from stockanalysis.com balance sheet/income statement (millions NGN, x1000 applied), MEDIUM-HIGH confidence. Shares_Outstanding (649.83m) assumed constant across FY2021-2025 (no share-count change identified). Share_Price_YearEnd = stockanalysis.com year-end market cap / shares, MEDIUM confidence. Auditor: BBC Professionals Chartered Accountants (non-Big4), confirmed via NGX doclib FY2023 filing.</t>
  </si>
  <si>
    <t>SCOA Nigeria Plc FY2023: TA/TL/NI from stockanalysis.com balance sheet/income statement (millions NGN, x1000 applied), MEDIUM-HIGH confidence. Shares_Outstanding (649.83m) assumed constant across FY2021-2025 (no share-count change identified). Share_Price_YearEnd = stockanalysis.com year-end market cap / shares, MEDIUM confidence. Auditor: BBC Professionals Chartered Accountants (non-Big4), confirmed via NGX doclib FY2023 filing.</t>
  </si>
  <si>
    <t>SCOA Nigeria Plc FY2024: TA/TL/NI from stockanalysis.com balance sheet/income statement (millions NGN, x1000 applied), MEDIUM-HIGH confidence. Shares_Outstanding (649.83m) assumed constant across FY2021-2025 (no share-count change identified). Share_Price_YearEnd = stockanalysis.com year-end market cap / shares, MEDIUM confidence. Auditor: BBC Professionals Chartered Accountants (non-Big4), confirmed via NGX doclib FY2023 filing.</t>
  </si>
  <si>
    <t>SCOA Nigeria Plc FY2025: TA/TL/NI from stockanalysis.com balance sheet/income statement (millions NGN, x1000 applied), MEDIUM-HIGH confidence. Shares_Outstanding (649.83m) assumed constant across FY2021-2025 (no share-count change identified). Share_Price_YearEnd = stockanalysis.com year-end market cap / shares, MEDIUM confidence. Auditor: BBC Professionals Chartered Accountants (non-Big4), confirmed via NGX doclib FY2023 filing.</t>
  </si>
  <si>
    <t>SEPLAT</t>
  </si>
  <si>
    <t>Seplat Energy Plc</t>
  </si>
  <si>
    <t>Seplat Energy Plc FY2021: DUAL-CURRENCY-REPORTING SPECIAL CASE. Total_Assets ($3163M USD) and Total_Liabilities ($1456M USD) converted to NGN'000 using approximate CBN/NFEM year-end closing rate of 413.29 NGN/USD (WebSearch-sourced, not independently cross-verified against CBN's official archive - MEDIUM confidence). Net_Income converted from $141.78M USD at FX 413.29. Share_Price_YearEnd is the NGX's native NGN-quoted closing price (no conversion applied) - derived from stockanalysis.com NGN market-cap history / shares outstanding, MEDIUM confidence. AUDITOR GAP CLOSED: PricewaterhouseCoopers (Big4) confirmed as SEPLAT's auditor throughout the study window.</t>
  </si>
  <si>
    <t>Seplat Energy Plc FY2022: DUAL-CURRENCY-REPORTING SPECIAL CASE. Total_Assets ($3332M USD) and Total_Liabilities ($1572M USD) converted to NGN'000 using approximate CBN/NFEM year-end closing rate of 461.5 NGN/USD (WebSearch-sourced, not independently cross-verified against CBN's official archive - MEDIUM confidence). Net_Income converted from $62.41M USD at FX 461.5. Share_Price_YearEnd is the NGX's native NGN-quoted closing price (no conversion applied) - derived from stockanalysis.com NGN market-cap history / shares outstanding, MEDIUM confidence. AUDITOR GAP CLOSED: PricewaterhouseCoopers (Big4) confirmed as SEPLAT's auditor throughout the study window.</t>
  </si>
  <si>
    <t>Seplat Energy Plc FY2023: DUAL-CURRENCY-REPORTING SPECIAL CASE. Total_Assets ($3395M USD) and Total_Liabilities ($1602M USD) converted to NGN'000 using approximate CBN/NFEM year-end closing rate of 899.39 NGN/USD (WebSearch-sourced, not independently cross-verified against CBN's official archive - MEDIUM confidence). Net_Income converted from $83.13M USD at FX 899.39. Share_Price_YearEnd is the NGX's native NGN-quoted closing price (no conversion applied) - derived from stockanalysis.com NGN market-cap history / shares outstanding, MEDIUM confidence. AUDITOR GAP CLOSED: PricewaterhouseCoopers (Big4) confirmed as SEPLAT's auditor throughout the study window.</t>
  </si>
  <si>
    <t>Seplat Energy Plc FY2024: DUAL-CURRENCY-REPORTING SPECIAL CASE. Total_Assets ($6828M USD) and Total_Liabilities ($4989M USD) converted to NGN'000 using approximate CBN/NFEM year-end closing rate of 1535.0 NGN/USD (WebSearch-sourced, not independently cross-verified against CBN's official archive - MEDIUM confidence). Net_Income converted from $153.35M USD at FX 1535.0. Share_Price_YearEnd is the NGX's native NGN-quoted closing price (no conversion applied) - derived from stockanalysis.com NGN market-cap history / shares outstanding, MEDIUM confidence. AUDITOR GAP CLOSED: PricewaterhouseCoopers (Big4) confirmed as SEPLAT's auditor throughout the study window. | EAS FORWARD-FILLED 17-Aug-2026 (user-directed methodology correction): IFRS_S1S2_Adopter_Dummy changed from 0 to 1. Firm first made an explicit voluntary-adoption statement in FY2023; per corrected methodology, firms are not assumed to un-adopt a standard they've voluntarily aligned with, so all subsequent years are coded 1 even where a later report is quiet on the topic.</t>
  </si>
  <si>
    <t>Seplat Energy Plc FY2025: DUAL-CURRENCY-REPORTING SPECIAL CASE. Total_Assets ($6082M USD) and Total_Liabilities ($4240M USD) converted to NGN'000 using approximate CBN/NFEM year-end closing rate of 1450.3 NGN/USD (WebSearch-sourced, not independently cross-verified against CBN's official archive - MEDIUM confidence). Net_Income DATA GAP: FY2025 audited post-tax net income to shareholders could not be reliably confirmed via available sources (only pre-tax profit of $497.8M and operating profit of $675.2M were disclosed in FY2025 audited-results coverage, Nairametrics Feb-2026); not estimated. Share_Price_YearEnd is the NGX's native NGN-quoted closing price (no conversion applied) - directly confirmed at N5,809.00 (Dec-31-2025). AUDITOR GAP CLOSED: PricewaterhouseCoopers (Big4) confirmed as SEPLAT's auditor throughout the study window. Net_Income RESOLVED: USD 160.14 million (up from 149.04M FY2024), converted to NGN'000 at the same 1450.3 NGN/USD rate used for TA/TL = 232,251,042 NGN'000. Source: S&amp;P Capital IQ via MarketScreener, audited FY2025 results (26-Feb-2026), cross-validated via EPS ($0.27 x ~593M shares =~$160M). MEDIUM-HIGH confidence. | EAS FORWARD-FILLED 17-Aug-2026 (user-directed methodology correction): IFRS_S1S2_Adopter_Dummy changed from 0 to 1. Firm first made an explicit voluntary-adoption statement in FY2023; per corrected methodology, firms are not assumed to un-adopt a standard they've voluntarily aligned with, so all subsequent years are coded 1 even where a later report is quiet on the topic.</t>
  </si>
  <si>
    <t>SKYAVN</t>
  </si>
  <si>
    <t>Skyway Aviation Handling Company Plc</t>
  </si>
  <si>
    <t>Gbenga Badejo &amp; Co. (non-Big4, FY2021-2025); succeeded by Deloitte Nigeria from 16th AGM 19-Jun-2026 (POST-STUDY-WINDOW, informational only)</t>
  </si>
  <si>
    <t>Skyway Aviation Handling Company Plc (SAHCO) FY2021: TA/TL/NI from stockanalysis.com balance sheet/income statement (millions NGN, x1000 applied), MEDIUM-HIGH confidence. Shares_Outstanding (1,354m) constant across FY2021-2025. Share_Price_YearEnd = stockanalysis.com year-end market cap / shares, MEDIUM confidence. Auditor Gbenga Badejo &amp; Co. (non-Big4) applies for the full study window; Deloitte Nigeria was appointed successor auditor at the 16th AGM (19-Jun-2026), AFTER the study window closes, so not applied here.</t>
  </si>
  <si>
    <t>Skyway Aviation Handling Company Plc (SAHCO) FY2022: TA/TL/NI from stockanalysis.com balance sheet/income statement (millions NGN, x1000 applied), MEDIUM-HIGH confidence. Shares_Outstanding (1,354m) constant across FY2021-2025. Share_Price_YearEnd = stockanalysis.com year-end market cap / shares, MEDIUM confidence. Auditor Gbenga Badejo &amp; Co. (non-Big4) applies for the full study window; Deloitte Nigeria was appointed successor auditor at the 16th AGM (19-Jun-2026), AFTER the study window closes, so not applied here.</t>
  </si>
  <si>
    <t>Skyway Aviation Handling Company Plc (SAHCO) FY2023: TA/TL/NI from stockanalysis.com balance sheet/income statement (millions NGN, x1000 applied), MEDIUM-HIGH confidence. Shares_Outstanding (1,354m) constant across FY2021-2025. Share_Price_YearEnd = stockanalysis.com year-end market cap / shares, MEDIUM confidence. Auditor Gbenga Badejo &amp; Co. (non-Big4) applies for the full study window; Deloitte Nigeria was appointed successor auditor at the 16th AGM (19-Jun-2026), AFTER the study window closes, so not applied here.</t>
  </si>
  <si>
    <t>Skyway Aviation Handling Company Plc (SAHCO) FY2024: TA/TL/NI from stockanalysis.com balance sheet/income statement (millions NGN, x1000 applied), MEDIUM-HIGH confidence. Shares_Outstanding (1,354m) constant across FY2021-2025. Share_Price_YearEnd = stockanalysis.com year-end market cap / shares, MEDIUM confidence. Auditor Gbenga Badejo &amp; Co. (non-Big4) applies for the full study window; Deloitte Nigeria was appointed successor auditor at the 16th AGM (19-Jun-2026), AFTER the study window closes, so not applied here.</t>
  </si>
  <si>
    <t>Skyway Aviation Handling Company Plc (SAHCO) FY2025: TA/TL/NI from stockanalysis.com balance sheet/income statement (millions NGN, x1000 applied), MEDIUM-HIGH confidence. Shares_Outstanding (1,354m) constant across FY2021-2025. Share_Price_YearEnd = stockanalysis.com year-end market cap / shares, MEDIUM confidence. Auditor Gbenga Badejo &amp; Co. (non-Big4) applies for the full study window; Deloitte Nigeria was appointed successor auditor at the 16th AGM (19-Jun-2026), AFTER the study window closes, so not applied here.</t>
  </si>
  <si>
    <t>SOVRENINS</t>
  </si>
  <si>
    <t>Sovereign Trust Insurance Plc</t>
  </si>
  <si>
    <t>Sovereign Trust Insurance Plc FY2021: TA/TL/NI from stockanalysis.com balance sheet/income statement (millions NGN, x1000 applied), MEDIUM-HIGH confidence. Shares_Outstanding: 8,593m (pre-capital-raise). Share_Price_YearEnd = stockanalysis.com year-end market cap / shares, MEDIUM confidence. AUDITOR GAP CLOSED: PKF Professional Services (non-Big4) confirmed via multiple NGX doclib filings referencing continuous engagement, Big4_Auditor=0, MEDIUM confidence.</t>
  </si>
  <si>
    <t>Sovereign Trust Insurance Plc FY2022: TA/TL/NI from stockanalysis.com balance sheet/income statement (millions NGN, x1000 applied), MEDIUM-HIGH confidence. Shares_Outstanding: 8,593m (pre-capital-raise). Share_Price_YearEnd = stockanalysis.com year-end market cap / shares, MEDIUM confidence. AUDITOR GAP CLOSED: PKF Professional Services (non-Big4) confirmed via multiple NGX doclib filings referencing continuous engagement, Big4_Auditor=0, MEDIUM confidence.</t>
  </si>
  <si>
    <t>Sovereign Trust Insurance Plc FY2023: TA/TL/NI from stockanalysis.com balance sheet/income statement (millions NGN, x1000 applied), MEDIUM-HIGH confidence. Shares_Outstanding: 14,228m (post FY2023 capital raise, +65.58% share count increase). Share_Price_YearEnd = stockanalysis.com year-end market cap / shares, MEDIUM confidence. AUDITOR GAP CLOSED: PKF Professional Services (non-Big4) confirmed via multiple NGX doclib filings referencing continuous engagement, Big4_Auditor=0, MEDIUM confidence.</t>
  </si>
  <si>
    <t>Sovereign Trust Insurance Plc FY2024: TA/TL/NI from stockanalysis.com balance sheet/income statement (millions NGN, x1000 applied), MEDIUM-HIGH confidence. Shares_Outstanding: 14,228m (post FY2023 capital raise, +65.58% share count increase). Share_Price_YearEnd = stockanalysis.com year-end market cap / shares, MEDIUM confidence. AUDITOR GAP CLOSED: PKF Professional Services (non-Big4) confirmed via multiple NGX doclib filings referencing continuous engagement, Big4_Auditor=0, MEDIUM confidence.</t>
  </si>
  <si>
    <t>Sovereign Trust Insurance Plc FY2025: TA/TL/NI from stockanalysis.com balance sheet/income statement (millions NGN, x1000 applied), MEDIUM-HIGH confidence. Shares_Outstanding: 14,228m (post FY2023 capital raise, +65.58% share count increase). Share_Price_YearEnd = stockanalysis.com year-end market cap / shares, MEDIUM confidence. AUDITOR GAP CLOSED: PKF Professional Services (non-Big4) confirmed via multiple NGX doclib filings referencing continuous engagement, Big4_Auditor=0, MEDIUM confidence.</t>
  </si>
  <si>
    <t>STANBIC</t>
  </si>
  <si>
    <t>Stanbic IBTC Holdings Plc</t>
  </si>
  <si>
    <t>Stanbic IBTC Holdings Plc FY2021: TA/TL/NI from stockanalysis.com balance sheet/income statement (millions NGN, x1000 applied), HIGH confidence (Tier-1 bank, well-covered). Shares_Outstanding: 12,957m. Share_Price_YearEnd = stockanalysis.com year-end market cap / shares, MEDIUM-HIGH confidence. Auditor: PricewaterhouseCoopers (Big4), confirmed continuous throughout the study window.</t>
  </si>
  <si>
    <t>Stanbic IBTC Holdings Plc FY2022: TA/TL/NI from stockanalysis.com balance sheet/income statement (millions NGN, x1000 applied), HIGH confidence (Tier-1 bank, well-covered). Shares_Outstanding: 12,957m. Share_Price_YearEnd = stockanalysis.com year-end market cap / shares, MEDIUM-HIGH confidence. Auditor: PricewaterhouseCoopers (Big4), confirmed continuous throughout the study window.</t>
  </si>
  <si>
    <t>Stanbic IBTC Holdings Plc FY2023: TA/TL/NI from stockanalysis.com balance sheet/income statement (millions NGN, x1000 applied), HIGH confidence (Tier-1 bank, well-covered). Shares_Outstanding: 12,957m. Share_Price_YearEnd = stockanalysis.com year-end market cap / shares, MEDIUM-HIGH confidence. Auditor: PricewaterhouseCoopers (Big4), confirmed continuous throughout the study window.</t>
  </si>
  <si>
    <t>Stanbic IBTC Holdings Plc FY2024: TA/TL/NI from stockanalysis.com balance sheet/income statement (millions NGN, x1000 applied), HIGH confidence (Tier-1 bank, well-covered). Shares_Outstanding: 12,957m. Share_Price_YearEnd = stockanalysis.com year-end market cap / shares, MEDIUM-HIGH confidence. Auditor: PricewaterhouseCoopers (Big4), confirmed continuous throughout the study window.</t>
  </si>
  <si>
    <t>Stanbic IBTC Holdings Plc FY2025: TA/TL/NI from stockanalysis.com balance sheet/income statement (millions NGN, x1000 applied), HIGH confidence (Tier-1 bank, well-covered). Shares_Outstanding: 15,902m (post FY2025 capital raise). Share_Price_YearEnd = stockanalysis.com year-end market cap / shares, MEDIUM-HIGH confidence. Auditor: PricewaterhouseCoopers (Big4), confirmed continuous throughout the study window.</t>
  </si>
  <si>
    <t>STERLINGNG</t>
  </si>
  <si>
    <t>Sterling Financial Holdings Company Plc</t>
  </si>
  <si>
    <t>Sterling Financial Holdings Company Plc FY2021: TA/TL/NI from stockanalysis.com balance sheet/income statement (millions NGN, x1000 applied), HIGH confidence. Shares_Outstanding: 28,790m. Share_Price_YearEnd = stockanalysis.com year-end market cap / shares, MEDIUM-HIGH confidence. Auditor: Deloitte &amp; Touche (Big4), confirmed. NOTE: because Year_Incorporation reflects the current HoldCo entity (2021) rather than the predecessor bank, Firm_Age computes as low/near-zero for early study years despite the business having operated continuously since 2006 - flagged here so this is not mistaken for a genuine startup when interpreting Age-related regression results.</t>
  </si>
  <si>
    <t>Sterling Financial Holdings Company Plc FY2022: TA/TL/NI from stockanalysis.com balance sheet/income statement (millions NGN, x1000 applied), HIGH confidence. Shares_Outstanding: 28,790m. Share_Price_YearEnd = stockanalysis.com year-end market cap / shares, MEDIUM-HIGH confidence. Auditor: Deloitte &amp; Touche (Big4), confirmed. NOTE: because Year_Incorporation reflects the current HoldCo entity (2021) rather than the predecessor bank, Firm_Age computes as low/near-zero for early study years despite the business having operated continuously since 2006 - flagged here so this is not mistaken for a genuine startup when interpreting Age-related regression results.</t>
  </si>
  <si>
    <t>Sterling Financial Holdings Company Plc FY2023: TA/TL/NI from stockanalysis.com balance sheet/income statement (millions NGN, x1000 applied), HIGH confidence. Shares_Outstanding: 28,790m. Share_Price_YearEnd = stockanalysis.com year-end market cap / shares, MEDIUM-HIGH confidence. Auditor: Deloitte &amp; Touche (Big4), confirmed. NOTE: because Year_Incorporation reflects the current HoldCo entity (2021) rather than the predecessor bank, Firm_Age computes as low/near-zero for early study years despite the business having operated continuously since 2006 - flagged here so this is not mistaken for a genuine startup when interpreting Age-related regression results.</t>
  </si>
  <si>
    <t>Sterling Financial Holdings Company Plc FY2024: TA/TL/NI from stockanalysis.com balance sheet/income statement (millions NGN, x1000 applied), HIGH confidence. Shares_Outstanding: 45,457m (post FY2024 capital raise). Share_Price_YearEnd = stockanalysis.com year-end market cap / shares, MEDIUM-HIGH confidence. Auditor: Deloitte &amp; Touche (Big4), confirmed. NOTE: because Year_Incorporation reflects the current HoldCo entity (2021) rather than the predecessor bank, Firm_Age computes as low/near-zero for early study years despite the business having operated continuously since 2006 - flagged here so this is not mistaken for a genuine startup when interpreting Age-related regression results.</t>
  </si>
  <si>
    <t>Sterling Financial Holdings Company Plc FY2025: TA/TL/NI from stockanalysis.com balance sheet/income statement (millions NGN, x1000 applied), HIGH confidence. Shares_Outstanding: 54,690m (post FY2025 capital raise). Share_Price_YearEnd = stockanalysis.com year-end market cap / shares, MEDIUM-HIGH confidence. Auditor: Deloitte &amp; Touche (Big4), confirmed. NOTE: because Year_Incorporation reflects the current HoldCo entity (2021) rather than the predecessor bank, Firm_Age computes as low/near-zero for early study years despite the business having operated continuously since 2006 - flagged here so this is not mistaken for a genuine startup when interpreting Age-related regression results. | EAS FORWARD-FILLED 17-Aug-2026 (user-directed methodology correction): IFRS_S1S2_Adopter_Dummy changed from 0 to 1. Firm first made an explicit voluntary-adoption statement in FY2024; per corrected methodology, firms are not assumed to un-adopt a standard they've voluntarily aligned with, so all subsequent years are coded 1 even where a later report is quiet on the topic.</t>
  </si>
  <si>
    <t>SUNUASSUR</t>
  </si>
  <si>
    <t>Sunu Assurances Nigeria Plc</t>
  </si>
  <si>
    <t>Sunu Assurances Nigeria Plc FY2021: TA/TL/NI from stockanalysis.com balance sheet/income statement (millions NGN, x1000 applied), MEDIUM-HIGH confidence. Shares_Outstanding (5,811m) constant across FY2021-2025. Share_Price_YearEnd = stockanalysis.com year-end market cap / shares, MEDIUM confidence. AUDITOR GAP CLOSED: SIAO Partners (non-Big4) confirmed via NGX doclib filing, Big4_Auditor=0, MEDIUM-HIGH confidence.</t>
  </si>
  <si>
    <t>Sunu Assurances Nigeria Plc FY2022: TA/TL/NI from stockanalysis.com balance sheet/income statement (millions NGN, x1000 applied), MEDIUM-HIGH confidence. Shares_Outstanding (5,811m) constant across FY2021-2025. Share_Price_YearEnd = stockanalysis.com year-end market cap / shares, MEDIUM confidence. AUDITOR GAP CLOSED: SIAO Partners (non-Big4) confirmed via NGX doclib filing, Big4_Auditor=0, MEDIUM-HIGH confidence.</t>
  </si>
  <si>
    <t>Sunu Assurances Nigeria Plc FY2023: TA/TL/NI from stockanalysis.com balance sheet/income statement (millions NGN, x1000 applied), MEDIUM-HIGH confidence. Shares_Outstanding (5,811m) constant across FY2021-2025. Share_Price_YearEnd = stockanalysis.com year-end market cap / shares, MEDIUM confidence. AUDITOR GAP CLOSED: SIAO Partners (non-Big4) confirmed via NGX doclib filing, Big4_Auditor=0, MEDIUM-HIGH confidence.</t>
  </si>
  <si>
    <t>Sunu Assurances Nigeria Plc FY2024: TA/TL/NI from stockanalysis.com balance sheet/income statement (millions NGN, x1000 applied), MEDIUM-HIGH confidence. Shares_Outstanding (5,811m) constant across FY2021-2025. Share_Price_YearEnd = stockanalysis.com year-end market cap / shares, MEDIUM confidence (large FY2024 spike / FY2025 pullback is genuine reported market data). AUDITOR GAP CLOSED: SIAO Partners (non-Big4) confirmed via NGX doclib filing, Big4_Auditor=0, MEDIUM-HIGH confidence.</t>
  </si>
  <si>
    <t>Sunu Assurances Nigeria Plc FY2025: TA/TL/NI from stockanalysis.com balance sheet/income statement (millions NGN, x1000 applied), MEDIUM-HIGH confidence. Shares_Outstanding (5,811m) constant across FY2021-2025. Share_Price_YearEnd = stockanalysis.com year-end market cap / shares, MEDIUM confidence (large FY2024 spike / FY2025 pullback is genuine reported market data). AUDITOR GAP CLOSED: SIAO Partners (non-Big4) confirmed via NGX doclib filing, Big4_Auditor=0, MEDIUM-HIGH confidence.</t>
  </si>
  <si>
    <t>TANTALIZER</t>
  </si>
  <si>
    <t>Tantalizers Plc</t>
  </si>
  <si>
    <t>Abiodun Aina &amp; Co</t>
  </si>
  <si>
    <t>Tantalizers Plc FY2021: TA/TL/NI from stockanalysis.com balance sheet/income statement (millions NGN, x1000 applied), MEDIUM-HIGH confidence. Shares_Outstanding: 3,212m. Share_Price_YearEnd = stockanalysis.com year-end market cap / shares. Dec-2021/Dec-2022 market cap points are identical (frozen/stale price), Share_Price_YearEnd flagged LOW-MEDIUM confidence for these years. AUDITOR GAP CLOSED: Abiodun Aina &amp; Co (non-Big4) confirmed via africanfinancials filing and cross-verified, Big4_Auditor=0, MEDIUM-HIGH confidence.</t>
  </si>
  <si>
    <t>Tantalizers Plc FY2022: TA/TL/NI from stockanalysis.com balance sheet/income statement (millions NGN, x1000 applied), MEDIUM-HIGH confidence. Shares_Outstanding: 3,212m. Share_Price_YearEnd = stockanalysis.com year-end market cap / shares. Dec-2021/Dec-2022 market cap points are identical (frozen/stale price), Share_Price_YearEnd flagged LOW-MEDIUM confidence for these years. AUDITOR GAP CLOSED: Abiodun Aina &amp; Co (non-Big4) confirmed via africanfinancials filing and cross-verified, Big4_Auditor=0, MEDIUM-HIGH confidence.</t>
  </si>
  <si>
    <t>Tantalizers Plc FY2023: TA/TL/NI from stockanalysis.com balance sheet/income statement (millions NGN, x1000 applied), MEDIUM-HIGH confidence. Shares_Outstanding: 3,212m. Share_Price_YearEnd = stockanalysis.com year-end market cap / shares. AUDITOR GAP CLOSED: Abiodun Aina &amp; Co (non-Big4) confirmed via africanfinancials filing and cross-verified, Big4_Auditor=0, MEDIUM-HIGH confidence.</t>
  </si>
  <si>
    <t>Tantalizers Plc FY2024: TA/TL/NI from stockanalysis.com balance sheet/income statement (millions NGN, x1000 applied), MEDIUM-HIGH confidence. Shares_Outstanding: 5,000m (post FY2024 share issuance). Share_Price_YearEnd = stockanalysis.com year-end market cap / shares. AUDITOR GAP CLOSED: Abiodun Aina &amp; Co (non-Big4) confirmed via africanfinancials filing and cross-verified, Big4_Auditor=0, MEDIUM-HIGH confidence.</t>
  </si>
  <si>
    <t>Tantalizers Plc FY2025: TA/TL/NI from stockanalysis.com balance sheet/income statement (millions NGN, x1000 applied), MEDIUM-HIGH confidence. Shares_Outstanding: 5,000m (post FY2024 share issuance). Share_Price_YearEnd = stockanalysis.com year-end market cap / shares. AUDITOR GAP CLOSED: Abiodun Aina &amp; Co (non-Big4) confirmed via africanfinancials filing and cross-verified, Big4_Auditor=0, MEDIUM-HIGH confidence.</t>
  </si>
  <si>
    <t>TIP</t>
  </si>
  <si>
    <t>The Initiates Plc</t>
  </si>
  <si>
    <t>Madu, Onyekwena &amp; Co.</t>
  </si>
  <si>
    <t>The Initiates Plc FY2021: TA/TL/NI from stockanalysis.com balance sheet/income statement (millions NGN, x1000 applied). Shares_Outstanding = period-end Total Common Shares Outstanding. Share_Price_YearEnd = stockanalysis.com year-end market cap / shares. Auditor: Madu, Onyekwena &amp; Co. (non-Big4), confirmed via NGX doclib filings. MEDIUM-HIGH confidence, well-covered small-cap with strong revenue/earnings growth.</t>
  </si>
  <si>
    <t>The Initiates Plc FY2022: TA/TL/NI from stockanalysis.com balance sheet/income statement (millions NGN, x1000 applied). Shares_Outstanding = period-end Total Common Shares Outstanding. Share_Price_YearEnd = stockanalysis.com year-end market cap / shares. Auditor: Madu, Onyekwena &amp; Co. (non-Big4), confirmed via NGX doclib filings. MEDIUM-HIGH confidence, well-covered small-cap with strong revenue/earnings growth.</t>
  </si>
  <si>
    <t>The Initiates Plc FY2023: TA/TL/NI from stockanalysis.com balance sheet/income statement (millions NGN, x1000 applied). Shares_Outstanding = period-end Total Common Shares Outstanding. Share_Price_YearEnd = stockanalysis.com year-end market cap / shares. Auditor: Madu, Onyekwena &amp; Co. (non-Big4), confirmed via NGX doclib filings. MEDIUM-HIGH confidence, well-covered small-cap with strong revenue/earnings growth.</t>
  </si>
  <si>
    <t>The Initiates Plc FY2024: TA/TL/NI from stockanalysis.com balance sheet/income statement (millions NGN, x1000 applied). Shares_Outstanding = period-end Total Common Shares Outstanding. Share_Price_YearEnd = stockanalysis.com year-end market cap / shares. Auditor: Madu, Onyekwena &amp; Co. (non-Big4), confirmed via NGX doclib filings. MEDIUM-HIGH confidence, well-covered small-cap with strong revenue/earnings growth.</t>
  </si>
  <si>
    <t>The Initiates Plc FY2025: TA/TL/NI from stockanalysis.com balance sheet/income statement (millions NGN, x1000 applied). Shares_Outstanding = period-end Total Common Shares Outstanding. Share_Price_YearEnd = stockanalysis.com year-end market cap / shares. Auditor: Madu, Onyekwena &amp; Co. (non-Big4), confirmed via NGX doclib filings. MEDIUM-HIGH confidence, well-covered small-cap with strong revenue/earnings growth.</t>
  </si>
  <si>
    <t>TOTAL</t>
  </si>
  <si>
    <t>TotalEnergies Marketing Nigeria Plc</t>
  </si>
  <si>
    <t>TotalEnergies Marketing Nigeria Plc FY2021: TA/TL/NI from stockanalysis.com balance sheet/income statement (millions NGN, x1000 applied). Shares_Outstanding = period-end Total Common Shares Outstanding. Share_Price_YearEnd = stockanalysis.com year-end market cap / shares. Auditor: PricewaterhouseCoopers (Big4), confirmed. HIGH confidence, large well-covered downstream petroleum marketer.</t>
  </si>
  <si>
    <t>TotalEnergies Marketing Nigeria Plc FY2022: TA/TL/NI from stockanalysis.com balance sheet/income statement (millions NGN, x1000 applied). Shares_Outstanding = period-end Total Common Shares Outstanding. Share_Price_YearEnd = stockanalysis.com year-end market cap / shares. Auditor: PricewaterhouseCoopers (Big4), confirmed. HIGH confidence, large well-covered downstream petroleum marketer.</t>
  </si>
  <si>
    <t>TotalEnergies Marketing Nigeria Plc FY2023: TA/TL/NI from stockanalysis.com balance sheet/income statement (millions NGN, x1000 applied). Shares_Outstanding = period-end Total Common Shares Outstanding. Share_Price_YearEnd = stockanalysis.com year-end market cap / shares. Auditor: PricewaterhouseCoopers (Big4), confirmed. HIGH confidence, large well-covered downstream petroleum marketer.</t>
  </si>
  <si>
    <t>TotalEnergies Marketing Nigeria Plc FY2024: TA/TL/NI from stockanalysis.com balance sheet/income statement (millions NGN, x1000 applied). Shares_Outstanding = period-end Total Common Shares Outstanding. Share_Price_YearEnd = stockanalysis.com year-end market cap / shares. Auditor: PricewaterhouseCoopers (Big4), confirmed. HIGH confidence, large well-covered downstream petroleum marketer.</t>
  </si>
  <si>
    <t>TotalEnergies Marketing Nigeria Plc FY2025: TA/TL/NI from stockanalysis.com balance sheet/income statement (millions NGN, x1000 applied). Shares_Outstanding = period-end Total Common Shares Outstanding. Share_Price_YearEnd = stockanalysis.com year-end market cap / shares. Auditor: PricewaterhouseCoopers (Big4), confirmed. HIGH confidence, large well-covered downstream petroleum marketer. FY2025 net loss reflects genuine margin compression, not a data error.</t>
  </si>
  <si>
    <t>TRANSCOHOT</t>
  </si>
  <si>
    <t>Transcorp Hotels Plc</t>
  </si>
  <si>
    <t>Transcorp Hotels Plc FY2021: TA/TL/NI from stockanalysis.com balance sheet/income statement (millions NGN, x1000 applied). Shares_Outstanding = period-end Total Common Shares Outstanding. Share_Price_YearEnd = stockanalysis.com year-end market cap / shares. Auditor: Deloitte &amp; Touche (Big4), confirmed. HIGH confidence, Transcorp Group entity with strong sustained growth; large FY2023 market-cap re-rating (+1,023% YoY) is genuine reported market data.</t>
  </si>
  <si>
    <t>Transcorp Hotels Plc FY2022: TA/TL/NI from stockanalysis.com balance sheet/income statement (millions NGN, x1000 applied). Shares_Outstanding = period-end Total Common Shares Outstanding. Share_Price_YearEnd = stockanalysis.com year-end market cap / shares. Auditor: Deloitte &amp; Touche (Big4), confirmed. HIGH confidence, Transcorp Group entity with strong sustained growth; large FY2023 market-cap re-rating (+1,023% YoY) is genuine reported market data.</t>
  </si>
  <si>
    <t>Transcorp Hotels Plc FY2023: TA/TL/NI from stockanalysis.com balance sheet/income statement (millions NGN, x1000 applied). Shares_Outstanding = period-end Total Common Shares Outstanding. Share_Price_YearEnd = stockanalysis.com year-end market cap / shares. Auditor: Deloitte &amp; Touche (Big4), confirmed. HIGH confidence, Transcorp Group entity with strong sustained growth; large FY2023 market-cap re-rating (+1,023% YoY) is genuine reported market data.</t>
  </si>
  <si>
    <t>Transcorp Hotels Plc FY2024: TA/TL/NI from stockanalysis.com balance sheet/income statement (millions NGN, x1000 applied). Shares_Outstanding = period-end Total Common Shares Outstanding. Share_Price_YearEnd = stockanalysis.com year-end market cap / shares. Auditor: Deloitte &amp; Touche (Big4), confirmed. HIGH confidence, Transcorp Group entity with strong sustained growth; large FY2023 market-cap re-rating (+1,023% YoY) is genuine reported market data.</t>
  </si>
  <si>
    <t>Transcorp Hotels Plc FY2025: TA/TL/NI from stockanalysis.com balance sheet/income statement (millions NGN, x1000 applied). Shares_Outstanding = period-end Total Common Shares Outstanding. Share_Price_YearEnd = stockanalysis.com year-end market cap / shares. Auditor: Deloitte &amp; Touche (Big4), confirmed. HIGH confidence, Transcorp Group entity with strong sustained growth; large FY2023 market-cap re-rating (+1,023% YoY) is genuine reported market data.</t>
  </si>
  <si>
    <t>TRANSCORP</t>
  </si>
  <si>
    <t>Transnational Corporation of Nigeria Plc</t>
  </si>
  <si>
    <t>Transnational Corporation of Nigeria Plc FY2021: TA/TL/NI from stockanalysis.com balance sheet/income statement (millions NGN, x1000 applied). Shares_Outstanding = period-end Total Common Shares Outstanding. Share_Price_YearEnd = stockanalysis.com year-end market cap / shares. Auditor: Deloitte &amp; Touche (Big4), confirmed. HIGH confidence, Transcorp Group parent holding company. NOTE: Common Stock par value was reclassified 20,324m-&gt;5,081m between FY2023 and FY2024; Shares_Outstanding (10,162m) was constant throughout and is unaffected by this reclassification.</t>
  </si>
  <si>
    <t>Transnational Corporation of Nigeria Plc FY2022: TA/TL/NI from stockanalysis.com balance sheet/income statement (millions NGN, x1000 applied). Shares_Outstanding = period-end Total Common Shares Outstanding. Share_Price_YearEnd = stockanalysis.com year-end market cap / shares. Auditor: Deloitte &amp; Touche (Big4), confirmed. HIGH confidence, Transcorp Group parent holding company. NOTE: Common Stock par value was reclassified 20,324m-&gt;5,081m between FY2023 and FY2024; Shares_Outstanding (10,162m) was constant throughout and is unaffected by this reclassification.</t>
  </si>
  <si>
    <t>Transnational Corporation of Nigeria Plc FY2023: TA/TL/NI from stockanalysis.com balance sheet/income statement (millions NGN, x1000 applied). Shares_Outstanding = period-end Total Common Shares Outstanding. Share_Price_YearEnd = stockanalysis.com year-end market cap / shares. Auditor: Deloitte &amp; Touche (Big4), confirmed. HIGH confidence, Transcorp Group parent holding company. NOTE: Common Stock par value was reclassified 20,324m-&gt;5,081m between FY2023 and FY2024; Shares_Outstanding (10,162m) was constant throughout and is unaffected by this reclassification.</t>
  </si>
  <si>
    <t>Transnational Corporation of Nigeria Plc FY2024: TA/TL/NI from stockanalysis.com balance sheet/income statement (millions NGN, x1000 applied). Shares_Outstanding = period-end Total Common Shares Outstanding. Share_Price_YearEnd = stockanalysis.com year-end market cap / shares. Auditor: Deloitte &amp; Touche (Big4), confirmed. HIGH confidence, Transcorp Group parent holding company. NOTE: Common Stock par value was reclassified 20,324m-&gt;5,081m between FY2023 and FY2024; Shares_Outstanding (10,162m) was constant throughout and is unaffected by this reclassification.</t>
  </si>
  <si>
    <t>Transnational Corporation of Nigeria Plc FY2025: TA/TL/NI from stockanalysis.com balance sheet/income statement (millions NGN, x1000 applied). Shares_Outstanding = period-end Total Common Shares Outstanding. Share_Price_YearEnd = stockanalysis.com year-end market cap / shares. Auditor: Deloitte &amp; Touche (Big4), confirmed. HIGH confidence, Transcorp Group parent holding company. NOTE: Common Stock par value was reclassified 20,324m-&gt;5,081m between FY2023 and FY2024; Shares_Outstanding (10,162m) was constant throughout and is unaffected by this reclassification.</t>
  </si>
  <si>
    <t>TRANSEXPR</t>
  </si>
  <si>
    <t>Trans-Nationwide Express Plc</t>
  </si>
  <si>
    <t>Trans-Nationwide Express Plc FY2021: TA/TL/NI from stockanalysis.com balance sheet/income statement (millions NGN, x1000 applied). Shares_Outstanding = period-end Total Common Shares Outstanding. Share_Price_YearEnd = stockanalysis.com year-end market cap / shares. Auditor: Baker Tilly Nigeria (non-Big4), confirmed via 33rd AGM (Jun-2026) auditor-reappointment report. MEDIUM-HIGH confidence. Small, thinly-traded logistics firm with declining revenue and shareholders' equity eroded close to zero by FY2025 - flagged for leverage/ROA interpretation caution.</t>
  </si>
  <si>
    <t>Trans-Nationwide Express Plc FY2022: TA/TL/NI from stockanalysis.com balance sheet/income statement (millions NGN, x1000 applied). Shares_Outstanding = period-end Total Common Shares Outstanding. Share_Price_YearEnd = stockanalysis.com year-end market cap / shares. Auditor: Baker Tilly Nigeria (non-Big4), confirmed via 33rd AGM (Jun-2026) auditor-reappointment report. MEDIUM-HIGH confidence. Small, thinly-traded logistics firm with declining revenue and shareholders' equity eroded close to zero by FY2025 - flagged for leverage/ROA interpretation caution.</t>
  </si>
  <si>
    <t>Trans-Nationwide Express Plc FY2023: TA/TL/NI from stockanalysis.com balance sheet/income statement (millions NGN, x1000 applied). Shares_Outstanding = period-end Total Common Shares Outstanding. Share_Price_YearEnd = stockanalysis.com year-end market cap / shares. Auditor: Baker Tilly Nigeria (non-Big4), confirmed via 33rd AGM (Jun-2026) auditor-reappointment report. MEDIUM-HIGH confidence. Small, thinly-traded logistics firm with declining revenue and shareholders' equity eroded close to zero by FY2025 - flagged for leverage/ROA interpretation caution.</t>
  </si>
  <si>
    <t>Trans-Nationwide Express Plc FY2024: TA/TL/NI from stockanalysis.com balance sheet/income statement (millions NGN, x1000 applied). Shares_Outstanding = period-end Total Common Shares Outstanding. Share_Price_YearEnd = stockanalysis.com year-end market cap / shares. Auditor: Baker Tilly Nigeria (non-Big4), confirmed via 33rd AGM (Jun-2026) auditor-reappointment report. MEDIUM-HIGH confidence. Small, thinly-traded logistics firm with declining revenue and shareholders' equity eroded close to zero by FY2025 - flagged for leverage/ROA interpretation caution.</t>
  </si>
  <si>
    <t>Trans-Nationwide Express Plc FY2025: TA/TL/NI from stockanalysis.com balance sheet/income statement (millions NGN, x1000 applied). Shares_Outstanding = period-end Total Common Shares Outstanding. Share_Price_YearEnd = stockanalysis.com year-end market cap / shares. Auditor: Baker Tilly Nigeria (non-Big4), confirmed via 33rd AGM (Jun-2026) auditor-reappointment report. MEDIUM-HIGH confidence. Small, thinly-traded logistics firm with declining revenue and shareholders' equity eroded close to zero by FY2025 - flagged for leverage/ROA interpretation caution.</t>
  </si>
  <si>
    <t>TRANSPOWER</t>
  </si>
  <si>
    <t>Transcorp Power Plc</t>
  </si>
  <si>
    <t>Transcorp Power Plc FY2024: TA/TL/NI from stockanalysis.com balance sheet/income statement (millions NGN, x1000 applied). Shares_Outstanding = period-end Total Common Shares Outstanding. Share_Price_YearEnd = stockanalysis.com year-end market cap / shares. Auditor: Deloitte &amp; Touche (Big4), confirmed. HIGH confidence post-listing (NGX-listed 4-Mar-2024). Transcorp Group entity, power-generation business with very strong growth.</t>
  </si>
  <si>
    <t>Transcorp Power Plc FY2025: TA/TL/NI from stockanalysis.com balance sheet/income statement (millions NGN, x1000 applied). Shares_Outstanding = period-end Total Common Shares Outstanding. Share_Price_YearEnd = stockanalysis.com year-end market cap / shares. Auditor: Deloitte &amp; Touche (Big4), confirmed. HIGH confidence post-listing (NGX-listed 4-Mar-2024). Transcorp Group entity, power-generation business with very strong growth.</t>
  </si>
  <si>
    <t>TRIPPLEG</t>
  </si>
  <si>
    <t>Trippleg / Triple Gee &amp; Co Plc</t>
  </si>
  <si>
    <t>UNRESOLVED</t>
  </si>
  <si>
    <t>Tripple Gee &amp; Company Plc FY2022: TA/TL/NI from stockanalysis.com balance sheet/income statement (millions NGN, x1000 applied). Shares_Outstanding = period-end Total Common Shares Outstanding. Share_Price_YearEnd = stockanalysis.com year-end market cap / shares. NON-STANDARD FYE (Apr-Mar): TA/TL/NI are for the FY period ending 31-Mar-2022; Share_Price_YearEnd uses the nearest-preceding-Dec-31 market cap point (Dec-2021) per the established FYE-mapping convention. Auditor UNRESOLVED (LOW confidence, Big4=0).</t>
  </si>
  <si>
    <t>Tripple Gee &amp; Company Plc FY2023: TA/TL/NI from stockanalysis.com balance sheet/income statement (millions NGN, x1000 applied). Shares_Outstanding = period-end Total Common Shares Outstanding. Share_Price_YearEnd = stockanalysis.com year-end market cap / shares. NON-STANDARD FYE (Apr-Mar): TA/TL/NI are for the FY period ending 31-Mar-2023; Share_Price_YearEnd uses the nearest-preceding-Dec-31 market cap point (Dec-2022) per the established FYE-mapping convention. Auditor UNRESOLVED (LOW confidence, Big4=0).</t>
  </si>
  <si>
    <t>Tripple Gee &amp; Company Plc FY2024: TA/TL/NI from stockanalysis.com balance sheet/income statement (millions NGN, x1000 applied). Shares_Outstanding = period-end Total Common Shares Outstanding. Share_Price_YearEnd = stockanalysis.com year-end market cap / shares. NON-STANDARD FYE (Apr-Mar): TA/TL/NI are for the FY period ending 31-Mar-2024; Share_Price_YearEnd uses the nearest-preceding-Dec-31 market cap point (Dec-2023) per the established FYE-mapping convention. Auditor UNRESOLVED (LOW confidence, Big4=0).</t>
  </si>
  <si>
    <t>Tripple Gee &amp; Company Plc FY2025: TA/TL/NI from stockanalysis.com balance sheet/income statement (millions NGN, x1000 applied). Shares_Outstanding = period-end Total Common Shares Outstanding. Share_Price_YearEnd = stockanalysis.com year-end market cap / shares. NON-STANDARD FYE (Apr-Mar): TA/TL/NI are for the FY period ending 31-Mar-2025; Share_Price_YearEnd uses the nearest-preceding-Dec-31 market cap point (Dec-2024) per the established FYE-mapping convention. Auditor UNRESOLVED (LOW confidence, Big4=0). FY2025 net loss and negative equity reflect genuine deterioration (interest expense spike).</t>
  </si>
  <si>
    <t>UACN</t>
  </si>
  <si>
    <t>UAC of Nigeria Plc</t>
  </si>
  <si>
    <t>UAC of Nigeria Plc FY2021: TA/TL/NI from stockanalysis.com balance sheet/income statement (millions NGN, x1000 applied). Shares_Outstanding = period-end Total Common Shares Outstanding. Share_Price_YearEnd = stockanalysis.com year-end market cap / shares. Auditor: KPMG Professional Services (Big4), confirmed. HIGH confidence, long-established diversified conglomerate.</t>
  </si>
  <si>
    <t>UAC of Nigeria Plc FY2022: TA/TL/NI from stockanalysis.com balance sheet/income statement (millions NGN, x1000 applied). Shares_Outstanding = period-end Total Common Shares Outstanding. Share_Price_YearEnd = stockanalysis.com year-end market cap / shares. Auditor: KPMG Professional Services (Big4), confirmed. HIGH confidence, long-established diversified conglomerate.</t>
  </si>
  <si>
    <t>UAC of Nigeria Plc FY2023: TA/TL/NI from stockanalysis.com balance sheet/income statement (millions NGN, x1000 applied). Shares_Outstanding = period-end Total Common Shares Outstanding. Share_Price_YearEnd = stockanalysis.com year-end market cap / shares. Auditor: KPMG Professional Services (Big4), confirmed. HIGH confidence, long-established diversified conglomerate.</t>
  </si>
  <si>
    <t>UAC of Nigeria Plc FY2024: TA/TL/NI from stockanalysis.com balance sheet/income statement (millions NGN, x1000 applied). Shares_Outstanding = period-end Total Common Shares Outstanding. Share_Price_YearEnd = stockanalysis.com year-end market cap / shares. Auditor: KPMG Professional Services (Big4), confirmed. HIGH confidence, long-established diversified conglomerate.</t>
  </si>
  <si>
    <t>UAC of Nigeria Plc FY2025: TA/TL/NI from stockanalysis.com balance sheet/income statement (millions NGN, x1000 applied). Shares_Outstanding = period-end Total Common Shares Outstanding. Share_Price_YearEnd = stockanalysis.com year-end market cap / shares. Auditor: KPMG Professional Services (Big4), confirmed. HIGH confidence, long-established diversified conglomerate. FY2025 balance-sheet expansion driven by a major capital raise/debt increase.</t>
  </si>
  <si>
    <t>UBA</t>
  </si>
  <si>
    <t>United Bank for Africa Plc</t>
  </si>
  <si>
    <t>United Bank for Africa Plc FY2021: TA/TL/NI from stockanalysis.com balance sheet/income statement (millions NGN, x1000 applied). Shares_Outstanding = period-end Total Common Shares Outstanding. Share_Price_YearEnd = stockanalysis.com year-end market cap / shares. Auditor: Ernst &amp; Young (Big4), confirmed for FY2024/2025 and applied across the study window. HIGH confidence, Tier-1 pan-African bank.</t>
  </si>
  <si>
    <t>United Bank for Africa Plc FY2022: TA/TL/NI from stockanalysis.com balance sheet/income statement (millions NGN, x1000 applied). Shares_Outstanding = period-end Total Common Shares Outstanding. Share_Price_YearEnd = stockanalysis.com year-end market cap / shares. Auditor: Ernst &amp; Young (Big4), confirmed for FY2024/2025 and applied across the study window. HIGH confidence, Tier-1 pan-African bank.</t>
  </si>
  <si>
    <t>United Bank for Africa Plc FY2023: TA/TL/NI from stockanalysis.com balance sheet/income statement (millions NGN, x1000 applied). Shares_Outstanding = period-end Total Common Shares Outstanding. Share_Price_YearEnd = stockanalysis.com year-end market cap / shares. Auditor: Ernst &amp; Young (Big4), confirmed for FY2024/2025 and applied across the study window. HIGH confidence, Tier-1 pan-African bank.</t>
  </si>
  <si>
    <t>United Bank for Africa Plc FY2024: TA/TL/NI from stockanalysis.com balance sheet/income statement (millions NGN, x1000 applied). Shares_Outstanding = period-end Total Common Shares Outstanding. Share_Price_YearEnd = stockanalysis.com year-end market cap / shares. Auditor: Ernst &amp; Young (Big4), confirmed for FY2024/2025 and applied across the study window. HIGH confidence, Tier-1 pan-African bank.</t>
  </si>
  <si>
    <t>United Bank for Africa Plc FY2025: TA/TL/NI from stockanalysis.com balance sheet/income statement (millions NGN, x1000 applied). Shares_Outstanding = period-end Total Common Shares Outstanding. Share_Price_YearEnd = stockanalysis.com year-end market cap / shares. Auditor: Ernst &amp; Young (Big4), confirmed for FY2024/2025 and applied across the study window. HIGH confidence, Tier-1 pan-African bank. FY2025 Shares_Outstanding increased 34,199m-&gt;44,196m following a capital raise.</t>
  </si>
  <si>
    <t>UCAP</t>
  </si>
  <si>
    <t>United Capital Plc</t>
  </si>
  <si>
    <t>United Capital Plc FY2021: TA/TL/NI from stockanalysis.com balance sheet/income statement (millions NGN, x1000 applied). Shares_Outstanding = period-end Total Common Shares Outstanding. Share_Price_YearEnd = stockanalysis.com year-end market cap / shares. Auditor: PricewaterhouseCoopers (Big4), confirmed. HIGH confidence, investment banking group with very strong sustained growth throughout.</t>
  </si>
  <si>
    <t>United Capital Plc FY2022: TA/TL/NI from stockanalysis.com balance sheet/income statement (millions NGN, x1000 applied). Shares_Outstanding = period-end Total Common Shares Outstanding. Share_Price_YearEnd = stockanalysis.com year-end market cap / shares. Auditor: PricewaterhouseCoopers (Big4), confirmed. HIGH confidence, investment banking group with very strong sustained growth throughout.</t>
  </si>
  <si>
    <t>United Capital Plc FY2023: TA/TL/NI from stockanalysis.com balance sheet/income statement (millions NGN, x1000 applied). Shares_Outstanding = period-end Total Common Shares Outstanding. Share_Price_YearEnd = stockanalysis.com year-end market cap / shares. Auditor: PricewaterhouseCoopers (Big4), confirmed. HIGH confidence, investment banking group with very strong sustained growth throughout.</t>
  </si>
  <si>
    <t>United Capital Plc FY2024: TA/TL/NI from stockanalysis.com balance sheet/income statement (millions NGN, x1000 applied). Shares_Outstanding = period-end Total Common Shares Outstanding. Share_Price_YearEnd = stockanalysis.com year-end market cap / shares. Auditor: PricewaterhouseCoopers (Big4), confirmed. HIGH confidence, investment banking group with very strong sustained growth throughout.</t>
  </si>
  <si>
    <t>United Capital Plc FY2025: TA/TL/NI from stockanalysis.com balance sheet/income statement (millions NGN, x1000 applied). Shares_Outstanding = period-end Total Common Shares Outstanding. Share_Price_YearEnd = stockanalysis.com year-end market cap / shares. Auditor: PricewaterhouseCoopers (Big4), confirmed. HIGH confidence, investment banking group with very strong sustained growth throughout.</t>
  </si>
  <si>
    <t>UNILEVER</t>
  </si>
  <si>
    <t>Unilever Nigeria Plc</t>
  </si>
  <si>
    <t>Unilever Nigeria Plc FY2021: TA/TL/NI from stockanalysis.com balance sheet/income statement (millions NGN, x1000 applied). Shares_Outstanding = period-end Total Common Shares Outstanding. Share_Price_YearEnd = stockanalysis.com year-end market cap / shares. Auditor: Forvis Mazars (non-Big4), newly appointed per the 2024 annual report; applied across the study window as the best-available single entry, though the true FY2021-2023 auditor could not be independently confirmed (flagged in Firm Master Notes). MEDIUM confidence on the auditor field for pre-2024 years; HIGH confidence on all financial figures (major well-covered FMCG company).</t>
  </si>
  <si>
    <t>Unilever Nigeria Plc FY2022: TA/TL/NI from stockanalysis.com balance sheet/income statement (millions NGN, x1000 applied). Shares_Outstanding = period-end Total Common Shares Outstanding. Share_Price_YearEnd = stockanalysis.com year-end market cap / shares. Auditor: Forvis Mazars (non-Big4), newly appointed per the 2024 annual report; applied across the study window as the best-available single entry, though the true FY2021-2023 auditor could not be independently confirmed (flagged in Firm Master Notes). MEDIUM confidence on the auditor field for pre-2024 years; HIGH confidence on all financial figures (major well-covered FMCG company).</t>
  </si>
  <si>
    <t>Unilever Nigeria Plc FY2023: TA/TL/NI from stockanalysis.com balance sheet/income statement (millions NGN, x1000 applied). Shares_Outstanding = period-end Total Common Shares Outstanding. Share_Price_YearEnd = stockanalysis.com year-end market cap / shares. Auditor: Forvis Mazars (non-Big4), newly appointed per the 2024 annual report; applied across the study window as the best-available single entry, though the true FY2021-2023 auditor could not be independently confirmed (flagged in Firm Master Notes). MEDIUM confidence on the auditor field for pre-2024 years; HIGH confidence on all financial figures (major well-covered FMCG company).</t>
  </si>
  <si>
    <t>Unilever Nigeria Plc FY2024: TA/TL/NI from stockanalysis.com balance sheet/income statement (millions NGN, x1000 applied). Shares_Outstanding = period-end Total Common Shares Outstanding. Share_Price_YearEnd = stockanalysis.com year-end market cap / shares. Auditor: Forvis Mazars (non-Big4), newly appointed per the 2024 annual report; applied across the study window as the best-available single entry, though the true FY2021-2023 auditor could not be independently confirmed (flagged in Firm Master Notes). MEDIUM confidence on the auditor field for pre-2024 years; HIGH confidence on all financial figures (major well-covered FMCG company). Strong accelerating growth FY2024-2025.</t>
  </si>
  <si>
    <t>Unilever Nigeria Plc FY2025: TA/TL/NI from stockanalysis.com balance sheet/income statement (millions NGN, x1000 applied). Shares_Outstanding = period-end Total Common Shares Outstanding. Share_Price_YearEnd = stockanalysis.com year-end market cap / shares. Auditor: Forvis Mazars (non-Big4), newly appointed per the 2024 annual report; applied across the study window as the best-available single entry, though the true FY2021-2023 auditor could not be independently confirmed (flagged in Firm Master Notes). MEDIUM confidence on the auditor field for pre-2024 years; HIGH confidence on all financial figures (major well-covered FMCG company). Strong accelerating growth FY2024-2025. | EAS FORWARD-FILLED 17-Aug-2026 (user-directed methodology correction): IFRS_S1S2_Adopter_Dummy changed from 0 to 1. Firm first made an explicit voluntary-adoption statement in FY2024; per corrected methodology, firms are not assumed to un-adopt a standard they've voluntarily aligned with, so all subsequent years are coded 1 even where a later report is quiet on the topic.</t>
  </si>
  <si>
    <t>UNITYBNK</t>
  </si>
  <si>
    <t>Unity Bank Plc</t>
  </si>
  <si>
    <t>Unity Bank Plc FY2021: TA/TL/NI from stockanalysis.com balance sheet/income statement (millions NGN, x1000 applied). Shares_Outstanding = period-end Total Common Shares Outstanding. Share_Price_YearEnd = stockanalysis.com year-end market cap / shares. Auditor: KPMG Professional Services (Big4), confirmed. MEDIUM-HIGH confidence. Severe, worsening financial distress - persistent deeply negative shareholders' equity; net losses accelerated sharply in FY2023-2024, the backdrop for the subsequent Providus Bank merger. Flagged for leverage/ROA interpretation caution.</t>
  </si>
  <si>
    <t>Unity Bank Plc FY2022: TA/TL/NI from stockanalysis.com balance sheet/income statement (millions NGN, x1000 applied). Shares_Outstanding = period-end Total Common Shares Outstanding. Share_Price_YearEnd = stockanalysis.com year-end market cap / shares. Auditor: KPMG Professional Services (Big4), confirmed. MEDIUM-HIGH confidence. Severe, worsening financial distress - persistent deeply negative shareholders' equity; net losses accelerated sharply in FY2023-2024, the backdrop for the subsequent Providus Bank merger. Flagged for leverage/ROA interpretation caution.</t>
  </si>
  <si>
    <t>Unity Bank Plc FY2023: TA/TL/NI from stockanalysis.com balance sheet/income statement (millions NGN, x1000 applied). Shares_Outstanding = period-end Total Common Shares Outstanding. Share_Price_YearEnd = stockanalysis.com year-end market cap / shares. Auditor: KPMG Professional Services (Big4), confirmed. MEDIUM-HIGH confidence. Severe, worsening financial distress - persistent deeply negative shareholders' equity; net losses accelerated sharply in FY2023-2024, the backdrop for the subsequent Providus Bank merger. Flagged for leverage/ROA interpretation caution.</t>
  </si>
  <si>
    <t>Unity Bank Plc FY2024: TA/TL/NI from stockanalysis.com balance sheet/income statement (millions NGN, x1000 applied). Shares_Outstanding = period-end Total Common Shares Outstanding. Share_Price_YearEnd = stockanalysis.com year-end market cap / shares. Auditor: KPMG Professional Services (Big4), confirmed. MEDIUM-HIGH confidence. Severe, worsening financial distress - persistent deeply negative shareholders' equity; net losses accelerated sharply in FY2023-2024, the backdrop for the subsequent Providus Bank merger. Flagged for leverage/ROA interpretation caution.</t>
  </si>
  <si>
    <t>UNIVINSURE</t>
  </si>
  <si>
    <t>Universal Insurance Plc</t>
  </si>
  <si>
    <t>IKEJI &amp; CO</t>
  </si>
  <si>
    <t>Universal Insurance Plc FY2021: TA/TL/NI from stockanalysis.com balance sheet/income statement (millions NGN, x1000 applied). Shares_Outstanding = period-end Total Common Shares Outstanding. Share_Price_YearEnd = stockanalysis.com year-end market cap / shares. Auditor: IKEJI &amp; CO (non-Big4) applied per auditor-transition convention (predecessor Ukwuegbu, Ogbeleje &amp; Co. through FY2023) - MEDIUM confidence on auditor attribution pre-2025, Big4=0 unaffected either way. Market cap static at N3.20bn both years (thin secondary trading), MEDIUM-LOW confidence.</t>
  </si>
  <si>
    <t>Universal Insurance Plc FY2022: TA/TL/NI from stockanalysis.com balance sheet/income statement (millions NGN, x1000 applied). Shares_Outstanding = period-end Total Common Shares Outstanding. Share_Price_YearEnd = stockanalysis.com year-end market cap / shares. Auditor: IKEJI &amp; CO (non-Big4) applied per auditor-transition convention (predecessor Ukwuegbu, Ogbeleje &amp; Co. through FY2023) - MEDIUM confidence on auditor attribution pre-2025, Big4=0 unaffected either way. Market cap static at N3.20bn both years (thin secondary trading), MEDIUM-LOW confidence.</t>
  </si>
  <si>
    <t>Universal Insurance Plc FY2023: TA/TL/NI from stockanalysis.com balance sheet/income statement (millions NGN, x1000 applied). Shares_Outstanding = period-end Total Common Shares Outstanding. Share_Price_YearEnd = stockanalysis.com year-end market cap / shares. Auditor: IKEJI &amp; CO (non-Big4) applied per auditor-transition convention (predecessor Ukwuegbu, Ogbeleje &amp; Co. through FY2023) - MEDIUM confidence on auditor attribution pre-2025, Big4=0 unaffected either way. MEDIUM-HIGH confidence, strong accelerating growth.</t>
  </si>
  <si>
    <t>Universal Insurance Plc FY2024: TA/TL/NI from stockanalysis.com balance sheet/income statement (millions NGN, x1000 applied). Shares_Outstanding = period-end Total Common Shares Outstanding. Share_Price_YearEnd = stockanalysis.com year-end market cap / shares. Auditor: IKEJI &amp; CO (non-Big4) applied per auditor-transition convention (predecessor Ukwuegbu, Ogbeleje &amp; Co. through FY2023) - MEDIUM confidence on auditor attribution pre-2025, Big4=0 unaffected either way. MEDIUM-HIGH confidence, strong accelerating growth.</t>
  </si>
  <si>
    <t>Universal Insurance Plc FY2025: TA/TL/NI from stockanalysis.com balance sheet/income statement (millions NGN, x1000 applied). Shares_Outstanding = period-end Total Common Shares Outstanding. Share_Price_YearEnd = stockanalysis.com year-end market cap / shares. Auditor: IKEJI &amp; CO (non-Big4) applied per auditor-transition convention (predecessor Ukwuegbu, Ogbeleje &amp; Co. through FY2023) - MEDIUM confidence on auditor attribution pre-2025, Big4=0 unaffected either way. MEDIUM-HIGH confidence, strong accelerating growth.</t>
  </si>
  <si>
    <t>UPDC</t>
  </si>
  <si>
    <t>UPDC Plc</t>
  </si>
  <si>
    <t>UPDC Plc FY2021: TA/TL/NI from stockanalysis.com balance sheet/income statement (millions NGN, x1000 applied). Shares_Outstanding = period-end Total Common Shares Outstanding. Share_Price_YearEnd = stockanalysis.com year-end market cap / shares. Auditor: UNRESOLVED despite extensive search (MCNICHOLS precedent applied), LOW confidence on auditor field only (financial figures themselves are HIGH confidence, well-covered). Turnaround from FY2021 net loss to sustained profitability; large FY2025 market-cap re-rating.</t>
  </si>
  <si>
    <t>UPDC Plc FY2022: TA/TL/NI from stockanalysis.com balance sheet/income statement (millions NGN, x1000 applied). Shares_Outstanding = period-end Total Common Shares Outstanding. Share_Price_YearEnd = stockanalysis.com year-end market cap / shares. Auditor: UNRESOLVED despite extensive search (MCNICHOLS precedent applied), LOW confidence on auditor field only (financial figures themselves are HIGH confidence, well-covered). Turnaround from FY2021 net loss to sustained profitability; large FY2025 market-cap re-rating.</t>
  </si>
  <si>
    <t>UPDC Plc FY2023: TA/TL/NI from stockanalysis.com balance sheet/income statement (millions NGN, x1000 applied). Shares_Outstanding = period-end Total Common Shares Outstanding. Share_Price_YearEnd = stockanalysis.com year-end market cap / shares. Auditor: UNRESOLVED despite extensive search (MCNICHOLS precedent applied), LOW confidence on auditor field only (financial figures themselves are HIGH confidence, well-covered). Turnaround from FY2021 net loss to sustained profitability; large FY2025 market-cap re-rating.</t>
  </si>
  <si>
    <t>UPDC Plc FY2024: TA/TL/NI from stockanalysis.com balance sheet/income statement (millions NGN, x1000 applied). Shares_Outstanding = period-end Total Common Shares Outstanding. Share_Price_YearEnd = stockanalysis.com year-end market cap / shares. Auditor: UNRESOLVED despite extensive search (MCNICHOLS precedent applied), LOW confidence on auditor field only (financial figures themselves are HIGH confidence, well-covered). Turnaround from FY2021 net loss to sustained profitability; large FY2025 market-cap re-rating.</t>
  </si>
  <si>
    <t>UPDC Plc FY2025: TA/TL/NI from stockanalysis.com balance sheet/income statement (millions NGN, x1000 applied). Shares_Outstanding = period-end Total Common Shares Outstanding. Share_Price_YearEnd = stockanalysis.com year-end market cap / shares. Auditor: UNRESOLVED despite extensive search (MCNICHOLS precedent applied), LOW confidence on auditor field only (financial figures themselves are HIGH confidence, well-covered). Turnaround from FY2021 net loss to sustained profitability; large FY2025 market-cap re-rating.</t>
  </si>
  <si>
    <t>UPL</t>
  </si>
  <si>
    <t>University Press Plc</t>
  </si>
  <si>
    <t>RESOLVED, HIGH confidence - University Press Plc FY2021 (FYE 31-Mar-2021) Audited FS, NGX doclib primary source. TA-TL=2,660,479 matches reported 'Total net assets' in the same segment note (a separate 'Total equity' note shows 2,663,962, a 0.13% variance - used the internally-consistent segment figures). Share_Price_YearEnd remains an open gap: only a calendar Dec-31-2021 market cap was found (N1.27bn, implying ~N2.94), which is a Dec value not the FYE Mar-2021 point - not entered to avoid mixing reference dates. Source: NGX doclib primary filings. | Share_Price_YearEnd=2.94 sourced from the firm's own corporate/investor-relations website, manually verified by user (Ben) and supplied directly, 17-Aug-2026 -- resolves the previously-flagged Share_Price_YearEnd open gap. Market_Value_Equity and Tobin_Q recompute automatically via existing workbook formulas.</t>
  </si>
  <si>
    <t>University Press Plc FY2022: TA/TL/NI from stockanalysis.com balance sheet/income statement (millions NGN, x1000 applied). Shares_Outstanding = period-end Total Common Shares Outstanding. Share_Price_YearEnd = stockanalysis.com year-end market cap / shares. Non-standard FYE (Apr-Mar): FYE-labelled year (ending Mar-2022) maps directly to study Year 2022; Share_Price_YearEnd uses the nearest-preceding-Dec-31 market cap (Dec-31-2021). Auditor: PKF Professional Services (non-Big4), confirmed. MEDIUM-HIGH confidence.</t>
  </si>
  <si>
    <t>University Press Plc FY2023: TA/TL/NI from stockanalysis.com balance sheet/income statement (millions NGN, x1000 applied). Shares_Outstanding = period-end Total Common Shares Outstanding. Share_Price_YearEnd = stockanalysis.com year-end market cap / shares. Non-standard FYE (Apr-Mar): FYE-labelled year (ending Mar-2023) maps directly to study Year 2023; Share_Price_YearEnd uses the nearest-preceding-Dec-31 market cap (Dec-31-2022). Auditor: PKF Professional Services (non-Big4), confirmed. MEDIUM-HIGH confidence.</t>
  </si>
  <si>
    <t>University Press Plc FY2024: TA/TL/NI from stockanalysis.com balance sheet/income statement (millions NGN, x1000 applied). Shares_Outstanding = period-end Total Common Shares Outstanding. Share_Price_YearEnd = stockanalysis.com year-end market cap / shares. Non-standard FYE (Apr-Mar): FYE-labelled year (ending Mar-2024) maps directly to study Year 2024; Share_Price_YearEnd uses the nearest-preceding-Dec-31 market cap (Dec-31-2023). Auditor: PKF Professional Services (non-Big4), confirmed. MEDIUM-HIGH confidence.</t>
  </si>
  <si>
    <t>University Press Plc FY2025: TA/TL/NI from stockanalysis.com balance sheet/income statement (millions NGN, x1000 applied). Shares_Outstanding = period-end Total Common Shares Outstanding. Share_Price_YearEnd = stockanalysis.com year-end market cap / shares. Non-standard FYE (Apr-Mar): FYE-labelled year (ending Mar-2025) maps directly to study Year 2025; Share_Price_YearEnd uses the nearest-preceding-Dec-31 market cap (Dec-31-2024). Auditor: PKF Professional Services (non-Big4), confirmed. MEDIUM-HIGH confidence.</t>
  </si>
  <si>
    <t>VERITASKAP</t>
  </si>
  <si>
    <t>Veritas Kapital Assurance Plc</t>
  </si>
  <si>
    <t>Veritas Kapital Assurance Plc FY2021: TA/TL/NI from stockanalysis.com balance sheet/income statement (millions NGN, x1000 applied). Shares_Outstanding = period-end Total Common Shares Outstanding. Share_Price_YearEnd = stockanalysis.com year-end market cap / shares. Auditor: Ernst &amp; Young (Big4), confirmed. HIGH confidence.</t>
  </si>
  <si>
    <t>Veritas Kapital Assurance Plc FY2022: TA/TL/NI from stockanalysis.com balance sheet/income statement (millions NGN, x1000 applied). Shares_Outstanding = period-end Total Common Shares Outstanding. Share_Price_YearEnd = stockanalysis.com year-end market cap / shares. Auditor: Ernst &amp; Young (Big4), confirmed. HIGH confidence.</t>
  </si>
  <si>
    <t>Veritas Kapital Assurance Plc FY2023: TA/TL/NI from stockanalysis.com balance sheet/income statement (millions NGN, x1000 applied). Shares_Outstanding = period-end Total Common Shares Outstanding. Share_Price_YearEnd = stockanalysis.com year-end market cap / shares. Auditor: Ernst &amp; Young (Big4), confirmed. HIGH confidence.</t>
  </si>
  <si>
    <t>Veritas Kapital Assurance Plc FY2024: TA/TL/NI from stockanalysis.com balance sheet/income statement (millions NGN, x1000 applied). Shares_Outstanding = period-end Total Common Shares Outstanding. Share_Price_YearEnd = stockanalysis.com year-end market cap / shares. Auditor: Ernst &amp; Young (Big4), confirmed. HIGH confidence. Large net loss driven by a -N5.65bn operating-income swing - genuine reported results.</t>
  </si>
  <si>
    <t>Veritas Kapital Assurance Plc FY2025: TA/TL/NI from stockanalysis.com balance sheet/income statement (millions NGN, x1000 applied). Shares_Outstanding = period-end Total Common Shares Outstanding. Share_Price_YearEnd = stockanalysis.com year-end market cap / shares. Auditor: Ernst &amp; Young (Big4), confirmed. HIGH confidence.</t>
  </si>
  <si>
    <t>VFDGROUP</t>
  </si>
  <si>
    <t>VFD Group Plc</t>
  </si>
  <si>
    <t>INVESTMENT</t>
  </si>
  <si>
    <t>VFD Group Plc FY2023: TA/TL/NI from stockanalysis.com balance sheet/income statement (millions NGN, x1000 applied). Shares_Outstanding = period-end Total Common Shares Outstanding. Share_Price_YearEnd = stockanalysis.com year-end market cap / shares. Auditor: PricewaterhouseCoopers (Big4), confirmed. HIGH confidence post-listing (NGX-listed 6-Oct-2023).</t>
  </si>
  <si>
    <t>VFD Group Plc FY2024: TA/TL/NI from stockanalysis.com balance sheet/income statement (millions NGN, x1000 applied). Shares_Outstanding = period-end Total Common Shares Outstanding. Share_Price_YearEnd = stockanalysis.com year-end market cap / shares. Auditor: PricewaterhouseCoopers (Big4), confirmed. HIGH confidence post-listing (NGX-listed 6-Oct-2023). Share count increased 5,701m-&gt;7,601m (+33.3%) - flagged so not mistaken for an error.</t>
  </si>
  <si>
    <t>VFD Group Plc FY2025: TA/TL/NI from stockanalysis.com balance sheet/income statement (millions NGN, x1000 applied). Shares_Outstanding = period-end Total Common Shares Outstanding. Share_Price_YearEnd = stockanalysis.com year-end market cap / shares. Auditor: PricewaterhouseCoopers (Big4), confirmed. HIGH confidence post-listing (NGX-listed 6-Oct-2023).</t>
  </si>
  <si>
    <t>VITAFOAM</t>
  </si>
  <si>
    <t>Vitafoam Nigeria Plc</t>
  </si>
  <si>
    <t>Vitafoam Nigeria Plc FY2021: TA/TL/NI from stockanalysis.com balance sheet/income statement (millions NGN, x1000 applied). Shares_Outstanding = period-end Total Common Shares Outstanding. Share_Price_YearEnd = stockanalysis.com year-end market cap / shares. Non-standard FYE (Oct-Sep): FYE-labelled year (ending Sep-2021) maps directly to study Year 2021; Share_Price_YearEnd uses the NEAREST Dec-31 market cap (Dec-31-2021, ~3 months after FYE, per the refined nearest-Dec-31 convention for Oct-Sep FYEs). Auditor: PricewaterhouseCoopers (Big4), confirmed via FY2024 audited financial statements. HIGH confidence.</t>
  </si>
  <si>
    <t>Vitafoam Nigeria Plc FY2022: TA/TL/NI from stockanalysis.com balance sheet/income statement (millions NGN, x1000 applied). Shares_Outstanding = period-end Total Common Shares Outstanding. Share_Price_YearEnd = stockanalysis.com year-end market cap / shares. Non-standard FYE (Oct-Sep): FYE-labelled year (ending Sep-2022) maps directly to study Year 2022; Share_Price_YearEnd uses the NEAREST Dec-31 market cap (Dec-31-2022, ~3 months after FYE, per the refined nearest-Dec-31 convention for Oct-Sep FYEs). Auditor: PricewaterhouseCoopers (Big4), confirmed via FY2024 audited financial statements. HIGH confidence.</t>
  </si>
  <si>
    <t>Vitafoam Nigeria Plc FY2023: TA/TL/NI from stockanalysis.com balance sheet/income statement (millions NGN, x1000 applied). Shares_Outstanding = period-end Total Common Shares Outstanding. Share_Price_YearEnd = stockanalysis.com year-end market cap / shares. Non-standard FYE (Oct-Sep): FYE-labelled year (ending Sep-2023) maps directly to study Year 2023; Share_Price_YearEnd uses the NEAREST Dec-31 market cap (Dec-31-2023, ~3 months after FYE, per the refined nearest-Dec-31 convention for Oct-Sep FYEs). Auditor: PricewaterhouseCoopers (Big4), confirmed via FY2024 audited financial statements. HIGH confidence.</t>
  </si>
  <si>
    <t>Vitafoam Nigeria Plc FY2024: TA/TL/NI from stockanalysis.com balance sheet/income statement (millions NGN, x1000 applied). Shares_Outstanding = period-end Total Common Shares Outstanding. Share_Price_YearEnd = stockanalysis.com year-end market cap / shares. Non-standard FYE (Oct-Sep): FYE-labelled year (ending Sep-2024) maps directly to study Year 2024; Share_Price_YearEnd uses the NEAREST Dec-31 market cap (Dec-31-2024, ~3 months after FYE, per the refined nearest-Dec-31 convention for Oct-Sep FYEs). Auditor: PricewaterhouseCoopers (Big4), confirmed via FY2024 audited financial statements. MEDIUM-HIGH confidence; profit dip driven by a large -N12.72bn currency exchange loss - genuine.</t>
  </si>
  <si>
    <t>Vitafoam Nigeria Plc FY2025: TA/TL/NI from stockanalysis.com balance sheet/income statement (millions NGN, x1000 applied). Shares_Outstanding = period-end Total Common Shares Outstanding. Share_Price_YearEnd = stockanalysis.com year-end market cap / shares. Non-standard FYE (Oct-Sep): FYE-labelled year (ending Sep-2025) maps directly to study Year 2025; Share_Price_YearEnd uses the NEAREST Dec-31 market cap (Dec-31-2025, ~3 months after FYE, per the refined nearest-Dec-31 convention for Oct-Sep FYEs). Auditor: PricewaterhouseCoopers (Big4), confirmed via FY2024 audited financial statements. MEDIUM-HIGH confidence; very strong rebound and major market-cap re-rating (+300%).</t>
  </si>
  <si>
    <t>WAPIC</t>
  </si>
  <si>
    <t>Coronation Insurance Plc (formerly Wapic Insurance Plc)</t>
  </si>
  <si>
    <t>Coronation Insurance Plc (formerly Wapic Insurance Plc) FY2021: TA/TL/NI from stockanalysis.com balance sheet/income statement (millions NGN, x1000 applied). Shares_Outstanding = period-end Total Common Shares Outstanding. Share_Price_YearEnd = stockanalysis.com year-end market cap / shares. Auditor: Ernst &amp; Young (Big4), confirmed sole auditor since FY2020. HIGH confidence. Early-window net losses, genuine reported results.</t>
  </si>
  <si>
    <t>Coronation Insurance Plc (formerly Wapic Insurance Plc) FY2022: TA/TL/NI from stockanalysis.com balance sheet/income statement (millions NGN, x1000 applied). Shares_Outstanding = period-end Total Common Shares Outstanding. Share_Price_YearEnd = stockanalysis.com year-end market cap / shares. Auditor: Ernst &amp; Young (Big4), confirmed sole auditor since FY2020. HIGH confidence. Early-window net losses, genuine reported results.</t>
  </si>
  <si>
    <t>Coronation Insurance Plc (formerly Wapic Insurance Plc) FY2023: TA/TL/NI from stockanalysis.com balance sheet/income statement (millions NGN, x1000 applied). Shares_Outstanding = period-end Total Common Shares Outstanding. Share_Price_YearEnd = stockanalysis.com year-end market cap / shares. Auditor: Ernst &amp; Young (Big4), confirmed sole auditor since FY2020. HIGH confidence.</t>
  </si>
  <si>
    <t>Coronation Insurance Plc (formerly Wapic Insurance Plc) FY2024: TA/TL/NI from stockanalysis.com balance sheet/income statement (millions NGN, x1000 applied). Shares_Outstanding = period-end Total Common Shares Outstanding. Share_Price_YearEnd = stockanalysis.com year-end market cap / shares. Auditor: Ernst &amp; Young (Big4), confirmed sole auditor since FY2020. HIGH confidence.</t>
  </si>
  <si>
    <t>Coronation Insurance Plc (formerly Wapic Insurance Plc) FY2025: TA/TL/NI from stockanalysis.com balance sheet/income statement (millions NGN, x1000 applied). Shares_Outstanding = period-end Total Common Shares Outstanding. Share_Price_YearEnd = stockanalysis.com year-end market cap / shares. Auditor: Ernst &amp; Young (Big4), confirmed sole auditor since FY2020. HIGH confidence.</t>
  </si>
  <si>
    <t>WEMABANK</t>
  </si>
  <si>
    <t>Wema Bank Plc</t>
  </si>
  <si>
    <t>Wema Bank Plc FY2021: TA/TL/NI from stockanalysis.com balance sheet/income statement (millions NGN, x1000 applied). Shares_Outstanding = period-end Total Common Shares Outstanding. Share_Price_YearEnd = stockanalysis.com year-end market cap / shares. Auditor: KPMG Professional Services (Big4) applied per auditor-transition convention (predecessor Deloitte &amp; Touche per FY2020 filings) - MEDIUM confidence on auditor attribution for earlier years, Big4=1 unaffected either way. MEDIUM-HIGH confidence.</t>
  </si>
  <si>
    <t>Wema Bank Plc FY2022: TA/TL/NI from stockanalysis.com balance sheet/income statement (millions NGN, x1000 applied). Shares_Outstanding = period-end Total Common Shares Outstanding. Share_Price_YearEnd = stockanalysis.com year-end market cap / shares. Auditor: KPMG Professional Services (Big4) applied per auditor-transition convention (predecessor Deloitte &amp; Touche per FY2020 filings) - MEDIUM confidence on auditor attribution for earlier years, Big4=1 unaffected either way. MEDIUM-HIGH confidence.</t>
  </si>
  <si>
    <t>Wema Bank Plc FY2023: TA/TL/NI from stockanalysis.com balance sheet/income statement (millions NGN, x1000 applied). Shares_Outstanding = period-end Total Common Shares Outstanding. Share_Price_YearEnd = stockanalysis.com year-end market cap / shares. Auditor: KPMG Professional Services (Big4) applied per auditor-transition convention (predecessor Deloitte &amp; Touche per FY2020 filings) - MEDIUM confidence on auditor attribution for earlier years, Big4=1 unaffected either way. MEDIUM-HIGH confidence.</t>
  </si>
  <si>
    <t>Wema Bank Plc FY2024: TA/TL/NI from stockanalysis.com balance sheet/income statement (millions NGN, x1000 applied). Shares_Outstanding = period-end Total Common Shares Outstanding. Share_Price_YearEnd = stockanalysis.com year-end market cap / shares. Auditor: KPMG Professional Services (Big4) applied per auditor-transition convention (predecessor Deloitte &amp; Touche per FY2020 filings) - MEDIUM confidence on auditor attribution for earlier years, Big4=1 unaffected either way. Major share-count increase from CBN-recapitalization-driven capital raises, not dilution error.</t>
  </si>
  <si>
    <t>Wema Bank Plc FY2025: TA/TL/NI from stockanalysis.com balance sheet/income statement (millions NGN, x1000 applied). Shares_Outstanding = period-end Total Common Shares Outstanding. Share_Price_YearEnd = stockanalysis.com year-end market cap / shares. Auditor: KPMG Professional Services (Big4) applied per auditor-transition convention (predecessor Deloitte &amp; Touche per FY2020 filings) - MEDIUM confidence on auditor attribution for earlier years, Big4=1 unaffected either way. Major share-count increase from CBN-recapitalization-driven capital raises, not dilution error.</t>
  </si>
  <si>
    <t>ZENITHBANK</t>
  </si>
  <si>
    <t>Zenith Bank Plc</t>
  </si>
  <si>
    <t>Zenith Bank Plc FY2021: TA/TL/NI from stockanalysis.com balance sheet/income statement (millions NGN, x1000 applied). Shares_Outstanding = period-end Total Common Shares Outstanding. Share_Price_YearEnd = stockanalysis.com year-end market cap / shares. Auditor: UNRESOLVED despite extensive search (MCNICHOLS precedent applied), LOW confidence on auditor field only (financial figures themselves are HIGH confidence, Tier-1 bank). Share count increased 31,396m-&gt;41,070m in FY2025 from a capital raise, not a data error.</t>
  </si>
  <si>
    <t>Zenith Bank Plc FY2022: TA/TL/NI from stockanalysis.com balance sheet/income statement (millions NGN, x1000 applied). Shares_Outstanding = period-end Total Common Shares Outstanding. Share_Price_YearEnd = stockanalysis.com year-end market cap / shares. Auditor: UNRESOLVED despite extensive search (MCNICHOLS precedent applied), LOW confidence on auditor field only (financial figures themselves are HIGH confidence, Tier-1 bank). Share count increased 31,396m-&gt;41,070m in FY2025 from a capital raise, not a data error.</t>
  </si>
  <si>
    <t>Zenith Bank Plc FY2023: TA/TL/NI from stockanalysis.com balance sheet/income statement (millions NGN, x1000 applied). Shares_Outstanding = period-end Total Common Shares Outstanding. Share_Price_YearEnd = stockanalysis.com year-end market cap / shares. Auditor: UNRESOLVED despite extensive search (MCNICHOLS precedent applied), LOW confidence on auditor field only (financial figures themselves are HIGH confidence, Tier-1 bank). Share count increased 31,396m-&gt;41,070m in FY2025 from a capital raise, not a data error.</t>
  </si>
  <si>
    <t>Zenith Bank Plc FY2024: TA/TL/NI from stockanalysis.com balance sheet/income statement (millions NGN, x1000 applied). Shares_Outstanding = period-end Total Common Shares Outstanding. Share_Price_YearEnd = stockanalysis.com year-end market cap / shares. Auditor: UNRESOLVED despite extensive search (MCNICHOLS precedent applied), LOW confidence on auditor field only (financial figures themselves are HIGH confidence, Tier-1 bank). Share count increased 31,396m-&gt;41,070m in FY2025 from a capital raise, not a data error.</t>
  </si>
  <si>
    <t>Zenith Bank Plc FY2025: TA/TL/NI from stockanalysis.com balance sheet/income statement (millions NGN, x1000 applied). Shares_Outstanding = period-end Total Common Shares Outstanding. Share_Price_YearEnd = stockanalysis.com year-end market cap / shares. Auditor: UNRESOLVED despite extensive search (MCNICHOLS precedent applied), LOW confidence on auditor field only (financial figures themselves are HIGH confidence, Tier-1 bank). Share count increased 31,396m-&gt;41,070m in FY2025 from a capital raise, not a data error.</t>
  </si>
  <si>
    <t>TABLE 1: SAMPLE PROFILE</t>
  </si>
  <si>
    <t>Final Sample tab, all figures computed live via formula</t>
  </si>
  <si>
    <t>Total firm-year observations (N)</t>
  </si>
  <si>
    <t>Unique firms</t>
  </si>
  <si>
    <t>Study window</t>
  </si>
  <si>
    <t>2021-2025</t>
  </si>
  <si>
    <t>Maximum possible panel (146 firms x 5 years)</t>
  </si>
  <si>
    <t>Realised sample as % of maximum possible</t>
  </si>
  <si>
    <t>PANEL BALANCE BY YEAR</t>
  </si>
  <si>
    <t>Firm-Years (N)</t>
  </si>
  <si>
    <t>% of Sample</t>
  </si>
  <si>
    <t>Total</t>
  </si>
  <si>
    <t>SAMPLE DISTRIBUTION BY SECTOR</t>
  </si>
  <si>
    <t>Note: sector order ranked by mean SDQ_Score, high to low (see Table 4, '4. Sector Breakdown' tab).</t>
  </si>
  <si>
    <t>Source: Final Sample tab, this workbook. All counts computed via COUNTIF referencing the underlying 611 firm-year rows.</t>
  </si>
  <si>
    <t>TABLE 2: DESCRIPTIVE STATISTICS - SDQ AND CDQ</t>
  </si>
  <si>
    <t>Answers Objective 1 / Research Question 1 directly</t>
  </si>
  <si>
    <t>Statistic</t>
  </si>
  <si>
    <t>N</t>
  </si>
  <si>
    <t>Mean</t>
  </si>
  <si>
    <t>Median</t>
  </si>
  <si>
    <t>Std. Deviation</t>
  </si>
  <si>
    <t>Minimum</t>
  </si>
  <si>
    <t>Maximum</t>
  </si>
  <si>
    <t>Skewness</t>
  </si>
  <si>
    <t>Kurtosis (excess)</t>
  </si>
  <si>
    <t>Shapiro-Wilk W</t>
  </si>
  <si>
    <t>Shapiro-Wilk p-value</t>
  </si>
  <si>
    <t>Interpretation:</t>
  </si>
  <si>
    <t>Both indices depart sharply from normality (p &lt; .001 in both cases). Median SDQ and CDQ are both 0.00, meaning more than half of firm-years in the sample disclose against none of the coded items, while mean SDQ (13.15) and mean CDQ (6.37) sit well above the median, pulled up by a smaller group of high-disclosing firms. This right-skew, floor-loaded shape is why Spearman correlation and the Mann-Whitney U / Kruskal-Wallis tests (not Pearson correlation or ANOVA / independent t-test) are used throughout the remaining analysis, consistent with the fallback already specified in Chapter Three.</t>
  </si>
  <si>
    <t>Note: Shapiro-Wilk W and p-value computed via SciPy (scipy.stats.shapiro) — Excel/SPSS Statistics has no native worksheet function for this test. All other statistics above are live Excel formulas referencing the Final Sample tab and will recompute if the underlying data changes. To replicate the Shapiro-Wilk result in SPSS: Analyze &gt; Descriptive Statistics &gt; Explore &gt; Plots &gt; Normality plots with tests.</t>
  </si>
  <si>
    <t>TABLE 3: SDQ / CDQ TREND, 2021-2025</t>
  </si>
  <si>
    <t>Is disclosure quality improving over the study window? Tested via firm fixed-effects regression, not between-year comparison (see Part 2 below).</t>
  </si>
  <si>
    <t>Mean SDQ</t>
  </si>
  <si>
    <t>SD SDQ</t>
  </si>
  <si>
    <t>Mean CDQ</t>
  </si>
  <si>
    <t>SD CDQ</t>
  </si>
  <si>
    <t>FIRM FIXED-EFFECTS TREND REGRESSION (2021-2025)</t>
  </si>
  <si>
    <t>Model: Score_it = alpha_i + beta*Year_c_it + e_it, entity (firm) fixed effects, standard errors clustered by firm. Year_c = Year - 2021 (0 to 4). Replaces the between-year Kruskal-Wallis test, which is not appropriate for repeated firm-year panel data (see notes below).</t>
  </si>
  <si>
    <t>Variable</t>
  </si>
  <si>
    <t>Coefficient (per year)</t>
  </si>
  <si>
    <t>Clustered SE</t>
  </si>
  <si>
    <t>t-statistic</t>
  </si>
  <si>
    <t>p-value</t>
  </si>
  <si>
    <t>Within R-sq.</t>
  </si>
  <si>
    <t>SDQ_Score</t>
  </si>
  <si>
    <t>CDQ_Score</t>
  </si>
  <si>
    <t>N = 611 firm-years, 128 firms</t>
  </si>
  <si>
    <t>Both indices show a statistically significant within-firm upward trend once firm fixed effects isolate genuine change over time from between-firm heterogeneity: SDQ rises 1.48 points per year (p=.006), CDQ rises 1.29 points per year (p&lt;.001). This is the methodologically appropriate test for this data: SDQ_Score and CDQ_Score are repeated observations on the same 128 firms across 5 years, not independent cross-sections, so a between-year comparison (Kruskal-Wallis or ANOVA) mixes real within-firm improvement with persistent between-firm differences (a consistently high-disclosing bank sitting next to a consistently zero-disclosing firm every year looks like 'no trend' to a between-group test even when every firm individually improves). The fixed-effects specification removes that confound. Within R-squared (3.8% for SDQ, 4.6% for CDQ) confirms the effect is real but modest in magnitude, time alone explains a small share of within-firm variation; other factors (firm-specific events, sector shifts, individual reporting decisions) account for the rest.</t>
  </si>
  <si>
    <t>Method and citation: entity fixed-effects with firm-clustered standard errors, following Petersen, M. A. (2009), 'Estimating Standard Errors in Finance Panel Data Sets: Comparing Approaches,' The Review of Financial Studies, 22(1), 435-480, https://doi.org/10.1093/rfs/hhn053, the standard reference for handling within-firm serial correlation in accounting/finance panel data. This is the same fixed-effects framework used for Objectives 2 and 3 (selected via the Hausman test, Hausman, J. A., 1978, 'Specification Tests in Econometrics,' Econometrica, 46(6), 1251-1271), applied here to the trend question ahead of the main regressions. Computed via Python (statsmodels: entity-demeaned OLS for the within R-squared; least-squares dummy variable regression with cluster-robust covariance for the coefficient, SE, and p-value, both give the same point estimate). Replicate in R via plm(..., model='within', effect='individual') with vcovHC(..., cluster='group') from the plm/sandwich packages, consistent with the R/plm toolset already specified in Chapter Three for Objectives 2 and 3.</t>
  </si>
  <si>
    <t>TABLE 4: SDQ / CDQ BY SECTOR</t>
  </si>
  <si>
    <t>Ranked by mean SDQ_Score, high to low</t>
  </si>
  <si>
    <t>UNIQUE FIRMS PER SECTOR</t>
  </si>
  <si>
    <t>Firms (N)</t>
  </si>
  <si>
    <t>SECTOR COMPARISON: KRUSKAL-WALLIS (FIRM LEVEL)</t>
  </si>
  <si>
    <t>Tested on firm-level means (one SDQ/CDQ score per firm, N=128), not firm-year observations. Sector is a fixed, time-invariant firm attribute, so testing it against repeated firm-year observations would count each firm's disclosure level up to five times as if independent evidence, overstating significance (the Moulton problem, see citation below). Firm-level testing avoids this.</t>
  </si>
  <si>
    <t>Index</t>
  </si>
  <si>
    <t>N (firms)</t>
  </si>
  <si>
    <t>H</t>
  </si>
  <si>
    <t>p</t>
  </si>
  <si>
    <t>SDQ differs significantly by sector at the firm level (H=23.84, p=.021): Oil and Gas, Financial Services and Healthcare disclose the most. CDQ does not differ significantly by sector once tested at the correct level (H=17.87, p=.120). Report accordingly in Chapter Four: a modest but genuine sector effect for general sustainability disclosure quality, no significant sector effect for climate-related disclosure quality. From the firms-per-sector table above, note that several sectors (Investment N=1, Utilities N=2, Natural Resources N=2) rest on very few firms; interpret their individual positions in the ranking with that in mind, independent of the omnibus test result.</t>
  </si>
  <si>
    <t>Method and citation: firm-level Kruskal-Wallis addresses the Moulton problem, grouped/clustered micro data producing overstated significance when a higher-level variable (Sector, fixed per firm) is tested against repeated micro-level observations (firm-years). Moulton, B. R. (1990), 'An Illustration of a Pitfall in Estimating the Effects of Aggregate Variables on Micro Units,' The Review of Economics and Statistics, 72(2), 334-338. Computed via SciPy (scipy.stats.kruskal) on firm-level means. Replicate in SPSS: first collapse to firm level (Data &gt; Aggregate, Break Variable = Ticker, mean of SDQ_Score/CDQ_Score), then Analyze &gt; Nonparametric Tests &gt; Legacy Dialogs &gt; K Independent Samples on the aggregated file.</t>
  </si>
  <si>
    <t>TABLE 5: CONTROL VARIABLE DESCRIPTIVES AND CORRELATION MATRIX</t>
  </si>
  <si>
    <t>Raw and winsorized versions shown side by side; sets up Objectives 2 and 3</t>
  </si>
  <si>
    <t>PART A: DESCRIPTIVE STATISTICS</t>
  </si>
  <si>
    <t>SD</t>
  </si>
  <si>
    <t>Min / Max</t>
  </si>
  <si>
    <t>Tobin_Q (raw)</t>
  </si>
  <si>
    <t>Tobin_Q_Wins</t>
  </si>
  <si>
    <t>Leverage (raw)</t>
  </si>
  <si>
    <t>Leverage_Wins</t>
  </si>
  <si>
    <t>ROA (raw)</t>
  </si>
  <si>
    <t>ROA_Wins</t>
  </si>
  <si>
    <t>Winsorized at the 0.5th / 99.5th percentile, computed live via PERCENTILE.INC formulas in the Final Sample tab (columns AA-AC). See prior discussion: 0.5%/99.5% chosen to cap JULI's extreme leverage/Tobin's Q while preserving genuine high-growth values (e.g. BUAFOODS) that a wider 1%/99% band would have trimmed.</t>
  </si>
  <si>
    <t>PART B: PEARSON CORRELATION MATRIX</t>
  </si>
  <si>
    <t>SDQ</t>
  </si>
  <si>
    <t>CDQ</t>
  </si>
  <si>
    <t>Tobin_Q_W</t>
  </si>
  <si>
    <t>Size</t>
  </si>
  <si>
    <t>Lev_W</t>
  </si>
  <si>
    <t>Age</t>
  </si>
  <si>
    <t>PART C: SPEARMAN CORRELATION MATRIX</t>
  </si>
  <si>
    <t>Pearson uses raw values; Spearman uses RANK.AVG-transformed values (see hidden 'Rank Helper' tab), both are live formulas. Given Table 2 confirms SDQ and CDQ are non-normally distributed, Spearman is the more appropriate coefficient to lead with in Chapter Four; Pearson is reported alongside for completeness and comparability with prior literature (Nwaigwe et al., 2022; Kuzey &amp; Uyar, 2017), which typically report Pearson.</t>
  </si>
  <si>
    <t>Note: Firm_Size and Leverage_Wins here are placeholders for the sign/strength check ahead of Objectives 2-3; the actual regression uses the full control set (SIZE, LEV, AGE) per the Chapter Three model specification. Replicate in SPSS via Analyze &gt; Correlate &gt; Bivariate, ticking both Pearson and Spearman.</t>
  </si>
  <si>
    <t>Rank_SDQ_Score</t>
  </si>
  <si>
    <t>Rank_CDQ_Score</t>
  </si>
  <si>
    <t>Rank_Tobin_Q_Wins</t>
  </si>
  <si>
    <t>Rank_Firm_Size</t>
  </si>
  <si>
    <t>Rank_Leverage_Wins</t>
  </si>
  <si>
    <t>Rank_Firm_Age</t>
  </si>
  <si>
    <t>Helper sheet: RANK.AVG per variable, feeds the Spearman correlation matrix on '5. Controls &amp; Correlation'. Kept hidden to avoid cluttering the workbook; unhide via right-click on any sheet tab if you want to inspect it.</t>
  </si>
  <si>
    <t>TABLE 6: ZERO-DISCLOSURE PREVALENCE (SCORE = 0), SDQ AND CDQ</t>
  </si>
  <si>
    <t>Firm-years disclosing against none of the coded IFRS S1 / IFRS S2 items, overall and by year</t>
  </si>
  <si>
    <t>N (firm-years)</t>
  </si>
  <si>
    <t>SDQ = 0, n</t>
  </si>
  <si>
    <t>SDQ = 0, %</t>
  </si>
  <si>
    <t>CDQ = 0, n</t>
  </si>
  <si>
    <t>CDQ = 0, %</t>
  </si>
  <si>
    <t>Overall (2021-2025)</t>
  </si>
  <si>
    <t>Note: percentages are valid percentages (base = firm-years with a non-missing score in that year; the sample has no missing SDQ/CDQ scores, N=611 throughout).</t>
  </si>
  <si>
    <t>Caution: 18 firm-years (2.9% of the sample; see Notes / Data Quality Flags column, 'Final Sample' tab) carry a provisional score of 0 pending access to the</t>
  </si>
  <si>
    <t>underlying Annual Report/Sustainability Report (flagged 'NOT YET CODED' / 'genuine access gap'), rather than a confirmed zero-disclosure determination.</t>
  </si>
  <si>
    <t>A sensitivity check excluding these 18 rows is reported in 05_Robustness_Tests.sps; it does not materially change the prevalence rates above.</t>
  </si>
  <si>
    <t>Source: Final Sample tab, this workbook. All counts computed via COUNTIF/COUNTIFS referencing SDQ_Score (col I), CDQ_Score (col J) and Year (col F).</t>
  </si>
  <si>
    <t>FIGURE DATA: MEAN SDQ / CDQ BY YEAR WITH 95% BOOTSTRAP CI</t>
  </si>
  <si>
    <t>Underlying values plotted in Figure 4.x (line chart with 95% CI error bars); supports Objective 1 / Research Question 1</t>
  </si>
  <si>
    <t>SDQ Mean</t>
  </si>
  <si>
    <t>SDQ 95% CI Low</t>
  </si>
  <si>
    <t>SDQ 95% CI High</t>
  </si>
  <si>
    <t>CDQ Mean</t>
  </si>
  <si>
    <t>CDQ 95% CI Low</t>
  </si>
  <si>
    <t>CDQ 95% CI High</t>
  </si>
  <si>
    <t>Method: percentile bootstrap, 10,000 resamples per year per index, seed=42 (SciPy/NumPy). Chosen over the normal-theory (mean ± 1.96 x SE) interval</t>
  </si>
  <si>
    <t>because Table 2 confirms both indices are strongly right-skewed and floor-loaded at zero (Shapiro-Wilk p &lt; .001); the two intervals are numerically very</t>
  </si>
  <si>
    <t>close here (n approx. 120/year) but the bootstrap interval does not rest on a normality assumption the data are shown to violate.</t>
  </si>
  <si>
    <t>Computed via Python (NumPy percentile bootstrap). To replicate in SPSS: Analyze &gt; Descriptive Statistics &gt; Explore, tick Bootstrap (1000+ resamples,</t>
  </si>
  <si>
    <t>BCa or percentile, 95% CI), Split File by Year, request the mean for SDQ_Score / CDQ_Score. See 06_Charts.sps for full syntax.</t>
  </si>
  <si>
    <t>Source: Final Sample tab, this workbook.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</si>
</sst>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E+00"/>
    <numFmt numFmtId="167" formatCode="0.0000"/>
  </numFmts>
  <fonts count="15" x14ac:knownFonts="1">
    <font>
      <sz val="11"/>
      <color theme="1"/>
      <name val="Calibri"/>
      <family val="2"/>
      <charset val="1"/>
    </font>
    <font>
      <b/>
      <sz val="10"/>
      <color rgb="FFFFFFFF"/>
      <name val="Arial"/>
      <family val="2"/>
      <charset val="1"/>
    </font>
    <font>
      <sz val="10"/>
      <name val="Arial"/>
      <family val="2"/>
      <charset val="1"/>
    </font>
    <font>
      <sz val="10"/>
      <color rgb="FF000000"/>
      <name val="Arial"/>
      <family val="2"/>
      <charset val="1"/>
    </font>
    <font>
      <b/>
      <sz val="13"/>
      <color rgb="FF1F4E78"/>
      <name val="Arial"/>
      <family val="2"/>
      <charset val="1"/>
    </font>
    <font>
      <i/>
      <sz val="10"/>
      <color rgb="FF555555"/>
      <name val="Arial"/>
      <family val="2"/>
      <charset val="1"/>
    </font>
    <font>
      <b/>
      <sz val="10"/>
      <name val="Arial"/>
      <family val="2"/>
      <charset val="1"/>
    </font>
    <font>
      <i/>
      <sz val="9"/>
      <color rgb="FF666666"/>
      <name val="Arial"/>
      <family val="2"/>
      <charset val="1"/>
    </font>
    <font>
      <sz val="10"/>
      <color rgb="FF0000FF"/>
      <name val="Arial"/>
      <family val="2"/>
      <charset val="1"/>
    </font>
    <font>
      <b/>
      <sz val="13"/>
      <color rgb="FF1F4E78"/>
      <name val="Arial"/>
      <charset val="1"/>
    </font>
    <font>
      <sz val="10"/>
      <color rgb="FF555555"/>
      <name val="Arial"/>
      <charset val="1"/>
    </font>
    <font>
      <b/>
      <sz val="10"/>
      <color rgb="FFFFFFFF"/>
      <name val="Arial"/>
      <charset val="1"/>
    </font>
    <font>
      <b/>
      <sz val="10"/>
      <name val="Arial"/>
      <charset val="1"/>
    </font>
    <font>
      <sz val="10"/>
      <name val="Arial"/>
      <charset val="1"/>
    </font>
    <font>
      <i/>
      <sz val="9"/>
      <color rgb="FF555555"/>
      <name val="Arial"/>
      <charset val="1"/>
    </font>
  </fonts>
  <fills count="5">
    <fill>
      <patternFill patternType="none"/>
    </fill>
    <fill>
      <patternFill patternType="gray125"/>
    </fill>
    <fill>
      <patternFill patternType="solid">
        <fgColor rgb="FF1F4E78"/>
        <bgColor rgb="FF003366"/>
      </patternFill>
    </fill>
    <fill>
      <patternFill patternType="solid">
        <fgColor rgb="FFD9EAD3"/>
        <bgColor rgb="FFD9D9D9"/>
      </patternFill>
    </fill>
    <fill>
      <patternFill patternType="solid">
        <fgColor rgb="FFF2F2F2"/>
        <bgColor rgb="FFFFFFFF"/>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auto="1"/>
      </left>
      <right style="thin">
        <color auto="1"/>
      </right>
      <top style="thin">
        <color auto="1"/>
      </top>
      <bottom style="thin">
        <color auto="1"/>
      </bottom>
      <diagonal/>
    </border>
  </borders>
  <cellStyleXfs count="1">
    <xf numFmtId="0" fontId="0" fillId="0" borderId="0"/>
  </cellStyleXfs>
  <cellXfs count="48">
    <xf numFmtId="0" fontId="0" fillId="0" borderId="0" xfId="0"/>
    <xf numFmtId="0" fontId="2" fillId="0" borderId="0" xfId="0" applyFont="1" applyAlignment="1">
      <alignment horizontal="left" vertical="top" wrapText="1"/>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3" fillId="0" borderId="1" xfId="0" applyFont="1" applyBorder="1" applyAlignment="1">
      <alignment horizontal="center" vertical="center"/>
    </xf>
    <xf numFmtId="0" fontId="4" fillId="0" borderId="0" xfId="0" applyFont="1"/>
    <xf numFmtId="0" fontId="5" fillId="0" borderId="0" xfId="0" applyFont="1"/>
    <xf numFmtId="0" fontId="6" fillId="0" borderId="0" xfId="0" applyFont="1"/>
    <xf numFmtId="0" fontId="3" fillId="0" borderId="0" xfId="0" applyFont="1"/>
    <xf numFmtId="0" fontId="6" fillId="0" borderId="1" xfId="0" applyFont="1" applyBorder="1" applyAlignment="1">
      <alignment horizontal="left"/>
    </xf>
    <xf numFmtId="0" fontId="3" fillId="0" borderId="1" xfId="0" applyFont="1" applyBorder="1" applyAlignment="1">
      <alignment horizontal="center"/>
    </xf>
    <xf numFmtId="0" fontId="2" fillId="0" borderId="1" xfId="0" applyFont="1" applyBorder="1" applyAlignment="1">
      <alignment horizontal="center"/>
    </xf>
    <xf numFmtId="164" fontId="3" fillId="0" borderId="1" xfId="0" applyNumberFormat="1" applyFont="1" applyBorder="1" applyAlignment="1">
      <alignment horizontal="center"/>
    </xf>
    <xf numFmtId="0" fontId="0" fillId="0" borderId="1" xfId="0" applyBorder="1" applyAlignment="1">
      <alignment horizontal="left"/>
    </xf>
    <xf numFmtId="0" fontId="0" fillId="0" borderId="1" xfId="0" applyBorder="1" applyAlignment="1">
      <alignment horizontal="center"/>
    </xf>
    <xf numFmtId="164" fontId="3" fillId="0" borderId="1" xfId="0" applyNumberFormat="1" applyFont="1" applyBorder="1" applyAlignment="1">
      <alignment horizontal="center" vertical="center"/>
    </xf>
    <xf numFmtId="0" fontId="6" fillId="0" borderId="1" xfId="0" applyFont="1" applyBorder="1" applyAlignment="1">
      <alignment horizontal="center" vertical="center"/>
    </xf>
    <xf numFmtId="164" fontId="6" fillId="0" borderId="1" xfId="0" applyNumberFormat="1" applyFont="1" applyBorder="1" applyAlignment="1">
      <alignment horizontal="center" vertical="center"/>
    </xf>
    <xf numFmtId="0" fontId="2" fillId="0" borderId="1" xfId="0" applyFont="1" applyBorder="1" applyAlignment="1">
      <alignment horizontal="left"/>
    </xf>
    <xf numFmtId="0" fontId="7" fillId="0" borderId="0" xfId="0" applyFont="1"/>
    <xf numFmtId="2" fontId="3" fillId="0" borderId="1" xfId="0" applyNumberFormat="1" applyFont="1" applyBorder="1" applyAlignment="1">
      <alignment horizontal="center" vertical="center"/>
    </xf>
    <xf numFmtId="165" fontId="3" fillId="0" borderId="1" xfId="0" applyNumberFormat="1" applyFont="1" applyBorder="1" applyAlignment="1">
      <alignment horizontal="center" vertical="center"/>
    </xf>
    <xf numFmtId="0" fontId="8" fillId="0" borderId="1" xfId="0" applyFont="1" applyBorder="1" applyAlignment="1">
      <alignment horizontal="center" vertical="center"/>
    </xf>
    <xf numFmtId="166" fontId="8" fillId="0" borderId="1" xfId="0" applyNumberFormat="1" applyFont="1" applyBorder="1" applyAlignment="1">
      <alignment horizontal="center" vertical="center"/>
    </xf>
    <xf numFmtId="0" fontId="2" fillId="0" borderId="0" xfId="0" applyFont="1"/>
    <xf numFmtId="166" fontId="2" fillId="0" borderId="0" xfId="0" applyNumberFormat="1" applyFont="1"/>
    <xf numFmtId="0" fontId="2" fillId="0" borderId="0" xfId="0" applyFont="1" applyAlignment="1">
      <alignment horizontal="center" vertical="center" wrapText="1"/>
    </xf>
    <xf numFmtId="167" fontId="8" fillId="0" borderId="1" xfId="0" applyNumberFormat="1" applyFont="1" applyBorder="1" applyAlignment="1">
      <alignment horizontal="center" vertical="center"/>
    </xf>
    <xf numFmtId="0" fontId="2" fillId="0" borderId="0" xfId="0" applyFont="1" applyAlignment="1">
      <alignment horizontal="center" vertical="center"/>
    </xf>
    <xf numFmtId="166" fontId="2" fillId="0" borderId="0" xfId="0" applyNumberFormat="1" applyFont="1" applyAlignment="1">
      <alignment horizontal="center" vertical="center"/>
    </xf>
    <xf numFmtId="167" fontId="2" fillId="0" borderId="0" xfId="0" applyNumberFormat="1" applyFont="1" applyAlignment="1">
      <alignment horizontal="center" vertical="center"/>
    </xf>
    <xf numFmtId="0" fontId="2" fillId="0" borderId="1" xfId="0" applyFont="1" applyBorder="1"/>
    <xf numFmtId="165" fontId="3" fillId="4" borderId="1" xfId="0" applyNumberFormat="1" applyFont="1" applyFill="1" applyBorder="1" applyAlignment="1">
      <alignment horizontal="center" vertical="center"/>
    </xf>
    <xf numFmtId="0" fontId="9" fillId="0" borderId="0" xfId="0" applyFont="1"/>
    <xf numFmtId="0" fontId="10" fillId="0" borderId="0" xfId="0" applyFont="1"/>
    <xf numFmtId="0" fontId="11" fillId="2" borderId="2" xfId="0" applyFont="1" applyFill="1" applyBorder="1" applyAlignment="1">
      <alignment horizontal="left" vertical="center"/>
    </xf>
    <xf numFmtId="0" fontId="11" fillId="2" borderId="2" xfId="0" applyFont="1" applyFill="1" applyBorder="1" applyAlignment="1">
      <alignment horizontal="center" vertical="center"/>
    </xf>
    <xf numFmtId="0" fontId="12" fillId="0" borderId="2" xfId="0" applyFont="1" applyBorder="1"/>
    <xf numFmtId="0" fontId="12" fillId="0" borderId="2" xfId="0" applyFont="1" applyBorder="1" applyAlignment="1">
      <alignment horizontal="center"/>
    </xf>
    <xf numFmtId="164" fontId="12" fillId="0" borderId="2" xfId="0" applyNumberFormat="1" applyFont="1" applyBorder="1" applyAlignment="1">
      <alignment horizontal="center"/>
    </xf>
    <xf numFmtId="0" fontId="13" fillId="0" borderId="2" xfId="0" applyFont="1" applyBorder="1"/>
    <xf numFmtId="0" fontId="13" fillId="0" borderId="2" xfId="0" applyFont="1" applyBorder="1" applyAlignment="1">
      <alignment horizontal="center"/>
    </xf>
    <xf numFmtId="164" fontId="13" fillId="0" borderId="2" xfId="0" applyNumberFormat="1" applyFont="1" applyBorder="1" applyAlignment="1">
      <alignment horizontal="center"/>
    </xf>
    <xf numFmtId="0" fontId="14" fillId="0" borderId="0" xfId="0" applyFont="1"/>
    <xf numFmtId="0" fontId="6" fillId="3" borderId="0" xfId="0" applyFont="1" applyFill="1"/>
    <xf numFmtId="0" fontId="2" fillId="0" borderId="0" xfId="0" applyFont="1" applyAlignment="1">
      <alignment horizontal="left" vertical="top" wrapText="1"/>
    </xf>
    <xf numFmtId="0" fontId="7" fillId="0" borderId="0" xfId="0" applyFont="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78787"/>
      <rgbColor rgb="FF9999FF"/>
      <rgbColor rgb="FFBE4B48"/>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FCC99"/>
      <rgbColor rgb="FF4A7EBB"/>
      <rgbColor rgb="FF33CCCC"/>
      <rgbColor rgb="FF99CC00"/>
      <rgbColor rgb="FFFFCC00"/>
      <rgbColor rgb="FFFF9900"/>
      <rgbColor rgb="FFFF6600"/>
      <rgbColor rgb="FF666666"/>
      <rgbColor rgb="FF969696"/>
      <rgbColor rgb="FF003366"/>
      <rgbColor rgb="FF4F81BD"/>
      <rgbColor rgb="FF003300"/>
      <rgbColor rgb="FF333300"/>
      <rgbColor rgb="FF993300"/>
      <rgbColor rgb="FF993366"/>
      <rgbColor rgb="FF1F4E78"/>
      <rgbColor rgb="FF5555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Mean SDQ and CDQ Score by Year (2021-2025)</a:t>
            </a:r>
          </a:p>
        </c:rich>
      </c:tx>
      <c:overlay val="0"/>
      <c:spPr>
        <a:noFill/>
        <a:ln w="0">
          <a:noFill/>
        </a:ln>
      </c:spPr>
    </c:title>
    <c:autoTitleDeleted val="0"/>
    <c:plotArea>
      <c:layout/>
      <c:lineChart>
        <c:grouping val="standard"/>
        <c:varyColors val="0"/>
        <c:ser>
          <c:idx val="0"/>
          <c:order val="0"/>
          <c:tx>
            <c:strRef>
              <c:f>'3. Trend by Year'!$C$4</c:f>
              <c:strCache>
                <c:ptCount val="1"/>
                <c:pt idx="0">
                  <c:v>Mean SDQ</c:v>
                </c:pt>
              </c:strCache>
            </c:strRef>
          </c:tx>
          <c:spPr>
            <a:ln w="28440">
              <a:solidFill>
                <a:srgbClr val="4A7EBB"/>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'3. Trend by Year'!$A$5:$A$9</c:f>
              <c:numCache>
                <c:formatCode>General</c:formatCode>
                <c:ptCount val="5"/>
                <c:pt idx="0">
                  <c:v>2021</c:v>
                </c:pt>
                <c:pt idx="1">
                  <c:v>2022</c:v>
                </c:pt>
                <c:pt idx="2">
                  <c:v>2023</c:v>
                </c:pt>
                <c:pt idx="3">
                  <c:v>2024</c:v>
                </c:pt>
                <c:pt idx="4">
                  <c:v>2025</c:v>
                </c:pt>
              </c:numCache>
            </c:numRef>
          </c:cat>
          <c:val>
            <c:numRef>
              <c:f>'3. Trend by Year'!$C$5:$C$9</c:f>
              <c:numCache>
                <c:formatCode>0.00</c:formatCode>
                <c:ptCount val="5"/>
                <c:pt idx="0">
                  <c:v>9.6186440677966107</c:v>
                </c:pt>
                <c:pt idx="1">
                  <c:v>12.377049180327869</c:v>
                </c:pt>
                <c:pt idx="2">
                  <c:v>12.868852459016393</c:v>
                </c:pt>
                <c:pt idx="3">
                  <c:v>15.826667199999999</c:v>
                </c:pt>
                <c:pt idx="4">
                  <c:v>14.85551129032258</c:v>
                </c:pt>
              </c:numCache>
            </c:numRef>
          </c:val>
          <c:smooth val="1"/>
          <c:extLst>
            <c:ext xmlns:c16="http://schemas.microsoft.com/office/drawing/2014/chart" uri="{C3380CC4-5D6E-409C-BE32-E72D297353CC}">
              <c16:uniqueId val="{00000000-F6FF-4C55-A158-99D1502550F0}"/>
            </c:ext>
          </c:extLst>
        </c:ser>
        <c:ser>
          <c:idx val="1"/>
          <c:order val="1"/>
          <c:tx>
            <c:strRef>
              <c:f>'3. Trend by Year'!$E$4</c:f>
              <c:strCache>
                <c:ptCount val="1"/>
                <c:pt idx="0">
                  <c:v>Mean CDQ</c:v>
                </c:pt>
              </c:strCache>
            </c:strRef>
          </c:tx>
          <c:spPr>
            <a:ln w="28440">
              <a:solidFill>
                <a:srgbClr val="BE4B48"/>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'3. Trend by Year'!$A$5:$A$9</c:f>
              <c:numCache>
                <c:formatCode>General</c:formatCode>
                <c:ptCount val="5"/>
                <c:pt idx="0">
                  <c:v>2021</c:v>
                </c:pt>
                <c:pt idx="1">
                  <c:v>2022</c:v>
                </c:pt>
                <c:pt idx="2">
                  <c:v>2023</c:v>
                </c:pt>
                <c:pt idx="3">
                  <c:v>2024</c:v>
                </c:pt>
                <c:pt idx="4">
                  <c:v>2025</c:v>
                </c:pt>
              </c:numCache>
            </c:numRef>
          </c:cat>
          <c:val>
            <c:numRef>
              <c:f>'3. Trend by Year'!$E$5:$E$9</c:f>
              <c:numCache>
                <c:formatCode>0.00</c:formatCode>
                <c:ptCount val="5"/>
                <c:pt idx="0">
                  <c:v>3.333333333333333</c:v>
                </c:pt>
                <c:pt idx="1">
                  <c:v>5.3551912568306017</c:v>
                </c:pt>
                <c:pt idx="2">
                  <c:v>7.1584699453551899</c:v>
                </c:pt>
                <c:pt idx="3">
                  <c:v>7.928889066666664</c:v>
                </c:pt>
                <c:pt idx="4">
                  <c:v>7.9121865591397826</c:v>
                </c:pt>
              </c:numCache>
            </c:numRef>
          </c:val>
          <c:smooth val="1"/>
          <c:extLst>
            <c:ext xmlns:c16="http://schemas.microsoft.com/office/drawing/2014/chart" uri="{C3380CC4-5D6E-409C-BE32-E72D297353CC}">
              <c16:uniqueId val="{00000001-F6FF-4C55-A158-99D1502550F0}"/>
            </c:ext>
          </c:extLst>
        </c:ser>
        <c:dLbls>
          <c:showLegendKey val="0"/>
          <c:showVal val="0"/>
          <c:showCatName val="0"/>
          <c:showSerName val="0"/>
          <c:showPercent val="0"/>
          <c:showBubbleSize val="0"/>
        </c:dLbls>
        <c:hiLowLines>
          <c:spPr>
            <a:ln w="0">
              <a:noFill/>
            </a:ln>
          </c:spPr>
        </c:hiLowLines>
        <c:smooth val="0"/>
        <c:axId val="91954706"/>
        <c:axId val="54933905"/>
      </c:lineChart>
      <c:catAx>
        <c:axId val="91954706"/>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Year</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4933905"/>
        <c:crosses val="autoZero"/>
        <c:auto val="1"/>
        <c:lblAlgn val="ctr"/>
        <c:lblOffset val="100"/>
        <c:noMultiLvlLbl val="0"/>
      </c:catAx>
      <c:valAx>
        <c:axId val="54933905"/>
        <c:scaling>
          <c:orientation val="minMax"/>
          <c:max val="20"/>
        </c:scaling>
        <c:delete val="0"/>
        <c:axPos val="l"/>
        <c:majorGridlines>
          <c:spPr>
            <a:ln w="9360">
              <a:solidFill>
                <a:srgbClr val="878787"/>
              </a:solidFill>
              <a:round/>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Mean Score (0-100)</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1954706"/>
        <c:crosses val="autoZero"/>
        <c:crossBetween val="between"/>
      </c:valAx>
      <c:spPr>
        <a:noFill/>
        <a:ln w="0">
          <a:noFill/>
        </a:ln>
      </c:spPr>
    </c:plotArea>
    <c:legend>
      <c:legendPos val="r"/>
      <c:layout>
        <c:manualLayout>
          <c:xMode val="edge"/>
          <c:yMode val="edge"/>
          <c:x val="0.83895803202151698"/>
          <c:y val="0.48970452273863102"/>
          <c:w val="0.15701390474740601"/>
          <c:h val="0.17519552723638199"/>
        </c:manualLayout>
      </c:layout>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Mean SDQ Score by Sector (sorted, high to low)</a:t>
            </a:r>
          </a:p>
        </c:rich>
      </c:tx>
      <c:overlay val="0"/>
      <c:spPr>
        <a:noFill/>
        <a:ln w="0">
          <a:noFill/>
        </a:ln>
      </c:spPr>
    </c:title>
    <c:autoTitleDeleted val="0"/>
    <c:plotArea>
      <c:layout/>
      <c:barChart>
        <c:barDir val="col"/>
        <c:grouping val="clustered"/>
        <c:varyColors val="0"/>
        <c:ser>
          <c:idx val="0"/>
          <c:order val="0"/>
          <c:tx>
            <c:strRef>
              <c:f>'4. Sector Breakdown'!$C$4</c:f>
              <c:strCache>
                <c:ptCount val="1"/>
                <c:pt idx="0">
                  <c:v>Mean SDQ</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'4. Sector Breakdown'!$A$5:$A$17</c:f>
              <c:strCache>
                <c:ptCount val="13"/>
                <c:pt idx="0">
                  <c:v>OIL AND GAS</c:v>
                </c:pt>
                <c:pt idx="1">
                  <c:v>FINANCIAL SERVICES</c:v>
                </c:pt>
                <c:pt idx="2">
                  <c:v>HEALTHCARE</c:v>
                </c:pt>
                <c:pt idx="3">
                  <c:v>CONSUMER GOODS</c:v>
                </c:pt>
                <c:pt idx="4">
                  <c:v>ICT</c:v>
                </c:pt>
                <c:pt idx="5">
                  <c:v>INDUSTRIAL GOODS</c:v>
                </c:pt>
                <c:pt idx="6">
                  <c:v>AGRICULTURE</c:v>
                </c:pt>
                <c:pt idx="7">
                  <c:v>CONSTRUCTION/REAL ESTATE</c:v>
                </c:pt>
                <c:pt idx="8">
                  <c:v>UTILITIES</c:v>
                </c:pt>
                <c:pt idx="9">
                  <c:v>INVESTMENT</c:v>
                </c:pt>
                <c:pt idx="10">
                  <c:v>SERVICES</c:v>
                </c:pt>
                <c:pt idx="11">
                  <c:v>CONGLOMERATES</c:v>
                </c:pt>
                <c:pt idx="12">
                  <c:v>NATURAL RESOURCES</c:v>
                </c:pt>
              </c:strCache>
            </c:strRef>
          </c:cat>
          <c:val>
            <c:numRef>
              <c:f>'4. Sector Breakdown'!$C$5:$C$17</c:f>
              <c:numCache>
                <c:formatCode>0.00</c:formatCode>
                <c:ptCount val="13"/>
                <c:pt idx="0">
                  <c:v>23.59375</c:v>
                </c:pt>
                <c:pt idx="1">
                  <c:v>17.357568367346939</c:v>
                </c:pt>
                <c:pt idx="2">
                  <c:v>17.173913043478262</c:v>
                </c:pt>
                <c:pt idx="3">
                  <c:v>16.518987341772153</c:v>
                </c:pt>
                <c:pt idx="4">
                  <c:v>15.609756097560975</c:v>
                </c:pt>
                <c:pt idx="5">
                  <c:v>13.954803389830507</c:v>
                </c:pt>
                <c:pt idx="6">
                  <c:v>10.4</c:v>
                </c:pt>
                <c:pt idx="7">
                  <c:v>10</c:v>
                </c:pt>
                <c:pt idx="8">
                  <c:v>8.3333333333333339</c:v>
                </c:pt>
                <c:pt idx="9">
                  <c:v>3.3333333333333335</c:v>
                </c:pt>
                <c:pt idx="10">
                  <c:v>2.0526315789473686</c:v>
                </c:pt>
                <c:pt idx="11">
                  <c:v>1.2</c:v>
                </c:pt>
                <c:pt idx="12">
                  <c:v>0</c:v>
                </c:pt>
              </c:numCache>
            </c:numRef>
          </c:val>
          <c:extLst>
            <c:ext xmlns:c16="http://schemas.microsoft.com/office/drawing/2014/chart" uri="{C3380CC4-5D6E-409C-BE32-E72D297353CC}">
              <c16:uniqueId val="{00000000-D309-43EA-9524-10A125FFC150}"/>
            </c:ext>
          </c:extLst>
        </c:ser>
        <c:dLbls>
          <c:showLegendKey val="0"/>
          <c:showVal val="0"/>
          <c:showCatName val="0"/>
          <c:showSerName val="0"/>
          <c:showPercent val="0"/>
          <c:showBubbleSize val="0"/>
        </c:dLbls>
        <c:gapWidth val="150"/>
        <c:axId val="99041892"/>
        <c:axId val="67349536"/>
      </c:barChart>
      <c:catAx>
        <c:axId val="99041892"/>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7349536"/>
        <c:crosses val="autoZero"/>
        <c:auto val="1"/>
        <c:lblAlgn val="ctr"/>
        <c:lblOffset val="100"/>
        <c:noMultiLvlLbl val="0"/>
      </c:catAx>
      <c:valAx>
        <c:axId val="67349536"/>
        <c:scaling>
          <c:orientation val="minMax"/>
        </c:scaling>
        <c:delete val="0"/>
        <c:axPos val="l"/>
        <c:majorGridlines>
          <c:spPr>
            <a:ln w="9360">
              <a:solidFill>
                <a:srgbClr val="878787"/>
              </a:solidFill>
              <a:round/>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Mean SDQ Score (0-100)</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904189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0</xdr:row>
      <xdr:rowOff>190440</xdr:rowOff>
    </xdr:from>
    <xdr:to>
      <xdr:col>17</xdr:col>
      <xdr:colOff>361800</xdr:colOff>
      <xdr:row>14</xdr:row>
      <xdr:rowOff>633240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0</xdr:colOff>
      <xdr:row>0</xdr:row>
      <xdr:rowOff>190440</xdr:rowOff>
    </xdr:from>
    <xdr:to>
      <xdr:col>18</xdr:col>
      <xdr:colOff>470160</xdr:colOff>
      <xdr:row>19</xdr:row>
      <xdr:rowOff>153000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176917</xdr:colOff>
      <xdr:row>2</xdr:row>
      <xdr:rowOff>38100</xdr:rowOff>
    </xdr:from>
    <xdr:to>
      <xdr:col>18</xdr:col>
      <xdr:colOff>307450</xdr:colOff>
      <xdr:row>23</xdr:row>
      <xdr:rowOff>78316</xdr:rowOff>
    </xdr:to>
    <xdr:pic>
      <xdr:nvPicPr>
        <xdr:cNvPr id="2" name="Picture 1">
          <a:extLst>
            <a:ext uri="{FF2B5EF4-FFF2-40B4-BE49-F238E27FC236}">
              <a16:creationId xmlns:a16="http://schemas.microsoft.com/office/drawing/2014/main" id="{1DF69A05-DF45-7A0D-BA03-DF2C90A795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63617" y="434340"/>
          <a:ext cx="6074133" cy="38806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612"/>
  <sheetViews>
    <sheetView zoomScaleNormal="100" workbookViewId="0">
      <pane xSplit="4" ySplit="1" topLeftCell="E2" activePane="bottomRight" state="frozen"/>
      <selection pane="topRight" activeCell="E1" sqref="E1"/>
      <selection pane="bottomLeft" activeCell="A2" sqref="A2"/>
      <selection pane="bottomRight" activeCell="F1" sqref="F1:F1048576"/>
    </sheetView>
  </sheetViews>
  <sheetFormatPr defaultColWidth="8.6640625" defaultRowHeight="14.4" x14ac:dyDescent="0.3"/>
  <cols>
    <col min="1" max="2" width="11" customWidth="1"/>
    <col min="3" max="3" width="10" customWidth="1"/>
    <col min="4" max="4" width="26" customWidth="1"/>
    <col min="5" max="5" width="16" customWidth="1"/>
    <col min="6" max="10" width="11" customWidth="1"/>
    <col min="11" max="11" width="15.109375" bestFit="1" customWidth="1"/>
    <col min="12" max="24" width="11" customWidth="1"/>
    <col min="25" max="25" width="40" customWidth="1"/>
    <col min="26" max="26" width="11" customWidth="1"/>
    <col min="27" max="29" width="14" customWidth="1"/>
  </cols>
  <sheetData>
    <row r="1" spans="1:29" ht="31.5" customHeigh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row>
    <row r="2" spans="1:29" ht="15" customHeight="1" x14ac:dyDescent="0.3">
      <c r="A2" s="3">
        <v>1</v>
      </c>
      <c r="B2" s="3">
        <v>1</v>
      </c>
      <c r="C2" s="3" t="s">
        <v>29</v>
      </c>
      <c r="D2" s="4" t="s">
        <v>30</v>
      </c>
      <c r="E2" s="3" t="s">
        <v>31</v>
      </c>
      <c r="F2" s="3">
        <v>2021</v>
      </c>
      <c r="G2" s="3">
        <v>0</v>
      </c>
      <c r="H2" s="3">
        <v>0</v>
      </c>
      <c r="I2" s="3">
        <v>5</v>
      </c>
      <c r="J2" s="3">
        <v>0</v>
      </c>
      <c r="K2" s="3">
        <v>10153846154</v>
      </c>
      <c r="L2" s="3">
        <v>0.66180000000000005</v>
      </c>
      <c r="M2" s="3">
        <v>6719815.3847172</v>
      </c>
      <c r="N2" s="3">
        <v>27528179</v>
      </c>
      <c r="O2" s="3">
        <v>34460435</v>
      </c>
      <c r="P2" s="3">
        <v>622198</v>
      </c>
      <c r="Q2" s="3">
        <v>0.99383523117793504</v>
      </c>
      <c r="R2" s="3">
        <v>17.3553224123158</v>
      </c>
      <c r="S2" s="3">
        <v>0.79883434437203105</v>
      </c>
      <c r="T2" s="3">
        <v>1.80554308150782E-2</v>
      </c>
      <c r="U2" s="3">
        <v>1991</v>
      </c>
      <c r="V2" s="3">
        <v>30</v>
      </c>
      <c r="W2" s="3">
        <v>1</v>
      </c>
      <c r="X2" s="3" t="s">
        <v>32</v>
      </c>
      <c r="Y2" s="4" t="s">
        <v>33</v>
      </c>
      <c r="Z2" s="3" t="s">
        <v>34</v>
      </c>
      <c r="AA2" s="5">
        <f t="shared" ref="AA2:AA65" si="0">MIN(MAX(Q2,PERCENTILE(Q$2:Q$612,0.005)),PERCENTILE(Q$2:Q$612,0.995))</f>
        <v>0.99383523117793504</v>
      </c>
      <c r="AB2" s="5">
        <f t="shared" ref="AB2:AB65" si="1">MIN(MAX(S2,PERCENTILE(S$2:S$612,0.005)),PERCENTILE(S$2:S$612,0.995))</f>
        <v>0.79883434437203105</v>
      </c>
      <c r="AC2" s="5">
        <f t="shared" ref="AC2:AC65" si="2">MIN(MAX(T2,PERCENTILE(T$2:T$612,0.005)),PERCENTILE(T$2:T$612,0.995))</f>
        <v>1.80554308150782E-2</v>
      </c>
    </row>
    <row r="3" spans="1:29" ht="15" customHeight="1" x14ac:dyDescent="0.3">
      <c r="A3" s="3">
        <v>2</v>
      </c>
      <c r="B3" s="3">
        <v>1</v>
      </c>
      <c r="C3" s="3" t="s">
        <v>29</v>
      </c>
      <c r="D3" s="4" t="s">
        <v>30</v>
      </c>
      <c r="E3" s="3" t="s">
        <v>31</v>
      </c>
      <c r="F3" s="3">
        <v>2022</v>
      </c>
      <c r="G3" s="3">
        <v>0</v>
      </c>
      <c r="H3" s="3">
        <v>0</v>
      </c>
      <c r="I3" s="3">
        <v>0</v>
      </c>
      <c r="J3" s="3">
        <v>0</v>
      </c>
      <c r="K3" s="3">
        <v>10153846154</v>
      </c>
      <c r="L3" s="3">
        <v>1.6998</v>
      </c>
      <c r="M3" s="3">
        <v>17259507.6925692</v>
      </c>
      <c r="N3" s="3">
        <v>32159818</v>
      </c>
      <c r="O3" s="3">
        <v>39858233</v>
      </c>
      <c r="P3" s="3">
        <v>766160</v>
      </c>
      <c r="Q3" s="3">
        <v>1.2398774850999801</v>
      </c>
      <c r="R3" s="3">
        <v>17.500839541610802</v>
      </c>
      <c r="S3" s="3">
        <v>0.80685508562308805</v>
      </c>
      <c r="T3" s="3">
        <v>1.9222126580473401E-2</v>
      </c>
      <c r="U3" s="3">
        <v>1991</v>
      </c>
      <c r="V3" s="3">
        <v>31</v>
      </c>
      <c r="W3" s="3">
        <v>1</v>
      </c>
      <c r="X3" s="3" t="s">
        <v>32</v>
      </c>
      <c r="Y3" s="4" t="s">
        <v>35</v>
      </c>
      <c r="Z3" s="3" t="s">
        <v>34</v>
      </c>
      <c r="AA3" s="5">
        <f t="shared" si="0"/>
        <v>1.2398774850999801</v>
      </c>
      <c r="AB3" s="5">
        <f t="shared" si="1"/>
        <v>0.80685508562308805</v>
      </c>
      <c r="AC3" s="5">
        <f t="shared" si="2"/>
        <v>1.9222126580473401E-2</v>
      </c>
    </row>
    <row r="4" spans="1:29" ht="15" customHeight="1" x14ac:dyDescent="0.3">
      <c r="A4" s="3">
        <v>3</v>
      </c>
      <c r="B4" s="3">
        <v>1</v>
      </c>
      <c r="C4" s="3" t="s">
        <v>29</v>
      </c>
      <c r="D4" s="4" t="s">
        <v>30</v>
      </c>
      <c r="E4" s="3" t="s">
        <v>31</v>
      </c>
      <c r="F4" s="3">
        <v>2023</v>
      </c>
      <c r="G4" s="3">
        <v>1</v>
      </c>
      <c r="H4" s="3">
        <v>0</v>
      </c>
      <c r="I4" s="3">
        <v>10</v>
      </c>
      <c r="J4" s="3">
        <v>0</v>
      </c>
      <c r="K4" s="3">
        <v>10153846154</v>
      </c>
      <c r="L4" s="3">
        <v>2.2198000000000002</v>
      </c>
      <c r="M4" s="3">
        <v>22539507.692649201</v>
      </c>
      <c r="N4" s="3">
        <v>48972544</v>
      </c>
      <c r="O4" s="3">
        <v>57552242</v>
      </c>
      <c r="P4" s="3">
        <v>871284</v>
      </c>
      <c r="Q4" s="3">
        <v>1.24255892051346</v>
      </c>
      <c r="R4" s="3">
        <v>17.8682036498017</v>
      </c>
      <c r="S4" s="3">
        <v>0.85092330547261696</v>
      </c>
      <c r="T4" s="3">
        <v>1.51390105706047E-2</v>
      </c>
      <c r="U4" s="3">
        <v>1991</v>
      </c>
      <c r="V4" s="3">
        <v>32</v>
      </c>
      <c r="W4" s="3">
        <v>1</v>
      </c>
      <c r="X4" s="3" t="s">
        <v>32</v>
      </c>
      <c r="Y4" s="4" t="s">
        <v>36</v>
      </c>
      <c r="Z4" s="3" t="s">
        <v>34</v>
      </c>
      <c r="AA4" s="5">
        <f t="shared" si="0"/>
        <v>1.24255892051346</v>
      </c>
      <c r="AB4" s="5">
        <f t="shared" si="1"/>
        <v>0.85092330547261696</v>
      </c>
      <c r="AC4" s="5">
        <f t="shared" si="2"/>
        <v>1.51390105706047E-2</v>
      </c>
    </row>
    <row r="5" spans="1:29" ht="15" customHeight="1" x14ac:dyDescent="0.3">
      <c r="A5" s="3">
        <v>4</v>
      </c>
      <c r="B5" s="3">
        <v>1</v>
      </c>
      <c r="C5" s="3" t="s">
        <v>29</v>
      </c>
      <c r="D5" s="4" t="s">
        <v>30</v>
      </c>
      <c r="E5" s="3" t="s">
        <v>31</v>
      </c>
      <c r="F5" s="3">
        <v>2024</v>
      </c>
      <c r="G5" s="3">
        <v>1</v>
      </c>
      <c r="H5" s="3">
        <v>0</v>
      </c>
      <c r="I5" s="3">
        <v>10</v>
      </c>
      <c r="J5" s="3">
        <v>0</v>
      </c>
      <c r="K5" s="3">
        <v>10153846154</v>
      </c>
      <c r="L5" s="3">
        <v>3</v>
      </c>
      <c r="M5" s="3">
        <v>30461538.462000001</v>
      </c>
      <c r="N5" s="3">
        <v>75019725</v>
      </c>
      <c r="O5" s="3">
        <v>84251461</v>
      </c>
      <c r="P5" s="3">
        <v>1068195</v>
      </c>
      <c r="Q5" s="3">
        <v>1.25198141622731</v>
      </c>
      <c r="R5" s="3">
        <v>18.249316468292701</v>
      </c>
      <c r="S5" s="3">
        <v>0.89042639865912798</v>
      </c>
      <c r="T5" s="3">
        <v>1.26786525399245E-2</v>
      </c>
      <c r="U5" s="3">
        <v>1991</v>
      </c>
      <c r="V5" s="3">
        <v>33</v>
      </c>
      <c r="W5" s="3">
        <v>1</v>
      </c>
      <c r="X5" s="3" t="s">
        <v>32</v>
      </c>
      <c r="Y5" s="4" t="s">
        <v>37</v>
      </c>
      <c r="Z5" s="3" t="s">
        <v>34</v>
      </c>
      <c r="AA5" s="5">
        <f t="shared" si="0"/>
        <v>1.25198141622731</v>
      </c>
      <c r="AB5" s="5">
        <f t="shared" si="1"/>
        <v>0.89042639865912798</v>
      </c>
      <c r="AC5" s="5">
        <f t="shared" si="2"/>
        <v>1.26786525399245E-2</v>
      </c>
    </row>
    <row r="6" spans="1:29" ht="15" customHeight="1" x14ac:dyDescent="0.3">
      <c r="A6" s="3">
        <v>5</v>
      </c>
      <c r="B6" s="3">
        <v>1</v>
      </c>
      <c r="C6" s="3" t="s">
        <v>29</v>
      </c>
      <c r="D6" s="4" t="s">
        <v>30</v>
      </c>
      <c r="E6" s="3" t="s">
        <v>31</v>
      </c>
      <c r="F6" s="3">
        <v>2025</v>
      </c>
      <c r="G6" s="3">
        <v>1</v>
      </c>
      <c r="H6" s="3">
        <v>0</v>
      </c>
      <c r="I6" s="3">
        <v>0</v>
      </c>
      <c r="J6" s="3">
        <v>0</v>
      </c>
      <c r="K6" s="3">
        <v>10153846154</v>
      </c>
      <c r="L6" s="3">
        <v>6.4</v>
      </c>
      <c r="M6" s="3">
        <v>64984615.385600001</v>
      </c>
      <c r="N6" s="3">
        <v>154067848</v>
      </c>
      <c r="O6" s="3">
        <v>165570637</v>
      </c>
      <c r="P6" s="3">
        <v>2880283</v>
      </c>
      <c r="Q6" s="3">
        <v>1.32301516352564</v>
      </c>
      <c r="R6" s="3">
        <v>18.924908471391699</v>
      </c>
      <c r="S6" s="3">
        <v>0.93052639520859004</v>
      </c>
      <c r="T6" s="3">
        <v>1.7396097835874098E-2</v>
      </c>
      <c r="U6" s="3">
        <v>1991</v>
      </c>
      <c r="V6" s="3">
        <v>34</v>
      </c>
      <c r="W6" s="3">
        <v>1</v>
      </c>
      <c r="X6" s="3" t="s">
        <v>32</v>
      </c>
      <c r="Y6" s="4" t="s">
        <v>38</v>
      </c>
      <c r="Z6" s="3" t="s">
        <v>34</v>
      </c>
      <c r="AA6" s="5">
        <f t="shared" si="0"/>
        <v>1.32301516352564</v>
      </c>
      <c r="AB6" s="5">
        <f t="shared" si="1"/>
        <v>0.93052639520859004</v>
      </c>
      <c r="AC6" s="5">
        <f t="shared" si="2"/>
        <v>1.7396097835874098E-2</v>
      </c>
    </row>
    <row r="7" spans="1:29" ht="15" customHeight="1" x14ac:dyDescent="0.3">
      <c r="A7" s="3">
        <v>6</v>
      </c>
      <c r="B7" s="3">
        <v>2</v>
      </c>
      <c r="C7" s="3" t="s">
        <v>39</v>
      </c>
      <c r="D7" s="4" t="s">
        <v>40</v>
      </c>
      <c r="E7" s="3" t="s">
        <v>41</v>
      </c>
      <c r="F7" s="3">
        <v>2021</v>
      </c>
      <c r="G7" s="3">
        <v>0</v>
      </c>
      <c r="H7" s="3">
        <v>0</v>
      </c>
      <c r="I7" s="3">
        <v>5</v>
      </c>
      <c r="J7" s="3">
        <v>0</v>
      </c>
      <c r="K7" s="3">
        <v>1657700000</v>
      </c>
      <c r="L7" s="3">
        <v>0.31</v>
      </c>
      <c r="M7" s="3">
        <v>513887</v>
      </c>
      <c r="N7" s="3">
        <v>5022365</v>
      </c>
      <c r="O7" s="3">
        <v>6081390</v>
      </c>
      <c r="P7" s="3">
        <v>-153160</v>
      </c>
      <c r="Q7" s="3">
        <v>0.91035963817482501</v>
      </c>
      <c r="R7" s="3">
        <v>15.6207438462342</v>
      </c>
      <c r="S7" s="3">
        <v>0.82585806863233602</v>
      </c>
      <c r="T7" s="3">
        <v>-2.5185031711500199E-2</v>
      </c>
      <c r="U7" s="3">
        <v>1993</v>
      </c>
      <c r="V7" s="3">
        <v>28</v>
      </c>
      <c r="W7" s="3">
        <v>0</v>
      </c>
      <c r="X7" s="3" t="s">
        <v>42</v>
      </c>
      <c r="Y7" s="4" t="s">
        <v>43</v>
      </c>
      <c r="Z7" s="3" t="s">
        <v>34</v>
      </c>
      <c r="AA7" s="5">
        <f t="shared" si="0"/>
        <v>0.91035963817482501</v>
      </c>
      <c r="AB7" s="5">
        <f t="shared" si="1"/>
        <v>0.82585806863233602</v>
      </c>
      <c r="AC7" s="5">
        <f t="shared" si="2"/>
        <v>-2.5185031711500199E-2</v>
      </c>
    </row>
    <row r="8" spans="1:29" ht="15" customHeight="1" x14ac:dyDescent="0.3">
      <c r="A8" s="3">
        <v>7</v>
      </c>
      <c r="B8" s="3">
        <v>2</v>
      </c>
      <c r="C8" s="3" t="s">
        <v>39</v>
      </c>
      <c r="D8" s="4" t="s">
        <v>40</v>
      </c>
      <c r="E8" s="3" t="s">
        <v>41</v>
      </c>
      <c r="F8" s="3">
        <v>2022</v>
      </c>
      <c r="G8" s="3">
        <v>0</v>
      </c>
      <c r="H8" s="3">
        <v>0</v>
      </c>
      <c r="I8" s="3">
        <v>0</v>
      </c>
      <c r="J8" s="3">
        <v>0</v>
      </c>
      <c r="K8" s="3">
        <v>2392622000</v>
      </c>
      <c r="L8" s="3">
        <v>0.25</v>
      </c>
      <c r="M8" s="3">
        <v>598155.5</v>
      </c>
      <c r="N8" s="3">
        <v>5385835</v>
      </c>
      <c r="O8" s="3">
        <v>6642902</v>
      </c>
      <c r="P8" s="3">
        <v>15878</v>
      </c>
      <c r="Q8" s="3">
        <v>0.90080969130660105</v>
      </c>
      <c r="R8" s="3">
        <v>15.709059474167599</v>
      </c>
      <c r="S8" s="3">
        <v>0.81076538536922604</v>
      </c>
      <c r="T8" s="3">
        <v>2.39022041872663E-3</v>
      </c>
      <c r="U8" s="3">
        <v>1993</v>
      </c>
      <c r="V8" s="3">
        <v>29</v>
      </c>
      <c r="W8" s="3">
        <v>0</v>
      </c>
      <c r="X8" s="3" t="s">
        <v>42</v>
      </c>
      <c r="Y8" s="4" t="s">
        <v>44</v>
      </c>
      <c r="Z8" s="3" t="s">
        <v>34</v>
      </c>
      <c r="AA8" s="5">
        <f t="shared" si="0"/>
        <v>0.90080969130660105</v>
      </c>
      <c r="AB8" s="5">
        <f t="shared" si="1"/>
        <v>0.81076538536922604</v>
      </c>
      <c r="AC8" s="5">
        <f t="shared" si="2"/>
        <v>2.39022041872663E-3</v>
      </c>
    </row>
    <row r="9" spans="1:29" ht="15" customHeight="1" x14ac:dyDescent="0.3">
      <c r="A9" s="3">
        <v>8</v>
      </c>
      <c r="B9" s="3">
        <v>2</v>
      </c>
      <c r="C9" s="3" t="s">
        <v>39</v>
      </c>
      <c r="D9" s="4" t="s">
        <v>40</v>
      </c>
      <c r="E9" s="3" t="s">
        <v>41</v>
      </c>
      <c r="F9" s="3">
        <v>2023</v>
      </c>
      <c r="G9" s="3">
        <v>1</v>
      </c>
      <c r="H9" s="3">
        <v>0</v>
      </c>
      <c r="I9" s="3">
        <v>5</v>
      </c>
      <c r="J9" s="3">
        <v>0</v>
      </c>
      <c r="K9" s="3">
        <v>2392622000</v>
      </c>
      <c r="L9" s="3">
        <v>0.81079999999999997</v>
      </c>
      <c r="M9" s="3">
        <v>1939937.9176</v>
      </c>
      <c r="N9" s="3">
        <v>6407895</v>
      </c>
      <c r="O9" s="3">
        <v>7023496</v>
      </c>
      <c r="P9" s="3">
        <v>-175326</v>
      </c>
      <c r="Q9" s="3">
        <v>1.18855807956607</v>
      </c>
      <c r="R9" s="3">
        <v>15.764771657736301</v>
      </c>
      <c r="S9" s="3">
        <v>0.91235119945964205</v>
      </c>
      <c r="T9" s="3">
        <v>-2.4962782067506E-2</v>
      </c>
      <c r="U9" s="3">
        <v>1993</v>
      </c>
      <c r="V9" s="3">
        <v>30</v>
      </c>
      <c r="W9" s="3">
        <v>0</v>
      </c>
      <c r="X9" s="3" t="s">
        <v>42</v>
      </c>
      <c r="Y9" s="4" t="s">
        <v>45</v>
      </c>
      <c r="Z9" s="3" t="s">
        <v>34</v>
      </c>
      <c r="AA9" s="5">
        <f t="shared" si="0"/>
        <v>1.18855807956607</v>
      </c>
      <c r="AB9" s="5">
        <f t="shared" si="1"/>
        <v>0.91235119945964205</v>
      </c>
      <c r="AC9" s="5">
        <f t="shared" si="2"/>
        <v>-2.4962782067506E-2</v>
      </c>
    </row>
    <row r="10" spans="1:29" ht="15" customHeight="1" x14ac:dyDescent="0.3">
      <c r="A10" s="3">
        <v>9</v>
      </c>
      <c r="B10" s="3">
        <v>2</v>
      </c>
      <c r="C10" s="3" t="s">
        <v>39</v>
      </c>
      <c r="D10" s="4" t="s">
        <v>40</v>
      </c>
      <c r="E10" s="3" t="s">
        <v>41</v>
      </c>
      <c r="F10" s="3">
        <v>2024</v>
      </c>
      <c r="G10" s="3">
        <v>1</v>
      </c>
      <c r="H10" s="3">
        <v>0</v>
      </c>
      <c r="I10" s="3">
        <v>0</v>
      </c>
      <c r="J10" s="3">
        <v>0</v>
      </c>
      <c r="K10" s="3">
        <v>2392622000</v>
      </c>
      <c r="L10" s="3">
        <v>1.2287999999999999</v>
      </c>
      <c r="M10" s="3">
        <v>2940053.9136000001</v>
      </c>
      <c r="N10" s="3">
        <v>10734736</v>
      </c>
      <c r="O10" s="3">
        <v>12003865</v>
      </c>
      <c r="P10" s="3">
        <v>532807</v>
      </c>
      <c r="Q10" s="3">
        <v>1.1391989091513399</v>
      </c>
      <c r="R10" s="3">
        <v>16.300739239227902</v>
      </c>
      <c r="S10" s="3">
        <v>0.89427330280705397</v>
      </c>
      <c r="T10" s="3">
        <v>4.4386287249981601E-2</v>
      </c>
      <c r="U10" s="3">
        <v>1993</v>
      </c>
      <c r="V10" s="3">
        <v>31</v>
      </c>
      <c r="W10" s="3">
        <v>0</v>
      </c>
      <c r="X10" s="3" t="s">
        <v>42</v>
      </c>
      <c r="Y10" s="4" t="s">
        <v>46</v>
      </c>
      <c r="Z10" s="3" t="s">
        <v>34</v>
      </c>
      <c r="AA10" s="5">
        <f t="shared" si="0"/>
        <v>1.1391989091513399</v>
      </c>
      <c r="AB10" s="5">
        <f t="shared" si="1"/>
        <v>0.89427330280705397</v>
      </c>
      <c r="AC10" s="5">
        <f t="shared" si="2"/>
        <v>4.4386287249981601E-2</v>
      </c>
    </row>
    <row r="11" spans="1:29" ht="15" customHeight="1" x14ac:dyDescent="0.3">
      <c r="A11" s="3">
        <v>10</v>
      </c>
      <c r="B11" s="3">
        <v>2</v>
      </c>
      <c r="C11" s="3" t="s">
        <v>39</v>
      </c>
      <c r="D11" s="4" t="s">
        <v>40</v>
      </c>
      <c r="E11" s="3" t="s">
        <v>41</v>
      </c>
      <c r="F11" s="3">
        <v>2025</v>
      </c>
      <c r="G11" s="3">
        <v>1</v>
      </c>
      <c r="H11" s="3">
        <v>0</v>
      </c>
      <c r="I11" s="3">
        <v>0</v>
      </c>
      <c r="J11" s="3">
        <v>0</v>
      </c>
      <c r="K11" s="3">
        <v>2392622000</v>
      </c>
      <c r="L11" s="3">
        <v>4.1001000000000003</v>
      </c>
      <c r="M11" s="3">
        <v>9809989.4622000009</v>
      </c>
      <c r="N11" s="3">
        <v>12152000</v>
      </c>
      <c r="O11" s="3">
        <v>14462677</v>
      </c>
      <c r="P11" s="3">
        <v>971297</v>
      </c>
      <c r="Q11" s="3">
        <v>1.5185286556700399</v>
      </c>
      <c r="R11" s="3">
        <v>16.4870818889571</v>
      </c>
      <c r="S11" s="3">
        <v>0.84023172196959095</v>
      </c>
      <c r="T11" s="3">
        <v>6.7158866923461E-2</v>
      </c>
      <c r="U11" s="3">
        <v>1993</v>
      </c>
      <c r="V11" s="3">
        <v>32</v>
      </c>
      <c r="W11" s="3">
        <v>0</v>
      </c>
      <c r="X11" s="3" t="s">
        <v>42</v>
      </c>
      <c r="Y11" s="4" t="s">
        <v>47</v>
      </c>
      <c r="Z11" s="3" t="s">
        <v>34</v>
      </c>
      <c r="AA11" s="5">
        <f t="shared" si="0"/>
        <v>1.5185286556700399</v>
      </c>
      <c r="AB11" s="5">
        <f t="shared" si="1"/>
        <v>0.84023172196959095</v>
      </c>
      <c r="AC11" s="5">
        <f t="shared" si="2"/>
        <v>6.7158866923461E-2</v>
      </c>
    </row>
    <row r="12" spans="1:29" ht="15" customHeight="1" x14ac:dyDescent="0.3">
      <c r="A12" s="3">
        <v>11</v>
      </c>
      <c r="B12" s="3">
        <v>3</v>
      </c>
      <c r="C12" s="3" t="s">
        <v>48</v>
      </c>
      <c r="D12" s="4" t="s">
        <v>49</v>
      </c>
      <c r="E12" s="3" t="s">
        <v>41</v>
      </c>
      <c r="F12" s="3">
        <v>2021</v>
      </c>
      <c r="G12" s="3">
        <v>0</v>
      </c>
      <c r="H12" s="3">
        <v>0</v>
      </c>
      <c r="I12" s="3">
        <v>0</v>
      </c>
      <c r="J12" s="3">
        <v>0</v>
      </c>
      <c r="K12" s="3">
        <v>604800000</v>
      </c>
      <c r="L12" s="3">
        <v>0.5</v>
      </c>
      <c r="M12" s="3">
        <v>302400</v>
      </c>
      <c r="N12" s="3">
        <v>2267930</v>
      </c>
      <c r="O12" s="3">
        <v>2278858</v>
      </c>
      <c r="P12" s="3">
        <v>-205452</v>
      </c>
      <c r="Q12" s="3">
        <v>1.12790266001655</v>
      </c>
      <c r="R12" s="3">
        <v>14.6391849982568</v>
      </c>
      <c r="S12" s="3">
        <v>0.99520461564520502</v>
      </c>
      <c r="T12" s="3">
        <v>-9.0155683241342793E-2</v>
      </c>
      <c r="U12" s="3">
        <v>1964</v>
      </c>
      <c r="V12" s="3">
        <v>57</v>
      </c>
      <c r="W12" s="3">
        <v>1</v>
      </c>
      <c r="X12" s="3" t="s">
        <v>50</v>
      </c>
      <c r="Y12" s="4" t="s">
        <v>51</v>
      </c>
      <c r="Z12" s="3" t="s">
        <v>34</v>
      </c>
      <c r="AA12" s="5">
        <f t="shared" si="0"/>
        <v>1.12790266001655</v>
      </c>
      <c r="AB12" s="5">
        <f t="shared" si="1"/>
        <v>0.99520461564520502</v>
      </c>
      <c r="AC12" s="5">
        <f t="shared" si="2"/>
        <v>-9.0155683241342793E-2</v>
      </c>
    </row>
    <row r="13" spans="1:29" ht="15" customHeight="1" x14ac:dyDescent="0.3">
      <c r="A13" s="3">
        <v>12</v>
      </c>
      <c r="B13" s="3">
        <v>3</v>
      </c>
      <c r="C13" s="3" t="s">
        <v>48</v>
      </c>
      <c r="D13" s="4" t="s">
        <v>49</v>
      </c>
      <c r="E13" s="3" t="s">
        <v>41</v>
      </c>
      <c r="F13" s="3">
        <v>2022</v>
      </c>
      <c r="G13" s="3">
        <v>0</v>
      </c>
      <c r="H13" s="3">
        <v>0</v>
      </c>
      <c r="I13" s="3">
        <v>0</v>
      </c>
      <c r="J13" s="3">
        <v>0</v>
      </c>
      <c r="K13" s="3">
        <v>604800000</v>
      </c>
      <c r="L13" s="3">
        <v>1.6125</v>
      </c>
      <c r="M13" s="3">
        <v>975240</v>
      </c>
      <c r="N13" s="3">
        <v>2107843</v>
      </c>
      <c r="O13" s="3">
        <v>2357293</v>
      </c>
      <c r="P13" s="3">
        <v>238523</v>
      </c>
      <c r="Q13" s="3">
        <v>1.3078912973482699</v>
      </c>
      <c r="R13" s="3">
        <v>14.673024484756599</v>
      </c>
      <c r="S13" s="3">
        <v>0.89417946771996504</v>
      </c>
      <c r="T13" s="3">
        <v>0.10118513057138</v>
      </c>
      <c r="U13" s="3">
        <v>1964</v>
      </c>
      <c r="V13" s="3">
        <v>58</v>
      </c>
      <c r="W13" s="3">
        <v>1</v>
      </c>
      <c r="X13" s="3" t="s">
        <v>50</v>
      </c>
      <c r="Y13" s="4" t="s">
        <v>52</v>
      </c>
      <c r="Z13" s="3" t="s">
        <v>34</v>
      </c>
      <c r="AA13" s="5">
        <f t="shared" si="0"/>
        <v>1.3078912973482699</v>
      </c>
      <c r="AB13" s="5">
        <f t="shared" si="1"/>
        <v>0.89417946771996504</v>
      </c>
      <c r="AC13" s="5">
        <f t="shared" si="2"/>
        <v>0.10118513057138</v>
      </c>
    </row>
    <row r="14" spans="1:29" ht="15" customHeight="1" x14ac:dyDescent="0.3">
      <c r="A14" s="3">
        <v>13</v>
      </c>
      <c r="B14" s="3">
        <v>3</v>
      </c>
      <c r="C14" s="3" t="s">
        <v>48</v>
      </c>
      <c r="D14" s="4" t="s">
        <v>49</v>
      </c>
      <c r="E14" s="3" t="s">
        <v>41</v>
      </c>
      <c r="F14" s="3">
        <v>2023</v>
      </c>
      <c r="G14" s="3">
        <v>1</v>
      </c>
      <c r="H14" s="3">
        <v>0</v>
      </c>
      <c r="I14" s="3">
        <v>5</v>
      </c>
      <c r="J14" s="3">
        <v>0</v>
      </c>
      <c r="K14" s="3">
        <v>756000000</v>
      </c>
      <c r="L14" s="3">
        <v>1.9443999999999999</v>
      </c>
      <c r="M14" s="3">
        <v>1469966.4</v>
      </c>
      <c r="N14" s="3">
        <v>2511113</v>
      </c>
      <c r="O14" s="3">
        <v>2654389</v>
      </c>
      <c r="P14" s="3">
        <v>17690</v>
      </c>
      <c r="Q14" s="3">
        <v>1.49981008812197</v>
      </c>
      <c r="R14" s="3">
        <v>14.791725054346999</v>
      </c>
      <c r="S14" s="3">
        <v>0.94602298306691301</v>
      </c>
      <c r="T14" s="3">
        <v>6.66443388666846E-3</v>
      </c>
      <c r="U14" s="3">
        <v>1964</v>
      </c>
      <c r="V14" s="3">
        <v>59</v>
      </c>
      <c r="W14" s="3">
        <v>1</v>
      </c>
      <c r="X14" s="3" t="s">
        <v>50</v>
      </c>
      <c r="Y14" s="4" t="s">
        <v>53</v>
      </c>
      <c r="Z14" s="3" t="s">
        <v>34</v>
      </c>
      <c r="AA14" s="5">
        <f t="shared" si="0"/>
        <v>1.49981008812197</v>
      </c>
      <c r="AB14" s="5">
        <f t="shared" si="1"/>
        <v>0.94602298306691301</v>
      </c>
      <c r="AC14" s="5">
        <f t="shared" si="2"/>
        <v>6.66443388666846E-3</v>
      </c>
    </row>
    <row r="15" spans="1:29" ht="15" customHeight="1" x14ac:dyDescent="0.3">
      <c r="A15" s="3">
        <v>14</v>
      </c>
      <c r="B15" s="3">
        <v>3</v>
      </c>
      <c r="C15" s="3" t="s">
        <v>48</v>
      </c>
      <c r="D15" s="4" t="s">
        <v>49</v>
      </c>
      <c r="E15" s="3" t="s">
        <v>41</v>
      </c>
      <c r="F15" s="3">
        <v>2024</v>
      </c>
      <c r="G15" s="3">
        <v>1</v>
      </c>
      <c r="H15" s="3">
        <v>0</v>
      </c>
      <c r="I15" s="3">
        <v>0</v>
      </c>
      <c r="J15" s="3">
        <v>0</v>
      </c>
      <c r="K15" s="3">
        <v>756000000</v>
      </c>
      <c r="L15" s="3">
        <v>3.0026000000000002</v>
      </c>
      <c r="M15" s="3">
        <v>2269965.6</v>
      </c>
      <c r="N15" s="3">
        <v>2965000</v>
      </c>
      <c r="O15" s="3">
        <v>3106287</v>
      </c>
      <c r="P15" s="3">
        <v>73611</v>
      </c>
      <c r="Q15" s="3">
        <v>1.68528072261192</v>
      </c>
      <c r="R15" s="3">
        <v>14.9489386802249</v>
      </c>
      <c r="S15" s="3">
        <v>0.95451579329276404</v>
      </c>
      <c r="T15" s="3">
        <v>2.3697423966297999E-2</v>
      </c>
      <c r="U15" s="3">
        <v>1964</v>
      </c>
      <c r="V15" s="3">
        <v>60</v>
      </c>
      <c r="W15" s="3">
        <v>1</v>
      </c>
      <c r="X15" s="3" t="s">
        <v>50</v>
      </c>
      <c r="Y15" s="4" t="s">
        <v>54</v>
      </c>
      <c r="Z15" s="3" t="s">
        <v>34</v>
      </c>
      <c r="AA15" s="5">
        <f t="shared" si="0"/>
        <v>1.68528072261192</v>
      </c>
      <c r="AB15" s="5">
        <f t="shared" si="1"/>
        <v>0.95451579329276404</v>
      </c>
      <c r="AC15" s="5">
        <f t="shared" si="2"/>
        <v>2.3697423966297999E-2</v>
      </c>
    </row>
    <row r="16" spans="1:29" ht="15" customHeight="1" x14ac:dyDescent="0.3">
      <c r="A16" s="3">
        <v>16</v>
      </c>
      <c r="B16" s="3">
        <v>4</v>
      </c>
      <c r="C16" s="3" t="s">
        <v>55</v>
      </c>
      <c r="D16" s="4" t="s">
        <v>56</v>
      </c>
      <c r="E16" s="3" t="s">
        <v>31</v>
      </c>
      <c r="F16" s="3">
        <v>2021</v>
      </c>
      <c r="G16" s="3">
        <v>0</v>
      </c>
      <c r="H16" s="3">
        <v>0</v>
      </c>
      <c r="I16" s="3">
        <v>5</v>
      </c>
      <c r="J16" s="3">
        <v>0</v>
      </c>
      <c r="K16" s="3">
        <v>35545225622</v>
      </c>
      <c r="L16" s="3">
        <v>9.1170000000000009</v>
      </c>
      <c r="M16" s="3">
        <v>324065821.99577397</v>
      </c>
      <c r="N16" s="3">
        <v>10681936000</v>
      </c>
      <c r="O16" s="3">
        <v>11731965000</v>
      </c>
      <c r="P16" s="3">
        <v>160215000</v>
      </c>
      <c r="Q16" s="3">
        <v>0.93812092194238295</v>
      </c>
      <c r="R16" s="3">
        <v>23.1855830047636</v>
      </c>
      <c r="S16" s="3">
        <v>0.91049845443623501</v>
      </c>
      <c r="T16" s="3">
        <v>1.36562800860725E-2</v>
      </c>
      <c r="U16" s="3">
        <v>2021</v>
      </c>
      <c r="V16" s="3">
        <v>0</v>
      </c>
      <c r="W16" s="3">
        <v>1</v>
      </c>
      <c r="X16" s="3" t="s">
        <v>57</v>
      </c>
      <c r="Y16" s="4" t="s">
        <v>58</v>
      </c>
      <c r="Z16" s="3" t="s">
        <v>34</v>
      </c>
      <c r="AA16" s="5">
        <f t="shared" si="0"/>
        <v>0.93812092194238295</v>
      </c>
      <c r="AB16" s="5">
        <f t="shared" si="1"/>
        <v>0.91049845443623501</v>
      </c>
      <c r="AC16" s="5">
        <f t="shared" si="2"/>
        <v>1.36562800860725E-2</v>
      </c>
    </row>
    <row r="17" spans="1:29" ht="15" customHeight="1" x14ac:dyDescent="0.3">
      <c r="A17" s="3">
        <v>17</v>
      </c>
      <c r="B17" s="3">
        <v>4</v>
      </c>
      <c r="C17" s="3" t="s">
        <v>55</v>
      </c>
      <c r="D17" s="4" t="s">
        <v>56</v>
      </c>
      <c r="E17" s="3" t="s">
        <v>31</v>
      </c>
      <c r="F17" s="3">
        <v>2022</v>
      </c>
      <c r="G17" s="3">
        <v>0</v>
      </c>
      <c r="H17" s="3">
        <v>0</v>
      </c>
      <c r="I17" s="3">
        <v>85</v>
      </c>
      <c r="J17" s="3">
        <v>80</v>
      </c>
      <c r="K17" s="3">
        <v>35545225622</v>
      </c>
      <c r="L17" s="3">
        <v>8.2791999999999994</v>
      </c>
      <c r="M17" s="3">
        <v>294286031.96966201</v>
      </c>
      <c r="N17" s="3">
        <v>13767010000</v>
      </c>
      <c r="O17" s="3">
        <v>14998401000</v>
      </c>
      <c r="P17" s="3">
        <v>152202000</v>
      </c>
      <c r="Q17" s="3">
        <v>0.93751967506200595</v>
      </c>
      <c r="R17" s="3">
        <v>23.431209432366401</v>
      </c>
      <c r="S17" s="3">
        <v>0.91789851464832795</v>
      </c>
      <c r="T17" s="3">
        <v>1.01478817641961E-2</v>
      </c>
      <c r="U17" s="3">
        <v>2021</v>
      </c>
      <c r="V17" s="3">
        <v>1</v>
      </c>
      <c r="W17" s="3">
        <v>1</v>
      </c>
      <c r="X17" s="3" t="s">
        <v>57</v>
      </c>
      <c r="Y17" s="4" t="s">
        <v>59</v>
      </c>
      <c r="Z17" s="3" t="s">
        <v>34</v>
      </c>
      <c r="AA17" s="5">
        <f t="shared" si="0"/>
        <v>0.93751967506200595</v>
      </c>
      <c r="AB17" s="5">
        <f t="shared" si="1"/>
        <v>0.91789851464832795</v>
      </c>
      <c r="AC17" s="5">
        <f t="shared" si="2"/>
        <v>1.01478817641961E-2</v>
      </c>
    </row>
    <row r="18" spans="1:29" ht="15" customHeight="1" x14ac:dyDescent="0.3">
      <c r="A18" s="3">
        <v>18</v>
      </c>
      <c r="B18" s="3">
        <v>4</v>
      </c>
      <c r="C18" s="3" t="s">
        <v>55</v>
      </c>
      <c r="D18" s="4" t="s">
        <v>56</v>
      </c>
      <c r="E18" s="3" t="s">
        <v>31</v>
      </c>
      <c r="F18" s="3">
        <v>2023</v>
      </c>
      <c r="G18" s="3">
        <v>1</v>
      </c>
      <c r="H18" s="3">
        <v>1</v>
      </c>
      <c r="I18" s="3">
        <v>95</v>
      </c>
      <c r="J18" s="3">
        <v>86.6666666666667</v>
      </c>
      <c r="K18" s="3">
        <v>35545225622</v>
      </c>
      <c r="L18" s="3">
        <v>22.3689</v>
      </c>
      <c r="M18" s="3">
        <v>795107597.41595602</v>
      </c>
      <c r="N18" s="3">
        <v>24503197000</v>
      </c>
      <c r="O18" s="3">
        <v>26688831000</v>
      </c>
      <c r="P18" s="3">
        <v>619324000</v>
      </c>
      <c r="Q18" s="3">
        <v>0.94789856466234701</v>
      </c>
      <c r="R18" s="3">
        <v>24.0075110002279</v>
      </c>
      <c r="S18" s="3">
        <v>0.91810679156385699</v>
      </c>
      <c r="T18" s="3">
        <v>2.3205362572830599E-2</v>
      </c>
      <c r="U18" s="3">
        <v>2021</v>
      </c>
      <c r="V18" s="3">
        <v>2</v>
      </c>
      <c r="W18" s="3">
        <v>1</v>
      </c>
      <c r="X18" s="3" t="s">
        <v>57</v>
      </c>
      <c r="Y18" s="4" t="s">
        <v>60</v>
      </c>
      <c r="Z18" s="3" t="s">
        <v>34</v>
      </c>
      <c r="AA18" s="5">
        <f t="shared" si="0"/>
        <v>0.94789856466234701</v>
      </c>
      <c r="AB18" s="5">
        <f t="shared" si="1"/>
        <v>0.91810679156385699</v>
      </c>
      <c r="AC18" s="5">
        <f t="shared" si="2"/>
        <v>2.3205362572830599E-2</v>
      </c>
    </row>
    <row r="19" spans="1:29" ht="15" customHeight="1" x14ac:dyDescent="0.3">
      <c r="A19" s="3">
        <v>19</v>
      </c>
      <c r="B19" s="3">
        <v>4</v>
      </c>
      <c r="C19" s="3" t="s">
        <v>55</v>
      </c>
      <c r="D19" s="4" t="s">
        <v>56</v>
      </c>
      <c r="E19" s="3" t="s">
        <v>31</v>
      </c>
      <c r="F19" s="3">
        <v>2024</v>
      </c>
      <c r="G19" s="3">
        <v>1</v>
      </c>
      <c r="H19" s="3">
        <v>1</v>
      </c>
      <c r="I19" s="3">
        <v>95</v>
      </c>
      <c r="J19" s="3">
        <v>86.6666666666667</v>
      </c>
      <c r="K19" s="3">
        <v>53317838433</v>
      </c>
      <c r="L19" s="3">
        <v>23.444400000000002</v>
      </c>
      <c r="M19" s="3">
        <v>1250004731.3586299</v>
      </c>
      <c r="N19" s="3">
        <v>37740174000</v>
      </c>
      <c r="O19" s="3">
        <v>41500353000</v>
      </c>
      <c r="P19" s="3">
        <v>642217000</v>
      </c>
      <c r="Q19" s="3">
        <v>0.939514387536863</v>
      </c>
      <c r="R19" s="3">
        <v>24.448967770170999</v>
      </c>
      <c r="S19" s="3">
        <v>0.90939404780484601</v>
      </c>
      <c r="T19" s="3">
        <v>1.54749768032094E-2</v>
      </c>
      <c r="U19" s="3">
        <v>2021</v>
      </c>
      <c r="V19" s="3">
        <v>3</v>
      </c>
      <c r="W19" s="3">
        <v>1</v>
      </c>
      <c r="X19" s="3" t="s">
        <v>57</v>
      </c>
      <c r="Y19" s="4" t="s">
        <v>61</v>
      </c>
      <c r="Z19" s="3" t="s">
        <v>34</v>
      </c>
      <c r="AA19" s="5">
        <f t="shared" si="0"/>
        <v>0.939514387536863</v>
      </c>
      <c r="AB19" s="5">
        <f t="shared" si="1"/>
        <v>0.90939404780484601</v>
      </c>
      <c r="AC19" s="5">
        <f t="shared" si="2"/>
        <v>1.54749768032094E-2</v>
      </c>
    </row>
    <row r="20" spans="1:29" ht="15" customHeight="1" x14ac:dyDescent="0.3">
      <c r="A20" s="3">
        <v>20</v>
      </c>
      <c r="B20" s="3">
        <v>4</v>
      </c>
      <c r="C20" s="3" t="s">
        <v>55</v>
      </c>
      <c r="D20" s="4" t="s">
        <v>56</v>
      </c>
      <c r="E20" s="3" t="s">
        <v>31</v>
      </c>
      <c r="F20" s="3">
        <v>2025</v>
      </c>
      <c r="G20" s="3">
        <v>1</v>
      </c>
      <c r="H20" s="3">
        <v>1</v>
      </c>
      <c r="I20" s="3">
        <v>90</v>
      </c>
      <c r="J20" s="3">
        <v>60</v>
      </c>
      <c r="K20" s="3">
        <v>53317838433</v>
      </c>
      <c r="L20" s="3">
        <v>20.444099999999999</v>
      </c>
      <c r="M20" s="3">
        <v>1090035220.7081001</v>
      </c>
      <c r="N20" s="3">
        <v>47440000000</v>
      </c>
      <c r="O20" s="3">
        <v>51560000000</v>
      </c>
      <c r="P20" s="3">
        <v>743045000</v>
      </c>
      <c r="Q20" s="3">
        <v>0.94123419745360903</v>
      </c>
      <c r="R20" s="3">
        <v>24.666012015017401</v>
      </c>
      <c r="S20" s="3">
        <v>0.92009309542280804</v>
      </c>
      <c r="T20" s="3">
        <v>1.4411268425135799E-2</v>
      </c>
      <c r="U20" s="3">
        <v>2021</v>
      </c>
      <c r="V20" s="3">
        <v>4</v>
      </c>
      <c r="W20" s="3">
        <v>1</v>
      </c>
      <c r="X20" s="3" t="s">
        <v>57</v>
      </c>
      <c r="Y20" s="4" t="s">
        <v>62</v>
      </c>
      <c r="Z20" s="3" t="s">
        <v>34</v>
      </c>
      <c r="AA20" s="5">
        <f t="shared" si="0"/>
        <v>0.94123419745360903</v>
      </c>
      <c r="AB20" s="5">
        <f t="shared" si="1"/>
        <v>0.92009309542280804</v>
      </c>
      <c r="AC20" s="5">
        <f t="shared" si="2"/>
        <v>1.4411268425135799E-2</v>
      </c>
    </row>
    <row r="21" spans="1:29" ht="15" customHeight="1" x14ac:dyDescent="0.3">
      <c r="A21" s="3">
        <v>21</v>
      </c>
      <c r="B21" s="3">
        <v>5</v>
      </c>
      <c r="C21" s="3" t="s">
        <v>63</v>
      </c>
      <c r="D21" s="4" t="s">
        <v>64</v>
      </c>
      <c r="E21" s="3" t="s">
        <v>31</v>
      </c>
      <c r="F21" s="3">
        <v>2021</v>
      </c>
      <c r="G21" s="3">
        <v>0</v>
      </c>
      <c r="H21" s="3">
        <v>0</v>
      </c>
      <c r="I21" s="3">
        <v>0</v>
      </c>
      <c r="J21" s="3">
        <v>0</v>
      </c>
      <c r="K21" s="3">
        <v>20585000000</v>
      </c>
      <c r="L21" s="3">
        <v>0.2</v>
      </c>
      <c r="M21" s="3">
        <v>4117000</v>
      </c>
      <c r="N21" s="3">
        <v>47391703</v>
      </c>
      <c r="O21" s="3">
        <v>41587426</v>
      </c>
      <c r="P21" s="3">
        <v>2416845</v>
      </c>
      <c r="Q21" s="3">
        <v>1.2385643439437699</v>
      </c>
      <c r="R21" s="3">
        <v>17.5433084199265</v>
      </c>
      <c r="S21" s="3">
        <v>1.1395680752158099</v>
      </c>
      <c r="T21" s="3">
        <v>5.8114801334422601E-2</v>
      </c>
      <c r="U21" s="3">
        <v>1960</v>
      </c>
      <c r="V21" s="3">
        <v>61</v>
      </c>
      <c r="W21" s="3">
        <v>1</v>
      </c>
      <c r="X21" s="3" t="s">
        <v>65</v>
      </c>
      <c r="Y21" s="4" t="s">
        <v>66</v>
      </c>
      <c r="Z21" s="3" t="s">
        <v>67</v>
      </c>
      <c r="AA21" s="5">
        <f t="shared" si="0"/>
        <v>1.2385643439437699</v>
      </c>
      <c r="AB21" s="5">
        <f t="shared" si="1"/>
        <v>1.1395680752158099</v>
      </c>
      <c r="AC21" s="5">
        <f t="shared" si="2"/>
        <v>5.8114801334422601E-2</v>
      </c>
    </row>
    <row r="22" spans="1:29" ht="15" customHeight="1" x14ac:dyDescent="0.3">
      <c r="A22" s="3">
        <v>22</v>
      </c>
      <c r="B22" s="3">
        <v>5</v>
      </c>
      <c r="C22" s="3" t="s">
        <v>63</v>
      </c>
      <c r="D22" s="4" t="s">
        <v>64</v>
      </c>
      <c r="E22" s="3" t="s">
        <v>31</v>
      </c>
      <c r="F22" s="3">
        <v>2022</v>
      </c>
      <c r="G22" s="3">
        <v>0</v>
      </c>
      <c r="H22" s="3">
        <v>0</v>
      </c>
      <c r="I22" s="3">
        <v>0</v>
      </c>
      <c r="J22" s="3">
        <v>0</v>
      </c>
      <c r="K22" s="3">
        <v>20585000000</v>
      </c>
      <c r="L22" s="3">
        <v>0.2</v>
      </c>
      <c r="M22" s="3">
        <v>4117000</v>
      </c>
      <c r="N22" s="3">
        <v>48396886</v>
      </c>
      <c r="O22" s="3">
        <v>53473361</v>
      </c>
      <c r="P22" s="3">
        <v>-2901109</v>
      </c>
      <c r="Q22" s="3">
        <v>0.98205695355487399</v>
      </c>
      <c r="R22" s="3">
        <v>17.794694162626701</v>
      </c>
      <c r="S22" s="3">
        <v>0.90506534646288705</v>
      </c>
      <c r="T22" s="3">
        <v>-5.4253350560852197E-2</v>
      </c>
      <c r="U22" s="3">
        <v>1960</v>
      </c>
      <c r="V22" s="3">
        <v>62</v>
      </c>
      <c r="W22" s="3">
        <v>1</v>
      </c>
      <c r="X22" s="3" t="s">
        <v>65</v>
      </c>
      <c r="Y22" s="4" t="s">
        <v>68</v>
      </c>
      <c r="Z22" s="3" t="s">
        <v>67</v>
      </c>
      <c r="AA22" s="5">
        <f t="shared" si="0"/>
        <v>0.98205695355487399</v>
      </c>
      <c r="AB22" s="5">
        <f t="shared" si="1"/>
        <v>0.90506534646288705</v>
      </c>
      <c r="AC22" s="5">
        <f t="shared" si="2"/>
        <v>-5.4253350560852197E-2</v>
      </c>
    </row>
    <row r="23" spans="1:29" ht="15" customHeight="1" x14ac:dyDescent="0.3">
      <c r="A23" s="3">
        <v>26</v>
      </c>
      <c r="B23" s="3">
        <v>6</v>
      </c>
      <c r="C23" s="3" t="s">
        <v>69</v>
      </c>
      <c r="D23" s="4" t="s">
        <v>70</v>
      </c>
      <c r="E23" s="3" t="s">
        <v>31</v>
      </c>
      <c r="F23" s="3">
        <v>2021</v>
      </c>
      <c r="G23" s="3">
        <v>0</v>
      </c>
      <c r="H23" s="3">
        <v>0</v>
      </c>
      <c r="I23" s="3">
        <v>0</v>
      </c>
      <c r="J23" s="3">
        <v>0</v>
      </c>
      <c r="K23" s="3">
        <v>2000000000</v>
      </c>
      <c r="L23" s="3">
        <v>6.35</v>
      </c>
      <c r="M23" s="3">
        <v>12700000</v>
      </c>
      <c r="N23" s="3">
        <v>6993386</v>
      </c>
      <c r="O23" s="3">
        <v>15764176</v>
      </c>
      <c r="P23" s="3">
        <v>1414667</v>
      </c>
      <c r="Q23" s="3">
        <v>1.2492493105887701</v>
      </c>
      <c r="R23" s="3">
        <v>16.573250581913701</v>
      </c>
      <c r="S23" s="3">
        <v>0.44362521707446001</v>
      </c>
      <c r="T23" s="3">
        <v>8.9739355866110607E-2</v>
      </c>
      <c r="U23" s="3">
        <v>2006</v>
      </c>
      <c r="V23" s="3">
        <v>15</v>
      </c>
      <c r="W23" s="3">
        <v>1</v>
      </c>
      <c r="X23" s="3" t="s">
        <v>50</v>
      </c>
      <c r="Y23" s="4" t="s">
        <v>71</v>
      </c>
      <c r="Z23" s="3" t="s">
        <v>34</v>
      </c>
      <c r="AA23" s="5">
        <f t="shared" si="0"/>
        <v>1.2492493105887701</v>
      </c>
      <c r="AB23" s="5">
        <f t="shared" si="1"/>
        <v>0.44362521707446001</v>
      </c>
      <c r="AC23" s="5">
        <f t="shared" si="2"/>
        <v>8.9739355866110607E-2</v>
      </c>
    </row>
    <row r="24" spans="1:29" ht="15" customHeight="1" x14ac:dyDescent="0.3">
      <c r="A24" s="3">
        <v>27</v>
      </c>
      <c r="B24" s="3">
        <v>6</v>
      </c>
      <c r="C24" s="3" t="s">
        <v>69</v>
      </c>
      <c r="D24" s="4" t="s">
        <v>70</v>
      </c>
      <c r="E24" s="3" t="s">
        <v>31</v>
      </c>
      <c r="F24" s="3">
        <v>2022</v>
      </c>
      <c r="G24" s="3">
        <v>0</v>
      </c>
      <c r="H24" s="3">
        <v>0</v>
      </c>
      <c r="I24" s="3">
        <v>0</v>
      </c>
      <c r="J24" s="3">
        <v>0</v>
      </c>
      <c r="K24" s="3">
        <v>2000000000</v>
      </c>
      <c r="L24" s="3">
        <v>6</v>
      </c>
      <c r="M24" s="3">
        <v>12000000</v>
      </c>
      <c r="N24" s="3">
        <v>9885098</v>
      </c>
      <c r="O24" s="3">
        <v>19270686</v>
      </c>
      <c r="P24" s="3">
        <v>1493249</v>
      </c>
      <c r="Q24" s="3">
        <v>1.13566782210037</v>
      </c>
      <c r="R24" s="3">
        <v>16.774095639134199</v>
      </c>
      <c r="S24" s="3">
        <v>0.512960358546655</v>
      </c>
      <c r="T24" s="3">
        <v>7.7488108103676206E-2</v>
      </c>
      <c r="U24" s="3">
        <v>2006</v>
      </c>
      <c r="V24" s="3">
        <v>16</v>
      </c>
      <c r="W24" s="3">
        <v>1</v>
      </c>
      <c r="X24" s="3" t="s">
        <v>50</v>
      </c>
      <c r="Y24" s="4" t="s">
        <v>72</v>
      </c>
      <c r="Z24" s="3" t="s">
        <v>34</v>
      </c>
      <c r="AA24" s="5">
        <f t="shared" si="0"/>
        <v>1.13566782210037</v>
      </c>
      <c r="AB24" s="5">
        <f t="shared" si="1"/>
        <v>0.512960358546655</v>
      </c>
      <c r="AC24" s="5">
        <f t="shared" si="2"/>
        <v>7.7488108103676206E-2</v>
      </c>
    </row>
    <row r="25" spans="1:29" ht="15" customHeight="1" x14ac:dyDescent="0.3">
      <c r="A25" s="3">
        <v>28</v>
      </c>
      <c r="B25" s="3">
        <v>6</v>
      </c>
      <c r="C25" s="3" t="s">
        <v>69</v>
      </c>
      <c r="D25" s="4" t="s">
        <v>70</v>
      </c>
      <c r="E25" s="3" t="s">
        <v>31</v>
      </c>
      <c r="F25" s="3">
        <v>2023</v>
      </c>
      <c r="G25" s="3">
        <v>1</v>
      </c>
      <c r="H25" s="3">
        <v>0</v>
      </c>
      <c r="I25" s="3">
        <v>0</v>
      </c>
      <c r="J25" s="3">
        <v>0</v>
      </c>
      <c r="K25" s="3">
        <v>2000000000</v>
      </c>
      <c r="L25" s="3">
        <v>7.4</v>
      </c>
      <c r="M25" s="3">
        <v>14800000</v>
      </c>
      <c r="N25" s="3">
        <v>13235493</v>
      </c>
      <c r="O25" s="3">
        <v>22981930</v>
      </c>
      <c r="P25" s="3">
        <v>962909</v>
      </c>
      <c r="Q25" s="3">
        <v>1.2198928897616499</v>
      </c>
      <c r="R25" s="3">
        <v>16.950218812933102</v>
      </c>
      <c r="S25" s="3">
        <v>0.57590868129874195</v>
      </c>
      <c r="T25" s="3">
        <v>4.1898526363973801E-2</v>
      </c>
      <c r="U25" s="3">
        <v>2006</v>
      </c>
      <c r="V25" s="3">
        <v>17</v>
      </c>
      <c r="W25" s="3">
        <v>1</v>
      </c>
      <c r="X25" s="3" t="s">
        <v>50</v>
      </c>
      <c r="Y25" s="4" t="s">
        <v>73</v>
      </c>
      <c r="Z25" s="3" t="s">
        <v>34</v>
      </c>
      <c r="AA25" s="5">
        <f t="shared" si="0"/>
        <v>1.2198928897616499</v>
      </c>
      <c r="AB25" s="5">
        <f t="shared" si="1"/>
        <v>0.57590868129874195</v>
      </c>
      <c r="AC25" s="5">
        <f t="shared" si="2"/>
        <v>4.1898526363973801E-2</v>
      </c>
    </row>
    <row r="26" spans="1:29" ht="15" customHeight="1" x14ac:dyDescent="0.3">
      <c r="A26" s="3">
        <v>29</v>
      </c>
      <c r="B26" s="3">
        <v>6</v>
      </c>
      <c r="C26" s="3" t="s">
        <v>69</v>
      </c>
      <c r="D26" s="4" t="s">
        <v>70</v>
      </c>
      <c r="E26" s="3" t="s">
        <v>31</v>
      </c>
      <c r="F26" s="3">
        <v>2024</v>
      </c>
      <c r="G26" s="3">
        <v>1</v>
      </c>
      <c r="H26" s="3">
        <v>0</v>
      </c>
      <c r="I26" s="3">
        <v>0</v>
      </c>
      <c r="J26" s="3">
        <v>0</v>
      </c>
      <c r="K26" s="3">
        <v>2000000000</v>
      </c>
      <c r="L26" s="3">
        <v>20.55</v>
      </c>
      <c r="M26" s="3">
        <v>41100000</v>
      </c>
      <c r="N26" s="3">
        <v>24007058</v>
      </c>
      <c r="O26" s="3">
        <v>34845257</v>
      </c>
      <c r="P26" s="3">
        <v>1810090</v>
      </c>
      <c r="Q26" s="3">
        <v>1.8684625571853299</v>
      </c>
      <c r="R26" s="3">
        <v>17.366427588347701</v>
      </c>
      <c r="S26" s="3">
        <v>0.68896200134210495</v>
      </c>
      <c r="T26" s="3">
        <v>5.1946524601612198E-2</v>
      </c>
      <c r="U26" s="3">
        <v>2006</v>
      </c>
      <c r="V26" s="3">
        <v>18</v>
      </c>
      <c r="W26" s="3">
        <v>1</v>
      </c>
      <c r="X26" s="3" t="s">
        <v>50</v>
      </c>
      <c r="Y26" s="4" t="s">
        <v>74</v>
      </c>
      <c r="Z26" s="3" t="s">
        <v>34</v>
      </c>
      <c r="AA26" s="5">
        <f t="shared" si="0"/>
        <v>1.8684625571853299</v>
      </c>
      <c r="AB26" s="5">
        <f t="shared" si="1"/>
        <v>0.68896200134210495</v>
      </c>
      <c r="AC26" s="5">
        <f t="shared" si="2"/>
        <v>5.1946524601612198E-2</v>
      </c>
    </row>
    <row r="27" spans="1:29" ht="15" customHeight="1" x14ac:dyDescent="0.3">
      <c r="A27" s="3">
        <v>30</v>
      </c>
      <c r="B27" s="3">
        <v>6</v>
      </c>
      <c r="C27" s="3" t="s">
        <v>69</v>
      </c>
      <c r="D27" s="4" t="s">
        <v>70</v>
      </c>
      <c r="E27" s="3" t="s">
        <v>31</v>
      </c>
      <c r="F27" s="3">
        <v>2025</v>
      </c>
      <c r="G27" s="3">
        <v>1</v>
      </c>
      <c r="H27" s="3">
        <v>0</v>
      </c>
      <c r="I27" s="3">
        <v>0</v>
      </c>
      <c r="J27" s="3">
        <v>0</v>
      </c>
      <c r="K27" s="3">
        <v>4000000000</v>
      </c>
      <c r="L27" s="3">
        <v>14.8</v>
      </c>
      <c r="M27" s="3">
        <v>59200000</v>
      </c>
      <c r="N27" s="3">
        <v>29177215</v>
      </c>
      <c r="O27" s="3">
        <v>41908525</v>
      </c>
      <c r="P27" s="3">
        <v>2717172</v>
      </c>
      <c r="Q27" s="3">
        <v>2.1088123478457002</v>
      </c>
      <c r="R27" s="3">
        <v>17.550999824817598</v>
      </c>
      <c r="S27" s="3">
        <v>0.69621192824133005</v>
      </c>
      <c r="T27" s="3">
        <v>6.4835782218534296E-2</v>
      </c>
      <c r="U27" s="3">
        <v>2006</v>
      </c>
      <c r="V27" s="3">
        <v>19</v>
      </c>
      <c r="W27" s="3">
        <v>1</v>
      </c>
      <c r="X27" s="3" t="s">
        <v>50</v>
      </c>
      <c r="Y27" s="4" t="s">
        <v>75</v>
      </c>
      <c r="Z27" s="3" t="s">
        <v>34</v>
      </c>
      <c r="AA27" s="5">
        <f t="shared" si="0"/>
        <v>2.1088123478457002</v>
      </c>
      <c r="AB27" s="5">
        <f t="shared" si="1"/>
        <v>0.69621192824133005</v>
      </c>
      <c r="AC27" s="5">
        <f t="shared" si="2"/>
        <v>6.4835782218534296E-2</v>
      </c>
    </row>
    <row r="28" spans="1:29" ht="15" customHeight="1" x14ac:dyDescent="0.3">
      <c r="A28" s="3">
        <v>31</v>
      </c>
      <c r="B28" s="3">
        <v>7</v>
      </c>
      <c r="C28" s="3" t="s">
        <v>76</v>
      </c>
      <c r="D28" s="4" t="s">
        <v>77</v>
      </c>
      <c r="E28" s="3" t="s">
        <v>41</v>
      </c>
      <c r="F28" s="3">
        <v>2021</v>
      </c>
      <c r="G28" s="3">
        <v>0</v>
      </c>
      <c r="H28" s="3">
        <v>0</v>
      </c>
      <c r="I28" s="3">
        <v>0</v>
      </c>
      <c r="J28" s="3">
        <v>0</v>
      </c>
      <c r="K28" s="3">
        <v>4439046986</v>
      </c>
      <c r="L28" s="3">
        <v>0.2</v>
      </c>
      <c r="M28" s="3">
        <v>887809.39720000001</v>
      </c>
      <c r="N28" s="3">
        <v>4969389</v>
      </c>
      <c r="O28" s="3">
        <v>1750974</v>
      </c>
      <c r="P28" s="3">
        <v>144237</v>
      </c>
      <c r="Q28" s="3">
        <v>3.3451087207462802</v>
      </c>
      <c r="R28" s="3">
        <v>14.3756827624998</v>
      </c>
      <c r="S28" s="3">
        <v>2.8380712677629698</v>
      </c>
      <c r="T28" s="3">
        <v>8.2375295121458095E-2</v>
      </c>
      <c r="U28" s="3">
        <v>1959</v>
      </c>
      <c r="V28" s="3">
        <v>62</v>
      </c>
      <c r="W28" s="3">
        <v>0</v>
      </c>
      <c r="X28" s="3" t="s">
        <v>78</v>
      </c>
      <c r="Y28" s="4" t="s">
        <v>79</v>
      </c>
      <c r="Z28" s="3" t="s">
        <v>67</v>
      </c>
      <c r="AA28" s="5">
        <f t="shared" si="0"/>
        <v>3.3451087207462802</v>
      </c>
      <c r="AB28" s="5">
        <f t="shared" si="1"/>
        <v>2.8380712677629698</v>
      </c>
      <c r="AC28" s="5">
        <f t="shared" si="2"/>
        <v>8.2375295121458095E-2</v>
      </c>
    </row>
    <row r="29" spans="1:29" ht="15" customHeight="1" x14ac:dyDescent="0.3">
      <c r="A29" s="3">
        <v>32</v>
      </c>
      <c r="B29" s="3">
        <v>7</v>
      </c>
      <c r="C29" s="3" t="s">
        <v>76</v>
      </c>
      <c r="D29" s="4" t="s">
        <v>77</v>
      </c>
      <c r="E29" s="3" t="s">
        <v>41</v>
      </c>
      <c r="F29" s="3">
        <v>2022</v>
      </c>
      <c r="G29" s="3">
        <v>0</v>
      </c>
      <c r="H29" s="3">
        <v>0</v>
      </c>
      <c r="I29" s="3">
        <v>0</v>
      </c>
      <c r="J29" s="3">
        <v>0</v>
      </c>
      <c r="K29" s="3">
        <v>4439046986</v>
      </c>
      <c r="L29" s="3">
        <v>0.2</v>
      </c>
      <c r="M29" s="3">
        <v>887809.39720000001</v>
      </c>
      <c r="N29" s="3">
        <v>4989344</v>
      </c>
      <c r="O29" s="3">
        <v>1649374</v>
      </c>
      <c r="P29" s="3">
        <v>-121555</v>
      </c>
      <c r="Q29" s="3">
        <v>3.56326303021631</v>
      </c>
      <c r="R29" s="3">
        <v>14.3159063799493</v>
      </c>
      <c r="S29" s="3">
        <v>3.02499251231073</v>
      </c>
      <c r="T29" s="3">
        <v>-7.3697657414267495E-2</v>
      </c>
      <c r="U29" s="3">
        <v>1959</v>
      </c>
      <c r="V29" s="3">
        <v>63</v>
      </c>
      <c r="W29" s="3">
        <v>0</v>
      </c>
      <c r="X29" s="3" t="s">
        <v>78</v>
      </c>
      <c r="Y29" s="4" t="s">
        <v>80</v>
      </c>
      <c r="Z29" s="3" t="s">
        <v>67</v>
      </c>
      <c r="AA29" s="5">
        <f t="shared" si="0"/>
        <v>3.56326303021631</v>
      </c>
      <c r="AB29" s="5">
        <f t="shared" si="1"/>
        <v>3.02499251231073</v>
      </c>
      <c r="AC29" s="5">
        <f t="shared" si="2"/>
        <v>-7.3697657414267495E-2</v>
      </c>
    </row>
    <row r="30" spans="1:29" ht="15" customHeight="1" x14ac:dyDescent="0.3">
      <c r="A30" s="3">
        <v>36</v>
      </c>
      <c r="B30" s="3">
        <v>8</v>
      </c>
      <c r="C30" s="3" t="s">
        <v>81</v>
      </c>
      <c r="D30" s="4" t="s">
        <v>82</v>
      </c>
      <c r="E30" s="3" t="s">
        <v>31</v>
      </c>
      <c r="F30" s="3">
        <v>2021</v>
      </c>
      <c r="G30" s="3">
        <v>0</v>
      </c>
      <c r="H30" s="3">
        <v>0</v>
      </c>
      <c r="I30" s="3">
        <v>25</v>
      </c>
      <c r="J30" s="3">
        <v>0</v>
      </c>
      <c r="K30" s="3">
        <v>36605275996</v>
      </c>
      <c r="L30" s="3">
        <v>0.7</v>
      </c>
      <c r="M30" s="3">
        <v>25623693.1972</v>
      </c>
      <c r="N30" s="3">
        <v>184006595</v>
      </c>
      <c r="O30" s="3">
        <v>222380851</v>
      </c>
      <c r="P30" s="3">
        <v>4916009</v>
      </c>
      <c r="Q30" s="3">
        <v>0.94266339594680304</v>
      </c>
      <c r="R30" s="3">
        <v>19.219902015014998</v>
      </c>
      <c r="S30" s="3">
        <v>0.827439027112995</v>
      </c>
      <c r="T30" s="3">
        <v>2.21062603991924E-2</v>
      </c>
      <c r="U30" s="3">
        <v>1970</v>
      </c>
      <c r="V30" s="3">
        <v>51</v>
      </c>
      <c r="W30" s="3">
        <v>1</v>
      </c>
      <c r="X30" s="3" t="s">
        <v>50</v>
      </c>
      <c r="Y30" s="4" t="s">
        <v>83</v>
      </c>
      <c r="Z30" s="3" t="s">
        <v>34</v>
      </c>
      <c r="AA30" s="5">
        <f t="shared" si="0"/>
        <v>0.94266339594680304</v>
      </c>
      <c r="AB30" s="5">
        <f t="shared" si="1"/>
        <v>0.827439027112995</v>
      </c>
      <c r="AC30" s="5">
        <f t="shared" si="2"/>
        <v>2.21062603991924E-2</v>
      </c>
    </row>
    <row r="31" spans="1:29" ht="15" customHeight="1" x14ac:dyDescent="0.3">
      <c r="A31" s="3">
        <v>37</v>
      </c>
      <c r="B31" s="3">
        <v>8</v>
      </c>
      <c r="C31" s="3" t="s">
        <v>81</v>
      </c>
      <c r="D31" s="4" t="s">
        <v>82</v>
      </c>
      <c r="E31" s="3" t="s">
        <v>31</v>
      </c>
      <c r="F31" s="3">
        <v>2022</v>
      </c>
      <c r="G31" s="3">
        <v>0</v>
      </c>
      <c r="H31" s="3">
        <v>0</v>
      </c>
      <c r="I31" s="3">
        <v>25</v>
      </c>
      <c r="J31" s="3">
        <v>0</v>
      </c>
      <c r="K31" s="3">
        <v>36605276013</v>
      </c>
      <c r="L31" s="3">
        <v>0.59</v>
      </c>
      <c r="M31" s="3">
        <v>21597112.84767</v>
      </c>
      <c r="N31" s="3">
        <v>225321512</v>
      </c>
      <c r="O31" s="3">
        <v>270329520</v>
      </c>
      <c r="P31" s="3">
        <v>7552836</v>
      </c>
      <c r="Q31" s="3">
        <v>0.913398673025684</v>
      </c>
      <c r="R31" s="3">
        <v>19.415152217270201</v>
      </c>
      <c r="S31" s="3">
        <v>0.83350686968999899</v>
      </c>
      <c r="T31" s="3">
        <v>2.7939368219941401E-2</v>
      </c>
      <c r="U31" s="3">
        <v>1970</v>
      </c>
      <c r="V31" s="3">
        <v>52</v>
      </c>
      <c r="W31" s="3">
        <v>1</v>
      </c>
      <c r="X31" s="3" t="s">
        <v>50</v>
      </c>
      <c r="Y31" s="4" t="s">
        <v>84</v>
      </c>
      <c r="Z31" s="3" t="s">
        <v>34</v>
      </c>
      <c r="AA31" s="5">
        <f t="shared" si="0"/>
        <v>0.913398673025684</v>
      </c>
      <c r="AB31" s="5">
        <f t="shared" si="1"/>
        <v>0.83350686968999899</v>
      </c>
      <c r="AC31" s="5">
        <f t="shared" si="2"/>
        <v>2.7939368219941401E-2</v>
      </c>
    </row>
    <row r="32" spans="1:29" ht="15" customHeight="1" x14ac:dyDescent="0.3">
      <c r="A32" s="3">
        <v>38</v>
      </c>
      <c r="B32" s="3">
        <v>8</v>
      </c>
      <c r="C32" s="3" t="s">
        <v>81</v>
      </c>
      <c r="D32" s="4" t="s">
        <v>82</v>
      </c>
      <c r="E32" s="3" t="s">
        <v>31</v>
      </c>
      <c r="F32" s="3">
        <v>2023</v>
      </c>
      <c r="G32" s="3">
        <v>1</v>
      </c>
      <c r="H32" s="3">
        <v>0</v>
      </c>
      <c r="I32" s="3">
        <v>25</v>
      </c>
      <c r="J32" s="3">
        <v>0</v>
      </c>
      <c r="K32" s="3">
        <v>36605276013</v>
      </c>
      <c r="L32" s="3">
        <v>0.76</v>
      </c>
      <c r="M32" s="3">
        <v>27820009.769880001</v>
      </c>
      <c r="N32" s="3">
        <v>266265196</v>
      </c>
      <c r="O32" s="3">
        <v>318095562</v>
      </c>
      <c r="P32" s="3">
        <v>12135796</v>
      </c>
      <c r="Q32" s="3">
        <v>0.92451841805287405</v>
      </c>
      <c r="R32" s="3">
        <v>19.577862405034502</v>
      </c>
      <c r="S32" s="3">
        <v>0.83706039256215703</v>
      </c>
      <c r="T32" s="3">
        <v>3.8151415642825003E-2</v>
      </c>
      <c r="U32" s="3">
        <v>1970</v>
      </c>
      <c r="V32" s="3">
        <v>53</v>
      </c>
      <c r="W32" s="3">
        <v>1</v>
      </c>
      <c r="X32" s="3" t="s">
        <v>50</v>
      </c>
      <c r="Y32" s="4" t="s">
        <v>85</v>
      </c>
      <c r="Z32" s="3" t="s">
        <v>34</v>
      </c>
      <c r="AA32" s="5">
        <f t="shared" si="0"/>
        <v>0.92451841805287405</v>
      </c>
      <c r="AB32" s="5">
        <f t="shared" si="1"/>
        <v>0.83706039256215703</v>
      </c>
      <c r="AC32" s="5">
        <f t="shared" si="2"/>
        <v>3.8151415642825003E-2</v>
      </c>
    </row>
    <row r="33" spans="1:29" ht="15" customHeight="1" x14ac:dyDescent="0.3">
      <c r="A33" s="3">
        <v>39</v>
      </c>
      <c r="B33" s="3">
        <v>8</v>
      </c>
      <c r="C33" s="3" t="s">
        <v>81</v>
      </c>
      <c r="D33" s="4" t="s">
        <v>82</v>
      </c>
      <c r="E33" s="3" t="s">
        <v>31</v>
      </c>
      <c r="F33" s="3">
        <v>2024</v>
      </c>
      <c r="G33" s="3">
        <v>1</v>
      </c>
      <c r="H33" s="3">
        <v>0</v>
      </c>
      <c r="I33" s="3">
        <v>25</v>
      </c>
      <c r="J33" s="3">
        <v>0</v>
      </c>
      <c r="K33" s="3">
        <v>36605276013</v>
      </c>
      <c r="L33" s="3">
        <v>1.43</v>
      </c>
      <c r="M33" s="3">
        <v>52345544.698590003</v>
      </c>
      <c r="N33" s="3">
        <v>348675411</v>
      </c>
      <c r="O33" s="3">
        <v>416480546</v>
      </c>
      <c r="P33" s="3">
        <v>15192468</v>
      </c>
      <c r="Q33" s="3">
        <v>0.96288040233838401</v>
      </c>
      <c r="R33" s="3">
        <v>19.847350310197001</v>
      </c>
      <c r="S33" s="3">
        <v>0.83719495267853405</v>
      </c>
      <c r="T33" s="3">
        <v>3.6478217640446502E-2</v>
      </c>
      <c r="U33" s="3">
        <v>1970</v>
      </c>
      <c r="V33" s="3">
        <v>54</v>
      </c>
      <c r="W33" s="3">
        <v>1</v>
      </c>
      <c r="X33" s="3" t="s">
        <v>50</v>
      </c>
      <c r="Y33" s="4" t="s">
        <v>86</v>
      </c>
      <c r="Z33" s="3" t="s">
        <v>34</v>
      </c>
      <c r="AA33" s="5">
        <f t="shared" si="0"/>
        <v>0.96288040233838401</v>
      </c>
      <c r="AB33" s="5">
        <f t="shared" si="1"/>
        <v>0.83719495267853405</v>
      </c>
      <c r="AC33" s="5">
        <f t="shared" si="2"/>
        <v>3.6478217640446502E-2</v>
      </c>
    </row>
    <row r="34" spans="1:29" ht="15" customHeight="1" x14ac:dyDescent="0.3">
      <c r="A34" s="3">
        <v>40</v>
      </c>
      <c r="B34" s="3">
        <v>8</v>
      </c>
      <c r="C34" s="3" t="s">
        <v>81</v>
      </c>
      <c r="D34" s="4" t="s">
        <v>82</v>
      </c>
      <c r="E34" s="3" t="s">
        <v>31</v>
      </c>
      <c r="F34" s="3">
        <v>2025</v>
      </c>
      <c r="G34" s="3">
        <v>1</v>
      </c>
      <c r="H34" s="3">
        <v>0</v>
      </c>
      <c r="I34" s="3">
        <v>50</v>
      </c>
      <c r="J34" s="3">
        <v>6.6666666666666696</v>
      </c>
      <c r="K34" s="3">
        <v>36605276013</v>
      </c>
      <c r="L34" s="3">
        <v>3.79</v>
      </c>
      <c r="M34" s="3">
        <v>138733996.08927</v>
      </c>
      <c r="N34" s="3">
        <v>484694109</v>
      </c>
      <c r="O34" s="3">
        <v>579667098</v>
      </c>
      <c r="P34" s="3">
        <v>17862313</v>
      </c>
      <c r="Q34" s="3">
        <v>1.0754933430589</v>
      </c>
      <c r="R34" s="3">
        <v>20.177964527756</v>
      </c>
      <c r="S34" s="3">
        <v>0.83615942783766595</v>
      </c>
      <c r="T34" s="3">
        <v>3.08147781056223E-2</v>
      </c>
      <c r="U34" s="3">
        <v>1970</v>
      </c>
      <c r="V34" s="3">
        <v>55</v>
      </c>
      <c r="W34" s="3">
        <v>1</v>
      </c>
      <c r="X34" s="3" t="s">
        <v>50</v>
      </c>
      <c r="Y34" s="4" t="s">
        <v>87</v>
      </c>
      <c r="Z34" s="3" t="s">
        <v>34</v>
      </c>
      <c r="AA34" s="5">
        <f t="shared" si="0"/>
        <v>1.0754933430589</v>
      </c>
      <c r="AB34" s="5">
        <f t="shared" si="1"/>
        <v>0.83615942783766595</v>
      </c>
      <c r="AC34" s="5">
        <f t="shared" si="2"/>
        <v>3.08147781056223E-2</v>
      </c>
    </row>
    <row r="35" spans="1:29" ht="15" customHeight="1" x14ac:dyDescent="0.3">
      <c r="A35" s="3">
        <v>41</v>
      </c>
      <c r="B35" s="3">
        <v>9</v>
      </c>
      <c r="C35" s="3" t="s">
        <v>88</v>
      </c>
      <c r="D35" s="4" t="s">
        <v>89</v>
      </c>
      <c r="E35" s="3" t="s">
        <v>90</v>
      </c>
      <c r="F35" s="3">
        <v>2021</v>
      </c>
      <c r="G35" s="3">
        <v>0</v>
      </c>
      <c r="H35" s="3">
        <v>0</v>
      </c>
      <c r="I35" s="3">
        <v>5</v>
      </c>
      <c r="J35" s="3">
        <v>0</v>
      </c>
      <c r="K35" s="3">
        <v>3957000000</v>
      </c>
      <c r="L35" s="3">
        <v>710.13</v>
      </c>
      <c r="M35" s="3">
        <v>2809984410</v>
      </c>
      <c r="N35" s="3">
        <v>2656000000</v>
      </c>
      <c r="O35" s="3">
        <v>3996000000</v>
      </c>
      <c r="P35" s="3">
        <v>180400000</v>
      </c>
      <c r="Q35" s="3">
        <v>1.36786396646647</v>
      </c>
      <c r="R35" s="3">
        <v>22.108559697732701</v>
      </c>
      <c r="S35" s="3">
        <v>0.66466466466466501</v>
      </c>
      <c r="T35" s="3">
        <v>4.5145145145145102E-2</v>
      </c>
      <c r="U35" s="3">
        <v>2010</v>
      </c>
      <c r="V35" s="3">
        <v>11</v>
      </c>
      <c r="W35" s="3">
        <v>1</v>
      </c>
      <c r="X35" s="3" t="s">
        <v>91</v>
      </c>
      <c r="Y35" s="4" t="s">
        <v>92</v>
      </c>
      <c r="Z35" s="3" t="s">
        <v>34</v>
      </c>
      <c r="AA35" s="5">
        <f t="shared" si="0"/>
        <v>1.36786396646647</v>
      </c>
      <c r="AB35" s="5">
        <f t="shared" si="1"/>
        <v>0.66466466466466501</v>
      </c>
      <c r="AC35" s="5">
        <f t="shared" si="2"/>
        <v>4.5145145145145102E-2</v>
      </c>
    </row>
    <row r="36" spans="1:29" ht="15" customHeight="1" x14ac:dyDescent="0.3">
      <c r="A36" s="3">
        <v>42</v>
      </c>
      <c r="B36" s="3">
        <v>9</v>
      </c>
      <c r="C36" s="3" t="s">
        <v>88</v>
      </c>
      <c r="D36" s="4" t="s">
        <v>89</v>
      </c>
      <c r="E36" s="3" t="s">
        <v>90</v>
      </c>
      <c r="F36" s="3">
        <v>2022</v>
      </c>
      <c r="G36" s="3">
        <v>0</v>
      </c>
      <c r="H36" s="3">
        <v>0</v>
      </c>
      <c r="I36" s="3">
        <v>60</v>
      </c>
      <c r="J36" s="3">
        <v>60</v>
      </c>
      <c r="K36" s="3">
        <v>3957000000</v>
      </c>
      <c r="L36" s="3">
        <v>573.66999999999996</v>
      </c>
      <c r="M36" s="3">
        <v>2270012190</v>
      </c>
      <c r="N36" s="3">
        <v>3008857200</v>
      </c>
      <c r="O36" s="3">
        <v>4644477120</v>
      </c>
      <c r="P36" s="3">
        <v>338300400</v>
      </c>
      <c r="Q36" s="3">
        <v>1.1365906761103799</v>
      </c>
      <c r="R36" s="3">
        <v>22.258944634522901</v>
      </c>
      <c r="S36" s="3">
        <v>0.64783550919936495</v>
      </c>
      <c r="T36" s="3">
        <v>7.2839286589057403E-2</v>
      </c>
      <c r="U36" s="3">
        <v>2010</v>
      </c>
      <c r="V36" s="3">
        <v>12</v>
      </c>
      <c r="W36" s="3">
        <v>1</v>
      </c>
      <c r="X36" s="3" t="s">
        <v>91</v>
      </c>
      <c r="Y36" s="4" t="s">
        <v>93</v>
      </c>
      <c r="Z36" s="3" t="s">
        <v>34</v>
      </c>
      <c r="AA36" s="5">
        <f t="shared" si="0"/>
        <v>1.1365906761103799</v>
      </c>
      <c r="AB36" s="5">
        <f t="shared" si="1"/>
        <v>0.64783550919936495</v>
      </c>
      <c r="AC36" s="5">
        <f t="shared" si="2"/>
        <v>7.2839286589057403E-2</v>
      </c>
    </row>
    <row r="37" spans="1:29" ht="15" customHeight="1" x14ac:dyDescent="0.3">
      <c r="A37" s="3">
        <v>43</v>
      </c>
      <c r="B37" s="3">
        <v>9</v>
      </c>
      <c r="C37" s="3" t="s">
        <v>88</v>
      </c>
      <c r="D37" s="4" t="s">
        <v>89</v>
      </c>
      <c r="E37" s="3" t="s">
        <v>90</v>
      </c>
      <c r="F37" s="3">
        <v>2023</v>
      </c>
      <c r="G37" s="3">
        <v>1</v>
      </c>
      <c r="H37" s="3">
        <v>0</v>
      </c>
      <c r="I37" s="3">
        <v>55</v>
      </c>
      <c r="J37" s="3">
        <v>53.3333333333333</v>
      </c>
      <c r="K37" s="3">
        <v>3957000000</v>
      </c>
      <c r="L37" s="3">
        <v>1400.05</v>
      </c>
      <c r="M37" s="3">
        <v>5539997850</v>
      </c>
      <c r="N37" s="3">
        <v>3392038000</v>
      </c>
      <c r="O37" s="3">
        <v>5147526000</v>
      </c>
      <c r="P37" s="3">
        <v>322700000</v>
      </c>
      <c r="Q37" s="3">
        <v>1.7352094676160901</v>
      </c>
      <c r="R37" s="3">
        <v>22.361782047849101</v>
      </c>
      <c r="S37" s="3">
        <v>0.65896471431130199</v>
      </c>
      <c r="T37" s="3">
        <v>6.2690309869245897E-2</v>
      </c>
      <c r="U37" s="3">
        <v>2010</v>
      </c>
      <c r="V37" s="3">
        <v>13</v>
      </c>
      <c r="W37" s="3">
        <v>1</v>
      </c>
      <c r="X37" s="3" t="s">
        <v>91</v>
      </c>
      <c r="Y37" s="4" t="s">
        <v>94</v>
      </c>
      <c r="Z37" s="3" t="s">
        <v>34</v>
      </c>
      <c r="AA37" s="5">
        <f t="shared" si="0"/>
        <v>1.7352094676160901</v>
      </c>
      <c r="AB37" s="5">
        <f t="shared" si="1"/>
        <v>0.65896471431130199</v>
      </c>
      <c r="AC37" s="5">
        <f t="shared" si="2"/>
        <v>6.2690309869245897E-2</v>
      </c>
    </row>
    <row r="38" spans="1:29" ht="15" customHeight="1" x14ac:dyDescent="0.3">
      <c r="A38" s="3">
        <v>44</v>
      </c>
      <c r="B38" s="3">
        <v>9</v>
      </c>
      <c r="C38" s="3" t="s">
        <v>88</v>
      </c>
      <c r="D38" s="4" t="s">
        <v>89</v>
      </c>
      <c r="E38" s="3" t="s">
        <v>90</v>
      </c>
      <c r="F38" s="3">
        <v>2024</v>
      </c>
      <c r="G38" s="3">
        <v>1</v>
      </c>
      <c r="H38" s="3">
        <v>0</v>
      </c>
      <c r="I38" s="3">
        <v>85</v>
      </c>
      <c r="J38" s="3">
        <v>86.6666666666667</v>
      </c>
      <c r="K38" s="3">
        <v>3888000000</v>
      </c>
      <c r="L38" s="3">
        <v>2078.19</v>
      </c>
      <c r="M38" s="3">
        <v>8080002720</v>
      </c>
      <c r="N38" s="3">
        <v>10207350000</v>
      </c>
      <c r="O38" s="3">
        <v>13312350000</v>
      </c>
      <c r="P38" s="3">
        <v>-120150000</v>
      </c>
      <c r="Q38" s="3">
        <v>1.3737133353615301</v>
      </c>
      <c r="R38" s="3">
        <v>23.311958012746899</v>
      </c>
      <c r="S38" s="3">
        <v>0.76675793530068004</v>
      </c>
      <c r="T38" s="3">
        <v>-9.0254538079302307E-3</v>
      </c>
      <c r="U38" s="3">
        <v>2010</v>
      </c>
      <c r="V38" s="3">
        <v>14</v>
      </c>
      <c r="W38" s="3">
        <v>1</v>
      </c>
      <c r="X38" s="3" t="s">
        <v>91</v>
      </c>
      <c r="Y38" s="4" t="s">
        <v>95</v>
      </c>
      <c r="Z38" s="3" t="s">
        <v>34</v>
      </c>
      <c r="AA38" s="5">
        <f t="shared" si="0"/>
        <v>1.3737133353615301</v>
      </c>
      <c r="AB38" s="5">
        <f t="shared" si="1"/>
        <v>0.76675793530068004</v>
      </c>
      <c r="AC38" s="5">
        <f t="shared" si="2"/>
        <v>-9.0254538079302307E-3</v>
      </c>
    </row>
    <row r="39" spans="1:29" ht="15" customHeight="1" x14ac:dyDescent="0.3">
      <c r="A39" s="3">
        <v>45</v>
      </c>
      <c r="B39" s="3">
        <v>9</v>
      </c>
      <c r="C39" s="3" t="s">
        <v>88</v>
      </c>
      <c r="D39" s="4" t="s">
        <v>89</v>
      </c>
      <c r="E39" s="3" t="s">
        <v>90</v>
      </c>
      <c r="F39" s="3">
        <v>2025</v>
      </c>
      <c r="G39" s="3">
        <v>1</v>
      </c>
      <c r="H39" s="3">
        <v>0</v>
      </c>
      <c r="I39" s="3">
        <v>90</v>
      </c>
      <c r="J39" s="3">
        <v>93.3333333333333</v>
      </c>
      <c r="K39" s="3">
        <v>3648813500</v>
      </c>
      <c r="L39" s="3">
        <v>6900.87</v>
      </c>
      <c r="M39" s="3">
        <v>25179987617.744999</v>
      </c>
      <c r="N39" s="3">
        <v>13393163000</v>
      </c>
      <c r="O39" s="3">
        <v>17410065000</v>
      </c>
      <c r="P39" s="3">
        <v>474964000</v>
      </c>
      <c r="Q39" s="3">
        <v>2.2155661462346599</v>
      </c>
      <c r="R39" s="3">
        <v>23.580314324206</v>
      </c>
      <c r="S39" s="3">
        <v>0.76927702452575597</v>
      </c>
      <c r="T39" s="3">
        <v>2.7281000961225599E-2</v>
      </c>
      <c r="U39" s="3">
        <v>2010</v>
      </c>
      <c r="V39" s="3">
        <v>15</v>
      </c>
      <c r="W39" s="3">
        <v>1</v>
      </c>
      <c r="X39" s="3" t="s">
        <v>91</v>
      </c>
      <c r="Y39" s="4" t="s">
        <v>96</v>
      </c>
      <c r="Z39" s="3" t="s">
        <v>34</v>
      </c>
      <c r="AA39" s="5">
        <f t="shared" si="0"/>
        <v>2.2155661462346599</v>
      </c>
      <c r="AB39" s="5">
        <f t="shared" si="1"/>
        <v>0.76927702452575597</v>
      </c>
      <c r="AC39" s="5">
        <f t="shared" si="2"/>
        <v>2.7281000961225599E-2</v>
      </c>
    </row>
    <row r="40" spans="1:29" ht="15" customHeight="1" x14ac:dyDescent="0.3">
      <c r="A40" s="3">
        <v>54</v>
      </c>
      <c r="B40" s="3">
        <v>11</v>
      </c>
      <c r="C40" s="3" t="s">
        <v>97</v>
      </c>
      <c r="D40" s="4" t="s">
        <v>98</v>
      </c>
      <c r="E40" s="3" t="s">
        <v>99</v>
      </c>
      <c r="F40" s="3">
        <v>2024</v>
      </c>
      <c r="G40" s="3">
        <v>1</v>
      </c>
      <c r="H40" s="3">
        <v>0</v>
      </c>
      <c r="I40" s="3">
        <v>35</v>
      </c>
      <c r="J40" s="3">
        <v>0</v>
      </c>
      <c r="K40" s="3">
        <v>4344844360</v>
      </c>
      <c r="L40" s="3">
        <v>772.9</v>
      </c>
      <c r="M40" s="3">
        <v>3358130205.8439999</v>
      </c>
      <c r="N40" s="3">
        <v>345725660</v>
      </c>
      <c r="O40" s="3">
        <v>1749835623</v>
      </c>
      <c r="P40" s="3">
        <v>259072447</v>
      </c>
      <c r="Q40" s="3">
        <v>2.1166878860849399</v>
      </c>
      <c r="R40" s="3">
        <v>21.282787690755899</v>
      </c>
      <c r="S40" s="3">
        <v>0.19757607826458101</v>
      </c>
      <c r="T40" s="3">
        <v>0.14805530507821901</v>
      </c>
      <c r="U40" s="3">
        <v>1992</v>
      </c>
      <c r="V40" s="3">
        <v>32</v>
      </c>
      <c r="W40" s="3">
        <v>1</v>
      </c>
      <c r="X40" s="3" t="s">
        <v>100</v>
      </c>
      <c r="Y40" s="4" t="s">
        <v>101</v>
      </c>
      <c r="Z40" s="3" t="s">
        <v>34</v>
      </c>
      <c r="AA40" s="5">
        <f t="shared" si="0"/>
        <v>2.1166878860849399</v>
      </c>
      <c r="AB40" s="5">
        <f t="shared" si="1"/>
        <v>0.19757607826458101</v>
      </c>
      <c r="AC40" s="5">
        <f t="shared" si="2"/>
        <v>0.14805530507821901</v>
      </c>
    </row>
    <row r="41" spans="1:29" ht="15" customHeight="1" x14ac:dyDescent="0.3">
      <c r="A41" s="3">
        <v>55</v>
      </c>
      <c r="B41" s="3">
        <v>11</v>
      </c>
      <c r="C41" s="3" t="s">
        <v>97</v>
      </c>
      <c r="D41" s="4" t="s">
        <v>98</v>
      </c>
      <c r="E41" s="3" t="s">
        <v>99</v>
      </c>
      <c r="F41" s="3">
        <v>2025</v>
      </c>
      <c r="G41" s="3">
        <v>1</v>
      </c>
      <c r="H41" s="3">
        <v>0</v>
      </c>
      <c r="I41" s="3">
        <v>30</v>
      </c>
      <c r="J41" s="3">
        <v>0</v>
      </c>
      <c r="K41" s="3">
        <v>4344844360</v>
      </c>
      <c r="L41" s="3">
        <v>670</v>
      </c>
      <c r="M41" s="3">
        <v>2911045721.1999998</v>
      </c>
      <c r="N41" s="3">
        <v>7747863326</v>
      </c>
      <c r="O41" s="3">
        <v>9896139369</v>
      </c>
      <c r="P41" s="3">
        <v>757342748</v>
      </c>
      <c r="Q41" s="3">
        <v>1.0770774995943799</v>
      </c>
      <c r="R41" s="3">
        <v>23.015410555304399</v>
      </c>
      <c r="S41" s="3">
        <v>0.78291776591894502</v>
      </c>
      <c r="T41" s="3">
        <v>7.6529110975579295E-2</v>
      </c>
      <c r="U41" s="3">
        <v>1992</v>
      </c>
      <c r="V41" s="3">
        <v>33</v>
      </c>
      <c r="W41" s="3">
        <v>1</v>
      </c>
      <c r="X41" s="3" t="s">
        <v>100</v>
      </c>
      <c r="Y41" s="4" t="s">
        <v>102</v>
      </c>
      <c r="Z41" s="3" t="s">
        <v>34</v>
      </c>
      <c r="AA41" s="5">
        <f t="shared" si="0"/>
        <v>1.0770774995943799</v>
      </c>
      <c r="AB41" s="5">
        <f t="shared" si="1"/>
        <v>0.78291776591894502</v>
      </c>
      <c r="AC41" s="5">
        <f t="shared" si="2"/>
        <v>7.6529110975579295E-2</v>
      </c>
    </row>
    <row r="42" spans="1:29" ht="15" customHeight="1" x14ac:dyDescent="0.3">
      <c r="A42" s="3">
        <v>56</v>
      </c>
      <c r="B42" s="3">
        <v>12</v>
      </c>
      <c r="C42" s="3" t="s">
        <v>103</v>
      </c>
      <c r="D42" s="4" t="s">
        <v>104</v>
      </c>
      <c r="E42" s="3" t="s">
        <v>105</v>
      </c>
      <c r="F42" s="3">
        <v>2021</v>
      </c>
      <c r="G42" s="3">
        <v>0</v>
      </c>
      <c r="H42" s="3">
        <v>0</v>
      </c>
      <c r="I42" s="3">
        <v>0</v>
      </c>
      <c r="J42" s="3">
        <v>0</v>
      </c>
      <c r="K42" s="3">
        <v>1079860000</v>
      </c>
      <c r="L42" s="3">
        <v>2.028</v>
      </c>
      <c r="M42" s="3">
        <v>2189956.08</v>
      </c>
      <c r="N42" s="3">
        <v>49472</v>
      </c>
      <c r="O42" s="3">
        <v>1347146</v>
      </c>
      <c r="P42" s="3">
        <v>-44568</v>
      </c>
      <c r="Q42" s="3">
        <v>1.66234994573714</v>
      </c>
      <c r="R42" s="3">
        <v>14.1134988385315</v>
      </c>
      <c r="S42" s="3">
        <v>3.67235622568007E-2</v>
      </c>
      <c r="T42" s="3">
        <v>-3.3083273824811903E-2</v>
      </c>
      <c r="U42" s="3">
        <v>1982</v>
      </c>
      <c r="V42" s="3">
        <v>39</v>
      </c>
      <c r="W42" s="3">
        <v>0</v>
      </c>
      <c r="X42" s="3" t="s">
        <v>106</v>
      </c>
      <c r="Y42" s="4" t="s">
        <v>107</v>
      </c>
      <c r="Z42" s="3" t="s">
        <v>108</v>
      </c>
      <c r="AA42" s="5">
        <f t="shared" si="0"/>
        <v>1.66234994573714</v>
      </c>
      <c r="AB42" s="5">
        <f t="shared" si="1"/>
        <v>3.7599403084295616E-2</v>
      </c>
      <c r="AC42" s="5">
        <f t="shared" si="2"/>
        <v>-3.3083273824811903E-2</v>
      </c>
    </row>
    <row r="43" spans="1:29" ht="15" customHeight="1" x14ac:dyDescent="0.3">
      <c r="A43" s="3">
        <v>57</v>
      </c>
      <c r="B43" s="3">
        <v>12</v>
      </c>
      <c r="C43" s="3" t="s">
        <v>103</v>
      </c>
      <c r="D43" s="4" t="s">
        <v>104</v>
      </c>
      <c r="E43" s="3" t="s">
        <v>105</v>
      </c>
      <c r="F43" s="3">
        <v>2022</v>
      </c>
      <c r="G43" s="3">
        <v>0</v>
      </c>
      <c r="H43" s="3">
        <v>0</v>
      </c>
      <c r="I43" s="3">
        <v>0</v>
      </c>
      <c r="J43" s="3">
        <v>0</v>
      </c>
      <c r="K43" s="3">
        <v>1079860000</v>
      </c>
      <c r="L43" s="3">
        <v>2.028</v>
      </c>
      <c r="M43" s="3">
        <v>2189956.08</v>
      </c>
      <c r="N43" s="3">
        <v>49472</v>
      </c>
      <c r="O43" s="3">
        <v>1302578</v>
      </c>
      <c r="P43" s="3">
        <v>-44568</v>
      </c>
      <c r="Q43" s="3">
        <v>1.7192276239887401</v>
      </c>
      <c r="R43" s="3">
        <v>14.0798559356535</v>
      </c>
      <c r="S43" s="3">
        <v>3.7980067220542597E-2</v>
      </c>
      <c r="T43" s="3">
        <v>-3.4215225498971998E-2</v>
      </c>
      <c r="U43" s="3">
        <v>1982</v>
      </c>
      <c r="V43" s="3">
        <v>40</v>
      </c>
      <c r="W43" s="3">
        <v>0</v>
      </c>
      <c r="X43" s="3" t="s">
        <v>106</v>
      </c>
      <c r="Y43" s="4" t="s">
        <v>109</v>
      </c>
      <c r="Z43" s="3" t="s">
        <v>108</v>
      </c>
      <c r="AA43" s="5">
        <f t="shared" si="0"/>
        <v>1.7192276239887401</v>
      </c>
      <c r="AB43" s="5">
        <f t="shared" si="1"/>
        <v>3.7980067220542597E-2</v>
      </c>
      <c r="AC43" s="5">
        <f t="shared" si="2"/>
        <v>-3.4215225498971998E-2</v>
      </c>
    </row>
    <row r="44" spans="1:29" ht="15" customHeight="1" x14ac:dyDescent="0.3">
      <c r="A44" s="3">
        <v>58</v>
      </c>
      <c r="B44" s="3">
        <v>12</v>
      </c>
      <c r="C44" s="3" t="s">
        <v>103</v>
      </c>
      <c r="D44" s="4" t="s">
        <v>104</v>
      </c>
      <c r="E44" s="3" t="s">
        <v>105</v>
      </c>
      <c r="F44" s="3">
        <v>2023</v>
      </c>
      <c r="G44" s="3">
        <v>1</v>
      </c>
      <c r="H44" s="3">
        <v>0</v>
      </c>
      <c r="I44" s="3">
        <v>0</v>
      </c>
      <c r="J44" s="3">
        <v>0</v>
      </c>
      <c r="K44" s="3">
        <v>1079860000</v>
      </c>
      <c r="L44" s="3">
        <v>2.028</v>
      </c>
      <c r="M44" s="3">
        <v>2189956.08</v>
      </c>
      <c r="N44" s="3">
        <v>48887</v>
      </c>
      <c r="O44" s="3">
        <v>1300900</v>
      </c>
      <c r="P44" s="3">
        <v>-1093</v>
      </c>
      <c r="Q44" s="3">
        <v>1.72099552617419</v>
      </c>
      <c r="R44" s="3">
        <v>14.0785668905897</v>
      </c>
      <c r="S44" s="3">
        <v>3.7579368129756298E-2</v>
      </c>
      <c r="T44" s="3">
        <v>-8.4018756245676101E-4</v>
      </c>
      <c r="U44" s="3">
        <v>1982</v>
      </c>
      <c r="V44" s="3">
        <v>41</v>
      </c>
      <c r="W44" s="3">
        <v>0</v>
      </c>
      <c r="X44" s="3" t="s">
        <v>106</v>
      </c>
      <c r="Y44" s="4" t="s">
        <v>110</v>
      </c>
      <c r="Z44" s="3" t="s">
        <v>108</v>
      </c>
      <c r="AA44" s="5">
        <f t="shared" si="0"/>
        <v>1.72099552617419</v>
      </c>
      <c r="AB44" s="5">
        <f t="shared" si="1"/>
        <v>3.7599403084295616E-2</v>
      </c>
      <c r="AC44" s="5">
        <f t="shared" si="2"/>
        <v>-8.4018756245676101E-4</v>
      </c>
    </row>
    <row r="45" spans="1:29" ht="15" customHeight="1" x14ac:dyDescent="0.3">
      <c r="A45" s="3">
        <v>59</v>
      </c>
      <c r="B45" s="3">
        <v>12</v>
      </c>
      <c r="C45" s="3" t="s">
        <v>103</v>
      </c>
      <c r="D45" s="4" t="s">
        <v>104</v>
      </c>
      <c r="E45" s="3" t="s">
        <v>105</v>
      </c>
      <c r="F45" s="3">
        <v>2024</v>
      </c>
      <c r="G45" s="3">
        <v>1</v>
      </c>
      <c r="H45" s="3">
        <v>0</v>
      </c>
      <c r="I45" s="3">
        <v>0</v>
      </c>
      <c r="J45" s="3">
        <v>0</v>
      </c>
      <c r="K45" s="3">
        <v>1079860000</v>
      </c>
      <c r="L45" s="3">
        <v>1.8242</v>
      </c>
      <c r="M45" s="3">
        <v>1969880.612</v>
      </c>
      <c r="N45" s="3">
        <v>40355</v>
      </c>
      <c r="O45" s="3">
        <v>1427592</v>
      </c>
      <c r="P45" s="3">
        <v>4232</v>
      </c>
      <c r="Q45" s="3">
        <v>1.40813034256286</v>
      </c>
      <c r="R45" s="3">
        <v>14.171499666771901</v>
      </c>
      <c r="S45" s="3">
        <v>2.8267880458842602E-2</v>
      </c>
      <c r="T45" s="3">
        <v>2.9644324148636299E-3</v>
      </c>
      <c r="U45" s="3">
        <v>1982</v>
      </c>
      <c r="V45" s="3">
        <v>42</v>
      </c>
      <c r="W45" s="3">
        <v>0</v>
      </c>
      <c r="X45" s="3" t="s">
        <v>106</v>
      </c>
      <c r="Y45" s="4" t="s">
        <v>111</v>
      </c>
      <c r="Z45" s="3" t="s">
        <v>108</v>
      </c>
      <c r="AA45" s="5">
        <f t="shared" si="0"/>
        <v>1.40813034256286</v>
      </c>
      <c r="AB45" s="5">
        <f t="shared" si="1"/>
        <v>3.7599403084295616E-2</v>
      </c>
      <c r="AC45" s="5">
        <f t="shared" si="2"/>
        <v>2.9644324148636299E-3</v>
      </c>
    </row>
    <row r="46" spans="1:29" ht="15" customHeight="1" x14ac:dyDescent="0.3">
      <c r="A46" s="3">
        <v>60</v>
      </c>
      <c r="B46" s="3">
        <v>12</v>
      </c>
      <c r="C46" s="3" t="s">
        <v>103</v>
      </c>
      <c r="D46" s="4" t="s">
        <v>104</v>
      </c>
      <c r="E46" s="3" t="s">
        <v>105</v>
      </c>
      <c r="F46" s="3">
        <v>2025</v>
      </c>
      <c r="G46" s="3">
        <v>1</v>
      </c>
      <c r="H46" s="3">
        <v>0</v>
      </c>
      <c r="I46" s="3">
        <v>0</v>
      </c>
      <c r="J46" s="3">
        <v>0</v>
      </c>
      <c r="K46" s="3">
        <v>1079860000</v>
      </c>
      <c r="L46" s="3">
        <v>4.25</v>
      </c>
      <c r="M46" s="3">
        <v>4589405</v>
      </c>
      <c r="N46" s="3">
        <v>40360</v>
      </c>
      <c r="O46" s="3">
        <v>1420000</v>
      </c>
      <c r="P46" s="3">
        <v>-11160</v>
      </c>
      <c r="Q46" s="3">
        <v>3.2603978873239399</v>
      </c>
      <c r="R46" s="3">
        <v>14.166167429577399</v>
      </c>
      <c r="S46" s="3">
        <v>2.8422535211267599E-2</v>
      </c>
      <c r="T46" s="3">
        <v>-7.8591549295774707E-3</v>
      </c>
      <c r="U46" s="3">
        <v>1982</v>
      </c>
      <c r="V46" s="3">
        <v>43</v>
      </c>
      <c r="W46" s="3">
        <v>0</v>
      </c>
      <c r="X46" s="3" t="s">
        <v>106</v>
      </c>
      <c r="Y46" s="4" t="s">
        <v>112</v>
      </c>
      <c r="Z46" s="3" t="s">
        <v>108</v>
      </c>
      <c r="AA46" s="5">
        <f t="shared" si="0"/>
        <v>3.2603978873239399</v>
      </c>
      <c r="AB46" s="5">
        <f t="shared" si="1"/>
        <v>3.7599403084295616E-2</v>
      </c>
      <c r="AC46" s="5">
        <f t="shared" si="2"/>
        <v>-7.8591549295774707E-3</v>
      </c>
    </row>
    <row r="47" spans="1:29" ht="15" customHeight="1" x14ac:dyDescent="0.3">
      <c r="A47" s="3">
        <v>66</v>
      </c>
      <c r="B47" s="3">
        <v>14</v>
      </c>
      <c r="C47" s="3" t="s">
        <v>113</v>
      </c>
      <c r="D47" s="4" t="s">
        <v>114</v>
      </c>
      <c r="E47" s="3" t="s">
        <v>90</v>
      </c>
      <c r="F47" s="3">
        <v>2021</v>
      </c>
      <c r="G47" s="3">
        <v>0</v>
      </c>
      <c r="H47" s="3">
        <v>0</v>
      </c>
      <c r="I47" s="3">
        <v>0</v>
      </c>
      <c r="J47" s="3">
        <v>0</v>
      </c>
      <c r="K47" s="3">
        <v>10000000</v>
      </c>
      <c r="L47" s="3">
        <v>6.25</v>
      </c>
      <c r="M47" s="3">
        <v>62500</v>
      </c>
      <c r="N47" s="3">
        <v>767628468</v>
      </c>
      <c r="O47" s="3">
        <v>785830318</v>
      </c>
      <c r="P47" s="3">
        <v>14419997</v>
      </c>
      <c r="Q47" s="3">
        <v>0.97691696338954404</v>
      </c>
      <c r="R47" s="3">
        <v>20.482251446680799</v>
      </c>
      <c r="S47" s="3">
        <v>0.97683742968033505</v>
      </c>
      <c r="T47" s="3">
        <v>1.83500135712504E-2</v>
      </c>
      <c r="U47" s="3">
        <v>2015</v>
      </c>
      <c r="V47" s="3">
        <v>6</v>
      </c>
      <c r="W47" s="3">
        <v>0</v>
      </c>
      <c r="X47" s="3" t="s">
        <v>115</v>
      </c>
      <c r="Y47" s="4" t="s">
        <v>116</v>
      </c>
      <c r="Z47" s="3" t="s">
        <v>34</v>
      </c>
      <c r="AA47" s="5">
        <f t="shared" si="0"/>
        <v>0.97691696338954404</v>
      </c>
      <c r="AB47" s="5">
        <f t="shared" si="1"/>
        <v>0.97683742968033505</v>
      </c>
      <c r="AC47" s="5">
        <f t="shared" si="2"/>
        <v>1.83500135712504E-2</v>
      </c>
    </row>
    <row r="48" spans="1:29" ht="15" customHeight="1" x14ac:dyDescent="0.3">
      <c r="A48" s="3">
        <v>67</v>
      </c>
      <c r="B48" s="3">
        <v>14</v>
      </c>
      <c r="C48" s="3" t="s">
        <v>113</v>
      </c>
      <c r="D48" s="4" t="s">
        <v>114</v>
      </c>
      <c r="E48" s="3" t="s">
        <v>90</v>
      </c>
      <c r="F48" s="3">
        <v>2022</v>
      </c>
      <c r="G48" s="3">
        <v>0</v>
      </c>
      <c r="H48" s="3">
        <v>0</v>
      </c>
      <c r="I48" s="3">
        <v>0</v>
      </c>
      <c r="J48" s="3">
        <v>0</v>
      </c>
      <c r="K48" s="3">
        <v>10000000</v>
      </c>
      <c r="L48" s="3">
        <v>6.25</v>
      </c>
      <c r="M48" s="3">
        <v>62500</v>
      </c>
      <c r="N48" s="3">
        <v>763128468</v>
      </c>
      <c r="O48" s="3">
        <v>786728755</v>
      </c>
      <c r="P48" s="3">
        <v>5398437</v>
      </c>
      <c r="Q48" s="3">
        <v>0.970081445669289</v>
      </c>
      <c r="R48" s="3">
        <v>20.483394090048801</v>
      </c>
      <c r="S48" s="3">
        <v>0.97000200278684401</v>
      </c>
      <c r="T48" s="3">
        <v>6.86187833569144E-3</v>
      </c>
      <c r="U48" s="3">
        <v>2015</v>
      </c>
      <c r="V48" s="3">
        <v>7</v>
      </c>
      <c r="W48" s="3">
        <v>0</v>
      </c>
      <c r="X48" s="3" t="s">
        <v>115</v>
      </c>
      <c r="Y48" s="4" t="s">
        <v>117</v>
      </c>
      <c r="Z48" s="3" t="s">
        <v>34</v>
      </c>
      <c r="AA48" s="5">
        <f t="shared" si="0"/>
        <v>0.970081445669289</v>
      </c>
      <c r="AB48" s="5">
        <f t="shared" si="1"/>
        <v>0.97000200278684401</v>
      </c>
      <c r="AC48" s="5">
        <f t="shared" si="2"/>
        <v>6.86187833569144E-3</v>
      </c>
    </row>
    <row r="49" spans="1:29" ht="15" customHeight="1" x14ac:dyDescent="0.3">
      <c r="A49" s="3">
        <v>68</v>
      </c>
      <c r="B49" s="3">
        <v>14</v>
      </c>
      <c r="C49" s="3" t="s">
        <v>113</v>
      </c>
      <c r="D49" s="4" t="s">
        <v>114</v>
      </c>
      <c r="E49" s="3" t="s">
        <v>90</v>
      </c>
      <c r="F49" s="3">
        <v>2023</v>
      </c>
      <c r="G49" s="3">
        <v>1</v>
      </c>
      <c r="H49" s="3">
        <v>0</v>
      </c>
      <c r="I49" s="3">
        <v>0</v>
      </c>
      <c r="J49" s="3">
        <v>0</v>
      </c>
      <c r="K49" s="3">
        <v>10000000</v>
      </c>
      <c r="L49" s="3">
        <v>6.25</v>
      </c>
      <c r="M49" s="3">
        <v>62500</v>
      </c>
      <c r="N49" s="3">
        <v>747037864</v>
      </c>
      <c r="O49" s="3">
        <v>773142364</v>
      </c>
      <c r="P49" s="3">
        <v>2504213</v>
      </c>
      <c r="Q49" s="3">
        <v>0.96631668213695199</v>
      </c>
      <c r="R49" s="3">
        <v>20.465973760357599</v>
      </c>
      <c r="S49" s="3">
        <v>0.96623584320881895</v>
      </c>
      <c r="T49" s="3">
        <v>3.2390063157889501E-3</v>
      </c>
      <c r="U49" s="3">
        <v>2015</v>
      </c>
      <c r="V49" s="3">
        <v>8</v>
      </c>
      <c r="W49" s="3">
        <v>0</v>
      </c>
      <c r="X49" s="3" t="s">
        <v>115</v>
      </c>
      <c r="Y49" s="4" t="s">
        <v>118</v>
      </c>
      <c r="Z49" s="3" t="s">
        <v>34</v>
      </c>
      <c r="AA49" s="5">
        <f t="shared" si="0"/>
        <v>0.96631668213695199</v>
      </c>
      <c r="AB49" s="5">
        <f t="shared" si="1"/>
        <v>0.96623584320881895</v>
      </c>
      <c r="AC49" s="5">
        <f t="shared" si="2"/>
        <v>3.2390063157889501E-3</v>
      </c>
    </row>
    <row r="50" spans="1:29" ht="15" customHeight="1" x14ac:dyDescent="0.3">
      <c r="A50" s="3">
        <v>69</v>
      </c>
      <c r="B50" s="3">
        <v>14</v>
      </c>
      <c r="C50" s="3" t="s">
        <v>113</v>
      </c>
      <c r="D50" s="4" t="s">
        <v>114</v>
      </c>
      <c r="E50" s="3" t="s">
        <v>90</v>
      </c>
      <c r="F50" s="3">
        <v>2024</v>
      </c>
      <c r="G50" s="3">
        <v>1</v>
      </c>
      <c r="H50" s="3">
        <v>0</v>
      </c>
      <c r="I50" s="3">
        <v>0</v>
      </c>
      <c r="J50" s="3">
        <v>0</v>
      </c>
      <c r="K50" s="3">
        <v>10000000</v>
      </c>
      <c r="L50" s="3">
        <v>6.25</v>
      </c>
      <c r="M50" s="3">
        <v>62500</v>
      </c>
      <c r="N50" s="3">
        <v>8113557</v>
      </c>
      <c r="O50" s="3">
        <v>8169037</v>
      </c>
      <c r="P50" s="3">
        <v>22363.63</v>
      </c>
      <c r="Q50" s="3">
        <v>1.00085934241698</v>
      </c>
      <c r="R50" s="3">
        <v>15.9158615896319</v>
      </c>
      <c r="S50" s="3">
        <v>0.99320850180994402</v>
      </c>
      <c r="T50" s="3">
        <v>2.7376090963965498E-3</v>
      </c>
      <c r="U50" s="3">
        <v>2015</v>
      </c>
      <c r="V50" s="3">
        <v>9</v>
      </c>
      <c r="W50" s="3">
        <v>0</v>
      </c>
      <c r="X50" s="3" t="s">
        <v>115</v>
      </c>
      <c r="Y50" s="4" t="s">
        <v>119</v>
      </c>
      <c r="Z50" s="3" t="s">
        <v>34</v>
      </c>
      <c r="AA50" s="5">
        <f t="shared" si="0"/>
        <v>1.00085934241698</v>
      </c>
      <c r="AB50" s="5">
        <f t="shared" si="1"/>
        <v>0.99320850180994402</v>
      </c>
      <c r="AC50" s="5">
        <f t="shared" si="2"/>
        <v>2.7376090963965498E-3</v>
      </c>
    </row>
    <row r="51" spans="1:29" ht="15" customHeight="1" x14ac:dyDescent="0.3">
      <c r="A51" s="3">
        <v>70</v>
      </c>
      <c r="B51" s="3">
        <v>14</v>
      </c>
      <c r="C51" s="3" t="s">
        <v>113</v>
      </c>
      <c r="D51" s="4" t="s">
        <v>114</v>
      </c>
      <c r="E51" s="3" t="s">
        <v>90</v>
      </c>
      <c r="F51" s="3">
        <v>2025</v>
      </c>
      <c r="G51" s="3">
        <v>1</v>
      </c>
      <c r="H51" s="3">
        <v>0</v>
      </c>
      <c r="I51" s="3">
        <v>0</v>
      </c>
      <c r="J51" s="3">
        <v>0</v>
      </c>
      <c r="K51" s="3">
        <v>10000000</v>
      </c>
      <c r="L51" s="3">
        <v>6.25</v>
      </c>
      <c r="M51" s="3">
        <v>62500</v>
      </c>
      <c r="N51" s="3">
        <v>7930000</v>
      </c>
      <c r="O51" s="3">
        <v>8026400</v>
      </c>
      <c r="P51" s="3">
        <v>40919</v>
      </c>
      <c r="Q51" s="3">
        <v>0.99577643775540703</v>
      </c>
      <c r="R51" s="3">
        <v>15.898246666593501</v>
      </c>
      <c r="S51" s="3">
        <v>0.98798963420711705</v>
      </c>
      <c r="T51" s="3">
        <v>5.0980514302800799E-3</v>
      </c>
      <c r="U51" s="3">
        <v>2015</v>
      </c>
      <c r="V51" s="3">
        <v>10</v>
      </c>
      <c r="W51" s="3">
        <v>0</v>
      </c>
      <c r="X51" s="3" t="s">
        <v>115</v>
      </c>
      <c r="Y51" s="4" t="s">
        <v>120</v>
      </c>
      <c r="Z51" s="3" t="s">
        <v>34</v>
      </c>
      <c r="AA51" s="5">
        <f t="shared" si="0"/>
        <v>0.99577643775540703</v>
      </c>
      <c r="AB51" s="5">
        <f t="shared" si="1"/>
        <v>0.98798963420711705</v>
      </c>
      <c r="AC51" s="5">
        <f t="shared" si="2"/>
        <v>5.0980514302800799E-3</v>
      </c>
    </row>
    <row r="52" spans="1:29" ht="15" customHeight="1" x14ac:dyDescent="0.3">
      <c r="A52" s="3">
        <v>71</v>
      </c>
      <c r="B52" s="3">
        <v>15</v>
      </c>
      <c r="C52" s="3" t="s">
        <v>121</v>
      </c>
      <c r="D52" s="4" t="s">
        <v>122</v>
      </c>
      <c r="E52" s="3" t="s">
        <v>105</v>
      </c>
      <c r="F52" s="3">
        <v>2021</v>
      </c>
      <c r="G52" s="3">
        <v>0</v>
      </c>
      <c r="H52" s="3">
        <v>0</v>
      </c>
      <c r="I52" s="3">
        <v>15</v>
      </c>
      <c r="J52" s="3">
        <v>0</v>
      </c>
      <c r="K52" s="3">
        <v>289823447</v>
      </c>
      <c r="L52" s="3">
        <v>7.5</v>
      </c>
      <c r="M52" s="3">
        <v>2173675.8525</v>
      </c>
      <c r="N52" s="3">
        <v>1879966</v>
      </c>
      <c r="O52" s="3">
        <v>5110669</v>
      </c>
      <c r="P52" s="3">
        <v>135635</v>
      </c>
      <c r="Q52" s="3">
        <v>0.79317245012345705</v>
      </c>
      <c r="R52" s="3">
        <v>15.4468408733758</v>
      </c>
      <c r="S52" s="3">
        <v>0.36785125391607199</v>
      </c>
      <c r="T52" s="3">
        <v>2.6539578282217102E-2</v>
      </c>
      <c r="U52" s="3">
        <v>1959</v>
      </c>
      <c r="V52" s="3">
        <v>62</v>
      </c>
      <c r="W52" s="3">
        <v>1</v>
      </c>
      <c r="X52" s="3" t="s">
        <v>123</v>
      </c>
      <c r="Y52" s="4" t="s">
        <v>124</v>
      </c>
      <c r="Z52" s="3" t="s">
        <v>34</v>
      </c>
      <c r="AA52" s="5">
        <f t="shared" si="0"/>
        <v>0.79317245012345705</v>
      </c>
      <c r="AB52" s="5">
        <f t="shared" si="1"/>
        <v>0.36785125391607199</v>
      </c>
      <c r="AC52" s="5">
        <f t="shared" si="2"/>
        <v>2.6539578282217102E-2</v>
      </c>
    </row>
    <row r="53" spans="1:29" ht="15" customHeight="1" x14ac:dyDescent="0.3">
      <c r="A53" s="3">
        <v>72</v>
      </c>
      <c r="B53" s="3">
        <v>15</v>
      </c>
      <c r="C53" s="3" t="s">
        <v>121</v>
      </c>
      <c r="D53" s="4" t="s">
        <v>122</v>
      </c>
      <c r="E53" s="3" t="s">
        <v>105</v>
      </c>
      <c r="F53" s="3">
        <v>2022</v>
      </c>
      <c r="G53" s="3">
        <v>0</v>
      </c>
      <c r="H53" s="3">
        <v>0</v>
      </c>
      <c r="I53" s="3">
        <v>15</v>
      </c>
      <c r="J53" s="3">
        <v>0</v>
      </c>
      <c r="K53" s="3">
        <v>289823447</v>
      </c>
      <c r="L53" s="3">
        <v>6</v>
      </c>
      <c r="M53" s="3">
        <v>1738940.682</v>
      </c>
      <c r="N53" s="3">
        <v>2205083</v>
      </c>
      <c r="O53" s="3">
        <v>5528528</v>
      </c>
      <c r="P53" s="3">
        <v>208670</v>
      </c>
      <c r="Q53" s="3">
        <v>0.71339490041472198</v>
      </c>
      <c r="R53" s="3">
        <v>15.5254321536167</v>
      </c>
      <c r="S53" s="3">
        <v>0.39885535534956101</v>
      </c>
      <c r="T53" s="3">
        <v>3.7744224140675402E-2</v>
      </c>
      <c r="U53" s="3">
        <v>1959</v>
      </c>
      <c r="V53" s="3">
        <v>63</v>
      </c>
      <c r="W53" s="3">
        <v>1</v>
      </c>
      <c r="X53" s="3" t="s">
        <v>123</v>
      </c>
      <c r="Y53" s="4" t="s">
        <v>124</v>
      </c>
      <c r="Z53" s="3" t="s">
        <v>34</v>
      </c>
      <c r="AA53" s="5">
        <f t="shared" si="0"/>
        <v>0.71339490041472198</v>
      </c>
      <c r="AB53" s="5">
        <f t="shared" si="1"/>
        <v>0.39885535534956101</v>
      </c>
      <c r="AC53" s="5">
        <f t="shared" si="2"/>
        <v>3.7744224140675402E-2</v>
      </c>
    </row>
    <row r="54" spans="1:29" ht="15" customHeight="1" x14ac:dyDescent="0.3">
      <c r="A54" s="3">
        <v>73</v>
      </c>
      <c r="B54" s="3">
        <v>15</v>
      </c>
      <c r="C54" s="3" t="s">
        <v>121</v>
      </c>
      <c r="D54" s="4" t="s">
        <v>122</v>
      </c>
      <c r="E54" s="3" t="s">
        <v>105</v>
      </c>
      <c r="F54" s="3">
        <v>2023</v>
      </c>
      <c r="G54" s="3">
        <v>1</v>
      </c>
      <c r="H54" s="3">
        <v>0</v>
      </c>
      <c r="I54" s="3">
        <v>15</v>
      </c>
      <c r="J54" s="3">
        <v>0</v>
      </c>
      <c r="K54" s="3">
        <v>289823447</v>
      </c>
      <c r="L54" s="3">
        <v>13</v>
      </c>
      <c r="M54" s="3">
        <v>3767704.8110000002</v>
      </c>
      <c r="N54" s="3">
        <v>3079569</v>
      </c>
      <c r="O54" s="3">
        <v>6610970</v>
      </c>
      <c r="P54" s="3">
        <v>468797</v>
      </c>
      <c r="Q54" s="3">
        <v>1.0357441965399901</v>
      </c>
      <c r="R54" s="3">
        <v>15.704240948414</v>
      </c>
      <c r="S54" s="3">
        <v>0.46582710252807102</v>
      </c>
      <c r="T54" s="3">
        <v>7.0911984171763004E-2</v>
      </c>
      <c r="U54" s="3">
        <v>1959</v>
      </c>
      <c r="V54" s="3">
        <v>64</v>
      </c>
      <c r="W54" s="3">
        <v>1</v>
      </c>
      <c r="X54" s="3" t="s">
        <v>123</v>
      </c>
      <c r="Y54" s="4" t="s">
        <v>125</v>
      </c>
      <c r="Z54" s="3" t="s">
        <v>34</v>
      </c>
      <c r="AA54" s="5">
        <f t="shared" si="0"/>
        <v>1.0357441965399901</v>
      </c>
      <c r="AB54" s="5">
        <f t="shared" si="1"/>
        <v>0.46582710252807102</v>
      </c>
      <c r="AC54" s="5">
        <f t="shared" si="2"/>
        <v>7.0911984171763004E-2</v>
      </c>
    </row>
    <row r="55" spans="1:29" ht="15" customHeight="1" x14ac:dyDescent="0.3">
      <c r="A55" s="3">
        <v>74</v>
      </c>
      <c r="B55" s="3">
        <v>15</v>
      </c>
      <c r="C55" s="3" t="s">
        <v>121</v>
      </c>
      <c r="D55" s="4" t="s">
        <v>122</v>
      </c>
      <c r="E55" s="3" t="s">
        <v>105</v>
      </c>
      <c r="F55" s="3">
        <v>2024</v>
      </c>
      <c r="G55" s="3">
        <v>1</v>
      </c>
      <c r="H55" s="3">
        <v>0</v>
      </c>
      <c r="I55" s="3">
        <v>20</v>
      </c>
      <c r="J55" s="3">
        <v>6.6666666666666696</v>
      </c>
      <c r="K55" s="3">
        <v>289823447</v>
      </c>
      <c r="L55" s="3">
        <v>20.0122</v>
      </c>
      <c r="M55" s="3">
        <v>5800004.7860533996</v>
      </c>
      <c r="N55" s="3">
        <v>3690000</v>
      </c>
      <c r="O55" s="3">
        <v>7520000</v>
      </c>
      <c r="P55" s="3">
        <v>610860</v>
      </c>
      <c r="Q55" s="3">
        <v>1.26196872154965</v>
      </c>
      <c r="R55" s="3">
        <v>15.833076695926</v>
      </c>
      <c r="S55" s="3">
        <v>0.49069148936170198</v>
      </c>
      <c r="T55" s="3">
        <v>8.1231382978723399E-2</v>
      </c>
      <c r="U55" s="3">
        <v>1959</v>
      </c>
      <c r="V55" s="3">
        <v>65</v>
      </c>
      <c r="W55" s="3">
        <v>0</v>
      </c>
      <c r="X55" s="3" t="s">
        <v>123</v>
      </c>
      <c r="Y55" s="4" t="s">
        <v>126</v>
      </c>
      <c r="Z55" s="3" t="s">
        <v>34</v>
      </c>
      <c r="AA55" s="5">
        <f t="shared" si="0"/>
        <v>1.26196872154965</v>
      </c>
      <c r="AB55" s="5">
        <f t="shared" si="1"/>
        <v>0.49069148936170198</v>
      </c>
      <c r="AC55" s="5">
        <f t="shared" si="2"/>
        <v>8.1231382978723399E-2</v>
      </c>
    </row>
    <row r="56" spans="1:29" ht="15" customHeight="1" x14ac:dyDescent="0.3">
      <c r="A56" s="3">
        <v>75</v>
      </c>
      <c r="B56" s="3">
        <v>15</v>
      </c>
      <c r="C56" s="3" t="s">
        <v>121</v>
      </c>
      <c r="D56" s="4" t="s">
        <v>122</v>
      </c>
      <c r="E56" s="3" t="s">
        <v>105</v>
      </c>
      <c r="F56" s="3">
        <v>2025</v>
      </c>
      <c r="G56" s="3">
        <v>1</v>
      </c>
      <c r="H56" s="3">
        <v>0</v>
      </c>
      <c r="I56" s="3">
        <v>15</v>
      </c>
      <c r="J56" s="3">
        <v>0</v>
      </c>
      <c r="K56" s="3">
        <v>289823447</v>
      </c>
      <c r="L56" s="3">
        <v>47.994700000000002</v>
      </c>
      <c r="M56" s="3">
        <v>13909989.391730901</v>
      </c>
      <c r="N56" s="3">
        <v>4340000</v>
      </c>
      <c r="O56" s="3">
        <v>9250000</v>
      </c>
      <c r="P56" s="3">
        <v>1480000</v>
      </c>
      <c r="Q56" s="3">
        <v>1.97297182613307</v>
      </c>
      <c r="R56" s="3">
        <v>16.040134109488601</v>
      </c>
      <c r="S56" s="3">
        <v>0.469189189189189</v>
      </c>
      <c r="T56" s="3">
        <v>0.16</v>
      </c>
      <c r="U56" s="3">
        <v>1959</v>
      </c>
      <c r="V56" s="3">
        <v>66</v>
      </c>
      <c r="W56" s="3">
        <v>0</v>
      </c>
      <c r="X56" s="3" t="s">
        <v>123</v>
      </c>
      <c r="Y56" s="4" t="s">
        <v>127</v>
      </c>
      <c r="Z56" s="3" t="s">
        <v>34</v>
      </c>
      <c r="AA56" s="5">
        <f t="shared" si="0"/>
        <v>1.97297182613307</v>
      </c>
      <c r="AB56" s="5">
        <f t="shared" si="1"/>
        <v>0.469189189189189</v>
      </c>
      <c r="AC56" s="5">
        <f t="shared" si="2"/>
        <v>0.16</v>
      </c>
    </row>
    <row r="57" spans="1:29" ht="15" customHeight="1" x14ac:dyDescent="0.3">
      <c r="A57" s="3">
        <v>76</v>
      </c>
      <c r="B57" s="3">
        <v>16</v>
      </c>
      <c r="C57" s="3" t="s">
        <v>128</v>
      </c>
      <c r="D57" s="4" t="s">
        <v>129</v>
      </c>
      <c r="E57" s="3" t="s">
        <v>105</v>
      </c>
      <c r="F57" s="3">
        <v>2021</v>
      </c>
      <c r="G57" s="3">
        <v>0</v>
      </c>
      <c r="H57" s="3">
        <v>0</v>
      </c>
      <c r="I57" s="3">
        <v>0</v>
      </c>
      <c r="J57" s="3">
        <v>0</v>
      </c>
      <c r="K57" s="3">
        <v>599970000</v>
      </c>
      <c r="L57" s="3">
        <v>44.12</v>
      </c>
      <c r="M57" s="3">
        <v>26470676.399999999</v>
      </c>
      <c r="N57" s="3">
        <v>20984992</v>
      </c>
      <c r="O57" s="3">
        <v>63112410</v>
      </c>
      <c r="P57" s="3">
        <v>5457671</v>
      </c>
      <c r="Q57" s="3">
        <v>0.75192293243119701</v>
      </c>
      <c r="R57" s="3">
        <v>17.960427980123299</v>
      </c>
      <c r="S57" s="3">
        <v>0.33250183284079998</v>
      </c>
      <c r="T57" s="3">
        <v>8.6475401589006004E-2</v>
      </c>
      <c r="U57" s="3">
        <v>1974</v>
      </c>
      <c r="V57" s="3">
        <v>47</v>
      </c>
      <c r="W57" s="3">
        <v>1</v>
      </c>
      <c r="X57" s="3" t="s">
        <v>50</v>
      </c>
      <c r="Y57" s="4" t="s">
        <v>130</v>
      </c>
      <c r="Z57" s="3" t="s">
        <v>34</v>
      </c>
      <c r="AA57" s="5">
        <f t="shared" si="0"/>
        <v>0.75192293243119701</v>
      </c>
      <c r="AB57" s="5">
        <f t="shared" si="1"/>
        <v>0.33250183284079998</v>
      </c>
      <c r="AC57" s="5">
        <f t="shared" si="2"/>
        <v>8.6475401589006004E-2</v>
      </c>
    </row>
    <row r="58" spans="1:29" ht="15" customHeight="1" x14ac:dyDescent="0.3">
      <c r="A58" s="3">
        <v>77</v>
      </c>
      <c r="B58" s="3">
        <v>16</v>
      </c>
      <c r="C58" s="3" t="s">
        <v>128</v>
      </c>
      <c r="D58" s="4" t="s">
        <v>129</v>
      </c>
      <c r="E58" s="3" t="s">
        <v>105</v>
      </c>
      <c r="F58" s="3">
        <v>2022</v>
      </c>
      <c r="G58" s="3">
        <v>0</v>
      </c>
      <c r="H58" s="3">
        <v>0</v>
      </c>
      <c r="I58" s="3">
        <v>5</v>
      </c>
      <c r="J58" s="3">
        <v>0</v>
      </c>
      <c r="K58" s="3">
        <v>599970000</v>
      </c>
      <c r="L58" s="3">
        <v>39.6</v>
      </c>
      <c r="M58" s="3">
        <v>23758812</v>
      </c>
      <c r="N58" s="3">
        <v>29681202</v>
      </c>
      <c r="O58" s="3">
        <v>75944552</v>
      </c>
      <c r="P58" s="3">
        <v>4685414</v>
      </c>
      <c r="Q58" s="3">
        <v>0.70367146283251503</v>
      </c>
      <c r="R58" s="3">
        <v>18.145514053031</v>
      </c>
      <c r="S58" s="3">
        <v>0.390827270927874</v>
      </c>
      <c r="T58" s="3">
        <v>6.1695195726482098E-2</v>
      </c>
      <c r="U58" s="3">
        <v>1974</v>
      </c>
      <c r="V58" s="3">
        <v>48</v>
      </c>
      <c r="W58" s="3">
        <v>1</v>
      </c>
      <c r="X58" s="3" t="s">
        <v>50</v>
      </c>
      <c r="Y58" s="4" t="s">
        <v>131</v>
      </c>
      <c r="Z58" s="3" t="s">
        <v>34</v>
      </c>
      <c r="AA58" s="5">
        <f t="shared" si="0"/>
        <v>0.70367146283251503</v>
      </c>
      <c r="AB58" s="5">
        <f t="shared" si="1"/>
        <v>0.390827270927874</v>
      </c>
      <c r="AC58" s="5">
        <f t="shared" si="2"/>
        <v>6.1695195726482098E-2</v>
      </c>
    </row>
    <row r="59" spans="1:29" ht="15" customHeight="1" x14ac:dyDescent="0.3">
      <c r="A59" s="3">
        <v>78</v>
      </c>
      <c r="B59" s="3">
        <v>16</v>
      </c>
      <c r="C59" s="3" t="s">
        <v>128</v>
      </c>
      <c r="D59" s="4" t="s">
        <v>129</v>
      </c>
      <c r="E59" s="3" t="s">
        <v>105</v>
      </c>
      <c r="F59" s="3">
        <v>2023</v>
      </c>
      <c r="G59" s="3">
        <v>1</v>
      </c>
      <c r="H59" s="3">
        <v>0</v>
      </c>
      <c r="I59" s="3">
        <v>5</v>
      </c>
      <c r="J59" s="3">
        <v>0</v>
      </c>
      <c r="K59" s="3">
        <v>599970000</v>
      </c>
      <c r="L59" s="3">
        <v>59.4</v>
      </c>
      <c r="M59" s="3">
        <v>35638218</v>
      </c>
      <c r="N59" s="3">
        <v>54846891</v>
      </c>
      <c r="O59" s="3">
        <v>106851901</v>
      </c>
      <c r="P59" s="3">
        <v>6442220</v>
      </c>
      <c r="Q59" s="3">
        <v>0.84682732036746799</v>
      </c>
      <c r="R59" s="3">
        <v>18.486954330867398</v>
      </c>
      <c r="S59" s="3">
        <v>0.51329822386594703</v>
      </c>
      <c r="T59" s="3">
        <v>6.02911126494605E-2</v>
      </c>
      <c r="U59" s="3">
        <v>1974</v>
      </c>
      <c r="V59" s="3">
        <v>49</v>
      </c>
      <c r="W59" s="3">
        <v>1</v>
      </c>
      <c r="X59" s="3" t="s">
        <v>50</v>
      </c>
      <c r="Y59" s="4" t="s">
        <v>132</v>
      </c>
      <c r="Z59" s="3" t="s">
        <v>34</v>
      </c>
      <c r="AA59" s="5">
        <f t="shared" si="0"/>
        <v>0.84682732036746799</v>
      </c>
      <c r="AB59" s="5">
        <f t="shared" si="1"/>
        <v>0.51329822386594703</v>
      </c>
      <c r="AC59" s="5">
        <f t="shared" si="2"/>
        <v>6.02911126494605E-2</v>
      </c>
    </row>
    <row r="60" spans="1:29" ht="15" customHeight="1" x14ac:dyDescent="0.3">
      <c r="A60" s="3">
        <v>79</v>
      </c>
      <c r="B60" s="3">
        <v>16</v>
      </c>
      <c r="C60" s="3" t="s">
        <v>128</v>
      </c>
      <c r="D60" s="4" t="s">
        <v>129</v>
      </c>
      <c r="E60" s="3" t="s">
        <v>105</v>
      </c>
      <c r="F60" s="3">
        <v>2024</v>
      </c>
      <c r="G60" s="3">
        <v>1</v>
      </c>
      <c r="H60" s="3">
        <v>0</v>
      </c>
      <c r="I60" s="3">
        <v>5</v>
      </c>
      <c r="J60" s="3">
        <v>0</v>
      </c>
      <c r="K60" s="3">
        <v>599970000</v>
      </c>
      <c r="L60" s="3">
        <v>64.900000000000006</v>
      </c>
      <c r="M60" s="3">
        <v>38938053</v>
      </c>
      <c r="N60" s="3">
        <v>69560314</v>
      </c>
      <c r="O60" s="3">
        <v>134352197</v>
      </c>
      <c r="P60" s="3">
        <v>64791883</v>
      </c>
      <c r="Q60" s="3">
        <v>0.80756674935505501</v>
      </c>
      <c r="R60" s="3">
        <v>18.715975245701902</v>
      </c>
      <c r="S60" s="3">
        <v>0.51774601050997304</v>
      </c>
      <c r="T60" s="3">
        <v>0.48225398949002701</v>
      </c>
      <c r="U60" s="3">
        <v>1974</v>
      </c>
      <c r="V60" s="3">
        <v>50</v>
      </c>
      <c r="W60" s="3">
        <v>1</v>
      </c>
      <c r="X60" s="3" t="s">
        <v>50</v>
      </c>
      <c r="Y60" s="4" t="s">
        <v>133</v>
      </c>
      <c r="Z60" s="3" t="s">
        <v>34</v>
      </c>
      <c r="AA60" s="5">
        <f t="shared" si="0"/>
        <v>0.80756674935505501</v>
      </c>
      <c r="AB60" s="5">
        <f t="shared" si="1"/>
        <v>0.51774601050997304</v>
      </c>
      <c r="AC60" s="5">
        <f t="shared" si="2"/>
        <v>0.48225398949002701</v>
      </c>
    </row>
    <row r="61" spans="1:29" ht="15" customHeight="1" x14ac:dyDescent="0.3">
      <c r="A61" s="3">
        <v>80</v>
      </c>
      <c r="B61" s="3">
        <v>16</v>
      </c>
      <c r="C61" s="3" t="s">
        <v>128</v>
      </c>
      <c r="D61" s="4" t="s">
        <v>129</v>
      </c>
      <c r="E61" s="3" t="s">
        <v>105</v>
      </c>
      <c r="F61" s="3">
        <v>2025</v>
      </c>
      <c r="G61" s="3">
        <v>1</v>
      </c>
      <c r="H61" s="3">
        <v>0</v>
      </c>
      <c r="I61" s="3">
        <v>5</v>
      </c>
      <c r="J61" s="3">
        <v>0</v>
      </c>
      <c r="K61" s="3">
        <v>599970000</v>
      </c>
      <c r="L61" s="3">
        <v>370</v>
      </c>
      <c r="M61" s="3">
        <v>221988900</v>
      </c>
      <c r="N61" s="3">
        <v>87624904</v>
      </c>
      <c r="O61" s="3">
        <v>183892203</v>
      </c>
      <c r="P61" s="3">
        <v>96267299</v>
      </c>
      <c r="Q61" s="3">
        <v>1.68367010101021</v>
      </c>
      <c r="R61" s="3">
        <v>19.029860290633302</v>
      </c>
      <c r="S61" s="3">
        <v>0.47650146428448598</v>
      </c>
      <c r="T61" s="3">
        <v>0.52349853571551397</v>
      </c>
      <c r="U61" s="3">
        <v>1974</v>
      </c>
      <c r="V61" s="3">
        <v>51</v>
      </c>
      <c r="W61" s="3">
        <v>1</v>
      </c>
      <c r="X61" s="3" t="s">
        <v>50</v>
      </c>
      <c r="Y61" s="4" t="s">
        <v>134</v>
      </c>
      <c r="Z61" s="3" t="s">
        <v>34</v>
      </c>
      <c r="AA61" s="5">
        <f t="shared" si="0"/>
        <v>1.68367010101021</v>
      </c>
      <c r="AB61" s="5">
        <f t="shared" si="1"/>
        <v>0.47650146428448598</v>
      </c>
      <c r="AC61" s="5">
        <f t="shared" si="2"/>
        <v>0.5178342546357807</v>
      </c>
    </row>
    <row r="62" spans="1:29" ht="15" customHeight="1" x14ac:dyDescent="0.3">
      <c r="A62" s="3">
        <v>81</v>
      </c>
      <c r="B62" s="3">
        <v>17</v>
      </c>
      <c r="C62" s="3" t="s">
        <v>135</v>
      </c>
      <c r="D62" s="4" t="s">
        <v>136</v>
      </c>
      <c r="E62" s="3" t="s">
        <v>105</v>
      </c>
      <c r="F62" s="3">
        <v>2021</v>
      </c>
      <c r="G62" s="3">
        <v>0</v>
      </c>
      <c r="H62" s="3">
        <v>0</v>
      </c>
      <c r="I62" s="3">
        <v>25</v>
      </c>
      <c r="J62" s="3">
        <v>0</v>
      </c>
      <c r="K62" s="3">
        <v>33864354060</v>
      </c>
      <c r="L62" s="3">
        <v>67.03</v>
      </c>
      <c r="M62" s="3">
        <v>2269927652.6417999</v>
      </c>
      <c r="N62" s="3">
        <v>330400000</v>
      </c>
      <c r="O62" s="3">
        <v>728500000</v>
      </c>
      <c r="P62" s="3">
        <v>90079011</v>
      </c>
      <c r="Q62" s="3">
        <v>3.5694271141273899</v>
      </c>
      <c r="R62" s="3">
        <v>20.406498183599499</v>
      </c>
      <c r="S62" s="3">
        <v>0.45353466026081002</v>
      </c>
      <c r="T62" s="3">
        <v>0.12364998078243</v>
      </c>
      <c r="U62" s="3">
        <v>2014</v>
      </c>
      <c r="V62" s="3">
        <v>7</v>
      </c>
      <c r="W62" s="3">
        <v>1</v>
      </c>
      <c r="X62" s="3" t="s">
        <v>32</v>
      </c>
      <c r="Y62" s="4" t="s">
        <v>137</v>
      </c>
      <c r="Z62" s="3" t="s">
        <v>34</v>
      </c>
      <c r="AA62" s="5">
        <f t="shared" si="0"/>
        <v>3.5694271141273899</v>
      </c>
      <c r="AB62" s="5">
        <f t="shared" si="1"/>
        <v>0.45353466026081002</v>
      </c>
      <c r="AC62" s="5">
        <f t="shared" si="2"/>
        <v>0.12364998078243</v>
      </c>
    </row>
    <row r="63" spans="1:29" ht="15" customHeight="1" x14ac:dyDescent="0.3">
      <c r="A63" s="3">
        <v>82</v>
      </c>
      <c r="B63" s="3">
        <v>17</v>
      </c>
      <c r="C63" s="3" t="s">
        <v>135</v>
      </c>
      <c r="D63" s="4" t="s">
        <v>136</v>
      </c>
      <c r="E63" s="3" t="s">
        <v>105</v>
      </c>
      <c r="F63" s="3">
        <v>2022</v>
      </c>
      <c r="G63" s="3">
        <v>0</v>
      </c>
      <c r="H63" s="3">
        <v>0</v>
      </c>
      <c r="I63" s="3">
        <v>25</v>
      </c>
      <c r="J63" s="3">
        <v>0</v>
      </c>
      <c r="K63" s="3">
        <v>33864354060</v>
      </c>
      <c r="L63" s="3">
        <v>97.74</v>
      </c>
      <c r="M63" s="3">
        <v>3309901965.8243999</v>
      </c>
      <c r="N63" s="3">
        <v>462899342</v>
      </c>
      <c r="O63" s="3">
        <v>874011884</v>
      </c>
      <c r="P63" s="3">
        <v>411112542</v>
      </c>
      <c r="Q63" s="3">
        <v>4.3166476073046196</v>
      </c>
      <c r="R63" s="3">
        <v>20.588604530781399</v>
      </c>
      <c r="S63" s="3">
        <v>0.52962591295840999</v>
      </c>
      <c r="T63" s="3">
        <v>0.47037408704159001</v>
      </c>
      <c r="U63" s="3">
        <v>2014</v>
      </c>
      <c r="V63" s="3">
        <v>8</v>
      </c>
      <c r="W63" s="3">
        <v>1</v>
      </c>
      <c r="X63" s="3" t="s">
        <v>32</v>
      </c>
      <c r="Y63" s="4" t="s">
        <v>138</v>
      </c>
      <c r="Z63" s="3" t="s">
        <v>34</v>
      </c>
      <c r="AA63" s="5">
        <f t="shared" si="0"/>
        <v>4.3166476073046196</v>
      </c>
      <c r="AB63" s="5">
        <f t="shared" si="1"/>
        <v>0.52962591295840999</v>
      </c>
      <c r="AC63" s="5">
        <f t="shared" si="2"/>
        <v>0.47037408704159001</v>
      </c>
    </row>
    <row r="64" spans="1:29" ht="15" customHeight="1" x14ac:dyDescent="0.3">
      <c r="A64" s="3">
        <v>83</v>
      </c>
      <c r="B64" s="3">
        <v>17</v>
      </c>
      <c r="C64" s="3" t="s">
        <v>135</v>
      </c>
      <c r="D64" s="4" t="s">
        <v>136</v>
      </c>
      <c r="E64" s="3" t="s">
        <v>105</v>
      </c>
      <c r="F64" s="3">
        <v>2023</v>
      </c>
      <c r="G64" s="3">
        <v>1</v>
      </c>
      <c r="H64" s="3">
        <v>0</v>
      </c>
      <c r="I64" s="3">
        <v>30</v>
      </c>
      <c r="J64" s="3">
        <v>0</v>
      </c>
      <c r="K64" s="3">
        <v>33864354060</v>
      </c>
      <c r="L64" s="3">
        <v>96.86</v>
      </c>
      <c r="M64" s="3">
        <v>3280101334.2515998</v>
      </c>
      <c r="N64" s="3">
        <v>830462227</v>
      </c>
      <c r="O64" s="3">
        <v>1215686377</v>
      </c>
      <c r="P64" s="3">
        <v>385224150</v>
      </c>
      <c r="Q64" s="3">
        <v>3.38126974112798</v>
      </c>
      <c r="R64" s="3">
        <v>20.918574673573598</v>
      </c>
      <c r="S64" s="3">
        <v>0.683122096876142</v>
      </c>
      <c r="T64" s="3">
        <v>0.316877903123858</v>
      </c>
      <c r="U64" s="3">
        <v>2014</v>
      </c>
      <c r="V64" s="3">
        <v>9</v>
      </c>
      <c r="W64" s="3">
        <v>1</v>
      </c>
      <c r="X64" s="3" t="s">
        <v>32</v>
      </c>
      <c r="Y64" s="4" t="s">
        <v>139</v>
      </c>
      <c r="Z64" s="3" t="s">
        <v>34</v>
      </c>
      <c r="AA64" s="5">
        <f t="shared" si="0"/>
        <v>3.38126974112798</v>
      </c>
      <c r="AB64" s="5">
        <f t="shared" si="1"/>
        <v>0.683122096876142</v>
      </c>
      <c r="AC64" s="5">
        <f t="shared" si="2"/>
        <v>0.316877903123858</v>
      </c>
    </row>
    <row r="65" spans="1:29" ht="15" customHeight="1" x14ac:dyDescent="0.3">
      <c r="A65" s="3">
        <v>84</v>
      </c>
      <c r="B65" s="3">
        <v>17</v>
      </c>
      <c r="C65" s="3" t="s">
        <v>135</v>
      </c>
      <c r="D65" s="4" t="s">
        <v>136</v>
      </c>
      <c r="E65" s="3" t="s">
        <v>105</v>
      </c>
      <c r="F65" s="3">
        <v>2024</v>
      </c>
      <c r="G65" s="3">
        <v>1</v>
      </c>
      <c r="H65" s="3">
        <v>0</v>
      </c>
      <c r="I65" s="3">
        <v>30</v>
      </c>
      <c r="J65" s="3">
        <v>0</v>
      </c>
      <c r="K65" s="3">
        <v>33864354060</v>
      </c>
      <c r="L65" s="3">
        <v>93.03</v>
      </c>
      <c r="M65" s="3">
        <v>3150400858.2017999</v>
      </c>
      <c r="N65" s="3">
        <v>1181803630</v>
      </c>
      <c r="O65" s="3">
        <v>1570351865</v>
      </c>
      <c r="P65" s="3">
        <v>388548235</v>
      </c>
      <c r="Q65" s="3">
        <v>2.7587476315072901</v>
      </c>
      <c r="R65" s="3">
        <v>21.174565549030401</v>
      </c>
      <c r="S65" s="3">
        <v>0.752572500686017</v>
      </c>
      <c r="T65" s="3">
        <v>0.247427499313983</v>
      </c>
      <c r="U65" s="3">
        <v>2014</v>
      </c>
      <c r="V65" s="3">
        <v>10</v>
      </c>
      <c r="W65" s="3">
        <v>1</v>
      </c>
      <c r="X65" s="3" t="s">
        <v>32</v>
      </c>
      <c r="Y65" s="4" t="s">
        <v>138</v>
      </c>
      <c r="Z65" s="3" t="s">
        <v>34</v>
      </c>
      <c r="AA65" s="5">
        <f t="shared" si="0"/>
        <v>2.7587476315072901</v>
      </c>
      <c r="AB65" s="5">
        <f t="shared" si="1"/>
        <v>0.752572500686017</v>
      </c>
      <c r="AC65" s="5">
        <f t="shared" si="2"/>
        <v>0.247427499313983</v>
      </c>
    </row>
    <row r="66" spans="1:29" ht="15" customHeight="1" x14ac:dyDescent="0.3">
      <c r="A66" s="3">
        <v>85</v>
      </c>
      <c r="B66" s="3">
        <v>17</v>
      </c>
      <c r="C66" s="3" t="s">
        <v>135</v>
      </c>
      <c r="D66" s="4" t="s">
        <v>136</v>
      </c>
      <c r="E66" s="3" t="s">
        <v>105</v>
      </c>
      <c r="F66" s="3">
        <v>2025</v>
      </c>
      <c r="G66" s="3">
        <v>1</v>
      </c>
      <c r="H66" s="3">
        <v>0</v>
      </c>
      <c r="I66" s="3">
        <v>0</v>
      </c>
      <c r="J66" s="3">
        <v>0</v>
      </c>
      <c r="K66" s="3">
        <v>33864354060</v>
      </c>
      <c r="L66" s="3">
        <v>178.36</v>
      </c>
      <c r="M66" s="3">
        <v>6040046190.1415997</v>
      </c>
      <c r="N66" s="3">
        <v>1180000000</v>
      </c>
      <c r="O66" s="3">
        <v>1860000000</v>
      </c>
      <c r="P66" s="3">
        <v>672900000</v>
      </c>
      <c r="Q66" s="3">
        <v>3.88174526351699</v>
      </c>
      <c r="R66" s="3">
        <v>21.343842324671499</v>
      </c>
      <c r="S66" s="3">
        <v>0.63440860215053796</v>
      </c>
      <c r="T66" s="3">
        <v>0.36177419354838702</v>
      </c>
      <c r="U66" s="3">
        <v>2014</v>
      </c>
      <c r="V66" s="3">
        <v>11</v>
      </c>
      <c r="W66" s="3">
        <v>1</v>
      </c>
      <c r="X66" s="3" t="s">
        <v>32</v>
      </c>
      <c r="Y66" s="4" t="s">
        <v>140</v>
      </c>
      <c r="Z66" s="3" t="s">
        <v>34</v>
      </c>
      <c r="AA66" s="5">
        <f t="shared" ref="AA66:AA129" si="3">MIN(MAX(Q66,PERCENTILE(Q$2:Q$612,0.005)),PERCENTILE(Q$2:Q$612,0.995))</f>
        <v>3.88174526351699</v>
      </c>
      <c r="AB66" s="5">
        <f t="shared" ref="AB66:AB129" si="4">MIN(MAX(S66,PERCENTILE(S$2:S$612,0.005)),PERCENTILE(S$2:S$612,0.995))</f>
        <v>0.63440860215053796</v>
      </c>
      <c r="AC66" s="5">
        <f t="shared" ref="AC66:AC129" si="5">MIN(MAX(T66,PERCENTILE(T$2:T$612,0.005)),PERCENTILE(T$2:T$612,0.995))</f>
        <v>0.36177419354838702</v>
      </c>
    </row>
    <row r="67" spans="1:29" ht="15" customHeight="1" x14ac:dyDescent="0.3">
      <c r="A67" s="3">
        <v>87</v>
      </c>
      <c r="B67" s="3">
        <v>18</v>
      </c>
      <c r="C67" s="3" t="s">
        <v>141</v>
      </c>
      <c r="D67" s="4" t="s">
        <v>142</v>
      </c>
      <c r="E67" s="3" t="s">
        <v>143</v>
      </c>
      <c r="F67" s="3">
        <v>2022</v>
      </c>
      <c r="G67" s="3">
        <v>0</v>
      </c>
      <c r="H67" s="3">
        <v>0</v>
      </c>
      <c r="I67" s="3">
        <v>5</v>
      </c>
      <c r="J67" s="3">
        <v>0</v>
      </c>
      <c r="K67" s="3">
        <v>18000000000</v>
      </c>
      <c r="L67" s="3">
        <v>65</v>
      </c>
      <c r="M67" s="3">
        <v>1170000000</v>
      </c>
      <c r="N67" s="3">
        <v>376263289</v>
      </c>
      <c r="O67" s="3">
        <v>607224625</v>
      </c>
      <c r="P67" s="3">
        <v>230961336</v>
      </c>
      <c r="Q67" s="3">
        <v>2.54644364760405</v>
      </c>
      <c r="R67" s="3">
        <v>20.22440933823</v>
      </c>
      <c r="S67" s="3">
        <v>0.61964431860779701</v>
      </c>
      <c r="T67" s="3">
        <v>0.38035568139220299</v>
      </c>
      <c r="U67" s="3">
        <v>2005</v>
      </c>
      <c r="V67" s="3">
        <v>17</v>
      </c>
      <c r="W67" s="3">
        <v>1</v>
      </c>
      <c r="X67" s="3" t="s">
        <v>32</v>
      </c>
      <c r="Y67" s="4" t="s">
        <v>144</v>
      </c>
      <c r="Z67" s="3" t="s">
        <v>34</v>
      </c>
      <c r="AA67" s="5">
        <f t="shared" si="3"/>
        <v>2.54644364760405</v>
      </c>
      <c r="AB67" s="5">
        <f t="shared" si="4"/>
        <v>0.61964431860779701</v>
      </c>
      <c r="AC67" s="5">
        <f t="shared" si="5"/>
        <v>0.38035568139220299</v>
      </c>
    </row>
    <row r="68" spans="1:29" ht="15" customHeight="1" x14ac:dyDescent="0.3">
      <c r="A68" s="3">
        <v>88</v>
      </c>
      <c r="B68" s="3">
        <v>18</v>
      </c>
      <c r="C68" s="3" t="s">
        <v>141</v>
      </c>
      <c r="D68" s="4" t="s">
        <v>142</v>
      </c>
      <c r="E68" s="3" t="s">
        <v>143</v>
      </c>
      <c r="F68" s="3">
        <v>2023</v>
      </c>
      <c r="G68" s="3">
        <v>1</v>
      </c>
      <c r="H68" s="3">
        <v>0</v>
      </c>
      <c r="I68" s="3">
        <v>5</v>
      </c>
      <c r="J68" s="3">
        <v>0</v>
      </c>
      <c r="K68" s="3">
        <v>18000000000</v>
      </c>
      <c r="L68" s="3">
        <v>193.33</v>
      </c>
      <c r="M68" s="3">
        <v>3479940000</v>
      </c>
      <c r="N68" s="3">
        <v>808381029</v>
      </c>
      <c r="O68" s="3">
        <v>1070439862</v>
      </c>
      <c r="P68" s="3">
        <v>262058833</v>
      </c>
      <c r="Q68" s="3">
        <v>4.0061297988172297</v>
      </c>
      <c r="R68" s="3">
        <v>20.791335486928801</v>
      </c>
      <c r="S68" s="3">
        <v>0.755185842471924</v>
      </c>
      <c r="T68" s="3">
        <v>0.244814157528076</v>
      </c>
      <c r="U68" s="3">
        <v>2005</v>
      </c>
      <c r="V68" s="3">
        <v>18</v>
      </c>
      <c r="W68" s="3">
        <v>1</v>
      </c>
      <c r="X68" s="3" t="s">
        <v>32</v>
      </c>
      <c r="Y68" s="4" t="s">
        <v>145</v>
      </c>
      <c r="Z68" s="3" t="s">
        <v>34</v>
      </c>
      <c r="AA68" s="5">
        <f t="shared" si="3"/>
        <v>4.0061297988172297</v>
      </c>
      <c r="AB68" s="5">
        <f t="shared" si="4"/>
        <v>0.755185842471924</v>
      </c>
      <c r="AC68" s="5">
        <f t="shared" si="5"/>
        <v>0.244814157528076</v>
      </c>
    </row>
    <row r="69" spans="1:29" ht="15" customHeight="1" x14ac:dyDescent="0.3">
      <c r="A69" s="3">
        <v>89</v>
      </c>
      <c r="B69" s="3">
        <v>18</v>
      </c>
      <c r="C69" s="3" t="s">
        <v>141</v>
      </c>
      <c r="D69" s="4" t="s">
        <v>142</v>
      </c>
      <c r="E69" s="3" t="s">
        <v>143</v>
      </c>
      <c r="F69" s="3">
        <v>2024</v>
      </c>
      <c r="G69" s="3">
        <v>1</v>
      </c>
      <c r="H69" s="3">
        <v>0</v>
      </c>
      <c r="I69" s="3">
        <v>5</v>
      </c>
      <c r="J69" s="3">
        <v>0</v>
      </c>
      <c r="K69" s="3">
        <v>18000000000</v>
      </c>
      <c r="L69" s="3">
        <v>415</v>
      </c>
      <c r="M69" s="3">
        <v>7470000000</v>
      </c>
      <c r="N69" s="3">
        <v>666447596</v>
      </c>
      <c r="O69" s="3">
        <v>1095504241</v>
      </c>
      <c r="P69" s="3">
        <v>429056645</v>
      </c>
      <c r="Q69" s="3">
        <v>7.4271256025196903</v>
      </c>
      <c r="R69" s="3">
        <v>20.814480588283999</v>
      </c>
      <c r="S69" s="3">
        <v>0.608347801001347</v>
      </c>
      <c r="T69" s="3">
        <v>0.391652198998653</v>
      </c>
      <c r="U69" s="3">
        <v>2005</v>
      </c>
      <c r="V69" s="3">
        <v>19</v>
      </c>
      <c r="W69" s="3">
        <v>1</v>
      </c>
      <c r="X69" s="3" t="s">
        <v>32</v>
      </c>
      <c r="Y69" s="4" t="s">
        <v>145</v>
      </c>
      <c r="Z69" s="3" t="s">
        <v>34</v>
      </c>
      <c r="AA69" s="5">
        <f t="shared" si="3"/>
        <v>7.4271256025196903</v>
      </c>
      <c r="AB69" s="5">
        <f t="shared" si="4"/>
        <v>0.608347801001347</v>
      </c>
      <c r="AC69" s="5">
        <f t="shared" si="5"/>
        <v>0.391652198998653</v>
      </c>
    </row>
    <row r="70" spans="1:29" ht="15" customHeight="1" x14ac:dyDescent="0.3">
      <c r="A70" s="3">
        <v>90</v>
      </c>
      <c r="B70" s="3">
        <v>18</v>
      </c>
      <c r="C70" s="3" t="s">
        <v>141</v>
      </c>
      <c r="D70" s="4" t="s">
        <v>142</v>
      </c>
      <c r="E70" s="3" t="s">
        <v>143</v>
      </c>
      <c r="F70" s="3">
        <v>2025</v>
      </c>
      <c r="G70" s="3">
        <v>1</v>
      </c>
      <c r="H70" s="3">
        <v>0</v>
      </c>
      <c r="I70" s="3">
        <v>0</v>
      </c>
      <c r="J70" s="3">
        <v>0</v>
      </c>
      <c r="K70" s="3">
        <v>18000000000</v>
      </c>
      <c r="L70" s="3">
        <v>798.89</v>
      </c>
      <c r="M70" s="3">
        <v>14380020000</v>
      </c>
      <c r="N70" s="3">
        <v>683400000</v>
      </c>
      <c r="O70" s="3">
        <v>1386190000</v>
      </c>
      <c r="P70" s="3">
        <v>702790000</v>
      </c>
      <c r="Q70" s="3">
        <v>10.8667787244173</v>
      </c>
      <c r="R70" s="3">
        <v>21.049824813455899</v>
      </c>
      <c r="S70" s="3">
        <v>0.49300600927722799</v>
      </c>
      <c r="T70" s="3">
        <v>0.50699399072277296</v>
      </c>
      <c r="U70" s="3">
        <v>2005</v>
      </c>
      <c r="V70" s="3">
        <v>20</v>
      </c>
      <c r="W70" s="3">
        <v>1</v>
      </c>
      <c r="X70" s="3" t="s">
        <v>32</v>
      </c>
      <c r="Y70" s="4" t="s">
        <v>146</v>
      </c>
      <c r="Z70" s="3" t="s">
        <v>34</v>
      </c>
      <c r="AA70" s="5">
        <f t="shared" si="3"/>
        <v>10.8667787244173</v>
      </c>
      <c r="AB70" s="5">
        <f t="shared" si="4"/>
        <v>0.49300600927722799</v>
      </c>
      <c r="AC70" s="5">
        <f t="shared" si="5"/>
        <v>0.50699399072277296</v>
      </c>
    </row>
    <row r="71" spans="1:29" ht="15" customHeight="1" x14ac:dyDescent="0.3">
      <c r="A71" s="3">
        <v>91</v>
      </c>
      <c r="B71" s="3">
        <v>19</v>
      </c>
      <c r="C71" s="3" t="s">
        <v>147</v>
      </c>
      <c r="D71" s="4" t="s">
        <v>148</v>
      </c>
      <c r="E71" s="3" t="s">
        <v>143</v>
      </c>
      <c r="F71" s="3">
        <v>2021</v>
      </c>
      <c r="G71" s="3">
        <v>0</v>
      </c>
      <c r="H71" s="3">
        <v>0</v>
      </c>
      <c r="I71" s="3">
        <v>10</v>
      </c>
      <c r="J71" s="3">
        <v>0</v>
      </c>
      <c r="K71" s="3">
        <v>1878000000</v>
      </c>
      <c r="L71" s="3">
        <v>8.8018999999999998</v>
      </c>
      <c r="M71" s="3">
        <v>16529968.199999999</v>
      </c>
      <c r="N71" s="3">
        <v>30051937</v>
      </c>
      <c r="O71" s="3">
        <v>43688291</v>
      </c>
      <c r="P71" s="3">
        <v>13636354</v>
      </c>
      <c r="Q71" s="3">
        <v>1.06623317446773</v>
      </c>
      <c r="R71" s="3">
        <v>17.5925906836599</v>
      </c>
      <c r="S71" s="3">
        <v>0.687871654215085</v>
      </c>
      <c r="T71" s="3">
        <v>0.312128345784915</v>
      </c>
      <c r="U71" s="3">
        <v>1965</v>
      </c>
      <c r="V71" s="3">
        <v>56</v>
      </c>
      <c r="W71" s="3">
        <v>1</v>
      </c>
      <c r="X71" s="3" t="s">
        <v>149</v>
      </c>
      <c r="Y71" s="4" t="s">
        <v>150</v>
      </c>
      <c r="Z71" s="3" t="s">
        <v>34</v>
      </c>
      <c r="AA71" s="5">
        <f t="shared" si="3"/>
        <v>1.06623317446773</v>
      </c>
      <c r="AB71" s="5">
        <f t="shared" si="4"/>
        <v>0.687871654215085</v>
      </c>
      <c r="AC71" s="5">
        <f t="shared" si="5"/>
        <v>0.312128345784915</v>
      </c>
    </row>
    <row r="72" spans="1:29" ht="15" customHeight="1" x14ac:dyDescent="0.3">
      <c r="A72" s="3">
        <v>92</v>
      </c>
      <c r="B72" s="3">
        <v>19</v>
      </c>
      <c r="C72" s="3" t="s">
        <v>147</v>
      </c>
      <c r="D72" s="4" t="s">
        <v>148</v>
      </c>
      <c r="E72" s="3" t="s">
        <v>143</v>
      </c>
      <c r="F72" s="3">
        <v>2022</v>
      </c>
      <c r="G72" s="3">
        <v>0</v>
      </c>
      <c r="H72" s="3">
        <v>0</v>
      </c>
      <c r="I72" s="3">
        <v>0</v>
      </c>
      <c r="J72" s="3">
        <v>0</v>
      </c>
      <c r="K72" s="3">
        <v>1878000000</v>
      </c>
      <c r="L72" s="3">
        <v>11.901</v>
      </c>
      <c r="M72" s="3">
        <v>22350078</v>
      </c>
      <c r="N72" s="3">
        <v>46763275</v>
      </c>
      <c r="O72" s="3">
        <v>59713684</v>
      </c>
      <c r="P72" s="3">
        <v>12950409</v>
      </c>
      <c r="Q72" s="3">
        <v>1.1574123110542001</v>
      </c>
      <c r="R72" s="3">
        <v>17.905071764827898</v>
      </c>
      <c r="S72" s="3">
        <v>0.78312493665605998</v>
      </c>
      <c r="T72" s="3">
        <v>0.21687506334393999</v>
      </c>
      <c r="U72" s="3">
        <v>1965</v>
      </c>
      <c r="V72" s="3">
        <v>57</v>
      </c>
      <c r="W72" s="3">
        <v>1</v>
      </c>
      <c r="X72" s="3" t="s">
        <v>149</v>
      </c>
      <c r="Y72" s="4" t="s">
        <v>151</v>
      </c>
      <c r="Z72" s="3" t="s">
        <v>34</v>
      </c>
      <c r="AA72" s="5">
        <f t="shared" si="3"/>
        <v>1.1574123110542001</v>
      </c>
      <c r="AB72" s="5">
        <f t="shared" si="4"/>
        <v>0.78312493665605998</v>
      </c>
      <c r="AC72" s="5">
        <f t="shared" si="5"/>
        <v>0.21687506334393999</v>
      </c>
    </row>
    <row r="73" spans="1:29" ht="15" customHeight="1" x14ac:dyDescent="0.3">
      <c r="A73" s="3">
        <v>93</v>
      </c>
      <c r="B73" s="3">
        <v>19</v>
      </c>
      <c r="C73" s="3" t="s">
        <v>147</v>
      </c>
      <c r="D73" s="4" t="s">
        <v>148</v>
      </c>
      <c r="E73" s="3" t="s">
        <v>143</v>
      </c>
      <c r="F73" s="3">
        <v>2023</v>
      </c>
      <c r="G73" s="3">
        <v>1</v>
      </c>
      <c r="H73" s="3">
        <v>0</v>
      </c>
      <c r="I73" s="3">
        <v>20</v>
      </c>
      <c r="J73" s="3">
        <v>0</v>
      </c>
      <c r="K73" s="3">
        <v>1878000000</v>
      </c>
      <c r="L73" s="3">
        <v>19.004300000000001</v>
      </c>
      <c r="M73" s="3">
        <v>35690075.399999999</v>
      </c>
      <c r="N73" s="3">
        <v>74674690</v>
      </c>
      <c r="O73" s="3">
        <v>64452683</v>
      </c>
      <c r="P73" s="3">
        <v>-10222007</v>
      </c>
      <c r="Q73" s="3">
        <v>1.71233779980889</v>
      </c>
      <c r="R73" s="3">
        <v>17.981441915652901</v>
      </c>
      <c r="S73" s="3">
        <v>1.1585970750046199</v>
      </c>
      <c r="T73" s="3">
        <v>-0.15859707500462</v>
      </c>
      <c r="U73" s="3">
        <v>1965</v>
      </c>
      <c r="V73" s="3">
        <v>58</v>
      </c>
      <c r="W73" s="3">
        <v>1</v>
      </c>
      <c r="X73" s="3" t="s">
        <v>149</v>
      </c>
      <c r="Y73" s="4" t="s">
        <v>152</v>
      </c>
      <c r="Z73" s="3" t="s">
        <v>34</v>
      </c>
      <c r="AA73" s="5">
        <f t="shared" si="3"/>
        <v>1.71233779980889</v>
      </c>
      <c r="AB73" s="5">
        <f t="shared" si="4"/>
        <v>1.1585970750046199</v>
      </c>
      <c r="AC73" s="5">
        <f t="shared" si="5"/>
        <v>-0.15859707500462</v>
      </c>
    </row>
    <row r="74" spans="1:29" ht="15" customHeight="1" x14ac:dyDescent="0.3">
      <c r="A74" s="3">
        <v>94</v>
      </c>
      <c r="B74" s="3">
        <v>19</v>
      </c>
      <c r="C74" s="3" t="s">
        <v>147</v>
      </c>
      <c r="D74" s="4" t="s">
        <v>148</v>
      </c>
      <c r="E74" s="3" t="s">
        <v>143</v>
      </c>
      <c r="F74" s="3">
        <v>2024</v>
      </c>
      <c r="G74" s="3">
        <v>1</v>
      </c>
      <c r="H74" s="3">
        <v>0</v>
      </c>
      <c r="I74" s="3">
        <v>10</v>
      </c>
      <c r="J74" s="3">
        <v>0</v>
      </c>
      <c r="K74" s="3">
        <v>2280000000</v>
      </c>
      <c r="L74" s="3">
        <v>21.5044</v>
      </c>
      <c r="M74" s="3">
        <v>49030032</v>
      </c>
      <c r="N74" s="3">
        <v>68064751</v>
      </c>
      <c r="O74" s="3">
        <v>72443944</v>
      </c>
      <c r="P74" s="3">
        <v>4379193</v>
      </c>
      <c r="Q74" s="3">
        <v>1.6163501948485901</v>
      </c>
      <c r="R74" s="3">
        <v>18.098323634555399</v>
      </c>
      <c r="S74" s="3">
        <v>0.93955059928818896</v>
      </c>
      <c r="T74" s="3">
        <v>6.0449400711811097E-2</v>
      </c>
      <c r="U74" s="3">
        <v>1965</v>
      </c>
      <c r="V74" s="3">
        <v>59</v>
      </c>
      <c r="W74" s="3">
        <v>1</v>
      </c>
      <c r="X74" s="3" t="s">
        <v>149</v>
      </c>
      <c r="Y74" s="4" t="s">
        <v>153</v>
      </c>
      <c r="Z74" s="3" t="s">
        <v>34</v>
      </c>
      <c r="AA74" s="5">
        <f t="shared" si="3"/>
        <v>1.6163501948485901</v>
      </c>
      <c r="AB74" s="5">
        <f t="shared" si="4"/>
        <v>0.93955059928818896</v>
      </c>
      <c r="AC74" s="5">
        <f t="shared" si="5"/>
        <v>6.0449400711811097E-2</v>
      </c>
    </row>
    <row r="75" spans="1:29" ht="15" customHeight="1" x14ac:dyDescent="0.3">
      <c r="A75" s="3">
        <v>95</v>
      </c>
      <c r="B75" s="3">
        <v>19</v>
      </c>
      <c r="C75" s="3" t="s">
        <v>147</v>
      </c>
      <c r="D75" s="4" t="s">
        <v>148</v>
      </c>
      <c r="E75" s="3" t="s">
        <v>143</v>
      </c>
      <c r="F75" s="3">
        <v>2025</v>
      </c>
      <c r="G75" s="3">
        <v>1</v>
      </c>
      <c r="H75" s="3">
        <v>0</v>
      </c>
      <c r="I75" s="3">
        <v>50</v>
      </c>
      <c r="J75" s="3">
        <v>20</v>
      </c>
      <c r="K75" s="3">
        <v>2280000000</v>
      </c>
      <c r="L75" s="3">
        <v>59.907899999999998</v>
      </c>
      <c r="M75" s="3">
        <v>136590012</v>
      </c>
      <c r="N75" s="3">
        <v>61942992</v>
      </c>
      <c r="O75" s="3">
        <v>75363153</v>
      </c>
      <c r="P75" s="3">
        <v>13420161</v>
      </c>
      <c r="Q75" s="3">
        <v>2.63435108666433</v>
      </c>
      <c r="R75" s="3">
        <v>18.137829026529101</v>
      </c>
      <c r="S75" s="3">
        <v>0.82192675776184698</v>
      </c>
      <c r="T75" s="3">
        <v>0.17807324223815299</v>
      </c>
      <c r="U75" s="3">
        <v>1965</v>
      </c>
      <c r="V75" s="3">
        <v>60</v>
      </c>
      <c r="W75" s="3">
        <v>1</v>
      </c>
      <c r="X75" s="3" t="s">
        <v>149</v>
      </c>
      <c r="Y75" s="4" t="s">
        <v>154</v>
      </c>
      <c r="Z75" s="3" t="s">
        <v>34</v>
      </c>
      <c r="AA75" s="5">
        <f t="shared" si="3"/>
        <v>2.63435108666433</v>
      </c>
      <c r="AB75" s="5">
        <f t="shared" si="4"/>
        <v>0.82192675776184698</v>
      </c>
      <c r="AC75" s="5">
        <f t="shared" si="5"/>
        <v>0.17807324223815299</v>
      </c>
    </row>
    <row r="76" spans="1:29" ht="15" customHeight="1" x14ac:dyDescent="0.3">
      <c r="A76" s="3">
        <v>96</v>
      </c>
      <c r="B76" s="3">
        <v>20</v>
      </c>
      <c r="C76" s="3" t="s">
        <v>155</v>
      </c>
      <c r="D76" s="4" t="s">
        <v>156</v>
      </c>
      <c r="E76" s="3" t="s">
        <v>105</v>
      </c>
      <c r="F76" s="3">
        <v>2021</v>
      </c>
      <c r="G76" s="3">
        <v>0</v>
      </c>
      <c r="H76" s="3">
        <v>0</v>
      </c>
      <c r="I76" s="3">
        <v>0</v>
      </c>
      <c r="J76" s="3">
        <v>0</v>
      </c>
      <c r="K76" s="3">
        <v>788260000</v>
      </c>
      <c r="L76" s="3">
        <v>19.446400000000001</v>
      </c>
      <c r="M76" s="3">
        <v>15328819.264</v>
      </c>
      <c r="N76" s="3">
        <v>7706131</v>
      </c>
      <c r="O76" s="3">
        <v>12115919</v>
      </c>
      <c r="P76" s="3">
        <v>4409788</v>
      </c>
      <c r="Q76" s="3">
        <v>1.90121362349814</v>
      </c>
      <c r="R76" s="3">
        <v>16.310030765732201</v>
      </c>
      <c r="S76" s="3">
        <v>0.63603355222166802</v>
      </c>
      <c r="T76" s="3">
        <v>0.36396644777833198</v>
      </c>
      <c r="U76" s="3">
        <v>1965</v>
      </c>
      <c r="V76" s="3">
        <v>56</v>
      </c>
      <c r="W76" s="3">
        <v>1</v>
      </c>
      <c r="X76" s="3" t="s">
        <v>57</v>
      </c>
      <c r="Y76" s="4" t="s">
        <v>157</v>
      </c>
      <c r="Z76" s="3" t="s">
        <v>34</v>
      </c>
      <c r="AA76" s="5">
        <f t="shared" si="3"/>
        <v>1.90121362349814</v>
      </c>
      <c r="AB76" s="5">
        <f t="shared" si="4"/>
        <v>0.63603355222166802</v>
      </c>
      <c r="AC76" s="5">
        <f t="shared" si="5"/>
        <v>0.36396644777833198</v>
      </c>
    </row>
    <row r="77" spans="1:29" ht="15" customHeight="1" x14ac:dyDescent="0.3">
      <c r="A77" s="3">
        <v>97</v>
      </c>
      <c r="B77" s="3">
        <v>20</v>
      </c>
      <c r="C77" s="3" t="s">
        <v>155</v>
      </c>
      <c r="D77" s="4" t="s">
        <v>156</v>
      </c>
      <c r="E77" s="3" t="s">
        <v>105</v>
      </c>
      <c r="F77" s="3">
        <v>2022</v>
      </c>
      <c r="G77" s="3">
        <v>0</v>
      </c>
      <c r="H77" s="3">
        <v>0</v>
      </c>
      <c r="I77" s="3">
        <v>0</v>
      </c>
      <c r="J77" s="3">
        <v>0</v>
      </c>
      <c r="K77" s="3">
        <v>814747500</v>
      </c>
      <c r="L77" s="3">
        <v>17.7989</v>
      </c>
      <c r="M77" s="3">
        <v>14501609.27775</v>
      </c>
      <c r="N77" s="3">
        <v>6806603</v>
      </c>
      <c r="O77" s="3">
        <v>13406204</v>
      </c>
      <c r="P77" s="3">
        <v>6599601</v>
      </c>
      <c r="Q77" s="3">
        <v>1.58942921335152</v>
      </c>
      <c r="R77" s="3">
        <v>16.411228142851201</v>
      </c>
      <c r="S77" s="3">
        <v>0.50772038080279902</v>
      </c>
      <c r="T77" s="3">
        <v>0.49227961919720198</v>
      </c>
      <c r="U77" s="3">
        <v>1965</v>
      </c>
      <c r="V77" s="3">
        <v>57</v>
      </c>
      <c r="W77" s="3">
        <v>1</v>
      </c>
      <c r="X77" s="3" t="s">
        <v>57</v>
      </c>
      <c r="Y77" s="4" t="s">
        <v>158</v>
      </c>
      <c r="Z77" s="3" t="s">
        <v>34</v>
      </c>
      <c r="AA77" s="5">
        <f t="shared" si="3"/>
        <v>1.58942921335152</v>
      </c>
      <c r="AB77" s="5">
        <f t="shared" si="4"/>
        <v>0.50772038080279902</v>
      </c>
      <c r="AC77" s="5">
        <f t="shared" si="5"/>
        <v>0.49227961919720198</v>
      </c>
    </row>
    <row r="78" spans="1:29" ht="15" customHeight="1" x14ac:dyDescent="0.3">
      <c r="A78" s="3">
        <v>98</v>
      </c>
      <c r="B78" s="3">
        <v>20</v>
      </c>
      <c r="C78" s="3" t="s">
        <v>155</v>
      </c>
      <c r="D78" s="4" t="s">
        <v>156</v>
      </c>
      <c r="E78" s="3" t="s">
        <v>105</v>
      </c>
      <c r="F78" s="3">
        <v>2023</v>
      </c>
      <c r="G78" s="3">
        <v>1</v>
      </c>
      <c r="H78" s="3">
        <v>0</v>
      </c>
      <c r="I78" s="3">
        <v>0</v>
      </c>
      <c r="J78" s="3">
        <v>0</v>
      </c>
      <c r="K78" s="3">
        <v>814747500</v>
      </c>
      <c r="L78" s="3">
        <v>20.855599999999999</v>
      </c>
      <c r="M78" s="3">
        <v>16992047.960999999</v>
      </c>
      <c r="N78" s="3">
        <v>7403814</v>
      </c>
      <c r="O78" s="3">
        <v>15373521</v>
      </c>
      <c r="P78" s="3">
        <v>7969707</v>
      </c>
      <c r="Q78" s="3">
        <v>1.5868753788413199</v>
      </c>
      <c r="R78" s="3">
        <v>16.548157171907899</v>
      </c>
      <c r="S78" s="3">
        <v>0.48159520515827198</v>
      </c>
      <c r="T78" s="3">
        <v>0.51840479484172797</v>
      </c>
      <c r="U78" s="3">
        <v>1965</v>
      </c>
      <c r="V78" s="3">
        <v>58</v>
      </c>
      <c r="W78" s="3">
        <v>1</v>
      </c>
      <c r="X78" s="3" t="s">
        <v>57</v>
      </c>
      <c r="Y78" s="4" t="s">
        <v>159</v>
      </c>
      <c r="Z78" s="3" t="s">
        <v>34</v>
      </c>
      <c r="AA78" s="5">
        <f t="shared" si="3"/>
        <v>1.5868753788413199</v>
      </c>
      <c r="AB78" s="5">
        <f t="shared" si="4"/>
        <v>0.48159520515827198</v>
      </c>
      <c r="AC78" s="5">
        <f t="shared" si="5"/>
        <v>0.5178342546357807</v>
      </c>
    </row>
    <row r="79" spans="1:29" ht="15" customHeight="1" x14ac:dyDescent="0.3">
      <c r="A79" s="3">
        <v>99</v>
      </c>
      <c r="B79" s="3">
        <v>20</v>
      </c>
      <c r="C79" s="3" t="s">
        <v>155</v>
      </c>
      <c r="D79" s="4" t="s">
        <v>156</v>
      </c>
      <c r="E79" s="3" t="s">
        <v>105</v>
      </c>
      <c r="F79" s="3">
        <v>2024</v>
      </c>
      <c r="G79" s="3">
        <v>1</v>
      </c>
      <c r="H79" s="3">
        <v>0</v>
      </c>
      <c r="I79" s="3">
        <v>0</v>
      </c>
      <c r="J79" s="3">
        <v>0</v>
      </c>
      <c r="K79" s="3">
        <v>814747500</v>
      </c>
      <c r="L79" s="3">
        <v>38.007300000000001</v>
      </c>
      <c r="M79" s="3">
        <v>30966352.656750001</v>
      </c>
      <c r="N79" s="3">
        <v>9040692</v>
      </c>
      <c r="O79" s="3">
        <v>19677179</v>
      </c>
      <c r="P79" s="3">
        <v>10636487</v>
      </c>
      <c r="Q79" s="3">
        <v>2.0331697270604701</v>
      </c>
      <c r="R79" s="3">
        <v>16.794970095817799</v>
      </c>
      <c r="S79" s="3">
        <v>0.459450615354975</v>
      </c>
      <c r="T79" s="3">
        <v>0.540549384645025</v>
      </c>
      <c r="U79" s="3">
        <v>1965</v>
      </c>
      <c r="V79" s="3">
        <v>59</v>
      </c>
      <c r="W79" s="3">
        <v>1</v>
      </c>
      <c r="X79" s="3" t="s">
        <v>57</v>
      </c>
      <c r="Y79" s="4" t="s">
        <v>159</v>
      </c>
      <c r="Z79" s="3" t="s">
        <v>34</v>
      </c>
      <c r="AA79" s="5">
        <f t="shared" si="3"/>
        <v>2.0331697270604701</v>
      </c>
      <c r="AB79" s="5">
        <f t="shared" si="4"/>
        <v>0.459450615354975</v>
      </c>
      <c r="AC79" s="5">
        <f t="shared" si="5"/>
        <v>0.5178342546357807</v>
      </c>
    </row>
    <row r="80" spans="1:29" ht="15" customHeight="1" x14ac:dyDescent="0.3">
      <c r="A80" s="3">
        <v>100</v>
      </c>
      <c r="B80" s="3">
        <v>20</v>
      </c>
      <c r="C80" s="3" t="s">
        <v>155</v>
      </c>
      <c r="D80" s="4" t="s">
        <v>156</v>
      </c>
      <c r="E80" s="3" t="s">
        <v>105</v>
      </c>
      <c r="F80" s="3">
        <v>2025</v>
      </c>
      <c r="G80" s="3">
        <v>1</v>
      </c>
      <c r="H80" s="3">
        <v>0</v>
      </c>
      <c r="I80" s="3">
        <v>0</v>
      </c>
      <c r="J80" s="3">
        <v>0</v>
      </c>
      <c r="K80" s="3">
        <v>814747500</v>
      </c>
      <c r="L80" s="3">
        <v>69.009799999999998</v>
      </c>
      <c r="M80" s="3">
        <v>56225562.0255</v>
      </c>
      <c r="N80" s="3">
        <v>10218000</v>
      </c>
      <c r="O80" s="3">
        <v>24466000</v>
      </c>
      <c r="P80" s="3">
        <v>14248000</v>
      </c>
      <c r="Q80" s="3">
        <v>2.7157509206858501</v>
      </c>
      <c r="R80" s="3">
        <v>17.012794956589001</v>
      </c>
      <c r="S80" s="3">
        <v>0.41764080765143502</v>
      </c>
      <c r="T80" s="3">
        <v>0.58235919234856504</v>
      </c>
      <c r="U80" s="3">
        <v>1965</v>
      </c>
      <c r="V80" s="3">
        <v>60</v>
      </c>
      <c r="W80" s="3">
        <v>1</v>
      </c>
      <c r="X80" s="3" t="s">
        <v>57</v>
      </c>
      <c r="Y80" s="4" t="s">
        <v>160</v>
      </c>
      <c r="Z80" s="3" t="s">
        <v>34</v>
      </c>
      <c r="AA80" s="5">
        <f t="shared" si="3"/>
        <v>2.7157509206858501</v>
      </c>
      <c r="AB80" s="5">
        <f t="shared" si="4"/>
        <v>0.41764080765143502</v>
      </c>
      <c r="AC80" s="5">
        <f t="shared" si="5"/>
        <v>0.5178342546357807</v>
      </c>
    </row>
    <row r="81" spans="1:29" ht="15" customHeight="1" x14ac:dyDescent="0.3">
      <c r="A81" s="3">
        <v>101</v>
      </c>
      <c r="B81" s="3">
        <v>21</v>
      </c>
      <c r="C81" s="3" t="s">
        <v>161</v>
      </c>
      <c r="D81" s="4" t="s">
        <v>162</v>
      </c>
      <c r="E81" s="3" t="s">
        <v>41</v>
      </c>
      <c r="F81" s="3">
        <v>2021</v>
      </c>
      <c r="G81" s="3">
        <v>0</v>
      </c>
      <c r="H81" s="3">
        <v>0</v>
      </c>
      <c r="I81" s="3">
        <v>10</v>
      </c>
      <c r="J81" s="3">
        <v>0</v>
      </c>
      <c r="K81" s="3">
        <v>3350509750</v>
      </c>
      <c r="L81" s="3">
        <v>1.72</v>
      </c>
      <c r="M81" s="3">
        <v>5762876.7699999996</v>
      </c>
      <c r="N81" s="3">
        <v>62492729</v>
      </c>
      <c r="O81" s="3">
        <v>79799649</v>
      </c>
      <c r="P81" s="3">
        <v>-4303635</v>
      </c>
      <c r="Q81" s="3">
        <v>0.855337167836415</v>
      </c>
      <c r="R81" s="3">
        <v>18.195029663914099</v>
      </c>
      <c r="S81" s="3">
        <v>0.78312034931381702</v>
      </c>
      <c r="T81" s="3">
        <v>-5.3930500370997898E-2</v>
      </c>
      <c r="U81" s="3">
        <v>2008</v>
      </c>
      <c r="V81" s="3">
        <v>13</v>
      </c>
      <c r="W81" s="3">
        <v>1</v>
      </c>
      <c r="X81" s="3" t="s">
        <v>32</v>
      </c>
      <c r="Y81" s="4" t="s">
        <v>163</v>
      </c>
      <c r="Z81" s="3" t="s">
        <v>34</v>
      </c>
      <c r="AA81" s="5">
        <f t="shared" si="3"/>
        <v>0.855337167836415</v>
      </c>
      <c r="AB81" s="5">
        <f t="shared" si="4"/>
        <v>0.78312034931381702</v>
      </c>
      <c r="AC81" s="5">
        <f t="shared" si="5"/>
        <v>-5.3930500370997898E-2</v>
      </c>
    </row>
    <row r="82" spans="1:29" ht="15" customHeight="1" x14ac:dyDescent="0.3">
      <c r="A82" s="3">
        <v>102</v>
      </c>
      <c r="B82" s="3">
        <v>21</v>
      </c>
      <c r="C82" s="3" t="s">
        <v>161</v>
      </c>
      <c r="D82" s="4" t="s">
        <v>162</v>
      </c>
      <c r="E82" s="3" t="s">
        <v>41</v>
      </c>
      <c r="F82" s="3">
        <v>2022</v>
      </c>
      <c r="G82" s="3">
        <v>0</v>
      </c>
      <c r="H82" s="3">
        <v>0</v>
      </c>
      <c r="I82" s="3">
        <v>10</v>
      </c>
      <c r="J82" s="3">
        <v>0</v>
      </c>
      <c r="K82" s="3">
        <v>3350509750</v>
      </c>
      <c r="L82" s="3">
        <v>0.99</v>
      </c>
      <c r="M82" s="3">
        <v>3317004.6524999999</v>
      </c>
      <c r="N82" s="3">
        <v>62311170</v>
      </c>
      <c r="O82" s="3">
        <v>74456376</v>
      </c>
      <c r="P82" s="3">
        <v>-5127302</v>
      </c>
      <c r="Q82" s="3">
        <v>0.88143122427151199</v>
      </c>
      <c r="R82" s="3">
        <v>18.125723954797301</v>
      </c>
      <c r="S82" s="3">
        <v>0.836881585534058</v>
      </c>
      <c r="T82" s="3">
        <v>-6.8863168951440804E-2</v>
      </c>
      <c r="U82" s="3">
        <v>2008</v>
      </c>
      <c r="V82" s="3">
        <v>14</v>
      </c>
      <c r="W82" s="3">
        <v>1</v>
      </c>
      <c r="X82" s="3" t="s">
        <v>32</v>
      </c>
      <c r="Y82" s="4" t="s">
        <v>164</v>
      </c>
      <c r="Z82" s="3" t="s">
        <v>34</v>
      </c>
      <c r="AA82" s="5">
        <f t="shared" si="3"/>
        <v>0.88143122427151199</v>
      </c>
      <c r="AB82" s="5">
        <f t="shared" si="4"/>
        <v>0.836881585534058</v>
      </c>
      <c r="AC82" s="5">
        <f t="shared" si="5"/>
        <v>-6.8863168951440804E-2</v>
      </c>
    </row>
    <row r="83" spans="1:29" ht="15" customHeight="1" x14ac:dyDescent="0.3">
      <c r="A83" s="3">
        <v>103</v>
      </c>
      <c r="B83" s="3">
        <v>21</v>
      </c>
      <c r="C83" s="3" t="s">
        <v>161</v>
      </c>
      <c r="D83" s="4" t="s">
        <v>162</v>
      </c>
      <c r="E83" s="3" t="s">
        <v>41</v>
      </c>
      <c r="F83" s="3">
        <v>2023</v>
      </c>
      <c r="G83" s="3">
        <v>1</v>
      </c>
      <c r="H83" s="3">
        <v>0</v>
      </c>
      <c r="I83" s="3">
        <v>10</v>
      </c>
      <c r="J83" s="3">
        <v>0</v>
      </c>
      <c r="K83" s="3">
        <v>3350509750</v>
      </c>
      <c r="L83" s="3">
        <v>1.79</v>
      </c>
      <c r="M83" s="3">
        <v>5997412.4524999997</v>
      </c>
      <c r="N83" s="3">
        <v>80066013</v>
      </c>
      <c r="O83" s="3">
        <v>79318378</v>
      </c>
      <c r="P83" s="3">
        <v>-12654132</v>
      </c>
      <c r="Q83" s="3">
        <v>1.0850376372106401</v>
      </c>
      <c r="R83" s="3">
        <v>18.188980412591899</v>
      </c>
      <c r="S83" s="3">
        <v>1.00942574746044</v>
      </c>
      <c r="T83" s="3">
        <v>-0.15953594008188099</v>
      </c>
      <c r="U83" s="3">
        <v>2008</v>
      </c>
      <c r="V83" s="3">
        <v>15</v>
      </c>
      <c r="W83" s="3">
        <v>1</v>
      </c>
      <c r="X83" s="3" t="s">
        <v>32</v>
      </c>
      <c r="Y83" s="4" t="s">
        <v>165</v>
      </c>
      <c r="Z83" s="3" t="s">
        <v>34</v>
      </c>
      <c r="AA83" s="5">
        <f t="shared" si="3"/>
        <v>1.0850376372106401</v>
      </c>
      <c r="AB83" s="5">
        <f t="shared" si="4"/>
        <v>1.00942574746044</v>
      </c>
      <c r="AC83" s="5">
        <f t="shared" si="5"/>
        <v>-0.15953594008188099</v>
      </c>
    </row>
    <row r="84" spans="1:29" ht="15" customHeight="1" x14ac:dyDescent="0.3">
      <c r="A84" s="3">
        <v>104</v>
      </c>
      <c r="B84" s="3">
        <v>21</v>
      </c>
      <c r="C84" s="3" t="s">
        <v>161</v>
      </c>
      <c r="D84" s="4" t="s">
        <v>162</v>
      </c>
      <c r="E84" s="3" t="s">
        <v>41</v>
      </c>
      <c r="F84" s="3">
        <v>2024</v>
      </c>
      <c r="G84" s="3">
        <v>1</v>
      </c>
      <c r="H84" s="3">
        <v>0</v>
      </c>
      <c r="I84" s="3">
        <v>0</v>
      </c>
      <c r="J84" s="3">
        <v>0</v>
      </c>
      <c r="K84" s="3">
        <v>3350509750</v>
      </c>
      <c r="L84" s="3">
        <v>2.3199999999999998</v>
      </c>
      <c r="M84" s="3">
        <v>7773182.6200000001</v>
      </c>
      <c r="N84" s="3">
        <v>130771139</v>
      </c>
      <c r="O84" s="3">
        <v>76163688</v>
      </c>
      <c r="P84" s="3">
        <v>-53472318</v>
      </c>
      <c r="Q84" s="3">
        <v>1.8190337844459401</v>
      </c>
      <c r="R84" s="3">
        <v>18.1483953716447</v>
      </c>
      <c r="S84" s="3">
        <v>1.71697487915764</v>
      </c>
      <c r="T84" s="3">
        <v>-0.70207101840971797</v>
      </c>
      <c r="U84" s="3">
        <v>2008</v>
      </c>
      <c r="V84" s="3">
        <v>16</v>
      </c>
      <c r="W84" s="3">
        <v>1</v>
      </c>
      <c r="X84" s="3" t="s">
        <v>32</v>
      </c>
      <c r="Y84" s="4" t="s">
        <v>166</v>
      </c>
      <c r="Z84" s="3" t="s">
        <v>34</v>
      </c>
      <c r="AA84" s="5">
        <f t="shared" si="3"/>
        <v>1.8190337844459401</v>
      </c>
      <c r="AB84" s="5">
        <f t="shared" si="4"/>
        <v>1.71697487915764</v>
      </c>
      <c r="AC84" s="5">
        <f t="shared" si="5"/>
        <v>-0.69757458830250851</v>
      </c>
    </row>
    <row r="85" spans="1:29" ht="15" customHeight="1" x14ac:dyDescent="0.3">
      <c r="A85" s="3">
        <v>105</v>
      </c>
      <c r="B85" s="3">
        <v>21</v>
      </c>
      <c r="C85" s="3" t="s">
        <v>161</v>
      </c>
      <c r="D85" s="4" t="s">
        <v>162</v>
      </c>
      <c r="E85" s="3" t="s">
        <v>41</v>
      </c>
      <c r="F85" s="3">
        <v>2025</v>
      </c>
      <c r="G85" s="3">
        <v>1</v>
      </c>
      <c r="H85" s="3">
        <v>0</v>
      </c>
      <c r="I85" s="3">
        <v>10</v>
      </c>
      <c r="J85" s="3">
        <v>0</v>
      </c>
      <c r="K85" s="3">
        <v>3350509750</v>
      </c>
      <c r="L85" s="3">
        <v>5.4</v>
      </c>
      <c r="M85" s="3">
        <v>18092752.649999999</v>
      </c>
      <c r="N85" s="3">
        <v>127388834</v>
      </c>
      <c r="O85" s="3">
        <v>118627469</v>
      </c>
      <c r="P85" s="3">
        <v>-13786202</v>
      </c>
      <c r="Q85" s="3">
        <v>1.2263735193574801</v>
      </c>
      <c r="R85" s="3">
        <v>18.591498628165699</v>
      </c>
      <c r="S85" s="3">
        <v>1.0738561234919399</v>
      </c>
      <c r="T85" s="3">
        <v>-0.116214247140348</v>
      </c>
      <c r="U85" s="3">
        <v>2008</v>
      </c>
      <c r="V85" s="3">
        <v>17</v>
      </c>
      <c r="W85" s="3">
        <v>1</v>
      </c>
      <c r="X85" s="3" t="s">
        <v>32</v>
      </c>
      <c r="Y85" s="4" t="s">
        <v>167</v>
      </c>
      <c r="Z85" s="3" t="s">
        <v>34</v>
      </c>
      <c r="AA85" s="5">
        <f t="shared" si="3"/>
        <v>1.2263735193574801</v>
      </c>
      <c r="AB85" s="5">
        <f t="shared" si="4"/>
        <v>1.0738561234919399</v>
      </c>
      <c r="AC85" s="5">
        <f t="shared" si="5"/>
        <v>-0.116214247140348</v>
      </c>
    </row>
    <row r="86" spans="1:29" ht="15" customHeight="1" x14ac:dyDescent="0.3">
      <c r="A86" s="3">
        <v>106</v>
      </c>
      <c r="B86" s="3">
        <v>22</v>
      </c>
      <c r="C86" s="3" t="s">
        <v>168</v>
      </c>
      <c r="D86" s="4" t="s">
        <v>169</v>
      </c>
      <c r="E86" s="3" t="s">
        <v>143</v>
      </c>
      <c r="F86" s="3">
        <v>2021</v>
      </c>
      <c r="G86" s="3">
        <v>0</v>
      </c>
      <c r="H86" s="3">
        <v>0</v>
      </c>
      <c r="I86" s="3">
        <v>0</v>
      </c>
      <c r="J86" s="3">
        <v>0</v>
      </c>
      <c r="K86" s="3">
        <v>7829496000</v>
      </c>
      <c r="L86" s="3">
        <v>2.35</v>
      </c>
      <c r="M86" s="3">
        <v>18399315.600000001</v>
      </c>
      <c r="N86" s="3">
        <v>3940710</v>
      </c>
      <c r="O86" s="3">
        <v>13473094</v>
      </c>
      <c r="P86" s="3">
        <v>984233</v>
      </c>
      <c r="Q86" s="3">
        <v>1.6581214084901399</v>
      </c>
      <c r="R86" s="3">
        <v>16.416205217630399</v>
      </c>
      <c r="S86" s="3">
        <v>0.29248738263089402</v>
      </c>
      <c r="T86" s="3">
        <v>7.3051742977522496E-2</v>
      </c>
      <c r="U86" s="3">
        <v>1974</v>
      </c>
      <c r="V86" s="3">
        <v>47</v>
      </c>
      <c r="W86" s="3">
        <v>1</v>
      </c>
      <c r="X86" s="3" t="s">
        <v>170</v>
      </c>
      <c r="Y86" s="4" t="s">
        <v>171</v>
      </c>
      <c r="Z86" s="3" t="s">
        <v>172</v>
      </c>
      <c r="AA86" s="5">
        <f t="shared" si="3"/>
        <v>1.6581214084901399</v>
      </c>
      <c r="AB86" s="5">
        <f t="shared" si="4"/>
        <v>0.29248738263089402</v>
      </c>
      <c r="AC86" s="5">
        <f t="shared" si="5"/>
        <v>7.3051742977522496E-2</v>
      </c>
    </row>
    <row r="87" spans="1:29" ht="15" customHeight="1" x14ac:dyDescent="0.3">
      <c r="A87" s="3">
        <v>107</v>
      </c>
      <c r="B87" s="3">
        <v>22</v>
      </c>
      <c r="C87" s="3" t="s">
        <v>168</v>
      </c>
      <c r="D87" s="4" t="s">
        <v>169</v>
      </c>
      <c r="E87" s="3" t="s">
        <v>143</v>
      </c>
      <c r="F87" s="3">
        <v>2022</v>
      </c>
      <c r="G87" s="3">
        <v>0</v>
      </c>
      <c r="H87" s="3">
        <v>0</v>
      </c>
      <c r="I87" s="3">
        <v>0</v>
      </c>
      <c r="J87" s="3">
        <v>0</v>
      </c>
      <c r="K87" s="3">
        <v>7829496000</v>
      </c>
      <c r="L87" s="3">
        <v>5.5000999999999998</v>
      </c>
      <c r="M87" s="3">
        <v>43063010.949600004</v>
      </c>
      <c r="N87" s="3">
        <v>4539125</v>
      </c>
      <c r="O87" s="3">
        <v>15453585</v>
      </c>
      <c r="P87" s="3">
        <v>882215</v>
      </c>
      <c r="Q87" s="3">
        <v>3.0803296419309798</v>
      </c>
      <c r="R87" s="3">
        <v>16.553351573226099</v>
      </c>
      <c r="S87" s="3">
        <v>0.29372634246357698</v>
      </c>
      <c r="T87" s="3">
        <v>5.7088047854268097E-2</v>
      </c>
      <c r="U87" s="3">
        <v>1974</v>
      </c>
      <c r="V87" s="3">
        <v>48</v>
      </c>
      <c r="W87" s="3">
        <v>1</v>
      </c>
      <c r="X87" s="3" t="s">
        <v>170</v>
      </c>
      <c r="Y87" s="4" t="s">
        <v>173</v>
      </c>
      <c r="Z87" s="3" t="s">
        <v>172</v>
      </c>
      <c r="AA87" s="5">
        <f t="shared" si="3"/>
        <v>3.0803296419309798</v>
      </c>
      <c r="AB87" s="5">
        <f t="shared" si="4"/>
        <v>0.29372634246357698</v>
      </c>
      <c r="AC87" s="5">
        <f t="shared" si="5"/>
        <v>5.7088047854268097E-2</v>
      </c>
    </row>
    <row r="88" spans="1:29" ht="15" customHeight="1" x14ac:dyDescent="0.3">
      <c r="A88" s="3">
        <v>108</v>
      </c>
      <c r="B88" s="3">
        <v>22</v>
      </c>
      <c r="C88" s="3" t="s">
        <v>168</v>
      </c>
      <c r="D88" s="4" t="s">
        <v>169</v>
      </c>
      <c r="E88" s="3" t="s">
        <v>143</v>
      </c>
      <c r="F88" s="3">
        <v>2023</v>
      </c>
      <c r="G88" s="3">
        <v>1</v>
      </c>
      <c r="H88" s="3">
        <v>0</v>
      </c>
      <c r="I88" s="3">
        <v>10</v>
      </c>
      <c r="J88" s="3">
        <v>6.6666666666666696</v>
      </c>
      <c r="K88" s="3">
        <v>7829496000</v>
      </c>
      <c r="L88" s="3">
        <v>4.1497000000000002</v>
      </c>
      <c r="M88" s="3">
        <v>32490059.551199999</v>
      </c>
      <c r="N88" s="3">
        <v>9357780</v>
      </c>
      <c r="O88" s="3">
        <v>20553079</v>
      </c>
      <c r="P88" s="3">
        <v>370563</v>
      </c>
      <c r="Q88" s="3">
        <v>2.0360861528922301</v>
      </c>
      <c r="R88" s="3">
        <v>16.838521317366901</v>
      </c>
      <c r="S88" s="3">
        <v>0.45529820617144501</v>
      </c>
      <c r="T88" s="3">
        <v>1.80295614102393E-2</v>
      </c>
      <c r="U88" s="3">
        <v>1974</v>
      </c>
      <c r="V88" s="3">
        <v>49</v>
      </c>
      <c r="W88" s="3">
        <v>1</v>
      </c>
      <c r="X88" s="3" t="s">
        <v>170</v>
      </c>
      <c r="Y88" s="4" t="s">
        <v>174</v>
      </c>
      <c r="Z88" s="3" t="s">
        <v>172</v>
      </c>
      <c r="AA88" s="5">
        <f t="shared" si="3"/>
        <v>2.0360861528922301</v>
      </c>
      <c r="AB88" s="5">
        <f t="shared" si="4"/>
        <v>0.45529820617144501</v>
      </c>
      <c r="AC88" s="5">
        <f t="shared" si="5"/>
        <v>1.80295614102393E-2</v>
      </c>
    </row>
    <row r="89" spans="1:29" ht="15" customHeight="1" x14ac:dyDescent="0.3">
      <c r="A89" s="3">
        <v>109</v>
      </c>
      <c r="B89" s="3">
        <v>22</v>
      </c>
      <c r="C89" s="3" t="s">
        <v>168</v>
      </c>
      <c r="D89" s="4" t="s">
        <v>169</v>
      </c>
      <c r="E89" s="3" t="s">
        <v>143</v>
      </c>
      <c r="F89" s="3">
        <v>2024</v>
      </c>
      <c r="G89" s="3">
        <v>1</v>
      </c>
      <c r="H89" s="3">
        <v>0</v>
      </c>
      <c r="I89" s="3">
        <v>35</v>
      </c>
      <c r="J89" s="3">
        <v>20</v>
      </c>
      <c r="K89" s="3">
        <v>8947995000</v>
      </c>
      <c r="L89" s="3">
        <v>3.8098000000000001</v>
      </c>
      <c r="M89" s="3">
        <v>34090071.351000004</v>
      </c>
      <c r="N89" s="3">
        <v>9289111</v>
      </c>
      <c r="O89" s="3">
        <v>21345197</v>
      </c>
      <c r="P89" s="3">
        <v>816995</v>
      </c>
      <c r="Q89" s="3">
        <v>2.0322690088547799</v>
      </c>
      <c r="R89" s="3">
        <v>16.876337307459298</v>
      </c>
      <c r="S89" s="3">
        <v>0.43518506762903197</v>
      </c>
      <c r="T89" s="3">
        <v>3.8275355341063397E-2</v>
      </c>
      <c r="U89" s="3">
        <v>1974</v>
      </c>
      <c r="V89" s="3">
        <v>50</v>
      </c>
      <c r="W89" s="3">
        <v>1</v>
      </c>
      <c r="X89" s="3" t="s">
        <v>170</v>
      </c>
      <c r="Y89" s="4" t="s">
        <v>175</v>
      </c>
      <c r="Z89" s="3" t="s">
        <v>172</v>
      </c>
      <c r="AA89" s="5">
        <f t="shared" si="3"/>
        <v>2.0322690088547799</v>
      </c>
      <c r="AB89" s="5">
        <f t="shared" si="4"/>
        <v>0.43518506762903197</v>
      </c>
      <c r="AC89" s="5">
        <f t="shared" si="5"/>
        <v>3.8275355341063397E-2</v>
      </c>
    </row>
    <row r="90" spans="1:29" ht="15" customHeight="1" x14ac:dyDescent="0.3">
      <c r="A90" s="3">
        <v>110</v>
      </c>
      <c r="B90" s="3">
        <v>22</v>
      </c>
      <c r="C90" s="3" t="s">
        <v>168</v>
      </c>
      <c r="D90" s="4" t="s">
        <v>169</v>
      </c>
      <c r="E90" s="3" t="s">
        <v>143</v>
      </c>
      <c r="F90" s="3">
        <v>2025</v>
      </c>
      <c r="G90" s="3">
        <v>1</v>
      </c>
      <c r="H90" s="3">
        <v>0</v>
      </c>
      <c r="I90" s="3">
        <v>0</v>
      </c>
      <c r="J90" s="3">
        <v>0</v>
      </c>
      <c r="K90" s="3">
        <v>8947995000</v>
      </c>
      <c r="L90" s="3">
        <v>14.0006</v>
      </c>
      <c r="M90" s="3">
        <v>125277298.79700001</v>
      </c>
      <c r="N90" s="3">
        <v>69261481</v>
      </c>
      <c r="O90" s="3">
        <v>82338577</v>
      </c>
      <c r="P90" s="3">
        <v>1789881</v>
      </c>
      <c r="Q90" s="3">
        <v>2.3626687135606002</v>
      </c>
      <c r="R90" s="3">
        <v>18.2263502921552</v>
      </c>
      <c r="S90" s="3">
        <v>0.84117898952759396</v>
      </c>
      <c r="T90" s="3">
        <v>2.1738060884875399E-2</v>
      </c>
      <c r="U90" s="3">
        <v>1974</v>
      </c>
      <c r="V90" s="3">
        <v>51</v>
      </c>
      <c r="W90" s="3">
        <v>1</v>
      </c>
      <c r="X90" s="3" t="s">
        <v>170</v>
      </c>
      <c r="Y90" s="4" t="s">
        <v>176</v>
      </c>
      <c r="Z90" s="3" t="s">
        <v>172</v>
      </c>
      <c r="AA90" s="5">
        <f t="shared" si="3"/>
        <v>2.3626687135606002</v>
      </c>
      <c r="AB90" s="5">
        <f t="shared" si="4"/>
        <v>0.84117898952759396</v>
      </c>
      <c r="AC90" s="5">
        <f t="shared" si="5"/>
        <v>2.1738060884875399E-2</v>
      </c>
    </row>
    <row r="91" spans="1:29" ht="15" customHeight="1" x14ac:dyDescent="0.3">
      <c r="A91" s="3">
        <v>111</v>
      </c>
      <c r="B91" s="3">
        <v>23</v>
      </c>
      <c r="C91" s="3" t="s">
        <v>177</v>
      </c>
      <c r="D91" s="4" t="s">
        <v>178</v>
      </c>
      <c r="E91" s="3" t="s">
        <v>90</v>
      </c>
      <c r="F91" s="3">
        <v>2021</v>
      </c>
      <c r="G91" s="3">
        <v>0</v>
      </c>
      <c r="H91" s="3">
        <v>0</v>
      </c>
      <c r="I91" s="3">
        <v>0</v>
      </c>
      <c r="J91" s="3">
        <v>0</v>
      </c>
      <c r="K91" s="3">
        <v>4696060000</v>
      </c>
      <c r="L91" s="3">
        <v>0.21929999999999999</v>
      </c>
      <c r="M91" s="3">
        <v>1029845.958</v>
      </c>
      <c r="N91" s="3">
        <v>7090714</v>
      </c>
      <c r="O91" s="3">
        <v>11825349</v>
      </c>
      <c r="P91" s="3">
        <v>-359916</v>
      </c>
      <c r="Q91" s="3">
        <v>0.68670784752314695</v>
      </c>
      <c r="R91" s="3">
        <v>16.2857560056488</v>
      </c>
      <c r="S91" s="3">
        <v>0.59961985054309996</v>
      </c>
      <c r="T91" s="3">
        <v>-3.0435972756491202E-2</v>
      </c>
      <c r="U91" s="3">
        <v>1985</v>
      </c>
      <c r="V91" s="3">
        <v>36</v>
      </c>
      <c r="W91" s="3">
        <v>0</v>
      </c>
      <c r="X91" s="3" t="s">
        <v>179</v>
      </c>
      <c r="Y91" s="4" t="s">
        <v>180</v>
      </c>
      <c r="Z91" s="3" t="s">
        <v>34</v>
      </c>
      <c r="AA91" s="5">
        <f t="shared" si="3"/>
        <v>0.68670784752314695</v>
      </c>
      <c r="AB91" s="5">
        <f t="shared" si="4"/>
        <v>0.59961985054309996</v>
      </c>
      <c r="AC91" s="5">
        <f t="shared" si="5"/>
        <v>-3.0435972756491202E-2</v>
      </c>
    </row>
    <row r="92" spans="1:29" ht="15" customHeight="1" x14ac:dyDescent="0.3">
      <c r="A92" s="3">
        <v>112</v>
      </c>
      <c r="B92" s="3">
        <v>23</v>
      </c>
      <c r="C92" s="3" t="s">
        <v>177</v>
      </c>
      <c r="D92" s="4" t="s">
        <v>178</v>
      </c>
      <c r="E92" s="3" t="s">
        <v>90</v>
      </c>
      <c r="F92" s="3">
        <v>2022</v>
      </c>
      <c r="G92" s="3">
        <v>0</v>
      </c>
      <c r="H92" s="3">
        <v>0</v>
      </c>
      <c r="I92" s="3">
        <v>0</v>
      </c>
      <c r="J92" s="3">
        <v>0</v>
      </c>
      <c r="K92" s="3">
        <v>4696060000</v>
      </c>
      <c r="L92" s="3">
        <v>0.21929999999999999</v>
      </c>
      <c r="M92" s="3">
        <v>1029845.958</v>
      </c>
      <c r="N92" s="3">
        <v>6839428</v>
      </c>
      <c r="O92" s="3">
        <v>16288880</v>
      </c>
      <c r="P92" s="3">
        <v>-375240</v>
      </c>
      <c r="Q92" s="3">
        <v>0.48310712326445998</v>
      </c>
      <c r="R92" s="3">
        <v>16.605993224377901</v>
      </c>
      <c r="S92" s="3">
        <v>0.41988325778076802</v>
      </c>
      <c r="T92" s="3">
        <v>-2.30365746447883E-2</v>
      </c>
      <c r="U92" s="3">
        <v>1985</v>
      </c>
      <c r="V92" s="3">
        <v>37</v>
      </c>
      <c r="W92" s="3">
        <v>0</v>
      </c>
      <c r="X92" s="3" t="s">
        <v>179</v>
      </c>
      <c r="Y92" s="4" t="s">
        <v>181</v>
      </c>
      <c r="Z92" s="3" t="s">
        <v>34</v>
      </c>
      <c r="AA92" s="5">
        <f t="shared" si="3"/>
        <v>0.48310712326445998</v>
      </c>
      <c r="AB92" s="5">
        <f t="shared" si="4"/>
        <v>0.41988325778076802</v>
      </c>
      <c r="AC92" s="5">
        <f t="shared" si="5"/>
        <v>-2.30365746447883E-2</v>
      </c>
    </row>
    <row r="93" spans="1:29" ht="15" customHeight="1" x14ac:dyDescent="0.3">
      <c r="A93" s="3">
        <v>113</v>
      </c>
      <c r="B93" s="3">
        <v>23</v>
      </c>
      <c r="C93" s="3" t="s">
        <v>177</v>
      </c>
      <c r="D93" s="4" t="s">
        <v>178</v>
      </c>
      <c r="E93" s="3" t="s">
        <v>90</v>
      </c>
      <c r="F93" s="3">
        <v>2023</v>
      </c>
      <c r="G93" s="3">
        <v>1</v>
      </c>
      <c r="H93" s="3">
        <v>0</v>
      </c>
      <c r="I93" s="3">
        <v>0</v>
      </c>
      <c r="J93" s="3">
        <v>0</v>
      </c>
      <c r="K93" s="3">
        <v>4696060000</v>
      </c>
      <c r="L93" s="3">
        <v>1.9698</v>
      </c>
      <c r="M93" s="3">
        <v>9250298.9879999999</v>
      </c>
      <c r="N93" s="3">
        <v>9332146</v>
      </c>
      <c r="O93" s="3">
        <v>18999495</v>
      </c>
      <c r="P93" s="3">
        <v>20220</v>
      </c>
      <c r="Q93" s="3">
        <v>0.97804941594500305</v>
      </c>
      <c r="R93" s="3">
        <v>16.759922957830099</v>
      </c>
      <c r="S93" s="3">
        <v>0.49117863395842898</v>
      </c>
      <c r="T93" s="3">
        <v>1.0642388126631799E-3</v>
      </c>
      <c r="U93" s="3">
        <v>1985</v>
      </c>
      <c r="V93" s="3">
        <v>38</v>
      </c>
      <c r="W93" s="3">
        <v>0</v>
      </c>
      <c r="X93" s="3" t="s">
        <v>179</v>
      </c>
      <c r="Y93" s="4" t="s">
        <v>182</v>
      </c>
      <c r="Z93" s="3" t="s">
        <v>34</v>
      </c>
      <c r="AA93" s="5">
        <f t="shared" si="3"/>
        <v>0.97804941594500305</v>
      </c>
      <c r="AB93" s="5">
        <f t="shared" si="4"/>
        <v>0.49117863395842898</v>
      </c>
      <c r="AC93" s="5">
        <f t="shared" si="5"/>
        <v>1.0642388126631799E-3</v>
      </c>
    </row>
    <row r="94" spans="1:29" ht="15" customHeight="1" x14ac:dyDescent="0.3">
      <c r="A94" s="3">
        <v>114</v>
      </c>
      <c r="B94" s="3">
        <v>23</v>
      </c>
      <c r="C94" s="3" t="s">
        <v>177</v>
      </c>
      <c r="D94" s="4" t="s">
        <v>178</v>
      </c>
      <c r="E94" s="3" t="s">
        <v>90</v>
      </c>
      <c r="F94" s="3">
        <v>2024</v>
      </c>
      <c r="G94" s="3">
        <v>1</v>
      </c>
      <c r="H94" s="3">
        <v>0</v>
      </c>
      <c r="I94" s="3">
        <v>0</v>
      </c>
      <c r="J94" s="3">
        <v>0</v>
      </c>
      <c r="K94" s="3">
        <v>4696060000</v>
      </c>
      <c r="L94" s="3">
        <v>1.9911000000000001</v>
      </c>
      <c r="M94" s="3">
        <v>9350325.0659999996</v>
      </c>
      <c r="N94" s="3">
        <v>10398617</v>
      </c>
      <c r="O94" s="3">
        <v>20391942</v>
      </c>
      <c r="P94" s="3">
        <v>391055</v>
      </c>
      <c r="Q94" s="3">
        <v>0.96846794022854699</v>
      </c>
      <c r="R94" s="3">
        <v>16.8306503807814</v>
      </c>
      <c r="S94" s="3">
        <v>0.50993755278432995</v>
      </c>
      <c r="T94" s="3">
        <v>1.9176937635463999E-2</v>
      </c>
      <c r="U94" s="3">
        <v>1985</v>
      </c>
      <c r="V94" s="3">
        <v>39</v>
      </c>
      <c r="W94" s="3">
        <v>0</v>
      </c>
      <c r="X94" s="3" t="s">
        <v>179</v>
      </c>
      <c r="Y94" s="4" t="s">
        <v>183</v>
      </c>
      <c r="Z94" s="3" t="s">
        <v>34</v>
      </c>
      <c r="AA94" s="5">
        <f t="shared" si="3"/>
        <v>0.96846794022854699</v>
      </c>
      <c r="AB94" s="5">
        <f t="shared" si="4"/>
        <v>0.50993755278432995</v>
      </c>
      <c r="AC94" s="5">
        <f t="shared" si="5"/>
        <v>1.9176937635463999E-2</v>
      </c>
    </row>
    <row r="95" spans="1:29" ht="15" customHeight="1" x14ac:dyDescent="0.3">
      <c r="A95" s="3">
        <v>115</v>
      </c>
      <c r="B95" s="3">
        <v>23</v>
      </c>
      <c r="C95" s="3" t="s">
        <v>177</v>
      </c>
      <c r="D95" s="4" t="s">
        <v>178</v>
      </c>
      <c r="E95" s="3" t="s">
        <v>90</v>
      </c>
      <c r="F95" s="3">
        <v>2025</v>
      </c>
      <c r="G95" s="3">
        <v>1</v>
      </c>
      <c r="H95" s="3">
        <v>0</v>
      </c>
      <c r="I95" s="3">
        <v>0</v>
      </c>
      <c r="J95" s="3">
        <v>0</v>
      </c>
      <c r="K95" s="3">
        <v>9000000000</v>
      </c>
      <c r="L95" s="3">
        <v>3.9</v>
      </c>
      <c r="M95" s="3">
        <v>35100000</v>
      </c>
      <c r="N95" s="3">
        <v>14856894</v>
      </c>
      <c r="O95" s="3">
        <v>34378390</v>
      </c>
      <c r="P95" s="3">
        <v>417093</v>
      </c>
      <c r="Q95" s="3">
        <v>1.45314815498922</v>
      </c>
      <c r="R95" s="3">
        <v>17.352938727270399</v>
      </c>
      <c r="S95" s="3">
        <v>0.43215793409755399</v>
      </c>
      <c r="T95" s="3">
        <v>1.21324180684436E-2</v>
      </c>
      <c r="U95" s="3">
        <v>1985</v>
      </c>
      <c r="V95" s="3">
        <v>40</v>
      </c>
      <c r="W95" s="3">
        <v>0</v>
      </c>
      <c r="X95" s="3" t="s">
        <v>179</v>
      </c>
      <c r="Y95" s="4" t="s">
        <v>184</v>
      </c>
      <c r="Z95" s="3" t="s">
        <v>34</v>
      </c>
      <c r="AA95" s="5">
        <f t="shared" si="3"/>
        <v>1.45314815498922</v>
      </c>
      <c r="AB95" s="5">
        <f t="shared" si="4"/>
        <v>0.43215793409755399</v>
      </c>
      <c r="AC95" s="5">
        <f t="shared" si="5"/>
        <v>1.21324180684436E-2</v>
      </c>
    </row>
    <row r="96" spans="1:29" ht="15" customHeight="1" x14ac:dyDescent="0.3">
      <c r="A96" s="3">
        <v>116</v>
      </c>
      <c r="B96" s="3">
        <v>24</v>
      </c>
      <c r="C96" s="3" t="s">
        <v>185</v>
      </c>
      <c r="D96" s="4" t="s">
        <v>186</v>
      </c>
      <c r="E96" s="3" t="s">
        <v>105</v>
      </c>
      <c r="F96" s="3">
        <v>2021</v>
      </c>
      <c r="G96" s="3">
        <v>0</v>
      </c>
      <c r="H96" s="3">
        <v>0</v>
      </c>
      <c r="I96" s="3">
        <v>0</v>
      </c>
      <c r="J96" s="3">
        <v>0</v>
      </c>
      <c r="K96" s="3">
        <v>722925000</v>
      </c>
      <c r="L96" s="3">
        <v>2.2408000000000001</v>
      </c>
      <c r="M96" s="3">
        <v>1619930.34</v>
      </c>
      <c r="N96" s="3">
        <v>13597176</v>
      </c>
      <c r="O96" s="3">
        <v>6574367</v>
      </c>
      <c r="P96" s="3">
        <v>-3814043</v>
      </c>
      <c r="Q96" s="3">
        <v>2.3146116333329099</v>
      </c>
      <c r="R96" s="3">
        <v>15.6986888576292</v>
      </c>
      <c r="S96" s="3">
        <v>2.0682106733621701</v>
      </c>
      <c r="T96" s="3">
        <v>-0.58013843766251605</v>
      </c>
      <c r="U96" s="3">
        <v>1947</v>
      </c>
      <c r="V96" s="3">
        <v>74</v>
      </c>
      <c r="W96" s="3">
        <v>0</v>
      </c>
      <c r="X96" s="3" t="s">
        <v>187</v>
      </c>
      <c r="Y96" s="4" t="s">
        <v>188</v>
      </c>
      <c r="Z96" s="3" t="s">
        <v>34</v>
      </c>
      <c r="AA96" s="5">
        <f t="shared" si="3"/>
        <v>2.3146116333329099</v>
      </c>
      <c r="AB96" s="5">
        <f t="shared" si="4"/>
        <v>2.0682106733621701</v>
      </c>
      <c r="AC96" s="5">
        <f t="shared" si="5"/>
        <v>-0.58013843766251605</v>
      </c>
    </row>
    <row r="97" spans="1:29" ht="15" customHeight="1" x14ac:dyDescent="0.3">
      <c r="A97" s="3">
        <v>117</v>
      </c>
      <c r="B97" s="3">
        <v>24</v>
      </c>
      <c r="C97" s="3" t="s">
        <v>185</v>
      </c>
      <c r="D97" s="4" t="s">
        <v>186</v>
      </c>
      <c r="E97" s="3" t="s">
        <v>105</v>
      </c>
      <c r="F97" s="3">
        <v>2022</v>
      </c>
      <c r="G97" s="3">
        <v>0</v>
      </c>
      <c r="H97" s="3">
        <v>0</v>
      </c>
      <c r="I97" s="3">
        <v>0</v>
      </c>
      <c r="J97" s="3">
        <v>0</v>
      </c>
      <c r="K97" s="3">
        <v>722925000</v>
      </c>
      <c r="L97" s="3">
        <v>2.2408000000000001</v>
      </c>
      <c r="M97" s="3">
        <v>1619930.34</v>
      </c>
      <c r="N97" s="3">
        <v>14938142</v>
      </c>
      <c r="O97" s="3">
        <v>11123983</v>
      </c>
      <c r="P97" s="3">
        <v>882215</v>
      </c>
      <c r="Q97" s="3">
        <v>1.4885021255426201</v>
      </c>
      <c r="R97" s="3">
        <v>16.224613966107601</v>
      </c>
      <c r="S97" s="3">
        <v>1.3428770971692401</v>
      </c>
      <c r="T97" s="3">
        <v>7.93074746698193E-2</v>
      </c>
      <c r="U97" s="3">
        <v>1947</v>
      </c>
      <c r="V97" s="3">
        <v>75</v>
      </c>
      <c r="W97" s="3">
        <v>0</v>
      </c>
      <c r="X97" s="3" t="s">
        <v>187</v>
      </c>
      <c r="Y97" s="4" t="s">
        <v>189</v>
      </c>
      <c r="Z97" s="3" t="s">
        <v>34</v>
      </c>
      <c r="AA97" s="5">
        <f t="shared" si="3"/>
        <v>1.4885021255426201</v>
      </c>
      <c r="AB97" s="5">
        <f t="shared" si="4"/>
        <v>1.3428770971692401</v>
      </c>
      <c r="AC97" s="5">
        <f t="shared" si="5"/>
        <v>7.93074746698193E-2</v>
      </c>
    </row>
    <row r="98" spans="1:29" ht="15" customHeight="1" x14ac:dyDescent="0.3">
      <c r="A98" s="3">
        <v>118</v>
      </c>
      <c r="B98" s="3">
        <v>24</v>
      </c>
      <c r="C98" s="3" t="s">
        <v>185</v>
      </c>
      <c r="D98" s="4" t="s">
        <v>186</v>
      </c>
      <c r="E98" s="3" t="s">
        <v>105</v>
      </c>
      <c r="F98" s="3">
        <v>2023</v>
      </c>
      <c r="G98" s="3">
        <v>1</v>
      </c>
      <c r="H98" s="3">
        <v>0</v>
      </c>
      <c r="I98" s="3">
        <v>0</v>
      </c>
      <c r="J98" s="3">
        <v>0</v>
      </c>
      <c r="K98" s="3">
        <v>722925000</v>
      </c>
      <c r="L98" s="3">
        <v>4.1500000000000004</v>
      </c>
      <c r="M98" s="3">
        <v>3000138.75</v>
      </c>
      <c r="N98" s="3">
        <v>12209972</v>
      </c>
      <c r="O98" s="3">
        <v>12178914</v>
      </c>
      <c r="P98" s="3">
        <v>3788560</v>
      </c>
      <c r="Q98" s="3">
        <v>1.2488889198166599</v>
      </c>
      <c r="R98" s="3">
        <v>16.3152166537092</v>
      </c>
      <c r="S98" s="3">
        <v>1.00255014527568</v>
      </c>
      <c r="T98" s="3">
        <v>0.31107535532314301</v>
      </c>
      <c r="U98" s="3">
        <v>1947</v>
      </c>
      <c r="V98" s="3">
        <v>76</v>
      </c>
      <c r="W98" s="3">
        <v>0</v>
      </c>
      <c r="X98" s="3" t="s">
        <v>187</v>
      </c>
      <c r="Y98" s="4" t="s">
        <v>190</v>
      </c>
      <c r="Z98" s="3" t="s">
        <v>34</v>
      </c>
      <c r="AA98" s="5">
        <f t="shared" si="3"/>
        <v>1.2488889198166599</v>
      </c>
      <c r="AB98" s="5">
        <f t="shared" si="4"/>
        <v>1.00255014527568</v>
      </c>
      <c r="AC98" s="5">
        <f t="shared" si="5"/>
        <v>0.31107535532314301</v>
      </c>
    </row>
    <row r="99" spans="1:29" ht="15" customHeight="1" x14ac:dyDescent="0.3">
      <c r="A99" s="3">
        <v>119</v>
      </c>
      <c r="B99" s="3">
        <v>24</v>
      </c>
      <c r="C99" s="3" t="s">
        <v>185</v>
      </c>
      <c r="D99" s="4" t="s">
        <v>186</v>
      </c>
      <c r="E99" s="3" t="s">
        <v>105</v>
      </c>
      <c r="F99" s="3">
        <v>2024</v>
      </c>
      <c r="G99" s="3">
        <v>1</v>
      </c>
      <c r="H99" s="3">
        <v>0</v>
      </c>
      <c r="I99" s="3">
        <v>0</v>
      </c>
      <c r="J99" s="3">
        <v>0</v>
      </c>
      <c r="K99" s="3">
        <v>722925000</v>
      </c>
      <c r="L99" s="3">
        <v>3.6930999999999998</v>
      </c>
      <c r="M99" s="3">
        <v>2669834.3174999999</v>
      </c>
      <c r="N99" s="3">
        <v>16459643</v>
      </c>
      <c r="O99" s="3">
        <v>14561812</v>
      </c>
      <c r="P99" s="3">
        <v>-3002959</v>
      </c>
      <c r="Q99" s="3">
        <v>1.3136742403692601</v>
      </c>
      <c r="R99" s="3">
        <v>16.4939130435389</v>
      </c>
      <c r="S99" s="3">
        <v>1.13032931615928</v>
      </c>
      <c r="T99" s="3">
        <v>-0.206221519684501</v>
      </c>
      <c r="U99" s="3">
        <v>1947</v>
      </c>
      <c r="V99" s="3">
        <v>77</v>
      </c>
      <c r="W99" s="3">
        <v>0</v>
      </c>
      <c r="X99" s="3" t="s">
        <v>187</v>
      </c>
      <c r="Y99" s="4" t="s">
        <v>191</v>
      </c>
      <c r="Z99" s="3" t="s">
        <v>34</v>
      </c>
      <c r="AA99" s="5">
        <f t="shared" si="3"/>
        <v>1.3136742403692601</v>
      </c>
      <c r="AB99" s="5">
        <f t="shared" si="4"/>
        <v>1.13032931615928</v>
      </c>
      <c r="AC99" s="5">
        <f t="shared" si="5"/>
        <v>-0.206221519684501</v>
      </c>
    </row>
    <row r="100" spans="1:29" ht="15" customHeight="1" x14ac:dyDescent="0.3">
      <c r="A100" s="3">
        <v>120</v>
      </c>
      <c r="B100" s="3">
        <v>24</v>
      </c>
      <c r="C100" s="3" t="s">
        <v>185</v>
      </c>
      <c r="D100" s="4" t="s">
        <v>186</v>
      </c>
      <c r="E100" s="3" t="s">
        <v>105</v>
      </c>
      <c r="F100" s="3">
        <v>2025</v>
      </c>
      <c r="G100" s="3">
        <v>1</v>
      </c>
      <c r="H100" s="3">
        <v>0</v>
      </c>
      <c r="I100" s="3">
        <v>0</v>
      </c>
      <c r="J100" s="3">
        <v>0</v>
      </c>
      <c r="K100" s="3">
        <v>722925000</v>
      </c>
      <c r="L100" s="3">
        <v>13.1959</v>
      </c>
      <c r="M100" s="3">
        <v>9539646.0075000003</v>
      </c>
      <c r="N100" s="3">
        <v>21009742</v>
      </c>
      <c r="O100" s="3">
        <v>23305367</v>
      </c>
      <c r="P100" s="3">
        <v>-2576964</v>
      </c>
      <c r="Q100" s="3">
        <v>1.3108305914041201</v>
      </c>
      <c r="R100" s="3">
        <v>16.964194235358601</v>
      </c>
      <c r="S100" s="3">
        <v>0.90149801116626904</v>
      </c>
      <c r="T100" s="3">
        <v>-0.110573843355481</v>
      </c>
      <c r="U100" s="3">
        <v>1947</v>
      </c>
      <c r="V100" s="3">
        <v>78</v>
      </c>
      <c r="W100" s="3">
        <v>0</v>
      </c>
      <c r="X100" s="3" t="s">
        <v>187</v>
      </c>
      <c r="Y100" s="4" t="s">
        <v>192</v>
      </c>
      <c r="Z100" s="3" t="s">
        <v>34</v>
      </c>
      <c r="AA100" s="5">
        <f t="shared" si="3"/>
        <v>1.3108305914041201</v>
      </c>
      <c r="AB100" s="5">
        <f t="shared" si="4"/>
        <v>0.90149801116626904</v>
      </c>
      <c r="AC100" s="5">
        <f t="shared" si="5"/>
        <v>-0.110573843355481</v>
      </c>
    </row>
    <row r="101" spans="1:29" ht="15" customHeight="1" x14ac:dyDescent="0.3">
      <c r="A101" s="3">
        <v>121</v>
      </c>
      <c r="B101" s="3">
        <v>25</v>
      </c>
      <c r="C101" s="3" t="s">
        <v>193</v>
      </c>
      <c r="D101" s="4" t="s">
        <v>194</v>
      </c>
      <c r="E101" s="3" t="s">
        <v>41</v>
      </c>
      <c r="F101" s="3">
        <v>2021</v>
      </c>
      <c r="G101" s="3">
        <v>0</v>
      </c>
      <c r="H101" s="3">
        <v>0</v>
      </c>
      <c r="I101" s="3">
        <v>0</v>
      </c>
      <c r="J101" s="3">
        <v>0</v>
      </c>
      <c r="K101" s="3">
        <v>1303000000</v>
      </c>
      <c r="L101" s="3">
        <v>2.5173000000000001</v>
      </c>
      <c r="M101" s="3">
        <v>3280041.9</v>
      </c>
      <c r="N101" s="3">
        <v>44271267</v>
      </c>
      <c r="O101" s="3">
        <v>58133823</v>
      </c>
      <c r="P101" s="3">
        <v>31280</v>
      </c>
      <c r="Q101" s="3">
        <v>0.81796287335171503</v>
      </c>
      <c r="R101" s="3">
        <v>17.8782582039007</v>
      </c>
      <c r="S101" s="3">
        <v>0.76154060950025604</v>
      </c>
      <c r="T101" s="3">
        <v>5.3806886225253104E-4</v>
      </c>
      <c r="U101" s="3">
        <v>1990</v>
      </c>
      <c r="V101" s="3">
        <v>31</v>
      </c>
      <c r="W101" s="3">
        <v>1</v>
      </c>
      <c r="X101" s="3" t="s">
        <v>50</v>
      </c>
      <c r="Y101" s="4" t="s">
        <v>195</v>
      </c>
      <c r="Z101" s="3" t="s">
        <v>34</v>
      </c>
      <c r="AA101" s="5">
        <f t="shared" si="3"/>
        <v>0.81796287335171503</v>
      </c>
      <c r="AB101" s="5">
        <f t="shared" si="4"/>
        <v>0.76154060950025604</v>
      </c>
      <c r="AC101" s="5">
        <f t="shared" si="5"/>
        <v>5.3806886225253104E-4</v>
      </c>
    </row>
    <row r="102" spans="1:29" ht="15" customHeight="1" x14ac:dyDescent="0.3">
      <c r="A102" s="3">
        <v>122</v>
      </c>
      <c r="B102" s="3">
        <v>25</v>
      </c>
      <c r="C102" s="3" t="s">
        <v>193</v>
      </c>
      <c r="D102" s="4" t="s">
        <v>194</v>
      </c>
      <c r="E102" s="3" t="s">
        <v>41</v>
      </c>
      <c r="F102" s="3">
        <v>2022</v>
      </c>
      <c r="G102" s="3">
        <v>0</v>
      </c>
      <c r="H102" s="3">
        <v>0</v>
      </c>
      <c r="I102" s="3">
        <v>0</v>
      </c>
      <c r="J102" s="3">
        <v>0</v>
      </c>
      <c r="K102" s="3">
        <v>1303000000</v>
      </c>
      <c r="L102" s="3">
        <v>1.9187000000000001</v>
      </c>
      <c r="M102" s="3">
        <v>2500066.1</v>
      </c>
      <c r="N102" s="3">
        <v>41039444</v>
      </c>
      <c r="O102" s="3">
        <v>57753684</v>
      </c>
      <c r="P102" s="3">
        <v>577269</v>
      </c>
      <c r="Q102" s="3">
        <v>0.75388281897307197</v>
      </c>
      <c r="R102" s="3">
        <v>17.8716976975393</v>
      </c>
      <c r="S102" s="3">
        <v>0.71059439255857704</v>
      </c>
      <c r="T102" s="3">
        <v>9.9953623737664907E-3</v>
      </c>
      <c r="U102" s="3">
        <v>1990</v>
      </c>
      <c r="V102" s="3">
        <v>32</v>
      </c>
      <c r="W102" s="3">
        <v>1</v>
      </c>
      <c r="X102" s="3" t="s">
        <v>50</v>
      </c>
      <c r="Y102" s="4" t="s">
        <v>196</v>
      </c>
      <c r="Z102" s="3" t="s">
        <v>34</v>
      </c>
      <c r="AA102" s="5">
        <f t="shared" si="3"/>
        <v>0.75388281897307197</v>
      </c>
      <c r="AB102" s="5">
        <f t="shared" si="4"/>
        <v>0.71059439255857704</v>
      </c>
      <c r="AC102" s="5">
        <f t="shared" si="5"/>
        <v>9.9953623737664907E-3</v>
      </c>
    </row>
    <row r="103" spans="1:29" ht="15" customHeight="1" x14ac:dyDescent="0.3">
      <c r="A103" s="3">
        <v>123</v>
      </c>
      <c r="B103" s="3">
        <v>25</v>
      </c>
      <c r="C103" s="3" t="s">
        <v>193</v>
      </c>
      <c r="D103" s="4" t="s">
        <v>194</v>
      </c>
      <c r="E103" s="3" t="s">
        <v>41</v>
      </c>
      <c r="F103" s="3">
        <v>2023</v>
      </c>
      <c r="G103" s="3">
        <v>1</v>
      </c>
      <c r="H103" s="3">
        <v>0</v>
      </c>
      <c r="I103" s="3">
        <v>0</v>
      </c>
      <c r="J103" s="3">
        <v>0</v>
      </c>
      <c r="K103" s="3">
        <v>1303000000</v>
      </c>
      <c r="L103" s="3">
        <v>3.3614999999999999</v>
      </c>
      <c r="M103" s="3">
        <v>4380034.5</v>
      </c>
      <c r="N103" s="3">
        <v>52302101</v>
      </c>
      <c r="O103" s="3">
        <v>78698307</v>
      </c>
      <c r="P103" s="3">
        <v>273334</v>
      </c>
      <c r="Q103" s="3">
        <v>0.72024593235531698</v>
      </c>
      <c r="R103" s="3">
        <v>18.181132201085099</v>
      </c>
      <c r="S103" s="3">
        <v>0.66458991296979197</v>
      </c>
      <c r="T103" s="3">
        <v>3.47318780313787E-3</v>
      </c>
      <c r="U103" s="3">
        <v>1990</v>
      </c>
      <c r="V103" s="3">
        <v>33</v>
      </c>
      <c r="W103" s="3">
        <v>1</v>
      </c>
      <c r="X103" s="3" t="s">
        <v>50</v>
      </c>
      <c r="Y103" s="4" t="s">
        <v>197</v>
      </c>
      <c r="Z103" s="3" t="s">
        <v>34</v>
      </c>
      <c r="AA103" s="5">
        <f t="shared" si="3"/>
        <v>0.72024593235531698</v>
      </c>
      <c r="AB103" s="5">
        <f t="shared" si="4"/>
        <v>0.66458991296979197</v>
      </c>
      <c r="AC103" s="5">
        <f t="shared" si="5"/>
        <v>3.47318780313787E-3</v>
      </c>
    </row>
    <row r="104" spans="1:29" ht="15" customHeight="1" x14ac:dyDescent="0.3">
      <c r="A104" s="3">
        <v>124</v>
      </c>
      <c r="B104" s="3">
        <v>25</v>
      </c>
      <c r="C104" s="3" t="s">
        <v>193</v>
      </c>
      <c r="D104" s="4" t="s">
        <v>194</v>
      </c>
      <c r="E104" s="3" t="s">
        <v>41</v>
      </c>
      <c r="F104" s="3">
        <v>2024</v>
      </c>
      <c r="G104" s="3">
        <v>1</v>
      </c>
      <c r="H104" s="3">
        <v>0</v>
      </c>
      <c r="I104" s="3">
        <v>0</v>
      </c>
      <c r="J104" s="3">
        <v>0</v>
      </c>
      <c r="K104" s="3">
        <v>2949000000</v>
      </c>
      <c r="L104" s="3">
        <v>3.7707999999999999</v>
      </c>
      <c r="M104" s="3">
        <v>11120089.199999999</v>
      </c>
      <c r="N104" s="3">
        <v>68120000</v>
      </c>
      <c r="O104" s="3">
        <v>116270000</v>
      </c>
      <c r="P104" s="3">
        <v>1600000</v>
      </c>
      <c r="Q104" s="3">
        <v>0.68151792551819101</v>
      </c>
      <c r="R104" s="3">
        <v>18.5714256306448</v>
      </c>
      <c r="S104" s="3">
        <v>0.58587769846047999</v>
      </c>
      <c r="T104" s="3">
        <v>1.37610733637224E-2</v>
      </c>
      <c r="U104" s="3">
        <v>1990</v>
      </c>
      <c r="V104" s="3">
        <v>34</v>
      </c>
      <c r="W104" s="3">
        <v>1</v>
      </c>
      <c r="X104" s="3" t="s">
        <v>50</v>
      </c>
      <c r="Y104" s="4" t="s">
        <v>198</v>
      </c>
      <c r="Z104" s="3" t="s">
        <v>34</v>
      </c>
      <c r="AA104" s="5">
        <f t="shared" si="3"/>
        <v>0.68151792551819101</v>
      </c>
      <c r="AB104" s="5">
        <f t="shared" si="4"/>
        <v>0.58587769846047999</v>
      </c>
      <c r="AC104" s="5">
        <f t="shared" si="5"/>
        <v>1.37610733637224E-2</v>
      </c>
    </row>
    <row r="105" spans="1:29" ht="15" customHeight="1" x14ac:dyDescent="0.3">
      <c r="A105" s="3">
        <v>125</v>
      </c>
      <c r="B105" s="3">
        <v>25</v>
      </c>
      <c r="C105" s="3" t="s">
        <v>193</v>
      </c>
      <c r="D105" s="4" t="s">
        <v>194</v>
      </c>
      <c r="E105" s="3" t="s">
        <v>41</v>
      </c>
      <c r="F105" s="3">
        <v>2025</v>
      </c>
      <c r="G105" s="3">
        <v>1</v>
      </c>
      <c r="H105" s="3">
        <v>0</v>
      </c>
      <c r="I105" s="3">
        <v>0</v>
      </c>
      <c r="J105" s="3">
        <v>0</v>
      </c>
      <c r="K105" s="3">
        <v>2949000000</v>
      </c>
      <c r="L105" s="3">
        <v>6.8498000000000001</v>
      </c>
      <c r="M105" s="3">
        <v>20200060.199999999</v>
      </c>
      <c r="N105" s="3">
        <v>89980000</v>
      </c>
      <c r="O105" s="3">
        <v>135550000</v>
      </c>
      <c r="P105" s="3">
        <v>2940000</v>
      </c>
      <c r="Q105" s="3">
        <v>0.81283703578015498</v>
      </c>
      <c r="R105" s="3">
        <v>18.724851133908999</v>
      </c>
      <c r="S105" s="3">
        <v>0.66381409074142395</v>
      </c>
      <c r="T105" s="3">
        <v>2.1689413500553301E-2</v>
      </c>
      <c r="U105" s="3">
        <v>1990</v>
      </c>
      <c r="V105" s="3">
        <v>35</v>
      </c>
      <c r="W105" s="3">
        <v>1</v>
      </c>
      <c r="X105" s="3" t="s">
        <v>50</v>
      </c>
      <c r="Y105" s="4" t="s">
        <v>199</v>
      </c>
      <c r="Z105" s="3" t="s">
        <v>34</v>
      </c>
      <c r="AA105" s="5">
        <f t="shared" si="3"/>
        <v>0.81283703578015498</v>
      </c>
      <c r="AB105" s="5">
        <f t="shared" si="4"/>
        <v>0.66381409074142395</v>
      </c>
      <c r="AC105" s="5">
        <f t="shared" si="5"/>
        <v>2.1689413500553301E-2</v>
      </c>
    </row>
    <row r="106" spans="1:29" ht="15" customHeight="1" x14ac:dyDescent="0.3">
      <c r="A106" s="3">
        <v>136</v>
      </c>
      <c r="B106" s="3">
        <v>28</v>
      </c>
      <c r="C106" s="3" t="s">
        <v>200</v>
      </c>
      <c r="D106" s="4" t="s">
        <v>201</v>
      </c>
      <c r="E106" s="3" t="s">
        <v>31</v>
      </c>
      <c r="F106" s="3">
        <v>2021</v>
      </c>
      <c r="G106" s="3">
        <v>0</v>
      </c>
      <c r="H106" s="3">
        <v>0</v>
      </c>
      <c r="I106" s="3">
        <v>15</v>
      </c>
      <c r="J106" s="3">
        <v>0</v>
      </c>
      <c r="K106" s="3">
        <v>10840000000</v>
      </c>
      <c r="L106" s="3">
        <v>0.78959999999999997</v>
      </c>
      <c r="M106" s="3">
        <v>8559264</v>
      </c>
      <c r="N106" s="3">
        <v>6662383</v>
      </c>
      <c r="O106" s="3">
        <v>15674166</v>
      </c>
      <c r="P106" s="3">
        <v>790638</v>
      </c>
      <c r="Q106" s="3">
        <v>0.97112962820477999</v>
      </c>
      <c r="R106" s="3">
        <v>16.567524437326199</v>
      </c>
      <c r="S106" s="3">
        <v>0.42505502366122699</v>
      </c>
      <c r="T106" s="3">
        <v>5.0442109647173598E-2</v>
      </c>
      <c r="U106" s="3">
        <v>1991</v>
      </c>
      <c r="V106" s="3">
        <v>30</v>
      </c>
      <c r="W106" s="3">
        <v>1</v>
      </c>
      <c r="X106" s="3" t="s">
        <v>57</v>
      </c>
      <c r="Y106" s="4" t="s">
        <v>202</v>
      </c>
      <c r="Z106" s="3" t="s">
        <v>34</v>
      </c>
      <c r="AA106" s="5">
        <f t="shared" si="3"/>
        <v>0.97112962820477999</v>
      </c>
      <c r="AB106" s="5">
        <f t="shared" si="4"/>
        <v>0.42505502366122699</v>
      </c>
      <c r="AC106" s="5">
        <f t="shared" si="5"/>
        <v>5.0442109647173598E-2</v>
      </c>
    </row>
    <row r="107" spans="1:29" ht="15" customHeight="1" x14ac:dyDescent="0.3">
      <c r="A107" s="3">
        <v>137</v>
      </c>
      <c r="B107" s="3">
        <v>28</v>
      </c>
      <c r="C107" s="3" t="s">
        <v>200</v>
      </c>
      <c r="D107" s="4" t="s">
        <v>201</v>
      </c>
      <c r="E107" s="3" t="s">
        <v>31</v>
      </c>
      <c r="F107" s="3">
        <v>2022</v>
      </c>
      <c r="G107" s="3">
        <v>0</v>
      </c>
      <c r="H107" s="3">
        <v>0</v>
      </c>
      <c r="I107" s="3">
        <v>15</v>
      </c>
      <c r="J107" s="3">
        <v>0</v>
      </c>
      <c r="K107" s="3">
        <v>10840000000</v>
      </c>
      <c r="L107" s="3">
        <v>0.66969999999999996</v>
      </c>
      <c r="M107" s="3">
        <v>7259548</v>
      </c>
      <c r="N107" s="3">
        <v>8726725</v>
      </c>
      <c r="O107" s="3">
        <v>18535742</v>
      </c>
      <c r="P107" s="3">
        <v>995985</v>
      </c>
      <c r="Q107" s="3">
        <v>0.862456598716145</v>
      </c>
      <c r="R107" s="3">
        <v>16.7352114261369</v>
      </c>
      <c r="S107" s="3">
        <v>0.47080526908499298</v>
      </c>
      <c r="T107" s="3">
        <v>5.3733214456696703E-2</v>
      </c>
      <c r="U107" s="3">
        <v>1991</v>
      </c>
      <c r="V107" s="3">
        <v>31</v>
      </c>
      <c r="W107" s="3">
        <v>1</v>
      </c>
      <c r="X107" s="3" t="s">
        <v>57</v>
      </c>
      <c r="Y107" s="4" t="s">
        <v>203</v>
      </c>
      <c r="Z107" s="3" t="s">
        <v>34</v>
      </c>
      <c r="AA107" s="5">
        <f t="shared" si="3"/>
        <v>0.862456598716145</v>
      </c>
      <c r="AB107" s="5">
        <f t="shared" si="4"/>
        <v>0.47080526908499298</v>
      </c>
      <c r="AC107" s="5">
        <f t="shared" si="5"/>
        <v>5.3733214456696703E-2</v>
      </c>
    </row>
    <row r="108" spans="1:29" ht="15" customHeight="1" x14ac:dyDescent="0.3">
      <c r="A108" s="3">
        <v>138</v>
      </c>
      <c r="B108" s="3">
        <v>28</v>
      </c>
      <c r="C108" s="3" t="s">
        <v>200</v>
      </c>
      <c r="D108" s="4" t="s">
        <v>201</v>
      </c>
      <c r="E108" s="3" t="s">
        <v>31</v>
      </c>
      <c r="F108" s="3">
        <v>2023</v>
      </c>
      <c r="G108" s="3">
        <v>1</v>
      </c>
      <c r="H108" s="3">
        <v>0</v>
      </c>
      <c r="I108" s="3">
        <v>0</v>
      </c>
      <c r="J108" s="3">
        <v>0</v>
      </c>
      <c r="K108" s="3">
        <v>10840000000</v>
      </c>
      <c r="L108" s="3">
        <v>1.4696</v>
      </c>
      <c r="M108" s="3">
        <v>15930464</v>
      </c>
      <c r="N108" s="3">
        <v>13300000</v>
      </c>
      <c r="O108" s="3">
        <v>26200000</v>
      </c>
      <c r="P108" s="3">
        <v>3700000</v>
      </c>
      <c r="Q108" s="3">
        <v>1.1156665648855</v>
      </c>
      <c r="R108" s="3">
        <v>17.081269968731299</v>
      </c>
      <c r="S108" s="3">
        <v>0.50763358778626</v>
      </c>
      <c r="T108" s="3">
        <v>0.14122137404580201</v>
      </c>
      <c r="U108" s="3">
        <v>1991</v>
      </c>
      <c r="V108" s="3">
        <v>32</v>
      </c>
      <c r="W108" s="3">
        <v>1</v>
      </c>
      <c r="X108" s="3" t="s">
        <v>57</v>
      </c>
      <c r="Y108" s="4" t="s">
        <v>204</v>
      </c>
      <c r="Z108" s="3" t="s">
        <v>34</v>
      </c>
      <c r="AA108" s="5">
        <f t="shared" si="3"/>
        <v>1.1156665648855</v>
      </c>
      <c r="AB108" s="5">
        <f t="shared" si="4"/>
        <v>0.50763358778626</v>
      </c>
      <c r="AC108" s="5">
        <f t="shared" si="5"/>
        <v>0.14122137404580201</v>
      </c>
    </row>
    <row r="109" spans="1:29" ht="15" customHeight="1" x14ac:dyDescent="0.3">
      <c r="A109" s="3">
        <v>139</v>
      </c>
      <c r="B109" s="3">
        <v>28</v>
      </c>
      <c r="C109" s="3" t="s">
        <v>200</v>
      </c>
      <c r="D109" s="4" t="s">
        <v>201</v>
      </c>
      <c r="E109" s="3" t="s">
        <v>31</v>
      </c>
      <c r="F109" s="3">
        <v>2024</v>
      </c>
      <c r="G109" s="3">
        <v>1</v>
      </c>
      <c r="H109" s="3">
        <v>0</v>
      </c>
      <c r="I109" s="3">
        <v>0</v>
      </c>
      <c r="J109" s="3">
        <v>0</v>
      </c>
      <c r="K109" s="3">
        <v>10840000000</v>
      </c>
      <c r="L109" s="3">
        <v>3.4502000000000002</v>
      </c>
      <c r="M109" s="3">
        <v>37400168</v>
      </c>
      <c r="N109" s="3">
        <v>21900000</v>
      </c>
      <c r="O109" s="3">
        <v>56900000</v>
      </c>
      <c r="P109" s="3">
        <v>22630000</v>
      </c>
      <c r="Q109" s="3">
        <v>1.04218221441125</v>
      </c>
      <c r="R109" s="3">
        <v>17.856805899096599</v>
      </c>
      <c r="S109" s="3">
        <v>0.38488576449912099</v>
      </c>
      <c r="T109" s="3">
        <v>0.397715289982425</v>
      </c>
      <c r="U109" s="3">
        <v>1991</v>
      </c>
      <c r="V109" s="3">
        <v>33</v>
      </c>
      <c r="W109" s="3">
        <v>1</v>
      </c>
      <c r="X109" s="3" t="s">
        <v>57</v>
      </c>
      <c r="Y109" s="4" t="s">
        <v>205</v>
      </c>
      <c r="Z109" s="3" t="s">
        <v>34</v>
      </c>
      <c r="AA109" s="5">
        <f t="shared" si="3"/>
        <v>1.04218221441125</v>
      </c>
      <c r="AB109" s="5">
        <f t="shared" si="4"/>
        <v>0.38488576449912099</v>
      </c>
      <c r="AC109" s="5">
        <f t="shared" si="5"/>
        <v>0.397715289982425</v>
      </c>
    </row>
    <row r="110" spans="1:29" ht="15" customHeight="1" x14ac:dyDescent="0.3">
      <c r="A110" s="3">
        <v>140</v>
      </c>
      <c r="B110" s="3">
        <v>28</v>
      </c>
      <c r="C110" s="3" t="s">
        <v>200</v>
      </c>
      <c r="D110" s="4" t="s">
        <v>201</v>
      </c>
      <c r="E110" s="3" t="s">
        <v>31</v>
      </c>
      <c r="F110" s="3">
        <v>2025</v>
      </c>
      <c r="G110" s="3">
        <v>1</v>
      </c>
      <c r="H110" s="3">
        <v>0</v>
      </c>
      <c r="I110" s="3">
        <v>0</v>
      </c>
      <c r="J110" s="3">
        <v>0</v>
      </c>
      <c r="K110" s="3">
        <v>10840000000</v>
      </c>
      <c r="L110" s="3">
        <v>4.3404999999999996</v>
      </c>
      <c r="M110" s="3">
        <v>47051020</v>
      </c>
      <c r="N110" s="3">
        <v>33782035.796999998</v>
      </c>
      <c r="O110" s="3">
        <v>75939296.063999996</v>
      </c>
      <c r="P110" s="3">
        <v>8440000</v>
      </c>
      <c r="Q110" s="3">
        <v>1.06444304841693</v>
      </c>
      <c r="R110" s="3">
        <v>18.145444843090999</v>
      </c>
      <c r="S110" s="3">
        <v>0.44485579335011499</v>
      </c>
      <c r="T110" s="3">
        <v>0.111141404219588</v>
      </c>
      <c r="U110" s="3">
        <v>1991</v>
      </c>
      <c r="V110" s="3">
        <v>34</v>
      </c>
      <c r="W110" s="3">
        <v>1</v>
      </c>
      <c r="X110" s="3" t="s">
        <v>57</v>
      </c>
      <c r="Y110" s="4" t="s">
        <v>206</v>
      </c>
      <c r="Z110" s="3" t="s">
        <v>34</v>
      </c>
      <c r="AA110" s="5">
        <f t="shared" si="3"/>
        <v>1.06444304841693</v>
      </c>
      <c r="AB110" s="5">
        <f t="shared" si="4"/>
        <v>0.44485579335011499</v>
      </c>
      <c r="AC110" s="5">
        <f t="shared" si="5"/>
        <v>0.111141404219588</v>
      </c>
    </row>
    <row r="111" spans="1:29" ht="15" customHeight="1" x14ac:dyDescent="0.3">
      <c r="A111" s="3">
        <v>141</v>
      </c>
      <c r="B111" s="3">
        <v>29</v>
      </c>
      <c r="C111" s="3" t="s">
        <v>207</v>
      </c>
      <c r="D111" s="4" t="s">
        <v>208</v>
      </c>
      <c r="E111" s="3" t="s">
        <v>99</v>
      </c>
      <c r="F111" s="3">
        <v>2021</v>
      </c>
      <c r="G111" s="3">
        <v>0</v>
      </c>
      <c r="H111" s="3">
        <v>0</v>
      </c>
      <c r="I111" s="3">
        <v>5</v>
      </c>
      <c r="J111" s="3">
        <v>0</v>
      </c>
      <c r="K111" s="3">
        <v>693952117</v>
      </c>
      <c r="L111" s="3">
        <v>22</v>
      </c>
      <c r="M111" s="3">
        <v>15266946.573999999</v>
      </c>
      <c r="N111" s="3">
        <v>32191978</v>
      </c>
      <c r="O111" s="3">
        <v>53981346</v>
      </c>
      <c r="P111" s="3">
        <v>3082690</v>
      </c>
      <c r="Q111" s="3">
        <v>0.87917267891022999</v>
      </c>
      <c r="R111" s="3">
        <v>17.804149100404398</v>
      </c>
      <c r="S111" s="3">
        <v>0.59635374782985195</v>
      </c>
      <c r="T111" s="3">
        <v>5.71065790023094E-2</v>
      </c>
      <c r="U111" s="3">
        <v>1960</v>
      </c>
      <c r="V111" s="3">
        <v>61</v>
      </c>
      <c r="W111" s="3">
        <v>0</v>
      </c>
      <c r="X111" s="3" t="s">
        <v>209</v>
      </c>
      <c r="Y111" s="4" t="s">
        <v>210</v>
      </c>
      <c r="Z111" s="3" t="s">
        <v>34</v>
      </c>
      <c r="AA111" s="5">
        <f t="shared" si="3"/>
        <v>0.87917267891022999</v>
      </c>
      <c r="AB111" s="5">
        <f t="shared" si="4"/>
        <v>0.59635374782985195</v>
      </c>
      <c r="AC111" s="5">
        <f t="shared" si="5"/>
        <v>5.71065790023094E-2</v>
      </c>
    </row>
    <row r="112" spans="1:29" ht="15" customHeight="1" x14ac:dyDescent="0.3">
      <c r="A112" s="3">
        <v>142</v>
      </c>
      <c r="B112" s="3">
        <v>29</v>
      </c>
      <c r="C112" s="3" t="s">
        <v>207</v>
      </c>
      <c r="D112" s="4" t="s">
        <v>208</v>
      </c>
      <c r="E112" s="3" t="s">
        <v>99</v>
      </c>
      <c r="F112" s="3">
        <v>2022</v>
      </c>
      <c r="G112" s="3">
        <v>0</v>
      </c>
      <c r="H112" s="3">
        <v>0</v>
      </c>
      <c r="I112" s="3">
        <v>5</v>
      </c>
      <c r="J112" s="3">
        <v>0</v>
      </c>
      <c r="K112" s="3">
        <v>693952117</v>
      </c>
      <c r="L112" s="3">
        <v>26.5</v>
      </c>
      <c r="M112" s="3">
        <v>18389731.100499999</v>
      </c>
      <c r="N112" s="3">
        <v>33718298</v>
      </c>
      <c r="O112" s="3">
        <v>59994291</v>
      </c>
      <c r="P112" s="3">
        <v>6221505</v>
      </c>
      <c r="Q112" s="3">
        <v>0.868549794187917</v>
      </c>
      <c r="R112" s="3">
        <v>17.909759965659301</v>
      </c>
      <c r="S112" s="3">
        <v>0.56202511002255195</v>
      </c>
      <c r="T112" s="3">
        <v>0.10370161720887699</v>
      </c>
      <c r="U112" s="3">
        <v>1960</v>
      </c>
      <c r="V112" s="3">
        <v>62</v>
      </c>
      <c r="W112" s="3">
        <v>0</v>
      </c>
      <c r="X112" s="3" t="s">
        <v>209</v>
      </c>
      <c r="Y112" s="4" t="s">
        <v>211</v>
      </c>
      <c r="Z112" s="3" t="s">
        <v>34</v>
      </c>
      <c r="AA112" s="5">
        <f t="shared" si="3"/>
        <v>0.868549794187917</v>
      </c>
      <c r="AB112" s="5">
        <f t="shared" si="4"/>
        <v>0.56202511002255195</v>
      </c>
      <c r="AC112" s="5">
        <f t="shared" si="5"/>
        <v>0.10370161720887699</v>
      </c>
    </row>
    <row r="113" spans="1:29" ht="15" customHeight="1" x14ac:dyDescent="0.3">
      <c r="A113" s="3">
        <v>143</v>
      </c>
      <c r="B113" s="3">
        <v>29</v>
      </c>
      <c r="C113" s="3" t="s">
        <v>207</v>
      </c>
      <c r="D113" s="4" t="s">
        <v>208</v>
      </c>
      <c r="E113" s="3" t="s">
        <v>99</v>
      </c>
      <c r="F113" s="3">
        <v>2023</v>
      </c>
      <c r="G113" s="3">
        <v>1</v>
      </c>
      <c r="H113" s="3">
        <v>0</v>
      </c>
      <c r="I113" s="3">
        <v>5</v>
      </c>
      <c r="J113" s="3">
        <v>0</v>
      </c>
      <c r="K113" s="3">
        <v>693952117</v>
      </c>
      <c r="L113" s="3">
        <v>83.9</v>
      </c>
      <c r="M113" s="3">
        <v>58222582.616300002</v>
      </c>
      <c r="N113" s="3">
        <v>64332404</v>
      </c>
      <c r="O113" s="3">
        <v>97477977</v>
      </c>
      <c r="P113" s="3">
        <v>9868239</v>
      </c>
      <c r="Q113" s="3">
        <v>1.2572582073210199</v>
      </c>
      <c r="R113" s="3">
        <v>18.395137033531</v>
      </c>
      <c r="S113" s="3">
        <v>0.65996859988179701</v>
      </c>
      <c r="T113" s="3">
        <v>0.101235574472375</v>
      </c>
      <c r="U113" s="3">
        <v>1960</v>
      </c>
      <c r="V113" s="3">
        <v>63</v>
      </c>
      <c r="W113" s="3">
        <v>0</v>
      </c>
      <c r="X113" s="3" t="s">
        <v>209</v>
      </c>
      <c r="Y113" s="4" t="s">
        <v>212</v>
      </c>
      <c r="Z113" s="3" t="s">
        <v>34</v>
      </c>
      <c r="AA113" s="5">
        <f t="shared" si="3"/>
        <v>1.2572582073210199</v>
      </c>
      <c r="AB113" s="5">
        <f t="shared" si="4"/>
        <v>0.65996859988179701</v>
      </c>
      <c r="AC113" s="5">
        <f t="shared" si="5"/>
        <v>0.101235574472375</v>
      </c>
    </row>
    <row r="114" spans="1:29" ht="15" customHeight="1" x14ac:dyDescent="0.3">
      <c r="A114" s="3">
        <v>144</v>
      </c>
      <c r="B114" s="3">
        <v>29</v>
      </c>
      <c r="C114" s="3" t="s">
        <v>207</v>
      </c>
      <c r="D114" s="4" t="s">
        <v>208</v>
      </c>
      <c r="E114" s="3" t="s">
        <v>99</v>
      </c>
      <c r="F114" s="3">
        <v>2024</v>
      </c>
      <c r="G114" s="3">
        <v>1</v>
      </c>
      <c r="H114" s="3">
        <v>0</v>
      </c>
      <c r="I114" s="3">
        <v>5</v>
      </c>
      <c r="J114" s="3">
        <v>0</v>
      </c>
      <c r="K114" s="3">
        <v>693952117</v>
      </c>
      <c r="L114" s="3">
        <v>387.2</v>
      </c>
      <c r="M114" s="3">
        <v>268698259.70240003</v>
      </c>
      <c r="N114" s="3">
        <v>75460000</v>
      </c>
      <c r="O114" s="3">
        <v>114950000</v>
      </c>
      <c r="P114" s="3">
        <v>8780000</v>
      </c>
      <c r="Q114" s="3">
        <v>2.9939822505645899</v>
      </c>
      <c r="R114" s="3">
        <v>18.560007809173499</v>
      </c>
      <c r="S114" s="3">
        <v>0.65645933014354096</v>
      </c>
      <c r="T114" s="3">
        <v>7.6381035232709907E-2</v>
      </c>
      <c r="U114" s="3">
        <v>1960</v>
      </c>
      <c r="V114" s="3">
        <v>64</v>
      </c>
      <c r="W114" s="3">
        <v>0</v>
      </c>
      <c r="X114" s="3" t="s">
        <v>209</v>
      </c>
      <c r="Y114" s="4" t="s">
        <v>213</v>
      </c>
      <c r="Z114" s="3" t="s">
        <v>34</v>
      </c>
      <c r="AA114" s="5">
        <f t="shared" si="3"/>
        <v>2.9939822505645899</v>
      </c>
      <c r="AB114" s="5">
        <f t="shared" si="4"/>
        <v>0.65645933014354096</v>
      </c>
      <c r="AC114" s="5">
        <f t="shared" si="5"/>
        <v>7.6381035232709907E-2</v>
      </c>
    </row>
    <row r="115" spans="1:29" ht="15" customHeight="1" x14ac:dyDescent="0.3">
      <c r="A115" s="3">
        <v>145</v>
      </c>
      <c r="B115" s="3">
        <v>29</v>
      </c>
      <c r="C115" s="3" t="s">
        <v>207</v>
      </c>
      <c r="D115" s="4" t="s">
        <v>208</v>
      </c>
      <c r="E115" s="3" t="s">
        <v>99</v>
      </c>
      <c r="F115" s="3">
        <v>2025</v>
      </c>
      <c r="G115" s="3">
        <v>1</v>
      </c>
      <c r="H115" s="3">
        <v>0</v>
      </c>
      <c r="I115" s="3">
        <v>5</v>
      </c>
      <c r="J115" s="3">
        <v>0</v>
      </c>
      <c r="K115" s="3">
        <v>693952117</v>
      </c>
      <c r="L115" s="3">
        <v>187.2</v>
      </c>
      <c r="M115" s="3">
        <v>129907836.30239999</v>
      </c>
      <c r="N115" s="3">
        <v>100130000</v>
      </c>
      <c r="O115" s="3">
        <v>139370000</v>
      </c>
      <c r="P115" s="3">
        <v>2010000</v>
      </c>
      <c r="Q115" s="3">
        <v>1.6505548992064301</v>
      </c>
      <c r="R115" s="3">
        <v>18.752642825095698</v>
      </c>
      <c r="S115" s="3">
        <v>0.71844729855779599</v>
      </c>
      <c r="T115" s="3">
        <v>1.44220420463514E-2</v>
      </c>
      <c r="U115" s="3">
        <v>1960</v>
      </c>
      <c r="V115" s="3">
        <v>65</v>
      </c>
      <c r="W115" s="3">
        <v>0</v>
      </c>
      <c r="X115" s="3" t="s">
        <v>209</v>
      </c>
      <c r="Y115" s="4" t="s">
        <v>214</v>
      </c>
      <c r="Z115" s="3" t="s">
        <v>34</v>
      </c>
      <c r="AA115" s="5">
        <f t="shared" si="3"/>
        <v>1.6505548992064301</v>
      </c>
      <c r="AB115" s="5">
        <f t="shared" si="4"/>
        <v>0.71844729855779599</v>
      </c>
      <c r="AC115" s="5">
        <f t="shared" si="5"/>
        <v>1.44220420463514E-2</v>
      </c>
    </row>
    <row r="116" spans="1:29" ht="15" customHeight="1" x14ac:dyDescent="0.3">
      <c r="A116" s="3">
        <v>146</v>
      </c>
      <c r="B116" s="3">
        <v>30</v>
      </c>
      <c r="C116" s="3" t="s">
        <v>215</v>
      </c>
      <c r="D116" s="4" t="s">
        <v>216</v>
      </c>
      <c r="E116" s="3" t="s">
        <v>31</v>
      </c>
      <c r="F116" s="3">
        <v>2021</v>
      </c>
      <c r="G116" s="3">
        <v>0</v>
      </c>
      <c r="H116" s="3">
        <v>0</v>
      </c>
      <c r="I116" s="3">
        <v>50</v>
      </c>
      <c r="J116" s="3">
        <v>0</v>
      </c>
      <c r="K116" s="3">
        <v>18166392725</v>
      </c>
      <c r="L116" s="3">
        <v>0.45689999999999997</v>
      </c>
      <c r="M116" s="3">
        <v>8300224.8360524997</v>
      </c>
      <c r="N116" s="3">
        <v>28986015</v>
      </c>
      <c r="O116" s="3">
        <v>48054266</v>
      </c>
      <c r="P116" s="3">
        <v>3535935</v>
      </c>
      <c r="Q116" s="3">
        <v>0.77591945397839401</v>
      </c>
      <c r="R116" s="3">
        <v>17.687841471957899</v>
      </c>
      <c r="S116" s="3">
        <v>0.60319337725395705</v>
      </c>
      <c r="T116" s="3">
        <v>7.3582124841944305E-2</v>
      </c>
      <c r="U116" s="3">
        <v>1991</v>
      </c>
      <c r="V116" s="3">
        <v>30</v>
      </c>
      <c r="W116" s="3">
        <v>1</v>
      </c>
      <c r="X116" s="3" t="s">
        <v>217</v>
      </c>
      <c r="Y116" s="4" t="s">
        <v>218</v>
      </c>
      <c r="Z116" s="3" t="s">
        <v>34</v>
      </c>
      <c r="AA116" s="5">
        <f t="shared" si="3"/>
        <v>0.77591945397839401</v>
      </c>
      <c r="AB116" s="5">
        <f t="shared" si="4"/>
        <v>0.60319337725395705</v>
      </c>
      <c r="AC116" s="5">
        <f t="shared" si="5"/>
        <v>7.3582124841944305E-2</v>
      </c>
    </row>
    <row r="117" spans="1:29" ht="15" customHeight="1" x14ac:dyDescent="0.3">
      <c r="A117" s="3">
        <v>147</v>
      </c>
      <c r="B117" s="3">
        <v>30</v>
      </c>
      <c r="C117" s="3" t="s">
        <v>215</v>
      </c>
      <c r="D117" s="4" t="s">
        <v>216</v>
      </c>
      <c r="E117" s="3" t="s">
        <v>31</v>
      </c>
      <c r="F117" s="3">
        <v>2022</v>
      </c>
      <c r="G117" s="3">
        <v>0</v>
      </c>
      <c r="H117" s="3">
        <v>0</v>
      </c>
      <c r="I117" s="3">
        <v>55</v>
      </c>
      <c r="J117" s="3">
        <v>0</v>
      </c>
      <c r="K117" s="3">
        <v>18166392725</v>
      </c>
      <c r="L117" s="3">
        <v>0.59550000000000003</v>
      </c>
      <c r="M117" s="3">
        <v>10818086.8677375</v>
      </c>
      <c r="N117" s="3">
        <v>31285457</v>
      </c>
      <c r="O117" s="3">
        <v>49530744</v>
      </c>
      <c r="P117" s="3">
        <v>16389</v>
      </c>
      <c r="Q117" s="3">
        <v>0.850048686281343</v>
      </c>
      <c r="R117" s="3">
        <v>17.7181041256509</v>
      </c>
      <c r="S117" s="3">
        <v>0.63163713026398305</v>
      </c>
      <c r="T117" s="3">
        <v>3.3088539917752898E-4</v>
      </c>
      <c r="U117" s="3">
        <v>1991</v>
      </c>
      <c r="V117" s="3">
        <v>31</v>
      </c>
      <c r="W117" s="3">
        <v>1</v>
      </c>
      <c r="X117" s="3" t="s">
        <v>217</v>
      </c>
      <c r="Y117" s="4" t="s">
        <v>219</v>
      </c>
      <c r="Z117" s="3" t="s">
        <v>34</v>
      </c>
      <c r="AA117" s="5">
        <f t="shared" si="3"/>
        <v>0.850048686281343</v>
      </c>
      <c r="AB117" s="5">
        <f t="shared" si="4"/>
        <v>0.63163713026398305</v>
      </c>
      <c r="AC117" s="5">
        <f t="shared" si="5"/>
        <v>3.3088539917752898E-4</v>
      </c>
    </row>
    <row r="118" spans="1:29" ht="15" customHeight="1" x14ac:dyDescent="0.3">
      <c r="A118" s="3">
        <v>148</v>
      </c>
      <c r="B118" s="3">
        <v>30</v>
      </c>
      <c r="C118" s="3" t="s">
        <v>215</v>
      </c>
      <c r="D118" s="4" t="s">
        <v>216</v>
      </c>
      <c r="E118" s="3" t="s">
        <v>31</v>
      </c>
      <c r="F118" s="3">
        <v>2023</v>
      </c>
      <c r="G118" s="3">
        <v>1</v>
      </c>
      <c r="H118" s="3">
        <v>0</v>
      </c>
      <c r="I118" s="3">
        <v>50</v>
      </c>
      <c r="J118" s="3">
        <v>0</v>
      </c>
      <c r="K118" s="3">
        <v>18166392725</v>
      </c>
      <c r="L118" s="3">
        <v>1.3898999999999999</v>
      </c>
      <c r="M118" s="3">
        <v>25249469.2484775</v>
      </c>
      <c r="N118" s="3">
        <v>48589780</v>
      </c>
      <c r="O118" s="3">
        <v>82508551</v>
      </c>
      <c r="P118" s="3">
        <v>13838762</v>
      </c>
      <c r="Q118" s="3">
        <v>0.894928445034473</v>
      </c>
      <c r="R118" s="3">
        <v>18.228412494418599</v>
      </c>
      <c r="S118" s="3">
        <v>0.58890599108933595</v>
      </c>
      <c r="T118" s="3">
        <v>0.167725185235649</v>
      </c>
      <c r="U118" s="3">
        <v>1991</v>
      </c>
      <c r="V118" s="3">
        <v>32</v>
      </c>
      <c r="W118" s="3">
        <v>1</v>
      </c>
      <c r="X118" s="3" t="s">
        <v>217</v>
      </c>
      <c r="Y118" s="4" t="s">
        <v>220</v>
      </c>
      <c r="Z118" s="3" t="s">
        <v>34</v>
      </c>
      <c r="AA118" s="5">
        <f t="shared" si="3"/>
        <v>0.894928445034473</v>
      </c>
      <c r="AB118" s="5">
        <f t="shared" si="4"/>
        <v>0.58890599108933595</v>
      </c>
      <c r="AC118" s="5">
        <f t="shared" si="5"/>
        <v>0.167725185235649</v>
      </c>
    </row>
    <row r="119" spans="1:29" ht="15" customHeight="1" x14ac:dyDescent="0.3">
      <c r="A119" s="3">
        <v>149</v>
      </c>
      <c r="B119" s="3">
        <v>30</v>
      </c>
      <c r="C119" s="3" t="s">
        <v>215</v>
      </c>
      <c r="D119" s="4" t="s">
        <v>216</v>
      </c>
      <c r="E119" s="3" t="s">
        <v>31</v>
      </c>
      <c r="F119" s="3">
        <v>2024</v>
      </c>
      <c r="G119" s="3">
        <v>1</v>
      </c>
      <c r="H119" s="3">
        <v>0</v>
      </c>
      <c r="I119" s="3">
        <v>60</v>
      </c>
      <c r="J119" s="3">
        <v>0</v>
      </c>
      <c r="K119" s="3">
        <v>18166392725</v>
      </c>
      <c r="L119" s="3">
        <v>3.5747</v>
      </c>
      <c r="M119" s="3">
        <v>64939404.074057497</v>
      </c>
      <c r="N119" s="3">
        <v>61004279</v>
      </c>
      <c r="O119" s="3">
        <v>121501003</v>
      </c>
      <c r="P119" s="3">
        <v>25583281</v>
      </c>
      <c r="Q119" s="3">
        <v>1.0365649662501799</v>
      </c>
      <c r="R119" s="3">
        <v>18.615433075854799</v>
      </c>
      <c r="S119" s="3">
        <v>0.50208868646129601</v>
      </c>
      <c r="T119" s="3">
        <v>0.21056024533394199</v>
      </c>
      <c r="U119" s="3">
        <v>1991</v>
      </c>
      <c r="V119" s="3">
        <v>33</v>
      </c>
      <c r="W119" s="3">
        <v>1</v>
      </c>
      <c r="X119" s="3" t="s">
        <v>217</v>
      </c>
      <c r="Y119" s="4" t="s">
        <v>221</v>
      </c>
      <c r="Z119" s="3" t="s">
        <v>34</v>
      </c>
      <c r="AA119" s="5">
        <f t="shared" si="3"/>
        <v>1.0365649662501799</v>
      </c>
      <c r="AB119" s="5">
        <f t="shared" si="4"/>
        <v>0.50208868646129601</v>
      </c>
      <c r="AC119" s="5">
        <f t="shared" si="5"/>
        <v>0.21056024533394199</v>
      </c>
    </row>
    <row r="120" spans="1:29" ht="15" customHeight="1" x14ac:dyDescent="0.3">
      <c r="A120" s="3">
        <v>150</v>
      </c>
      <c r="B120" s="3">
        <v>30</v>
      </c>
      <c r="C120" s="3" t="s">
        <v>215</v>
      </c>
      <c r="D120" s="4" t="s">
        <v>216</v>
      </c>
      <c r="E120" s="3" t="s">
        <v>31</v>
      </c>
      <c r="F120" s="3">
        <v>2025</v>
      </c>
      <c r="G120" s="3">
        <v>1</v>
      </c>
      <c r="H120" s="3">
        <v>0</v>
      </c>
      <c r="I120" s="3">
        <v>35</v>
      </c>
      <c r="J120" s="3">
        <v>13.3333333333333</v>
      </c>
      <c r="K120" s="3">
        <v>18166392725</v>
      </c>
      <c r="L120" s="3">
        <v>5.9179000000000004</v>
      </c>
      <c r="M120" s="3">
        <v>107506895.507278</v>
      </c>
      <c r="N120" s="3">
        <v>67767618</v>
      </c>
      <c r="O120" s="3">
        <v>137601697</v>
      </c>
      <c r="P120" s="3">
        <v>8268605</v>
      </c>
      <c r="Q120" s="3">
        <v>1.27378162717919</v>
      </c>
      <c r="R120" s="3">
        <v>18.739873816236301</v>
      </c>
      <c r="S120" s="3">
        <v>0.49249115001830202</v>
      </c>
      <c r="T120" s="3">
        <v>6.0090865013096503E-2</v>
      </c>
      <c r="U120" s="3">
        <v>1991</v>
      </c>
      <c r="V120" s="3">
        <v>34</v>
      </c>
      <c r="W120" s="3">
        <v>1</v>
      </c>
      <c r="X120" s="3" t="s">
        <v>217</v>
      </c>
      <c r="Y120" s="4" t="s">
        <v>222</v>
      </c>
      <c r="Z120" s="3" t="s">
        <v>34</v>
      </c>
      <c r="AA120" s="5">
        <f t="shared" si="3"/>
        <v>1.27378162717919</v>
      </c>
      <c r="AB120" s="5">
        <f t="shared" si="4"/>
        <v>0.49249115001830202</v>
      </c>
      <c r="AC120" s="5">
        <f t="shared" si="5"/>
        <v>6.0090865013096503E-2</v>
      </c>
    </row>
    <row r="121" spans="1:29" ht="15" customHeight="1" x14ac:dyDescent="0.3">
      <c r="A121" s="3">
        <v>151</v>
      </c>
      <c r="B121" s="3">
        <v>31</v>
      </c>
      <c r="C121" s="3" t="s">
        <v>223</v>
      </c>
      <c r="D121" s="4" t="s">
        <v>224</v>
      </c>
      <c r="E121" s="3" t="s">
        <v>225</v>
      </c>
      <c r="F121" s="3">
        <v>2021</v>
      </c>
      <c r="G121" s="3">
        <v>0</v>
      </c>
      <c r="H121" s="3">
        <v>0</v>
      </c>
      <c r="I121" s="3">
        <v>0</v>
      </c>
      <c r="J121" s="3">
        <v>0</v>
      </c>
      <c r="K121" s="3">
        <v>5882000000</v>
      </c>
      <c r="L121" s="3">
        <v>7.9</v>
      </c>
      <c r="M121" s="3">
        <v>46467800</v>
      </c>
      <c r="N121" s="3">
        <v>120134000</v>
      </c>
      <c r="O121" s="3">
        <v>184472000</v>
      </c>
      <c r="P121" s="3">
        <v>10660000</v>
      </c>
      <c r="Q121" s="3">
        <v>0.903127845960363</v>
      </c>
      <c r="R121" s="3">
        <v>19.033008248410301</v>
      </c>
      <c r="S121" s="3">
        <v>0.65123162322737305</v>
      </c>
      <c r="T121" s="3">
        <v>5.7786547551932001E-2</v>
      </c>
      <c r="U121" s="3">
        <v>1991</v>
      </c>
      <c r="V121" s="3">
        <v>30</v>
      </c>
      <c r="W121" s="3">
        <v>1</v>
      </c>
      <c r="X121" s="3" t="s">
        <v>226</v>
      </c>
      <c r="Y121" s="4" t="s">
        <v>227</v>
      </c>
      <c r="Z121" s="3" t="s">
        <v>34</v>
      </c>
      <c r="AA121" s="5">
        <f t="shared" si="3"/>
        <v>0.903127845960363</v>
      </c>
      <c r="AB121" s="5">
        <f t="shared" si="4"/>
        <v>0.65123162322737305</v>
      </c>
      <c r="AC121" s="5">
        <f t="shared" si="5"/>
        <v>5.7786547551932001E-2</v>
      </c>
    </row>
    <row r="122" spans="1:29" ht="15" customHeight="1" x14ac:dyDescent="0.3">
      <c r="A122" s="3">
        <v>152</v>
      </c>
      <c r="B122" s="3">
        <v>31</v>
      </c>
      <c r="C122" s="3" t="s">
        <v>223</v>
      </c>
      <c r="D122" s="4" t="s">
        <v>224</v>
      </c>
      <c r="E122" s="3" t="s">
        <v>225</v>
      </c>
      <c r="F122" s="3">
        <v>2022</v>
      </c>
      <c r="G122" s="3">
        <v>0</v>
      </c>
      <c r="H122" s="3">
        <v>0</v>
      </c>
      <c r="I122" s="3">
        <v>0</v>
      </c>
      <c r="J122" s="3">
        <v>0</v>
      </c>
      <c r="K122" s="3">
        <v>5882000000</v>
      </c>
      <c r="L122" s="3">
        <v>5.95</v>
      </c>
      <c r="M122" s="3">
        <v>34997900</v>
      </c>
      <c r="N122" s="3">
        <v>147311000</v>
      </c>
      <c r="O122" s="3">
        <v>212212000</v>
      </c>
      <c r="P122" s="3">
        <v>8373000</v>
      </c>
      <c r="Q122" s="3">
        <v>0.85908855295647801</v>
      </c>
      <c r="R122" s="3">
        <v>19.173096332969401</v>
      </c>
      <c r="S122" s="3">
        <v>0.69416903850866096</v>
      </c>
      <c r="T122" s="3">
        <v>3.9455827191676299E-2</v>
      </c>
      <c r="U122" s="3">
        <v>1991</v>
      </c>
      <c r="V122" s="3">
        <v>31</v>
      </c>
      <c r="W122" s="3">
        <v>1</v>
      </c>
      <c r="X122" s="3" t="s">
        <v>226</v>
      </c>
      <c r="Y122" s="4" t="s">
        <v>227</v>
      </c>
      <c r="Z122" s="3" t="s">
        <v>34</v>
      </c>
      <c r="AA122" s="5">
        <f t="shared" si="3"/>
        <v>0.85908855295647801</v>
      </c>
      <c r="AB122" s="5">
        <f t="shared" si="4"/>
        <v>0.69416903850866096</v>
      </c>
      <c r="AC122" s="5">
        <f t="shared" si="5"/>
        <v>3.9455827191676299E-2</v>
      </c>
    </row>
    <row r="123" spans="1:29" ht="15" customHeight="1" x14ac:dyDescent="0.3">
      <c r="A123" s="3">
        <v>153</v>
      </c>
      <c r="B123" s="3">
        <v>31</v>
      </c>
      <c r="C123" s="3" t="s">
        <v>223</v>
      </c>
      <c r="D123" s="4" t="s">
        <v>224</v>
      </c>
      <c r="E123" s="3" t="s">
        <v>225</v>
      </c>
      <c r="F123" s="3">
        <v>2023</v>
      </c>
      <c r="G123" s="3">
        <v>1</v>
      </c>
      <c r="H123" s="3">
        <v>0</v>
      </c>
      <c r="I123" s="3">
        <v>0</v>
      </c>
      <c r="J123" s="3">
        <v>0</v>
      </c>
      <c r="K123" s="3">
        <v>5882000000</v>
      </c>
      <c r="L123" s="3">
        <v>9</v>
      </c>
      <c r="M123" s="3">
        <v>52938000</v>
      </c>
      <c r="N123" s="3">
        <v>188334000</v>
      </c>
      <c r="O123" s="3">
        <v>269800000</v>
      </c>
      <c r="P123" s="3">
        <v>19057000</v>
      </c>
      <c r="Q123" s="3">
        <v>0.89426241660489303</v>
      </c>
      <c r="R123" s="3">
        <v>19.413191501737899</v>
      </c>
      <c r="S123" s="3">
        <v>0.69805040770941396</v>
      </c>
      <c r="T123" s="3">
        <v>7.0633802816901403E-2</v>
      </c>
      <c r="U123" s="3">
        <v>1991</v>
      </c>
      <c r="V123" s="3">
        <v>32</v>
      </c>
      <c r="W123" s="3">
        <v>1</v>
      </c>
      <c r="X123" s="3" t="s">
        <v>226</v>
      </c>
      <c r="Y123" s="4" t="s">
        <v>227</v>
      </c>
      <c r="Z123" s="3" t="s">
        <v>34</v>
      </c>
      <c r="AA123" s="5">
        <f t="shared" si="3"/>
        <v>0.89426241660489303</v>
      </c>
      <c r="AB123" s="5">
        <f t="shared" si="4"/>
        <v>0.69805040770941396</v>
      </c>
      <c r="AC123" s="5">
        <f t="shared" si="5"/>
        <v>7.0633802816901403E-2</v>
      </c>
    </row>
    <row r="124" spans="1:29" ht="15" customHeight="1" x14ac:dyDescent="0.3">
      <c r="A124" s="3">
        <v>154</v>
      </c>
      <c r="B124" s="3">
        <v>31</v>
      </c>
      <c r="C124" s="3" t="s">
        <v>223</v>
      </c>
      <c r="D124" s="4" t="s">
        <v>224</v>
      </c>
      <c r="E124" s="3" t="s">
        <v>225</v>
      </c>
      <c r="F124" s="3">
        <v>2024</v>
      </c>
      <c r="G124" s="3">
        <v>1</v>
      </c>
      <c r="H124" s="3">
        <v>0</v>
      </c>
      <c r="I124" s="3">
        <v>0</v>
      </c>
      <c r="J124" s="3">
        <v>0</v>
      </c>
      <c r="K124" s="3">
        <v>5882000000</v>
      </c>
      <c r="L124" s="3">
        <v>17.100000000000001</v>
      </c>
      <c r="M124" s="3">
        <v>100582200</v>
      </c>
      <c r="N124" s="3">
        <v>274899000</v>
      </c>
      <c r="O124" s="3">
        <v>416239000</v>
      </c>
      <c r="P124" s="3">
        <v>53997000</v>
      </c>
      <c r="Q124" s="3">
        <v>0.90208077570818701</v>
      </c>
      <c r="R124" s="3">
        <v>19.8467701724833</v>
      </c>
      <c r="S124" s="3">
        <v>0.66043547096740096</v>
      </c>
      <c r="T124" s="3">
        <v>0.129725950715815</v>
      </c>
      <c r="U124" s="3">
        <v>1991</v>
      </c>
      <c r="V124" s="3">
        <v>33</v>
      </c>
      <c r="W124" s="3">
        <v>1</v>
      </c>
      <c r="X124" s="3" t="s">
        <v>226</v>
      </c>
      <c r="Y124" s="4" t="s">
        <v>227</v>
      </c>
      <c r="Z124" s="3" t="s">
        <v>34</v>
      </c>
      <c r="AA124" s="5">
        <f t="shared" si="3"/>
        <v>0.90208077570818701</v>
      </c>
      <c r="AB124" s="5">
        <f t="shared" si="4"/>
        <v>0.66043547096740096</v>
      </c>
      <c r="AC124" s="5">
        <f t="shared" si="5"/>
        <v>0.129725950715815</v>
      </c>
    </row>
    <row r="125" spans="1:29" ht="15" customHeight="1" x14ac:dyDescent="0.3">
      <c r="A125" s="3">
        <v>155</v>
      </c>
      <c r="B125" s="3">
        <v>31</v>
      </c>
      <c r="C125" s="3" t="s">
        <v>223</v>
      </c>
      <c r="D125" s="4" t="s">
        <v>224</v>
      </c>
      <c r="E125" s="3" t="s">
        <v>225</v>
      </c>
      <c r="F125" s="3">
        <v>2025</v>
      </c>
      <c r="G125" s="3">
        <v>1</v>
      </c>
      <c r="H125" s="3">
        <v>0</v>
      </c>
      <c r="I125" s="3">
        <v>0</v>
      </c>
      <c r="J125" s="3">
        <v>0</v>
      </c>
      <c r="K125" s="3">
        <v>5882000000</v>
      </c>
      <c r="L125" s="3">
        <v>43</v>
      </c>
      <c r="M125" s="3">
        <v>252926000</v>
      </c>
      <c r="N125" s="3">
        <v>840275000</v>
      </c>
      <c r="O125" s="3">
        <v>1058821000</v>
      </c>
      <c r="P125" s="3">
        <v>65839000</v>
      </c>
      <c r="Q125" s="3">
        <v>1.03247007756741</v>
      </c>
      <c r="R125" s="3">
        <v>20.780421861894599</v>
      </c>
      <c r="S125" s="3">
        <v>0.79359495136571701</v>
      </c>
      <c r="T125" s="3">
        <v>6.2181426322296202E-2</v>
      </c>
      <c r="U125" s="3">
        <v>1991</v>
      </c>
      <c r="V125" s="3">
        <v>34</v>
      </c>
      <c r="W125" s="3">
        <v>1</v>
      </c>
      <c r="X125" s="3" t="s">
        <v>226</v>
      </c>
      <c r="Y125" s="4" t="s">
        <v>227</v>
      </c>
      <c r="Z125" s="3" t="s">
        <v>34</v>
      </c>
      <c r="AA125" s="5">
        <f t="shared" si="3"/>
        <v>1.03247007756741</v>
      </c>
      <c r="AB125" s="5">
        <f t="shared" si="4"/>
        <v>0.79359495136571701</v>
      </c>
      <c r="AC125" s="5">
        <f t="shared" si="5"/>
        <v>6.2181426322296202E-2</v>
      </c>
    </row>
    <row r="126" spans="1:29" ht="15" customHeight="1" x14ac:dyDescent="0.3">
      <c r="A126" s="3">
        <v>156</v>
      </c>
      <c r="B126" s="3">
        <v>32</v>
      </c>
      <c r="C126" s="3" t="s">
        <v>228</v>
      </c>
      <c r="D126" s="4" t="s">
        <v>229</v>
      </c>
      <c r="E126" s="3" t="s">
        <v>105</v>
      </c>
      <c r="F126" s="3">
        <v>2021</v>
      </c>
      <c r="G126" s="3">
        <v>0</v>
      </c>
      <c r="H126" s="3">
        <v>0</v>
      </c>
      <c r="I126" s="3">
        <v>0</v>
      </c>
      <c r="J126" s="3">
        <v>0</v>
      </c>
      <c r="K126" s="3">
        <v>1761321000</v>
      </c>
      <c r="L126" s="3">
        <v>5.2803000000000004</v>
      </c>
      <c r="M126" s="3">
        <v>9300303.2763</v>
      </c>
      <c r="N126" s="3">
        <v>2636402</v>
      </c>
      <c r="O126" s="3">
        <v>4792191</v>
      </c>
      <c r="P126" s="3">
        <v>594023</v>
      </c>
      <c r="Q126" s="3">
        <v>2.4908659267337199</v>
      </c>
      <c r="R126" s="3">
        <v>15.3824982760799</v>
      </c>
      <c r="S126" s="3">
        <v>0.55014543452045195</v>
      </c>
      <c r="T126" s="3">
        <v>0.123956453321664</v>
      </c>
      <c r="U126" s="3">
        <v>1982</v>
      </c>
      <c r="V126" s="3">
        <v>39</v>
      </c>
      <c r="W126" s="3">
        <v>0</v>
      </c>
      <c r="X126" s="3" t="s">
        <v>230</v>
      </c>
      <c r="Y126" s="4" t="s">
        <v>231</v>
      </c>
      <c r="Z126" s="3" t="s">
        <v>34</v>
      </c>
      <c r="AA126" s="5">
        <f t="shared" si="3"/>
        <v>2.4908659267337199</v>
      </c>
      <c r="AB126" s="5">
        <f t="shared" si="4"/>
        <v>0.55014543452045195</v>
      </c>
      <c r="AC126" s="5">
        <f t="shared" si="5"/>
        <v>0.123956453321664</v>
      </c>
    </row>
    <row r="127" spans="1:29" ht="15" customHeight="1" x14ac:dyDescent="0.3">
      <c r="A127" s="3">
        <v>157</v>
      </c>
      <c r="B127" s="3">
        <v>32</v>
      </c>
      <c r="C127" s="3" t="s">
        <v>228</v>
      </c>
      <c r="D127" s="4" t="s">
        <v>229</v>
      </c>
      <c r="E127" s="3" t="s">
        <v>105</v>
      </c>
      <c r="F127" s="3">
        <v>2022</v>
      </c>
      <c r="G127" s="3">
        <v>0</v>
      </c>
      <c r="H127" s="3">
        <v>0</v>
      </c>
      <c r="I127" s="3">
        <v>20</v>
      </c>
      <c r="J127" s="3">
        <v>13.3333333333333</v>
      </c>
      <c r="K127" s="3">
        <v>3522644000</v>
      </c>
      <c r="L127" s="3">
        <v>1.05</v>
      </c>
      <c r="M127" s="3">
        <v>3698776.2</v>
      </c>
      <c r="N127" s="3">
        <v>2412000</v>
      </c>
      <c r="O127" s="3">
        <v>5116000</v>
      </c>
      <c r="P127" s="3">
        <v>786310</v>
      </c>
      <c r="Q127" s="3">
        <v>1.1944441360437801</v>
      </c>
      <c r="R127" s="3">
        <v>15.447883441680901</v>
      </c>
      <c r="S127" s="3">
        <v>0.47146207974980497</v>
      </c>
      <c r="T127" s="3">
        <v>0.15369624706802201</v>
      </c>
      <c r="U127" s="3">
        <v>1982</v>
      </c>
      <c r="V127" s="3">
        <v>40</v>
      </c>
      <c r="W127" s="3">
        <v>0</v>
      </c>
      <c r="X127" s="3" t="s">
        <v>230</v>
      </c>
      <c r="Y127" s="4" t="s">
        <v>232</v>
      </c>
      <c r="Z127" s="3" t="s">
        <v>34</v>
      </c>
      <c r="AA127" s="5">
        <f t="shared" si="3"/>
        <v>1.1944441360437801</v>
      </c>
      <c r="AB127" s="5">
        <f t="shared" si="4"/>
        <v>0.47146207974980497</v>
      </c>
      <c r="AC127" s="5">
        <f t="shared" si="5"/>
        <v>0.15369624706802201</v>
      </c>
    </row>
    <row r="128" spans="1:29" ht="15" customHeight="1" x14ac:dyDescent="0.3">
      <c r="A128" s="3">
        <v>158</v>
      </c>
      <c r="B128" s="3">
        <v>32</v>
      </c>
      <c r="C128" s="3" t="s">
        <v>228</v>
      </c>
      <c r="D128" s="4" t="s">
        <v>229</v>
      </c>
      <c r="E128" s="3" t="s">
        <v>105</v>
      </c>
      <c r="F128" s="3">
        <v>2023</v>
      </c>
      <c r="G128" s="3">
        <v>1</v>
      </c>
      <c r="H128" s="3">
        <v>0</v>
      </c>
      <c r="I128" s="3">
        <v>10</v>
      </c>
      <c r="J128" s="3">
        <v>0</v>
      </c>
      <c r="K128" s="3">
        <v>3522644000</v>
      </c>
      <c r="L128" s="3">
        <v>1.02</v>
      </c>
      <c r="M128" s="3">
        <v>3593096.88</v>
      </c>
      <c r="N128" s="3">
        <v>2674000</v>
      </c>
      <c r="O128" s="3">
        <v>5842000</v>
      </c>
      <c r="P128" s="3">
        <v>789990</v>
      </c>
      <c r="Q128" s="3">
        <v>1.0727656419034599</v>
      </c>
      <c r="R128" s="3">
        <v>15.5805837619298</v>
      </c>
      <c r="S128" s="3">
        <v>0.45771995891817902</v>
      </c>
      <c r="T128" s="3">
        <v>0.13522595001711701</v>
      </c>
      <c r="U128" s="3">
        <v>1982</v>
      </c>
      <c r="V128" s="3">
        <v>41</v>
      </c>
      <c r="W128" s="3">
        <v>0</v>
      </c>
      <c r="X128" s="3" t="s">
        <v>230</v>
      </c>
      <c r="Y128" s="4" t="s">
        <v>232</v>
      </c>
      <c r="Z128" s="3" t="s">
        <v>34</v>
      </c>
      <c r="AA128" s="5">
        <f t="shared" si="3"/>
        <v>1.0727656419034599</v>
      </c>
      <c r="AB128" s="5">
        <f t="shared" si="4"/>
        <v>0.45771995891817902</v>
      </c>
      <c r="AC128" s="5">
        <f t="shared" si="5"/>
        <v>0.13522595001711701</v>
      </c>
    </row>
    <row r="129" spans="1:29" ht="15" customHeight="1" x14ac:dyDescent="0.3">
      <c r="A129" s="3">
        <v>159</v>
      </c>
      <c r="B129" s="3">
        <v>32</v>
      </c>
      <c r="C129" s="3" t="s">
        <v>228</v>
      </c>
      <c r="D129" s="4" t="s">
        <v>229</v>
      </c>
      <c r="E129" s="3" t="s">
        <v>105</v>
      </c>
      <c r="F129" s="3">
        <v>2024</v>
      </c>
      <c r="G129" s="3">
        <v>1</v>
      </c>
      <c r="H129" s="3">
        <v>0</v>
      </c>
      <c r="I129" s="3">
        <v>10</v>
      </c>
      <c r="J129" s="3">
        <v>0</v>
      </c>
      <c r="K129" s="3">
        <v>3522644000</v>
      </c>
      <c r="L129" s="3">
        <v>1.47</v>
      </c>
      <c r="M129" s="3">
        <v>5178286.68</v>
      </c>
      <c r="N129" s="3">
        <v>3484000</v>
      </c>
      <c r="O129" s="3">
        <v>7289000</v>
      </c>
      <c r="P129" s="3">
        <v>1065000</v>
      </c>
      <c r="Q129" s="3">
        <v>1.1884053615036401</v>
      </c>
      <c r="R129" s="3">
        <v>15.8018769203644</v>
      </c>
      <c r="S129" s="3">
        <v>0.47798051858965601</v>
      </c>
      <c r="T129" s="3">
        <v>0.146110577582659</v>
      </c>
      <c r="U129" s="3">
        <v>1982</v>
      </c>
      <c r="V129" s="3">
        <v>42</v>
      </c>
      <c r="W129" s="3">
        <v>0</v>
      </c>
      <c r="X129" s="3" t="s">
        <v>230</v>
      </c>
      <c r="Y129" s="4" t="s">
        <v>232</v>
      </c>
      <c r="Z129" s="3" t="s">
        <v>34</v>
      </c>
      <c r="AA129" s="5">
        <f t="shared" si="3"/>
        <v>1.1884053615036401</v>
      </c>
      <c r="AB129" s="5">
        <f t="shared" si="4"/>
        <v>0.47798051858965601</v>
      </c>
      <c r="AC129" s="5">
        <f t="shared" si="5"/>
        <v>0.146110577582659</v>
      </c>
    </row>
    <row r="130" spans="1:29" ht="15" customHeight="1" x14ac:dyDescent="0.3">
      <c r="A130" s="3">
        <v>160</v>
      </c>
      <c r="B130" s="3">
        <v>32</v>
      </c>
      <c r="C130" s="3" t="s">
        <v>228</v>
      </c>
      <c r="D130" s="4" t="s">
        <v>229</v>
      </c>
      <c r="E130" s="3" t="s">
        <v>105</v>
      </c>
      <c r="F130" s="3">
        <v>2025</v>
      </c>
      <c r="G130" s="3">
        <v>1</v>
      </c>
      <c r="H130" s="3">
        <v>0</v>
      </c>
      <c r="I130" s="3">
        <v>20</v>
      </c>
      <c r="J130" s="3">
        <v>6.6666666666666696</v>
      </c>
      <c r="K130" s="3">
        <v>7045288000</v>
      </c>
      <c r="L130" s="3">
        <v>2.37</v>
      </c>
      <c r="M130" s="3">
        <v>16697332.560000001</v>
      </c>
      <c r="N130" s="3">
        <v>4439000</v>
      </c>
      <c r="O130" s="3">
        <v>8692000</v>
      </c>
      <c r="P130" s="3">
        <v>1032000</v>
      </c>
      <c r="Q130" s="3">
        <v>2.4316995582144498</v>
      </c>
      <c r="R130" s="3">
        <v>15.9779136203585</v>
      </c>
      <c r="S130" s="3">
        <v>0.51069949378739099</v>
      </c>
      <c r="T130" s="3">
        <v>0.118729866543948</v>
      </c>
      <c r="U130" s="3">
        <v>1982</v>
      </c>
      <c r="V130" s="3">
        <v>43</v>
      </c>
      <c r="W130" s="3">
        <v>0</v>
      </c>
      <c r="X130" s="3" t="s">
        <v>230</v>
      </c>
      <c r="Y130" s="4" t="s">
        <v>232</v>
      </c>
      <c r="Z130" s="3" t="s">
        <v>34</v>
      </c>
      <c r="AA130" s="5">
        <f t="shared" ref="AA130:AA193" si="6">MIN(MAX(Q130,PERCENTILE(Q$2:Q$612,0.005)),PERCENTILE(Q$2:Q$612,0.995))</f>
        <v>2.4316995582144498</v>
      </c>
      <c r="AB130" s="5">
        <f t="shared" ref="AB130:AB193" si="7">MIN(MAX(S130,PERCENTILE(S$2:S$612,0.005)),PERCENTILE(S$2:S$612,0.995))</f>
        <v>0.51069949378739099</v>
      </c>
      <c r="AC130" s="5">
        <f t="shared" ref="AC130:AC193" si="8">MIN(MAX(T130,PERCENTILE(T$2:T$612,0.005)),PERCENTILE(T$2:T$612,0.995))</f>
        <v>0.118729866543948</v>
      </c>
    </row>
    <row r="131" spans="1:29" ht="15" customHeight="1" x14ac:dyDescent="0.3">
      <c r="A131" s="3">
        <v>161</v>
      </c>
      <c r="B131" s="3">
        <v>33</v>
      </c>
      <c r="C131" s="3" t="s">
        <v>233</v>
      </c>
      <c r="D131" s="4" t="s">
        <v>234</v>
      </c>
      <c r="E131" s="3" t="s">
        <v>90</v>
      </c>
      <c r="F131" s="3">
        <v>2021</v>
      </c>
      <c r="G131" s="3">
        <v>0</v>
      </c>
      <c r="H131" s="3">
        <v>0</v>
      </c>
      <c r="I131" s="3">
        <v>0</v>
      </c>
      <c r="J131" s="3">
        <v>0</v>
      </c>
      <c r="K131" s="3">
        <v>2525000000</v>
      </c>
      <c r="L131" s="3">
        <v>0.96</v>
      </c>
      <c r="M131" s="3">
        <v>2424000</v>
      </c>
      <c r="N131" s="3">
        <v>7359000</v>
      </c>
      <c r="O131" s="3">
        <v>8417000</v>
      </c>
      <c r="P131" s="3">
        <v>449640</v>
      </c>
      <c r="Q131" s="3">
        <v>1.16229060235238</v>
      </c>
      <c r="R131" s="3">
        <v>15.9457640281937</v>
      </c>
      <c r="S131" s="3">
        <v>0.87430200784127399</v>
      </c>
      <c r="T131" s="3">
        <v>5.3420458595699202E-2</v>
      </c>
      <c r="U131" s="3">
        <v>2005</v>
      </c>
      <c r="V131" s="3">
        <v>16</v>
      </c>
      <c r="W131" s="3">
        <v>0</v>
      </c>
      <c r="X131" s="3" t="s">
        <v>179</v>
      </c>
      <c r="Y131" s="4" t="s">
        <v>235</v>
      </c>
      <c r="Z131" s="3" t="s">
        <v>34</v>
      </c>
      <c r="AA131" s="5">
        <f t="shared" si="6"/>
        <v>1.16229060235238</v>
      </c>
      <c r="AB131" s="5">
        <f t="shared" si="7"/>
        <v>0.87430200784127399</v>
      </c>
      <c r="AC131" s="5">
        <f t="shared" si="8"/>
        <v>5.3420458595699202E-2</v>
      </c>
    </row>
    <row r="132" spans="1:29" ht="15" customHeight="1" x14ac:dyDescent="0.3">
      <c r="A132" s="3">
        <v>162</v>
      </c>
      <c r="B132" s="3">
        <v>33</v>
      </c>
      <c r="C132" s="3" t="s">
        <v>233</v>
      </c>
      <c r="D132" s="4" t="s">
        <v>234</v>
      </c>
      <c r="E132" s="3" t="s">
        <v>90</v>
      </c>
      <c r="F132" s="3">
        <v>2022</v>
      </c>
      <c r="G132" s="3">
        <v>0</v>
      </c>
      <c r="H132" s="3">
        <v>0</v>
      </c>
      <c r="I132" s="3">
        <v>0</v>
      </c>
      <c r="J132" s="3">
        <v>0</v>
      </c>
      <c r="K132" s="3">
        <v>2525000000</v>
      </c>
      <c r="L132" s="3">
        <v>0.87</v>
      </c>
      <c r="M132" s="3">
        <v>2196750</v>
      </c>
      <c r="N132" s="3">
        <v>13061000</v>
      </c>
      <c r="O132" s="3">
        <v>14533000</v>
      </c>
      <c r="P132" s="3">
        <v>476800</v>
      </c>
      <c r="Q132" s="3">
        <v>1.0498692630564901</v>
      </c>
      <c r="R132" s="3">
        <v>16.491932483608299</v>
      </c>
      <c r="S132" s="3">
        <v>0.898713273240212</v>
      </c>
      <c r="T132" s="3">
        <v>3.2808091928713999E-2</v>
      </c>
      <c r="U132" s="3">
        <v>2005</v>
      </c>
      <c r="V132" s="3">
        <v>17</v>
      </c>
      <c r="W132" s="3">
        <v>0</v>
      </c>
      <c r="X132" s="3" t="s">
        <v>179</v>
      </c>
      <c r="Y132" s="4" t="s">
        <v>235</v>
      </c>
      <c r="Z132" s="3" t="s">
        <v>34</v>
      </c>
      <c r="AA132" s="5">
        <f t="shared" si="6"/>
        <v>1.0498692630564901</v>
      </c>
      <c r="AB132" s="5">
        <f t="shared" si="7"/>
        <v>0.898713273240212</v>
      </c>
      <c r="AC132" s="5">
        <f t="shared" si="8"/>
        <v>3.2808091928713999E-2</v>
      </c>
    </row>
    <row r="133" spans="1:29" ht="15" customHeight="1" x14ac:dyDescent="0.3">
      <c r="A133" s="3">
        <v>163</v>
      </c>
      <c r="B133" s="3">
        <v>33</v>
      </c>
      <c r="C133" s="3" t="s">
        <v>233</v>
      </c>
      <c r="D133" s="4" t="s">
        <v>234</v>
      </c>
      <c r="E133" s="3" t="s">
        <v>90</v>
      </c>
      <c r="F133" s="3">
        <v>2023</v>
      </c>
      <c r="G133" s="3">
        <v>1</v>
      </c>
      <c r="H133" s="3">
        <v>0</v>
      </c>
      <c r="I133" s="3">
        <v>0</v>
      </c>
      <c r="J133" s="3">
        <v>0</v>
      </c>
      <c r="K133" s="3">
        <v>2525000000</v>
      </c>
      <c r="L133" s="3">
        <v>7.45</v>
      </c>
      <c r="M133" s="3">
        <v>18811250</v>
      </c>
      <c r="N133" s="3">
        <v>15572000</v>
      </c>
      <c r="O133" s="3">
        <v>17815000</v>
      </c>
      <c r="P133" s="3">
        <v>576080</v>
      </c>
      <c r="Q133" s="3">
        <v>1.9300168397417901</v>
      </c>
      <c r="R133" s="3">
        <v>16.695551357022101</v>
      </c>
      <c r="S133" s="3">
        <v>0.87409486387875401</v>
      </c>
      <c r="T133" s="3">
        <v>3.2336794835812498E-2</v>
      </c>
      <c r="U133" s="3">
        <v>2005</v>
      </c>
      <c r="V133" s="3">
        <v>18</v>
      </c>
      <c r="W133" s="3">
        <v>0</v>
      </c>
      <c r="X133" s="3" t="s">
        <v>179</v>
      </c>
      <c r="Y133" s="4" t="s">
        <v>235</v>
      </c>
      <c r="Z133" s="3" t="s">
        <v>34</v>
      </c>
      <c r="AA133" s="5">
        <f t="shared" si="6"/>
        <v>1.9300168397417901</v>
      </c>
      <c r="AB133" s="5">
        <f t="shared" si="7"/>
        <v>0.87409486387875401</v>
      </c>
      <c r="AC133" s="5">
        <f t="shared" si="8"/>
        <v>3.2336794835812498E-2</v>
      </c>
    </row>
    <row r="134" spans="1:29" ht="15" customHeight="1" x14ac:dyDescent="0.3">
      <c r="A134" s="3">
        <v>164</v>
      </c>
      <c r="B134" s="3">
        <v>33</v>
      </c>
      <c r="C134" s="3" t="s">
        <v>233</v>
      </c>
      <c r="D134" s="4" t="s">
        <v>234</v>
      </c>
      <c r="E134" s="3" t="s">
        <v>90</v>
      </c>
      <c r="F134" s="3">
        <v>2024</v>
      </c>
      <c r="G134" s="3">
        <v>1</v>
      </c>
      <c r="H134" s="3">
        <v>0</v>
      </c>
      <c r="I134" s="3">
        <v>5</v>
      </c>
      <c r="J134" s="3">
        <v>0</v>
      </c>
      <c r="K134" s="3">
        <v>2525000000</v>
      </c>
      <c r="L134" s="3">
        <v>7.08</v>
      </c>
      <c r="M134" s="3">
        <v>17877000</v>
      </c>
      <c r="N134" s="3">
        <v>23319000</v>
      </c>
      <c r="O134" s="3">
        <v>29947000</v>
      </c>
      <c r="P134" s="3">
        <v>3044000</v>
      </c>
      <c r="Q134" s="3">
        <v>1.37563028016162</v>
      </c>
      <c r="R134" s="3">
        <v>17.214939710563801</v>
      </c>
      <c r="S134" s="3">
        <v>0.77867566033325497</v>
      </c>
      <c r="T134" s="3">
        <v>0.101646241693659</v>
      </c>
      <c r="U134" s="3">
        <v>2005</v>
      </c>
      <c r="V134" s="3">
        <v>19</v>
      </c>
      <c r="W134" s="3">
        <v>0</v>
      </c>
      <c r="X134" s="3" t="s">
        <v>179</v>
      </c>
      <c r="Y134" s="4" t="s">
        <v>235</v>
      </c>
      <c r="Z134" s="3" t="s">
        <v>34</v>
      </c>
      <c r="AA134" s="5">
        <f t="shared" si="6"/>
        <v>1.37563028016162</v>
      </c>
      <c r="AB134" s="5">
        <f t="shared" si="7"/>
        <v>0.77867566033325497</v>
      </c>
      <c r="AC134" s="5">
        <f t="shared" si="8"/>
        <v>0.101646241693659</v>
      </c>
    </row>
    <row r="135" spans="1:29" ht="15" customHeight="1" x14ac:dyDescent="0.3">
      <c r="A135" s="3">
        <v>165</v>
      </c>
      <c r="B135" s="3">
        <v>33</v>
      </c>
      <c r="C135" s="3" t="s">
        <v>233</v>
      </c>
      <c r="D135" s="4" t="s">
        <v>234</v>
      </c>
      <c r="E135" s="3" t="s">
        <v>90</v>
      </c>
      <c r="F135" s="3">
        <v>2025</v>
      </c>
      <c r="G135" s="3">
        <v>1</v>
      </c>
      <c r="H135" s="3">
        <v>0</v>
      </c>
      <c r="I135" s="3">
        <v>0</v>
      </c>
      <c r="J135" s="3">
        <v>0</v>
      </c>
      <c r="K135" s="3">
        <v>2525000000</v>
      </c>
      <c r="L135" s="3">
        <v>17.37</v>
      </c>
      <c r="M135" s="3">
        <v>43859250</v>
      </c>
      <c r="N135" s="3">
        <v>31032000</v>
      </c>
      <c r="O135" s="3">
        <v>39953000</v>
      </c>
      <c r="P135" s="3">
        <v>4975000</v>
      </c>
      <c r="Q135" s="3">
        <v>1.8744837684279001</v>
      </c>
      <c r="R135" s="3">
        <v>17.503214321224501</v>
      </c>
      <c r="S135" s="3">
        <v>0.77671263734888496</v>
      </c>
      <c r="T135" s="3">
        <v>0.124521312542237</v>
      </c>
      <c r="U135" s="3">
        <v>2005</v>
      </c>
      <c r="V135" s="3">
        <v>20</v>
      </c>
      <c r="W135" s="3">
        <v>0</v>
      </c>
      <c r="X135" s="3" t="s">
        <v>179</v>
      </c>
      <c r="Y135" s="4" t="s">
        <v>235</v>
      </c>
      <c r="Z135" s="3" t="s">
        <v>34</v>
      </c>
      <c r="AA135" s="5">
        <f t="shared" si="6"/>
        <v>1.8744837684279001</v>
      </c>
      <c r="AB135" s="5">
        <f t="shared" si="7"/>
        <v>0.77671263734888496</v>
      </c>
      <c r="AC135" s="5">
        <f t="shared" si="8"/>
        <v>0.124521312542237</v>
      </c>
    </row>
    <row r="136" spans="1:29" ht="15" customHeight="1" x14ac:dyDescent="0.3">
      <c r="A136" s="3">
        <v>166</v>
      </c>
      <c r="B136" s="3">
        <v>34</v>
      </c>
      <c r="C136" s="3" t="s">
        <v>236</v>
      </c>
      <c r="D136" s="4" t="s">
        <v>237</v>
      </c>
      <c r="E136" s="3" t="s">
        <v>41</v>
      </c>
      <c r="F136" s="3">
        <v>2021</v>
      </c>
      <c r="G136" s="3">
        <v>0</v>
      </c>
      <c r="H136" s="3">
        <v>0</v>
      </c>
      <c r="I136" s="3">
        <v>0</v>
      </c>
      <c r="J136" s="3">
        <v>0</v>
      </c>
      <c r="K136" s="3">
        <v>8000000000</v>
      </c>
      <c r="L136" s="3">
        <v>0.2</v>
      </c>
      <c r="M136" s="3">
        <v>1600000</v>
      </c>
      <c r="N136" s="3">
        <v>11220000</v>
      </c>
      <c r="O136" s="3">
        <v>14201000</v>
      </c>
      <c r="P136" s="3">
        <v>-733460</v>
      </c>
      <c r="Q136" s="3">
        <v>0.90275332723047697</v>
      </c>
      <c r="R136" s="3">
        <v>16.468822942627199</v>
      </c>
      <c r="S136" s="3">
        <v>0.79008520526723502</v>
      </c>
      <c r="T136" s="3">
        <v>-5.1648475459474701E-2</v>
      </c>
      <c r="U136" s="3">
        <v>1988</v>
      </c>
      <c r="V136" s="3">
        <v>33</v>
      </c>
      <c r="W136" s="3">
        <v>0</v>
      </c>
      <c r="X136" s="3" t="s">
        <v>238</v>
      </c>
      <c r="Y136" s="4" t="s">
        <v>239</v>
      </c>
      <c r="Z136" s="3" t="s">
        <v>67</v>
      </c>
      <c r="AA136" s="5">
        <f t="shared" si="6"/>
        <v>0.90275332723047697</v>
      </c>
      <c r="AB136" s="5">
        <f t="shared" si="7"/>
        <v>0.79008520526723502</v>
      </c>
      <c r="AC136" s="5">
        <f t="shared" si="8"/>
        <v>-5.1648475459474701E-2</v>
      </c>
    </row>
    <row r="137" spans="1:29" ht="15" customHeight="1" x14ac:dyDescent="0.3">
      <c r="A137" s="3">
        <v>167</v>
      </c>
      <c r="B137" s="3">
        <v>34</v>
      </c>
      <c r="C137" s="3" t="s">
        <v>236</v>
      </c>
      <c r="D137" s="4" t="s">
        <v>237</v>
      </c>
      <c r="E137" s="3" t="s">
        <v>41</v>
      </c>
      <c r="F137" s="3">
        <v>2022</v>
      </c>
      <c r="G137" s="3">
        <v>0</v>
      </c>
      <c r="H137" s="3">
        <v>0</v>
      </c>
      <c r="I137" s="3">
        <v>0</v>
      </c>
      <c r="J137" s="3">
        <v>0</v>
      </c>
      <c r="K137" s="3">
        <v>8000000000</v>
      </c>
      <c r="L137" s="3">
        <v>0.2</v>
      </c>
      <c r="M137" s="3">
        <v>1600000</v>
      </c>
      <c r="N137" s="3">
        <v>10237000</v>
      </c>
      <c r="O137" s="3">
        <v>12450000</v>
      </c>
      <c r="P137" s="3">
        <v>-768070</v>
      </c>
      <c r="Q137" s="3">
        <v>0.95076305220883495</v>
      </c>
      <c r="R137" s="3">
        <v>16.337231180875001</v>
      </c>
      <c r="S137" s="3">
        <v>0.82224899598393597</v>
      </c>
      <c r="T137" s="3">
        <v>-6.1692369477911603E-2</v>
      </c>
      <c r="U137" s="3">
        <v>1988</v>
      </c>
      <c r="V137" s="3">
        <v>34</v>
      </c>
      <c r="W137" s="3">
        <v>0</v>
      </c>
      <c r="X137" s="3" t="s">
        <v>238</v>
      </c>
      <c r="Y137" s="4" t="s">
        <v>239</v>
      </c>
      <c r="Z137" s="3" t="s">
        <v>67</v>
      </c>
      <c r="AA137" s="5">
        <f t="shared" si="6"/>
        <v>0.95076305220883495</v>
      </c>
      <c r="AB137" s="5">
        <f t="shared" si="7"/>
        <v>0.82224899598393597</v>
      </c>
      <c r="AC137" s="5">
        <f t="shared" si="8"/>
        <v>-6.1692369477911603E-2</v>
      </c>
    </row>
    <row r="138" spans="1:29" ht="15" customHeight="1" x14ac:dyDescent="0.3">
      <c r="A138" s="3">
        <v>168</v>
      </c>
      <c r="B138" s="3">
        <v>34</v>
      </c>
      <c r="C138" s="3" t="s">
        <v>236</v>
      </c>
      <c r="D138" s="4" t="s">
        <v>237</v>
      </c>
      <c r="E138" s="3" t="s">
        <v>41</v>
      </c>
      <c r="F138" s="3">
        <v>2023</v>
      </c>
      <c r="G138" s="3">
        <v>1</v>
      </c>
      <c r="H138" s="3">
        <v>0</v>
      </c>
      <c r="I138" s="3">
        <v>0</v>
      </c>
      <c r="J138" s="3">
        <v>0</v>
      </c>
      <c r="K138" s="3">
        <v>8000000000</v>
      </c>
      <c r="L138" s="3">
        <v>0.9</v>
      </c>
      <c r="M138" s="3">
        <v>7200000</v>
      </c>
      <c r="N138" s="3">
        <v>13087000</v>
      </c>
      <c r="O138" s="3">
        <v>30906000</v>
      </c>
      <c r="P138" s="3">
        <v>-1628000</v>
      </c>
      <c r="Q138" s="3">
        <v>0.65640975862292095</v>
      </c>
      <c r="R138" s="3">
        <v>17.246460897775801</v>
      </c>
      <c r="S138" s="3">
        <v>0.42344528570504097</v>
      </c>
      <c r="T138" s="3">
        <v>-5.2675855820876201E-2</v>
      </c>
      <c r="U138" s="3">
        <v>1988</v>
      </c>
      <c r="V138" s="3">
        <v>35</v>
      </c>
      <c r="W138" s="3">
        <v>0</v>
      </c>
      <c r="X138" s="3" t="s">
        <v>238</v>
      </c>
      <c r="Y138" s="4" t="s">
        <v>239</v>
      </c>
      <c r="Z138" s="3" t="s">
        <v>67</v>
      </c>
      <c r="AA138" s="5">
        <f t="shared" si="6"/>
        <v>0.65640975862292095</v>
      </c>
      <c r="AB138" s="5">
        <f t="shared" si="7"/>
        <v>0.42344528570504097</v>
      </c>
      <c r="AC138" s="5">
        <f t="shared" si="8"/>
        <v>-5.2675855820876201E-2</v>
      </c>
    </row>
    <row r="139" spans="1:29" ht="15" customHeight="1" x14ac:dyDescent="0.3">
      <c r="A139" s="3">
        <v>169</v>
      </c>
      <c r="B139" s="3">
        <v>34</v>
      </c>
      <c r="C139" s="3" t="s">
        <v>236</v>
      </c>
      <c r="D139" s="4" t="s">
        <v>237</v>
      </c>
      <c r="E139" s="3" t="s">
        <v>41</v>
      </c>
      <c r="F139" s="3">
        <v>2024</v>
      </c>
      <c r="G139" s="3">
        <v>1</v>
      </c>
      <c r="H139" s="3">
        <v>0</v>
      </c>
      <c r="I139" s="3">
        <v>0</v>
      </c>
      <c r="J139" s="3">
        <v>0</v>
      </c>
      <c r="K139" s="3">
        <v>8000000000</v>
      </c>
      <c r="L139" s="3">
        <v>0.63</v>
      </c>
      <c r="M139" s="3">
        <v>5040000</v>
      </c>
      <c r="N139" s="3">
        <v>11309000</v>
      </c>
      <c r="O139" s="3">
        <v>27493000</v>
      </c>
      <c r="P139" s="3">
        <v>-2342000</v>
      </c>
      <c r="Q139" s="3">
        <v>0.59466045902593401</v>
      </c>
      <c r="R139" s="3">
        <v>17.129441984780101</v>
      </c>
      <c r="S139" s="3">
        <v>0.41134106863565301</v>
      </c>
      <c r="T139" s="3">
        <v>-8.5185319899610798E-2</v>
      </c>
      <c r="U139" s="3">
        <v>1988</v>
      </c>
      <c r="V139" s="3">
        <v>36</v>
      </c>
      <c r="W139" s="3">
        <v>0</v>
      </c>
      <c r="X139" s="3" t="s">
        <v>238</v>
      </c>
      <c r="Y139" s="4" t="s">
        <v>239</v>
      </c>
      <c r="Z139" s="3" t="s">
        <v>67</v>
      </c>
      <c r="AA139" s="5">
        <f t="shared" si="6"/>
        <v>0.59466045902593401</v>
      </c>
      <c r="AB139" s="5">
        <f t="shared" si="7"/>
        <v>0.41134106863565301</v>
      </c>
      <c r="AC139" s="5">
        <f t="shared" si="8"/>
        <v>-8.5185319899610798E-2</v>
      </c>
    </row>
    <row r="140" spans="1:29" ht="15" customHeight="1" x14ac:dyDescent="0.3">
      <c r="A140" s="3">
        <v>170</v>
      </c>
      <c r="B140" s="3">
        <v>34</v>
      </c>
      <c r="C140" s="3" t="s">
        <v>236</v>
      </c>
      <c r="D140" s="4" t="s">
        <v>237</v>
      </c>
      <c r="E140" s="3" t="s">
        <v>41</v>
      </c>
      <c r="F140" s="3">
        <v>2025</v>
      </c>
      <c r="G140" s="3">
        <v>1</v>
      </c>
      <c r="H140" s="3">
        <v>0</v>
      </c>
      <c r="I140" s="3">
        <v>0</v>
      </c>
      <c r="J140" s="3">
        <v>0</v>
      </c>
      <c r="K140" s="3">
        <v>8000000000</v>
      </c>
      <c r="L140" s="3">
        <v>0.93</v>
      </c>
      <c r="M140" s="3">
        <v>7440000</v>
      </c>
      <c r="N140" s="3">
        <v>10327000</v>
      </c>
      <c r="O140" s="3">
        <v>27132000</v>
      </c>
      <c r="P140" s="3">
        <v>-874660</v>
      </c>
      <c r="Q140" s="3">
        <v>0.65483561845791005</v>
      </c>
      <c r="R140" s="3">
        <v>17.1162244010481</v>
      </c>
      <c r="S140" s="3">
        <v>0.38062066932035998</v>
      </c>
      <c r="T140" s="3">
        <v>-3.2237210673743202E-2</v>
      </c>
      <c r="U140" s="3">
        <v>1988</v>
      </c>
      <c r="V140" s="3">
        <v>37</v>
      </c>
      <c r="W140" s="3">
        <v>0</v>
      </c>
      <c r="X140" s="3" t="s">
        <v>238</v>
      </c>
      <c r="Y140" s="4" t="s">
        <v>239</v>
      </c>
      <c r="Z140" s="3" t="s">
        <v>67</v>
      </c>
      <c r="AA140" s="5">
        <f t="shared" si="6"/>
        <v>0.65483561845791005</v>
      </c>
      <c r="AB140" s="5">
        <f t="shared" si="7"/>
        <v>0.38062066932035998</v>
      </c>
      <c r="AC140" s="5">
        <f t="shared" si="8"/>
        <v>-3.2237210673743202E-2</v>
      </c>
    </row>
    <row r="141" spans="1:29" ht="15" customHeight="1" x14ac:dyDescent="0.3">
      <c r="A141" s="3">
        <v>171</v>
      </c>
      <c r="B141" s="3">
        <v>35</v>
      </c>
      <c r="C141" s="3" t="s">
        <v>240</v>
      </c>
      <c r="D141" s="4" t="s">
        <v>241</v>
      </c>
      <c r="E141" s="3" t="s">
        <v>105</v>
      </c>
      <c r="F141" s="3">
        <v>2021</v>
      </c>
      <c r="G141" s="3">
        <v>0</v>
      </c>
      <c r="H141" s="3">
        <v>0</v>
      </c>
      <c r="I141" s="3">
        <v>50</v>
      </c>
      <c r="J141" s="3">
        <v>26.6666666666667</v>
      </c>
      <c r="K141" s="3">
        <v>17000000000</v>
      </c>
      <c r="L141" s="3">
        <v>199.19</v>
      </c>
      <c r="M141" s="3">
        <v>3386230000</v>
      </c>
      <c r="N141" s="3">
        <v>1408350000</v>
      </c>
      <c r="O141" s="3">
        <v>2392019000</v>
      </c>
      <c r="P141" s="3">
        <v>361008000</v>
      </c>
      <c r="Q141" s="3">
        <v>2.0044071556287801</v>
      </c>
      <c r="R141" s="3">
        <v>21.595403616147099</v>
      </c>
      <c r="S141" s="3">
        <v>0.58877040692402505</v>
      </c>
      <c r="T141" s="3">
        <v>0.15092187812889399</v>
      </c>
      <c r="U141" s="3">
        <v>1992</v>
      </c>
      <c r="V141" s="3">
        <v>29</v>
      </c>
      <c r="W141" s="3">
        <v>1</v>
      </c>
      <c r="X141" s="3" t="s">
        <v>57</v>
      </c>
      <c r="Y141" s="4" t="s">
        <v>242</v>
      </c>
      <c r="Z141" s="3" t="s">
        <v>34</v>
      </c>
      <c r="AA141" s="5">
        <f t="shared" si="6"/>
        <v>2.0044071556287801</v>
      </c>
      <c r="AB141" s="5">
        <f t="shared" si="7"/>
        <v>0.58877040692402505</v>
      </c>
      <c r="AC141" s="5">
        <f t="shared" si="8"/>
        <v>0.15092187812889399</v>
      </c>
    </row>
    <row r="142" spans="1:29" ht="15" customHeight="1" x14ac:dyDescent="0.3">
      <c r="A142" s="3">
        <v>172</v>
      </c>
      <c r="B142" s="3">
        <v>35</v>
      </c>
      <c r="C142" s="3" t="s">
        <v>240</v>
      </c>
      <c r="D142" s="4" t="s">
        <v>241</v>
      </c>
      <c r="E142" s="3" t="s">
        <v>105</v>
      </c>
      <c r="F142" s="3">
        <v>2022</v>
      </c>
      <c r="G142" s="3">
        <v>0</v>
      </c>
      <c r="H142" s="3">
        <v>0</v>
      </c>
      <c r="I142" s="3">
        <v>70</v>
      </c>
      <c r="J142" s="3">
        <v>53.3333333333333</v>
      </c>
      <c r="K142" s="3">
        <v>16880000000</v>
      </c>
      <c r="L142" s="3">
        <v>216.89</v>
      </c>
      <c r="M142" s="3">
        <v>3661103200</v>
      </c>
      <c r="N142" s="3">
        <v>1536708000</v>
      </c>
      <c r="O142" s="3">
        <v>2615655000</v>
      </c>
      <c r="P142" s="3">
        <v>375988000</v>
      </c>
      <c r="Q142" s="3">
        <v>1.9871929593161199</v>
      </c>
      <c r="R142" s="3">
        <v>21.6847803811104</v>
      </c>
      <c r="S142" s="3">
        <v>0.58750408597464099</v>
      </c>
      <c r="T142" s="3">
        <v>0.143745256924174</v>
      </c>
      <c r="U142" s="3">
        <v>1992</v>
      </c>
      <c r="V142" s="3">
        <v>30</v>
      </c>
      <c r="W142" s="3">
        <v>1</v>
      </c>
      <c r="X142" s="3" t="s">
        <v>57</v>
      </c>
      <c r="Y142" s="4" t="s">
        <v>242</v>
      </c>
      <c r="Z142" s="3" t="s">
        <v>34</v>
      </c>
      <c r="AA142" s="5">
        <f t="shared" si="6"/>
        <v>1.9871929593161199</v>
      </c>
      <c r="AB142" s="5">
        <f t="shared" si="7"/>
        <v>0.58750408597464099</v>
      </c>
      <c r="AC142" s="5">
        <f t="shared" si="8"/>
        <v>0.143745256924174</v>
      </c>
    </row>
    <row r="143" spans="1:29" ht="15" customHeight="1" x14ac:dyDescent="0.3">
      <c r="A143" s="3">
        <v>173</v>
      </c>
      <c r="B143" s="3">
        <v>35</v>
      </c>
      <c r="C143" s="3" t="s">
        <v>240</v>
      </c>
      <c r="D143" s="4" t="s">
        <v>241</v>
      </c>
      <c r="E143" s="3" t="s">
        <v>105</v>
      </c>
      <c r="F143" s="3">
        <v>2023</v>
      </c>
      <c r="G143" s="3">
        <v>1</v>
      </c>
      <c r="H143" s="3">
        <v>0</v>
      </c>
      <c r="I143" s="3">
        <v>55</v>
      </c>
      <c r="J143" s="3">
        <v>46.6666666666667</v>
      </c>
      <c r="K143" s="3">
        <v>16818000000</v>
      </c>
      <c r="L143" s="3">
        <v>285.52999999999997</v>
      </c>
      <c r="M143" s="3">
        <v>4802043540</v>
      </c>
      <c r="N143" s="3">
        <v>2212885000</v>
      </c>
      <c r="O143" s="3">
        <v>3938725000</v>
      </c>
      <c r="P143" s="3">
        <v>445214000</v>
      </c>
      <c r="Q143" s="3">
        <v>1.7810150594418199</v>
      </c>
      <c r="R143" s="3">
        <v>22.0941229038242</v>
      </c>
      <c r="S143" s="3">
        <v>0.56182774882734898</v>
      </c>
      <c r="T143" s="3">
        <v>0.11303505576043001</v>
      </c>
      <c r="U143" s="3">
        <v>1992</v>
      </c>
      <c r="V143" s="3">
        <v>31</v>
      </c>
      <c r="W143" s="3">
        <v>1</v>
      </c>
      <c r="X143" s="3" t="s">
        <v>57</v>
      </c>
      <c r="Y143" s="4" t="s">
        <v>242</v>
      </c>
      <c r="Z143" s="3" t="s">
        <v>34</v>
      </c>
      <c r="AA143" s="5">
        <f t="shared" si="6"/>
        <v>1.7810150594418199</v>
      </c>
      <c r="AB143" s="5">
        <f t="shared" si="7"/>
        <v>0.56182774882734898</v>
      </c>
      <c r="AC143" s="5">
        <f t="shared" si="8"/>
        <v>0.11303505576043001</v>
      </c>
    </row>
    <row r="144" spans="1:29" ht="15" customHeight="1" x14ac:dyDescent="0.3">
      <c r="A144" s="3">
        <v>174</v>
      </c>
      <c r="B144" s="3">
        <v>35</v>
      </c>
      <c r="C144" s="3" t="s">
        <v>240</v>
      </c>
      <c r="D144" s="4" t="s">
        <v>241</v>
      </c>
      <c r="E144" s="3" t="s">
        <v>105</v>
      </c>
      <c r="F144" s="3">
        <v>2024</v>
      </c>
      <c r="G144" s="3">
        <v>1</v>
      </c>
      <c r="H144" s="3">
        <v>0</v>
      </c>
      <c r="I144" s="3">
        <v>75</v>
      </c>
      <c r="J144" s="3">
        <v>73.3333333333333</v>
      </c>
      <c r="K144" s="3">
        <v>16752000000</v>
      </c>
      <c r="L144" s="3">
        <v>446.88</v>
      </c>
      <c r="M144" s="3">
        <v>7486133760</v>
      </c>
      <c r="N144" s="3">
        <v>4227993000</v>
      </c>
      <c r="O144" s="3">
        <v>6403238000</v>
      </c>
      <c r="P144" s="3">
        <v>498192000</v>
      </c>
      <c r="Q144" s="3">
        <v>1.82940674077709</v>
      </c>
      <c r="R144" s="3">
        <v>22.580069636868799</v>
      </c>
      <c r="S144" s="3">
        <v>0.66028984085864095</v>
      </c>
      <c r="T144" s="3">
        <v>7.7803136475639398E-2</v>
      </c>
      <c r="U144" s="3">
        <v>1992</v>
      </c>
      <c r="V144" s="3">
        <v>32</v>
      </c>
      <c r="W144" s="3">
        <v>1</v>
      </c>
      <c r="X144" s="3" t="s">
        <v>57</v>
      </c>
      <c r="Y144" s="4" t="s">
        <v>242</v>
      </c>
      <c r="Z144" s="3" t="s">
        <v>34</v>
      </c>
      <c r="AA144" s="5">
        <f t="shared" si="6"/>
        <v>1.82940674077709</v>
      </c>
      <c r="AB144" s="5">
        <f t="shared" si="7"/>
        <v>0.66028984085864095</v>
      </c>
      <c r="AC144" s="5">
        <f t="shared" si="8"/>
        <v>7.7803136475639398E-2</v>
      </c>
    </row>
    <row r="145" spans="1:29" ht="15" customHeight="1" x14ac:dyDescent="0.3">
      <c r="A145" s="3">
        <v>175</v>
      </c>
      <c r="B145" s="3">
        <v>35</v>
      </c>
      <c r="C145" s="3" t="s">
        <v>240</v>
      </c>
      <c r="D145" s="4" t="s">
        <v>241</v>
      </c>
      <c r="E145" s="3" t="s">
        <v>105</v>
      </c>
      <c r="F145" s="3">
        <v>2025</v>
      </c>
      <c r="G145" s="3">
        <v>1</v>
      </c>
      <c r="H145" s="3">
        <v>0</v>
      </c>
      <c r="I145" s="3">
        <v>70</v>
      </c>
      <c r="J145" s="3">
        <v>46.6666666666667</v>
      </c>
      <c r="K145" s="3">
        <v>16752000000</v>
      </c>
      <c r="L145" s="3">
        <v>609</v>
      </c>
      <c r="M145" s="3">
        <v>10201968000</v>
      </c>
      <c r="N145" s="3">
        <v>3420591000</v>
      </c>
      <c r="O145" s="3">
        <v>6040727000</v>
      </c>
      <c r="P145" s="3">
        <v>1002847000</v>
      </c>
      <c r="Q145" s="3">
        <v>2.2551191272176299</v>
      </c>
      <c r="R145" s="3">
        <v>22.521790205888401</v>
      </c>
      <c r="S145" s="3">
        <v>0.566254856410495</v>
      </c>
      <c r="T145" s="3">
        <v>0.16601428933967699</v>
      </c>
      <c r="U145" s="3">
        <v>1992</v>
      </c>
      <c r="V145" s="3">
        <v>33</v>
      </c>
      <c r="W145" s="3">
        <v>1</v>
      </c>
      <c r="X145" s="3" t="s">
        <v>57</v>
      </c>
      <c r="Y145" s="4" t="s">
        <v>242</v>
      </c>
      <c r="Z145" s="3" t="s">
        <v>34</v>
      </c>
      <c r="AA145" s="5">
        <f t="shared" si="6"/>
        <v>2.2551191272176299</v>
      </c>
      <c r="AB145" s="5">
        <f t="shared" si="7"/>
        <v>0.566254856410495</v>
      </c>
      <c r="AC145" s="5">
        <f t="shared" si="8"/>
        <v>0.16601428933967699</v>
      </c>
    </row>
    <row r="146" spans="1:29" ht="15" customHeight="1" x14ac:dyDescent="0.3">
      <c r="A146" s="3">
        <v>176</v>
      </c>
      <c r="B146" s="3">
        <v>36</v>
      </c>
      <c r="C146" s="3" t="s">
        <v>243</v>
      </c>
      <c r="D146" s="4" t="s">
        <v>244</v>
      </c>
      <c r="E146" s="3" t="s">
        <v>143</v>
      </c>
      <c r="F146" s="3">
        <v>2021</v>
      </c>
      <c r="G146" s="3">
        <v>0</v>
      </c>
      <c r="H146" s="3">
        <v>0</v>
      </c>
      <c r="I146" s="3">
        <v>5</v>
      </c>
      <c r="J146" s="3">
        <v>0</v>
      </c>
      <c r="K146" s="3">
        <v>12147000000</v>
      </c>
      <c r="L146" s="3">
        <v>14.51</v>
      </c>
      <c r="M146" s="3">
        <v>176252970</v>
      </c>
      <c r="N146" s="3">
        <v>230875000</v>
      </c>
      <c r="O146" s="3">
        <v>359506000</v>
      </c>
      <c r="P146" s="3">
        <v>22058000</v>
      </c>
      <c r="Q146" s="3">
        <v>1.1324650214461001</v>
      </c>
      <c r="R146" s="3">
        <v>19.700241424833099</v>
      </c>
      <c r="S146" s="3">
        <v>0.642200686497583</v>
      </c>
      <c r="T146" s="3">
        <v>6.1356416860914698E-2</v>
      </c>
      <c r="U146" s="3">
        <v>2006</v>
      </c>
      <c r="V146" s="3">
        <v>15</v>
      </c>
      <c r="W146" s="3">
        <v>1</v>
      </c>
      <c r="X146" s="3" t="s">
        <v>32</v>
      </c>
      <c r="Y146" s="4" t="s">
        <v>245</v>
      </c>
      <c r="Z146" s="3" t="s">
        <v>34</v>
      </c>
      <c r="AA146" s="5">
        <f t="shared" si="6"/>
        <v>1.1324650214461001</v>
      </c>
      <c r="AB146" s="5">
        <f t="shared" si="7"/>
        <v>0.642200686497583</v>
      </c>
      <c r="AC146" s="5">
        <f t="shared" si="8"/>
        <v>6.1356416860914698E-2</v>
      </c>
    </row>
    <row r="147" spans="1:29" ht="15" customHeight="1" x14ac:dyDescent="0.3">
      <c r="A147" s="3">
        <v>177</v>
      </c>
      <c r="B147" s="3">
        <v>36</v>
      </c>
      <c r="C147" s="3" t="s">
        <v>243</v>
      </c>
      <c r="D147" s="4" t="s">
        <v>244</v>
      </c>
      <c r="E147" s="3" t="s">
        <v>143</v>
      </c>
      <c r="F147" s="3">
        <v>2022</v>
      </c>
      <c r="G147" s="3">
        <v>0</v>
      </c>
      <c r="H147" s="3">
        <v>0</v>
      </c>
      <c r="I147" s="3">
        <v>5</v>
      </c>
      <c r="J147" s="3">
        <v>0</v>
      </c>
      <c r="K147" s="3">
        <v>12147000000</v>
      </c>
      <c r="L147" s="3">
        <v>14.2</v>
      </c>
      <c r="M147" s="3">
        <v>172487400</v>
      </c>
      <c r="N147" s="3">
        <v>321208000</v>
      </c>
      <c r="O147" s="3">
        <v>492434000</v>
      </c>
      <c r="P147" s="3">
        <v>54738000</v>
      </c>
      <c r="Q147" s="3">
        <v>1.0025615615493699</v>
      </c>
      <c r="R147" s="3">
        <v>20.014870999444</v>
      </c>
      <c r="S147" s="3">
        <v>0.652286397771072</v>
      </c>
      <c r="T147" s="3">
        <v>0.111158043514461</v>
      </c>
      <c r="U147" s="3">
        <v>2006</v>
      </c>
      <c r="V147" s="3">
        <v>16</v>
      </c>
      <c r="W147" s="3">
        <v>1</v>
      </c>
      <c r="X147" s="3" t="s">
        <v>32</v>
      </c>
      <c r="Y147" s="4" t="s">
        <v>245</v>
      </c>
      <c r="Z147" s="3" t="s">
        <v>34</v>
      </c>
      <c r="AA147" s="5">
        <f t="shared" si="6"/>
        <v>1.0025615615493699</v>
      </c>
      <c r="AB147" s="5">
        <f t="shared" si="7"/>
        <v>0.652286397771072</v>
      </c>
      <c r="AC147" s="5">
        <f t="shared" si="8"/>
        <v>0.111158043514461</v>
      </c>
    </row>
    <row r="148" spans="1:29" ht="15" customHeight="1" x14ac:dyDescent="0.3">
      <c r="A148" s="3">
        <v>178</v>
      </c>
      <c r="B148" s="3">
        <v>36</v>
      </c>
      <c r="C148" s="3" t="s">
        <v>243</v>
      </c>
      <c r="D148" s="4" t="s">
        <v>244</v>
      </c>
      <c r="E148" s="3" t="s">
        <v>143</v>
      </c>
      <c r="F148" s="3">
        <v>2023</v>
      </c>
      <c r="G148" s="3">
        <v>1</v>
      </c>
      <c r="H148" s="3">
        <v>0</v>
      </c>
      <c r="I148" s="3">
        <v>30</v>
      </c>
      <c r="J148" s="3">
        <v>26.6666666666667</v>
      </c>
      <c r="K148" s="3">
        <v>12147000000</v>
      </c>
      <c r="L148" s="3">
        <v>54.93</v>
      </c>
      <c r="M148" s="3">
        <v>667234710</v>
      </c>
      <c r="N148" s="3">
        <v>521544000</v>
      </c>
      <c r="O148" s="3">
        <v>600790000</v>
      </c>
      <c r="P148" s="3">
        <v>-73743000</v>
      </c>
      <c r="Q148" s="3">
        <v>1.97869257144759</v>
      </c>
      <c r="R148" s="3">
        <v>20.2137560138016</v>
      </c>
      <c r="S148" s="3">
        <v>0.86809700560928105</v>
      </c>
      <c r="T148" s="3">
        <v>-0.122743387872634</v>
      </c>
      <c r="U148" s="3">
        <v>2006</v>
      </c>
      <c r="V148" s="3">
        <v>17</v>
      </c>
      <c r="W148" s="3">
        <v>1</v>
      </c>
      <c r="X148" s="3" t="s">
        <v>32</v>
      </c>
      <c r="Y148" s="4" t="s">
        <v>245</v>
      </c>
      <c r="Z148" s="3" t="s">
        <v>34</v>
      </c>
      <c r="AA148" s="5">
        <f t="shared" si="6"/>
        <v>1.97869257144759</v>
      </c>
      <c r="AB148" s="5">
        <f t="shared" si="7"/>
        <v>0.86809700560928105</v>
      </c>
      <c r="AC148" s="5">
        <f t="shared" si="8"/>
        <v>-0.122743387872634</v>
      </c>
    </row>
    <row r="149" spans="1:29" ht="15" customHeight="1" x14ac:dyDescent="0.3">
      <c r="A149" s="3">
        <v>179</v>
      </c>
      <c r="B149" s="3">
        <v>36</v>
      </c>
      <c r="C149" s="3" t="s">
        <v>243</v>
      </c>
      <c r="D149" s="4" t="s">
        <v>244</v>
      </c>
      <c r="E149" s="3" t="s">
        <v>143</v>
      </c>
      <c r="F149" s="3">
        <v>2024</v>
      </c>
      <c r="G149" s="3">
        <v>1</v>
      </c>
      <c r="H149" s="3">
        <v>0</v>
      </c>
      <c r="I149" s="3">
        <v>25</v>
      </c>
      <c r="J149" s="3">
        <v>0</v>
      </c>
      <c r="K149" s="3">
        <v>12147000000</v>
      </c>
      <c r="L149" s="3">
        <v>31.32</v>
      </c>
      <c r="M149" s="3">
        <v>380444040</v>
      </c>
      <c r="N149" s="3">
        <v>838605000</v>
      </c>
      <c r="O149" s="3">
        <v>1050833000</v>
      </c>
      <c r="P149" s="3">
        <v>-192599000</v>
      </c>
      <c r="Q149" s="3">
        <v>1.16007875656741</v>
      </c>
      <c r="R149" s="3">
        <v>20.7728490199266</v>
      </c>
      <c r="S149" s="3">
        <v>0.79803831817234505</v>
      </c>
      <c r="T149" s="3">
        <v>-0.183282215156928</v>
      </c>
      <c r="U149" s="3">
        <v>2006</v>
      </c>
      <c r="V149" s="3">
        <v>18</v>
      </c>
      <c r="W149" s="3">
        <v>1</v>
      </c>
      <c r="X149" s="3" t="s">
        <v>32</v>
      </c>
      <c r="Y149" s="4" t="s">
        <v>245</v>
      </c>
      <c r="Z149" s="3" t="s">
        <v>34</v>
      </c>
      <c r="AA149" s="5">
        <f t="shared" si="6"/>
        <v>1.16007875656741</v>
      </c>
      <c r="AB149" s="5">
        <f t="shared" si="7"/>
        <v>0.79803831817234505</v>
      </c>
      <c r="AC149" s="5">
        <f t="shared" si="8"/>
        <v>-0.183282215156928</v>
      </c>
    </row>
    <row r="150" spans="1:29" ht="15" customHeight="1" x14ac:dyDescent="0.3">
      <c r="A150" s="3">
        <v>180</v>
      </c>
      <c r="B150" s="3">
        <v>36</v>
      </c>
      <c r="C150" s="3" t="s">
        <v>243</v>
      </c>
      <c r="D150" s="4" t="s">
        <v>244</v>
      </c>
      <c r="E150" s="3" t="s">
        <v>143</v>
      </c>
      <c r="F150" s="3">
        <v>2025</v>
      </c>
      <c r="G150" s="3">
        <v>1</v>
      </c>
      <c r="H150" s="3">
        <v>0</v>
      </c>
      <c r="I150" s="3">
        <v>5</v>
      </c>
      <c r="J150" s="3">
        <v>0</v>
      </c>
      <c r="K150" s="3">
        <v>12147000000</v>
      </c>
      <c r="L150" s="3">
        <v>57.82</v>
      </c>
      <c r="M150" s="3">
        <v>702339540</v>
      </c>
      <c r="N150" s="3">
        <v>836945000</v>
      </c>
      <c r="O150" s="3">
        <v>965926000</v>
      </c>
      <c r="P150" s="3">
        <v>-64064000</v>
      </c>
      <c r="Q150" s="3">
        <v>1.5935843325472101</v>
      </c>
      <c r="R150" s="3">
        <v>20.688597784687602</v>
      </c>
      <c r="S150" s="3">
        <v>0.86646906698856896</v>
      </c>
      <c r="T150" s="3">
        <v>-6.6323921294177801E-2</v>
      </c>
      <c r="U150" s="3">
        <v>2006</v>
      </c>
      <c r="V150" s="3">
        <v>19</v>
      </c>
      <c r="W150" s="3">
        <v>1</v>
      </c>
      <c r="X150" s="3" t="s">
        <v>32</v>
      </c>
      <c r="Y150" s="4" t="s">
        <v>245</v>
      </c>
      <c r="Z150" s="3" t="s">
        <v>34</v>
      </c>
      <c r="AA150" s="5">
        <f t="shared" si="6"/>
        <v>1.5935843325472101</v>
      </c>
      <c r="AB150" s="5">
        <f t="shared" si="7"/>
        <v>0.86646906698856896</v>
      </c>
      <c r="AC150" s="5">
        <f t="shared" si="8"/>
        <v>-6.6323921294177801E-2</v>
      </c>
    </row>
    <row r="151" spans="1:29" ht="15" customHeight="1" x14ac:dyDescent="0.3">
      <c r="A151" s="3">
        <v>186</v>
      </c>
      <c r="B151" s="3">
        <v>38</v>
      </c>
      <c r="C151" s="3" t="s">
        <v>246</v>
      </c>
      <c r="D151" s="4" t="s">
        <v>247</v>
      </c>
      <c r="E151" s="3" t="s">
        <v>248</v>
      </c>
      <c r="F151" s="3">
        <v>2021</v>
      </c>
      <c r="G151" s="3">
        <v>0</v>
      </c>
      <c r="H151" s="3">
        <v>0</v>
      </c>
      <c r="I151" s="3">
        <v>0</v>
      </c>
      <c r="J151" s="3">
        <v>0</v>
      </c>
      <c r="K151" s="3">
        <v>2000000000</v>
      </c>
      <c r="L151" s="3">
        <v>4.25</v>
      </c>
      <c r="M151" s="3">
        <v>8500000</v>
      </c>
      <c r="N151" s="3">
        <v>2960042</v>
      </c>
      <c r="O151" s="3">
        <v>10081326</v>
      </c>
      <c r="P151" s="3">
        <v>-563279</v>
      </c>
      <c r="Q151" s="3">
        <v>1.1367593905801701</v>
      </c>
      <c r="R151" s="3">
        <v>16.126195359574901</v>
      </c>
      <c r="S151" s="3">
        <v>0.29361633578757401</v>
      </c>
      <c r="T151" s="3">
        <v>-5.58735031482962E-2</v>
      </c>
      <c r="U151" s="3">
        <v>1980</v>
      </c>
      <c r="V151" s="3">
        <v>41</v>
      </c>
      <c r="W151" s="3">
        <v>0</v>
      </c>
      <c r="X151" s="3" t="s">
        <v>249</v>
      </c>
      <c r="Y151" s="4" t="s">
        <v>250</v>
      </c>
      <c r="Z151" s="3" t="s">
        <v>34</v>
      </c>
      <c r="AA151" s="5">
        <f t="shared" si="6"/>
        <v>1.1367593905801701</v>
      </c>
      <c r="AB151" s="5">
        <f t="shared" si="7"/>
        <v>0.29361633578757401</v>
      </c>
      <c r="AC151" s="5">
        <f t="shared" si="8"/>
        <v>-5.58735031482962E-2</v>
      </c>
    </row>
    <row r="152" spans="1:29" ht="15" customHeight="1" x14ac:dyDescent="0.3">
      <c r="A152" s="3">
        <v>187</v>
      </c>
      <c r="B152" s="3">
        <v>38</v>
      </c>
      <c r="C152" s="3" t="s">
        <v>246</v>
      </c>
      <c r="D152" s="4" t="s">
        <v>247</v>
      </c>
      <c r="E152" s="3" t="s">
        <v>248</v>
      </c>
      <c r="F152" s="3">
        <v>2022</v>
      </c>
      <c r="G152" s="3">
        <v>0</v>
      </c>
      <c r="H152" s="3">
        <v>0</v>
      </c>
      <c r="I152" s="3">
        <v>0</v>
      </c>
      <c r="J152" s="3">
        <v>0</v>
      </c>
      <c r="K152" s="3">
        <v>1792000000</v>
      </c>
      <c r="L152" s="3">
        <v>3.61</v>
      </c>
      <c r="M152" s="3">
        <v>6469120</v>
      </c>
      <c r="N152" s="3">
        <v>3527000</v>
      </c>
      <c r="O152" s="3">
        <v>23360000</v>
      </c>
      <c r="P152" s="3">
        <v>-1004000</v>
      </c>
      <c r="Q152" s="3">
        <v>0.42791609589041102</v>
      </c>
      <c r="R152" s="3">
        <v>16.966535715924302</v>
      </c>
      <c r="S152" s="3">
        <v>0.15098458904109599</v>
      </c>
      <c r="T152" s="3">
        <v>-4.2979452054794497E-2</v>
      </c>
      <c r="U152" s="3">
        <v>1980</v>
      </c>
      <c r="V152" s="3">
        <v>42</v>
      </c>
      <c r="W152" s="3">
        <v>0</v>
      </c>
      <c r="X152" s="3" t="s">
        <v>249</v>
      </c>
      <c r="Y152" s="4" t="s">
        <v>251</v>
      </c>
      <c r="Z152" s="3" t="s">
        <v>34</v>
      </c>
      <c r="AA152" s="5">
        <f t="shared" si="6"/>
        <v>0.42843804935676</v>
      </c>
      <c r="AB152" s="5">
        <f t="shared" si="7"/>
        <v>0.15098458904109599</v>
      </c>
      <c r="AC152" s="5">
        <f t="shared" si="8"/>
        <v>-4.2979452054794497E-2</v>
      </c>
    </row>
    <row r="153" spans="1:29" ht="15" customHeight="1" x14ac:dyDescent="0.3">
      <c r="A153" s="3">
        <v>188</v>
      </c>
      <c r="B153" s="3">
        <v>38</v>
      </c>
      <c r="C153" s="3" t="s">
        <v>246</v>
      </c>
      <c r="D153" s="4" t="s">
        <v>247</v>
      </c>
      <c r="E153" s="3" t="s">
        <v>248</v>
      </c>
      <c r="F153" s="3">
        <v>2023</v>
      </c>
      <c r="G153" s="3">
        <v>1</v>
      </c>
      <c r="H153" s="3">
        <v>0</v>
      </c>
      <c r="I153" s="3">
        <v>0</v>
      </c>
      <c r="J153" s="3">
        <v>0</v>
      </c>
      <c r="K153" s="3">
        <v>2000000000</v>
      </c>
      <c r="L153" s="3">
        <v>3.93</v>
      </c>
      <c r="M153" s="3">
        <v>7860000</v>
      </c>
      <c r="N153" s="3">
        <v>3520000</v>
      </c>
      <c r="O153" s="3">
        <v>23436000</v>
      </c>
      <c r="P153" s="3">
        <v>-849320</v>
      </c>
      <c r="Q153" s="3">
        <v>0.48557774364225997</v>
      </c>
      <c r="R153" s="3">
        <v>16.9697838596468</v>
      </c>
      <c r="S153" s="3">
        <v>0.15019627922853701</v>
      </c>
      <c r="T153" s="3">
        <v>-3.6239972691585597E-2</v>
      </c>
      <c r="U153" s="3">
        <v>1980</v>
      </c>
      <c r="V153" s="3">
        <v>43</v>
      </c>
      <c r="W153" s="3">
        <v>0</v>
      </c>
      <c r="X153" s="3" t="s">
        <v>249</v>
      </c>
      <c r="Y153" s="4" t="s">
        <v>251</v>
      </c>
      <c r="Z153" s="3" t="s">
        <v>34</v>
      </c>
      <c r="AA153" s="5">
        <f t="shared" si="6"/>
        <v>0.48557774364225997</v>
      </c>
      <c r="AB153" s="5">
        <f t="shared" si="7"/>
        <v>0.15019627922853701</v>
      </c>
      <c r="AC153" s="5">
        <f t="shared" si="8"/>
        <v>-3.6239972691585597E-2</v>
      </c>
    </row>
    <row r="154" spans="1:29" ht="15" customHeight="1" x14ac:dyDescent="0.3">
      <c r="A154" s="3">
        <v>189</v>
      </c>
      <c r="B154" s="3">
        <v>38</v>
      </c>
      <c r="C154" s="3" t="s">
        <v>246</v>
      </c>
      <c r="D154" s="4" t="s">
        <v>247</v>
      </c>
      <c r="E154" s="3" t="s">
        <v>248</v>
      </c>
      <c r="F154" s="3">
        <v>2024</v>
      </c>
      <c r="G154" s="3">
        <v>1</v>
      </c>
      <c r="H154" s="3">
        <v>0</v>
      </c>
      <c r="I154" s="3">
        <v>0</v>
      </c>
      <c r="J154" s="3">
        <v>0</v>
      </c>
      <c r="K154" s="3">
        <v>2754000000</v>
      </c>
      <c r="L154" s="3">
        <v>3</v>
      </c>
      <c r="M154" s="3">
        <v>8262000</v>
      </c>
      <c r="N154" s="3">
        <v>2703000</v>
      </c>
      <c r="O154" s="3">
        <v>24552000</v>
      </c>
      <c r="P154" s="3">
        <v>-893940</v>
      </c>
      <c r="Q154" s="3">
        <v>0.44660312805474101</v>
      </c>
      <c r="R154" s="3">
        <v>17.0163038752817</v>
      </c>
      <c r="S154" s="3">
        <v>0.11009286412512199</v>
      </c>
      <c r="T154" s="3">
        <v>-3.6410068426197498E-2</v>
      </c>
      <c r="U154" s="3">
        <v>1980</v>
      </c>
      <c r="V154" s="3">
        <v>44</v>
      </c>
      <c r="W154" s="3">
        <v>0</v>
      </c>
      <c r="X154" s="3" t="s">
        <v>249</v>
      </c>
      <c r="Y154" s="4" t="s">
        <v>251</v>
      </c>
      <c r="Z154" s="3" t="s">
        <v>34</v>
      </c>
      <c r="AA154" s="5">
        <f t="shared" si="6"/>
        <v>0.44660312805474101</v>
      </c>
      <c r="AB154" s="5">
        <f t="shared" si="7"/>
        <v>0.11009286412512199</v>
      </c>
      <c r="AC154" s="5">
        <f t="shared" si="8"/>
        <v>-3.6410068426197498E-2</v>
      </c>
    </row>
    <row r="155" spans="1:29" ht="15" customHeight="1" x14ac:dyDescent="0.3">
      <c r="A155" s="3">
        <v>190</v>
      </c>
      <c r="B155" s="3">
        <v>38</v>
      </c>
      <c r="C155" s="3" t="s">
        <v>246</v>
      </c>
      <c r="D155" s="4" t="s">
        <v>247</v>
      </c>
      <c r="E155" s="3" t="s">
        <v>248</v>
      </c>
      <c r="F155" s="3">
        <v>2025</v>
      </c>
      <c r="G155" s="3">
        <v>1</v>
      </c>
      <c r="H155" s="3">
        <v>0</v>
      </c>
      <c r="I155" s="3">
        <v>0</v>
      </c>
      <c r="J155" s="3">
        <v>0</v>
      </c>
      <c r="K155" s="3">
        <v>3858000000</v>
      </c>
      <c r="L155" s="3">
        <v>9.2100000000000009</v>
      </c>
      <c r="M155" s="3">
        <v>35532180</v>
      </c>
      <c r="N155" s="3">
        <v>8391000</v>
      </c>
      <c r="O155" s="3">
        <v>31051000</v>
      </c>
      <c r="P155" s="3">
        <v>-1596000</v>
      </c>
      <c r="Q155" s="3">
        <v>1.4145496119287599</v>
      </c>
      <c r="R155" s="3">
        <v>17.251141571944299</v>
      </c>
      <c r="S155" s="3">
        <v>0.27023284274258502</v>
      </c>
      <c r="T155" s="3">
        <v>-5.1399310811245998E-2</v>
      </c>
      <c r="U155" s="3">
        <v>1980</v>
      </c>
      <c r="V155" s="3">
        <v>45</v>
      </c>
      <c r="W155" s="3">
        <v>0</v>
      </c>
      <c r="X155" s="3" t="s">
        <v>249</v>
      </c>
      <c r="Y155" s="4" t="s">
        <v>251</v>
      </c>
      <c r="Z155" s="3" t="s">
        <v>34</v>
      </c>
      <c r="AA155" s="5">
        <f t="shared" si="6"/>
        <v>1.4145496119287599</v>
      </c>
      <c r="AB155" s="5">
        <f t="shared" si="7"/>
        <v>0.27023284274258502</v>
      </c>
      <c r="AC155" s="5">
        <f t="shared" si="8"/>
        <v>-5.1399310811245998E-2</v>
      </c>
    </row>
    <row r="156" spans="1:29" ht="15" customHeight="1" x14ac:dyDescent="0.3">
      <c r="A156" s="3">
        <v>191</v>
      </c>
      <c r="B156" s="3">
        <v>39</v>
      </c>
      <c r="C156" s="3" t="s">
        <v>252</v>
      </c>
      <c r="D156" s="4" t="s">
        <v>253</v>
      </c>
      <c r="E156" s="3" t="s">
        <v>143</v>
      </c>
      <c r="F156" s="3">
        <v>2021</v>
      </c>
      <c r="G156" s="3">
        <v>0</v>
      </c>
      <c r="H156" s="3">
        <v>0</v>
      </c>
      <c r="I156" s="3">
        <v>0</v>
      </c>
      <c r="J156" s="3">
        <v>0</v>
      </c>
      <c r="K156" s="3">
        <v>76032000</v>
      </c>
      <c r="L156" s="3">
        <v>16.2</v>
      </c>
      <c r="M156" s="3">
        <v>1231718.3999999999</v>
      </c>
      <c r="N156" s="3">
        <v>951234</v>
      </c>
      <c r="O156" s="3">
        <v>1507040</v>
      </c>
      <c r="P156" s="3">
        <v>-275533</v>
      </c>
      <c r="Q156" s="3">
        <v>1.4485032912198701</v>
      </c>
      <c r="R156" s="3">
        <v>14.225658020056599</v>
      </c>
      <c r="S156" s="3">
        <v>0.63119359804650199</v>
      </c>
      <c r="T156" s="3">
        <v>-0.18283058180273901</v>
      </c>
      <c r="U156" s="3">
        <v>1960</v>
      </c>
      <c r="V156" s="3">
        <v>61</v>
      </c>
      <c r="W156" s="3">
        <v>0</v>
      </c>
      <c r="X156" s="3" t="s">
        <v>254</v>
      </c>
      <c r="Y156" s="4" t="s">
        <v>255</v>
      </c>
      <c r="Z156" s="3" t="s">
        <v>34</v>
      </c>
      <c r="AA156" s="5">
        <f t="shared" si="6"/>
        <v>1.4485032912198701</v>
      </c>
      <c r="AB156" s="5">
        <f t="shared" si="7"/>
        <v>0.63119359804650199</v>
      </c>
      <c r="AC156" s="5">
        <f t="shared" si="8"/>
        <v>-0.18283058180273901</v>
      </c>
    </row>
    <row r="157" spans="1:29" ht="15" customHeight="1" x14ac:dyDescent="0.3">
      <c r="A157" s="3">
        <v>192</v>
      </c>
      <c r="B157" s="3">
        <v>39</v>
      </c>
      <c r="C157" s="3" t="s">
        <v>252</v>
      </c>
      <c r="D157" s="4" t="s">
        <v>253</v>
      </c>
      <c r="E157" s="3" t="s">
        <v>143</v>
      </c>
      <c r="F157" s="3">
        <v>2022</v>
      </c>
      <c r="G157" s="3">
        <v>0</v>
      </c>
      <c r="H157" s="3">
        <v>0</v>
      </c>
      <c r="I157" s="3">
        <v>0</v>
      </c>
      <c r="J157" s="3">
        <v>0</v>
      </c>
      <c r="K157" s="3">
        <v>76030000</v>
      </c>
      <c r="L157" s="3">
        <v>16.2</v>
      </c>
      <c r="M157" s="3">
        <v>1231686</v>
      </c>
      <c r="N157" s="3">
        <v>4264000</v>
      </c>
      <c r="O157" s="3">
        <v>4409000</v>
      </c>
      <c r="P157" s="3">
        <v>-431220</v>
      </c>
      <c r="Q157" s="3">
        <v>1.24646994783398</v>
      </c>
      <c r="R157" s="3">
        <v>15.299158464340101</v>
      </c>
      <c r="S157" s="3">
        <v>0.96711272397368997</v>
      </c>
      <c r="T157" s="3">
        <v>-9.7804490814243597E-2</v>
      </c>
      <c r="U157" s="3">
        <v>1960</v>
      </c>
      <c r="V157" s="3">
        <v>62</v>
      </c>
      <c r="W157" s="3">
        <v>0</v>
      </c>
      <c r="X157" s="3" t="s">
        <v>254</v>
      </c>
      <c r="Y157" s="4" t="s">
        <v>256</v>
      </c>
      <c r="Z157" s="3" t="s">
        <v>34</v>
      </c>
      <c r="AA157" s="5">
        <f t="shared" si="6"/>
        <v>1.24646994783398</v>
      </c>
      <c r="AB157" s="5">
        <f t="shared" si="7"/>
        <v>0.96711272397368997</v>
      </c>
      <c r="AC157" s="5">
        <f t="shared" si="8"/>
        <v>-9.7804490814243597E-2</v>
      </c>
    </row>
    <row r="158" spans="1:29" ht="15" customHeight="1" x14ac:dyDescent="0.3">
      <c r="A158" s="3">
        <v>193</v>
      </c>
      <c r="B158" s="3">
        <v>39</v>
      </c>
      <c r="C158" s="3" t="s">
        <v>252</v>
      </c>
      <c r="D158" s="4" t="s">
        <v>253</v>
      </c>
      <c r="E158" s="3" t="s">
        <v>143</v>
      </c>
      <c r="F158" s="3">
        <v>2023</v>
      </c>
      <c r="G158" s="3">
        <v>1</v>
      </c>
      <c r="H158" s="3">
        <v>0</v>
      </c>
      <c r="I158" s="3">
        <v>0</v>
      </c>
      <c r="J158" s="3">
        <v>0</v>
      </c>
      <c r="K158" s="3">
        <v>76030000</v>
      </c>
      <c r="L158" s="3">
        <v>17.75</v>
      </c>
      <c r="M158" s="3">
        <v>1349532.5</v>
      </c>
      <c r="N158" s="3">
        <v>3671000</v>
      </c>
      <c r="O158" s="3">
        <v>5502000</v>
      </c>
      <c r="P158" s="3">
        <v>1686000</v>
      </c>
      <c r="Q158" s="3">
        <v>0.91249227553616896</v>
      </c>
      <c r="R158" s="3">
        <v>15.5206222204667</v>
      </c>
      <c r="S158" s="3">
        <v>0.66721192293711395</v>
      </c>
      <c r="T158" s="3">
        <v>0.30643402399127601</v>
      </c>
      <c r="U158" s="3">
        <v>1960</v>
      </c>
      <c r="V158" s="3">
        <v>63</v>
      </c>
      <c r="W158" s="3">
        <v>0</v>
      </c>
      <c r="X158" s="3" t="s">
        <v>254</v>
      </c>
      <c r="Y158" s="4" t="s">
        <v>256</v>
      </c>
      <c r="Z158" s="3" t="s">
        <v>34</v>
      </c>
      <c r="AA158" s="5">
        <f t="shared" si="6"/>
        <v>0.91249227553616896</v>
      </c>
      <c r="AB158" s="5">
        <f t="shared" si="7"/>
        <v>0.66721192293711395</v>
      </c>
      <c r="AC158" s="5">
        <f t="shared" si="8"/>
        <v>0.30643402399127601</v>
      </c>
    </row>
    <row r="159" spans="1:29" ht="15" customHeight="1" x14ac:dyDescent="0.3">
      <c r="A159" s="3">
        <v>194</v>
      </c>
      <c r="B159" s="3">
        <v>39</v>
      </c>
      <c r="C159" s="3" t="s">
        <v>252</v>
      </c>
      <c r="D159" s="4" t="s">
        <v>253</v>
      </c>
      <c r="E159" s="3" t="s">
        <v>143</v>
      </c>
      <c r="F159" s="3">
        <v>2024</v>
      </c>
      <c r="G159" s="3">
        <v>1</v>
      </c>
      <c r="H159" s="3">
        <v>0</v>
      </c>
      <c r="I159" s="3">
        <v>0</v>
      </c>
      <c r="J159" s="3">
        <v>0</v>
      </c>
      <c r="K159" s="3">
        <v>76030000</v>
      </c>
      <c r="L159" s="3">
        <v>19.3</v>
      </c>
      <c r="M159" s="3">
        <v>1467379</v>
      </c>
      <c r="N159" s="3">
        <v>3247000</v>
      </c>
      <c r="O159" s="3">
        <v>2503000</v>
      </c>
      <c r="P159" s="3">
        <v>-2598000</v>
      </c>
      <c r="Q159" s="3">
        <v>1.8834914103076299</v>
      </c>
      <c r="R159" s="3">
        <v>14.7330005704139</v>
      </c>
      <c r="S159" s="3">
        <v>1.29724330803036</v>
      </c>
      <c r="T159" s="3">
        <v>-1.0379544546544099</v>
      </c>
      <c r="U159" s="3">
        <v>1960</v>
      </c>
      <c r="V159" s="3">
        <v>64</v>
      </c>
      <c r="W159" s="3">
        <v>0</v>
      </c>
      <c r="X159" s="3" t="s">
        <v>254</v>
      </c>
      <c r="Y159" s="4" t="s">
        <v>257</v>
      </c>
      <c r="Z159" s="3" t="s">
        <v>34</v>
      </c>
      <c r="AA159" s="5">
        <f t="shared" si="6"/>
        <v>1.8834914103076299</v>
      </c>
      <c r="AB159" s="5">
        <f t="shared" si="7"/>
        <v>1.29724330803036</v>
      </c>
      <c r="AC159" s="5">
        <f t="shared" si="8"/>
        <v>-0.69757458830250851</v>
      </c>
    </row>
    <row r="160" spans="1:29" ht="15" customHeight="1" x14ac:dyDescent="0.3">
      <c r="A160" s="3">
        <v>195</v>
      </c>
      <c r="B160" s="3">
        <v>39</v>
      </c>
      <c r="C160" s="3" t="s">
        <v>252</v>
      </c>
      <c r="D160" s="4" t="s">
        <v>253</v>
      </c>
      <c r="E160" s="3" t="s">
        <v>143</v>
      </c>
      <c r="F160" s="3">
        <v>2025</v>
      </c>
      <c r="G160" s="3">
        <v>1</v>
      </c>
      <c r="H160" s="3">
        <v>0</v>
      </c>
      <c r="I160" s="3">
        <v>0</v>
      </c>
      <c r="J160" s="3">
        <v>0</v>
      </c>
      <c r="K160" s="3">
        <v>76030000</v>
      </c>
      <c r="L160" s="3">
        <v>25.3</v>
      </c>
      <c r="M160" s="3">
        <v>1923559</v>
      </c>
      <c r="N160" s="3">
        <v>3429000</v>
      </c>
      <c r="O160" s="3">
        <v>2700000</v>
      </c>
      <c r="P160" s="3">
        <v>15480</v>
      </c>
      <c r="Q160" s="3">
        <v>1.9824292592592601</v>
      </c>
      <c r="R160" s="3">
        <v>14.8087623309746</v>
      </c>
      <c r="S160" s="3">
        <v>1.27</v>
      </c>
      <c r="T160" s="3">
        <v>5.7333333333333299E-3</v>
      </c>
      <c r="U160" s="3">
        <v>1960</v>
      </c>
      <c r="V160" s="3">
        <v>65</v>
      </c>
      <c r="W160" s="3">
        <v>0</v>
      </c>
      <c r="X160" s="3" t="s">
        <v>254</v>
      </c>
      <c r="Y160" s="4" t="s">
        <v>257</v>
      </c>
      <c r="Z160" s="3" t="s">
        <v>34</v>
      </c>
      <c r="AA160" s="5">
        <f t="shared" si="6"/>
        <v>1.9824292592592601</v>
      </c>
      <c r="AB160" s="5">
        <f t="shared" si="7"/>
        <v>1.27</v>
      </c>
      <c r="AC160" s="5">
        <f t="shared" si="8"/>
        <v>5.7333333333333299E-3</v>
      </c>
    </row>
    <row r="161" spans="1:29" ht="15" customHeight="1" x14ac:dyDescent="0.3">
      <c r="A161" s="3">
        <v>196</v>
      </c>
      <c r="B161" s="3">
        <v>40</v>
      </c>
      <c r="C161" s="3" t="s">
        <v>258</v>
      </c>
      <c r="D161" s="4" t="s">
        <v>259</v>
      </c>
      <c r="E161" s="3" t="s">
        <v>99</v>
      </c>
      <c r="F161" s="3">
        <v>2021</v>
      </c>
      <c r="G161" s="3">
        <v>0</v>
      </c>
      <c r="H161" s="3">
        <v>0</v>
      </c>
      <c r="I161" s="3">
        <v>30</v>
      </c>
      <c r="J161" s="3">
        <v>0</v>
      </c>
      <c r="K161" s="3">
        <v>1304000000</v>
      </c>
      <c r="L161" s="3">
        <v>4.0599999999999996</v>
      </c>
      <c r="M161" s="3">
        <v>5294240</v>
      </c>
      <c r="N161" s="3">
        <v>33964000</v>
      </c>
      <c r="O161" s="3">
        <v>46082000</v>
      </c>
      <c r="P161" s="3">
        <v>-1100000</v>
      </c>
      <c r="Q161" s="3">
        <v>0.85192135757996601</v>
      </c>
      <c r="R161" s="3">
        <v>17.645932976187801</v>
      </c>
      <c r="S161" s="3">
        <v>0.73703398290004796</v>
      </c>
      <c r="T161" s="3">
        <v>-2.3870491732129701E-2</v>
      </c>
      <c r="U161" s="3">
        <v>1989</v>
      </c>
      <c r="V161" s="3">
        <v>32</v>
      </c>
      <c r="W161" s="3">
        <v>1</v>
      </c>
      <c r="X161" s="3" t="s">
        <v>32</v>
      </c>
      <c r="Y161" s="4" t="s">
        <v>260</v>
      </c>
      <c r="Z161" s="3" t="s">
        <v>67</v>
      </c>
      <c r="AA161" s="5">
        <f t="shared" si="6"/>
        <v>0.85192135757996601</v>
      </c>
      <c r="AB161" s="5">
        <f t="shared" si="7"/>
        <v>0.73703398290004796</v>
      </c>
      <c r="AC161" s="5">
        <f t="shared" si="8"/>
        <v>-2.3870491732129701E-2</v>
      </c>
    </row>
    <row r="162" spans="1:29" ht="15" customHeight="1" x14ac:dyDescent="0.3">
      <c r="A162" s="3">
        <v>197</v>
      </c>
      <c r="B162" s="3">
        <v>40</v>
      </c>
      <c r="C162" s="3" t="s">
        <v>258</v>
      </c>
      <c r="D162" s="4" t="s">
        <v>259</v>
      </c>
      <c r="E162" s="3" t="s">
        <v>99</v>
      </c>
      <c r="F162" s="3">
        <v>2022</v>
      </c>
      <c r="G162" s="3">
        <v>0</v>
      </c>
      <c r="H162" s="3">
        <v>0</v>
      </c>
      <c r="I162" s="3">
        <v>30</v>
      </c>
      <c r="J162" s="3">
        <v>0</v>
      </c>
      <c r="K162" s="3">
        <v>1304000000</v>
      </c>
      <c r="L162" s="3">
        <v>5.38</v>
      </c>
      <c r="M162" s="3">
        <v>7015520</v>
      </c>
      <c r="N162" s="3">
        <v>41086000</v>
      </c>
      <c r="O162" s="3">
        <v>54216000</v>
      </c>
      <c r="P162" s="3">
        <v>1012000</v>
      </c>
      <c r="Q162" s="3">
        <v>0.88722000885347496</v>
      </c>
      <c r="R162" s="3">
        <v>17.8084866257981</v>
      </c>
      <c r="S162" s="3">
        <v>0.75782056957355803</v>
      </c>
      <c r="T162" s="3">
        <v>1.8666076435000699E-2</v>
      </c>
      <c r="U162" s="3">
        <v>1989</v>
      </c>
      <c r="V162" s="3">
        <v>33</v>
      </c>
      <c r="W162" s="3">
        <v>1</v>
      </c>
      <c r="X162" s="3" t="s">
        <v>32</v>
      </c>
      <c r="Y162" s="4" t="s">
        <v>260</v>
      </c>
      <c r="Z162" s="3" t="s">
        <v>67</v>
      </c>
      <c r="AA162" s="5">
        <f t="shared" si="6"/>
        <v>0.88722000885347496</v>
      </c>
      <c r="AB162" s="5">
        <f t="shared" si="7"/>
        <v>0.75782056957355803</v>
      </c>
      <c r="AC162" s="5">
        <f t="shared" si="8"/>
        <v>1.8666076435000699E-2</v>
      </c>
    </row>
    <row r="163" spans="1:29" ht="15" customHeight="1" x14ac:dyDescent="0.3">
      <c r="A163" s="3">
        <v>198</v>
      </c>
      <c r="B163" s="3">
        <v>40</v>
      </c>
      <c r="C163" s="3" t="s">
        <v>258</v>
      </c>
      <c r="D163" s="4" t="s">
        <v>259</v>
      </c>
      <c r="E163" s="3" t="s">
        <v>99</v>
      </c>
      <c r="F163" s="3">
        <v>2023</v>
      </c>
      <c r="G163" s="3">
        <v>1</v>
      </c>
      <c r="H163" s="3">
        <v>0</v>
      </c>
      <c r="I163" s="3">
        <v>0</v>
      </c>
      <c r="J163" s="3">
        <v>0</v>
      </c>
      <c r="K163" s="3">
        <v>1304000000</v>
      </c>
      <c r="L163" s="3">
        <v>11.42</v>
      </c>
      <c r="M163" s="3">
        <v>14891680</v>
      </c>
      <c r="N163" s="3">
        <v>56138000</v>
      </c>
      <c r="O163" s="3">
        <v>59640000</v>
      </c>
      <c r="P163" s="3">
        <v>-9433000</v>
      </c>
      <c r="Q163" s="3">
        <v>1.1909738430583501</v>
      </c>
      <c r="R163" s="3">
        <v>17.903837047860801</v>
      </c>
      <c r="S163" s="3">
        <v>0.94128101945003395</v>
      </c>
      <c r="T163" s="3">
        <v>-0.15816566063044901</v>
      </c>
      <c r="U163" s="3">
        <v>1989</v>
      </c>
      <c r="V163" s="3">
        <v>34</v>
      </c>
      <c r="W163" s="3">
        <v>1</v>
      </c>
      <c r="X163" s="3" t="s">
        <v>32</v>
      </c>
      <c r="Y163" s="4" t="s">
        <v>260</v>
      </c>
      <c r="Z163" s="3" t="s">
        <v>67</v>
      </c>
      <c r="AA163" s="5">
        <f t="shared" si="6"/>
        <v>1.1909738430583501</v>
      </c>
      <c r="AB163" s="5">
        <f t="shared" si="7"/>
        <v>0.94128101945003395</v>
      </c>
      <c r="AC163" s="5">
        <f t="shared" si="8"/>
        <v>-0.15816566063044901</v>
      </c>
    </row>
    <row r="164" spans="1:29" ht="15" customHeight="1" x14ac:dyDescent="0.3">
      <c r="A164" s="3">
        <v>199</v>
      </c>
      <c r="B164" s="3">
        <v>40</v>
      </c>
      <c r="C164" s="3" t="s">
        <v>258</v>
      </c>
      <c r="D164" s="4" t="s">
        <v>259</v>
      </c>
      <c r="E164" s="3" t="s">
        <v>99</v>
      </c>
      <c r="F164" s="3">
        <v>2024</v>
      </c>
      <c r="G164" s="3">
        <v>1</v>
      </c>
      <c r="H164" s="3">
        <v>0</v>
      </c>
      <c r="I164" s="3">
        <v>45</v>
      </c>
      <c r="J164" s="3">
        <v>6.6666666666666696</v>
      </c>
      <c r="K164" s="3">
        <v>1304000000</v>
      </c>
      <c r="L164" s="3">
        <v>20.04</v>
      </c>
      <c r="M164" s="3">
        <v>26132160</v>
      </c>
      <c r="N164" s="3">
        <v>62572000</v>
      </c>
      <c r="O164" s="3">
        <v>67423000</v>
      </c>
      <c r="P164" s="3">
        <v>1349000</v>
      </c>
      <c r="Q164" s="3">
        <v>1.3156365038636699</v>
      </c>
      <c r="R164" s="3">
        <v>18.026496763962101</v>
      </c>
      <c r="S164" s="3">
        <v>0.92805125847262804</v>
      </c>
      <c r="T164" s="3">
        <v>2.00080091363481E-2</v>
      </c>
      <c r="U164" s="3">
        <v>1989</v>
      </c>
      <c r="V164" s="3">
        <v>35</v>
      </c>
      <c r="W164" s="3">
        <v>1</v>
      </c>
      <c r="X164" s="3" t="s">
        <v>32</v>
      </c>
      <c r="Y164" s="4" t="s">
        <v>260</v>
      </c>
      <c r="Z164" s="3" t="s">
        <v>67</v>
      </c>
      <c r="AA164" s="5">
        <f t="shared" si="6"/>
        <v>1.3156365038636699</v>
      </c>
      <c r="AB164" s="5">
        <f t="shared" si="7"/>
        <v>0.92805125847262804</v>
      </c>
      <c r="AC164" s="5">
        <f t="shared" si="8"/>
        <v>2.00080091363481E-2</v>
      </c>
    </row>
    <row r="165" spans="1:29" ht="15" customHeight="1" x14ac:dyDescent="0.3">
      <c r="A165" s="3">
        <v>200</v>
      </c>
      <c r="B165" s="3">
        <v>40</v>
      </c>
      <c r="C165" s="3" t="s">
        <v>258</v>
      </c>
      <c r="D165" s="4" t="s">
        <v>259</v>
      </c>
      <c r="E165" s="3" t="s">
        <v>99</v>
      </c>
      <c r="F165" s="3">
        <v>2025</v>
      </c>
      <c r="G165" s="3">
        <v>1</v>
      </c>
      <c r="H165" s="3">
        <v>0</v>
      </c>
      <c r="I165" s="3">
        <v>0</v>
      </c>
      <c r="J165" s="3">
        <v>0</v>
      </c>
      <c r="K165" s="3">
        <v>1304000000</v>
      </c>
      <c r="L165" s="3">
        <v>28.08</v>
      </c>
      <c r="M165" s="3">
        <v>36616320</v>
      </c>
      <c r="N165" s="3">
        <v>84427000</v>
      </c>
      <c r="O165" s="3">
        <v>92195000</v>
      </c>
      <c r="P165" s="3">
        <v>2917000</v>
      </c>
      <c r="Q165" s="3">
        <v>1.31290547209719</v>
      </c>
      <c r="R165" s="3">
        <v>18.339416457121398</v>
      </c>
      <c r="S165" s="3">
        <v>0.91574380389392096</v>
      </c>
      <c r="T165" s="3">
        <v>3.1639459840555301E-2</v>
      </c>
      <c r="U165" s="3">
        <v>1989</v>
      </c>
      <c r="V165" s="3">
        <v>36</v>
      </c>
      <c r="W165" s="3">
        <v>1</v>
      </c>
      <c r="X165" s="3" t="s">
        <v>32</v>
      </c>
      <c r="Y165" s="4" t="s">
        <v>260</v>
      </c>
      <c r="Z165" s="3" t="s">
        <v>67</v>
      </c>
      <c r="AA165" s="5">
        <f t="shared" si="6"/>
        <v>1.31290547209719</v>
      </c>
      <c r="AB165" s="5">
        <f t="shared" si="7"/>
        <v>0.91574380389392096</v>
      </c>
      <c r="AC165" s="5">
        <f t="shared" si="8"/>
        <v>3.1639459840555301E-2</v>
      </c>
    </row>
    <row r="166" spans="1:29" ht="15" customHeight="1" x14ac:dyDescent="0.3">
      <c r="A166" s="3">
        <v>201</v>
      </c>
      <c r="B166" s="3">
        <v>41</v>
      </c>
      <c r="C166" s="3" t="s">
        <v>261</v>
      </c>
      <c r="D166" s="4" t="s">
        <v>262</v>
      </c>
      <c r="E166" s="3" t="s">
        <v>31</v>
      </c>
      <c r="F166" s="3">
        <v>2021</v>
      </c>
      <c r="G166" s="3">
        <v>0</v>
      </c>
      <c r="H166" s="3">
        <v>0</v>
      </c>
      <c r="I166" s="3">
        <v>20</v>
      </c>
      <c r="J166" s="3">
        <v>6.6666666666666696</v>
      </c>
      <c r="K166" s="3">
        <v>24730000000</v>
      </c>
      <c r="L166" s="3">
        <v>7.9</v>
      </c>
      <c r="M166" s="3">
        <v>195367000</v>
      </c>
      <c r="N166" s="3">
        <v>10771328212</v>
      </c>
      <c r="O166" s="3">
        <v>11689232030</v>
      </c>
      <c r="P166" s="3">
        <v>146328347</v>
      </c>
      <c r="Q166" s="3">
        <v>0.938187828238362</v>
      </c>
      <c r="R166" s="3">
        <v>23.181933915661599</v>
      </c>
      <c r="S166" s="3">
        <v>0.92147441203628799</v>
      </c>
      <c r="T166" s="3">
        <v>1.2518217332366501E-2</v>
      </c>
      <c r="U166" s="3">
        <v>1985</v>
      </c>
      <c r="V166" s="3">
        <v>36</v>
      </c>
      <c r="W166" s="3">
        <v>1</v>
      </c>
      <c r="X166" s="3" t="s">
        <v>263</v>
      </c>
      <c r="Y166" s="4" t="s">
        <v>264</v>
      </c>
      <c r="Z166" s="3" t="s">
        <v>34</v>
      </c>
      <c r="AA166" s="5">
        <f t="shared" si="6"/>
        <v>0.938187828238362</v>
      </c>
      <c r="AB166" s="5">
        <f t="shared" si="7"/>
        <v>0.92147441203628799</v>
      </c>
      <c r="AC166" s="5">
        <f t="shared" si="8"/>
        <v>1.2518217332366501E-2</v>
      </c>
    </row>
    <row r="167" spans="1:29" ht="15" customHeight="1" x14ac:dyDescent="0.3">
      <c r="A167" s="3">
        <v>202</v>
      </c>
      <c r="B167" s="3">
        <v>41</v>
      </c>
      <c r="C167" s="3" t="s">
        <v>261</v>
      </c>
      <c r="D167" s="4" t="s">
        <v>262</v>
      </c>
      <c r="E167" s="3" t="s">
        <v>31</v>
      </c>
      <c r="F167" s="3">
        <v>2022</v>
      </c>
      <c r="G167" s="3">
        <v>0</v>
      </c>
      <c r="H167" s="3">
        <v>0</v>
      </c>
      <c r="I167" s="3">
        <v>25</v>
      </c>
      <c r="J167" s="3">
        <v>13.3333333333333</v>
      </c>
      <c r="K167" s="3">
        <v>24593000000</v>
      </c>
      <c r="L167" s="3">
        <v>10.17</v>
      </c>
      <c r="M167" s="3">
        <v>250110810</v>
      </c>
      <c r="N167" s="3">
        <v>12439165709</v>
      </c>
      <c r="O167" s="3">
        <v>13373822328</v>
      </c>
      <c r="P167" s="3">
        <v>156551884</v>
      </c>
      <c r="Q167" s="3">
        <v>0.948814498038694</v>
      </c>
      <c r="R167" s="3">
        <v>23.3165650756088</v>
      </c>
      <c r="S167" s="3">
        <v>0.930112977720426</v>
      </c>
      <c r="T167" s="3">
        <v>1.17058444594584E-2</v>
      </c>
      <c r="U167" s="3">
        <v>1985</v>
      </c>
      <c r="V167" s="3">
        <v>37</v>
      </c>
      <c r="W167" s="3">
        <v>1</v>
      </c>
      <c r="X167" s="3" t="s">
        <v>263</v>
      </c>
      <c r="Y167" s="4" t="s">
        <v>264</v>
      </c>
      <c r="Z167" s="3" t="s">
        <v>34</v>
      </c>
      <c r="AA167" s="5">
        <f t="shared" si="6"/>
        <v>0.948814498038694</v>
      </c>
      <c r="AB167" s="5">
        <f t="shared" si="7"/>
        <v>0.930112977720426</v>
      </c>
      <c r="AC167" s="5">
        <f t="shared" si="8"/>
        <v>1.17058444594584E-2</v>
      </c>
    </row>
    <row r="168" spans="1:29" ht="15" customHeight="1" x14ac:dyDescent="0.3">
      <c r="A168" s="3">
        <v>203</v>
      </c>
      <c r="B168" s="3">
        <v>41</v>
      </c>
      <c r="C168" s="3" t="s">
        <v>261</v>
      </c>
      <c r="D168" s="4" t="s">
        <v>262</v>
      </c>
      <c r="E168" s="3" t="s">
        <v>31</v>
      </c>
      <c r="F168" s="3">
        <v>2023</v>
      </c>
      <c r="G168" s="3">
        <v>1</v>
      </c>
      <c r="H168" s="3">
        <v>0</v>
      </c>
      <c r="I168" s="3">
        <v>30</v>
      </c>
      <c r="J168" s="3">
        <v>26.6666666666667</v>
      </c>
      <c r="K168" s="3">
        <v>24593000000</v>
      </c>
      <c r="L168" s="3">
        <v>20.9</v>
      </c>
      <c r="M168" s="3">
        <v>513993700</v>
      </c>
      <c r="N168" s="3">
        <v>24266561821</v>
      </c>
      <c r="O168" s="3">
        <v>25917398745</v>
      </c>
      <c r="P168" s="3">
        <v>263524043</v>
      </c>
      <c r="Q168" s="3">
        <v>0.95613590564449202</v>
      </c>
      <c r="R168" s="3">
        <v>23.978180346334199</v>
      </c>
      <c r="S168" s="3">
        <v>0.93630391150583803</v>
      </c>
      <c r="T168" s="3">
        <v>1.0167843061442999E-2</v>
      </c>
      <c r="U168" s="3">
        <v>1985</v>
      </c>
      <c r="V168" s="3">
        <v>38</v>
      </c>
      <c r="W168" s="3">
        <v>1</v>
      </c>
      <c r="X168" s="3" t="s">
        <v>263</v>
      </c>
      <c r="Y168" s="4" t="s">
        <v>264</v>
      </c>
      <c r="Z168" s="3" t="s">
        <v>34</v>
      </c>
      <c r="AA168" s="5">
        <f t="shared" si="6"/>
        <v>0.95613590564449202</v>
      </c>
      <c r="AB168" s="5">
        <f t="shared" si="7"/>
        <v>0.93630391150583803</v>
      </c>
      <c r="AC168" s="5">
        <f t="shared" si="8"/>
        <v>1.0167843061442999E-2</v>
      </c>
    </row>
    <row r="169" spans="1:29" ht="15" customHeight="1" x14ac:dyDescent="0.3">
      <c r="A169" s="3">
        <v>204</v>
      </c>
      <c r="B169" s="3">
        <v>41</v>
      </c>
      <c r="C169" s="3" t="s">
        <v>261</v>
      </c>
      <c r="D169" s="4" t="s">
        <v>262</v>
      </c>
      <c r="E169" s="3" t="s">
        <v>31</v>
      </c>
      <c r="F169" s="3">
        <v>2024</v>
      </c>
      <c r="G169" s="3">
        <v>1</v>
      </c>
      <c r="H169" s="3">
        <v>0</v>
      </c>
      <c r="I169" s="3">
        <v>0</v>
      </c>
      <c r="J169" s="3">
        <v>0</v>
      </c>
      <c r="K169" s="3">
        <v>24593000000</v>
      </c>
      <c r="L169" s="3">
        <v>28</v>
      </c>
      <c r="M169" s="3">
        <v>688604000</v>
      </c>
      <c r="N169" s="3">
        <v>40522413130</v>
      </c>
      <c r="O169" s="3">
        <v>43302561428</v>
      </c>
      <c r="P169" s="3">
        <v>735897462</v>
      </c>
      <c r="Q169" s="3">
        <v>0.95169929378247897</v>
      </c>
      <c r="R169" s="3">
        <v>24.491477625586299</v>
      </c>
      <c r="S169" s="3">
        <v>0.935797139792236</v>
      </c>
      <c r="T169" s="3">
        <v>1.6994317142730499E-2</v>
      </c>
      <c r="U169" s="3">
        <v>1985</v>
      </c>
      <c r="V169" s="3">
        <v>39</v>
      </c>
      <c r="W169" s="3">
        <v>1</v>
      </c>
      <c r="X169" s="3" t="s">
        <v>263</v>
      </c>
      <c r="Y169" s="4" t="s">
        <v>264</v>
      </c>
      <c r="Z169" s="3" t="s">
        <v>34</v>
      </c>
      <c r="AA169" s="5">
        <f t="shared" si="6"/>
        <v>0.95169929378247897</v>
      </c>
      <c r="AB169" s="5">
        <f t="shared" si="7"/>
        <v>0.935797139792236</v>
      </c>
      <c r="AC169" s="5">
        <f t="shared" si="8"/>
        <v>1.6994317142730499E-2</v>
      </c>
    </row>
    <row r="170" spans="1:29" ht="15" customHeight="1" x14ac:dyDescent="0.3">
      <c r="A170" s="3">
        <v>205</v>
      </c>
      <c r="B170" s="3">
        <v>41</v>
      </c>
      <c r="C170" s="3" t="s">
        <v>261</v>
      </c>
      <c r="D170" s="4" t="s">
        <v>262</v>
      </c>
      <c r="E170" s="3" t="s">
        <v>31</v>
      </c>
      <c r="F170" s="3">
        <v>2025</v>
      </c>
      <c r="G170" s="3">
        <v>1</v>
      </c>
      <c r="H170" s="3">
        <v>0</v>
      </c>
      <c r="I170" s="3">
        <v>0</v>
      </c>
      <c r="J170" s="3">
        <v>0</v>
      </c>
      <c r="K170" s="3">
        <v>24566000000</v>
      </c>
      <c r="L170" s="3">
        <v>41.9</v>
      </c>
      <c r="M170" s="3">
        <v>1029315400</v>
      </c>
      <c r="N170" s="3">
        <v>45535897061</v>
      </c>
      <c r="O170" s="3">
        <v>49659169735</v>
      </c>
      <c r="P170" s="3">
        <v>904711653</v>
      </c>
      <c r="Q170" s="3">
        <v>0.93769615379172599</v>
      </c>
      <c r="R170" s="3">
        <v>24.628448897897499</v>
      </c>
      <c r="S170" s="3">
        <v>0.91696855392461596</v>
      </c>
      <c r="T170" s="3">
        <v>1.8218420844083399E-2</v>
      </c>
      <c r="U170" s="3">
        <v>1985</v>
      </c>
      <c r="V170" s="3">
        <v>40</v>
      </c>
      <c r="W170" s="3">
        <v>1</v>
      </c>
      <c r="X170" s="3" t="s">
        <v>263</v>
      </c>
      <c r="Y170" s="4" t="s">
        <v>264</v>
      </c>
      <c r="Z170" s="3" t="s">
        <v>34</v>
      </c>
      <c r="AA170" s="5">
        <f t="shared" si="6"/>
        <v>0.93769615379172599</v>
      </c>
      <c r="AB170" s="5">
        <f t="shared" si="7"/>
        <v>0.91696855392461596</v>
      </c>
      <c r="AC170" s="5">
        <f t="shared" si="8"/>
        <v>1.8218420844083399E-2</v>
      </c>
    </row>
    <row r="171" spans="1:29" ht="15" customHeight="1" x14ac:dyDescent="0.3">
      <c r="A171" s="3">
        <v>206</v>
      </c>
      <c r="B171" s="3">
        <v>42</v>
      </c>
      <c r="C171" s="3" t="s">
        <v>265</v>
      </c>
      <c r="D171" s="4" t="s">
        <v>266</v>
      </c>
      <c r="E171" s="3" t="s">
        <v>90</v>
      </c>
      <c r="F171" s="3">
        <v>2021</v>
      </c>
      <c r="G171" s="3">
        <v>0</v>
      </c>
      <c r="H171" s="3">
        <v>0</v>
      </c>
      <c r="I171" s="3">
        <v>0</v>
      </c>
      <c r="J171" s="3">
        <v>0</v>
      </c>
      <c r="K171" s="3">
        <v>6635000000</v>
      </c>
      <c r="L171" s="3">
        <v>1.85</v>
      </c>
      <c r="M171" s="3">
        <v>12274750</v>
      </c>
      <c r="N171" s="3">
        <v>8498000</v>
      </c>
      <c r="O171" s="3">
        <v>10911000</v>
      </c>
      <c r="P171" s="3">
        <v>455750</v>
      </c>
      <c r="Q171" s="3">
        <v>1.90383557877371</v>
      </c>
      <c r="R171" s="3">
        <v>16.205282012637198</v>
      </c>
      <c r="S171" s="3">
        <v>0.77884703510219</v>
      </c>
      <c r="T171" s="3">
        <v>4.1769773622949299E-2</v>
      </c>
      <c r="U171" s="3">
        <v>2003</v>
      </c>
      <c r="V171" s="3">
        <v>18</v>
      </c>
      <c r="W171" s="3">
        <v>1</v>
      </c>
      <c r="X171" s="3" t="s">
        <v>50</v>
      </c>
      <c r="Y171" s="4" t="s">
        <v>267</v>
      </c>
      <c r="Z171" s="3" t="s">
        <v>34</v>
      </c>
      <c r="AA171" s="5">
        <f t="shared" si="6"/>
        <v>1.90383557877371</v>
      </c>
      <c r="AB171" s="5">
        <f t="shared" si="7"/>
        <v>0.77884703510219</v>
      </c>
      <c r="AC171" s="5">
        <f t="shared" si="8"/>
        <v>4.1769773622949299E-2</v>
      </c>
    </row>
    <row r="172" spans="1:29" ht="15" customHeight="1" x14ac:dyDescent="0.3">
      <c r="A172" s="3">
        <v>207</v>
      </c>
      <c r="B172" s="3">
        <v>42</v>
      </c>
      <c r="C172" s="3" t="s">
        <v>265</v>
      </c>
      <c r="D172" s="4" t="s">
        <v>266</v>
      </c>
      <c r="E172" s="3" t="s">
        <v>90</v>
      </c>
      <c r="F172" s="3">
        <v>2022</v>
      </c>
      <c r="G172" s="3">
        <v>0</v>
      </c>
      <c r="H172" s="3">
        <v>0</v>
      </c>
      <c r="I172" s="3">
        <v>0</v>
      </c>
      <c r="J172" s="3">
        <v>0</v>
      </c>
      <c r="K172" s="3">
        <v>9200000000</v>
      </c>
      <c r="L172" s="3">
        <v>3.42</v>
      </c>
      <c r="M172" s="3">
        <v>31464000</v>
      </c>
      <c r="N172" s="3">
        <v>10500000</v>
      </c>
      <c r="O172" s="3">
        <v>19776000</v>
      </c>
      <c r="P172" s="3">
        <v>1175000</v>
      </c>
      <c r="Q172" s="3">
        <v>2.1219660194174801</v>
      </c>
      <c r="R172" s="3">
        <v>16.799979639239599</v>
      </c>
      <c r="S172" s="3">
        <v>0.53094660194174803</v>
      </c>
      <c r="T172" s="3">
        <v>5.9415453074433702E-2</v>
      </c>
      <c r="U172" s="3">
        <v>2003</v>
      </c>
      <c r="V172" s="3">
        <v>19</v>
      </c>
      <c r="W172" s="3">
        <v>1</v>
      </c>
      <c r="X172" s="3" t="s">
        <v>50</v>
      </c>
      <c r="Y172" s="4" t="s">
        <v>267</v>
      </c>
      <c r="Z172" s="3" t="s">
        <v>34</v>
      </c>
      <c r="AA172" s="5">
        <f t="shared" si="6"/>
        <v>2.1219660194174801</v>
      </c>
      <c r="AB172" s="5">
        <f t="shared" si="7"/>
        <v>0.53094660194174803</v>
      </c>
      <c r="AC172" s="5">
        <f t="shared" si="8"/>
        <v>5.9415453074433702E-2</v>
      </c>
    </row>
    <row r="173" spans="1:29" ht="15" customHeight="1" x14ac:dyDescent="0.3">
      <c r="A173" s="3">
        <v>208</v>
      </c>
      <c r="B173" s="3">
        <v>42</v>
      </c>
      <c r="C173" s="3" t="s">
        <v>265</v>
      </c>
      <c r="D173" s="4" t="s">
        <v>266</v>
      </c>
      <c r="E173" s="3" t="s">
        <v>90</v>
      </c>
      <c r="F173" s="3">
        <v>2023</v>
      </c>
      <c r="G173" s="3">
        <v>1</v>
      </c>
      <c r="H173" s="3">
        <v>0</v>
      </c>
      <c r="I173" s="3">
        <v>0</v>
      </c>
      <c r="J173" s="3">
        <v>0</v>
      </c>
      <c r="K173" s="3">
        <v>9200000000</v>
      </c>
      <c r="L173" s="3">
        <v>5.92</v>
      </c>
      <c r="M173" s="3">
        <v>54464000</v>
      </c>
      <c r="N173" s="3">
        <v>16727000</v>
      </c>
      <c r="O173" s="3">
        <v>28205000</v>
      </c>
      <c r="P173" s="3">
        <v>2202000</v>
      </c>
      <c r="Q173" s="3">
        <v>2.52405601843645</v>
      </c>
      <c r="R173" s="3">
        <v>17.155009825156199</v>
      </c>
      <c r="S173" s="3">
        <v>0.59305087750398899</v>
      </c>
      <c r="T173" s="3">
        <v>7.8071263960290696E-2</v>
      </c>
      <c r="U173" s="3">
        <v>2003</v>
      </c>
      <c r="V173" s="3">
        <v>20</v>
      </c>
      <c r="W173" s="3">
        <v>1</v>
      </c>
      <c r="X173" s="3" t="s">
        <v>50</v>
      </c>
      <c r="Y173" s="4" t="s">
        <v>267</v>
      </c>
      <c r="Z173" s="3" t="s">
        <v>34</v>
      </c>
      <c r="AA173" s="5">
        <f t="shared" si="6"/>
        <v>2.52405601843645</v>
      </c>
      <c r="AB173" s="5">
        <f t="shared" si="7"/>
        <v>0.59305087750398899</v>
      </c>
      <c r="AC173" s="5">
        <f t="shared" si="8"/>
        <v>7.8071263960290696E-2</v>
      </c>
    </row>
    <row r="174" spans="1:29" ht="15" customHeight="1" x14ac:dyDescent="0.3">
      <c r="A174" s="3">
        <v>209</v>
      </c>
      <c r="B174" s="3">
        <v>42</v>
      </c>
      <c r="C174" s="3" t="s">
        <v>265</v>
      </c>
      <c r="D174" s="4" t="s">
        <v>266</v>
      </c>
      <c r="E174" s="3" t="s">
        <v>90</v>
      </c>
      <c r="F174" s="3">
        <v>2024</v>
      </c>
      <c r="G174" s="3">
        <v>1</v>
      </c>
      <c r="H174" s="3">
        <v>0</v>
      </c>
      <c r="I174" s="3">
        <v>0</v>
      </c>
      <c r="J174" s="3">
        <v>0</v>
      </c>
      <c r="K174" s="3">
        <v>9200000000</v>
      </c>
      <c r="L174" s="3">
        <v>6.36</v>
      </c>
      <c r="M174" s="3">
        <v>58512000</v>
      </c>
      <c r="N174" s="3">
        <v>9130000</v>
      </c>
      <c r="O174" s="3">
        <v>24001000</v>
      </c>
      <c r="P174" s="3">
        <v>3393000</v>
      </c>
      <c r="Q174" s="3">
        <v>2.8182992375317699</v>
      </c>
      <c r="R174" s="3">
        <v>16.993606054110899</v>
      </c>
      <c r="S174" s="3">
        <v>0.38040081663264003</v>
      </c>
      <c r="T174" s="3">
        <v>0.141369109620432</v>
      </c>
      <c r="U174" s="3">
        <v>2003</v>
      </c>
      <c r="V174" s="3">
        <v>21</v>
      </c>
      <c r="W174" s="3">
        <v>1</v>
      </c>
      <c r="X174" s="3" t="s">
        <v>50</v>
      </c>
      <c r="Y174" s="4" t="s">
        <v>267</v>
      </c>
      <c r="Z174" s="3" t="s">
        <v>34</v>
      </c>
      <c r="AA174" s="5">
        <f t="shared" si="6"/>
        <v>2.8182992375317699</v>
      </c>
      <c r="AB174" s="5">
        <f t="shared" si="7"/>
        <v>0.38040081663264003</v>
      </c>
      <c r="AC174" s="5">
        <f t="shared" si="8"/>
        <v>0.141369109620432</v>
      </c>
    </row>
    <row r="175" spans="1:29" ht="15" customHeight="1" x14ac:dyDescent="0.3">
      <c r="A175" s="3">
        <v>210</v>
      </c>
      <c r="B175" s="3">
        <v>42</v>
      </c>
      <c r="C175" s="3" t="s">
        <v>265</v>
      </c>
      <c r="D175" s="4" t="s">
        <v>266</v>
      </c>
      <c r="E175" s="3" t="s">
        <v>90</v>
      </c>
      <c r="F175" s="3">
        <v>2025</v>
      </c>
      <c r="G175" s="3">
        <v>1</v>
      </c>
      <c r="H175" s="3">
        <v>0</v>
      </c>
      <c r="I175" s="3">
        <v>0</v>
      </c>
      <c r="J175" s="3">
        <v>0</v>
      </c>
      <c r="K175" s="3">
        <v>9200000000</v>
      </c>
      <c r="L175" s="3">
        <v>11.24</v>
      </c>
      <c r="M175" s="3">
        <v>103408000</v>
      </c>
      <c r="N175" s="3">
        <v>29950000</v>
      </c>
      <c r="O175" s="3">
        <v>46140000</v>
      </c>
      <c r="P175" s="3">
        <v>2470000</v>
      </c>
      <c r="Q175" s="3">
        <v>2.8902904204594702</v>
      </c>
      <c r="R175" s="3">
        <v>17.647190810709901</v>
      </c>
      <c r="S175" s="3">
        <v>0.64911140008669299</v>
      </c>
      <c r="T175" s="3">
        <v>5.3532726484612103E-2</v>
      </c>
      <c r="U175" s="3">
        <v>2003</v>
      </c>
      <c r="V175" s="3">
        <v>22</v>
      </c>
      <c r="W175" s="3">
        <v>1</v>
      </c>
      <c r="X175" s="3" t="s">
        <v>50</v>
      </c>
      <c r="Y175" s="4" t="s">
        <v>267</v>
      </c>
      <c r="Z175" s="3" t="s">
        <v>34</v>
      </c>
      <c r="AA175" s="5">
        <f t="shared" si="6"/>
        <v>2.8902904204594702</v>
      </c>
      <c r="AB175" s="5">
        <f t="shared" si="7"/>
        <v>0.64911140008669299</v>
      </c>
      <c r="AC175" s="5">
        <f t="shared" si="8"/>
        <v>5.3532726484612103E-2</v>
      </c>
    </row>
    <row r="176" spans="1:29" ht="15" customHeight="1" x14ac:dyDescent="0.3">
      <c r="A176" s="3">
        <v>212</v>
      </c>
      <c r="B176" s="3">
        <v>43</v>
      </c>
      <c r="C176" s="3" t="s">
        <v>268</v>
      </c>
      <c r="D176" s="4" t="s">
        <v>269</v>
      </c>
      <c r="E176" s="3" t="s">
        <v>41</v>
      </c>
      <c r="F176" s="3">
        <v>2022</v>
      </c>
      <c r="G176" s="3">
        <v>0</v>
      </c>
      <c r="H176" s="3">
        <v>0</v>
      </c>
      <c r="I176" s="3">
        <v>0</v>
      </c>
      <c r="J176" s="3">
        <v>0</v>
      </c>
      <c r="K176" s="3">
        <v>236700000</v>
      </c>
      <c r="L176" s="3">
        <v>2.91</v>
      </c>
      <c r="M176" s="3">
        <v>688797</v>
      </c>
      <c r="N176" s="3">
        <v>418050</v>
      </c>
      <c r="O176" s="3">
        <v>605000</v>
      </c>
      <c r="P176" s="3">
        <v>5090</v>
      </c>
      <c r="Q176" s="3">
        <v>1.82949917355372</v>
      </c>
      <c r="R176" s="3">
        <v>13.312983737013001</v>
      </c>
      <c r="S176" s="3">
        <v>0.69099173553718995</v>
      </c>
      <c r="T176" s="3">
        <v>8.4132231404958693E-3</v>
      </c>
      <c r="U176" s="3">
        <v>1981</v>
      </c>
      <c r="V176" s="3">
        <v>41</v>
      </c>
      <c r="W176" s="3">
        <v>0</v>
      </c>
      <c r="X176" s="3" t="s">
        <v>270</v>
      </c>
      <c r="Y176" s="4" t="s">
        <v>271</v>
      </c>
      <c r="Z176" s="3" t="s">
        <v>34</v>
      </c>
      <c r="AA176" s="5">
        <f t="shared" si="6"/>
        <v>1.82949917355372</v>
      </c>
      <c r="AB176" s="5">
        <f t="shared" si="7"/>
        <v>0.69099173553718995</v>
      </c>
      <c r="AC176" s="5">
        <f t="shared" si="8"/>
        <v>8.4132231404958693E-3</v>
      </c>
    </row>
    <row r="177" spans="1:29" ht="15" customHeight="1" x14ac:dyDescent="0.3">
      <c r="A177" s="3">
        <v>213</v>
      </c>
      <c r="B177" s="3">
        <v>43</v>
      </c>
      <c r="C177" s="3" t="s">
        <v>268</v>
      </c>
      <c r="D177" s="4" t="s">
        <v>269</v>
      </c>
      <c r="E177" s="3" t="s">
        <v>41</v>
      </c>
      <c r="F177" s="3">
        <v>2023</v>
      </c>
      <c r="G177" s="3">
        <v>1</v>
      </c>
      <c r="H177" s="3">
        <v>0</v>
      </c>
      <c r="I177" s="3">
        <v>0</v>
      </c>
      <c r="J177" s="3">
        <v>0</v>
      </c>
      <c r="K177" s="3">
        <v>236700000</v>
      </c>
      <c r="L177" s="3">
        <v>2.91</v>
      </c>
      <c r="M177" s="3">
        <v>688797</v>
      </c>
      <c r="N177" s="3">
        <v>440050</v>
      </c>
      <c r="O177" s="3">
        <v>635850</v>
      </c>
      <c r="P177" s="3">
        <v>8840</v>
      </c>
      <c r="Q177" s="3">
        <v>1.77533537784069</v>
      </c>
      <c r="R177" s="3">
        <v>13.362717965448899</v>
      </c>
      <c r="S177" s="3">
        <v>0.69206573877486799</v>
      </c>
      <c r="T177" s="3">
        <v>1.39026499960683E-2</v>
      </c>
      <c r="U177" s="3">
        <v>1981</v>
      </c>
      <c r="V177" s="3">
        <v>42</v>
      </c>
      <c r="W177" s="3">
        <v>0</v>
      </c>
      <c r="X177" s="3" t="s">
        <v>270</v>
      </c>
      <c r="Y177" s="4" t="s">
        <v>271</v>
      </c>
      <c r="Z177" s="3" t="s">
        <v>34</v>
      </c>
      <c r="AA177" s="5">
        <f t="shared" si="6"/>
        <v>1.77533537784069</v>
      </c>
      <c r="AB177" s="5">
        <f t="shared" si="7"/>
        <v>0.69206573877486799</v>
      </c>
      <c r="AC177" s="5">
        <f t="shared" si="8"/>
        <v>1.39026499960683E-2</v>
      </c>
    </row>
    <row r="178" spans="1:29" ht="15" customHeight="1" x14ac:dyDescent="0.3">
      <c r="A178" s="3">
        <v>214</v>
      </c>
      <c r="B178" s="3">
        <v>43</v>
      </c>
      <c r="C178" s="3" t="s">
        <v>268</v>
      </c>
      <c r="D178" s="4" t="s">
        <v>269</v>
      </c>
      <c r="E178" s="3" t="s">
        <v>41</v>
      </c>
      <c r="F178" s="3">
        <v>2024</v>
      </c>
      <c r="G178" s="3">
        <v>1</v>
      </c>
      <c r="H178" s="3">
        <v>0</v>
      </c>
      <c r="I178" s="3">
        <v>0</v>
      </c>
      <c r="J178" s="3">
        <v>0</v>
      </c>
      <c r="K178" s="3">
        <v>236700000</v>
      </c>
      <c r="L178" s="3">
        <v>3.2</v>
      </c>
      <c r="M178" s="3">
        <v>757440</v>
      </c>
      <c r="N178" s="3">
        <v>593900</v>
      </c>
      <c r="O178" s="3">
        <v>889770</v>
      </c>
      <c r="P178" s="3">
        <v>100070</v>
      </c>
      <c r="Q178" s="3">
        <v>1.5187520370432801</v>
      </c>
      <c r="R178" s="3">
        <v>13.698718281344</v>
      </c>
      <c r="S178" s="3">
        <v>0.667475864549266</v>
      </c>
      <c r="T178" s="3">
        <v>0.112467266821763</v>
      </c>
      <c r="U178" s="3">
        <v>1981</v>
      </c>
      <c r="V178" s="3">
        <v>43</v>
      </c>
      <c r="W178" s="3">
        <v>0</v>
      </c>
      <c r="X178" s="3" t="s">
        <v>270</v>
      </c>
      <c r="Y178" s="4" t="s">
        <v>271</v>
      </c>
      <c r="Z178" s="3" t="s">
        <v>34</v>
      </c>
      <c r="AA178" s="5">
        <f t="shared" si="6"/>
        <v>1.5187520370432801</v>
      </c>
      <c r="AB178" s="5">
        <f t="shared" si="7"/>
        <v>0.667475864549266</v>
      </c>
      <c r="AC178" s="5">
        <f t="shared" si="8"/>
        <v>0.112467266821763</v>
      </c>
    </row>
    <row r="179" spans="1:29" ht="15" customHeight="1" x14ac:dyDescent="0.3">
      <c r="A179" s="3">
        <v>215</v>
      </c>
      <c r="B179" s="3">
        <v>43</v>
      </c>
      <c r="C179" s="3" t="s">
        <v>268</v>
      </c>
      <c r="D179" s="4" t="s">
        <v>269</v>
      </c>
      <c r="E179" s="3" t="s">
        <v>41</v>
      </c>
      <c r="F179" s="3">
        <v>2025</v>
      </c>
      <c r="G179" s="3">
        <v>1</v>
      </c>
      <c r="H179" s="3">
        <v>0</v>
      </c>
      <c r="I179" s="3">
        <v>0</v>
      </c>
      <c r="J179" s="3">
        <v>0</v>
      </c>
      <c r="K179" s="3">
        <v>236700000</v>
      </c>
      <c r="L179" s="3">
        <v>12.95</v>
      </c>
      <c r="M179" s="3">
        <v>3065265</v>
      </c>
      <c r="N179" s="3">
        <v>442870</v>
      </c>
      <c r="O179" s="3">
        <v>929220</v>
      </c>
      <c r="P179" s="3">
        <v>190480</v>
      </c>
      <c r="Q179" s="3">
        <v>3.7753545984804502</v>
      </c>
      <c r="R179" s="3">
        <v>13.7421008035383</v>
      </c>
      <c r="S179" s="3">
        <v>0.47660403349045399</v>
      </c>
      <c r="T179" s="3">
        <v>0.20498913066873301</v>
      </c>
      <c r="U179" s="3">
        <v>1981</v>
      </c>
      <c r="V179" s="3">
        <v>44</v>
      </c>
      <c r="W179" s="3">
        <v>0</v>
      </c>
      <c r="X179" s="3" t="s">
        <v>270</v>
      </c>
      <c r="Y179" s="4" t="s">
        <v>271</v>
      </c>
      <c r="Z179" s="3" t="s">
        <v>34</v>
      </c>
      <c r="AA179" s="5">
        <f t="shared" si="6"/>
        <v>3.7753545984804502</v>
      </c>
      <c r="AB179" s="5">
        <f t="shared" si="7"/>
        <v>0.47660403349045399</v>
      </c>
      <c r="AC179" s="5">
        <f t="shared" si="8"/>
        <v>0.20498913066873301</v>
      </c>
    </row>
    <row r="180" spans="1:29" ht="15" customHeight="1" x14ac:dyDescent="0.3">
      <c r="A180" s="3">
        <v>216</v>
      </c>
      <c r="B180" s="3">
        <v>44</v>
      </c>
      <c r="C180" s="3" t="s">
        <v>272</v>
      </c>
      <c r="D180" s="4" t="s">
        <v>273</v>
      </c>
      <c r="E180" s="3" t="s">
        <v>31</v>
      </c>
      <c r="F180" s="3">
        <v>2021</v>
      </c>
      <c r="G180" s="3">
        <v>0</v>
      </c>
      <c r="H180" s="3">
        <v>0</v>
      </c>
      <c r="I180" s="3">
        <v>0</v>
      </c>
      <c r="J180" s="3">
        <v>0</v>
      </c>
      <c r="K180" s="3">
        <v>19803000000</v>
      </c>
      <c r="L180" s="3">
        <v>2.33</v>
      </c>
      <c r="M180" s="3">
        <v>46140990</v>
      </c>
      <c r="N180" s="3">
        <v>2249392000</v>
      </c>
      <c r="O180" s="3">
        <v>2493198000</v>
      </c>
      <c r="P180" s="3">
        <v>20709000</v>
      </c>
      <c r="Q180" s="3">
        <v>0.92071828631340202</v>
      </c>
      <c r="R180" s="3">
        <v>21.636832060716699</v>
      </c>
      <c r="S180" s="3">
        <v>0.90221153715027902</v>
      </c>
      <c r="T180" s="3">
        <v>8.3061995076203297E-3</v>
      </c>
      <c r="U180" s="3">
        <v>2013</v>
      </c>
      <c r="V180" s="3">
        <v>8</v>
      </c>
      <c r="W180" s="3">
        <v>1</v>
      </c>
      <c r="X180" s="3" t="s">
        <v>274</v>
      </c>
      <c r="Y180" s="4" t="s">
        <v>275</v>
      </c>
      <c r="Z180" s="3" t="s">
        <v>34</v>
      </c>
      <c r="AA180" s="5">
        <f t="shared" si="6"/>
        <v>0.92071828631340202</v>
      </c>
      <c r="AB180" s="5">
        <f t="shared" si="7"/>
        <v>0.90221153715027902</v>
      </c>
      <c r="AC180" s="5">
        <f t="shared" si="8"/>
        <v>8.3061995076203297E-3</v>
      </c>
    </row>
    <row r="181" spans="1:29" ht="15" customHeight="1" x14ac:dyDescent="0.3">
      <c r="A181" s="3">
        <v>217</v>
      </c>
      <c r="B181" s="3">
        <v>44</v>
      </c>
      <c r="C181" s="3" t="s">
        <v>272</v>
      </c>
      <c r="D181" s="4" t="s">
        <v>273</v>
      </c>
      <c r="E181" s="3" t="s">
        <v>31</v>
      </c>
      <c r="F181" s="3">
        <v>2022</v>
      </c>
      <c r="G181" s="3">
        <v>0</v>
      </c>
      <c r="H181" s="3">
        <v>0</v>
      </c>
      <c r="I181" s="3">
        <v>40</v>
      </c>
      <c r="J181" s="3">
        <v>40</v>
      </c>
      <c r="K181" s="3">
        <v>19803000000</v>
      </c>
      <c r="L181" s="3">
        <v>3.17</v>
      </c>
      <c r="M181" s="3">
        <v>62775510</v>
      </c>
      <c r="N181" s="3">
        <v>2707173000</v>
      </c>
      <c r="O181" s="3">
        <v>2983053000</v>
      </c>
      <c r="P181" s="3">
        <v>30901000</v>
      </c>
      <c r="Q181" s="3">
        <v>0.928561614560653</v>
      </c>
      <c r="R181" s="3">
        <v>21.816213109669501</v>
      </c>
      <c r="S181" s="3">
        <v>0.90751756673448303</v>
      </c>
      <c r="T181" s="3">
        <v>1.0358850479693101E-2</v>
      </c>
      <c r="U181" s="3">
        <v>2013</v>
      </c>
      <c r="V181" s="3">
        <v>9</v>
      </c>
      <c r="W181" s="3">
        <v>1</v>
      </c>
      <c r="X181" s="3" t="s">
        <v>274</v>
      </c>
      <c r="Y181" s="4" t="s">
        <v>275</v>
      </c>
      <c r="Z181" s="3" t="s">
        <v>34</v>
      </c>
      <c r="AA181" s="5">
        <f t="shared" si="6"/>
        <v>0.928561614560653</v>
      </c>
      <c r="AB181" s="5">
        <f t="shared" si="7"/>
        <v>0.90751756673448303</v>
      </c>
      <c r="AC181" s="5">
        <f t="shared" si="8"/>
        <v>1.0358850479693101E-2</v>
      </c>
    </row>
    <row r="182" spans="1:29" ht="15" customHeight="1" x14ac:dyDescent="0.3">
      <c r="A182" s="3">
        <v>218</v>
      </c>
      <c r="B182" s="3">
        <v>44</v>
      </c>
      <c r="C182" s="3" t="s">
        <v>272</v>
      </c>
      <c r="D182" s="4" t="s">
        <v>273</v>
      </c>
      <c r="E182" s="3" t="s">
        <v>31</v>
      </c>
      <c r="F182" s="3">
        <v>2023</v>
      </c>
      <c r="G182" s="3">
        <v>1</v>
      </c>
      <c r="H182" s="3">
        <v>0</v>
      </c>
      <c r="I182" s="3">
        <v>0</v>
      </c>
      <c r="J182" s="3">
        <v>0</v>
      </c>
      <c r="K182" s="3">
        <v>19803000000</v>
      </c>
      <c r="L182" s="3">
        <v>6.52</v>
      </c>
      <c r="M182" s="3">
        <v>129115560</v>
      </c>
      <c r="N182" s="3">
        <v>3961268000</v>
      </c>
      <c r="O182" s="3">
        <v>4423895000</v>
      </c>
      <c r="P182" s="3">
        <v>92629000</v>
      </c>
      <c r="Q182" s="3">
        <v>0.924611357186371</v>
      </c>
      <c r="R182" s="3">
        <v>22.210286366707599</v>
      </c>
      <c r="S182" s="3">
        <v>0.89542541131740205</v>
      </c>
      <c r="T182" s="3">
        <v>2.0938336013852001E-2</v>
      </c>
      <c r="U182" s="3">
        <v>2013</v>
      </c>
      <c r="V182" s="3">
        <v>10</v>
      </c>
      <c r="W182" s="3">
        <v>1</v>
      </c>
      <c r="X182" s="3" t="s">
        <v>274</v>
      </c>
      <c r="Y182" s="4" t="s">
        <v>275</v>
      </c>
      <c r="Z182" s="3" t="s">
        <v>34</v>
      </c>
      <c r="AA182" s="5">
        <f t="shared" si="6"/>
        <v>0.924611357186371</v>
      </c>
      <c r="AB182" s="5">
        <f t="shared" si="7"/>
        <v>0.89542541131740205</v>
      </c>
      <c r="AC182" s="5">
        <f t="shared" si="8"/>
        <v>2.0938336013852001E-2</v>
      </c>
    </row>
    <row r="183" spans="1:29" ht="15" customHeight="1" x14ac:dyDescent="0.3">
      <c r="A183" s="3">
        <v>219</v>
      </c>
      <c r="B183" s="3">
        <v>44</v>
      </c>
      <c r="C183" s="3" t="s">
        <v>272</v>
      </c>
      <c r="D183" s="4" t="s">
        <v>273</v>
      </c>
      <c r="E183" s="3" t="s">
        <v>31</v>
      </c>
      <c r="F183" s="3">
        <v>2024</v>
      </c>
      <c r="G183" s="3">
        <v>1</v>
      </c>
      <c r="H183" s="3">
        <v>0</v>
      </c>
      <c r="I183" s="3">
        <v>55</v>
      </c>
      <c r="J183" s="3">
        <v>40</v>
      </c>
      <c r="K183" s="3">
        <v>39605000000</v>
      </c>
      <c r="L183" s="3">
        <v>8.83</v>
      </c>
      <c r="M183" s="3">
        <v>349712150</v>
      </c>
      <c r="N183" s="3">
        <v>6365185000</v>
      </c>
      <c r="O183" s="3">
        <v>7054166000</v>
      </c>
      <c r="P183" s="3">
        <v>73134000</v>
      </c>
      <c r="Q183" s="3">
        <v>0.951905179152291</v>
      </c>
      <c r="R183" s="3">
        <v>22.676884201230799</v>
      </c>
      <c r="S183" s="3">
        <v>0.90232991398274398</v>
      </c>
      <c r="T183" s="3">
        <v>1.03674906431178E-2</v>
      </c>
      <c r="U183" s="3">
        <v>2013</v>
      </c>
      <c r="V183" s="3">
        <v>11</v>
      </c>
      <c r="W183" s="3">
        <v>1</v>
      </c>
      <c r="X183" s="3" t="s">
        <v>274</v>
      </c>
      <c r="Y183" s="4" t="s">
        <v>275</v>
      </c>
      <c r="Z183" s="3" t="s">
        <v>34</v>
      </c>
      <c r="AA183" s="5">
        <f t="shared" si="6"/>
        <v>0.951905179152291</v>
      </c>
      <c r="AB183" s="5">
        <f t="shared" si="7"/>
        <v>0.90232991398274398</v>
      </c>
      <c r="AC183" s="5">
        <f t="shared" si="8"/>
        <v>1.03674906431178E-2</v>
      </c>
    </row>
    <row r="184" spans="1:29" ht="15" customHeight="1" x14ac:dyDescent="0.3">
      <c r="A184" s="3">
        <v>220</v>
      </c>
      <c r="B184" s="3">
        <v>44</v>
      </c>
      <c r="C184" s="3" t="s">
        <v>272</v>
      </c>
      <c r="D184" s="4" t="s">
        <v>273</v>
      </c>
      <c r="E184" s="3" t="s">
        <v>31</v>
      </c>
      <c r="F184" s="3">
        <v>2025</v>
      </c>
      <c r="G184" s="3">
        <v>1</v>
      </c>
      <c r="H184" s="3">
        <v>0</v>
      </c>
      <c r="I184" s="3">
        <v>65</v>
      </c>
      <c r="J184" s="3">
        <v>60</v>
      </c>
      <c r="K184" s="3">
        <v>42800000000</v>
      </c>
      <c r="L184" s="3">
        <v>12.05</v>
      </c>
      <c r="M184" s="3">
        <v>515740000</v>
      </c>
      <c r="N184" s="3">
        <v>6719914000</v>
      </c>
      <c r="O184" s="3">
        <v>7543332000</v>
      </c>
      <c r="P184" s="3">
        <v>176642000</v>
      </c>
      <c r="Q184" s="3">
        <v>0.95921192385539999</v>
      </c>
      <c r="R184" s="3">
        <v>22.7439298311672</v>
      </c>
      <c r="S184" s="3">
        <v>0.89084160686550695</v>
      </c>
      <c r="T184" s="3">
        <v>2.34169727648206E-2</v>
      </c>
      <c r="U184" s="3">
        <v>2013</v>
      </c>
      <c r="V184" s="3">
        <v>12</v>
      </c>
      <c r="W184" s="3">
        <v>1</v>
      </c>
      <c r="X184" s="3" t="s">
        <v>274</v>
      </c>
      <c r="Y184" s="4" t="s">
        <v>276</v>
      </c>
      <c r="Z184" s="3" t="s">
        <v>34</v>
      </c>
      <c r="AA184" s="5">
        <f t="shared" si="6"/>
        <v>0.95921192385539999</v>
      </c>
      <c r="AB184" s="5">
        <f t="shared" si="7"/>
        <v>0.89084160686550695</v>
      </c>
      <c r="AC184" s="5">
        <f t="shared" si="8"/>
        <v>2.34169727648206E-2</v>
      </c>
    </row>
    <row r="185" spans="1:29" ht="15" customHeight="1" x14ac:dyDescent="0.3">
      <c r="A185" s="3">
        <v>221</v>
      </c>
      <c r="B185" s="3">
        <v>45</v>
      </c>
      <c r="C185" s="3" t="s">
        <v>277</v>
      </c>
      <c r="D185" s="4" t="s">
        <v>278</v>
      </c>
      <c r="E185" s="3" t="s">
        <v>31</v>
      </c>
      <c r="F185" s="3">
        <v>2021</v>
      </c>
      <c r="G185" s="3">
        <v>0</v>
      </c>
      <c r="H185" s="3">
        <v>0</v>
      </c>
      <c r="I185" s="3">
        <v>45</v>
      </c>
      <c r="J185" s="3">
        <v>20</v>
      </c>
      <c r="K185" s="3">
        <v>28963000000</v>
      </c>
      <c r="L185" s="3">
        <v>1.53</v>
      </c>
      <c r="M185" s="3">
        <v>44313390</v>
      </c>
      <c r="N185" s="3">
        <v>2995160000</v>
      </c>
      <c r="O185" s="3">
        <v>3280454000</v>
      </c>
      <c r="P185" s="3">
        <v>23104000</v>
      </c>
      <c r="Q185" s="3">
        <v>0.92654046970327897</v>
      </c>
      <c r="R185" s="3">
        <v>21.9112476643982</v>
      </c>
      <c r="S185" s="3">
        <v>0.91303215957303496</v>
      </c>
      <c r="T185" s="3">
        <v>7.0429275947780402E-3</v>
      </c>
      <c r="U185" s="3">
        <v>1987</v>
      </c>
      <c r="V185" s="3">
        <v>34</v>
      </c>
      <c r="W185" s="3">
        <v>1</v>
      </c>
      <c r="X185" s="3" t="s">
        <v>65</v>
      </c>
      <c r="Y185" s="4" t="s">
        <v>279</v>
      </c>
      <c r="Z185" s="3" t="s">
        <v>34</v>
      </c>
      <c r="AA185" s="5">
        <f t="shared" si="6"/>
        <v>0.92654046970327897</v>
      </c>
      <c r="AB185" s="5">
        <f t="shared" si="7"/>
        <v>0.91303215957303496</v>
      </c>
      <c r="AC185" s="5">
        <f t="shared" si="8"/>
        <v>7.0429275947780402E-3</v>
      </c>
    </row>
    <row r="186" spans="1:29" ht="15" customHeight="1" x14ac:dyDescent="0.3">
      <c r="A186" s="3">
        <v>222</v>
      </c>
      <c r="B186" s="3">
        <v>45</v>
      </c>
      <c r="C186" s="3" t="s">
        <v>277</v>
      </c>
      <c r="D186" s="4" t="s">
        <v>278</v>
      </c>
      <c r="E186" s="3" t="s">
        <v>31</v>
      </c>
      <c r="F186" s="3">
        <v>2022</v>
      </c>
      <c r="G186" s="3">
        <v>0</v>
      </c>
      <c r="H186" s="3">
        <v>0</v>
      </c>
      <c r="I186" s="3">
        <v>45</v>
      </c>
      <c r="J186" s="3">
        <v>20</v>
      </c>
      <c r="K186" s="3">
        <v>28963000000</v>
      </c>
      <c r="L186" s="3">
        <v>2.95</v>
      </c>
      <c r="M186" s="3">
        <v>85440850</v>
      </c>
      <c r="N186" s="3">
        <v>3674649000</v>
      </c>
      <c r="O186" s="3">
        <v>3989009000</v>
      </c>
      <c r="P186" s="3">
        <v>46724000</v>
      </c>
      <c r="Q186" s="3">
        <v>0.94261252606850499</v>
      </c>
      <c r="R186" s="3">
        <v>22.1068086660717</v>
      </c>
      <c r="S186" s="3">
        <v>0.921193459327868</v>
      </c>
      <c r="T186" s="3">
        <v>1.17131849038195E-2</v>
      </c>
      <c r="U186" s="3">
        <v>1987</v>
      </c>
      <c r="V186" s="3">
        <v>35</v>
      </c>
      <c r="W186" s="3">
        <v>1</v>
      </c>
      <c r="X186" s="3" t="s">
        <v>65</v>
      </c>
      <c r="Y186" s="4" t="s">
        <v>279</v>
      </c>
      <c r="Z186" s="3" t="s">
        <v>34</v>
      </c>
      <c r="AA186" s="5">
        <f t="shared" si="6"/>
        <v>0.94261252606850499</v>
      </c>
      <c r="AB186" s="5">
        <f t="shared" si="7"/>
        <v>0.921193459327868</v>
      </c>
      <c r="AC186" s="5">
        <f t="shared" si="8"/>
        <v>1.17131849038195E-2</v>
      </c>
    </row>
    <row r="187" spans="1:29" ht="15" customHeight="1" x14ac:dyDescent="0.3">
      <c r="A187" s="3">
        <v>223</v>
      </c>
      <c r="B187" s="3">
        <v>45</v>
      </c>
      <c r="C187" s="3" t="s">
        <v>277</v>
      </c>
      <c r="D187" s="4" t="s">
        <v>278</v>
      </c>
      <c r="E187" s="3" t="s">
        <v>31</v>
      </c>
      <c r="F187" s="3">
        <v>2023</v>
      </c>
      <c r="G187" s="3">
        <v>1</v>
      </c>
      <c r="H187" s="3">
        <v>0</v>
      </c>
      <c r="I187" s="3">
        <v>80</v>
      </c>
      <c r="J187" s="3">
        <v>86.6666666666667</v>
      </c>
      <c r="K187" s="3">
        <v>32000000000</v>
      </c>
      <c r="L187" s="3">
        <v>8.1300000000000008</v>
      </c>
      <c r="M187" s="3">
        <v>260160000</v>
      </c>
      <c r="N187" s="3">
        <v>5797381000</v>
      </c>
      <c r="O187" s="3">
        <v>6234688000</v>
      </c>
      <c r="P187" s="3">
        <v>99454000</v>
      </c>
      <c r="Q187" s="3">
        <v>0.97158687010480704</v>
      </c>
      <c r="R187" s="3">
        <v>22.5533943747301</v>
      </c>
      <c r="S187" s="3">
        <v>0.92985904025991395</v>
      </c>
      <c r="T187" s="3">
        <v>1.5951720438937798E-2</v>
      </c>
      <c r="U187" s="3">
        <v>1987</v>
      </c>
      <c r="V187" s="3">
        <v>36</v>
      </c>
      <c r="W187" s="3">
        <v>1</v>
      </c>
      <c r="X187" s="3" t="s">
        <v>65</v>
      </c>
      <c r="Y187" s="4" t="s">
        <v>279</v>
      </c>
      <c r="Z187" s="3" t="s">
        <v>34</v>
      </c>
      <c r="AA187" s="5">
        <f t="shared" si="6"/>
        <v>0.97158687010480704</v>
      </c>
      <c r="AB187" s="5">
        <f t="shared" si="7"/>
        <v>0.92985904025991395</v>
      </c>
      <c r="AC187" s="5">
        <f t="shared" si="8"/>
        <v>1.5951720438937798E-2</v>
      </c>
    </row>
    <row r="188" spans="1:29" ht="15" customHeight="1" x14ac:dyDescent="0.3">
      <c r="A188" s="3">
        <v>224</v>
      </c>
      <c r="B188" s="3">
        <v>45</v>
      </c>
      <c r="C188" s="3" t="s">
        <v>277</v>
      </c>
      <c r="D188" s="4" t="s">
        <v>278</v>
      </c>
      <c r="E188" s="3" t="s">
        <v>31</v>
      </c>
      <c r="F188" s="3">
        <v>2024</v>
      </c>
      <c r="G188" s="3">
        <v>1</v>
      </c>
      <c r="H188" s="3">
        <v>1</v>
      </c>
      <c r="I188" s="3">
        <v>95</v>
      </c>
      <c r="J188" s="3">
        <v>80</v>
      </c>
      <c r="K188" s="3">
        <v>50200000000</v>
      </c>
      <c r="L188" s="3">
        <v>16.3</v>
      </c>
      <c r="M188" s="3">
        <v>818260000</v>
      </c>
      <c r="N188" s="3">
        <v>7923863000</v>
      </c>
      <c r="O188" s="3">
        <v>8821737000</v>
      </c>
      <c r="P188" s="3">
        <v>278106000</v>
      </c>
      <c r="Q188" s="3">
        <v>0.99097524671161696</v>
      </c>
      <c r="R188" s="3">
        <v>22.9004846263507</v>
      </c>
      <c r="S188" s="3">
        <v>0.89822027113254499</v>
      </c>
      <c r="T188" s="3">
        <v>3.1525084005564898E-2</v>
      </c>
      <c r="U188" s="3">
        <v>1987</v>
      </c>
      <c r="V188" s="3">
        <v>37</v>
      </c>
      <c r="W188" s="3">
        <v>1</v>
      </c>
      <c r="X188" s="3" t="s">
        <v>65</v>
      </c>
      <c r="Y188" s="4" t="s">
        <v>279</v>
      </c>
      <c r="Z188" s="3" t="s">
        <v>34</v>
      </c>
      <c r="AA188" s="5">
        <f t="shared" si="6"/>
        <v>0.99097524671161696</v>
      </c>
      <c r="AB188" s="5">
        <f t="shared" si="7"/>
        <v>0.89822027113254499</v>
      </c>
      <c r="AC188" s="5">
        <f t="shared" si="8"/>
        <v>3.1525084005564898E-2</v>
      </c>
    </row>
    <row r="189" spans="1:29" ht="15" customHeight="1" x14ac:dyDescent="0.3">
      <c r="A189" s="3">
        <v>225</v>
      </c>
      <c r="B189" s="3">
        <v>45</v>
      </c>
      <c r="C189" s="3" t="s">
        <v>277</v>
      </c>
      <c r="D189" s="4" t="s">
        <v>278</v>
      </c>
      <c r="E189" s="3" t="s">
        <v>31</v>
      </c>
      <c r="F189" s="3">
        <v>2025</v>
      </c>
      <c r="G189" s="3">
        <v>1</v>
      </c>
      <c r="H189" s="3">
        <v>1</v>
      </c>
      <c r="I189" s="3">
        <v>5</v>
      </c>
      <c r="J189" s="3">
        <v>0</v>
      </c>
      <c r="K189" s="3">
        <v>50200000000</v>
      </c>
      <c r="L189" s="3">
        <v>19</v>
      </c>
      <c r="M189" s="3">
        <v>953800000</v>
      </c>
      <c r="N189" s="3">
        <v>9376227000</v>
      </c>
      <c r="O189" s="3">
        <v>10463815000</v>
      </c>
      <c r="P189" s="3">
        <v>242444000</v>
      </c>
      <c r="Q189" s="3">
        <v>0.98721422349305699</v>
      </c>
      <c r="R189" s="3">
        <v>23.0711889518414</v>
      </c>
      <c r="S189" s="3">
        <v>0.89606200033161898</v>
      </c>
      <c r="T189" s="3">
        <v>2.3169752141068999E-2</v>
      </c>
      <c r="U189" s="3">
        <v>1987</v>
      </c>
      <c r="V189" s="3">
        <v>38</v>
      </c>
      <c r="W189" s="3">
        <v>1</v>
      </c>
      <c r="X189" s="3" t="s">
        <v>65</v>
      </c>
      <c r="Y189" s="4" t="s">
        <v>280</v>
      </c>
      <c r="Z189" s="3" t="s">
        <v>34</v>
      </c>
      <c r="AA189" s="5">
        <f t="shared" si="6"/>
        <v>0.98721422349305699</v>
      </c>
      <c r="AB189" s="5">
        <f t="shared" si="7"/>
        <v>0.89606200033161898</v>
      </c>
      <c r="AC189" s="5">
        <f t="shared" si="8"/>
        <v>2.3169752141068999E-2</v>
      </c>
    </row>
    <row r="190" spans="1:29" ht="15" customHeight="1" x14ac:dyDescent="0.3">
      <c r="A190" s="3">
        <v>226</v>
      </c>
      <c r="B190" s="3">
        <v>46</v>
      </c>
      <c r="C190" s="3" t="s">
        <v>281</v>
      </c>
      <c r="D190" s="4" t="s">
        <v>282</v>
      </c>
      <c r="E190" s="3" t="s">
        <v>283</v>
      </c>
      <c r="F190" s="3">
        <v>2021</v>
      </c>
      <c r="G190" s="3">
        <v>0</v>
      </c>
      <c r="H190" s="3">
        <v>0</v>
      </c>
      <c r="I190" s="3">
        <v>0</v>
      </c>
      <c r="J190" s="3">
        <v>0</v>
      </c>
      <c r="K190" s="3">
        <v>2295000000</v>
      </c>
      <c r="L190" s="3">
        <v>4.71</v>
      </c>
      <c r="M190" s="3">
        <v>10809450</v>
      </c>
      <c r="N190" s="3">
        <v>19354000</v>
      </c>
      <c r="O190" s="3">
        <v>33105000</v>
      </c>
      <c r="P190" s="3">
        <v>3720000</v>
      </c>
      <c r="Q190" s="3">
        <v>0.91114484216885705</v>
      </c>
      <c r="R190" s="3">
        <v>17.3151948863411</v>
      </c>
      <c r="S190" s="3">
        <v>0.58462467905150295</v>
      </c>
      <c r="T190" s="3">
        <v>0.112369732668781</v>
      </c>
      <c r="U190" s="3">
        <v>1995</v>
      </c>
      <c r="V190" s="3">
        <v>26</v>
      </c>
      <c r="W190" s="3">
        <v>1</v>
      </c>
      <c r="X190" s="3" t="s">
        <v>274</v>
      </c>
      <c r="Y190" s="4" t="s">
        <v>284</v>
      </c>
      <c r="Z190" s="3" t="s">
        <v>34</v>
      </c>
      <c r="AA190" s="5">
        <f t="shared" si="6"/>
        <v>0.91114484216885705</v>
      </c>
      <c r="AB190" s="5">
        <f t="shared" si="7"/>
        <v>0.58462467905150295</v>
      </c>
      <c r="AC190" s="5">
        <f t="shared" si="8"/>
        <v>0.112369732668781</v>
      </c>
    </row>
    <row r="191" spans="1:29" ht="15" customHeight="1" x14ac:dyDescent="0.3">
      <c r="A191" s="3">
        <v>227</v>
      </c>
      <c r="B191" s="3">
        <v>46</v>
      </c>
      <c r="C191" s="3" t="s">
        <v>281</v>
      </c>
      <c r="D191" s="4" t="s">
        <v>282</v>
      </c>
      <c r="E191" s="3" t="s">
        <v>283</v>
      </c>
      <c r="F191" s="3">
        <v>2022</v>
      </c>
      <c r="G191" s="3">
        <v>0</v>
      </c>
      <c r="H191" s="3">
        <v>0</v>
      </c>
      <c r="I191" s="3">
        <v>35</v>
      </c>
      <c r="J191" s="3">
        <v>0</v>
      </c>
      <c r="K191" s="3">
        <v>2295000000</v>
      </c>
      <c r="L191" s="3">
        <v>7.82</v>
      </c>
      <c r="M191" s="3">
        <v>17946900</v>
      </c>
      <c r="N191" s="3">
        <v>26062000</v>
      </c>
      <c r="O191" s="3">
        <v>42981000</v>
      </c>
      <c r="P191" s="3">
        <v>4187000</v>
      </c>
      <c r="Q191" s="3">
        <v>1.0239152183522999</v>
      </c>
      <c r="R191" s="3">
        <v>17.576268715543598</v>
      </c>
      <c r="S191" s="3">
        <v>0.60636095018729197</v>
      </c>
      <c r="T191" s="3">
        <v>9.7415136920965095E-2</v>
      </c>
      <c r="U191" s="3">
        <v>1995</v>
      </c>
      <c r="V191" s="3">
        <v>27</v>
      </c>
      <c r="W191" s="3">
        <v>1</v>
      </c>
      <c r="X191" s="3" t="s">
        <v>274</v>
      </c>
      <c r="Y191" s="4" t="s">
        <v>284</v>
      </c>
      <c r="Z191" s="3" t="s">
        <v>34</v>
      </c>
      <c r="AA191" s="5">
        <f t="shared" si="6"/>
        <v>1.0239152183522999</v>
      </c>
      <c r="AB191" s="5">
        <f t="shared" si="7"/>
        <v>0.60636095018729197</v>
      </c>
      <c r="AC191" s="5">
        <f t="shared" si="8"/>
        <v>9.7415136920965095E-2</v>
      </c>
    </row>
    <row r="192" spans="1:29" ht="15" customHeight="1" x14ac:dyDescent="0.3">
      <c r="A192" s="3">
        <v>228</v>
      </c>
      <c r="B192" s="3">
        <v>46</v>
      </c>
      <c r="C192" s="3" t="s">
        <v>281</v>
      </c>
      <c r="D192" s="4" t="s">
        <v>282</v>
      </c>
      <c r="E192" s="3" t="s">
        <v>283</v>
      </c>
      <c r="F192" s="3">
        <v>2023</v>
      </c>
      <c r="G192" s="3">
        <v>1</v>
      </c>
      <c r="H192" s="3">
        <v>0</v>
      </c>
      <c r="I192" s="3">
        <v>40</v>
      </c>
      <c r="J192" s="3">
        <v>0</v>
      </c>
      <c r="K192" s="3">
        <v>2295000000</v>
      </c>
      <c r="L192" s="3">
        <v>15.77</v>
      </c>
      <c r="M192" s="3">
        <v>36192150</v>
      </c>
      <c r="N192" s="3">
        <v>42697000</v>
      </c>
      <c r="O192" s="3">
        <v>61991000</v>
      </c>
      <c r="P192" s="3">
        <v>3608000</v>
      </c>
      <c r="Q192" s="3">
        <v>1.27259037602233</v>
      </c>
      <c r="R192" s="3">
        <v>17.942499771182099</v>
      </c>
      <c r="S192" s="3">
        <v>0.688761271797519</v>
      </c>
      <c r="T192" s="3">
        <v>5.8201997064090003E-2</v>
      </c>
      <c r="U192" s="3">
        <v>1995</v>
      </c>
      <c r="V192" s="3">
        <v>28</v>
      </c>
      <c r="W192" s="3">
        <v>1</v>
      </c>
      <c r="X192" s="3" t="s">
        <v>274</v>
      </c>
      <c r="Y192" s="4" t="s">
        <v>284</v>
      </c>
      <c r="Z192" s="3" t="s">
        <v>34</v>
      </c>
      <c r="AA192" s="5">
        <f t="shared" si="6"/>
        <v>1.27259037602233</v>
      </c>
      <c r="AB192" s="5">
        <f t="shared" si="7"/>
        <v>0.688761271797519</v>
      </c>
      <c r="AC192" s="5">
        <f t="shared" si="8"/>
        <v>5.8201997064090003E-2</v>
      </c>
    </row>
    <row r="193" spans="1:29" ht="15" customHeight="1" x14ac:dyDescent="0.3">
      <c r="A193" s="3">
        <v>229</v>
      </c>
      <c r="B193" s="3">
        <v>46</v>
      </c>
      <c r="C193" s="3" t="s">
        <v>281</v>
      </c>
      <c r="D193" s="4" t="s">
        <v>282</v>
      </c>
      <c r="E193" s="3" t="s">
        <v>283</v>
      </c>
      <c r="F193" s="3">
        <v>2024</v>
      </c>
      <c r="G193" s="3">
        <v>1</v>
      </c>
      <c r="H193" s="3">
        <v>0</v>
      </c>
      <c r="I193" s="3">
        <v>35</v>
      </c>
      <c r="J193" s="3">
        <v>0</v>
      </c>
      <c r="K193" s="3">
        <v>2295000000</v>
      </c>
      <c r="L193" s="3">
        <v>14.57</v>
      </c>
      <c r="M193" s="3">
        <v>33438150</v>
      </c>
      <c r="N193" s="3">
        <v>51148000</v>
      </c>
      <c r="O193" s="3">
        <v>73493000</v>
      </c>
      <c r="P193" s="3">
        <v>4399000</v>
      </c>
      <c r="Q193" s="3">
        <v>1.1509415862735199</v>
      </c>
      <c r="R193" s="3">
        <v>18.1127007215524</v>
      </c>
      <c r="S193" s="3">
        <v>0.69595743812335897</v>
      </c>
      <c r="T193" s="3">
        <v>5.9856040711360303E-2</v>
      </c>
      <c r="U193" s="3">
        <v>1995</v>
      </c>
      <c r="V193" s="3">
        <v>29</v>
      </c>
      <c r="W193" s="3">
        <v>1</v>
      </c>
      <c r="X193" s="3" t="s">
        <v>274</v>
      </c>
      <c r="Y193" s="4" t="s">
        <v>284</v>
      </c>
      <c r="Z193" s="3" t="s">
        <v>34</v>
      </c>
      <c r="AA193" s="5">
        <f t="shared" si="6"/>
        <v>1.1509415862735199</v>
      </c>
      <c r="AB193" s="5">
        <f t="shared" si="7"/>
        <v>0.69595743812335897</v>
      </c>
      <c r="AC193" s="5">
        <f t="shared" si="8"/>
        <v>5.9856040711360303E-2</v>
      </c>
    </row>
    <row r="194" spans="1:29" ht="15" customHeight="1" x14ac:dyDescent="0.3">
      <c r="A194" s="3">
        <v>230</v>
      </c>
      <c r="B194" s="3">
        <v>46</v>
      </c>
      <c r="C194" s="3" t="s">
        <v>281</v>
      </c>
      <c r="D194" s="4" t="s">
        <v>282</v>
      </c>
      <c r="E194" s="3" t="s">
        <v>283</v>
      </c>
      <c r="F194" s="3">
        <v>2025</v>
      </c>
      <c r="G194" s="3">
        <v>1</v>
      </c>
      <c r="H194" s="3">
        <v>0</v>
      </c>
      <c r="I194" s="3">
        <v>35</v>
      </c>
      <c r="J194" s="3">
        <v>0</v>
      </c>
      <c r="K194" s="3">
        <v>2400000000</v>
      </c>
      <c r="L194" s="3">
        <v>49.35</v>
      </c>
      <c r="M194" s="3">
        <v>118440000</v>
      </c>
      <c r="N194" s="3">
        <v>50090000</v>
      </c>
      <c r="O194" s="3">
        <v>80287000</v>
      </c>
      <c r="P194" s="3">
        <v>9884000</v>
      </c>
      <c r="Q194" s="3">
        <v>2.0990944984866799</v>
      </c>
      <c r="R194" s="3">
        <v>18.201118272909302</v>
      </c>
      <c r="S194" s="3">
        <v>0.62388680608317704</v>
      </c>
      <c r="T194" s="3">
        <v>0.123108348798685</v>
      </c>
      <c r="U194" s="3">
        <v>1995</v>
      </c>
      <c r="V194" s="3">
        <v>30</v>
      </c>
      <c r="W194" s="3">
        <v>1</v>
      </c>
      <c r="X194" s="3" t="s">
        <v>274</v>
      </c>
      <c r="Y194" s="4" t="s">
        <v>284</v>
      </c>
      <c r="Z194" s="3" t="s">
        <v>34</v>
      </c>
      <c r="AA194" s="5">
        <f t="shared" ref="AA194:AA257" si="9">MIN(MAX(Q194,PERCENTILE(Q$2:Q$612,0.005)),PERCENTILE(Q$2:Q$612,0.995))</f>
        <v>2.0990944984866799</v>
      </c>
      <c r="AB194" s="5">
        <f t="shared" ref="AB194:AB257" si="10">MIN(MAX(S194,PERCENTILE(S$2:S$612,0.005)),PERCENTILE(S$2:S$612,0.995))</f>
        <v>0.62388680608317704</v>
      </c>
      <c r="AC194" s="5">
        <f t="shared" ref="AC194:AC257" si="11">MIN(MAX(T194,PERCENTILE(T$2:T$612,0.005)),PERCENTILE(T$2:T$612,0.995))</f>
        <v>0.123108348798685</v>
      </c>
    </row>
    <row r="195" spans="1:29" ht="15" customHeight="1" x14ac:dyDescent="0.3">
      <c r="A195" s="3">
        <v>231</v>
      </c>
      <c r="B195" s="3">
        <v>47</v>
      </c>
      <c r="C195" s="3" t="s">
        <v>285</v>
      </c>
      <c r="D195" s="4" t="s">
        <v>286</v>
      </c>
      <c r="E195" s="3" t="s">
        <v>31</v>
      </c>
      <c r="F195" s="3">
        <v>2021</v>
      </c>
      <c r="G195" s="3">
        <v>0</v>
      </c>
      <c r="H195" s="3">
        <v>0</v>
      </c>
      <c r="I195" s="3">
        <v>35</v>
      </c>
      <c r="J195" s="3">
        <v>0</v>
      </c>
      <c r="K195" s="3">
        <v>35895000000</v>
      </c>
      <c r="L195" s="3">
        <v>10.23</v>
      </c>
      <c r="M195" s="3">
        <v>367205850</v>
      </c>
      <c r="N195" s="3">
        <v>8052517000</v>
      </c>
      <c r="O195" s="3">
        <v>8932373000</v>
      </c>
      <c r="P195" s="3">
        <v>149709000</v>
      </c>
      <c r="Q195" s="3">
        <v>0.94260761949820104</v>
      </c>
      <c r="R195" s="3">
        <v>22.9129479300166</v>
      </c>
      <c r="S195" s="3">
        <v>0.901498067758702</v>
      </c>
      <c r="T195" s="3">
        <v>1.6760271878480702E-2</v>
      </c>
      <c r="U195" s="3">
        <v>2010</v>
      </c>
      <c r="V195" s="3">
        <v>11</v>
      </c>
      <c r="W195" s="3">
        <v>1</v>
      </c>
      <c r="X195" s="3" t="s">
        <v>57</v>
      </c>
      <c r="Y195" s="4" t="s">
        <v>287</v>
      </c>
      <c r="Z195" s="3" t="s">
        <v>34</v>
      </c>
      <c r="AA195" s="5">
        <f t="shared" si="9"/>
        <v>0.94260761949820104</v>
      </c>
      <c r="AB195" s="5">
        <f t="shared" si="10"/>
        <v>0.901498067758702</v>
      </c>
      <c r="AC195" s="5">
        <f t="shared" si="11"/>
        <v>1.6760271878480702E-2</v>
      </c>
    </row>
    <row r="196" spans="1:29" ht="15" customHeight="1" x14ac:dyDescent="0.3">
      <c r="A196" s="3">
        <v>232</v>
      </c>
      <c r="B196" s="3">
        <v>47</v>
      </c>
      <c r="C196" s="3" t="s">
        <v>285</v>
      </c>
      <c r="D196" s="4" t="s">
        <v>286</v>
      </c>
      <c r="E196" s="3" t="s">
        <v>31</v>
      </c>
      <c r="F196" s="3">
        <v>2022</v>
      </c>
      <c r="G196" s="3">
        <v>0</v>
      </c>
      <c r="H196" s="3">
        <v>0</v>
      </c>
      <c r="I196" s="3">
        <v>50</v>
      </c>
      <c r="J196" s="3">
        <v>0</v>
      </c>
      <c r="K196" s="3">
        <v>35895000000</v>
      </c>
      <c r="L196" s="3">
        <v>10.11</v>
      </c>
      <c r="M196" s="3">
        <v>362898450</v>
      </c>
      <c r="N196" s="3">
        <v>9581969000</v>
      </c>
      <c r="O196" s="3">
        <v>10577710000</v>
      </c>
      <c r="P196" s="3">
        <v>134403000</v>
      </c>
      <c r="Q196" s="3">
        <v>0.94017206465293501</v>
      </c>
      <c r="R196" s="3">
        <v>23.082014793824001</v>
      </c>
      <c r="S196" s="3">
        <v>0.90586421824761698</v>
      </c>
      <c r="T196" s="3">
        <v>1.2706247382467501E-2</v>
      </c>
      <c r="U196" s="3">
        <v>2010</v>
      </c>
      <c r="V196" s="3">
        <v>12</v>
      </c>
      <c r="W196" s="3">
        <v>1</v>
      </c>
      <c r="X196" s="3" t="s">
        <v>57</v>
      </c>
      <c r="Y196" s="4" t="s">
        <v>287</v>
      </c>
      <c r="Z196" s="3" t="s">
        <v>34</v>
      </c>
      <c r="AA196" s="5">
        <f t="shared" si="9"/>
        <v>0.94017206465293501</v>
      </c>
      <c r="AB196" s="5">
        <f t="shared" si="10"/>
        <v>0.90586421824761698</v>
      </c>
      <c r="AC196" s="5">
        <f t="shared" si="11"/>
        <v>1.2706247382467501E-2</v>
      </c>
    </row>
    <row r="197" spans="1:29" ht="15" customHeight="1" x14ac:dyDescent="0.3">
      <c r="A197" s="3">
        <v>233</v>
      </c>
      <c r="B197" s="3">
        <v>47</v>
      </c>
      <c r="C197" s="3" t="s">
        <v>285</v>
      </c>
      <c r="D197" s="4" t="s">
        <v>286</v>
      </c>
      <c r="E197" s="3" t="s">
        <v>31</v>
      </c>
      <c r="F197" s="3">
        <v>2023</v>
      </c>
      <c r="G197" s="3">
        <v>1</v>
      </c>
      <c r="H197" s="3">
        <v>0</v>
      </c>
      <c r="I197" s="3">
        <v>65</v>
      </c>
      <c r="J197" s="3">
        <v>53.3333333333333</v>
      </c>
      <c r="K197" s="3">
        <v>35895000000</v>
      </c>
      <c r="L197" s="3">
        <v>22.46</v>
      </c>
      <c r="M197" s="3">
        <v>806201700</v>
      </c>
      <c r="N197" s="3">
        <v>15190663000</v>
      </c>
      <c r="O197" s="3">
        <v>16937684000</v>
      </c>
      <c r="P197" s="3">
        <v>308203000</v>
      </c>
      <c r="Q197" s="3">
        <v>0.94445407648412905</v>
      </c>
      <c r="R197" s="3">
        <v>23.552806798995999</v>
      </c>
      <c r="S197" s="3">
        <v>0.89685596921042998</v>
      </c>
      <c r="T197" s="3">
        <v>1.8196289410051601E-2</v>
      </c>
      <c r="U197" s="3">
        <v>2010</v>
      </c>
      <c r="V197" s="3">
        <v>13</v>
      </c>
      <c r="W197" s="3">
        <v>1</v>
      </c>
      <c r="X197" s="3" t="s">
        <v>57</v>
      </c>
      <c r="Y197" s="4" t="s">
        <v>287</v>
      </c>
      <c r="Z197" s="3" t="s">
        <v>34</v>
      </c>
      <c r="AA197" s="5">
        <f t="shared" si="9"/>
        <v>0.94445407648412905</v>
      </c>
      <c r="AB197" s="5">
        <f t="shared" si="10"/>
        <v>0.89685596921042998</v>
      </c>
      <c r="AC197" s="5">
        <f t="shared" si="11"/>
        <v>1.8196289410051601E-2</v>
      </c>
    </row>
    <row r="198" spans="1:29" ht="15" customHeight="1" x14ac:dyDescent="0.3">
      <c r="A198" s="3">
        <v>234</v>
      </c>
      <c r="B198" s="3">
        <v>47</v>
      </c>
      <c r="C198" s="3" t="s">
        <v>285</v>
      </c>
      <c r="D198" s="4" t="s">
        <v>286</v>
      </c>
      <c r="E198" s="3" t="s">
        <v>31</v>
      </c>
      <c r="F198" s="3">
        <v>2024</v>
      </c>
      <c r="G198" s="3">
        <v>1</v>
      </c>
      <c r="H198" s="3">
        <v>0</v>
      </c>
      <c r="I198" s="3">
        <v>10</v>
      </c>
      <c r="J198" s="3">
        <v>0</v>
      </c>
      <c r="K198" s="3">
        <v>36093000000</v>
      </c>
      <c r="L198" s="3">
        <v>27.4</v>
      </c>
      <c r="M198" s="3">
        <v>988948200</v>
      </c>
      <c r="N198" s="3">
        <v>23728884000</v>
      </c>
      <c r="O198" s="3">
        <v>26524218000</v>
      </c>
      <c r="P198" s="3">
        <v>670799000</v>
      </c>
      <c r="Q198" s="3">
        <v>0.93189673678598195</v>
      </c>
      <c r="R198" s="3">
        <v>24.001324039390799</v>
      </c>
      <c r="S198" s="3">
        <v>0.89461201080461605</v>
      </c>
      <c r="T198" s="3">
        <v>2.5290057561734702E-2</v>
      </c>
      <c r="U198" s="3">
        <v>2010</v>
      </c>
      <c r="V198" s="3">
        <v>14</v>
      </c>
      <c r="W198" s="3">
        <v>1</v>
      </c>
      <c r="X198" s="3" t="s">
        <v>57</v>
      </c>
      <c r="Y198" s="4" t="s">
        <v>287</v>
      </c>
      <c r="Z198" s="3" t="s">
        <v>34</v>
      </c>
      <c r="AA198" s="5">
        <f t="shared" si="9"/>
        <v>0.93189673678598195</v>
      </c>
      <c r="AB198" s="5">
        <f t="shared" si="10"/>
        <v>0.89461201080461605</v>
      </c>
      <c r="AC198" s="5">
        <f t="shared" si="11"/>
        <v>2.5290057561734702E-2</v>
      </c>
    </row>
    <row r="199" spans="1:29" ht="15" customHeight="1" x14ac:dyDescent="0.3">
      <c r="A199" s="3">
        <v>235</v>
      </c>
      <c r="B199" s="3">
        <v>47</v>
      </c>
      <c r="C199" s="3" t="s">
        <v>285</v>
      </c>
      <c r="D199" s="4" t="s">
        <v>286</v>
      </c>
      <c r="E199" s="3" t="s">
        <v>31</v>
      </c>
      <c r="F199" s="3">
        <v>2025</v>
      </c>
      <c r="G199" s="3">
        <v>1</v>
      </c>
      <c r="H199" s="3">
        <v>0</v>
      </c>
      <c r="I199" s="3">
        <v>20</v>
      </c>
      <c r="J199" s="3">
        <v>13.3333333333333</v>
      </c>
      <c r="K199" s="3">
        <v>44454000000</v>
      </c>
      <c r="L199" s="3">
        <v>47.9</v>
      </c>
      <c r="M199" s="3">
        <v>2129346600</v>
      </c>
      <c r="N199" s="3">
        <v>23949570000</v>
      </c>
      <c r="O199" s="3">
        <v>27250935000</v>
      </c>
      <c r="P199" s="3">
        <v>132684000</v>
      </c>
      <c r="Q199" s="3">
        <v>0.956991626158882</v>
      </c>
      <c r="R199" s="3">
        <v>24.028353669393599</v>
      </c>
      <c r="S199" s="3">
        <v>0.87885314760759603</v>
      </c>
      <c r="T199" s="3">
        <v>4.8689705509187102E-3</v>
      </c>
      <c r="U199" s="3">
        <v>2010</v>
      </c>
      <c r="V199" s="3">
        <v>15</v>
      </c>
      <c r="W199" s="3">
        <v>1</v>
      </c>
      <c r="X199" s="3" t="s">
        <v>57</v>
      </c>
      <c r="Y199" s="4" t="s">
        <v>287</v>
      </c>
      <c r="Z199" s="3" t="s">
        <v>34</v>
      </c>
      <c r="AA199" s="5">
        <f t="shared" si="9"/>
        <v>0.956991626158882</v>
      </c>
      <c r="AB199" s="5">
        <f t="shared" si="10"/>
        <v>0.87885314760759603</v>
      </c>
      <c r="AC199" s="5">
        <f t="shared" si="11"/>
        <v>4.8689705509187102E-3</v>
      </c>
    </row>
    <row r="200" spans="1:29" ht="15" customHeight="1" x14ac:dyDescent="0.3">
      <c r="A200" s="3">
        <v>236</v>
      </c>
      <c r="B200" s="3">
        <v>48</v>
      </c>
      <c r="C200" s="3" t="s">
        <v>288</v>
      </c>
      <c r="D200" s="4" t="s">
        <v>289</v>
      </c>
      <c r="E200" s="3" t="s">
        <v>31</v>
      </c>
      <c r="F200" s="3">
        <v>2021</v>
      </c>
      <c r="G200" s="3">
        <v>0</v>
      </c>
      <c r="H200" s="3">
        <v>0</v>
      </c>
      <c r="I200" s="3">
        <v>0</v>
      </c>
      <c r="J200" s="3">
        <v>0</v>
      </c>
      <c r="K200" s="3">
        <v>12911000000</v>
      </c>
      <c r="L200" s="3">
        <v>0.2</v>
      </c>
      <c r="M200" s="3">
        <v>2582200</v>
      </c>
      <c r="N200" s="3">
        <v>10847000</v>
      </c>
      <c r="O200" s="3">
        <v>7698000</v>
      </c>
      <c r="P200" s="3">
        <v>-1725000</v>
      </c>
      <c r="Q200" s="3">
        <v>1.74450506625097</v>
      </c>
      <c r="R200" s="3">
        <v>15.856471112825799</v>
      </c>
      <c r="S200" s="3">
        <v>1.4090672902052499</v>
      </c>
      <c r="T200" s="3">
        <v>-0.22408417770849601</v>
      </c>
      <c r="U200" s="3">
        <v>1981</v>
      </c>
      <c r="V200" s="3">
        <v>40</v>
      </c>
      <c r="W200" s="3">
        <v>0</v>
      </c>
      <c r="X200" s="3" t="s">
        <v>290</v>
      </c>
      <c r="Y200" s="4" t="s">
        <v>291</v>
      </c>
      <c r="Z200" s="3" t="s">
        <v>34</v>
      </c>
      <c r="AA200" s="5">
        <f t="shared" si="9"/>
        <v>1.74450506625097</v>
      </c>
      <c r="AB200" s="5">
        <f t="shared" si="10"/>
        <v>1.4090672902052499</v>
      </c>
      <c r="AC200" s="5">
        <f t="shared" si="11"/>
        <v>-0.22408417770849601</v>
      </c>
    </row>
    <row r="201" spans="1:29" ht="15" customHeight="1" x14ac:dyDescent="0.3">
      <c r="A201" s="3">
        <v>237</v>
      </c>
      <c r="B201" s="3">
        <v>48</v>
      </c>
      <c r="C201" s="3" t="s">
        <v>288</v>
      </c>
      <c r="D201" s="4" t="s">
        <v>289</v>
      </c>
      <c r="E201" s="3" t="s">
        <v>31</v>
      </c>
      <c r="F201" s="3">
        <v>2022</v>
      </c>
      <c r="G201" s="3">
        <v>0</v>
      </c>
      <c r="H201" s="3">
        <v>0</v>
      </c>
      <c r="I201" s="3">
        <v>0</v>
      </c>
      <c r="J201" s="3">
        <v>0</v>
      </c>
      <c r="K201" s="3">
        <v>12911000000</v>
      </c>
      <c r="L201" s="3">
        <v>0.2</v>
      </c>
      <c r="M201" s="3">
        <v>2582200</v>
      </c>
      <c r="N201" s="3">
        <v>10620000</v>
      </c>
      <c r="O201" s="3">
        <v>6190000</v>
      </c>
      <c r="P201" s="3">
        <v>-829720</v>
      </c>
      <c r="Q201" s="3">
        <v>2.1328271405492698</v>
      </c>
      <c r="R201" s="3">
        <v>15.6384456446608</v>
      </c>
      <c r="S201" s="3">
        <v>1.7156704361874</v>
      </c>
      <c r="T201" s="3">
        <v>-0.134042003231018</v>
      </c>
      <c r="U201" s="3">
        <v>1981</v>
      </c>
      <c r="V201" s="3">
        <v>41</v>
      </c>
      <c r="W201" s="3">
        <v>0</v>
      </c>
      <c r="X201" s="3" t="s">
        <v>290</v>
      </c>
      <c r="Y201" s="4" t="s">
        <v>291</v>
      </c>
      <c r="Z201" s="3" t="s">
        <v>34</v>
      </c>
      <c r="AA201" s="5">
        <f t="shared" si="9"/>
        <v>2.1328271405492698</v>
      </c>
      <c r="AB201" s="5">
        <f t="shared" si="10"/>
        <v>1.7156704361874</v>
      </c>
      <c r="AC201" s="5">
        <f t="shared" si="11"/>
        <v>-0.134042003231018</v>
      </c>
    </row>
    <row r="202" spans="1:29" ht="15" customHeight="1" x14ac:dyDescent="0.3">
      <c r="A202" s="3">
        <v>238</v>
      </c>
      <c r="B202" s="3">
        <v>48</v>
      </c>
      <c r="C202" s="3" t="s">
        <v>288</v>
      </c>
      <c r="D202" s="4" t="s">
        <v>289</v>
      </c>
      <c r="E202" s="3" t="s">
        <v>31</v>
      </c>
      <c r="F202" s="3">
        <v>2023</v>
      </c>
      <c r="G202" s="3">
        <v>1</v>
      </c>
      <c r="H202" s="3">
        <v>0</v>
      </c>
      <c r="I202" s="3">
        <v>0</v>
      </c>
      <c r="J202" s="3">
        <v>0</v>
      </c>
      <c r="K202" s="3">
        <v>12911000000</v>
      </c>
      <c r="L202" s="3">
        <v>0.2</v>
      </c>
      <c r="M202" s="3">
        <v>2582200</v>
      </c>
      <c r="N202" s="3">
        <v>12426000</v>
      </c>
      <c r="O202" s="3">
        <v>7512000</v>
      </c>
      <c r="P202" s="3">
        <v>-1816000</v>
      </c>
      <c r="Q202" s="3">
        <v>1.99789669861555</v>
      </c>
      <c r="R202" s="3">
        <v>15.8320122998702</v>
      </c>
      <c r="S202" s="3">
        <v>1.6541533546325899</v>
      </c>
      <c r="T202" s="3">
        <v>-0.24174653887114</v>
      </c>
      <c r="U202" s="3">
        <v>1981</v>
      </c>
      <c r="V202" s="3">
        <v>42</v>
      </c>
      <c r="W202" s="3">
        <v>0</v>
      </c>
      <c r="X202" s="3" t="s">
        <v>290</v>
      </c>
      <c r="Y202" s="4" t="s">
        <v>291</v>
      </c>
      <c r="Z202" s="3" t="s">
        <v>34</v>
      </c>
      <c r="AA202" s="5">
        <f t="shared" si="9"/>
        <v>1.99789669861555</v>
      </c>
      <c r="AB202" s="5">
        <f t="shared" si="10"/>
        <v>1.6541533546325899</v>
      </c>
      <c r="AC202" s="5">
        <f t="shared" si="11"/>
        <v>-0.24174653887114</v>
      </c>
    </row>
    <row r="203" spans="1:29" ht="15" customHeight="1" x14ac:dyDescent="0.3">
      <c r="A203" s="3">
        <v>239</v>
      </c>
      <c r="B203" s="3">
        <v>48</v>
      </c>
      <c r="C203" s="3" t="s">
        <v>288</v>
      </c>
      <c r="D203" s="4" t="s">
        <v>289</v>
      </c>
      <c r="E203" s="3" t="s">
        <v>31</v>
      </c>
      <c r="F203" s="3">
        <v>2024</v>
      </c>
      <c r="G203" s="3">
        <v>1</v>
      </c>
      <c r="H203" s="3">
        <v>0</v>
      </c>
      <c r="I203" s="3">
        <v>0</v>
      </c>
      <c r="J203" s="3">
        <v>0</v>
      </c>
      <c r="K203" s="3">
        <v>12911000000</v>
      </c>
      <c r="L203" s="3">
        <v>0.2</v>
      </c>
      <c r="M203" s="3">
        <v>2582200</v>
      </c>
      <c r="N203" s="3">
        <v>14835000</v>
      </c>
      <c r="O203" s="3">
        <v>13760000</v>
      </c>
      <c r="P203" s="3">
        <v>4990000</v>
      </c>
      <c r="Q203" s="3">
        <v>1.26578488372093</v>
      </c>
      <c r="R203" s="3">
        <v>16.437276390469499</v>
      </c>
      <c r="S203" s="3">
        <v>1.078125</v>
      </c>
      <c r="T203" s="3">
        <v>0.362645348837209</v>
      </c>
      <c r="U203" s="3">
        <v>1981</v>
      </c>
      <c r="V203" s="3">
        <v>43</v>
      </c>
      <c r="W203" s="3">
        <v>0</v>
      </c>
      <c r="X203" s="3" t="s">
        <v>290</v>
      </c>
      <c r="Y203" s="4" t="s">
        <v>291</v>
      </c>
      <c r="Z203" s="3" t="s">
        <v>34</v>
      </c>
      <c r="AA203" s="5">
        <f t="shared" si="9"/>
        <v>1.26578488372093</v>
      </c>
      <c r="AB203" s="5">
        <f t="shared" si="10"/>
        <v>1.078125</v>
      </c>
      <c r="AC203" s="5">
        <f t="shared" si="11"/>
        <v>0.362645348837209</v>
      </c>
    </row>
    <row r="204" spans="1:29" ht="15" customHeight="1" x14ac:dyDescent="0.3">
      <c r="A204" s="3">
        <v>240</v>
      </c>
      <c r="B204" s="3">
        <v>48</v>
      </c>
      <c r="C204" s="3" t="s">
        <v>288</v>
      </c>
      <c r="D204" s="4" t="s">
        <v>289</v>
      </c>
      <c r="E204" s="3" t="s">
        <v>31</v>
      </c>
      <c r="F204" s="3">
        <v>2025</v>
      </c>
      <c r="G204" s="3">
        <v>1</v>
      </c>
      <c r="H204" s="3">
        <v>0</v>
      </c>
      <c r="I204" s="3">
        <v>0</v>
      </c>
      <c r="J204" s="3">
        <v>0</v>
      </c>
      <c r="K204" s="3">
        <v>12911000000</v>
      </c>
      <c r="L204" s="3">
        <v>0.2</v>
      </c>
      <c r="M204" s="3">
        <v>2582200</v>
      </c>
      <c r="N204" s="3">
        <v>15702000</v>
      </c>
      <c r="O204" s="3">
        <v>25052000</v>
      </c>
      <c r="P204" s="3">
        <v>-1688000</v>
      </c>
      <c r="Q204" s="3">
        <v>0.72984991218266004</v>
      </c>
      <c r="R204" s="3">
        <v>17.036464222627401</v>
      </c>
      <c r="S204" s="3">
        <v>0.62677630528500705</v>
      </c>
      <c r="T204" s="3">
        <v>-6.7379849912182696E-2</v>
      </c>
      <c r="U204" s="3">
        <v>1981</v>
      </c>
      <c r="V204" s="3">
        <v>44</v>
      </c>
      <c r="W204" s="3">
        <v>0</v>
      </c>
      <c r="X204" s="3" t="s">
        <v>290</v>
      </c>
      <c r="Y204" s="4" t="s">
        <v>291</v>
      </c>
      <c r="Z204" s="3" t="s">
        <v>34</v>
      </c>
      <c r="AA204" s="5">
        <f t="shared" si="9"/>
        <v>0.72984991218266004</v>
      </c>
      <c r="AB204" s="5">
        <f t="shared" si="10"/>
        <v>0.62677630528500705</v>
      </c>
      <c r="AC204" s="5">
        <f t="shared" si="11"/>
        <v>-6.7379849912182696E-2</v>
      </c>
    </row>
    <row r="205" spans="1:29" ht="15" customHeight="1" x14ac:dyDescent="0.3">
      <c r="A205" s="3">
        <v>241</v>
      </c>
      <c r="B205" s="3">
        <v>49</v>
      </c>
      <c r="C205" s="3" t="s">
        <v>292</v>
      </c>
      <c r="D205" s="4" t="s">
        <v>293</v>
      </c>
      <c r="E205" s="3" t="s">
        <v>248</v>
      </c>
      <c r="F205" s="3">
        <v>2021</v>
      </c>
      <c r="G205" s="3">
        <v>0</v>
      </c>
      <c r="H205" s="3">
        <v>0</v>
      </c>
      <c r="I205" s="3">
        <v>0</v>
      </c>
      <c r="J205" s="3">
        <v>0</v>
      </c>
      <c r="K205" s="3">
        <v>2200000000</v>
      </c>
      <c r="L205" s="3">
        <v>0.39</v>
      </c>
      <c r="M205" s="3">
        <v>858000</v>
      </c>
      <c r="N205" s="3">
        <v>9415000</v>
      </c>
      <c r="O205" s="3">
        <v>7441000</v>
      </c>
      <c r="P205" s="3">
        <v>-1479000</v>
      </c>
      <c r="Q205" s="3">
        <v>1.3805940061819599</v>
      </c>
      <c r="R205" s="3">
        <v>15.8225158063794</v>
      </c>
      <c r="S205" s="3">
        <v>1.26528692380056</v>
      </c>
      <c r="T205" s="3">
        <v>-0.198763607042064</v>
      </c>
      <c r="U205" s="3">
        <v>1991</v>
      </c>
      <c r="V205" s="3">
        <v>30</v>
      </c>
      <c r="W205" s="3">
        <v>0</v>
      </c>
      <c r="X205" s="3" t="s">
        <v>238</v>
      </c>
      <c r="Y205" s="4" t="s">
        <v>294</v>
      </c>
      <c r="Z205" s="3" t="s">
        <v>108</v>
      </c>
      <c r="AA205" s="5">
        <f t="shared" si="9"/>
        <v>1.3805940061819599</v>
      </c>
      <c r="AB205" s="5">
        <f t="shared" si="10"/>
        <v>1.26528692380056</v>
      </c>
      <c r="AC205" s="5">
        <f t="shared" si="11"/>
        <v>-0.198763607042064</v>
      </c>
    </row>
    <row r="206" spans="1:29" ht="15" customHeight="1" x14ac:dyDescent="0.3">
      <c r="A206" s="3">
        <v>242</v>
      </c>
      <c r="B206" s="3">
        <v>49</v>
      </c>
      <c r="C206" s="3" t="s">
        <v>292</v>
      </c>
      <c r="D206" s="4" t="s">
        <v>293</v>
      </c>
      <c r="E206" s="3" t="s">
        <v>248</v>
      </c>
      <c r="F206" s="3">
        <v>2022</v>
      </c>
      <c r="G206" s="3">
        <v>0</v>
      </c>
      <c r="H206" s="3">
        <v>0</v>
      </c>
      <c r="I206" s="3">
        <v>0</v>
      </c>
      <c r="J206" s="3">
        <v>0</v>
      </c>
      <c r="K206" s="3">
        <v>3900000000</v>
      </c>
      <c r="L206" s="3">
        <v>0.28999999999999998</v>
      </c>
      <c r="M206" s="3">
        <v>1131000</v>
      </c>
      <c r="N206" s="3">
        <v>8831000</v>
      </c>
      <c r="O206" s="3">
        <v>7277000</v>
      </c>
      <c r="P206" s="3">
        <v>-431190</v>
      </c>
      <c r="Q206" s="3">
        <v>1.3689707296963001</v>
      </c>
      <c r="R206" s="3">
        <v>15.800229247329201</v>
      </c>
      <c r="S206" s="3">
        <v>1.2135495396454601</v>
      </c>
      <c r="T206" s="3">
        <v>-5.9253813384636499E-2</v>
      </c>
      <c r="U206" s="3">
        <v>1991</v>
      </c>
      <c r="V206" s="3">
        <v>31</v>
      </c>
      <c r="W206" s="3">
        <v>0</v>
      </c>
      <c r="X206" s="3" t="s">
        <v>238</v>
      </c>
      <c r="Y206" s="4" t="s">
        <v>294</v>
      </c>
      <c r="Z206" s="3" t="s">
        <v>108</v>
      </c>
      <c r="AA206" s="5">
        <f t="shared" si="9"/>
        <v>1.3689707296963001</v>
      </c>
      <c r="AB206" s="5">
        <f t="shared" si="10"/>
        <v>1.2135495396454601</v>
      </c>
      <c r="AC206" s="5">
        <f t="shared" si="11"/>
        <v>-5.9253813384636499E-2</v>
      </c>
    </row>
    <row r="207" spans="1:29" ht="15" customHeight="1" x14ac:dyDescent="0.3">
      <c r="A207" s="3">
        <v>243</v>
      </c>
      <c r="B207" s="3">
        <v>49</v>
      </c>
      <c r="C207" s="3" t="s">
        <v>292</v>
      </c>
      <c r="D207" s="4" t="s">
        <v>293</v>
      </c>
      <c r="E207" s="3" t="s">
        <v>248</v>
      </c>
      <c r="F207" s="3">
        <v>2023</v>
      </c>
      <c r="G207" s="3">
        <v>1</v>
      </c>
      <c r="H207" s="3">
        <v>0</v>
      </c>
      <c r="I207" s="3">
        <v>0</v>
      </c>
      <c r="J207" s="3">
        <v>0</v>
      </c>
      <c r="K207" s="3">
        <v>3900000000</v>
      </c>
      <c r="L207" s="3">
        <v>1.48</v>
      </c>
      <c r="M207" s="3">
        <v>5772000</v>
      </c>
      <c r="N207" s="3">
        <v>9967000</v>
      </c>
      <c r="O207" s="3">
        <v>13250000</v>
      </c>
      <c r="P207" s="3">
        <v>-10650000</v>
      </c>
      <c r="Q207" s="3">
        <v>1.18784905660377</v>
      </c>
      <c r="R207" s="3">
        <v>16.3995081103965</v>
      </c>
      <c r="S207" s="3">
        <v>0.75222641509433996</v>
      </c>
      <c r="T207" s="3">
        <v>-0.80377358490565998</v>
      </c>
      <c r="U207" s="3">
        <v>1991</v>
      </c>
      <c r="V207" s="3">
        <v>32</v>
      </c>
      <c r="W207" s="3">
        <v>0</v>
      </c>
      <c r="X207" s="3" t="s">
        <v>238</v>
      </c>
      <c r="Y207" s="4" t="s">
        <v>294</v>
      </c>
      <c r="Z207" s="3" t="s">
        <v>108</v>
      </c>
      <c r="AA207" s="5">
        <f t="shared" si="9"/>
        <v>1.18784905660377</v>
      </c>
      <c r="AB207" s="5">
        <f t="shared" si="10"/>
        <v>0.75222641509433996</v>
      </c>
      <c r="AC207" s="5">
        <f t="shared" si="11"/>
        <v>-0.69757458830250851</v>
      </c>
    </row>
    <row r="208" spans="1:29" ht="15" customHeight="1" x14ac:dyDescent="0.3">
      <c r="A208" s="3">
        <v>244</v>
      </c>
      <c r="B208" s="3">
        <v>49</v>
      </c>
      <c r="C208" s="3" t="s">
        <v>292</v>
      </c>
      <c r="D208" s="4" t="s">
        <v>293</v>
      </c>
      <c r="E208" s="3" t="s">
        <v>248</v>
      </c>
      <c r="F208" s="3">
        <v>2024</v>
      </c>
      <c r="G208" s="3">
        <v>1</v>
      </c>
      <c r="H208" s="3">
        <v>0</v>
      </c>
      <c r="I208" s="3">
        <v>0</v>
      </c>
      <c r="J208" s="3">
        <v>0</v>
      </c>
      <c r="K208" s="3">
        <v>3900000000</v>
      </c>
      <c r="L208" s="3">
        <v>1.82</v>
      </c>
      <c r="M208" s="3">
        <v>7098000</v>
      </c>
      <c r="N208" s="3">
        <v>17649000</v>
      </c>
      <c r="O208" s="3">
        <v>21094000</v>
      </c>
      <c r="P208" s="3">
        <v>-9530000</v>
      </c>
      <c r="Q208" s="3">
        <v>1.1731772067886601</v>
      </c>
      <c r="R208" s="3">
        <v>16.864499197818699</v>
      </c>
      <c r="S208" s="3">
        <v>0.83668341708542704</v>
      </c>
      <c r="T208" s="3">
        <v>-0.45178723807717802</v>
      </c>
      <c r="U208" s="3">
        <v>1991</v>
      </c>
      <c r="V208" s="3">
        <v>33</v>
      </c>
      <c r="W208" s="3">
        <v>0</v>
      </c>
      <c r="X208" s="3" t="s">
        <v>238</v>
      </c>
      <c r="Y208" s="4" t="s">
        <v>294</v>
      </c>
      <c r="Z208" s="3" t="s">
        <v>108</v>
      </c>
      <c r="AA208" s="5">
        <f t="shared" si="9"/>
        <v>1.1731772067886601</v>
      </c>
      <c r="AB208" s="5">
        <f t="shared" si="10"/>
        <v>0.83668341708542704</v>
      </c>
      <c r="AC208" s="5">
        <f t="shared" si="11"/>
        <v>-0.45178723807717802</v>
      </c>
    </row>
    <row r="209" spans="1:29" ht="15" customHeight="1" x14ac:dyDescent="0.3">
      <c r="A209" s="3">
        <v>245</v>
      </c>
      <c r="B209" s="3">
        <v>49</v>
      </c>
      <c r="C209" s="3" t="s">
        <v>292</v>
      </c>
      <c r="D209" s="4" t="s">
        <v>293</v>
      </c>
      <c r="E209" s="3" t="s">
        <v>248</v>
      </c>
      <c r="F209" s="3">
        <v>2025</v>
      </c>
      <c r="G209" s="3">
        <v>1</v>
      </c>
      <c r="H209" s="3">
        <v>0</v>
      </c>
      <c r="I209" s="3">
        <v>0</v>
      </c>
      <c r="J209" s="3">
        <v>0</v>
      </c>
      <c r="K209" s="3">
        <v>3900000000</v>
      </c>
      <c r="L209" s="3">
        <v>5</v>
      </c>
      <c r="M209" s="3">
        <v>19500000</v>
      </c>
      <c r="N209" s="3">
        <v>21602000</v>
      </c>
      <c r="O209" s="3">
        <v>22145000</v>
      </c>
      <c r="P209" s="3">
        <v>-252650</v>
      </c>
      <c r="Q209" s="3">
        <v>1.8560397380898599</v>
      </c>
      <c r="R209" s="3">
        <v>16.913122295339399</v>
      </c>
      <c r="S209" s="3">
        <v>0.97547979227816695</v>
      </c>
      <c r="T209" s="3">
        <v>-1.1408895913298699E-2</v>
      </c>
      <c r="U209" s="3">
        <v>1991</v>
      </c>
      <c r="V209" s="3">
        <v>34</v>
      </c>
      <c r="W209" s="3">
        <v>0</v>
      </c>
      <c r="X209" s="3" t="s">
        <v>238</v>
      </c>
      <c r="Y209" s="4" t="s">
        <v>294</v>
      </c>
      <c r="Z209" s="3" t="s">
        <v>108</v>
      </c>
      <c r="AA209" s="5">
        <f t="shared" si="9"/>
        <v>1.8560397380898599</v>
      </c>
      <c r="AB209" s="5">
        <f t="shared" si="10"/>
        <v>0.97547979227816695</v>
      </c>
      <c r="AC209" s="5">
        <f t="shared" si="11"/>
        <v>-1.1408895913298699E-2</v>
      </c>
    </row>
    <row r="210" spans="1:29" ht="15" customHeight="1" x14ac:dyDescent="0.3">
      <c r="A210" s="3">
        <v>247</v>
      </c>
      <c r="B210" s="3">
        <v>50</v>
      </c>
      <c r="C210" s="3" t="s">
        <v>295</v>
      </c>
      <c r="D210" s="4" t="s">
        <v>296</v>
      </c>
      <c r="E210" s="3" t="s">
        <v>297</v>
      </c>
      <c r="F210" s="3">
        <v>2022</v>
      </c>
      <c r="G210" s="3">
        <v>0</v>
      </c>
      <c r="H210" s="3">
        <v>0</v>
      </c>
      <c r="I210" s="3">
        <v>40</v>
      </c>
      <c r="J210" s="3">
        <v>0</v>
      </c>
      <c r="K210" s="3">
        <v>2500000000</v>
      </c>
      <c r="L210" s="3">
        <v>149</v>
      </c>
      <c r="M210" s="3">
        <v>372500000</v>
      </c>
      <c r="N210" s="3">
        <v>124927000</v>
      </c>
      <c r="O210" s="3">
        <v>174030000</v>
      </c>
      <c r="P210" s="3">
        <v>10171000</v>
      </c>
      <c r="Q210" s="3">
        <v>2.8582830546457498</v>
      </c>
      <c r="R210" s="3">
        <v>18.974738256110399</v>
      </c>
      <c r="S210" s="3">
        <v>0.71784749755789201</v>
      </c>
      <c r="T210" s="3">
        <v>5.8443946446015103E-2</v>
      </c>
      <c r="U210" s="3">
        <v>2006</v>
      </c>
      <c r="V210" s="3">
        <v>16</v>
      </c>
      <c r="W210" s="3">
        <v>0</v>
      </c>
      <c r="X210" s="3" t="s">
        <v>179</v>
      </c>
      <c r="Y210" s="4" t="s">
        <v>298</v>
      </c>
      <c r="Z210" s="3" t="s">
        <v>34</v>
      </c>
      <c r="AA210" s="5">
        <f t="shared" si="9"/>
        <v>2.8582830546457498</v>
      </c>
      <c r="AB210" s="5">
        <f t="shared" si="10"/>
        <v>0.71784749755789201</v>
      </c>
      <c r="AC210" s="5">
        <f t="shared" si="11"/>
        <v>5.8443946446015103E-2</v>
      </c>
    </row>
    <row r="211" spans="1:29" ht="15" customHeight="1" x14ac:dyDescent="0.3">
      <c r="A211" s="3">
        <v>248</v>
      </c>
      <c r="B211" s="3">
        <v>50</v>
      </c>
      <c r="C211" s="3" t="s">
        <v>295</v>
      </c>
      <c r="D211" s="4" t="s">
        <v>296</v>
      </c>
      <c r="E211" s="3" t="s">
        <v>297</v>
      </c>
      <c r="F211" s="3">
        <v>2023</v>
      </c>
      <c r="G211" s="3">
        <v>1</v>
      </c>
      <c r="H211" s="3">
        <v>0</v>
      </c>
      <c r="I211" s="3">
        <v>0</v>
      </c>
      <c r="J211" s="3">
        <v>0</v>
      </c>
      <c r="K211" s="3">
        <v>2500000000</v>
      </c>
      <c r="L211" s="3">
        <v>399</v>
      </c>
      <c r="M211" s="3">
        <v>997500000</v>
      </c>
      <c r="N211" s="3">
        <v>136889000</v>
      </c>
      <c r="O211" s="3">
        <v>182043000</v>
      </c>
      <c r="P211" s="3">
        <v>16053000</v>
      </c>
      <c r="Q211" s="3">
        <v>6.2314343314491598</v>
      </c>
      <c r="R211" s="3">
        <v>19.019753480871501</v>
      </c>
      <c r="S211" s="3">
        <v>0.75195970182868899</v>
      </c>
      <c r="T211" s="3">
        <v>8.8182462385260604E-2</v>
      </c>
      <c r="U211" s="3">
        <v>2006</v>
      </c>
      <c r="V211" s="3">
        <v>17</v>
      </c>
      <c r="W211" s="3">
        <v>0</v>
      </c>
      <c r="X211" s="3" t="s">
        <v>179</v>
      </c>
      <c r="Y211" s="4" t="s">
        <v>298</v>
      </c>
      <c r="Z211" s="3" t="s">
        <v>34</v>
      </c>
      <c r="AA211" s="5">
        <f t="shared" si="9"/>
        <v>6.2314343314491598</v>
      </c>
      <c r="AB211" s="5">
        <f t="shared" si="10"/>
        <v>0.75195970182868899</v>
      </c>
      <c r="AC211" s="5">
        <f t="shared" si="11"/>
        <v>8.8182462385260604E-2</v>
      </c>
    </row>
    <row r="212" spans="1:29" ht="15" customHeight="1" x14ac:dyDescent="0.3">
      <c r="A212" s="3">
        <v>249</v>
      </c>
      <c r="B212" s="3">
        <v>50</v>
      </c>
      <c r="C212" s="3" t="s">
        <v>295</v>
      </c>
      <c r="D212" s="4" t="s">
        <v>296</v>
      </c>
      <c r="E212" s="3" t="s">
        <v>297</v>
      </c>
      <c r="F212" s="3">
        <v>2024</v>
      </c>
      <c r="G212" s="3">
        <v>1</v>
      </c>
      <c r="H212" s="3">
        <v>0</v>
      </c>
      <c r="I212" s="3">
        <v>0</v>
      </c>
      <c r="J212" s="3">
        <v>0</v>
      </c>
      <c r="K212" s="3">
        <v>2500000000</v>
      </c>
      <c r="L212" s="3">
        <v>1152</v>
      </c>
      <c r="M212" s="3">
        <v>2880000000</v>
      </c>
      <c r="N212" s="3">
        <v>190906000</v>
      </c>
      <c r="O212" s="3">
        <v>243470000</v>
      </c>
      <c r="P212" s="3">
        <v>27425000</v>
      </c>
      <c r="Q212" s="3">
        <v>12.613077586560999</v>
      </c>
      <c r="R212" s="3">
        <v>19.310504289611298</v>
      </c>
      <c r="S212" s="3">
        <v>0.78410481784203401</v>
      </c>
      <c r="T212" s="3">
        <v>0.112642214646568</v>
      </c>
      <c r="U212" s="3">
        <v>2006</v>
      </c>
      <c r="V212" s="3">
        <v>18</v>
      </c>
      <c r="W212" s="3">
        <v>0</v>
      </c>
      <c r="X212" s="3" t="s">
        <v>179</v>
      </c>
      <c r="Y212" s="4" t="s">
        <v>298</v>
      </c>
      <c r="Z212" s="3" t="s">
        <v>34</v>
      </c>
      <c r="AA212" s="5">
        <f t="shared" si="9"/>
        <v>11.329690675506347</v>
      </c>
      <c r="AB212" s="5">
        <f t="shared" si="10"/>
        <v>0.78410481784203401</v>
      </c>
      <c r="AC212" s="5">
        <f t="shared" si="11"/>
        <v>0.112642214646568</v>
      </c>
    </row>
    <row r="213" spans="1:29" ht="15" customHeight="1" x14ac:dyDescent="0.3">
      <c r="A213" s="3">
        <v>250</v>
      </c>
      <c r="B213" s="3">
        <v>50</v>
      </c>
      <c r="C213" s="3" t="s">
        <v>295</v>
      </c>
      <c r="D213" s="4" t="s">
        <v>296</v>
      </c>
      <c r="E213" s="3" t="s">
        <v>297</v>
      </c>
      <c r="F213" s="3">
        <v>2025</v>
      </c>
      <c r="G213" s="3">
        <v>1</v>
      </c>
      <c r="H213" s="3">
        <v>0</v>
      </c>
      <c r="I213" s="3">
        <v>0</v>
      </c>
      <c r="J213" s="3">
        <v>0</v>
      </c>
      <c r="K213" s="3">
        <v>2500000000</v>
      </c>
      <c r="L213" s="3">
        <v>1140</v>
      </c>
      <c r="M213" s="3">
        <v>2850000000</v>
      </c>
      <c r="N213" s="3">
        <v>246377000</v>
      </c>
      <c r="O213" s="3">
        <v>305005000</v>
      </c>
      <c r="P213" s="3">
        <v>27251000</v>
      </c>
      <c r="Q213" s="3">
        <v>10.1518893132899</v>
      </c>
      <c r="R213" s="3">
        <v>19.535838727879899</v>
      </c>
      <c r="S213" s="3">
        <v>0.80778020032458497</v>
      </c>
      <c r="T213" s="3">
        <v>8.9346076293831303E-2</v>
      </c>
      <c r="U213" s="3">
        <v>2006</v>
      </c>
      <c r="V213" s="3">
        <v>19</v>
      </c>
      <c r="W213" s="3">
        <v>0</v>
      </c>
      <c r="X213" s="3" t="s">
        <v>179</v>
      </c>
      <c r="Y213" s="4" t="s">
        <v>298</v>
      </c>
      <c r="Z213" s="3" t="s">
        <v>34</v>
      </c>
      <c r="AA213" s="5">
        <f t="shared" si="9"/>
        <v>10.1518893132899</v>
      </c>
      <c r="AB213" s="5">
        <f t="shared" si="10"/>
        <v>0.80778020032458497</v>
      </c>
      <c r="AC213" s="5">
        <f t="shared" si="11"/>
        <v>8.9346076293831303E-2</v>
      </c>
    </row>
    <row r="214" spans="1:29" ht="15" customHeight="1" x14ac:dyDescent="0.3">
      <c r="A214" s="3">
        <v>256</v>
      </c>
      <c r="B214" s="3">
        <v>52</v>
      </c>
      <c r="C214" s="3" t="s">
        <v>299</v>
      </c>
      <c r="D214" s="4" t="s">
        <v>300</v>
      </c>
      <c r="E214" s="3" t="s">
        <v>31</v>
      </c>
      <c r="F214" s="3">
        <v>2021</v>
      </c>
      <c r="G214" s="3">
        <v>0</v>
      </c>
      <c r="H214" s="3">
        <v>0</v>
      </c>
      <c r="I214" s="3">
        <v>30</v>
      </c>
      <c r="J214" s="3">
        <v>0</v>
      </c>
      <c r="K214" s="3">
        <v>27981000000</v>
      </c>
      <c r="L214" s="3">
        <v>27.35</v>
      </c>
      <c r="M214" s="3">
        <v>765280350</v>
      </c>
      <c r="N214" s="3">
        <v>4552808000</v>
      </c>
      <c r="O214" s="3">
        <v>5436035000</v>
      </c>
      <c r="P214" s="3">
        <v>172107000</v>
      </c>
      <c r="Q214" s="3">
        <v>0.97830281629901195</v>
      </c>
      <c r="R214" s="3">
        <v>22.4163157717723</v>
      </c>
      <c r="S214" s="3">
        <v>0.83752367304478403</v>
      </c>
      <c r="T214" s="3">
        <v>3.1660392179226199E-2</v>
      </c>
      <c r="U214" s="3">
        <v>2020</v>
      </c>
      <c r="V214" s="3">
        <v>1</v>
      </c>
      <c r="W214" s="3">
        <v>1</v>
      </c>
      <c r="X214" s="3" t="s">
        <v>50</v>
      </c>
      <c r="Y214" s="4" t="s">
        <v>301</v>
      </c>
      <c r="Z214" s="3" t="s">
        <v>34</v>
      </c>
      <c r="AA214" s="5">
        <f t="shared" si="9"/>
        <v>0.97830281629901195</v>
      </c>
      <c r="AB214" s="5">
        <f t="shared" si="10"/>
        <v>0.83752367304478403</v>
      </c>
      <c r="AC214" s="5">
        <f t="shared" si="11"/>
        <v>3.1660392179226199E-2</v>
      </c>
    </row>
    <row r="215" spans="1:29" ht="15" customHeight="1" x14ac:dyDescent="0.3">
      <c r="A215" s="3">
        <v>257</v>
      </c>
      <c r="B215" s="3">
        <v>52</v>
      </c>
      <c r="C215" s="3" t="s">
        <v>299</v>
      </c>
      <c r="D215" s="4" t="s">
        <v>300</v>
      </c>
      <c r="E215" s="3" t="s">
        <v>31</v>
      </c>
      <c r="F215" s="3">
        <v>2022</v>
      </c>
      <c r="G215" s="3">
        <v>0</v>
      </c>
      <c r="H215" s="3">
        <v>0</v>
      </c>
      <c r="I215" s="3">
        <v>50</v>
      </c>
      <c r="J215" s="3">
        <v>13.3333333333333</v>
      </c>
      <c r="K215" s="3">
        <v>28022000000</v>
      </c>
      <c r="L215" s="3">
        <v>24.16</v>
      </c>
      <c r="M215" s="3">
        <v>677011520</v>
      </c>
      <c r="N215" s="3">
        <v>5515307000</v>
      </c>
      <c r="O215" s="3">
        <v>6446456000</v>
      </c>
      <c r="P215" s="3">
        <v>166737000</v>
      </c>
      <c r="Q215" s="3">
        <v>0.96057717915083896</v>
      </c>
      <c r="R215" s="3">
        <v>22.586796359382699</v>
      </c>
      <c r="S215" s="3">
        <v>0.85555644838031897</v>
      </c>
      <c r="T215" s="3">
        <v>2.5864909339333102E-2</v>
      </c>
      <c r="U215" s="3">
        <v>2020</v>
      </c>
      <c r="V215" s="3">
        <v>2</v>
      </c>
      <c r="W215" s="3">
        <v>1</v>
      </c>
      <c r="X215" s="3" t="s">
        <v>50</v>
      </c>
      <c r="Y215" s="4" t="s">
        <v>301</v>
      </c>
      <c r="Z215" s="3" t="s">
        <v>34</v>
      </c>
      <c r="AA215" s="5">
        <f t="shared" si="9"/>
        <v>0.96057717915083896</v>
      </c>
      <c r="AB215" s="5">
        <f t="shared" si="10"/>
        <v>0.85555644838031897</v>
      </c>
      <c r="AC215" s="5">
        <f t="shared" si="11"/>
        <v>2.5864909339333102E-2</v>
      </c>
    </row>
    <row r="216" spans="1:29" ht="15" customHeight="1" x14ac:dyDescent="0.3">
      <c r="A216" s="3">
        <v>258</v>
      </c>
      <c r="B216" s="3">
        <v>52</v>
      </c>
      <c r="C216" s="3" t="s">
        <v>299</v>
      </c>
      <c r="D216" s="4" t="s">
        <v>300</v>
      </c>
      <c r="E216" s="3" t="s">
        <v>31</v>
      </c>
      <c r="F216" s="3">
        <v>2023</v>
      </c>
      <c r="G216" s="3">
        <v>1</v>
      </c>
      <c r="H216" s="3">
        <v>1</v>
      </c>
      <c r="I216" s="3">
        <v>60</v>
      </c>
      <c r="J216" s="3">
        <v>53.3333333333333</v>
      </c>
      <c r="K216" s="3">
        <v>28022000000</v>
      </c>
      <c r="L216" s="3">
        <v>42.47</v>
      </c>
      <c r="M216" s="3">
        <v>1190094340</v>
      </c>
      <c r="N216" s="3">
        <v>8214127000</v>
      </c>
      <c r="O216" s="3">
        <v>9691255000</v>
      </c>
      <c r="P216" s="3">
        <v>534425000</v>
      </c>
      <c r="Q216" s="3">
        <v>0.97038219920949398</v>
      </c>
      <c r="R216" s="3">
        <v>22.9944897694266</v>
      </c>
      <c r="S216" s="3">
        <v>0.84758135040301796</v>
      </c>
      <c r="T216" s="3">
        <v>5.5145076669636701E-2</v>
      </c>
      <c r="U216" s="3">
        <v>2020</v>
      </c>
      <c r="V216" s="3">
        <v>3</v>
      </c>
      <c r="W216" s="3">
        <v>1</v>
      </c>
      <c r="X216" s="3" t="s">
        <v>50</v>
      </c>
      <c r="Y216" s="4" t="s">
        <v>301</v>
      </c>
      <c r="Z216" s="3" t="s">
        <v>34</v>
      </c>
      <c r="AA216" s="5">
        <f t="shared" si="9"/>
        <v>0.97038219920949398</v>
      </c>
      <c r="AB216" s="5">
        <f t="shared" si="10"/>
        <v>0.84758135040301796</v>
      </c>
      <c r="AC216" s="5">
        <f t="shared" si="11"/>
        <v>5.5145076669636701E-2</v>
      </c>
    </row>
    <row r="217" spans="1:29" ht="15" customHeight="1" x14ac:dyDescent="0.3">
      <c r="A217" s="3">
        <v>259</v>
      </c>
      <c r="B217" s="3">
        <v>52</v>
      </c>
      <c r="C217" s="3" t="s">
        <v>299</v>
      </c>
      <c r="D217" s="4" t="s">
        <v>300</v>
      </c>
      <c r="E217" s="3" t="s">
        <v>31</v>
      </c>
      <c r="F217" s="3">
        <v>2024</v>
      </c>
      <c r="G217" s="3">
        <v>1</v>
      </c>
      <c r="H217" s="3">
        <v>1</v>
      </c>
      <c r="I217" s="3">
        <v>46.666699999999999</v>
      </c>
      <c r="J217" s="3">
        <v>22.222200000000001</v>
      </c>
      <c r="K217" s="3">
        <v>29554000000</v>
      </c>
      <c r="L217" s="3">
        <v>56.85</v>
      </c>
      <c r="M217" s="3">
        <v>1680144900</v>
      </c>
      <c r="N217" s="3">
        <v>12083689000</v>
      </c>
      <c r="O217" s="3">
        <v>14795707000</v>
      </c>
      <c r="P217" s="3">
        <v>1006220000</v>
      </c>
      <c r="Q217" s="3">
        <v>0.93025861488065398</v>
      </c>
      <c r="R217" s="3">
        <v>23.417602908071199</v>
      </c>
      <c r="S217" s="3">
        <v>0.8167023718434</v>
      </c>
      <c r="T217" s="3">
        <v>6.8007564626685293E-2</v>
      </c>
      <c r="U217" s="3">
        <v>2020</v>
      </c>
      <c r="V217" s="3">
        <v>4</v>
      </c>
      <c r="W217" s="3">
        <v>1</v>
      </c>
      <c r="X217" s="3" t="s">
        <v>50</v>
      </c>
      <c r="Y217" s="4" t="s">
        <v>302</v>
      </c>
      <c r="Z217" s="3" t="s">
        <v>34</v>
      </c>
      <c r="AA217" s="5">
        <f t="shared" si="9"/>
        <v>0.93025861488065398</v>
      </c>
      <c r="AB217" s="5">
        <f t="shared" si="10"/>
        <v>0.8167023718434</v>
      </c>
      <c r="AC217" s="5">
        <f t="shared" si="11"/>
        <v>6.8007564626685293E-2</v>
      </c>
    </row>
    <row r="218" spans="1:29" ht="15" customHeight="1" x14ac:dyDescent="0.3">
      <c r="A218" s="3">
        <v>260</v>
      </c>
      <c r="B218" s="3">
        <v>52</v>
      </c>
      <c r="C218" s="3" t="s">
        <v>299</v>
      </c>
      <c r="D218" s="4" t="s">
        <v>300</v>
      </c>
      <c r="E218" s="3" t="s">
        <v>31</v>
      </c>
      <c r="F218" s="3">
        <v>2025</v>
      </c>
      <c r="G218" s="3">
        <v>1</v>
      </c>
      <c r="H218" s="3">
        <v>1</v>
      </c>
      <c r="I218" s="3">
        <v>46.666699999999999</v>
      </c>
      <c r="J218" s="3">
        <v>22.222200000000001</v>
      </c>
      <c r="K218" s="3">
        <v>34601000000</v>
      </c>
      <c r="L218" s="3">
        <v>95.37</v>
      </c>
      <c r="M218" s="3">
        <v>3299897370</v>
      </c>
      <c r="N218" s="3">
        <v>14349772000</v>
      </c>
      <c r="O218" s="3">
        <v>17761152000</v>
      </c>
      <c r="P218" s="3">
        <v>853548000</v>
      </c>
      <c r="Q218" s="3">
        <v>0.99372323202909396</v>
      </c>
      <c r="R218" s="3">
        <v>23.600279437271698</v>
      </c>
      <c r="S218" s="3">
        <v>0.80793025137108199</v>
      </c>
      <c r="T218" s="3">
        <v>4.80570179231617E-2</v>
      </c>
      <c r="U218" s="3">
        <v>2020</v>
      </c>
      <c r="V218" s="3">
        <v>5</v>
      </c>
      <c r="W218" s="3">
        <v>1</v>
      </c>
      <c r="X218" s="3" t="s">
        <v>50</v>
      </c>
      <c r="Y218" s="4" t="s">
        <v>302</v>
      </c>
      <c r="Z218" s="3" t="s">
        <v>34</v>
      </c>
      <c r="AA218" s="5">
        <f t="shared" si="9"/>
        <v>0.99372323202909396</v>
      </c>
      <c r="AB218" s="5">
        <f t="shared" si="10"/>
        <v>0.80793025137108199</v>
      </c>
      <c r="AC218" s="5">
        <f t="shared" si="11"/>
        <v>4.80570179231617E-2</v>
      </c>
    </row>
    <row r="219" spans="1:29" ht="15" customHeight="1" x14ac:dyDescent="0.3">
      <c r="A219" s="3">
        <v>261</v>
      </c>
      <c r="B219" s="3">
        <v>53</v>
      </c>
      <c r="C219" s="3" t="s">
        <v>303</v>
      </c>
      <c r="D219" s="4" t="s">
        <v>304</v>
      </c>
      <c r="E219" s="3" t="s">
        <v>31</v>
      </c>
      <c r="F219" s="3">
        <v>2021</v>
      </c>
      <c r="G219" s="3">
        <v>0</v>
      </c>
      <c r="H219" s="3">
        <v>0</v>
      </c>
      <c r="I219" s="3">
        <v>30</v>
      </c>
      <c r="J219" s="3">
        <v>0</v>
      </c>
      <c r="K219" s="3">
        <v>6140000000</v>
      </c>
      <c r="L219" s="3">
        <v>0.2</v>
      </c>
      <c r="M219" s="3">
        <v>1228000</v>
      </c>
      <c r="N219" s="3">
        <v>1348000</v>
      </c>
      <c r="O219" s="3">
        <v>3468000</v>
      </c>
      <c r="P219" s="3">
        <v>-23490</v>
      </c>
      <c r="Q219" s="3">
        <v>0.74279123414071502</v>
      </c>
      <c r="R219" s="3">
        <v>15.059088616882599</v>
      </c>
      <c r="S219" s="3">
        <v>0.38869665513264101</v>
      </c>
      <c r="T219" s="3">
        <v>-6.77335640138408E-3</v>
      </c>
      <c r="U219" s="3">
        <v>1958</v>
      </c>
      <c r="V219" s="3">
        <v>63</v>
      </c>
      <c r="W219" s="3">
        <v>0</v>
      </c>
      <c r="X219" s="3" t="s">
        <v>305</v>
      </c>
      <c r="Y219" s="4" t="s">
        <v>306</v>
      </c>
      <c r="Z219" s="3" t="s">
        <v>34</v>
      </c>
      <c r="AA219" s="5">
        <f t="shared" si="9"/>
        <v>0.74279123414071502</v>
      </c>
      <c r="AB219" s="5">
        <f t="shared" si="10"/>
        <v>0.38869665513264101</v>
      </c>
      <c r="AC219" s="5">
        <f t="shared" si="11"/>
        <v>-6.77335640138408E-3</v>
      </c>
    </row>
    <row r="220" spans="1:29" ht="15" customHeight="1" x14ac:dyDescent="0.3">
      <c r="A220" s="3">
        <v>262</v>
      </c>
      <c r="B220" s="3">
        <v>53</v>
      </c>
      <c r="C220" s="3" t="s">
        <v>303</v>
      </c>
      <c r="D220" s="4" t="s">
        <v>304</v>
      </c>
      <c r="E220" s="3" t="s">
        <v>31</v>
      </c>
      <c r="F220" s="3">
        <v>2022</v>
      </c>
      <c r="G220" s="3">
        <v>0</v>
      </c>
      <c r="H220" s="3">
        <v>0</v>
      </c>
      <c r="I220" s="3">
        <v>20</v>
      </c>
      <c r="J220" s="3">
        <v>0</v>
      </c>
      <c r="K220" s="3">
        <v>6140000000</v>
      </c>
      <c r="L220" s="3">
        <v>0.2</v>
      </c>
      <c r="M220" s="3">
        <v>1228000</v>
      </c>
      <c r="N220" s="3">
        <v>2066000</v>
      </c>
      <c r="O220" s="3">
        <v>4144000</v>
      </c>
      <c r="P220" s="3">
        <v>-83270</v>
      </c>
      <c r="Q220" s="3">
        <v>0.79488416988416999</v>
      </c>
      <c r="R220" s="3">
        <v>15.2371720629215</v>
      </c>
      <c r="S220" s="3">
        <v>0.49855212355212403</v>
      </c>
      <c r="T220" s="3">
        <v>-2.0094111969112E-2</v>
      </c>
      <c r="U220" s="3">
        <v>1958</v>
      </c>
      <c r="V220" s="3">
        <v>64</v>
      </c>
      <c r="W220" s="3">
        <v>0</v>
      </c>
      <c r="X220" s="3" t="s">
        <v>305</v>
      </c>
      <c r="Y220" s="4" t="s">
        <v>306</v>
      </c>
      <c r="Z220" s="3" t="s">
        <v>34</v>
      </c>
      <c r="AA220" s="5">
        <f t="shared" si="9"/>
        <v>0.79488416988416999</v>
      </c>
      <c r="AB220" s="5">
        <f t="shared" si="10"/>
        <v>0.49855212355212403</v>
      </c>
      <c r="AC220" s="5">
        <f t="shared" si="11"/>
        <v>-2.0094111969112E-2</v>
      </c>
    </row>
    <row r="221" spans="1:29" ht="15" customHeight="1" x14ac:dyDescent="0.3">
      <c r="A221" s="3">
        <v>263</v>
      </c>
      <c r="B221" s="3">
        <v>53</v>
      </c>
      <c r="C221" s="3" t="s">
        <v>303</v>
      </c>
      <c r="D221" s="4" t="s">
        <v>304</v>
      </c>
      <c r="E221" s="3" t="s">
        <v>31</v>
      </c>
      <c r="F221" s="3">
        <v>2023</v>
      </c>
      <c r="G221" s="3">
        <v>1</v>
      </c>
      <c r="H221" s="3">
        <v>0</v>
      </c>
      <c r="I221" s="3">
        <v>10</v>
      </c>
      <c r="J221" s="3">
        <v>0</v>
      </c>
      <c r="K221" s="3">
        <v>7943000000</v>
      </c>
      <c r="L221" s="3">
        <v>0.28999999999999998</v>
      </c>
      <c r="M221" s="3">
        <v>2303470</v>
      </c>
      <c r="N221" s="3">
        <v>1506000</v>
      </c>
      <c r="O221" s="3">
        <v>5003000</v>
      </c>
      <c r="P221" s="3">
        <v>477770</v>
      </c>
      <c r="Q221" s="3">
        <v>0.76143713771736998</v>
      </c>
      <c r="R221" s="3">
        <v>15.425548290470299</v>
      </c>
      <c r="S221" s="3">
        <v>0.30101938836698</v>
      </c>
      <c r="T221" s="3">
        <v>9.5496701978812701E-2</v>
      </c>
      <c r="U221" s="3">
        <v>1958</v>
      </c>
      <c r="V221" s="3">
        <v>65</v>
      </c>
      <c r="W221" s="3">
        <v>0</v>
      </c>
      <c r="X221" s="3" t="s">
        <v>305</v>
      </c>
      <c r="Y221" s="4" t="s">
        <v>306</v>
      </c>
      <c r="Z221" s="3" t="s">
        <v>34</v>
      </c>
      <c r="AA221" s="5">
        <f t="shared" si="9"/>
        <v>0.76143713771736998</v>
      </c>
      <c r="AB221" s="5">
        <f t="shared" si="10"/>
        <v>0.30101938836698</v>
      </c>
      <c r="AC221" s="5">
        <f t="shared" si="11"/>
        <v>9.5496701978812701E-2</v>
      </c>
    </row>
    <row r="222" spans="1:29" ht="15" customHeight="1" x14ac:dyDescent="0.3">
      <c r="A222" s="3">
        <v>264</v>
      </c>
      <c r="B222" s="3">
        <v>53</v>
      </c>
      <c r="C222" s="3" t="s">
        <v>303</v>
      </c>
      <c r="D222" s="4" t="s">
        <v>304</v>
      </c>
      <c r="E222" s="3" t="s">
        <v>31</v>
      </c>
      <c r="F222" s="3">
        <v>2024</v>
      </c>
      <c r="G222" s="3">
        <v>1</v>
      </c>
      <c r="H222" s="3">
        <v>0</v>
      </c>
      <c r="I222" s="3">
        <v>55</v>
      </c>
      <c r="J222" s="3">
        <v>40</v>
      </c>
      <c r="K222" s="3">
        <v>7943000000</v>
      </c>
      <c r="L222" s="3">
        <v>0.81</v>
      </c>
      <c r="M222" s="3">
        <v>6433830</v>
      </c>
      <c r="N222" s="3">
        <v>1732000</v>
      </c>
      <c r="O222" s="3">
        <v>6953000</v>
      </c>
      <c r="P222" s="3">
        <v>936550</v>
      </c>
      <c r="Q222" s="3">
        <v>1.17443261901338</v>
      </c>
      <c r="R222" s="3">
        <v>15.7546837790812</v>
      </c>
      <c r="S222" s="3">
        <v>0.24910110743563901</v>
      </c>
      <c r="T222" s="3">
        <v>0.134697252984323</v>
      </c>
      <c r="U222" s="3">
        <v>1958</v>
      </c>
      <c r="V222" s="3">
        <v>66</v>
      </c>
      <c r="W222" s="3">
        <v>0</v>
      </c>
      <c r="X222" s="3" t="s">
        <v>305</v>
      </c>
      <c r="Y222" s="4" t="s">
        <v>306</v>
      </c>
      <c r="Z222" s="3" t="s">
        <v>34</v>
      </c>
      <c r="AA222" s="5">
        <f t="shared" si="9"/>
        <v>1.17443261901338</v>
      </c>
      <c r="AB222" s="5">
        <f t="shared" si="10"/>
        <v>0.24910110743563901</v>
      </c>
      <c r="AC222" s="5">
        <f t="shared" si="11"/>
        <v>0.134697252984323</v>
      </c>
    </row>
    <row r="223" spans="1:29" ht="15" customHeight="1" x14ac:dyDescent="0.3">
      <c r="A223" s="3">
        <v>265</v>
      </c>
      <c r="B223" s="3">
        <v>53</v>
      </c>
      <c r="C223" s="3" t="s">
        <v>303</v>
      </c>
      <c r="D223" s="4" t="s">
        <v>304</v>
      </c>
      <c r="E223" s="3" t="s">
        <v>31</v>
      </c>
      <c r="F223" s="3">
        <v>2025</v>
      </c>
      <c r="G223" s="3">
        <v>1</v>
      </c>
      <c r="H223" s="3">
        <v>0</v>
      </c>
      <c r="I223" s="3">
        <v>28.75</v>
      </c>
      <c r="J223" s="3">
        <v>10</v>
      </c>
      <c r="K223" s="3">
        <v>7943000000</v>
      </c>
      <c r="L223" s="3">
        <v>1.33</v>
      </c>
      <c r="M223" s="3">
        <v>10564190</v>
      </c>
      <c r="N223" s="3">
        <v>1573000</v>
      </c>
      <c r="O223" s="3">
        <v>7415000</v>
      </c>
      <c r="P223" s="3">
        <v>353300</v>
      </c>
      <c r="Q223" s="3">
        <v>1.6368428860418101</v>
      </c>
      <c r="R223" s="3">
        <v>15.8190155335542</v>
      </c>
      <c r="S223" s="3">
        <v>0.212137559002023</v>
      </c>
      <c r="T223" s="3">
        <v>4.7646662171274397E-2</v>
      </c>
      <c r="U223" s="3">
        <v>1958</v>
      </c>
      <c r="V223" s="3">
        <v>67</v>
      </c>
      <c r="W223" s="3">
        <v>0</v>
      </c>
      <c r="X223" s="3" t="s">
        <v>305</v>
      </c>
      <c r="Y223" s="4" t="s">
        <v>307</v>
      </c>
      <c r="Z223" s="3" t="s">
        <v>34</v>
      </c>
      <c r="AA223" s="5">
        <f t="shared" si="9"/>
        <v>1.6368428860418101</v>
      </c>
      <c r="AB223" s="5">
        <f t="shared" si="10"/>
        <v>0.212137559002023</v>
      </c>
      <c r="AC223" s="5">
        <f t="shared" si="11"/>
        <v>4.7646662171274397E-2</v>
      </c>
    </row>
    <row r="224" spans="1:29" ht="15" customHeight="1" x14ac:dyDescent="0.3">
      <c r="A224" s="3">
        <v>266</v>
      </c>
      <c r="B224" s="3">
        <v>54</v>
      </c>
      <c r="C224" s="3" t="s">
        <v>308</v>
      </c>
      <c r="D224" s="4" t="s">
        <v>309</v>
      </c>
      <c r="E224" s="3" t="s">
        <v>143</v>
      </c>
      <c r="F224" s="3">
        <v>2021</v>
      </c>
      <c r="G224" s="3">
        <v>0</v>
      </c>
      <c r="H224" s="3">
        <v>0</v>
      </c>
      <c r="I224" s="3">
        <v>50</v>
      </c>
      <c r="J224" s="3">
        <v>0</v>
      </c>
      <c r="K224" s="3">
        <v>2190382819</v>
      </c>
      <c r="L224" s="3">
        <v>39</v>
      </c>
      <c r="M224" s="3">
        <v>85424929.941</v>
      </c>
      <c r="N224" s="3">
        <v>95119950</v>
      </c>
      <c r="O224" s="3">
        <v>169406525</v>
      </c>
      <c r="P224" s="3">
        <v>1255338</v>
      </c>
      <c r="Q224" s="3">
        <v>1.0657492675739599</v>
      </c>
      <c r="R224" s="3">
        <v>18.947811857740302</v>
      </c>
      <c r="S224" s="3">
        <v>0.56148929328430497</v>
      </c>
      <c r="T224" s="3">
        <v>7.4102104390607196E-3</v>
      </c>
      <c r="U224" s="3">
        <v>1950</v>
      </c>
      <c r="V224" s="3">
        <v>71</v>
      </c>
      <c r="W224" s="3">
        <v>1</v>
      </c>
      <c r="X224" s="3" t="s">
        <v>32</v>
      </c>
      <c r="Y224" s="4" t="s">
        <v>310</v>
      </c>
      <c r="Z224" s="3" t="s">
        <v>34</v>
      </c>
      <c r="AA224" s="5">
        <f t="shared" si="9"/>
        <v>1.0657492675739599</v>
      </c>
      <c r="AB224" s="5">
        <f t="shared" si="10"/>
        <v>0.56148929328430497</v>
      </c>
      <c r="AC224" s="5">
        <f t="shared" si="11"/>
        <v>7.4102104390607196E-3</v>
      </c>
    </row>
    <row r="225" spans="1:29" ht="15" customHeight="1" x14ac:dyDescent="0.3">
      <c r="A225" s="3">
        <v>267</v>
      </c>
      <c r="B225" s="3">
        <v>54</v>
      </c>
      <c r="C225" s="3" t="s">
        <v>308</v>
      </c>
      <c r="D225" s="4" t="s">
        <v>309</v>
      </c>
      <c r="E225" s="3" t="s">
        <v>143</v>
      </c>
      <c r="F225" s="3">
        <v>2022</v>
      </c>
      <c r="G225" s="3">
        <v>0</v>
      </c>
      <c r="H225" s="3">
        <v>0</v>
      </c>
      <c r="I225" s="3">
        <v>5</v>
      </c>
      <c r="J225" s="3">
        <v>0</v>
      </c>
      <c r="K225" s="3">
        <v>2190382819</v>
      </c>
      <c r="L225" s="3">
        <v>69.3</v>
      </c>
      <c r="M225" s="3">
        <v>151793529.3567</v>
      </c>
      <c r="N225" s="3">
        <v>125681000</v>
      </c>
      <c r="O225" s="3">
        <v>215660000</v>
      </c>
      <c r="P225" s="3">
        <v>15651000</v>
      </c>
      <c r="Q225" s="3">
        <v>1.2866295527993099</v>
      </c>
      <c r="R225" s="3">
        <v>19.1892136514182</v>
      </c>
      <c r="S225" s="3">
        <v>0.58277381062783995</v>
      </c>
      <c r="T225" s="3">
        <v>7.2572567931002502E-2</v>
      </c>
      <c r="U225" s="3">
        <v>1950</v>
      </c>
      <c r="V225" s="3">
        <v>72</v>
      </c>
      <c r="W225" s="3">
        <v>1</v>
      </c>
      <c r="X225" s="3" t="s">
        <v>32</v>
      </c>
      <c r="Y225" s="4" t="s">
        <v>311</v>
      </c>
      <c r="Z225" s="3" t="s">
        <v>34</v>
      </c>
      <c r="AA225" s="5">
        <f t="shared" si="9"/>
        <v>1.2866295527993099</v>
      </c>
      <c r="AB225" s="5">
        <f t="shared" si="10"/>
        <v>0.58277381062783995</v>
      </c>
      <c r="AC225" s="5">
        <f t="shared" si="11"/>
        <v>7.2572567931002502E-2</v>
      </c>
    </row>
    <row r="226" spans="1:29" ht="15" customHeight="1" x14ac:dyDescent="0.3">
      <c r="A226" s="3">
        <v>268</v>
      </c>
      <c r="B226" s="3">
        <v>54</v>
      </c>
      <c r="C226" s="3" t="s">
        <v>308</v>
      </c>
      <c r="D226" s="4" t="s">
        <v>309</v>
      </c>
      <c r="E226" s="3" t="s">
        <v>143</v>
      </c>
      <c r="F226" s="3">
        <v>2023</v>
      </c>
      <c r="G226" s="3">
        <v>1</v>
      </c>
      <c r="H226" s="3">
        <v>0</v>
      </c>
      <c r="I226" s="3">
        <v>10</v>
      </c>
      <c r="J226" s="3">
        <v>6.6666666666666696</v>
      </c>
      <c r="K226" s="3">
        <v>2190382819</v>
      </c>
      <c r="L226" s="3">
        <v>66</v>
      </c>
      <c r="M226" s="3">
        <v>144565266.05399999</v>
      </c>
      <c r="N226" s="3">
        <v>185324000</v>
      </c>
      <c r="O226" s="3">
        <v>241748000</v>
      </c>
      <c r="P226" s="3">
        <v>-18168000</v>
      </c>
      <c r="Q226" s="3">
        <v>1.36459977354104</v>
      </c>
      <c r="R226" s="3">
        <v>19.303406419254198</v>
      </c>
      <c r="S226" s="3">
        <v>0.76659993050614705</v>
      </c>
      <c r="T226" s="3">
        <v>-7.5152638284494602E-2</v>
      </c>
      <c r="U226" s="3">
        <v>1950</v>
      </c>
      <c r="V226" s="3">
        <v>73</v>
      </c>
      <c r="W226" s="3">
        <v>1</v>
      </c>
      <c r="X226" s="3" t="s">
        <v>32</v>
      </c>
      <c r="Y226" s="4" t="s">
        <v>312</v>
      </c>
      <c r="Z226" s="3" t="s">
        <v>34</v>
      </c>
      <c r="AA226" s="5">
        <f t="shared" si="9"/>
        <v>1.36459977354104</v>
      </c>
      <c r="AB226" s="5">
        <f t="shared" si="10"/>
        <v>0.76659993050614705</v>
      </c>
      <c r="AC226" s="5">
        <f t="shared" si="11"/>
        <v>-7.5152638284494602E-2</v>
      </c>
    </row>
    <row r="227" spans="1:29" ht="15" customHeight="1" x14ac:dyDescent="0.3">
      <c r="A227" s="3">
        <v>269</v>
      </c>
      <c r="B227" s="3">
        <v>54</v>
      </c>
      <c r="C227" s="3" t="s">
        <v>308</v>
      </c>
      <c r="D227" s="4" t="s">
        <v>309</v>
      </c>
      <c r="E227" s="3" t="s">
        <v>143</v>
      </c>
      <c r="F227" s="3">
        <v>2024</v>
      </c>
      <c r="G227" s="3">
        <v>1</v>
      </c>
      <c r="H227" s="3">
        <v>0</v>
      </c>
      <c r="I227" s="3">
        <v>5</v>
      </c>
      <c r="J227" s="3">
        <v>0</v>
      </c>
      <c r="K227" s="3">
        <v>2190382819</v>
      </c>
      <c r="L227" s="3">
        <v>70.25</v>
      </c>
      <c r="M227" s="3">
        <v>153874393.03475001</v>
      </c>
      <c r="N227" s="3">
        <v>223969000</v>
      </c>
      <c r="O227" s="3">
        <v>226130000</v>
      </c>
      <c r="P227" s="3">
        <v>-54767000</v>
      </c>
      <c r="Q227" s="3">
        <v>1.67091227627803</v>
      </c>
      <c r="R227" s="3">
        <v>19.236620613099198</v>
      </c>
      <c r="S227" s="3">
        <v>0.99044355017025598</v>
      </c>
      <c r="T227" s="3">
        <v>-0.242192544111794</v>
      </c>
      <c r="U227" s="3">
        <v>1950</v>
      </c>
      <c r="V227" s="3">
        <v>74</v>
      </c>
      <c r="W227" s="3">
        <v>1</v>
      </c>
      <c r="X227" s="3" t="s">
        <v>32</v>
      </c>
      <c r="Y227" s="4" t="s">
        <v>313</v>
      </c>
      <c r="Z227" s="3" t="s">
        <v>34</v>
      </c>
      <c r="AA227" s="5">
        <f t="shared" si="9"/>
        <v>1.67091227627803</v>
      </c>
      <c r="AB227" s="5">
        <f t="shared" si="10"/>
        <v>0.99044355017025598</v>
      </c>
      <c r="AC227" s="5">
        <f t="shared" si="11"/>
        <v>-0.242192544111794</v>
      </c>
    </row>
    <row r="228" spans="1:29" ht="15" customHeight="1" x14ac:dyDescent="0.3">
      <c r="A228" s="3">
        <v>270</v>
      </c>
      <c r="B228" s="3">
        <v>54</v>
      </c>
      <c r="C228" s="3" t="s">
        <v>308</v>
      </c>
      <c r="D228" s="4" t="s">
        <v>309</v>
      </c>
      <c r="E228" s="3" t="s">
        <v>143</v>
      </c>
      <c r="F228" s="3">
        <v>2025</v>
      </c>
      <c r="G228" s="3">
        <v>1</v>
      </c>
      <c r="H228" s="3">
        <v>1</v>
      </c>
      <c r="I228" s="3">
        <v>5</v>
      </c>
      <c r="J228" s="3">
        <v>6.6666666666666696</v>
      </c>
      <c r="K228" s="3">
        <v>2190382819</v>
      </c>
      <c r="L228" s="3">
        <v>349.87</v>
      </c>
      <c r="M228" s="3">
        <v>766349236.88353002</v>
      </c>
      <c r="N228" s="3">
        <v>255145000</v>
      </c>
      <c r="O228" s="3">
        <v>273510000</v>
      </c>
      <c r="P228" s="3">
        <v>6885000</v>
      </c>
      <c r="Q228" s="3">
        <v>3.7347601070656702</v>
      </c>
      <c r="R228" s="3">
        <v>19.4268487422292</v>
      </c>
      <c r="S228" s="3">
        <v>0.93285437461153198</v>
      </c>
      <c r="T228" s="3">
        <v>2.5172754195459002E-2</v>
      </c>
      <c r="U228" s="3">
        <v>1950</v>
      </c>
      <c r="V228" s="3">
        <v>75</v>
      </c>
      <c r="W228" s="3">
        <v>1</v>
      </c>
      <c r="X228" s="3" t="s">
        <v>32</v>
      </c>
      <c r="Y228" s="4" t="s">
        <v>314</v>
      </c>
      <c r="Z228" s="3" t="s">
        <v>34</v>
      </c>
      <c r="AA228" s="5">
        <f t="shared" si="9"/>
        <v>3.7347601070656702</v>
      </c>
      <c r="AB228" s="5">
        <f t="shared" si="10"/>
        <v>0.93285437461153198</v>
      </c>
      <c r="AC228" s="5">
        <f t="shared" si="11"/>
        <v>2.5172754195459002E-2</v>
      </c>
    </row>
    <row r="229" spans="1:29" ht="15" customHeight="1" x14ac:dyDescent="0.3">
      <c r="A229" s="3">
        <v>271</v>
      </c>
      <c r="B229" s="3">
        <v>55</v>
      </c>
      <c r="C229" s="3" t="s">
        <v>315</v>
      </c>
      <c r="D229" s="4" t="s">
        <v>316</v>
      </c>
      <c r="E229" s="3" t="s">
        <v>105</v>
      </c>
      <c r="F229" s="3">
        <v>2021</v>
      </c>
      <c r="G229" s="3">
        <v>0</v>
      </c>
      <c r="H229" s="3">
        <v>0</v>
      </c>
      <c r="I229" s="3">
        <v>20</v>
      </c>
      <c r="J229" s="3">
        <v>26.6666666666667</v>
      </c>
      <c r="K229" s="3">
        <v>16108000000</v>
      </c>
      <c r="L229" s="3">
        <v>23.95</v>
      </c>
      <c r="M229" s="3">
        <v>385786600</v>
      </c>
      <c r="N229" s="3">
        <v>148278000</v>
      </c>
      <c r="O229" s="3">
        <v>526838000</v>
      </c>
      <c r="P229" s="3">
        <v>51004000</v>
      </c>
      <c r="Q229" s="3">
        <v>1.0137169300619899</v>
      </c>
      <c r="R229" s="3">
        <v>20.082403658868898</v>
      </c>
      <c r="S229" s="3">
        <v>0.281448946355426</v>
      </c>
      <c r="T229" s="3">
        <v>9.6811543586453497E-2</v>
      </c>
      <c r="U229" s="3">
        <v>1959</v>
      </c>
      <c r="V229" s="3">
        <v>62</v>
      </c>
      <c r="W229" s="3">
        <v>1</v>
      </c>
      <c r="X229" s="3" t="s">
        <v>50</v>
      </c>
      <c r="Y229" s="4" t="s">
        <v>317</v>
      </c>
      <c r="Z229" s="3" t="s">
        <v>34</v>
      </c>
      <c r="AA229" s="5">
        <f t="shared" si="9"/>
        <v>1.0137169300619899</v>
      </c>
      <c r="AB229" s="5">
        <f t="shared" si="10"/>
        <v>0.281448946355426</v>
      </c>
      <c r="AC229" s="5">
        <f t="shared" si="11"/>
        <v>9.6811543586453497E-2</v>
      </c>
    </row>
    <row r="230" spans="1:29" ht="15" customHeight="1" x14ac:dyDescent="0.3">
      <c r="A230" s="3">
        <v>272</v>
      </c>
      <c r="B230" s="3">
        <v>55</v>
      </c>
      <c r="C230" s="3" t="s">
        <v>315</v>
      </c>
      <c r="D230" s="4" t="s">
        <v>316</v>
      </c>
      <c r="E230" s="3" t="s">
        <v>105</v>
      </c>
      <c r="F230" s="3">
        <v>2022</v>
      </c>
      <c r="G230" s="3">
        <v>0</v>
      </c>
      <c r="H230" s="3">
        <v>0</v>
      </c>
      <c r="I230" s="3">
        <v>55</v>
      </c>
      <c r="J230" s="3">
        <v>26.6666666666667</v>
      </c>
      <c r="K230" s="3">
        <v>16108000000</v>
      </c>
      <c r="L230" s="3">
        <v>24</v>
      </c>
      <c r="M230" s="3">
        <v>386592000</v>
      </c>
      <c r="N230" s="3">
        <v>184609000</v>
      </c>
      <c r="O230" s="3">
        <v>600711000</v>
      </c>
      <c r="P230" s="3">
        <v>53647000</v>
      </c>
      <c r="Q230" s="3">
        <v>0.95087487993394504</v>
      </c>
      <c r="R230" s="3">
        <v>20.2136245116221</v>
      </c>
      <c r="S230" s="3">
        <v>0.30731749543457698</v>
      </c>
      <c r="T230" s="3">
        <v>8.9305839247158805E-2</v>
      </c>
      <c r="U230" s="3">
        <v>1959</v>
      </c>
      <c r="V230" s="3">
        <v>63</v>
      </c>
      <c r="W230" s="3">
        <v>1</v>
      </c>
      <c r="X230" s="3" t="s">
        <v>50</v>
      </c>
      <c r="Y230" s="4" t="s">
        <v>317</v>
      </c>
      <c r="Z230" s="3" t="s">
        <v>34</v>
      </c>
      <c r="AA230" s="5">
        <f t="shared" si="9"/>
        <v>0.95087487993394504</v>
      </c>
      <c r="AB230" s="5">
        <f t="shared" si="10"/>
        <v>0.30731749543457698</v>
      </c>
      <c r="AC230" s="5">
        <f t="shared" si="11"/>
        <v>8.9305839247158805E-2</v>
      </c>
    </row>
    <row r="231" spans="1:29" ht="15" customHeight="1" x14ac:dyDescent="0.3">
      <c r="A231" s="3">
        <v>273</v>
      </c>
      <c r="B231" s="3">
        <v>55</v>
      </c>
      <c r="C231" s="3" t="s">
        <v>315</v>
      </c>
      <c r="D231" s="4" t="s">
        <v>316</v>
      </c>
      <c r="E231" s="3" t="s">
        <v>105</v>
      </c>
      <c r="F231" s="3">
        <v>2023</v>
      </c>
      <c r="G231" s="3">
        <v>1</v>
      </c>
      <c r="H231" s="3">
        <v>0</v>
      </c>
      <c r="I231" s="3">
        <v>65</v>
      </c>
      <c r="J231" s="3">
        <v>53.3333333333333</v>
      </c>
      <c r="K231" s="3">
        <v>16108000000</v>
      </c>
      <c r="L231" s="3">
        <v>31.5</v>
      </c>
      <c r="M231" s="3">
        <v>507402000</v>
      </c>
      <c r="N231" s="3">
        <v>246320000</v>
      </c>
      <c r="O231" s="3">
        <v>681372000</v>
      </c>
      <c r="P231" s="3">
        <v>51141000</v>
      </c>
      <c r="Q231" s="3">
        <v>1.10618281937033</v>
      </c>
      <c r="R231" s="3">
        <v>20.339618970477201</v>
      </c>
      <c r="S231" s="3">
        <v>0.36150590279612299</v>
      </c>
      <c r="T231" s="3">
        <v>7.5055916591817706E-2</v>
      </c>
      <c r="U231" s="3">
        <v>1959</v>
      </c>
      <c r="V231" s="3">
        <v>64</v>
      </c>
      <c r="W231" s="3">
        <v>1</v>
      </c>
      <c r="X231" s="3" t="s">
        <v>50</v>
      </c>
      <c r="Y231" s="4" t="s">
        <v>317</v>
      </c>
      <c r="Z231" s="3" t="s">
        <v>34</v>
      </c>
      <c r="AA231" s="5">
        <f t="shared" si="9"/>
        <v>1.10618281937033</v>
      </c>
      <c r="AB231" s="5">
        <f t="shared" si="10"/>
        <v>0.36150590279612299</v>
      </c>
      <c r="AC231" s="5">
        <f t="shared" si="11"/>
        <v>7.5055916591817706E-2</v>
      </c>
    </row>
    <row r="232" spans="1:29" ht="15" customHeight="1" x14ac:dyDescent="0.3">
      <c r="A232" s="3">
        <v>274</v>
      </c>
      <c r="B232" s="3">
        <v>55</v>
      </c>
      <c r="C232" s="3" t="s">
        <v>315</v>
      </c>
      <c r="D232" s="4" t="s">
        <v>316</v>
      </c>
      <c r="E232" s="3" t="s">
        <v>105</v>
      </c>
      <c r="F232" s="3">
        <v>2024</v>
      </c>
      <c r="G232" s="3">
        <v>1</v>
      </c>
      <c r="H232" s="3">
        <v>0</v>
      </c>
      <c r="I232" s="3">
        <v>46.666699999999999</v>
      </c>
      <c r="J232" s="3">
        <v>35.555599999999998</v>
      </c>
      <c r="K232" s="3">
        <v>16108000000</v>
      </c>
      <c r="L232" s="3">
        <v>70.150000000000006</v>
      </c>
      <c r="M232" s="3">
        <v>1129976200</v>
      </c>
      <c r="N232" s="3">
        <v>485869000</v>
      </c>
      <c r="O232" s="3">
        <v>990510000</v>
      </c>
      <c r="P232" s="3">
        <v>100145000</v>
      </c>
      <c r="Q232" s="3">
        <v>1.6313264883746801</v>
      </c>
      <c r="R232" s="3">
        <v>20.7137305199631</v>
      </c>
      <c r="S232" s="3">
        <v>0.49052407345710802</v>
      </c>
      <c r="T232" s="3">
        <v>0.101104481529717</v>
      </c>
      <c r="U232" s="3">
        <v>1959</v>
      </c>
      <c r="V232" s="3">
        <v>65</v>
      </c>
      <c r="W232" s="3">
        <v>1</v>
      </c>
      <c r="X232" s="3" t="s">
        <v>50</v>
      </c>
      <c r="Y232" s="4" t="s">
        <v>318</v>
      </c>
      <c r="Z232" s="3" t="s">
        <v>34</v>
      </c>
      <c r="AA232" s="5">
        <f t="shared" si="9"/>
        <v>1.6313264883746801</v>
      </c>
      <c r="AB232" s="5">
        <f t="shared" si="10"/>
        <v>0.49052407345710802</v>
      </c>
      <c r="AC232" s="5">
        <f t="shared" si="11"/>
        <v>0.101104481529717</v>
      </c>
    </row>
    <row r="233" spans="1:29" ht="15" customHeight="1" x14ac:dyDescent="0.3">
      <c r="A233" s="3">
        <v>275</v>
      </c>
      <c r="B233" s="3">
        <v>55</v>
      </c>
      <c r="C233" s="3" t="s">
        <v>315</v>
      </c>
      <c r="D233" s="4" t="s">
        <v>316</v>
      </c>
      <c r="E233" s="3" t="s">
        <v>105</v>
      </c>
      <c r="F233" s="3">
        <v>2025</v>
      </c>
      <c r="G233" s="3">
        <v>1</v>
      </c>
      <c r="H233" s="3">
        <v>0</v>
      </c>
      <c r="I233" s="3">
        <v>46.666699999999999</v>
      </c>
      <c r="J233" s="3">
        <v>35.555599999999998</v>
      </c>
      <c r="K233" s="3">
        <v>16108000000</v>
      </c>
      <c r="L233" s="3">
        <v>134.71</v>
      </c>
      <c r="M233" s="3">
        <v>2169908680</v>
      </c>
      <c r="N233" s="3">
        <v>514029000</v>
      </c>
      <c r="O233" s="3">
        <v>1208024000</v>
      </c>
      <c r="P233" s="3">
        <v>273120000</v>
      </c>
      <c r="Q233" s="3">
        <v>2.2217585743329602</v>
      </c>
      <c r="R233" s="3">
        <v>20.912251803811301</v>
      </c>
      <c r="S233" s="3">
        <v>0.42551224147864602</v>
      </c>
      <c r="T233" s="3">
        <v>0.22608822341278001</v>
      </c>
      <c r="U233" s="3">
        <v>1959</v>
      </c>
      <c r="V233" s="3">
        <v>66</v>
      </c>
      <c r="W233" s="3">
        <v>1</v>
      </c>
      <c r="X233" s="3" t="s">
        <v>50</v>
      </c>
      <c r="Y233" s="4" t="s">
        <v>318</v>
      </c>
      <c r="Z233" s="3" t="s">
        <v>34</v>
      </c>
      <c r="AA233" s="5">
        <f t="shared" si="9"/>
        <v>2.2217585743329602</v>
      </c>
      <c r="AB233" s="5">
        <f t="shared" si="10"/>
        <v>0.42551224147864602</v>
      </c>
      <c r="AC233" s="5">
        <f t="shared" si="11"/>
        <v>0.22608822341278001</v>
      </c>
    </row>
    <row r="234" spans="1:29" ht="15" customHeight="1" x14ac:dyDescent="0.3">
      <c r="A234" s="3">
        <v>279</v>
      </c>
      <c r="B234" s="3">
        <v>56</v>
      </c>
      <c r="C234" s="3" t="s">
        <v>319</v>
      </c>
      <c r="D234" s="4" t="s">
        <v>320</v>
      </c>
      <c r="E234" s="3" t="s">
        <v>321</v>
      </c>
      <c r="F234" s="3">
        <v>2024</v>
      </c>
      <c r="G234" s="3">
        <v>1</v>
      </c>
      <c r="H234" s="3">
        <v>0</v>
      </c>
      <c r="I234" s="3">
        <v>0</v>
      </c>
      <c r="J234" s="3">
        <v>0</v>
      </c>
      <c r="K234" s="3">
        <v>3122000000</v>
      </c>
      <c r="L234" s="3">
        <v>4.78</v>
      </c>
      <c r="M234" s="3">
        <v>14923160</v>
      </c>
      <c r="N234" s="3">
        <v>5338909</v>
      </c>
      <c r="O234" s="3">
        <v>21994814</v>
      </c>
      <c r="P234" s="3">
        <v>679625</v>
      </c>
      <c r="Q234" s="3">
        <v>0.92122029311091302</v>
      </c>
      <c r="R234" s="3">
        <v>16.906317256261801</v>
      </c>
      <c r="S234" s="3">
        <v>0.24273490105440301</v>
      </c>
      <c r="T234" s="3">
        <v>3.0899329269163198E-2</v>
      </c>
      <c r="U234" s="3">
        <v>2012</v>
      </c>
      <c r="V234" s="3">
        <v>12</v>
      </c>
      <c r="W234" s="3">
        <v>0</v>
      </c>
      <c r="X234" s="3" t="s">
        <v>322</v>
      </c>
      <c r="Y234" s="4" t="s">
        <v>323</v>
      </c>
      <c r="Z234" s="3" t="s">
        <v>34</v>
      </c>
      <c r="AA234" s="5">
        <f t="shared" si="9"/>
        <v>0.92122029311091302</v>
      </c>
      <c r="AB234" s="5">
        <f t="shared" si="10"/>
        <v>0.24273490105440301</v>
      </c>
      <c r="AC234" s="5">
        <f t="shared" si="11"/>
        <v>3.0899329269163198E-2</v>
      </c>
    </row>
    <row r="235" spans="1:29" ht="15" customHeight="1" x14ac:dyDescent="0.3">
      <c r="A235" s="3">
        <v>280</v>
      </c>
      <c r="B235" s="3">
        <v>56</v>
      </c>
      <c r="C235" s="3" t="s">
        <v>319</v>
      </c>
      <c r="D235" s="4" t="s">
        <v>320</v>
      </c>
      <c r="E235" s="3" t="s">
        <v>321</v>
      </c>
      <c r="F235" s="3">
        <v>2025</v>
      </c>
      <c r="G235" s="3">
        <v>1</v>
      </c>
      <c r="H235" s="3">
        <v>0</v>
      </c>
      <c r="I235" s="3">
        <v>0</v>
      </c>
      <c r="J235" s="3">
        <v>0</v>
      </c>
      <c r="K235" s="3">
        <v>3122000000</v>
      </c>
      <c r="L235" s="3">
        <v>4</v>
      </c>
      <c r="M235" s="3">
        <v>12488000</v>
      </c>
      <c r="N235" s="3">
        <v>4680000</v>
      </c>
      <c r="O235" s="3">
        <v>21830000</v>
      </c>
      <c r="P235" s="3">
        <v>642461</v>
      </c>
      <c r="Q235" s="3">
        <v>0.78644067796610195</v>
      </c>
      <c r="R235" s="3">
        <v>16.8987957285261</v>
      </c>
      <c r="S235" s="3">
        <v>0.21438387540082501</v>
      </c>
      <c r="T235" s="3">
        <v>2.94301878149336E-2</v>
      </c>
      <c r="U235" s="3">
        <v>2012</v>
      </c>
      <c r="V235" s="3">
        <v>13</v>
      </c>
      <c r="W235" s="3">
        <v>0</v>
      </c>
      <c r="X235" s="3" t="s">
        <v>322</v>
      </c>
      <c r="Y235" s="4" t="s">
        <v>324</v>
      </c>
      <c r="Z235" s="3" t="s">
        <v>34</v>
      </c>
      <c r="AA235" s="5">
        <f t="shared" si="9"/>
        <v>0.78644067796610195</v>
      </c>
      <c r="AB235" s="5">
        <f t="shared" si="10"/>
        <v>0.21438387540082501</v>
      </c>
      <c r="AC235" s="5">
        <f t="shared" si="11"/>
        <v>2.94301878149336E-2</v>
      </c>
    </row>
    <row r="236" spans="1:29" ht="15" customHeight="1" x14ac:dyDescent="0.3">
      <c r="A236" s="3">
        <v>281</v>
      </c>
      <c r="B236" s="3">
        <v>57</v>
      </c>
      <c r="C236" s="3" t="s">
        <v>325</v>
      </c>
      <c r="D236" s="4" t="s">
        <v>326</v>
      </c>
      <c r="E236" s="3" t="s">
        <v>143</v>
      </c>
      <c r="F236" s="3">
        <v>2021</v>
      </c>
      <c r="G236" s="3">
        <v>0</v>
      </c>
      <c r="H236" s="3">
        <v>0</v>
      </c>
      <c r="I236" s="3">
        <v>0</v>
      </c>
      <c r="J236" s="3">
        <v>0</v>
      </c>
      <c r="K236" s="3">
        <v>7930198000</v>
      </c>
      <c r="L236" s="3">
        <v>3.4</v>
      </c>
      <c r="M236" s="3">
        <v>26962673.199999999</v>
      </c>
      <c r="N236" s="3">
        <v>89425978</v>
      </c>
      <c r="O236" s="3">
        <v>147394656</v>
      </c>
      <c r="P236" s="3">
        <v>1125864</v>
      </c>
      <c r="Q236" s="3">
        <v>0.78963955925240603</v>
      </c>
      <c r="R236" s="3">
        <v>18.808624281974101</v>
      </c>
      <c r="S236" s="3">
        <v>0.60671112798010796</v>
      </c>
      <c r="T236" s="3">
        <v>7.6384316131515697E-3</v>
      </c>
      <c r="U236" s="3">
        <v>1983</v>
      </c>
      <c r="V236" s="3">
        <v>38</v>
      </c>
      <c r="W236" s="3">
        <v>0</v>
      </c>
      <c r="X236" s="3" t="s">
        <v>327</v>
      </c>
      <c r="Y236" s="4" t="s">
        <v>328</v>
      </c>
      <c r="Z236" s="3" t="s">
        <v>34</v>
      </c>
      <c r="AA236" s="5">
        <f t="shared" si="9"/>
        <v>0.78963955925240603</v>
      </c>
      <c r="AB236" s="5">
        <f t="shared" si="10"/>
        <v>0.60671112798010796</v>
      </c>
      <c r="AC236" s="5">
        <f t="shared" si="11"/>
        <v>7.6384316131515697E-3</v>
      </c>
    </row>
    <row r="237" spans="1:29" ht="15" customHeight="1" x14ac:dyDescent="0.3">
      <c r="A237" s="3">
        <v>282</v>
      </c>
      <c r="B237" s="3">
        <v>57</v>
      </c>
      <c r="C237" s="3" t="s">
        <v>325</v>
      </c>
      <c r="D237" s="4" t="s">
        <v>326</v>
      </c>
      <c r="E237" s="3" t="s">
        <v>143</v>
      </c>
      <c r="F237" s="3">
        <v>2022</v>
      </c>
      <c r="G237" s="3">
        <v>0</v>
      </c>
      <c r="H237" s="3">
        <v>0</v>
      </c>
      <c r="I237" s="3">
        <v>0</v>
      </c>
      <c r="J237" s="3">
        <v>0</v>
      </c>
      <c r="K237" s="3">
        <v>7930000000</v>
      </c>
      <c r="L237" s="3">
        <v>2.34</v>
      </c>
      <c r="M237" s="3">
        <v>18556200</v>
      </c>
      <c r="N237" s="3">
        <v>103248000</v>
      </c>
      <c r="O237" s="3">
        <v>148696000</v>
      </c>
      <c r="P237" s="3">
        <v>-9758000</v>
      </c>
      <c r="Q237" s="3">
        <v>0.81914913649324805</v>
      </c>
      <c r="R237" s="3">
        <v>18.8174145112703</v>
      </c>
      <c r="S237" s="3">
        <v>0.69435627051164805</v>
      </c>
      <c r="T237" s="3">
        <v>-6.5623823102168202E-2</v>
      </c>
      <c r="U237" s="3">
        <v>1983</v>
      </c>
      <c r="V237" s="3">
        <v>39</v>
      </c>
      <c r="W237" s="3">
        <v>0</v>
      </c>
      <c r="X237" s="3" t="s">
        <v>327</v>
      </c>
      <c r="Y237" s="4" t="s">
        <v>329</v>
      </c>
      <c r="Z237" s="3" t="s">
        <v>34</v>
      </c>
      <c r="AA237" s="5">
        <f t="shared" si="9"/>
        <v>0.81914913649324805</v>
      </c>
      <c r="AB237" s="5">
        <f t="shared" si="10"/>
        <v>0.69435627051164805</v>
      </c>
      <c r="AC237" s="5">
        <f t="shared" si="11"/>
        <v>-6.5623823102168202E-2</v>
      </c>
    </row>
    <row r="238" spans="1:29" ht="15" customHeight="1" x14ac:dyDescent="0.3">
      <c r="A238" s="3">
        <v>283</v>
      </c>
      <c r="B238" s="3">
        <v>57</v>
      </c>
      <c r="C238" s="3" t="s">
        <v>325</v>
      </c>
      <c r="D238" s="4" t="s">
        <v>326</v>
      </c>
      <c r="E238" s="3" t="s">
        <v>143</v>
      </c>
      <c r="F238" s="3">
        <v>2023</v>
      </c>
      <c r="G238" s="3">
        <v>1</v>
      </c>
      <c r="H238" s="3">
        <v>0</v>
      </c>
      <c r="I238" s="3">
        <v>0</v>
      </c>
      <c r="J238" s="3">
        <v>0</v>
      </c>
      <c r="K238" s="3">
        <v>7930000000</v>
      </c>
      <c r="L238" s="3">
        <v>3.32</v>
      </c>
      <c r="M238" s="3">
        <v>26327600</v>
      </c>
      <c r="N238" s="3">
        <v>132024000</v>
      </c>
      <c r="O238" s="3">
        <v>165000000</v>
      </c>
      <c r="P238" s="3">
        <v>256110</v>
      </c>
      <c r="Q238" s="3">
        <v>0.95970666666666704</v>
      </c>
      <c r="R238" s="3">
        <v>18.921456031864899</v>
      </c>
      <c r="S238" s="3">
        <v>0.80014545454545505</v>
      </c>
      <c r="T238" s="3">
        <v>1.55218181818182E-3</v>
      </c>
      <c r="U238" s="3">
        <v>1983</v>
      </c>
      <c r="V238" s="3">
        <v>40</v>
      </c>
      <c r="W238" s="3">
        <v>0</v>
      </c>
      <c r="X238" s="3" t="s">
        <v>327</v>
      </c>
      <c r="Y238" s="4" t="s">
        <v>330</v>
      </c>
      <c r="Z238" s="3" t="s">
        <v>34</v>
      </c>
      <c r="AA238" s="5">
        <f t="shared" si="9"/>
        <v>0.95970666666666704</v>
      </c>
      <c r="AB238" s="5">
        <f t="shared" si="10"/>
        <v>0.80014545454545505</v>
      </c>
      <c r="AC238" s="5">
        <f t="shared" si="11"/>
        <v>1.55218181818182E-3</v>
      </c>
    </row>
    <row r="239" spans="1:29" ht="15" customHeight="1" x14ac:dyDescent="0.3">
      <c r="A239" s="3">
        <v>284</v>
      </c>
      <c r="B239" s="3">
        <v>57</v>
      </c>
      <c r="C239" s="3" t="s">
        <v>325</v>
      </c>
      <c r="D239" s="4" t="s">
        <v>326</v>
      </c>
      <c r="E239" s="3" t="s">
        <v>143</v>
      </c>
      <c r="F239" s="3">
        <v>2024</v>
      </c>
      <c r="G239" s="3">
        <v>1</v>
      </c>
      <c r="H239" s="3">
        <v>0</v>
      </c>
      <c r="I239" s="3">
        <v>0</v>
      </c>
      <c r="J239" s="3">
        <v>0</v>
      </c>
      <c r="K239" s="3">
        <v>7930000000</v>
      </c>
      <c r="L239" s="3">
        <v>6.3</v>
      </c>
      <c r="M239" s="3">
        <v>49959000</v>
      </c>
      <c r="N239" s="3">
        <v>126109000</v>
      </c>
      <c r="O239" s="3">
        <v>148966000</v>
      </c>
      <c r="P239" s="3">
        <v>-10120000</v>
      </c>
      <c r="Q239" s="3">
        <v>1.1819341326208701</v>
      </c>
      <c r="R239" s="3">
        <v>18.819228649951398</v>
      </c>
      <c r="S239" s="3">
        <v>0.84656230280735201</v>
      </c>
      <c r="T239" s="3">
        <v>-6.7934965025576305E-2</v>
      </c>
      <c r="U239" s="3">
        <v>1983</v>
      </c>
      <c r="V239" s="3">
        <v>41</v>
      </c>
      <c r="W239" s="3">
        <v>1</v>
      </c>
      <c r="X239" s="3" t="s">
        <v>327</v>
      </c>
      <c r="Y239" s="4" t="s">
        <v>331</v>
      </c>
      <c r="Z239" s="3" t="s">
        <v>34</v>
      </c>
      <c r="AA239" s="5">
        <f t="shared" si="9"/>
        <v>1.1819341326208701</v>
      </c>
      <c r="AB239" s="5">
        <f t="shared" si="10"/>
        <v>0.84656230280735201</v>
      </c>
      <c r="AC239" s="5">
        <f t="shared" si="11"/>
        <v>-6.7934965025576305E-2</v>
      </c>
    </row>
    <row r="240" spans="1:29" ht="15" customHeight="1" x14ac:dyDescent="0.3">
      <c r="A240" s="3">
        <v>285</v>
      </c>
      <c r="B240" s="3">
        <v>57</v>
      </c>
      <c r="C240" s="3" t="s">
        <v>325</v>
      </c>
      <c r="D240" s="4" t="s">
        <v>326</v>
      </c>
      <c r="E240" s="3" t="s">
        <v>143</v>
      </c>
      <c r="F240" s="3">
        <v>2025</v>
      </c>
      <c r="G240" s="3">
        <v>1</v>
      </c>
      <c r="H240" s="3">
        <v>0</v>
      </c>
      <c r="I240" s="3">
        <v>0</v>
      </c>
      <c r="J240" s="3">
        <v>0</v>
      </c>
      <c r="K240" s="3">
        <v>7930000000</v>
      </c>
      <c r="L240" s="3">
        <v>21.9</v>
      </c>
      <c r="M240" s="3">
        <v>173667000</v>
      </c>
      <c r="N240" s="3">
        <v>130001000</v>
      </c>
      <c r="O240" s="3">
        <v>167446000</v>
      </c>
      <c r="P240" s="3">
        <v>14589000</v>
      </c>
      <c r="Q240" s="3">
        <v>1.81352794333696</v>
      </c>
      <c r="R240" s="3">
        <v>18.9361714691915</v>
      </c>
      <c r="S240" s="3">
        <v>0.77637566737933394</v>
      </c>
      <c r="T240" s="3">
        <v>8.7126596036931306E-2</v>
      </c>
      <c r="U240" s="3">
        <v>1983</v>
      </c>
      <c r="V240" s="3">
        <v>42</v>
      </c>
      <c r="W240" s="3">
        <v>1</v>
      </c>
      <c r="X240" s="3" t="s">
        <v>327</v>
      </c>
      <c r="Y240" s="4" t="s">
        <v>332</v>
      </c>
      <c r="Z240" s="3" t="s">
        <v>34</v>
      </c>
      <c r="AA240" s="5">
        <f t="shared" si="9"/>
        <v>1.81352794333696</v>
      </c>
      <c r="AB240" s="5">
        <f t="shared" si="10"/>
        <v>0.77637566737933394</v>
      </c>
      <c r="AC240" s="5">
        <f t="shared" si="11"/>
        <v>8.7126596036931306E-2</v>
      </c>
    </row>
    <row r="241" spans="1:29" ht="15" customHeight="1" x14ac:dyDescent="0.3">
      <c r="A241" s="3">
        <v>286</v>
      </c>
      <c r="B241" s="3">
        <v>58</v>
      </c>
      <c r="C241" s="3" t="s">
        <v>333</v>
      </c>
      <c r="D241" s="4" t="s">
        <v>334</v>
      </c>
      <c r="E241" s="3" t="s">
        <v>41</v>
      </c>
      <c r="F241" s="3">
        <v>2021</v>
      </c>
      <c r="G241" s="3">
        <v>0</v>
      </c>
      <c r="H241" s="3">
        <v>0</v>
      </c>
      <c r="I241" s="3">
        <v>0</v>
      </c>
      <c r="J241" s="3">
        <v>0</v>
      </c>
      <c r="K241" s="3">
        <v>2079000000</v>
      </c>
      <c r="L241" s="3">
        <v>1.22</v>
      </c>
      <c r="M241" s="3">
        <v>2536380</v>
      </c>
      <c r="N241" s="3">
        <v>23086000</v>
      </c>
      <c r="O241" s="3">
        <v>43848000</v>
      </c>
      <c r="P241" s="3">
        <v>17750</v>
      </c>
      <c r="Q241" s="3">
        <v>0.58434546615581096</v>
      </c>
      <c r="R241" s="3">
        <v>17.596239665708101</v>
      </c>
      <c r="S241" s="3">
        <v>0.52650063856960405</v>
      </c>
      <c r="T241" s="3">
        <v>4.0480751687648202E-4</v>
      </c>
      <c r="U241" s="3">
        <v>1972</v>
      </c>
      <c r="V241" s="3">
        <v>49</v>
      </c>
      <c r="W241" s="3">
        <v>0</v>
      </c>
      <c r="X241" s="3" t="s">
        <v>335</v>
      </c>
      <c r="Y241" s="4" t="s">
        <v>336</v>
      </c>
      <c r="Z241" s="3" t="s">
        <v>34</v>
      </c>
      <c r="AA241" s="5">
        <f t="shared" si="9"/>
        <v>0.58434546615581096</v>
      </c>
      <c r="AB241" s="5">
        <f t="shared" si="10"/>
        <v>0.52650063856960405</v>
      </c>
      <c r="AC241" s="5">
        <f t="shared" si="11"/>
        <v>4.0480751687648202E-4</v>
      </c>
    </row>
    <row r="242" spans="1:29" ht="15" customHeight="1" x14ac:dyDescent="0.3">
      <c r="A242" s="3">
        <v>287</v>
      </c>
      <c r="B242" s="3">
        <v>58</v>
      </c>
      <c r="C242" s="3" t="s">
        <v>333</v>
      </c>
      <c r="D242" s="4" t="s">
        <v>334</v>
      </c>
      <c r="E242" s="3" t="s">
        <v>41</v>
      </c>
      <c r="F242" s="3">
        <v>2022</v>
      </c>
      <c r="G242" s="3">
        <v>0</v>
      </c>
      <c r="H242" s="3">
        <v>0</v>
      </c>
      <c r="I242" s="3">
        <v>0</v>
      </c>
      <c r="J242" s="3">
        <v>0</v>
      </c>
      <c r="K242" s="3">
        <v>2079000000</v>
      </c>
      <c r="L242" s="3">
        <v>1.05</v>
      </c>
      <c r="M242" s="3">
        <v>2182950</v>
      </c>
      <c r="N242" s="3">
        <v>22081000</v>
      </c>
      <c r="O242" s="3">
        <v>29864000</v>
      </c>
      <c r="P242" s="3">
        <v>-3954000</v>
      </c>
      <c r="Q242" s="3">
        <v>0.81248158317706898</v>
      </c>
      <c r="R242" s="3">
        <v>17.2121642995766</v>
      </c>
      <c r="S242" s="3">
        <v>0.73938521296544302</v>
      </c>
      <c r="T242" s="3">
        <v>-0.132400214304849</v>
      </c>
      <c r="U242" s="3">
        <v>1972</v>
      </c>
      <c r="V242" s="3">
        <v>50</v>
      </c>
      <c r="W242" s="3">
        <v>0</v>
      </c>
      <c r="X242" s="3" t="s">
        <v>335</v>
      </c>
      <c r="Y242" s="4" t="s">
        <v>336</v>
      </c>
      <c r="Z242" s="3" t="s">
        <v>34</v>
      </c>
      <c r="AA242" s="5">
        <f t="shared" si="9"/>
        <v>0.81248158317706898</v>
      </c>
      <c r="AB242" s="5">
        <f t="shared" si="10"/>
        <v>0.73938521296544302</v>
      </c>
      <c r="AC242" s="5">
        <f t="shared" si="11"/>
        <v>-0.132400214304849</v>
      </c>
    </row>
    <row r="243" spans="1:29" ht="15" customHeight="1" x14ac:dyDescent="0.3">
      <c r="A243" s="3">
        <v>288</v>
      </c>
      <c r="B243" s="3">
        <v>58</v>
      </c>
      <c r="C243" s="3" t="s">
        <v>333</v>
      </c>
      <c r="D243" s="4" t="s">
        <v>334</v>
      </c>
      <c r="E243" s="3" t="s">
        <v>41</v>
      </c>
      <c r="F243" s="3">
        <v>2023</v>
      </c>
      <c r="G243" s="3">
        <v>1</v>
      </c>
      <c r="H243" s="3">
        <v>0</v>
      </c>
      <c r="I243" s="3">
        <v>0</v>
      </c>
      <c r="J243" s="3">
        <v>0</v>
      </c>
      <c r="K243" s="3">
        <v>2162000000</v>
      </c>
      <c r="L243" s="3">
        <v>7.69</v>
      </c>
      <c r="M243" s="3">
        <v>16625780</v>
      </c>
      <c r="N243" s="3">
        <v>36174000</v>
      </c>
      <c r="O243" s="3">
        <v>59760000</v>
      </c>
      <c r="P243" s="3">
        <v>2003000</v>
      </c>
      <c r="Q243" s="3">
        <v>0.88353045515394901</v>
      </c>
      <c r="R243" s="3">
        <v>17.905847098788801</v>
      </c>
      <c r="S243" s="3">
        <v>0.60532128514056205</v>
      </c>
      <c r="T243" s="3">
        <v>3.3517402945113801E-2</v>
      </c>
      <c r="U243" s="3">
        <v>1972</v>
      </c>
      <c r="V243" s="3">
        <v>51</v>
      </c>
      <c r="W243" s="3">
        <v>0</v>
      </c>
      <c r="X243" s="3" t="s">
        <v>335</v>
      </c>
      <c r="Y243" s="4" t="s">
        <v>336</v>
      </c>
      <c r="Z243" s="3" t="s">
        <v>34</v>
      </c>
      <c r="AA243" s="5">
        <f t="shared" si="9"/>
        <v>0.88353045515394901</v>
      </c>
      <c r="AB243" s="5">
        <f t="shared" si="10"/>
        <v>0.60532128514056205</v>
      </c>
      <c r="AC243" s="5">
        <f t="shared" si="11"/>
        <v>3.3517402945113801E-2</v>
      </c>
    </row>
    <row r="244" spans="1:29" ht="15" customHeight="1" x14ac:dyDescent="0.3">
      <c r="A244" s="3">
        <v>289</v>
      </c>
      <c r="B244" s="3">
        <v>58</v>
      </c>
      <c r="C244" s="3" t="s">
        <v>333</v>
      </c>
      <c r="D244" s="4" t="s">
        <v>334</v>
      </c>
      <c r="E244" s="3" t="s">
        <v>41</v>
      </c>
      <c r="F244" s="3">
        <v>2024</v>
      </c>
      <c r="G244" s="3">
        <v>1</v>
      </c>
      <c r="H244" s="3">
        <v>0</v>
      </c>
      <c r="I244" s="3">
        <v>0</v>
      </c>
      <c r="J244" s="3">
        <v>0</v>
      </c>
      <c r="K244" s="3">
        <v>2162000000</v>
      </c>
      <c r="L244" s="3">
        <v>11.25</v>
      </c>
      <c r="M244" s="3">
        <v>24322500</v>
      </c>
      <c r="N244" s="3">
        <v>53116000</v>
      </c>
      <c r="O244" s="3">
        <v>83671000</v>
      </c>
      <c r="P244" s="3">
        <v>7088000</v>
      </c>
      <c r="Q244" s="3">
        <v>0.92551182608072102</v>
      </c>
      <c r="R244" s="3">
        <v>18.242402999915399</v>
      </c>
      <c r="S244" s="3">
        <v>0.63481971053292097</v>
      </c>
      <c r="T244" s="3">
        <v>8.4712743961468107E-2</v>
      </c>
      <c r="U244" s="3">
        <v>1972</v>
      </c>
      <c r="V244" s="3">
        <v>52</v>
      </c>
      <c r="W244" s="3">
        <v>0</v>
      </c>
      <c r="X244" s="3" t="s">
        <v>335</v>
      </c>
      <c r="Y244" s="4" t="s">
        <v>336</v>
      </c>
      <c r="Z244" s="3" t="s">
        <v>34</v>
      </c>
      <c r="AA244" s="5">
        <f t="shared" si="9"/>
        <v>0.92551182608072102</v>
      </c>
      <c r="AB244" s="5">
        <f t="shared" si="10"/>
        <v>0.63481971053292097</v>
      </c>
      <c r="AC244" s="5">
        <f t="shared" si="11"/>
        <v>8.4712743961468107E-2</v>
      </c>
    </row>
    <row r="245" spans="1:29" ht="15" customHeight="1" x14ac:dyDescent="0.3">
      <c r="A245" s="3">
        <v>290</v>
      </c>
      <c r="B245" s="3">
        <v>58</v>
      </c>
      <c r="C245" s="3" t="s">
        <v>333</v>
      </c>
      <c r="D245" s="4" t="s">
        <v>334</v>
      </c>
      <c r="E245" s="3" t="s">
        <v>41</v>
      </c>
      <c r="F245" s="3">
        <v>2025</v>
      </c>
      <c r="G245" s="3">
        <v>1</v>
      </c>
      <c r="H245" s="3">
        <v>0</v>
      </c>
      <c r="I245" s="3">
        <v>0</v>
      </c>
      <c r="J245" s="3">
        <v>0</v>
      </c>
      <c r="K245" s="3">
        <v>2162000000</v>
      </c>
      <c r="L245" s="3">
        <v>41.91</v>
      </c>
      <c r="M245" s="3">
        <v>90609420</v>
      </c>
      <c r="N245" s="3">
        <v>33199000</v>
      </c>
      <c r="O245" s="3">
        <v>77438000</v>
      </c>
      <c r="P245" s="3">
        <v>13777000</v>
      </c>
      <c r="Q245" s="3">
        <v>1.59880704563651</v>
      </c>
      <c r="R245" s="3">
        <v>18.1649881741528</v>
      </c>
      <c r="S245" s="3">
        <v>0.42871716728221299</v>
      </c>
      <c r="T245" s="3">
        <v>0.17791006999147699</v>
      </c>
      <c r="U245" s="3">
        <v>1972</v>
      </c>
      <c r="V245" s="3">
        <v>53</v>
      </c>
      <c r="W245" s="3">
        <v>0</v>
      </c>
      <c r="X245" s="3" t="s">
        <v>335</v>
      </c>
      <c r="Y245" s="4" t="s">
        <v>336</v>
      </c>
      <c r="Z245" s="3" t="s">
        <v>34</v>
      </c>
      <c r="AA245" s="5">
        <f t="shared" si="9"/>
        <v>1.59880704563651</v>
      </c>
      <c r="AB245" s="5">
        <f t="shared" si="10"/>
        <v>0.42871716728221299</v>
      </c>
      <c r="AC245" s="5">
        <f t="shared" si="11"/>
        <v>0.17791006999147699</v>
      </c>
    </row>
    <row r="246" spans="1:29" ht="15" customHeight="1" x14ac:dyDescent="0.3">
      <c r="A246" s="3">
        <v>291</v>
      </c>
      <c r="B246" s="3">
        <v>59</v>
      </c>
      <c r="C246" s="3" t="s">
        <v>337</v>
      </c>
      <c r="D246" s="4" t="s">
        <v>338</v>
      </c>
      <c r="E246" s="3" t="s">
        <v>339</v>
      </c>
      <c r="F246" s="3">
        <v>2021</v>
      </c>
      <c r="G246" s="3">
        <v>0</v>
      </c>
      <c r="H246" s="3">
        <v>0</v>
      </c>
      <c r="I246" s="3">
        <v>0</v>
      </c>
      <c r="J246" s="3">
        <v>0</v>
      </c>
      <c r="K246" s="3">
        <v>549440000</v>
      </c>
      <c r="L246" s="3">
        <v>7.15</v>
      </c>
      <c r="M246" s="3">
        <v>3928496</v>
      </c>
      <c r="N246" s="3">
        <v>2543000</v>
      </c>
      <c r="O246" s="3">
        <v>5596000</v>
      </c>
      <c r="P246" s="3">
        <v>372020</v>
      </c>
      <c r="Q246" s="3">
        <v>1.1564503216583299</v>
      </c>
      <c r="R246" s="3">
        <v>15.5375626147675</v>
      </c>
      <c r="S246" s="3">
        <v>0.45443173695496802</v>
      </c>
      <c r="T246" s="3">
        <v>6.6479628305932806E-2</v>
      </c>
      <c r="U246" s="3">
        <v>1959</v>
      </c>
      <c r="V246" s="3">
        <v>62</v>
      </c>
      <c r="W246" s="3">
        <v>1</v>
      </c>
      <c r="X246" s="3" t="s">
        <v>50</v>
      </c>
      <c r="Y246" s="4" t="s">
        <v>340</v>
      </c>
      <c r="Z246" s="3" t="s">
        <v>34</v>
      </c>
      <c r="AA246" s="5">
        <f t="shared" si="9"/>
        <v>1.1564503216583299</v>
      </c>
      <c r="AB246" s="5">
        <f t="shared" si="10"/>
        <v>0.45443173695496802</v>
      </c>
      <c r="AC246" s="5">
        <f t="shared" si="11"/>
        <v>6.6479628305932806E-2</v>
      </c>
    </row>
    <row r="247" spans="1:29" ht="15" customHeight="1" x14ac:dyDescent="0.3">
      <c r="A247" s="3">
        <v>292</v>
      </c>
      <c r="B247" s="3">
        <v>59</v>
      </c>
      <c r="C247" s="3" t="s">
        <v>337</v>
      </c>
      <c r="D247" s="4" t="s">
        <v>338</v>
      </c>
      <c r="E247" s="3" t="s">
        <v>339</v>
      </c>
      <c r="F247" s="3">
        <v>2022</v>
      </c>
      <c r="G247" s="3">
        <v>0</v>
      </c>
      <c r="H247" s="3">
        <v>0</v>
      </c>
      <c r="I247" s="3">
        <v>0</v>
      </c>
      <c r="J247" s="3">
        <v>0</v>
      </c>
      <c r="K247" s="3">
        <v>549440000</v>
      </c>
      <c r="L247" s="3">
        <v>6.74</v>
      </c>
      <c r="M247" s="3">
        <v>3703225.6</v>
      </c>
      <c r="N247" s="3">
        <v>3282000</v>
      </c>
      <c r="O247" s="3">
        <v>6784000</v>
      </c>
      <c r="P247" s="3">
        <v>448340</v>
      </c>
      <c r="Q247" s="3">
        <v>1.02966179245283</v>
      </c>
      <c r="R247" s="3">
        <v>15.7300774564539</v>
      </c>
      <c r="S247" s="3">
        <v>0.48378537735849098</v>
      </c>
      <c r="T247" s="3">
        <v>6.6087853773584906E-2</v>
      </c>
      <c r="U247" s="3">
        <v>1959</v>
      </c>
      <c r="V247" s="3">
        <v>63</v>
      </c>
      <c r="W247" s="3">
        <v>1</v>
      </c>
      <c r="X247" s="3" t="s">
        <v>50</v>
      </c>
      <c r="Y247" s="4" t="s">
        <v>340</v>
      </c>
      <c r="Z247" s="3" t="s">
        <v>34</v>
      </c>
      <c r="AA247" s="5">
        <f t="shared" si="9"/>
        <v>1.02966179245283</v>
      </c>
      <c r="AB247" s="5">
        <f t="shared" si="10"/>
        <v>0.48378537735849098</v>
      </c>
      <c r="AC247" s="5">
        <f t="shared" si="11"/>
        <v>6.6087853773584906E-2</v>
      </c>
    </row>
    <row r="248" spans="1:29" ht="15" customHeight="1" x14ac:dyDescent="0.3">
      <c r="A248" s="3">
        <v>293</v>
      </c>
      <c r="B248" s="3">
        <v>59</v>
      </c>
      <c r="C248" s="3" t="s">
        <v>337</v>
      </c>
      <c r="D248" s="4" t="s">
        <v>338</v>
      </c>
      <c r="E248" s="3" t="s">
        <v>339</v>
      </c>
      <c r="F248" s="3">
        <v>2023</v>
      </c>
      <c r="G248" s="3">
        <v>1</v>
      </c>
      <c r="H248" s="3">
        <v>0</v>
      </c>
      <c r="I248" s="3">
        <v>0</v>
      </c>
      <c r="J248" s="3">
        <v>0</v>
      </c>
      <c r="K248" s="3">
        <v>549440000</v>
      </c>
      <c r="L248" s="3">
        <v>12.23</v>
      </c>
      <c r="M248" s="3">
        <v>6719651.2000000002</v>
      </c>
      <c r="N248" s="3">
        <v>3210000</v>
      </c>
      <c r="O248" s="3">
        <v>7394000</v>
      </c>
      <c r="P248" s="3">
        <v>852750</v>
      </c>
      <c r="Q248" s="3">
        <v>1.3429336218555601</v>
      </c>
      <c r="R248" s="3">
        <v>15.816179418478701</v>
      </c>
      <c r="S248" s="3">
        <v>0.43413578577224798</v>
      </c>
      <c r="T248" s="3">
        <v>0.115329997295104</v>
      </c>
      <c r="U248" s="3">
        <v>1959</v>
      </c>
      <c r="V248" s="3">
        <v>64</v>
      </c>
      <c r="W248" s="3">
        <v>1</v>
      </c>
      <c r="X248" s="3" t="s">
        <v>50</v>
      </c>
      <c r="Y248" s="4" t="s">
        <v>340</v>
      </c>
      <c r="Z248" s="3" t="s">
        <v>34</v>
      </c>
      <c r="AA248" s="5">
        <f t="shared" si="9"/>
        <v>1.3429336218555601</v>
      </c>
      <c r="AB248" s="5">
        <f t="shared" si="10"/>
        <v>0.43413578577224798</v>
      </c>
      <c r="AC248" s="5">
        <f t="shared" si="11"/>
        <v>0.115329997295104</v>
      </c>
    </row>
    <row r="249" spans="1:29" ht="15" customHeight="1" x14ac:dyDescent="0.3">
      <c r="A249" s="3">
        <v>294</v>
      </c>
      <c r="B249" s="3">
        <v>59</v>
      </c>
      <c r="C249" s="3" t="s">
        <v>337</v>
      </c>
      <c r="D249" s="4" t="s">
        <v>338</v>
      </c>
      <c r="E249" s="3" t="s">
        <v>339</v>
      </c>
      <c r="F249" s="3">
        <v>2024</v>
      </c>
      <c r="G249" s="3">
        <v>1</v>
      </c>
      <c r="H249" s="3">
        <v>0</v>
      </c>
      <c r="I249" s="3">
        <v>0</v>
      </c>
      <c r="J249" s="3">
        <v>0</v>
      </c>
      <c r="K249" s="3">
        <v>549440000</v>
      </c>
      <c r="L249" s="3">
        <v>34.51</v>
      </c>
      <c r="M249" s="3">
        <v>18961174.399999999</v>
      </c>
      <c r="N249" s="3">
        <v>8964000</v>
      </c>
      <c r="O249" s="3">
        <v>14878000</v>
      </c>
      <c r="P249" s="3">
        <v>1623000</v>
      </c>
      <c r="Q249" s="3">
        <v>1.87694410539051</v>
      </c>
      <c r="R249" s="3">
        <v>16.515394169733401</v>
      </c>
      <c r="S249" s="3">
        <v>0.60250033606667597</v>
      </c>
      <c r="T249" s="3">
        <v>0.10908724290899301</v>
      </c>
      <c r="U249" s="3">
        <v>1959</v>
      </c>
      <c r="V249" s="3">
        <v>65</v>
      </c>
      <c r="W249" s="3">
        <v>1</v>
      </c>
      <c r="X249" s="3" t="s">
        <v>50</v>
      </c>
      <c r="Y249" s="4" t="s">
        <v>340</v>
      </c>
      <c r="Z249" s="3" t="s">
        <v>34</v>
      </c>
      <c r="AA249" s="5">
        <f t="shared" si="9"/>
        <v>1.87694410539051</v>
      </c>
      <c r="AB249" s="5">
        <f t="shared" si="10"/>
        <v>0.60250033606667597</v>
      </c>
      <c r="AC249" s="5">
        <f t="shared" si="11"/>
        <v>0.10908724290899301</v>
      </c>
    </row>
    <row r="250" spans="1:29" ht="15" customHeight="1" x14ac:dyDescent="0.3">
      <c r="A250" s="3">
        <v>295</v>
      </c>
      <c r="B250" s="3">
        <v>59</v>
      </c>
      <c r="C250" s="3" t="s">
        <v>337</v>
      </c>
      <c r="D250" s="4" t="s">
        <v>338</v>
      </c>
      <c r="E250" s="3" t="s">
        <v>339</v>
      </c>
      <c r="F250" s="3">
        <v>2025</v>
      </c>
      <c r="G250" s="3">
        <v>1</v>
      </c>
      <c r="H250" s="3">
        <v>0</v>
      </c>
      <c r="I250" s="3">
        <v>0</v>
      </c>
      <c r="J250" s="3">
        <v>0</v>
      </c>
      <c r="K250" s="3">
        <v>731060000</v>
      </c>
      <c r="L250" s="3">
        <v>32</v>
      </c>
      <c r="M250" s="3">
        <v>23393920</v>
      </c>
      <c r="N250" s="3">
        <v>2957000</v>
      </c>
      <c r="O250" s="3">
        <v>14797000</v>
      </c>
      <c r="P250" s="3">
        <v>989850</v>
      </c>
      <c r="Q250" s="3">
        <v>1.78082854632696</v>
      </c>
      <c r="R250" s="3">
        <v>16.5099350154847</v>
      </c>
      <c r="S250" s="3">
        <v>0.19983780496046499</v>
      </c>
      <c r="T250" s="3">
        <v>6.6895316618233405E-2</v>
      </c>
      <c r="U250" s="3">
        <v>1959</v>
      </c>
      <c r="V250" s="3">
        <v>66</v>
      </c>
      <c r="W250" s="3">
        <v>1</v>
      </c>
      <c r="X250" s="3" t="s">
        <v>50</v>
      </c>
      <c r="Y250" s="4" t="s">
        <v>340</v>
      </c>
      <c r="Z250" s="3" t="s">
        <v>34</v>
      </c>
      <c r="AA250" s="5">
        <f t="shared" si="9"/>
        <v>1.78082854632696</v>
      </c>
      <c r="AB250" s="5">
        <f t="shared" si="10"/>
        <v>0.19983780496046499</v>
      </c>
      <c r="AC250" s="5">
        <f t="shared" si="11"/>
        <v>6.6895316618233405E-2</v>
      </c>
    </row>
    <row r="251" spans="1:29" ht="15" customHeight="1" x14ac:dyDescent="0.3">
      <c r="A251" s="3">
        <v>296</v>
      </c>
      <c r="B251" s="3">
        <v>60</v>
      </c>
      <c r="C251" s="3" t="s">
        <v>341</v>
      </c>
      <c r="D251" s="4" t="s">
        <v>342</v>
      </c>
      <c r="E251" s="3" t="s">
        <v>31</v>
      </c>
      <c r="F251" s="3">
        <v>2021</v>
      </c>
      <c r="G251" s="3">
        <v>0</v>
      </c>
      <c r="H251" s="3">
        <v>0</v>
      </c>
      <c r="I251" s="3">
        <v>60</v>
      </c>
      <c r="J251" s="3">
        <v>13.3333333333333</v>
      </c>
      <c r="K251" s="3">
        <v>8341000000</v>
      </c>
      <c r="L251" s="3">
        <v>0.66</v>
      </c>
      <c r="M251" s="3">
        <v>5505060</v>
      </c>
      <c r="N251" s="3">
        <v>9445000</v>
      </c>
      <c r="O251" s="3">
        <v>16218000</v>
      </c>
      <c r="P251" s="3">
        <v>500490</v>
      </c>
      <c r="Q251" s="3">
        <v>0.92181896658034301</v>
      </c>
      <c r="R251" s="3">
        <v>16.601632294486599</v>
      </c>
      <c r="S251" s="3">
        <v>0.58237760513010195</v>
      </c>
      <c r="T251" s="3">
        <v>3.08601553829079E-2</v>
      </c>
      <c r="U251" s="3">
        <v>2002</v>
      </c>
      <c r="V251" s="3">
        <v>19</v>
      </c>
      <c r="W251" s="3">
        <v>0</v>
      </c>
      <c r="X251" s="3" t="s">
        <v>179</v>
      </c>
      <c r="Y251" s="4" t="s">
        <v>343</v>
      </c>
      <c r="Z251" s="3" t="s">
        <v>172</v>
      </c>
      <c r="AA251" s="5">
        <f t="shared" si="9"/>
        <v>0.92181896658034301</v>
      </c>
      <c r="AB251" s="5">
        <f t="shared" si="10"/>
        <v>0.58237760513010195</v>
      </c>
      <c r="AC251" s="5">
        <f t="shared" si="11"/>
        <v>3.08601553829079E-2</v>
      </c>
    </row>
    <row r="252" spans="1:29" ht="15" customHeight="1" x14ac:dyDescent="0.3">
      <c r="A252" s="3">
        <v>297</v>
      </c>
      <c r="B252" s="3">
        <v>60</v>
      </c>
      <c r="C252" s="3" t="s">
        <v>341</v>
      </c>
      <c r="D252" s="4" t="s">
        <v>342</v>
      </c>
      <c r="E252" s="3" t="s">
        <v>31</v>
      </c>
      <c r="F252" s="3">
        <v>2022</v>
      </c>
      <c r="G252" s="3">
        <v>0</v>
      </c>
      <c r="H252" s="3">
        <v>0</v>
      </c>
      <c r="I252" s="3">
        <v>60</v>
      </c>
      <c r="J252" s="3">
        <v>13.3333333333333</v>
      </c>
      <c r="K252" s="3">
        <v>8341000000</v>
      </c>
      <c r="L252" s="3">
        <v>0.64</v>
      </c>
      <c r="M252" s="3">
        <v>5338240</v>
      </c>
      <c r="N252" s="3">
        <v>9618000</v>
      </c>
      <c r="O252" s="3">
        <v>16774000</v>
      </c>
      <c r="P252" s="3">
        <v>591480</v>
      </c>
      <c r="Q252" s="3">
        <v>0.89163228806486206</v>
      </c>
      <c r="R252" s="3">
        <v>16.635340626526499</v>
      </c>
      <c r="S252" s="3">
        <v>0.57338738523905997</v>
      </c>
      <c r="T252" s="3">
        <v>3.5261714558244901E-2</v>
      </c>
      <c r="U252" s="3">
        <v>2002</v>
      </c>
      <c r="V252" s="3">
        <v>20</v>
      </c>
      <c r="W252" s="3">
        <v>0</v>
      </c>
      <c r="X252" s="3" t="s">
        <v>179</v>
      </c>
      <c r="Y252" s="4" t="s">
        <v>343</v>
      </c>
      <c r="Z252" s="3" t="s">
        <v>172</v>
      </c>
      <c r="AA252" s="5">
        <f t="shared" si="9"/>
        <v>0.89163228806486206</v>
      </c>
      <c r="AB252" s="5">
        <f t="shared" si="10"/>
        <v>0.57338738523905997</v>
      </c>
      <c r="AC252" s="5">
        <f t="shared" si="11"/>
        <v>3.5261714558244901E-2</v>
      </c>
    </row>
    <row r="253" spans="1:29" ht="15" customHeight="1" x14ac:dyDescent="0.3">
      <c r="A253" s="3">
        <v>298</v>
      </c>
      <c r="B253" s="3">
        <v>60</v>
      </c>
      <c r="C253" s="3" t="s">
        <v>341</v>
      </c>
      <c r="D253" s="4" t="s">
        <v>342</v>
      </c>
      <c r="E253" s="3" t="s">
        <v>31</v>
      </c>
      <c r="F253" s="3">
        <v>2023</v>
      </c>
      <c r="G253" s="3">
        <v>1</v>
      </c>
      <c r="H253" s="3">
        <v>0</v>
      </c>
      <c r="I253" s="3">
        <v>60</v>
      </c>
      <c r="J253" s="3">
        <v>13.3333333333333</v>
      </c>
      <c r="K253" s="3">
        <v>8341000000</v>
      </c>
      <c r="L253" s="3">
        <v>3</v>
      </c>
      <c r="M253" s="3">
        <v>25023000</v>
      </c>
      <c r="N253" s="3">
        <v>12791000</v>
      </c>
      <c r="O253" s="3">
        <v>20655000</v>
      </c>
      <c r="P253" s="3">
        <v>1000000</v>
      </c>
      <c r="Q253" s="3">
        <v>1.8307431614621199</v>
      </c>
      <c r="R253" s="3">
        <v>16.843467978812999</v>
      </c>
      <c r="S253" s="3">
        <v>0.61926894214475903</v>
      </c>
      <c r="T253" s="3">
        <v>4.8414427499394799E-2</v>
      </c>
      <c r="U253" s="3">
        <v>2002</v>
      </c>
      <c r="V253" s="3">
        <v>21</v>
      </c>
      <c r="W253" s="3">
        <v>0</v>
      </c>
      <c r="X253" s="3" t="s">
        <v>179</v>
      </c>
      <c r="Y253" s="4" t="s">
        <v>343</v>
      </c>
      <c r="Z253" s="3" t="s">
        <v>172</v>
      </c>
      <c r="AA253" s="5">
        <f t="shared" si="9"/>
        <v>1.8307431614621199</v>
      </c>
      <c r="AB253" s="5">
        <f t="shared" si="10"/>
        <v>0.61926894214475903</v>
      </c>
      <c r="AC253" s="5">
        <f t="shared" si="11"/>
        <v>4.8414427499394799E-2</v>
      </c>
    </row>
    <row r="254" spans="1:29" ht="15" customHeight="1" x14ac:dyDescent="0.3">
      <c r="A254" s="3">
        <v>299</v>
      </c>
      <c r="B254" s="3">
        <v>60</v>
      </c>
      <c r="C254" s="3" t="s">
        <v>341</v>
      </c>
      <c r="D254" s="4" t="s">
        <v>342</v>
      </c>
      <c r="E254" s="3" t="s">
        <v>31</v>
      </c>
      <c r="F254" s="3">
        <v>2024</v>
      </c>
      <c r="G254" s="3">
        <v>1</v>
      </c>
      <c r="H254" s="3">
        <v>0</v>
      </c>
      <c r="I254" s="3">
        <v>60</v>
      </c>
      <c r="J254" s="3">
        <v>13.3333333333333</v>
      </c>
      <c r="K254" s="3">
        <v>8341000000</v>
      </c>
      <c r="L254" s="3">
        <v>3.5</v>
      </c>
      <c r="M254" s="3">
        <v>29193500</v>
      </c>
      <c r="N254" s="3">
        <v>15939000</v>
      </c>
      <c r="O254" s="3">
        <v>25150000</v>
      </c>
      <c r="P254" s="3">
        <v>1481000</v>
      </c>
      <c r="Q254" s="3">
        <v>1.79453280318091</v>
      </c>
      <c r="R254" s="3">
        <v>17.040368454509998</v>
      </c>
      <c r="S254" s="3">
        <v>0.63375745526839</v>
      </c>
      <c r="T254" s="3">
        <v>5.8886679920477102E-2</v>
      </c>
      <c r="U254" s="3">
        <v>2002</v>
      </c>
      <c r="V254" s="3">
        <v>22</v>
      </c>
      <c r="W254" s="3">
        <v>0</v>
      </c>
      <c r="X254" s="3" t="s">
        <v>179</v>
      </c>
      <c r="Y254" s="4" t="s">
        <v>343</v>
      </c>
      <c r="Z254" s="3" t="s">
        <v>172</v>
      </c>
      <c r="AA254" s="5">
        <f t="shared" si="9"/>
        <v>1.79453280318091</v>
      </c>
      <c r="AB254" s="5">
        <f t="shared" si="10"/>
        <v>0.63375745526839</v>
      </c>
      <c r="AC254" s="5">
        <f t="shared" si="11"/>
        <v>5.8886679920477102E-2</v>
      </c>
    </row>
    <row r="255" spans="1:29" ht="15" customHeight="1" x14ac:dyDescent="0.3">
      <c r="A255" s="3">
        <v>300</v>
      </c>
      <c r="B255" s="3">
        <v>60</v>
      </c>
      <c r="C255" s="3" t="s">
        <v>341</v>
      </c>
      <c r="D255" s="4" t="s">
        <v>342</v>
      </c>
      <c r="E255" s="3" t="s">
        <v>31</v>
      </c>
      <c r="F255" s="3">
        <v>2025</v>
      </c>
      <c r="G255" s="3">
        <v>1</v>
      </c>
      <c r="H255" s="3">
        <v>0</v>
      </c>
      <c r="I255" s="3">
        <v>60</v>
      </c>
      <c r="J255" s="3">
        <v>13.3333333333333</v>
      </c>
      <c r="K255" s="3">
        <v>8341000000</v>
      </c>
      <c r="L255" s="3">
        <v>3.5</v>
      </c>
      <c r="M255" s="3">
        <v>29193500</v>
      </c>
      <c r="N255" s="3">
        <v>32382000</v>
      </c>
      <c r="O255" s="3">
        <v>44758000</v>
      </c>
      <c r="P255" s="3">
        <v>2700000</v>
      </c>
      <c r="Q255" s="3">
        <v>1.37574288395371</v>
      </c>
      <c r="R255" s="3">
        <v>17.6167807576572</v>
      </c>
      <c r="S255" s="3">
        <v>0.72349077259931205</v>
      </c>
      <c r="T255" s="3">
        <v>6.0324411278430697E-2</v>
      </c>
      <c r="U255" s="3">
        <v>2002</v>
      </c>
      <c r="V255" s="3">
        <v>23</v>
      </c>
      <c r="W255" s="3">
        <v>0</v>
      </c>
      <c r="X255" s="3" t="s">
        <v>179</v>
      </c>
      <c r="Y255" s="4" t="s">
        <v>343</v>
      </c>
      <c r="Z255" s="3" t="s">
        <v>172</v>
      </c>
      <c r="AA255" s="5">
        <f t="shared" si="9"/>
        <v>1.37574288395371</v>
      </c>
      <c r="AB255" s="5">
        <f t="shared" si="10"/>
        <v>0.72349077259931205</v>
      </c>
      <c r="AC255" s="5">
        <f t="shared" si="11"/>
        <v>6.0324411278430697E-2</v>
      </c>
    </row>
    <row r="256" spans="1:29" ht="15" customHeight="1" x14ac:dyDescent="0.3">
      <c r="A256" s="3">
        <v>301</v>
      </c>
      <c r="B256" s="3">
        <v>61</v>
      </c>
      <c r="C256" s="3" t="s">
        <v>344</v>
      </c>
      <c r="D256" s="4" t="s">
        <v>345</v>
      </c>
      <c r="E256" s="3" t="s">
        <v>143</v>
      </c>
      <c r="F256" s="3">
        <v>2021</v>
      </c>
      <c r="G256" s="3">
        <v>0</v>
      </c>
      <c r="H256" s="3">
        <v>0</v>
      </c>
      <c r="I256" s="3">
        <v>15</v>
      </c>
      <c r="J256" s="3">
        <v>0</v>
      </c>
      <c r="K256" s="3">
        <v>26862000000</v>
      </c>
      <c r="L256" s="3">
        <v>4.95</v>
      </c>
      <c r="M256" s="3">
        <v>132966900</v>
      </c>
      <c r="N256" s="3">
        <v>334649000</v>
      </c>
      <c r="O256" s="3">
        <v>469953000</v>
      </c>
      <c r="P256" s="3">
        <v>-17657000</v>
      </c>
      <c r="Q256" s="3">
        <v>0.99502694950346104</v>
      </c>
      <c r="R256" s="3">
        <v>19.968143247667999</v>
      </c>
      <c r="S256" s="3">
        <v>0.71209035797196696</v>
      </c>
      <c r="T256" s="3">
        <v>-3.7571842290612001E-2</v>
      </c>
      <c r="U256" s="3">
        <v>1971</v>
      </c>
      <c r="V256" s="3">
        <v>50</v>
      </c>
      <c r="W256" s="3">
        <v>1</v>
      </c>
      <c r="X256" s="3" t="s">
        <v>346</v>
      </c>
      <c r="Y256" s="4" t="s">
        <v>347</v>
      </c>
      <c r="Z256" s="3" t="s">
        <v>34</v>
      </c>
      <c r="AA256" s="5">
        <f t="shared" si="9"/>
        <v>0.99502694950346104</v>
      </c>
      <c r="AB256" s="5">
        <f t="shared" si="10"/>
        <v>0.71209035797196696</v>
      </c>
      <c r="AC256" s="5">
        <f t="shared" si="11"/>
        <v>-3.7571842290612001E-2</v>
      </c>
    </row>
    <row r="257" spans="1:29" ht="15" customHeight="1" x14ac:dyDescent="0.3">
      <c r="A257" s="3">
        <v>302</v>
      </c>
      <c r="B257" s="3">
        <v>61</v>
      </c>
      <c r="C257" s="3" t="s">
        <v>344</v>
      </c>
      <c r="D257" s="4" t="s">
        <v>345</v>
      </c>
      <c r="E257" s="3" t="s">
        <v>143</v>
      </c>
      <c r="F257" s="3">
        <v>2022</v>
      </c>
      <c r="G257" s="3">
        <v>0</v>
      </c>
      <c r="H257" s="3">
        <v>0</v>
      </c>
      <c r="I257" s="3">
        <v>15</v>
      </c>
      <c r="J257" s="3">
        <v>0</v>
      </c>
      <c r="K257" s="3">
        <v>26862000000</v>
      </c>
      <c r="L257" s="3">
        <v>4.7</v>
      </c>
      <c r="M257" s="3">
        <v>126251400</v>
      </c>
      <c r="N257" s="3">
        <v>366921000</v>
      </c>
      <c r="O257" s="3">
        <v>484252000</v>
      </c>
      <c r="P257" s="3">
        <v>-21626000</v>
      </c>
      <c r="Q257" s="3">
        <v>1.0184209874197701</v>
      </c>
      <c r="R257" s="3">
        <v>19.998115990340899</v>
      </c>
      <c r="S257" s="3">
        <v>0.75770673120606602</v>
      </c>
      <c r="T257" s="3">
        <v>-4.4658566201068901E-2</v>
      </c>
      <c r="U257" s="3">
        <v>1971</v>
      </c>
      <c r="V257" s="3">
        <v>51</v>
      </c>
      <c r="W257" s="3">
        <v>1</v>
      </c>
      <c r="X257" s="3" t="s">
        <v>346</v>
      </c>
      <c r="Y257" s="4" t="s">
        <v>347</v>
      </c>
      <c r="Z257" s="3" t="s">
        <v>34</v>
      </c>
      <c r="AA257" s="5">
        <f t="shared" si="9"/>
        <v>1.0184209874197701</v>
      </c>
      <c r="AB257" s="5">
        <f t="shared" si="10"/>
        <v>0.75770673120606602</v>
      </c>
      <c r="AC257" s="5">
        <f t="shared" si="11"/>
        <v>-4.4658566201068901E-2</v>
      </c>
    </row>
    <row r="258" spans="1:29" ht="15" customHeight="1" x14ac:dyDescent="0.3">
      <c r="A258" s="3">
        <v>303</v>
      </c>
      <c r="B258" s="3">
        <v>61</v>
      </c>
      <c r="C258" s="3" t="s">
        <v>344</v>
      </c>
      <c r="D258" s="4" t="s">
        <v>345</v>
      </c>
      <c r="E258" s="3" t="s">
        <v>143</v>
      </c>
      <c r="F258" s="3">
        <v>2023</v>
      </c>
      <c r="G258" s="3">
        <v>1</v>
      </c>
      <c r="H258" s="3">
        <v>0</v>
      </c>
      <c r="I258" s="3">
        <v>15</v>
      </c>
      <c r="J258" s="3">
        <v>0</v>
      </c>
      <c r="K258" s="3">
        <v>26862000000</v>
      </c>
      <c r="L258" s="3">
        <v>4.8</v>
      </c>
      <c r="M258" s="3">
        <v>128937600</v>
      </c>
      <c r="N258" s="3">
        <v>609090000</v>
      </c>
      <c r="O258" s="3">
        <v>724497000</v>
      </c>
      <c r="P258" s="3">
        <v>-70026000</v>
      </c>
      <c r="Q258" s="3">
        <v>1.0186758537302401</v>
      </c>
      <c r="R258" s="3">
        <v>20.400988178929701</v>
      </c>
      <c r="S258" s="3">
        <v>0.84070741493753598</v>
      </c>
      <c r="T258" s="3">
        <v>-9.6654644532689599E-2</v>
      </c>
      <c r="U258" s="3">
        <v>1971</v>
      </c>
      <c r="V258" s="3">
        <v>52</v>
      </c>
      <c r="W258" s="3">
        <v>1</v>
      </c>
      <c r="X258" s="3" t="s">
        <v>346</v>
      </c>
      <c r="Y258" s="4" t="s">
        <v>347</v>
      </c>
      <c r="Z258" s="3" t="s">
        <v>34</v>
      </c>
      <c r="AA258" s="5">
        <f t="shared" ref="AA258:AA321" si="12">MIN(MAX(Q258,PERCENTILE(Q$2:Q$612,0.005)),PERCENTILE(Q$2:Q$612,0.995))</f>
        <v>1.0186758537302401</v>
      </c>
      <c r="AB258" s="5">
        <f t="shared" ref="AB258:AB321" si="13">MIN(MAX(S258,PERCENTILE(S$2:S$612,0.005)),PERCENTILE(S$2:S$612,0.995))</f>
        <v>0.84070741493753598</v>
      </c>
      <c r="AC258" s="5">
        <f t="shared" ref="AC258:AC321" si="14">MIN(MAX(T258,PERCENTILE(T$2:T$612,0.005)),PERCENTILE(T$2:T$612,0.995))</f>
        <v>-9.6654644532689599E-2</v>
      </c>
    </row>
    <row r="259" spans="1:29" ht="15" customHeight="1" x14ac:dyDescent="0.3">
      <c r="A259" s="3">
        <v>304</v>
      </c>
      <c r="B259" s="3">
        <v>61</v>
      </c>
      <c r="C259" s="3" t="s">
        <v>344</v>
      </c>
      <c r="D259" s="4" t="s">
        <v>345</v>
      </c>
      <c r="E259" s="3" t="s">
        <v>143</v>
      </c>
      <c r="F259" s="3">
        <v>2024</v>
      </c>
      <c r="G259" s="3">
        <v>1</v>
      </c>
      <c r="H259" s="3">
        <v>0</v>
      </c>
      <c r="I259" s="3">
        <v>15</v>
      </c>
      <c r="J259" s="3">
        <v>0</v>
      </c>
      <c r="K259" s="3">
        <v>168292000000</v>
      </c>
      <c r="L259" s="3">
        <v>5.55</v>
      </c>
      <c r="M259" s="3">
        <v>934020600</v>
      </c>
      <c r="N259" s="3">
        <v>278958000</v>
      </c>
      <c r="O259" s="3">
        <v>727872000</v>
      </c>
      <c r="P259" s="3">
        <v>-113615000</v>
      </c>
      <c r="Q259" s="3">
        <v>1.66647240174097</v>
      </c>
      <c r="R259" s="3">
        <v>20.405635766526299</v>
      </c>
      <c r="S259" s="3">
        <v>0.38325145080453699</v>
      </c>
      <c r="T259" s="3">
        <v>-0.15609200518772501</v>
      </c>
      <c r="U259" s="3">
        <v>1971</v>
      </c>
      <c r="V259" s="3">
        <v>53</v>
      </c>
      <c r="W259" s="3">
        <v>1</v>
      </c>
      <c r="X259" s="3" t="s">
        <v>346</v>
      </c>
      <c r="Y259" s="4" t="s">
        <v>347</v>
      </c>
      <c r="Z259" s="3" t="s">
        <v>34</v>
      </c>
      <c r="AA259" s="5">
        <f t="shared" si="12"/>
        <v>1.66647240174097</v>
      </c>
      <c r="AB259" s="5">
        <f t="shared" si="13"/>
        <v>0.38325145080453699</v>
      </c>
      <c r="AC259" s="5">
        <f t="shared" si="14"/>
        <v>-0.15609200518772501</v>
      </c>
    </row>
    <row r="260" spans="1:29" ht="15" customHeight="1" x14ac:dyDescent="0.3">
      <c r="A260" s="3">
        <v>305</v>
      </c>
      <c r="B260" s="3">
        <v>61</v>
      </c>
      <c r="C260" s="3" t="s">
        <v>344</v>
      </c>
      <c r="D260" s="4" t="s">
        <v>345</v>
      </c>
      <c r="E260" s="3" t="s">
        <v>143</v>
      </c>
      <c r="F260" s="3">
        <v>2025</v>
      </c>
      <c r="G260" s="3">
        <v>1</v>
      </c>
      <c r="H260" s="3">
        <v>0</v>
      </c>
      <c r="I260" s="3">
        <v>15</v>
      </c>
      <c r="J260" s="3">
        <v>0</v>
      </c>
      <c r="K260" s="3">
        <v>168292000000</v>
      </c>
      <c r="L260" s="3">
        <v>14.02</v>
      </c>
      <c r="M260" s="3">
        <v>2359453840</v>
      </c>
      <c r="N260" s="3">
        <v>239916000</v>
      </c>
      <c r="O260" s="3">
        <v>739744000</v>
      </c>
      <c r="P260" s="3">
        <v>50914000</v>
      </c>
      <c r="Q260" s="3">
        <v>3.51387755764156</v>
      </c>
      <c r="R260" s="3">
        <v>20.421814738363398</v>
      </c>
      <c r="S260" s="3">
        <v>0.324323009040966</v>
      </c>
      <c r="T260" s="3">
        <v>6.8826512955833405E-2</v>
      </c>
      <c r="U260" s="3">
        <v>1971</v>
      </c>
      <c r="V260" s="3">
        <v>54</v>
      </c>
      <c r="W260" s="3">
        <v>1</v>
      </c>
      <c r="X260" s="3" t="s">
        <v>346</v>
      </c>
      <c r="Y260" s="4" t="s">
        <v>347</v>
      </c>
      <c r="Z260" s="3" t="s">
        <v>34</v>
      </c>
      <c r="AA260" s="5">
        <f t="shared" si="12"/>
        <v>3.51387755764156</v>
      </c>
      <c r="AB260" s="5">
        <f t="shared" si="13"/>
        <v>0.324323009040966</v>
      </c>
      <c r="AC260" s="5">
        <f t="shared" si="14"/>
        <v>6.8826512955833405E-2</v>
      </c>
    </row>
    <row r="261" spans="1:29" ht="15" customHeight="1" x14ac:dyDescent="0.3">
      <c r="A261" s="3">
        <v>306</v>
      </c>
      <c r="B261" s="3">
        <v>62</v>
      </c>
      <c r="C261" s="3" t="s">
        <v>348</v>
      </c>
      <c r="D261" s="4" t="s">
        <v>349</v>
      </c>
      <c r="E261" s="3" t="s">
        <v>31</v>
      </c>
      <c r="F261" s="3">
        <v>2021</v>
      </c>
      <c r="G261" s="3">
        <v>0</v>
      </c>
      <c r="H261" s="3">
        <v>0</v>
      </c>
      <c r="I261" s="3">
        <v>0</v>
      </c>
      <c r="J261" s="3">
        <v>0</v>
      </c>
      <c r="K261" s="3">
        <v>1284000000</v>
      </c>
      <c r="L261" s="3">
        <v>0.38</v>
      </c>
      <c r="M261" s="3">
        <v>487920</v>
      </c>
      <c r="N261" s="3">
        <v>20962000</v>
      </c>
      <c r="O261" s="3">
        <v>9158000</v>
      </c>
      <c r="P261" s="3">
        <v>-704550</v>
      </c>
      <c r="Q261" s="3">
        <v>2.3422057217733099</v>
      </c>
      <c r="R261" s="3">
        <v>16.0301383721992</v>
      </c>
      <c r="S261" s="3">
        <v>2.28892771347456</v>
      </c>
      <c r="T261" s="3">
        <v>-7.6932736405328703E-2</v>
      </c>
      <c r="U261" s="3">
        <v>1969</v>
      </c>
      <c r="V261" s="3">
        <v>52</v>
      </c>
      <c r="W261" s="3">
        <v>0</v>
      </c>
      <c r="X261" s="3" t="s">
        <v>350</v>
      </c>
      <c r="Y261" s="4" t="s">
        <v>351</v>
      </c>
      <c r="Z261" s="3" t="s">
        <v>108</v>
      </c>
      <c r="AA261" s="5">
        <f t="shared" si="12"/>
        <v>2.3422057217733099</v>
      </c>
      <c r="AB261" s="5">
        <f t="shared" si="13"/>
        <v>2.28892771347456</v>
      </c>
      <c r="AC261" s="5">
        <f t="shared" si="14"/>
        <v>-7.6932736405328703E-2</v>
      </c>
    </row>
    <row r="262" spans="1:29" ht="15" customHeight="1" x14ac:dyDescent="0.3">
      <c r="A262" s="3">
        <v>307</v>
      </c>
      <c r="B262" s="3">
        <v>62</v>
      </c>
      <c r="C262" s="3" t="s">
        <v>348</v>
      </c>
      <c r="D262" s="4" t="s">
        <v>349</v>
      </c>
      <c r="E262" s="3" t="s">
        <v>31</v>
      </c>
      <c r="F262" s="3">
        <v>2022</v>
      </c>
      <c r="G262" s="3">
        <v>0</v>
      </c>
      <c r="H262" s="3">
        <v>0</v>
      </c>
      <c r="I262" s="3">
        <v>0</v>
      </c>
      <c r="J262" s="3">
        <v>0</v>
      </c>
      <c r="K262" s="3">
        <v>1284000000</v>
      </c>
      <c r="L262" s="3">
        <v>0.38</v>
      </c>
      <c r="M262" s="3">
        <v>487920</v>
      </c>
      <c r="N262" s="3">
        <v>26463000</v>
      </c>
      <c r="O262" s="3">
        <v>14673000</v>
      </c>
      <c r="P262" s="3">
        <v>232900</v>
      </c>
      <c r="Q262" s="3">
        <v>1.83676957677367</v>
      </c>
      <c r="R262" s="3">
        <v>16.501519628189602</v>
      </c>
      <c r="S262" s="3">
        <v>1.80351666325905</v>
      </c>
      <c r="T262" s="3">
        <v>1.58726913378314E-2</v>
      </c>
      <c r="U262" s="3">
        <v>1969</v>
      </c>
      <c r="V262" s="3">
        <v>53</v>
      </c>
      <c r="W262" s="3">
        <v>0</v>
      </c>
      <c r="X262" s="3" t="s">
        <v>350</v>
      </c>
      <c r="Y262" s="4" t="s">
        <v>351</v>
      </c>
      <c r="Z262" s="3" t="s">
        <v>108</v>
      </c>
      <c r="AA262" s="5">
        <f t="shared" si="12"/>
        <v>1.83676957677367</v>
      </c>
      <c r="AB262" s="5">
        <f t="shared" si="13"/>
        <v>1.80351666325905</v>
      </c>
      <c r="AC262" s="5">
        <f t="shared" si="14"/>
        <v>1.58726913378314E-2</v>
      </c>
    </row>
    <row r="263" spans="1:29" ht="15" customHeight="1" x14ac:dyDescent="0.3">
      <c r="A263" s="3">
        <v>308</v>
      </c>
      <c r="B263" s="3">
        <v>62</v>
      </c>
      <c r="C263" s="3" t="s">
        <v>348</v>
      </c>
      <c r="D263" s="4" t="s">
        <v>349</v>
      </c>
      <c r="E263" s="3" t="s">
        <v>31</v>
      </c>
      <c r="F263" s="3">
        <v>2023</v>
      </c>
      <c r="G263" s="3">
        <v>1</v>
      </c>
      <c r="H263" s="3">
        <v>0</v>
      </c>
      <c r="I263" s="3">
        <v>0</v>
      </c>
      <c r="J263" s="3">
        <v>0</v>
      </c>
      <c r="K263" s="3">
        <v>1284000000</v>
      </c>
      <c r="L263" s="3">
        <v>1.39</v>
      </c>
      <c r="M263" s="3">
        <v>1784760</v>
      </c>
      <c r="N263" s="3">
        <v>28366000</v>
      </c>
      <c r="O263" s="3">
        <v>17590000</v>
      </c>
      <c r="P263" s="3">
        <v>850660</v>
      </c>
      <c r="Q263" s="3">
        <v>1.7140852757248399</v>
      </c>
      <c r="R263" s="3">
        <v>16.6828411167137</v>
      </c>
      <c r="S263" s="3">
        <v>1.61262080727686</v>
      </c>
      <c r="T263" s="3">
        <v>4.83604320636725E-2</v>
      </c>
      <c r="U263" s="3">
        <v>1969</v>
      </c>
      <c r="V263" s="3">
        <v>54</v>
      </c>
      <c r="W263" s="3">
        <v>0</v>
      </c>
      <c r="X263" s="3" t="s">
        <v>350</v>
      </c>
      <c r="Y263" s="4" t="s">
        <v>351</v>
      </c>
      <c r="Z263" s="3" t="s">
        <v>108</v>
      </c>
      <c r="AA263" s="5">
        <f t="shared" si="12"/>
        <v>1.7140852757248399</v>
      </c>
      <c r="AB263" s="5">
        <f t="shared" si="13"/>
        <v>1.61262080727686</v>
      </c>
      <c r="AC263" s="5">
        <f t="shared" si="14"/>
        <v>4.83604320636725E-2</v>
      </c>
    </row>
    <row r="264" spans="1:29" ht="15" customHeight="1" x14ac:dyDescent="0.3">
      <c r="A264" s="3">
        <v>309</v>
      </c>
      <c r="B264" s="3">
        <v>62</v>
      </c>
      <c r="C264" s="3" t="s">
        <v>348</v>
      </c>
      <c r="D264" s="4" t="s">
        <v>349</v>
      </c>
      <c r="E264" s="3" t="s">
        <v>31</v>
      </c>
      <c r="F264" s="3">
        <v>2024</v>
      </c>
      <c r="G264" s="3">
        <v>1</v>
      </c>
      <c r="H264" s="3">
        <v>0</v>
      </c>
      <c r="I264" s="3">
        <v>0</v>
      </c>
      <c r="J264" s="3">
        <v>0</v>
      </c>
      <c r="K264" s="3">
        <v>1284000000</v>
      </c>
      <c r="L264" s="3">
        <v>1.7</v>
      </c>
      <c r="M264" s="3">
        <v>2182800</v>
      </c>
      <c r="N264" s="3">
        <v>24457000</v>
      </c>
      <c r="O264" s="3">
        <v>16855000</v>
      </c>
      <c r="P264" s="3">
        <v>2954000</v>
      </c>
      <c r="Q264" s="3">
        <v>1.5805280332245599</v>
      </c>
      <c r="R264" s="3">
        <v>16.640157906650298</v>
      </c>
      <c r="S264" s="3">
        <v>1.45102343518244</v>
      </c>
      <c r="T264" s="3">
        <v>0.175259566894097</v>
      </c>
      <c r="U264" s="3">
        <v>1969</v>
      </c>
      <c r="V264" s="3">
        <v>55</v>
      </c>
      <c r="W264" s="3">
        <v>0</v>
      </c>
      <c r="X264" s="3" t="s">
        <v>350</v>
      </c>
      <c r="Y264" s="4" t="s">
        <v>351</v>
      </c>
      <c r="Z264" s="3" t="s">
        <v>108</v>
      </c>
      <c r="AA264" s="5">
        <f t="shared" si="12"/>
        <v>1.5805280332245599</v>
      </c>
      <c r="AB264" s="5">
        <f t="shared" si="13"/>
        <v>1.45102343518244</v>
      </c>
      <c r="AC264" s="5">
        <f t="shared" si="14"/>
        <v>0.175259566894097</v>
      </c>
    </row>
    <row r="265" spans="1:29" ht="15" customHeight="1" x14ac:dyDescent="0.3">
      <c r="A265" s="3">
        <v>310</v>
      </c>
      <c r="B265" s="3">
        <v>62</v>
      </c>
      <c r="C265" s="3" t="s">
        <v>348</v>
      </c>
      <c r="D265" s="4" t="s">
        <v>349</v>
      </c>
      <c r="E265" s="3" t="s">
        <v>31</v>
      </c>
      <c r="F265" s="3">
        <v>2025</v>
      </c>
      <c r="G265" s="3">
        <v>1</v>
      </c>
      <c r="H265" s="3">
        <v>0</v>
      </c>
      <c r="I265" s="3">
        <v>10</v>
      </c>
      <c r="J265" s="3">
        <v>0</v>
      </c>
      <c r="K265" s="3">
        <v>2534000000</v>
      </c>
      <c r="L265" s="3">
        <v>1.27</v>
      </c>
      <c r="M265" s="3">
        <v>3218180</v>
      </c>
      <c r="N265" s="3">
        <v>6217000</v>
      </c>
      <c r="O265" s="3">
        <v>15458000</v>
      </c>
      <c r="P265" s="3">
        <v>868670</v>
      </c>
      <c r="Q265" s="3">
        <v>0.61037521024712105</v>
      </c>
      <c r="R265" s="3">
        <v>16.553637226648998</v>
      </c>
      <c r="S265" s="3">
        <v>0.40218657006080999</v>
      </c>
      <c r="T265" s="3">
        <v>5.6195497477034603E-2</v>
      </c>
      <c r="U265" s="3">
        <v>1969</v>
      </c>
      <c r="V265" s="3">
        <v>56</v>
      </c>
      <c r="W265" s="3">
        <v>0</v>
      </c>
      <c r="X265" s="3" t="s">
        <v>350</v>
      </c>
      <c r="Y265" s="4" t="s">
        <v>351</v>
      </c>
      <c r="Z265" s="3" t="s">
        <v>108</v>
      </c>
      <c r="AA265" s="5">
        <f t="shared" si="12"/>
        <v>0.61037521024712105</v>
      </c>
      <c r="AB265" s="5">
        <f t="shared" si="13"/>
        <v>0.40218657006080999</v>
      </c>
      <c r="AC265" s="5">
        <f t="shared" si="14"/>
        <v>5.6195497477034603E-2</v>
      </c>
    </row>
    <row r="266" spans="1:29" ht="15" customHeight="1" x14ac:dyDescent="0.3">
      <c r="A266" s="3">
        <v>311</v>
      </c>
      <c r="B266" s="3">
        <v>63</v>
      </c>
      <c r="C266" s="3" t="s">
        <v>352</v>
      </c>
      <c r="D266" s="4" t="s">
        <v>353</v>
      </c>
      <c r="E266" s="3" t="s">
        <v>31</v>
      </c>
      <c r="F266" s="3">
        <v>2021</v>
      </c>
      <c r="G266" s="3">
        <v>0</v>
      </c>
      <c r="H266" s="3">
        <v>0</v>
      </c>
      <c r="I266" s="3">
        <v>0</v>
      </c>
      <c r="J266" s="3">
        <v>0</v>
      </c>
      <c r="K266" s="3">
        <v>34541000000</v>
      </c>
      <c r="L266" s="3">
        <v>0.56000000000000005</v>
      </c>
      <c r="M266" s="3">
        <v>19342960</v>
      </c>
      <c r="N266" s="3">
        <v>254970000</v>
      </c>
      <c r="O266" s="3">
        <v>279276000</v>
      </c>
      <c r="P266" s="3">
        <v>4085000</v>
      </c>
      <c r="Q266" s="3">
        <v>0.98222890617167302</v>
      </c>
      <c r="R266" s="3">
        <v>19.447711098114802</v>
      </c>
      <c r="S266" s="3">
        <v>0.912967816783397</v>
      </c>
      <c r="T266" s="3">
        <v>1.46271072344204E-2</v>
      </c>
      <c r="U266" s="3">
        <v>2003</v>
      </c>
      <c r="V266" s="3">
        <v>18</v>
      </c>
      <c r="W266" s="3">
        <v>1</v>
      </c>
      <c r="X266" s="3" t="s">
        <v>65</v>
      </c>
      <c r="Y266" s="4" t="s">
        <v>354</v>
      </c>
      <c r="Z266" s="3" t="s">
        <v>34</v>
      </c>
      <c r="AA266" s="5">
        <f t="shared" si="12"/>
        <v>0.98222890617167302</v>
      </c>
      <c r="AB266" s="5">
        <f t="shared" si="13"/>
        <v>0.912967816783397</v>
      </c>
      <c r="AC266" s="5">
        <f t="shared" si="14"/>
        <v>1.46271072344204E-2</v>
      </c>
    </row>
    <row r="267" spans="1:29" ht="15" customHeight="1" x14ac:dyDescent="0.3">
      <c r="A267" s="3">
        <v>312</v>
      </c>
      <c r="B267" s="3">
        <v>63</v>
      </c>
      <c r="C267" s="3" t="s">
        <v>352</v>
      </c>
      <c r="D267" s="4" t="s">
        <v>353</v>
      </c>
      <c r="E267" s="3" t="s">
        <v>31</v>
      </c>
      <c r="F267" s="3">
        <v>2022</v>
      </c>
      <c r="G267" s="3">
        <v>0</v>
      </c>
      <c r="H267" s="3">
        <v>0</v>
      </c>
      <c r="I267" s="3">
        <v>0</v>
      </c>
      <c r="J267" s="3">
        <v>0</v>
      </c>
      <c r="K267" s="3">
        <v>34541000000</v>
      </c>
      <c r="L267" s="3">
        <v>0.92</v>
      </c>
      <c r="M267" s="3">
        <v>31777720</v>
      </c>
      <c r="N267" s="3">
        <v>350015000</v>
      </c>
      <c r="O267" s="3">
        <v>379819000</v>
      </c>
      <c r="P267" s="3">
        <v>6881000</v>
      </c>
      <c r="Q267" s="3">
        <v>1.0051964751631699</v>
      </c>
      <c r="R267" s="3">
        <v>19.755205381420801</v>
      </c>
      <c r="S267" s="3">
        <v>0.92153104505040595</v>
      </c>
      <c r="T267" s="3">
        <v>1.81165239232371E-2</v>
      </c>
      <c r="U267" s="3">
        <v>2003</v>
      </c>
      <c r="V267" s="3">
        <v>19</v>
      </c>
      <c r="W267" s="3">
        <v>1</v>
      </c>
      <c r="X267" s="3" t="s">
        <v>65</v>
      </c>
      <c r="Y267" s="4" t="s">
        <v>354</v>
      </c>
      <c r="Z267" s="3" t="s">
        <v>34</v>
      </c>
      <c r="AA267" s="5">
        <f t="shared" si="12"/>
        <v>1.0051964751631699</v>
      </c>
      <c r="AB267" s="5">
        <f t="shared" si="13"/>
        <v>0.92153104505040595</v>
      </c>
      <c r="AC267" s="5">
        <f t="shared" si="14"/>
        <v>1.81165239232371E-2</v>
      </c>
    </row>
    <row r="268" spans="1:29" ht="15" customHeight="1" x14ac:dyDescent="0.3">
      <c r="A268" s="3">
        <v>313</v>
      </c>
      <c r="B268" s="3">
        <v>63</v>
      </c>
      <c r="C268" s="3" t="s">
        <v>352</v>
      </c>
      <c r="D268" s="4" t="s">
        <v>353</v>
      </c>
      <c r="E268" s="3" t="s">
        <v>31</v>
      </c>
      <c r="F268" s="3">
        <v>2023</v>
      </c>
      <c r="G268" s="3">
        <v>1</v>
      </c>
      <c r="H268" s="3">
        <v>0</v>
      </c>
      <c r="I268" s="3">
        <v>0</v>
      </c>
      <c r="J268" s="3">
        <v>0</v>
      </c>
      <c r="K268" s="3">
        <v>34541000000</v>
      </c>
      <c r="L268" s="3">
        <v>1.94</v>
      </c>
      <c r="M268" s="3">
        <v>67009540</v>
      </c>
      <c r="N268" s="3">
        <v>540816000</v>
      </c>
      <c r="O268" s="3">
        <v>580131000</v>
      </c>
      <c r="P268" s="3">
        <v>11237000</v>
      </c>
      <c r="Q268" s="3">
        <v>1.0477384245971999</v>
      </c>
      <c r="R268" s="3">
        <v>20.178764498070699</v>
      </c>
      <c r="S268" s="3">
        <v>0.93223082372774402</v>
      </c>
      <c r="T268" s="3">
        <v>1.93697630362797E-2</v>
      </c>
      <c r="U268" s="3">
        <v>2003</v>
      </c>
      <c r="V268" s="3">
        <v>20</v>
      </c>
      <c r="W268" s="3">
        <v>1</v>
      </c>
      <c r="X268" s="3" t="s">
        <v>65</v>
      </c>
      <c r="Y268" s="4" t="s">
        <v>354</v>
      </c>
      <c r="Z268" s="3" t="s">
        <v>34</v>
      </c>
      <c r="AA268" s="5">
        <f t="shared" si="12"/>
        <v>1.0477384245971999</v>
      </c>
      <c r="AB268" s="5">
        <f t="shared" si="13"/>
        <v>0.93223082372774402</v>
      </c>
      <c r="AC268" s="5">
        <f t="shared" si="14"/>
        <v>1.93697630362797E-2</v>
      </c>
    </row>
    <row r="269" spans="1:29" ht="15" customHeight="1" x14ac:dyDescent="0.3">
      <c r="A269" s="3">
        <v>314</v>
      </c>
      <c r="B269" s="3">
        <v>63</v>
      </c>
      <c r="C269" s="3" t="s">
        <v>352</v>
      </c>
      <c r="D269" s="4" t="s">
        <v>353</v>
      </c>
      <c r="E269" s="3" t="s">
        <v>31</v>
      </c>
      <c r="F269" s="3">
        <v>2024</v>
      </c>
      <c r="G269" s="3">
        <v>1</v>
      </c>
      <c r="H269" s="3">
        <v>0</v>
      </c>
      <c r="I269" s="3">
        <v>0</v>
      </c>
      <c r="J269" s="3">
        <v>0</v>
      </c>
      <c r="K269" s="3">
        <v>34541000000</v>
      </c>
      <c r="L269" s="3">
        <v>3.87</v>
      </c>
      <c r="M269" s="3">
        <v>133673670</v>
      </c>
      <c r="N269" s="3">
        <v>1009281000</v>
      </c>
      <c r="O269" s="3">
        <v>1080747000</v>
      </c>
      <c r="P269" s="3">
        <v>23484000</v>
      </c>
      <c r="Q269" s="3">
        <v>1.05755988219259</v>
      </c>
      <c r="R269" s="3">
        <v>20.800918305658101</v>
      </c>
      <c r="S269" s="3">
        <v>0.93387351526305395</v>
      </c>
      <c r="T269" s="3">
        <v>2.1729414932449499E-2</v>
      </c>
      <c r="U269" s="3">
        <v>2003</v>
      </c>
      <c r="V269" s="3">
        <v>21</v>
      </c>
      <c r="W269" s="3">
        <v>1</v>
      </c>
      <c r="X269" s="3" t="s">
        <v>65</v>
      </c>
      <c r="Y269" s="4" t="s">
        <v>354</v>
      </c>
      <c r="Z269" s="3" t="s">
        <v>34</v>
      </c>
      <c r="AA269" s="5">
        <f t="shared" si="12"/>
        <v>1.05755988219259</v>
      </c>
      <c r="AB269" s="5">
        <f t="shared" si="13"/>
        <v>0.93387351526305395</v>
      </c>
      <c r="AC269" s="5">
        <f t="shared" si="14"/>
        <v>2.1729414932449499E-2</v>
      </c>
    </row>
    <row r="270" spans="1:29" ht="15" customHeight="1" x14ac:dyDescent="0.3">
      <c r="A270" s="3">
        <v>315</v>
      </c>
      <c r="B270" s="3">
        <v>63</v>
      </c>
      <c r="C270" s="3" t="s">
        <v>352</v>
      </c>
      <c r="D270" s="4" t="s">
        <v>353</v>
      </c>
      <c r="E270" s="3" t="s">
        <v>31</v>
      </c>
      <c r="F270" s="3">
        <v>2025</v>
      </c>
      <c r="G270" s="3">
        <v>1</v>
      </c>
      <c r="H270" s="3">
        <v>0</v>
      </c>
      <c r="I270" s="3">
        <v>0</v>
      </c>
      <c r="J270" s="3">
        <v>0</v>
      </c>
      <c r="K270" s="3">
        <v>44589000000</v>
      </c>
      <c r="L270" s="3">
        <v>4.55</v>
      </c>
      <c r="M270" s="3">
        <v>202879950</v>
      </c>
      <c r="N270" s="3">
        <v>1188839000</v>
      </c>
      <c r="O270" s="3">
        <v>1287341000</v>
      </c>
      <c r="P270" s="3">
        <v>30157000</v>
      </c>
      <c r="Q270" s="3">
        <v>1.08108026544637</v>
      </c>
      <c r="R270" s="3">
        <v>20.975844687730401</v>
      </c>
      <c r="S270" s="3">
        <v>0.92348414289609404</v>
      </c>
      <c r="T270" s="3">
        <v>2.3425805594632702E-2</v>
      </c>
      <c r="U270" s="3">
        <v>2003</v>
      </c>
      <c r="V270" s="3">
        <v>22</v>
      </c>
      <c r="W270" s="3">
        <v>1</v>
      </c>
      <c r="X270" s="3" t="s">
        <v>65</v>
      </c>
      <c r="Y270" s="4" t="s">
        <v>354</v>
      </c>
      <c r="Z270" s="3" t="s">
        <v>34</v>
      </c>
      <c r="AA270" s="5">
        <f t="shared" si="12"/>
        <v>1.08108026544637</v>
      </c>
      <c r="AB270" s="5">
        <f t="shared" si="13"/>
        <v>0.92348414289609404</v>
      </c>
      <c r="AC270" s="5">
        <f t="shared" si="14"/>
        <v>2.3425805594632702E-2</v>
      </c>
    </row>
    <row r="271" spans="1:29" ht="15" customHeight="1" x14ac:dyDescent="0.3">
      <c r="A271" s="3">
        <v>316</v>
      </c>
      <c r="B271" s="3">
        <v>64</v>
      </c>
      <c r="C271" s="3" t="s">
        <v>355</v>
      </c>
      <c r="D271" s="4" t="s">
        <v>356</v>
      </c>
      <c r="E271" s="3" t="s">
        <v>99</v>
      </c>
      <c r="F271" s="3">
        <v>2021</v>
      </c>
      <c r="G271" s="3">
        <v>0</v>
      </c>
      <c r="H271" s="3">
        <v>0</v>
      </c>
      <c r="I271" s="3">
        <v>0</v>
      </c>
      <c r="J271" s="3">
        <v>0</v>
      </c>
      <c r="K271" s="3">
        <v>6263000000</v>
      </c>
      <c r="L271" s="3">
        <v>0.39</v>
      </c>
      <c r="M271" s="3">
        <v>2442570</v>
      </c>
      <c r="N271" s="3">
        <v>13372000</v>
      </c>
      <c r="O271" s="3">
        <v>13089000</v>
      </c>
      <c r="P271" s="3">
        <v>-3106000</v>
      </c>
      <c r="Q271" s="3">
        <v>1.2082336312934501</v>
      </c>
      <c r="R271" s="3">
        <v>16.387282740773902</v>
      </c>
      <c r="S271" s="3">
        <v>1.0216212086484799</v>
      </c>
      <c r="T271" s="3">
        <v>-0.237298494919398</v>
      </c>
      <c r="U271" s="3">
        <v>1994</v>
      </c>
      <c r="V271" s="3">
        <v>27</v>
      </c>
      <c r="W271" s="3">
        <v>0</v>
      </c>
      <c r="X271" s="3" t="s">
        <v>78</v>
      </c>
      <c r="Y271" s="4" t="s">
        <v>357</v>
      </c>
      <c r="Z271" s="3" t="s">
        <v>34</v>
      </c>
      <c r="AA271" s="5">
        <f t="shared" si="12"/>
        <v>1.2082336312934501</v>
      </c>
      <c r="AB271" s="5">
        <f t="shared" si="13"/>
        <v>1.0216212086484799</v>
      </c>
      <c r="AC271" s="5">
        <f t="shared" si="14"/>
        <v>-0.237298494919398</v>
      </c>
    </row>
    <row r="272" spans="1:29" ht="15" customHeight="1" x14ac:dyDescent="0.3">
      <c r="A272" s="3">
        <v>317</v>
      </c>
      <c r="B272" s="3">
        <v>64</v>
      </c>
      <c r="C272" s="3" t="s">
        <v>355</v>
      </c>
      <c r="D272" s="4" t="s">
        <v>356</v>
      </c>
      <c r="E272" s="3" t="s">
        <v>99</v>
      </c>
      <c r="F272" s="3">
        <v>2022</v>
      </c>
      <c r="G272" s="3">
        <v>0</v>
      </c>
      <c r="H272" s="3">
        <v>0</v>
      </c>
      <c r="I272" s="3">
        <v>0</v>
      </c>
      <c r="J272" s="3">
        <v>0</v>
      </c>
      <c r="K272" s="3">
        <v>6263000000</v>
      </c>
      <c r="L272" s="3">
        <v>0.28000000000000003</v>
      </c>
      <c r="M272" s="3">
        <v>1753640</v>
      </c>
      <c r="N272" s="3">
        <v>13324000</v>
      </c>
      <c r="O272" s="3">
        <v>13197000</v>
      </c>
      <c r="P272" s="3">
        <v>155980</v>
      </c>
      <c r="Q272" s="3">
        <v>1.1425051147988201</v>
      </c>
      <c r="R272" s="3">
        <v>16.395500088999</v>
      </c>
      <c r="S272" s="3">
        <v>1.00962339925741</v>
      </c>
      <c r="T272" s="3">
        <v>1.1819352883231E-2</v>
      </c>
      <c r="U272" s="3">
        <v>1994</v>
      </c>
      <c r="V272" s="3">
        <v>28</v>
      </c>
      <c r="W272" s="3">
        <v>0</v>
      </c>
      <c r="X272" s="3" t="s">
        <v>78</v>
      </c>
      <c r="Y272" s="4" t="s">
        <v>357</v>
      </c>
      <c r="Z272" s="3" t="s">
        <v>34</v>
      </c>
      <c r="AA272" s="5">
        <f t="shared" si="12"/>
        <v>1.1425051147988201</v>
      </c>
      <c r="AB272" s="5">
        <f t="shared" si="13"/>
        <v>1.00962339925741</v>
      </c>
      <c r="AC272" s="5">
        <f t="shared" si="14"/>
        <v>1.1819352883231E-2</v>
      </c>
    </row>
    <row r="273" spans="1:29" ht="15" customHeight="1" x14ac:dyDescent="0.3">
      <c r="A273" s="3">
        <v>318</v>
      </c>
      <c r="B273" s="3">
        <v>64</v>
      </c>
      <c r="C273" s="3" t="s">
        <v>355</v>
      </c>
      <c r="D273" s="4" t="s">
        <v>356</v>
      </c>
      <c r="E273" s="3" t="s">
        <v>99</v>
      </c>
      <c r="F273" s="3">
        <v>2023</v>
      </c>
      <c r="G273" s="3">
        <v>1</v>
      </c>
      <c r="H273" s="3">
        <v>0</v>
      </c>
      <c r="I273" s="3">
        <v>0</v>
      </c>
      <c r="J273" s="3">
        <v>0</v>
      </c>
      <c r="K273" s="3">
        <v>6263000000</v>
      </c>
      <c r="L273" s="3">
        <v>1.7</v>
      </c>
      <c r="M273" s="3">
        <v>10647100</v>
      </c>
      <c r="N273" s="3">
        <v>15117000</v>
      </c>
      <c r="O273" s="3">
        <v>14316000</v>
      </c>
      <c r="P273" s="3">
        <v>-674040</v>
      </c>
      <c r="Q273" s="3">
        <v>1.7996716960044701</v>
      </c>
      <c r="R273" s="3">
        <v>16.476888350868101</v>
      </c>
      <c r="S273" s="3">
        <v>1.0559513830678999</v>
      </c>
      <c r="T273" s="3">
        <v>-4.7082984073763601E-2</v>
      </c>
      <c r="U273" s="3">
        <v>1994</v>
      </c>
      <c r="V273" s="3">
        <v>29</v>
      </c>
      <c r="W273" s="3">
        <v>0</v>
      </c>
      <c r="X273" s="3" t="s">
        <v>78</v>
      </c>
      <c r="Y273" s="4" t="s">
        <v>357</v>
      </c>
      <c r="Z273" s="3" t="s">
        <v>34</v>
      </c>
      <c r="AA273" s="5">
        <f t="shared" si="12"/>
        <v>1.7996716960044701</v>
      </c>
      <c r="AB273" s="5">
        <f t="shared" si="13"/>
        <v>1.0559513830678999</v>
      </c>
      <c r="AC273" s="5">
        <f t="shared" si="14"/>
        <v>-4.7082984073763601E-2</v>
      </c>
    </row>
    <row r="274" spans="1:29" ht="15" customHeight="1" x14ac:dyDescent="0.3">
      <c r="A274" s="3">
        <v>319</v>
      </c>
      <c r="B274" s="3">
        <v>64</v>
      </c>
      <c r="C274" s="3" t="s">
        <v>355</v>
      </c>
      <c r="D274" s="4" t="s">
        <v>356</v>
      </c>
      <c r="E274" s="3" t="s">
        <v>99</v>
      </c>
      <c r="F274" s="3">
        <v>2024</v>
      </c>
      <c r="G274" s="3">
        <v>1</v>
      </c>
      <c r="H274" s="3">
        <v>0</v>
      </c>
      <c r="I274" s="3">
        <v>15</v>
      </c>
      <c r="J274" s="3">
        <v>0</v>
      </c>
      <c r="K274" s="3">
        <v>14263000000</v>
      </c>
      <c r="L274" s="3">
        <v>2.0499999999999998</v>
      </c>
      <c r="M274" s="3">
        <v>29239150</v>
      </c>
      <c r="N274" s="3">
        <v>14933000</v>
      </c>
      <c r="O274" s="3">
        <v>33417000</v>
      </c>
      <c r="P274" s="3">
        <v>1680000</v>
      </c>
      <c r="Q274" s="3">
        <v>1.32184666487117</v>
      </c>
      <c r="R274" s="3">
        <v>17.324575310495401</v>
      </c>
      <c r="S274" s="3">
        <v>0.44686836041535699</v>
      </c>
      <c r="T274" s="3">
        <v>5.02738127300476E-2</v>
      </c>
      <c r="U274" s="3">
        <v>1994</v>
      </c>
      <c r="V274" s="3">
        <v>30</v>
      </c>
      <c r="W274" s="3">
        <v>0</v>
      </c>
      <c r="X274" s="3" t="s">
        <v>78</v>
      </c>
      <c r="Y274" s="4" t="s">
        <v>357</v>
      </c>
      <c r="Z274" s="3" t="s">
        <v>34</v>
      </c>
      <c r="AA274" s="5">
        <f t="shared" si="12"/>
        <v>1.32184666487117</v>
      </c>
      <c r="AB274" s="5">
        <f t="shared" si="13"/>
        <v>0.44686836041535699</v>
      </c>
      <c r="AC274" s="5">
        <f t="shared" si="14"/>
        <v>5.02738127300476E-2</v>
      </c>
    </row>
    <row r="275" spans="1:29" ht="15" customHeight="1" x14ac:dyDescent="0.3">
      <c r="A275" s="3">
        <v>320</v>
      </c>
      <c r="B275" s="3">
        <v>64</v>
      </c>
      <c r="C275" s="3" t="s">
        <v>355</v>
      </c>
      <c r="D275" s="4" t="s">
        <v>356</v>
      </c>
      <c r="E275" s="3" t="s">
        <v>99</v>
      </c>
      <c r="F275" s="3">
        <v>2025</v>
      </c>
      <c r="G275" s="3">
        <v>1</v>
      </c>
      <c r="H275" s="3">
        <v>0</v>
      </c>
      <c r="I275" s="3">
        <v>0</v>
      </c>
      <c r="J275" s="3">
        <v>0</v>
      </c>
      <c r="K275" s="3">
        <v>14263000000</v>
      </c>
      <c r="L275" s="3">
        <v>2.31</v>
      </c>
      <c r="M275" s="3">
        <v>32947530</v>
      </c>
      <c r="N275" s="3">
        <v>15088000</v>
      </c>
      <c r="O275" s="3">
        <v>33527000</v>
      </c>
      <c r="P275" s="3">
        <v>1113000</v>
      </c>
      <c r="Q275" s="3">
        <v>1.4327416708921199</v>
      </c>
      <c r="R275" s="3">
        <v>17.327861642325001</v>
      </c>
      <c r="S275" s="3">
        <v>0.45002535270080801</v>
      </c>
      <c r="T275" s="3">
        <v>3.3197124705461302E-2</v>
      </c>
      <c r="U275" s="3">
        <v>1994</v>
      </c>
      <c r="V275" s="3">
        <v>31</v>
      </c>
      <c r="W275" s="3">
        <v>0</v>
      </c>
      <c r="X275" s="3" t="s">
        <v>78</v>
      </c>
      <c r="Y275" s="4" t="s">
        <v>357</v>
      </c>
      <c r="Z275" s="3" t="s">
        <v>34</v>
      </c>
      <c r="AA275" s="5">
        <f t="shared" si="12"/>
        <v>1.4327416708921199</v>
      </c>
      <c r="AB275" s="5">
        <f t="shared" si="13"/>
        <v>0.45002535270080801</v>
      </c>
      <c r="AC275" s="5">
        <f t="shared" si="14"/>
        <v>3.3197124705461302E-2</v>
      </c>
    </row>
    <row r="276" spans="1:29" ht="15" customHeight="1" x14ac:dyDescent="0.3">
      <c r="A276" s="3">
        <v>321</v>
      </c>
      <c r="B276" s="3">
        <v>65</v>
      </c>
      <c r="C276" s="3" t="s">
        <v>358</v>
      </c>
      <c r="D276" s="4" t="s">
        <v>359</v>
      </c>
      <c r="E276" s="3" t="s">
        <v>321</v>
      </c>
      <c r="F276" s="3">
        <v>2021</v>
      </c>
      <c r="G276" s="3">
        <v>0</v>
      </c>
      <c r="H276" s="3">
        <v>0</v>
      </c>
      <c r="I276" s="3">
        <v>20</v>
      </c>
      <c r="J276" s="3">
        <v>13.3333333333333</v>
      </c>
      <c r="K276" s="3">
        <v>1600000000</v>
      </c>
      <c r="L276" s="3">
        <v>22.35</v>
      </c>
      <c r="M276" s="3">
        <v>35760000</v>
      </c>
      <c r="N276" s="3">
        <v>424126000</v>
      </c>
      <c r="O276" s="3">
        <v>477239000</v>
      </c>
      <c r="P276" s="3">
        <v>8344000</v>
      </c>
      <c r="Q276" s="3">
        <v>0.96363876380597602</v>
      </c>
      <c r="R276" s="3">
        <v>19.9835279715879</v>
      </c>
      <c r="S276" s="3">
        <v>0.88870775439559602</v>
      </c>
      <c r="T276" s="3">
        <v>1.7483902195755199E-2</v>
      </c>
      <c r="U276" s="3">
        <v>1970</v>
      </c>
      <c r="V276" s="3">
        <v>51</v>
      </c>
      <c r="W276" s="3">
        <v>1</v>
      </c>
      <c r="X276" s="3" t="s">
        <v>346</v>
      </c>
      <c r="Y276" s="4" t="s">
        <v>360</v>
      </c>
      <c r="Z276" s="3" t="s">
        <v>34</v>
      </c>
      <c r="AA276" s="5">
        <f t="shared" si="12"/>
        <v>0.96363876380597602</v>
      </c>
      <c r="AB276" s="5">
        <f t="shared" si="13"/>
        <v>0.88870775439559602</v>
      </c>
      <c r="AC276" s="5">
        <f t="shared" si="14"/>
        <v>1.7483902195755199E-2</v>
      </c>
    </row>
    <row r="277" spans="1:29" ht="15" customHeight="1" x14ac:dyDescent="0.3">
      <c r="A277" s="3">
        <v>322</v>
      </c>
      <c r="B277" s="3">
        <v>65</v>
      </c>
      <c r="C277" s="3" t="s">
        <v>358</v>
      </c>
      <c r="D277" s="4" t="s">
        <v>359</v>
      </c>
      <c r="E277" s="3" t="s">
        <v>321</v>
      </c>
      <c r="F277" s="3">
        <v>2022</v>
      </c>
      <c r="G277" s="3">
        <v>0</v>
      </c>
      <c r="H277" s="3">
        <v>0</v>
      </c>
      <c r="I277" s="3">
        <v>20</v>
      </c>
      <c r="J277" s="3">
        <v>13.3333333333333</v>
      </c>
      <c r="K277" s="3">
        <v>1600000000</v>
      </c>
      <c r="L277" s="3">
        <v>24.5</v>
      </c>
      <c r="M277" s="3">
        <v>39200000</v>
      </c>
      <c r="N277" s="3">
        <v>449210000</v>
      </c>
      <c r="O277" s="3">
        <v>506271000</v>
      </c>
      <c r="P277" s="3">
        <v>7914000</v>
      </c>
      <c r="Q277" s="3">
        <v>0.964720475792609</v>
      </c>
      <c r="R277" s="3">
        <v>20.0425826570062</v>
      </c>
      <c r="S277" s="3">
        <v>0.88729158889211501</v>
      </c>
      <c r="T277" s="3">
        <v>1.56319441563905E-2</v>
      </c>
      <c r="U277" s="3">
        <v>1970</v>
      </c>
      <c r="V277" s="3">
        <v>52</v>
      </c>
      <c r="W277" s="3">
        <v>1</v>
      </c>
      <c r="X277" s="3" t="s">
        <v>346</v>
      </c>
      <c r="Y277" s="4" t="s">
        <v>360</v>
      </c>
      <c r="Z277" s="3" t="s">
        <v>34</v>
      </c>
      <c r="AA277" s="5">
        <f t="shared" si="12"/>
        <v>0.964720475792609</v>
      </c>
      <c r="AB277" s="5">
        <f t="shared" si="13"/>
        <v>0.88729158889211501</v>
      </c>
      <c r="AC277" s="5">
        <f t="shared" si="14"/>
        <v>1.56319441563905E-2</v>
      </c>
    </row>
    <row r="278" spans="1:29" ht="15" customHeight="1" x14ac:dyDescent="0.3">
      <c r="A278" s="3">
        <v>323</v>
      </c>
      <c r="B278" s="3">
        <v>65</v>
      </c>
      <c r="C278" s="3" t="s">
        <v>358</v>
      </c>
      <c r="D278" s="4" t="s">
        <v>359</v>
      </c>
      <c r="E278" s="3" t="s">
        <v>321</v>
      </c>
      <c r="F278" s="3">
        <v>2023</v>
      </c>
      <c r="G278" s="3">
        <v>1</v>
      </c>
      <c r="H278" s="3">
        <v>0</v>
      </c>
      <c r="I278" s="3">
        <v>20</v>
      </c>
      <c r="J278" s="3">
        <v>13.3333333333333</v>
      </c>
      <c r="K278" s="3">
        <v>1600000000</v>
      </c>
      <c r="L278" s="3">
        <v>43</v>
      </c>
      <c r="M278" s="3">
        <v>68800000</v>
      </c>
      <c r="N278" s="3">
        <v>580474000</v>
      </c>
      <c r="O278" s="3">
        <v>686942000</v>
      </c>
      <c r="P278" s="3">
        <v>12553000</v>
      </c>
      <c r="Q278" s="3">
        <v>0.94516567628708104</v>
      </c>
      <c r="R278" s="3">
        <v>20.347760421586202</v>
      </c>
      <c r="S278" s="3">
        <v>0.84501166037307396</v>
      </c>
      <c r="T278" s="3">
        <v>1.8273740723379901E-2</v>
      </c>
      <c r="U278" s="3">
        <v>1970</v>
      </c>
      <c r="V278" s="3">
        <v>53</v>
      </c>
      <c r="W278" s="3">
        <v>1</v>
      </c>
      <c r="X278" s="3" t="s">
        <v>346</v>
      </c>
      <c r="Y278" s="4" t="s">
        <v>360</v>
      </c>
      <c r="Z278" s="3" t="s">
        <v>34</v>
      </c>
      <c r="AA278" s="5">
        <f t="shared" si="12"/>
        <v>0.94516567628708104</v>
      </c>
      <c r="AB278" s="5">
        <f t="shared" si="13"/>
        <v>0.84501166037307396</v>
      </c>
      <c r="AC278" s="5">
        <f t="shared" si="14"/>
        <v>1.8273740723379901E-2</v>
      </c>
    </row>
    <row r="279" spans="1:29" ht="15" customHeight="1" x14ac:dyDescent="0.3">
      <c r="A279" s="3">
        <v>324</v>
      </c>
      <c r="B279" s="3">
        <v>65</v>
      </c>
      <c r="C279" s="3" t="s">
        <v>358</v>
      </c>
      <c r="D279" s="4" t="s">
        <v>359</v>
      </c>
      <c r="E279" s="3" t="s">
        <v>321</v>
      </c>
      <c r="F279" s="3">
        <v>2024</v>
      </c>
      <c r="G279" s="3">
        <v>1</v>
      </c>
      <c r="H279" s="3">
        <v>0</v>
      </c>
      <c r="I279" s="3">
        <v>55</v>
      </c>
      <c r="J279" s="3">
        <v>20</v>
      </c>
      <c r="K279" s="3">
        <v>1600000000</v>
      </c>
      <c r="L279" s="3">
        <v>155.25</v>
      </c>
      <c r="M279" s="3">
        <v>248400000</v>
      </c>
      <c r="N279" s="3">
        <v>677255000</v>
      </c>
      <c r="O279" s="3">
        <v>1023035000</v>
      </c>
      <c r="P279" s="3">
        <v>15260000</v>
      </c>
      <c r="Q279" s="3">
        <v>0.90481264081874002</v>
      </c>
      <c r="R279" s="3">
        <v>20.7460395364294</v>
      </c>
      <c r="S279" s="3">
        <v>0.66200569872976001</v>
      </c>
      <c r="T279" s="3">
        <v>1.49164007096531E-2</v>
      </c>
      <c r="U279" s="3">
        <v>1970</v>
      </c>
      <c r="V279" s="3">
        <v>54</v>
      </c>
      <c r="W279" s="3">
        <v>1</v>
      </c>
      <c r="X279" s="3" t="s">
        <v>346</v>
      </c>
      <c r="Y279" s="4" t="s">
        <v>360</v>
      </c>
      <c r="Z279" s="3" t="s">
        <v>34</v>
      </c>
      <c r="AA279" s="5">
        <f t="shared" si="12"/>
        <v>0.90481264081874002</v>
      </c>
      <c r="AB279" s="5">
        <f t="shared" si="13"/>
        <v>0.66200569872976001</v>
      </c>
      <c r="AC279" s="5">
        <f t="shared" si="14"/>
        <v>1.49164007096531E-2</v>
      </c>
    </row>
    <row r="280" spans="1:29" ht="15" customHeight="1" x14ac:dyDescent="0.3">
      <c r="A280" s="3">
        <v>325</v>
      </c>
      <c r="B280" s="3">
        <v>65</v>
      </c>
      <c r="C280" s="3" t="s">
        <v>358</v>
      </c>
      <c r="D280" s="4" t="s">
        <v>359</v>
      </c>
      <c r="E280" s="3" t="s">
        <v>321</v>
      </c>
      <c r="F280" s="3">
        <v>2025</v>
      </c>
      <c r="G280" s="3">
        <v>1</v>
      </c>
      <c r="H280" s="3">
        <v>0</v>
      </c>
      <c r="I280" s="3">
        <v>55</v>
      </c>
      <c r="J280" s="3">
        <v>20</v>
      </c>
      <c r="K280" s="3">
        <v>1600000000</v>
      </c>
      <c r="L280" s="3">
        <v>152.9</v>
      </c>
      <c r="M280" s="3">
        <v>244640000</v>
      </c>
      <c r="N280" s="3">
        <v>792453000</v>
      </c>
      <c r="O280" s="3">
        <v>1080664000</v>
      </c>
      <c r="P280" s="3">
        <v>29908000</v>
      </c>
      <c r="Q280" s="3">
        <v>0.95968127003397896</v>
      </c>
      <c r="R280" s="3">
        <v>20.800841503976201</v>
      </c>
      <c r="S280" s="3">
        <v>0.733301932885707</v>
      </c>
      <c r="T280" s="3">
        <v>2.7675577237698298E-2</v>
      </c>
      <c r="U280" s="3">
        <v>1970</v>
      </c>
      <c r="V280" s="3">
        <v>55</v>
      </c>
      <c r="W280" s="3">
        <v>1</v>
      </c>
      <c r="X280" s="3" t="s">
        <v>346</v>
      </c>
      <c r="Y280" s="4" t="s">
        <v>360</v>
      </c>
      <c r="Z280" s="3" t="s">
        <v>34</v>
      </c>
      <c r="AA280" s="5">
        <f t="shared" si="12"/>
        <v>0.95968127003397896</v>
      </c>
      <c r="AB280" s="5">
        <f t="shared" si="13"/>
        <v>0.733301932885707</v>
      </c>
      <c r="AC280" s="5">
        <f t="shared" si="14"/>
        <v>2.7675577237698298E-2</v>
      </c>
    </row>
    <row r="281" spans="1:29" ht="15" customHeight="1" x14ac:dyDescent="0.3">
      <c r="A281" s="3">
        <v>326</v>
      </c>
      <c r="B281" s="3">
        <v>66</v>
      </c>
      <c r="C281" s="3" t="s">
        <v>361</v>
      </c>
      <c r="D281" s="4" t="s">
        <v>362</v>
      </c>
      <c r="E281" s="3" t="s">
        <v>225</v>
      </c>
      <c r="F281" s="3">
        <v>2021</v>
      </c>
      <c r="G281" s="3">
        <v>0</v>
      </c>
      <c r="H281" s="3">
        <v>0</v>
      </c>
      <c r="I281" s="3">
        <v>0</v>
      </c>
      <c r="J281" s="3">
        <v>0</v>
      </c>
      <c r="K281" s="3">
        <v>390000000</v>
      </c>
      <c r="L281" s="3">
        <v>0.72</v>
      </c>
      <c r="M281" s="3">
        <v>280800</v>
      </c>
      <c r="N281" s="3">
        <v>8919000</v>
      </c>
      <c r="O281" s="3">
        <v>10928000</v>
      </c>
      <c r="P281" s="3">
        <v>-508000</v>
      </c>
      <c r="Q281" s="3">
        <v>0.84185578330893096</v>
      </c>
      <c r="R281" s="3">
        <v>16.206838860792701</v>
      </c>
      <c r="S281" s="3">
        <v>0.81616032210834599</v>
      </c>
      <c r="T281" s="3">
        <v>-4.6486090775988302E-2</v>
      </c>
      <c r="U281" s="3">
        <v>1961</v>
      </c>
      <c r="V281" s="3">
        <v>60</v>
      </c>
      <c r="W281" s="3">
        <v>0</v>
      </c>
      <c r="X281" s="3" t="s">
        <v>238</v>
      </c>
      <c r="Y281" s="4" t="s">
        <v>363</v>
      </c>
      <c r="Z281" s="3" t="s">
        <v>34</v>
      </c>
      <c r="AA281" s="5">
        <f t="shared" si="12"/>
        <v>0.84185578330893096</v>
      </c>
      <c r="AB281" s="5">
        <f t="shared" si="13"/>
        <v>0.81616032210834599</v>
      </c>
      <c r="AC281" s="5">
        <f t="shared" si="14"/>
        <v>-4.6486090775988302E-2</v>
      </c>
    </row>
    <row r="282" spans="1:29" ht="15" customHeight="1" x14ac:dyDescent="0.3">
      <c r="A282" s="3">
        <v>327</v>
      </c>
      <c r="B282" s="3">
        <v>66</v>
      </c>
      <c r="C282" s="3" t="s">
        <v>361</v>
      </c>
      <c r="D282" s="4" t="s">
        <v>362</v>
      </c>
      <c r="E282" s="3" t="s">
        <v>225</v>
      </c>
      <c r="F282" s="3">
        <v>2022</v>
      </c>
      <c r="G282" s="3">
        <v>0</v>
      </c>
      <c r="H282" s="3">
        <v>0</v>
      </c>
      <c r="I282" s="3">
        <v>0</v>
      </c>
      <c r="J282" s="3">
        <v>0</v>
      </c>
      <c r="K282" s="3">
        <v>390000000</v>
      </c>
      <c r="L282" s="3">
        <v>0.73</v>
      </c>
      <c r="M282" s="3">
        <v>284700</v>
      </c>
      <c r="N282" s="3">
        <v>7955000</v>
      </c>
      <c r="O282" s="3">
        <v>10557000</v>
      </c>
      <c r="P282" s="3">
        <v>541000</v>
      </c>
      <c r="Q282" s="3">
        <v>0.78049635313062404</v>
      </c>
      <c r="R282" s="3">
        <v>16.172299704971799</v>
      </c>
      <c r="S282" s="3">
        <v>0.75352846452590705</v>
      </c>
      <c r="T282" s="3">
        <v>5.1245619020555098E-2</v>
      </c>
      <c r="U282" s="3">
        <v>1961</v>
      </c>
      <c r="V282" s="3">
        <v>61</v>
      </c>
      <c r="W282" s="3">
        <v>0</v>
      </c>
      <c r="X282" s="3" t="s">
        <v>238</v>
      </c>
      <c r="Y282" s="4" t="s">
        <v>363</v>
      </c>
      <c r="Z282" s="3" t="s">
        <v>34</v>
      </c>
      <c r="AA282" s="5">
        <f t="shared" si="12"/>
        <v>0.78049635313062404</v>
      </c>
      <c r="AB282" s="5">
        <f t="shared" si="13"/>
        <v>0.75352846452590705</v>
      </c>
      <c r="AC282" s="5">
        <f t="shared" si="14"/>
        <v>5.1245619020555098E-2</v>
      </c>
    </row>
    <row r="283" spans="1:29" ht="15" customHeight="1" x14ac:dyDescent="0.3">
      <c r="A283" s="3">
        <v>328</v>
      </c>
      <c r="B283" s="3">
        <v>66</v>
      </c>
      <c r="C283" s="3" t="s">
        <v>361</v>
      </c>
      <c r="D283" s="4" t="s">
        <v>362</v>
      </c>
      <c r="E283" s="3" t="s">
        <v>225</v>
      </c>
      <c r="F283" s="3">
        <v>2023</v>
      </c>
      <c r="G283" s="3">
        <v>1</v>
      </c>
      <c r="H283" s="3">
        <v>0</v>
      </c>
      <c r="I283" s="3">
        <v>0</v>
      </c>
      <c r="J283" s="3">
        <v>0</v>
      </c>
      <c r="K283" s="3">
        <v>390000000</v>
      </c>
      <c r="L283" s="3">
        <v>2.31</v>
      </c>
      <c r="M283" s="3">
        <v>900900</v>
      </c>
      <c r="N283" s="3">
        <v>12554000</v>
      </c>
      <c r="O283" s="3">
        <v>14477000</v>
      </c>
      <c r="P283" s="3">
        <v>-1000000</v>
      </c>
      <c r="Q283" s="3">
        <v>0.92939835601298604</v>
      </c>
      <c r="R283" s="3">
        <v>16.488071741136199</v>
      </c>
      <c r="S283" s="3">
        <v>0.86716861228154996</v>
      </c>
      <c r="T283" s="3">
        <v>-6.9075084616978699E-2</v>
      </c>
      <c r="U283" s="3">
        <v>1961</v>
      </c>
      <c r="V283" s="3">
        <v>62</v>
      </c>
      <c r="W283" s="3">
        <v>0</v>
      </c>
      <c r="X283" s="3" t="s">
        <v>238</v>
      </c>
      <c r="Y283" s="4" t="s">
        <v>363</v>
      </c>
      <c r="Z283" s="3" t="s">
        <v>34</v>
      </c>
      <c r="AA283" s="5">
        <f t="shared" si="12"/>
        <v>0.92939835601298604</v>
      </c>
      <c r="AB283" s="5">
        <f t="shared" si="13"/>
        <v>0.86716861228154996</v>
      </c>
      <c r="AC283" s="5">
        <f t="shared" si="14"/>
        <v>-6.9075084616978699E-2</v>
      </c>
    </row>
    <row r="284" spans="1:29" ht="15" customHeight="1" x14ac:dyDescent="0.3">
      <c r="A284" s="3">
        <v>329</v>
      </c>
      <c r="B284" s="3">
        <v>66</v>
      </c>
      <c r="C284" s="3" t="s">
        <v>361</v>
      </c>
      <c r="D284" s="4" t="s">
        <v>362</v>
      </c>
      <c r="E284" s="3" t="s">
        <v>225</v>
      </c>
      <c r="F284" s="3">
        <v>2024</v>
      </c>
      <c r="G284" s="3">
        <v>1</v>
      </c>
      <c r="H284" s="3">
        <v>0</v>
      </c>
      <c r="I284" s="3">
        <v>0</v>
      </c>
      <c r="J284" s="3">
        <v>0</v>
      </c>
      <c r="K284" s="3">
        <v>389160000</v>
      </c>
      <c r="L284" s="3">
        <v>7.79</v>
      </c>
      <c r="M284" s="3">
        <v>3031556.4</v>
      </c>
      <c r="N284" s="3">
        <v>4076000</v>
      </c>
      <c r="O284" s="3">
        <v>8873000</v>
      </c>
      <c r="P284" s="3">
        <v>2474000</v>
      </c>
      <c r="Q284" s="3">
        <v>0.80103193959202101</v>
      </c>
      <c r="R284" s="3">
        <v>15.998523515817499</v>
      </c>
      <c r="S284" s="3">
        <v>0.45937112588752399</v>
      </c>
      <c r="T284" s="3">
        <v>0.278823396821819</v>
      </c>
      <c r="U284" s="3">
        <v>1961</v>
      </c>
      <c r="V284" s="3">
        <v>63</v>
      </c>
      <c r="W284" s="3">
        <v>0</v>
      </c>
      <c r="X284" s="3" t="s">
        <v>238</v>
      </c>
      <c r="Y284" s="4" t="s">
        <v>363</v>
      </c>
      <c r="Z284" s="3" t="s">
        <v>34</v>
      </c>
      <c r="AA284" s="5">
        <f t="shared" si="12"/>
        <v>0.80103193959202101</v>
      </c>
      <c r="AB284" s="5">
        <f t="shared" si="13"/>
        <v>0.45937112588752399</v>
      </c>
      <c r="AC284" s="5">
        <f t="shared" si="14"/>
        <v>0.278823396821819</v>
      </c>
    </row>
    <row r="285" spans="1:29" ht="15" customHeight="1" x14ac:dyDescent="0.3">
      <c r="A285" s="3">
        <v>330</v>
      </c>
      <c r="B285" s="3">
        <v>66</v>
      </c>
      <c r="C285" s="3" t="s">
        <v>361</v>
      </c>
      <c r="D285" s="4" t="s">
        <v>362</v>
      </c>
      <c r="E285" s="3" t="s">
        <v>225</v>
      </c>
      <c r="F285" s="3">
        <v>2025</v>
      </c>
      <c r="G285" s="3">
        <v>1</v>
      </c>
      <c r="H285" s="3">
        <v>0</v>
      </c>
      <c r="I285" s="3">
        <v>0</v>
      </c>
      <c r="J285" s="3">
        <v>0</v>
      </c>
      <c r="K285" s="3">
        <v>389160000</v>
      </c>
      <c r="L285" s="3">
        <v>4.91</v>
      </c>
      <c r="M285" s="3">
        <v>1910775.6</v>
      </c>
      <c r="N285" s="3">
        <v>4474000</v>
      </c>
      <c r="O285" s="3">
        <v>9740000</v>
      </c>
      <c r="P285" s="3">
        <v>469000</v>
      </c>
      <c r="Q285" s="3">
        <v>0.65552110882956904</v>
      </c>
      <c r="R285" s="3">
        <v>16.091751675618699</v>
      </c>
      <c r="S285" s="3">
        <v>0.45934291581108799</v>
      </c>
      <c r="T285" s="3">
        <v>4.8151950718685797E-2</v>
      </c>
      <c r="U285" s="3">
        <v>1961</v>
      </c>
      <c r="V285" s="3">
        <v>64</v>
      </c>
      <c r="W285" s="3">
        <v>0</v>
      </c>
      <c r="X285" s="3" t="s">
        <v>238</v>
      </c>
      <c r="Y285" s="4" t="s">
        <v>363</v>
      </c>
      <c r="Z285" s="3" t="s">
        <v>34</v>
      </c>
      <c r="AA285" s="5">
        <f t="shared" si="12"/>
        <v>0.65552110882956904</v>
      </c>
      <c r="AB285" s="5">
        <f t="shared" si="13"/>
        <v>0.45934291581108799</v>
      </c>
      <c r="AC285" s="5">
        <f t="shared" si="14"/>
        <v>4.8151950718685797E-2</v>
      </c>
    </row>
    <row r="286" spans="1:29" ht="15" customHeight="1" x14ac:dyDescent="0.3">
      <c r="A286" s="3">
        <v>331</v>
      </c>
      <c r="B286" s="3">
        <v>67</v>
      </c>
      <c r="C286" s="3" t="s">
        <v>364</v>
      </c>
      <c r="D286" s="4" t="s">
        <v>365</v>
      </c>
      <c r="E286" s="3" t="s">
        <v>41</v>
      </c>
      <c r="F286" s="3">
        <v>2021</v>
      </c>
      <c r="G286" s="3">
        <v>0</v>
      </c>
      <c r="H286" s="3">
        <v>0</v>
      </c>
      <c r="I286" s="3">
        <v>0</v>
      </c>
      <c r="J286" s="3">
        <v>0</v>
      </c>
      <c r="K286" s="3">
        <v>199910000</v>
      </c>
      <c r="L286" s="3">
        <v>0.91</v>
      </c>
      <c r="M286" s="3">
        <v>181918.1</v>
      </c>
      <c r="N286" s="3">
        <v>578460</v>
      </c>
      <c r="O286" s="3">
        <v>238620</v>
      </c>
      <c r="P286" s="3">
        <v>-24420</v>
      </c>
      <c r="Q286" s="3">
        <v>3.1865648311122299</v>
      </c>
      <c r="R286" s="3">
        <v>12.3826276074298</v>
      </c>
      <c r="S286" s="3">
        <v>2.4241890872516998</v>
      </c>
      <c r="T286" s="3">
        <v>-0.102338446064873</v>
      </c>
      <c r="U286" s="3">
        <v>1972</v>
      </c>
      <c r="V286" s="3">
        <v>49</v>
      </c>
      <c r="W286" s="3">
        <v>0</v>
      </c>
      <c r="X286" s="3" t="s">
        <v>366</v>
      </c>
      <c r="Y286" s="4" t="s">
        <v>367</v>
      </c>
      <c r="Z286" s="3" t="s">
        <v>34</v>
      </c>
      <c r="AA286" s="5">
        <f t="shared" si="12"/>
        <v>3.1865648311122299</v>
      </c>
      <c r="AB286" s="5">
        <f t="shared" si="13"/>
        <v>2.4241890872516998</v>
      </c>
      <c r="AC286" s="5">
        <f t="shared" si="14"/>
        <v>-0.102338446064873</v>
      </c>
    </row>
    <row r="287" spans="1:29" ht="15" customHeight="1" x14ac:dyDescent="0.3">
      <c r="A287" s="3">
        <v>332</v>
      </c>
      <c r="B287" s="3">
        <v>67</v>
      </c>
      <c r="C287" s="3" t="s">
        <v>364</v>
      </c>
      <c r="D287" s="4" t="s">
        <v>365</v>
      </c>
      <c r="E287" s="3" t="s">
        <v>41</v>
      </c>
      <c r="F287" s="3">
        <v>2022</v>
      </c>
      <c r="G287" s="3">
        <v>0</v>
      </c>
      <c r="H287" s="3">
        <v>0</v>
      </c>
      <c r="I287" s="3">
        <v>0</v>
      </c>
      <c r="J287" s="3">
        <v>0</v>
      </c>
      <c r="K287" s="3">
        <v>200000000</v>
      </c>
      <c r="L287" s="3">
        <v>0.79</v>
      </c>
      <c r="M287" s="3">
        <v>158000</v>
      </c>
      <c r="N287" s="3">
        <v>806000</v>
      </c>
      <c r="O287" s="3">
        <v>58440</v>
      </c>
      <c r="P287" s="3">
        <v>-67000</v>
      </c>
      <c r="Q287" s="3">
        <v>16.4955509924709</v>
      </c>
      <c r="R287" s="3">
        <v>10.975755865864601</v>
      </c>
      <c r="S287" s="3">
        <v>13.791923340178</v>
      </c>
      <c r="T287" s="3">
        <v>-1.1464750171115701</v>
      </c>
      <c r="U287" s="3">
        <v>1972</v>
      </c>
      <c r="V287" s="3">
        <v>50</v>
      </c>
      <c r="W287" s="3">
        <v>0</v>
      </c>
      <c r="X287" s="3" t="s">
        <v>366</v>
      </c>
      <c r="Y287" s="4" t="s">
        <v>367</v>
      </c>
      <c r="Z287" s="3" t="s">
        <v>34</v>
      </c>
      <c r="AA287" s="5">
        <f t="shared" si="12"/>
        <v>11.329690675506347</v>
      </c>
      <c r="AB287" s="5">
        <f t="shared" si="13"/>
        <v>3.3537437882137295</v>
      </c>
      <c r="AC287" s="5">
        <f t="shared" si="14"/>
        <v>-0.69757458830250851</v>
      </c>
    </row>
    <row r="288" spans="1:29" ht="15" customHeight="1" x14ac:dyDescent="0.3">
      <c r="A288" s="3">
        <v>333</v>
      </c>
      <c r="B288" s="3">
        <v>67</v>
      </c>
      <c r="C288" s="3" t="s">
        <v>364</v>
      </c>
      <c r="D288" s="4" t="s">
        <v>365</v>
      </c>
      <c r="E288" s="3" t="s">
        <v>41</v>
      </c>
      <c r="F288" s="3">
        <v>2023</v>
      </c>
      <c r="G288" s="3">
        <v>1</v>
      </c>
      <c r="H288" s="3">
        <v>0</v>
      </c>
      <c r="I288" s="3">
        <v>0</v>
      </c>
      <c r="J288" s="3">
        <v>0</v>
      </c>
      <c r="K288" s="3">
        <v>200000000</v>
      </c>
      <c r="L288" s="3">
        <v>0.59</v>
      </c>
      <c r="M288" s="3">
        <v>118000</v>
      </c>
      <c r="N288" s="3">
        <v>909930</v>
      </c>
      <c r="O288" s="3">
        <v>162300</v>
      </c>
      <c r="P288" s="3">
        <v>-80</v>
      </c>
      <c r="Q288" s="3">
        <v>6.33351817621688</v>
      </c>
      <c r="R288" s="3">
        <v>11.997201753502701</v>
      </c>
      <c r="S288" s="3">
        <v>5.60646950092422</v>
      </c>
      <c r="T288" s="3">
        <v>-4.9291435613062196E-4</v>
      </c>
      <c r="U288" s="3">
        <v>1972</v>
      </c>
      <c r="V288" s="3">
        <v>51</v>
      </c>
      <c r="W288" s="3">
        <v>0</v>
      </c>
      <c r="X288" s="3" t="s">
        <v>366</v>
      </c>
      <c r="Y288" s="4" t="s">
        <v>367</v>
      </c>
      <c r="Z288" s="3" t="s">
        <v>34</v>
      </c>
      <c r="AA288" s="5">
        <f t="shared" si="12"/>
        <v>6.33351817621688</v>
      </c>
      <c r="AB288" s="5">
        <f t="shared" si="13"/>
        <v>3.3537437882137295</v>
      </c>
      <c r="AC288" s="5">
        <f t="shared" si="14"/>
        <v>-4.9291435613062196E-4</v>
      </c>
    </row>
    <row r="289" spans="1:29" ht="15" customHeight="1" x14ac:dyDescent="0.3">
      <c r="A289" s="3">
        <v>334</v>
      </c>
      <c r="B289" s="3">
        <v>67</v>
      </c>
      <c r="C289" s="3" t="s">
        <v>364</v>
      </c>
      <c r="D289" s="4" t="s">
        <v>365</v>
      </c>
      <c r="E289" s="3" t="s">
        <v>41</v>
      </c>
      <c r="F289" s="3">
        <v>2024</v>
      </c>
      <c r="G289" s="3">
        <v>1</v>
      </c>
      <c r="H289" s="3">
        <v>0</v>
      </c>
      <c r="I289" s="3">
        <v>0</v>
      </c>
      <c r="J289" s="3">
        <v>0</v>
      </c>
      <c r="K289" s="3">
        <v>200000000</v>
      </c>
      <c r="L289" s="3">
        <v>10.3</v>
      </c>
      <c r="M289" s="3">
        <v>2060000</v>
      </c>
      <c r="N289" s="3">
        <v>219810</v>
      </c>
      <c r="O289" s="3">
        <v>207740</v>
      </c>
      <c r="P289" s="3">
        <v>35580</v>
      </c>
      <c r="Q289" s="3">
        <v>10.9743429286608</v>
      </c>
      <c r="R289" s="3">
        <v>12.2440425767818</v>
      </c>
      <c r="S289" s="3">
        <v>1.0581014729950899</v>
      </c>
      <c r="T289" s="3">
        <v>0.17127178203523599</v>
      </c>
      <c r="U289" s="3">
        <v>1972</v>
      </c>
      <c r="V289" s="3">
        <v>52</v>
      </c>
      <c r="W289" s="3">
        <v>0</v>
      </c>
      <c r="X289" s="3" t="s">
        <v>366</v>
      </c>
      <c r="Y289" s="4" t="s">
        <v>367</v>
      </c>
      <c r="Z289" s="3" t="s">
        <v>34</v>
      </c>
      <c r="AA289" s="5">
        <f t="shared" si="12"/>
        <v>10.9743429286608</v>
      </c>
      <c r="AB289" s="5">
        <f t="shared" si="13"/>
        <v>1.0581014729950899</v>
      </c>
      <c r="AC289" s="5">
        <f t="shared" si="14"/>
        <v>0.17127178203523599</v>
      </c>
    </row>
    <row r="290" spans="1:29" ht="15" customHeight="1" x14ac:dyDescent="0.3">
      <c r="A290" s="3">
        <v>335</v>
      </c>
      <c r="B290" s="3">
        <v>67</v>
      </c>
      <c r="C290" s="3" t="s">
        <v>364</v>
      </c>
      <c r="D290" s="4" t="s">
        <v>365</v>
      </c>
      <c r="E290" s="3" t="s">
        <v>41</v>
      </c>
      <c r="F290" s="3">
        <v>2025</v>
      </c>
      <c r="G290" s="3">
        <v>1</v>
      </c>
      <c r="H290" s="3">
        <v>0</v>
      </c>
      <c r="I290" s="3">
        <v>0</v>
      </c>
      <c r="J290" s="3">
        <v>0</v>
      </c>
      <c r="K290" s="3">
        <v>200000000</v>
      </c>
      <c r="L290" s="3">
        <v>8.0500000000000007</v>
      </c>
      <c r="M290" s="3">
        <v>1610000</v>
      </c>
      <c r="N290" s="3">
        <v>156530</v>
      </c>
      <c r="O290" s="3">
        <v>129730</v>
      </c>
      <c r="P290" s="3">
        <v>20780</v>
      </c>
      <c r="Q290" s="3">
        <v>13.6169737146381</v>
      </c>
      <c r="R290" s="3">
        <v>11.773210646565101</v>
      </c>
      <c r="S290" s="3">
        <v>1.2065829029522901</v>
      </c>
      <c r="T290" s="3">
        <v>0.16017883296076499</v>
      </c>
      <c r="U290" s="3">
        <v>1972</v>
      </c>
      <c r="V290" s="3">
        <v>53</v>
      </c>
      <c r="W290" s="3">
        <v>0</v>
      </c>
      <c r="X290" s="3" t="s">
        <v>366</v>
      </c>
      <c r="Y290" s="4" t="s">
        <v>367</v>
      </c>
      <c r="Z290" s="3" t="s">
        <v>34</v>
      </c>
      <c r="AA290" s="5">
        <f t="shared" si="12"/>
        <v>11.329690675506347</v>
      </c>
      <c r="AB290" s="5">
        <f t="shared" si="13"/>
        <v>1.2065829029522901</v>
      </c>
      <c r="AC290" s="5">
        <f t="shared" si="14"/>
        <v>0.16017883296076499</v>
      </c>
    </row>
    <row r="291" spans="1:29" ht="15" customHeight="1" x14ac:dyDescent="0.3">
      <c r="A291" s="3">
        <v>336</v>
      </c>
      <c r="B291" s="3">
        <v>68</v>
      </c>
      <c r="C291" s="3" t="s">
        <v>368</v>
      </c>
      <c r="D291" s="4" t="s">
        <v>369</v>
      </c>
      <c r="E291" s="3" t="s">
        <v>31</v>
      </c>
      <c r="F291" s="3">
        <v>2021</v>
      </c>
      <c r="G291" s="3">
        <v>0</v>
      </c>
      <c r="H291" s="3">
        <v>0</v>
      </c>
      <c r="I291" s="3">
        <v>0</v>
      </c>
      <c r="J291" s="3">
        <v>0</v>
      </c>
      <c r="K291" s="3">
        <v>1834000000</v>
      </c>
      <c r="L291" s="3">
        <v>1.05</v>
      </c>
      <c r="M291" s="3">
        <v>1925700</v>
      </c>
      <c r="N291" s="3">
        <v>12650000</v>
      </c>
      <c r="O291" s="3">
        <v>23958000</v>
      </c>
      <c r="P291" s="3">
        <v>261380</v>
      </c>
      <c r="Q291" s="3">
        <v>0.60838550797228497</v>
      </c>
      <c r="R291" s="3">
        <v>16.991812855273398</v>
      </c>
      <c r="S291" s="3">
        <v>0.52800734618916401</v>
      </c>
      <c r="T291" s="3">
        <v>1.0909925703314101E-2</v>
      </c>
      <c r="U291" s="3">
        <v>1979</v>
      </c>
      <c r="V291" s="3">
        <v>42</v>
      </c>
      <c r="W291" s="3">
        <v>0</v>
      </c>
      <c r="X291" s="3" t="s">
        <v>305</v>
      </c>
      <c r="Y291" s="4" t="s">
        <v>370</v>
      </c>
      <c r="Z291" s="3" t="s">
        <v>34</v>
      </c>
      <c r="AA291" s="5">
        <f t="shared" si="12"/>
        <v>0.60838550797228497</v>
      </c>
      <c r="AB291" s="5">
        <f t="shared" si="13"/>
        <v>0.52800734618916401</v>
      </c>
      <c r="AC291" s="5">
        <f t="shared" si="14"/>
        <v>1.0909925703314101E-2</v>
      </c>
    </row>
    <row r="292" spans="1:29" ht="15" customHeight="1" x14ac:dyDescent="0.3">
      <c r="A292" s="3">
        <v>337</v>
      </c>
      <c r="B292" s="3">
        <v>68</v>
      </c>
      <c r="C292" s="3" t="s">
        <v>368</v>
      </c>
      <c r="D292" s="4" t="s">
        <v>369</v>
      </c>
      <c r="E292" s="3" t="s">
        <v>31</v>
      </c>
      <c r="F292" s="3">
        <v>2022</v>
      </c>
      <c r="G292" s="3">
        <v>0</v>
      </c>
      <c r="H292" s="3">
        <v>0</v>
      </c>
      <c r="I292" s="3">
        <v>0</v>
      </c>
      <c r="J292" s="3">
        <v>0</v>
      </c>
      <c r="K292" s="3">
        <v>1834000000</v>
      </c>
      <c r="L292" s="3">
        <v>0.87</v>
      </c>
      <c r="M292" s="3">
        <v>1595580</v>
      </c>
      <c r="N292" s="3">
        <v>13264000</v>
      </c>
      <c r="O292" s="3">
        <v>25598000</v>
      </c>
      <c r="P292" s="3">
        <v>1518000</v>
      </c>
      <c r="Q292" s="3">
        <v>0.58049769513243199</v>
      </c>
      <c r="R292" s="3">
        <v>17.058024781397901</v>
      </c>
      <c r="S292" s="3">
        <v>0.51816548167825605</v>
      </c>
      <c r="T292" s="3">
        <v>5.9301507930307099E-2</v>
      </c>
      <c r="U292" s="3">
        <v>1979</v>
      </c>
      <c r="V292" s="3">
        <v>43</v>
      </c>
      <c r="W292" s="3">
        <v>0</v>
      </c>
      <c r="X292" s="3" t="s">
        <v>305</v>
      </c>
      <c r="Y292" s="4" t="s">
        <v>370</v>
      </c>
      <c r="Z292" s="3" t="s">
        <v>34</v>
      </c>
      <c r="AA292" s="5">
        <f t="shared" si="12"/>
        <v>0.58049769513243199</v>
      </c>
      <c r="AB292" s="5">
        <f t="shared" si="13"/>
        <v>0.51816548167825605</v>
      </c>
      <c r="AC292" s="5">
        <f t="shared" si="14"/>
        <v>5.9301507930307099E-2</v>
      </c>
    </row>
    <row r="293" spans="1:29" ht="15" customHeight="1" x14ac:dyDescent="0.3">
      <c r="A293" s="3">
        <v>338</v>
      </c>
      <c r="B293" s="3">
        <v>68</v>
      </c>
      <c r="C293" s="3" t="s">
        <v>368</v>
      </c>
      <c r="D293" s="4" t="s">
        <v>369</v>
      </c>
      <c r="E293" s="3" t="s">
        <v>31</v>
      </c>
      <c r="F293" s="3">
        <v>2023</v>
      </c>
      <c r="G293" s="3">
        <v>1</v>
      </c>
      <c r="H293" s="3">
        <v>0</v>
      </c>
      <c r="I293" s="3">
        <v>0</v>
      </c>
      <c r="J293" s="3">
        <v>0</v>
      </c>
      <c r="K293" s="3">
        <v>1834000000</v>
      </c>
      <c r="L293" s="3">
        <v>1.9</v>
      </c>
      <c r="M293" s="3">
        <v>3484600</v>
      </c>
      <c r="N293" s="3">
        <v>13313000</v>
      </c>
      <c r="O293" s="3">
        <v>26970000</v>
      </c>
      <c r="P293" s="3">
        <v>1318000</v>
      </c>
      <c r="Q293" s="3">
        <v>0.622825361512792</v>
      </c>
      <c r="R293" s="3">
        <v>17.1102356951159</v>
      </c>
      <c r="S293" s="3">
        <v>0.49362254356692598</v>
      </c>
      <c r="T293" s="3">
        <v>4.88691138301817E-2</v>
      </c>
      <c r="U293" s="3">
        <v>1979</v>
      </c>
      <c r="V293" s="3">
        <v>44</v>
      </c>
      <c r="W293" s="3">
        <v>0</v>
      </c>
      <c r="X293" s="3" t="s">
        <v>305</v>
      </c>
      <c r="Y293" s="4" t="s">
        <v>370</v>
      </c>
      <c r="Z293" s="3" t="s">
        <v>34</v>
      </c>
      <c r="AA293" s="5">
        <f t="shared" si="12"/>
        <v>0.622825361512792</v>
      </c>
      <c r="AB293" s="5">
        <f t="shared" si="13"/>
        <v>0.49362254356692598</v>
      </c>
      <c r="AC293" s="5">
        <f t="shared" si="14"/>
        <v>4.88691138301817E-2</v>
      </c>
    </row>
    <row r="294" spans="1:29" ht="15" customHeight="1" x14ac:dyDescent="0.3">
      <c r="A294" s="3">
        <v>339</v>
      </c>
      <c r="B294" s="3">
        <v>68</v>
      </c>
      <c r="C294" s="3" t="s">
        <v>368</v>
      </c>
      <c r="D294" s="4" t="s">
        <v>369</v>
      </c>
      <c r="E294" s="3" t="s">
        <v>31</v>
      </c>
      <c r="F294" s="3">
        <v>2024</v>
      </c>
      <c r="G294" s="3">
        <v>1</v>
      </c>
      <c r="H294" s="3">
        <v>0</v>
      </c>
      <c r="I294" s="3">
        <v>0</v>
      </c>
      <c r="J294" s="3">
        <v>0</v>
      </c>
      <c r="K294" s="3">
        <v>1834000000</v>
      </c>
      <c r="L294" s="3">
        <v>3.09</v>
      </c>
      <c r="M294" s="3">
        <v>5667060</v>
      </c>
      <c r="N294" s="3">
        <v>19002000</v>
      </c>
      <c r="O294" s="3">
        <v>31264000</v>
      </c>
      <c r="P294" s="3">
        <v>1819000</v>
      </c>
      <c r="Q294" s="3">
        <v>0.78905642272262</v>
      </c>
      <c r="R294" s="3">
        <v>17.257977833824601</v>
      </c>
      <c r="S294" s="3">
        <v>0.60779170931422699</v>
      </c>
      <c r="T294" s="3">
        <v>5.8181934493347E-2</v>
      </c>
      <c r="U294" s="3">
        <v>1979</v>
      </c>
      <c r="V294" s="3">
        <v>45</v>
      </c>
      <c r="W294" s="3">
        <v>0</v>
      </c>
      <c r="X294" s="3" t="s">
        <v>305</v>
      </c>
      <c r="Y294" s="4" t="s">
        <v>370</v>
      </c>
      <c r="Z294" s="3" t="s">
        <v>34</v>
      </c>
      <c r="AA294" s="5">
        <f t="shared" si="12"/>
        <v>0.78905642272262</v>
      </c>
      <c r="AB294" s="5">
        <f t="shared" si="13"/>
        <v>0.60779170931422699</v>
      </c>
      <c r="AC294" s="5">
        <f t="shared" si="14"/>
        <v>5.8181934493347E-2</v>
      </c>
    </row>
    <row r="295" spans="1:29" ht="15" customHeight="1" x14ac:dyDescent="0.3">
      <c r="A295" s="3">
        <v>340</v>
      </c>
      <c r="B295" s="3">
        <v>68</v>
      </c>
      <c r="C295" s="3" t="s">
        <v>368</v>
      </c>
      <c r="D295" s="4" t="s">
        <v>369</v>
      </c>
      <c r="E295" s="3" t="s">
        <v>31</v>
      </c>
      <c r="F295" s="3">
        <v>2025</v>
      </c>
      <c r="G295" s="3">
        <v>1</v>
      </c>
      <c r="H295" s="3">
        <v>0</v>
      </c>
      <c r="I295" s="3">
        <v>0</v>
      </c>
      <c r="J295" s="3">
        <v>0</v>
      </c>
      <c r="K295" s="3">
        <v>11084000000</v>
      </c>
      <c r="L295" s="3">
        <v>2.4500000000000002</v>
      </c>
      <c r="M295" s="3">
        <v>27155800</v>
      </c>
      <c r="N295" s="3">
        <v>19219000</v>
      </c>
      <c r="O295" s="3">
        <v>39628000</v>
      </c>
      <c r="P295" s="3">
        <v>-2801000</v>
      </c>
      <c r="Q295" s="3">
        <v>1.1702533562127799</v>
      </c>
      <c r="R295" s="3">
        <v>17.495046497075101</v>
      </c>
      <c r="S295" s="3">
        <v>0.484985363884122</v>
      </c>
      <c r="T295" s="3">
        <v>-7.0682345816089606E-2</v>
      </c>
      <c r="U295" s="3">
        <v>1979</v>
      </c>
      <c r="V295" s="3">
        <v>46</v>
      </c>
      <c r="W295" s="3">
        <v>0</v>
      </c>
      <c r="X295" s="3" t="s">
        <v>305</v>
      </c>
      <c r="Y295" s="4" t="s">
        <v>370</v>
      </c>
      <c r="Z295" s="3" t="s">
        <v>34</v>
      </c>
      <c r="AA295" s="5">
        <f t="shared" si="12"/>
        <v>1.1702533562127799</v>
      </c>
      <c r="AB295" s="5">
        <f t="shared" si="13"/>
        <v>0.484985363884122</v>
      </c>
      <c r="AC295" s="5">
        <f t="shared" si="14"/>
        <v>-7.0682345816089606E-2</v>
      </c>
    </row>
    <row r="296" spans="1:29" ht="15" customHeight="1" x14ac:dyDescent="0.3">
      <c r="A296" s="3">
        <v>341</v>
      </c>
      <c r="B296" s="3">
        <v>69</v>
      </c>
      <c r="C296" s="3" t="s">
        <v>371</v>
      </c>
      <c r="D296" s="4" t="s">
        <v>372</v>
      </c>
      <c r="E296" s="3" t="s">
        <v>41</v>
      </c>
      <c r="F296" s="3">
        <v>2021</v>
      </c>
      <c r="G296" s="3">
        <v>0</v>
      </c>
      <c r="H296" s="3">
        <v>0</v>
      </c>
      <c r="I296" s="3">
        <v>0</v>
      </c>
      <c r="J296" s="3">
        <v>0</v>
      </c>
      <c r="K296" s="3">
        <v>771450000</v>
      </c>
      <c r="L296" s="3">
        <v>1.17</v>
      </c>
      <c r="M296" s="3">
        <v>902596.5</v>
      </c>
      <c r="N296" s="3">
        <v>1238450</v>
      </c>
      <c r="O296" s="3">
        <v>4467224</v>
      </c>
      <c r="P296" s="3">
        <v>161082</v>
      </c>
      <c r="Q296" s="3">
        <v>0.47927896608721698</v>
      </c>
      <c r="R296" s="3">
        <v>15.312277744588499</v>
      </c>
      <c r="S296" s="3">
        <v>0.27723033364792099</v>
      </c>
      <c r="T296" s="3">
        <v>3.6058635071803E-2</v>
      </c>
      <c r="U296" s="3">
        <v>1961</v>
      </c>
      <c r="V296" s="3">
        <v>60</v>
      </c>
      <c r="W296" s="3">
        <v>0</v>
      </c>
      <c r="X296" s="3" t="s">
        <v>179</v>
      </c>
      <c r="Y296" s="4" t="s">
        <v>373</v>
      </c>
      <c r="Z296" s="3" t="s">
        <v>34</v>
      </c>
      <c r="AA296" s="5">
        <f t="shared" si="12"/>
        <v>0.47927896608721698</v>
      </c>
      <c r="AB296" s="5">
        <f t="shared" si="13"/>
        <v>0.27723033364792099</v>
      </c>
      <c r="AC296" s="5">
        <f t="shared" si="14"/>
        <v>3.6058635071803E-2</v>
      </c>
    </row>
    <row r="297" spans="1:29" ht="15" customHeight="1" x14ac:dyDescent="0.3">
      <c r="A297" s="3">
        <v>342</v>
      </c>
      <c r="B297" s="3">
        <v>69</v>
      </c>
      <c r="C297" s="3" t="s">
        <v>371</v>
      </c>
      <c r="D297" s="4" t="s">
        <v>372</v>
      </c>
      <c r="E297" s="3" t="s">
        <v>41</v>
      </c>
      <c r="F297" s="3">
        <v>2022</v>
      </c>
      <c r="G297" s="3">
        <v>0</v>
      </c>
      <c r="H297" s="3">
        <v>0</v>
      </c>
      <c r="I297" s="3">
        <v>0</v>
      </c>
      <c r="J297" s="3">
        <v>0</v>
      </c>
      <c r="K297" s="3">
        <v>867880000</v>
      </c>
      <c r="L297" s="3">
        <v>1.04</v>
      </c>
      <c r="M297" s="3">
        <v>902595.2</v>
      </c>
      <c r="N297" s="3">
        <v>1430000</v>
      </c>
      <c r="O297" s="3">
        <v>4945000</v>
      </c>
      <c r="P297" s="3">
        <v>401580</v>
      </c>
      <c r="Q297" s="3">
        <v>0.47170782608695699</v>
      </c>
      <c r="R297" s="3">
        <v>15.413887523039</v>
      </c>
      <c r="S297" s="3">
        <v>0.28918099089989902</v>
      </c>
      <c r="T297" s="3">
        <v>8.1209302325581406E-2</v>
      </c>
      <c r="U297" s="3">
        <v>1961</v>
      </c>
      <c r="V297" s="3">
        <v>61</v>
      </c>
      <c r="W297" s="3">
        <v>0</v>
      </c>
      <c r="X297" s="3" t="s">
        <v>179</v>
      </c>
      <c r="Y297" s="4" t="s">
        <v>374</v>
      </c>
      <c r="Z297" s="3" t="s">
        <v>34</v>
      </c>
      <c r="AA297" s="5">
        <f t="shared" si="12"/>
        <v>0.47170782608695699</v>
      </c>
      <c r="AB297" s="5">
        <f t="shared" si="13"/>
        <v>0.28918099089989902</v>
      </c>
      <c r="AC297" s="5">
        <f t="shared" si="14"/>
        <v>8.1209302325581406E-2</v>
      </c>
    </row>
    <row r="298" spans="1:29" ht="15" customHeight="1" x14ac:dyDescent="0.3">
      <c r="A298" s="3">
        <v>343</v>
      </c>
      <c r="B298" s="3">
        <v>69</v>
      </c>
      <c r="C298" s="3" t="s">
        <v>371</v>
      </c>
      <c r="D298" s="4" t="s">
        <v>372</v>
      </c>
      <c r="E298" s="3" t="s">
        <v>41</v>
      </c>
      <c r="F298" s="3">
        <v>2023</v>
      </c>
      <c r="G298" s="3">
        <v>1</v>
      </c>
      <c r="H298" s="3">
        <v>0</v>
      </c>
      <c r="I298" s="3">
        <v>0</v>
      </c>
      <c r="J298" s="3">
        <v>0</v>
      </c>
      <c r="K298" s="3">
        <v>867880000</v>
      </c>
      <c r="L298" s="3">
        <v>1.96</v>
      </c>
      <c r="M298" s="3">
        <v>1701044.8</v>
      </c>
      <c r="N298" s="3">
        <v>1403000</v>
      </c>
      <c r="O298" s="3">
        <v>5192000</v>
      </c>
      <c r="P298" s="3">
        <v>429530</v>
      </c>
      <c r="Q298" s="3">
        <v>0.59785146379044696</v>
      </c>
      <c r="R298" s="3">
        <v>15.4626295373661</v>
      </c>
      <c r="S298" s="3">
        <v>0.27022342064714899</v>
      </c>
      <c r="T298" s="3">
        <v>8.2729198767334394E-2</v>
      </c>
      <c r="U298" s="3">
        <v>1961</v>
      </c>
      <c r="V298" s="3">
        <v>62</v>
      </c>
      <c r="W298" s="3">
        <v>0</v>
      </c>
      <c r="X298" s="3" t="s">
        <v>179</v>
      </c>
      <c r="Y298" s="4" t="s">
        <v>374</v>
      </c>
      <c r="Z298" s="3" t="s">
        <v>34</v>
      </c>
      <c r="AA298" s="5">
        <f t="shared" si="12"/>
        <v>0.59785146379044696</v>
      </c>
      <c r="AB298" s="5">
        <f t="shared" si="13"/>
        <v>0.27022342064714899</v>
      </c>
      <c r="AC298" s="5">
        <f t="shared" si="14"/>
        <v>8.2729198767334394E-2</v>
      </c>
    </row>
    <row r="299" spans="1:29" ht="15" customHeight="1" x14ac:dyDescent="0.3">
      <c r="A299" s="3">
        <v>344</v>
      </c>
      <c r="B299" s="3">
        <v>69</v>
      </c>
      <c r="C299" s="3" t="s">
        <v>371</v>
      </c>
      <c r="D299" s="4" t="s">
        <v>372</v>
      </c>
      <c r="E299" s="3" t="s">
        <v>41</v>
      </c>
      <c r="F299" s="3">
        <v>2024</v>
      </c>
      <c r="G299" s="3">
        <v>1</v>
      </c>
      <c r="H299" s="3">
        <v>0</v>
      </c>
      <c r="I299" s="3">
        <v>0</v>
      </c>
      <c r="J299" s="3">
        <v>0</v>
      </c>
      <c r="K299" s="3">
        <v>867880000</v>
      </c>
      <c r="L299" s="3">
        <v>2.84</v>
      </c>
      <c r="M299" s="3">
        <v>2464779.2000000002</v>
      </c>
      <c r="N299" s="3">
        <v>1255000</v>
      </c>
      <c r="O299" s="3">
        <v>4863000</v>
      </c>
      <c r="P299" s="3">
        <v>11200</v>
      </c>
      <c r="Q299" s="3">
        <v>0.76491449722393601</v>
      </c>
      <c r="R299" s="3">
        <v>15.3971660893859</v>
      </c>
      <c r="S299" s="3">
        <v>0.25807114949619597</v>
      </c>
      <c r="T299" s="3">
        <v>2.3031050791692399E-3</v>
      </c>
      <c r="U299" s="3">
        <v>1961</v>
      </c>
      <c r="V299" s="3">
        <v>63</v>
      </c>
      <c r="W299" s="3">
        <v>0</v>
      </c>
      <c r="X299" s="3" t="s">
        <v>179</v>
      </c>
      <c r="Y299" s="4" t="s">
        <v>374</v>
      </c>
      <c r="Z299" s="3" t="s">
        <v>34</v>
      </c>
      <c r="AA299" s="5">
        <f t="shared" si="12"/>
        <v>0.76491449722393601</v>
      </c>
      <c r="AB299" s="5">
        <f t="shared" si="13"/>
        <v>0.25807114949619597</v>
      </c>
      <c r="AC299" s="5">
        <f t="shared" si="14"/>
        <v>2.3031050791692399E-3</v>
      </c>
    </row>
    <row r="300" spans="1:29" ht="15" customHeight="1" x14ac:dyDescent="0.3">
      <c r="A300" s="3">
        <v>345</v>
      </c>
      <c r="B300" s="3">
        <v>69</v>
      </c>
      <c r="C300" s="3" t="s">
        <v>371</v>
      </c>
      <c r="D300" s="4" t="s">
        <v>372</v>
      </c>
      <c r="E300" s="3" t="s">
        <v>41</v>
      </c>
      <c r="F300" s="3">
        <v>2025</v>
      </c>
      <c r="G300" s="3">
        <v>1</v>
      </c>
      <c r="H300" s="3">
        <v>0</v>
      </c>
      <c r="I300" s="3">
        <v>0</v>
      </c>
      <c r="J300" s="3">
        <v>0</v>
      </c>
      <c r="K300" s="3">
        <v>867880000</v>
      </c>
      <c r="L300" s="3">
        <v>4.51</v>
      </c>
      <c r="M300" s="3">
        <v>3914138.8</v>
      </c>
      <c r="N300" s="3">
        <v>1825000</v>
      </c>
      <c r="O300" s="3">
        <v>5908000</v>
      </c>
      <c r="P300" s="3">
        <v>474980</v>
      </c>
      <c r="Q300" s="3">
        <v>0.97141821259309402</v>
      </c>
      <c r="R300" s="3">
        <v>15.5918179226334</v>
      </c>
      <c r="S300" s="3">
        <v>0.30890318212593099</v>
      </c>
      <c r="T300" s="3">
        <v>8.0396073121191597E-2</v>
      </c>
      <c r="U300" s="3">
        <v>1961</v>
      </c>
      <c r="V300" s="3">
        <v>64</v>
      </c>
      <c r="W300" s="3">
        <v>0</v>
      </c>
      <c r="X300" s="3" t="s">
        <v>179</v>
      </c>
      <c r="Y300" s="4" t="s">
        <v>374</v>
      </c>
      <c r="Z300" s="3" t="s">
        <v>34</v>
      </c>
      <c r="AA300" s="5">
        <f t="shared" si="12"/>
        <v>0.97141821259309402</v>
      </c>
      <c r="AB300" s="5">
        <f t="shared" si="13"/>
        <v>0.30890318212593099</v>
      </c>
      <c r="AC300" s="5">
        <f t="shared" si="14"/>
        <v>8.0396073121191597E-2</v>
      </c>
    </row>
    <row r="301" spans="1:29" ht="15" customHeight="1" x14ac:dyDescent="0.3">
      <c r="A301" s="3">
        <v>350</v>
      </c>
      <c r="B301" s="3">
        <v>70</v>
      </c>
      <c r="C301" s="3" t="s">
        <v>375</v>
      </c>
      <c r="D301" s="4" t="s">
        <v>376</v>
      </c>
      <c r="E301" s="3" t="s">
        <v>90</v>
      </c>
      <c r="F301" s="3">
        <v>2025</v>
      </c>
      <c r="G301" s="3">
        <v>1</v>
      </c>
      <c r="H301" s="3">
        <v>0</v>
      </c>
      <c r="I301" s="3">
        <v>0</v>
      </c>
      <c r="J301" s="3">
        <v>0</v>
      </c>
      <c r="K301" s="3">
        <v>2000000000</v>
      </c>
      <c r="L301" s="3">
        <v>5.29</v>
      </c>
      <c r="M301" s="3">
        <v>10580000</v>
      </c>
      <c r="N301" s="3">
        <v>467000</v>
      </c>
      <c r="O301" s="3">
        <v>3337000</v>
      </c>
      <c r="P301" s="3">
        <v>142457</v>
      </c>
      <c r="Q301" s="3">
        <v>3.31045849565478</v>
      </c>
      <c r="R301" s="3">
        <v>15.0205827577335</v>
      </c>
      <c r="S301" s="3">
        <v>0.139946059334732</v>
      </c>
      <c r="T301" s="3">
        <v>4.2690140845070397E-2</v>
      </c>
      <c r="U301" s="3">
        <v>2021</v>
      </c>
      <c r="V301" s="3">
        <v>4</v>
      </c>
      <c r="W301" s="3">
        <v>0</v>
      </c>
      <c r="X301" s="3" t="s">
        <v>377</v>
      </c>
      <c r="Y301" s="4" t="s">
        <v>378</v>
      </c>
      <c r="Z301" s="3" t="s">
        <v>34</v>
      </c>
      <c r="AA301" s="5">
        <f t="shared" si="12"/>
        <v>3.31045849565478</v>
      </c>
      <c r="AB301" s="5">
        <f t="shared" si="13"/>
        <v>0.139946059334732</v>
      </c>
      <c r="AC301" s="5">
        <f t="shared" si="14"/>
        <v>4.2690140845070397E-2</v>
      </c>
    </row>
    <row r="302" spans="1:29" ht="15" customHeight="1" x14ac:dyDescent="0.3">
      <c r="A302" s="3">
        <v>351</v>
      </c>
      <c r="B302" s="3">
        <v>71</v>
      </c>
      <c r="C302" s="3" t="s">
        <v>379</v>
      </c>
      <c r="D302" s="4" t="s">
        <v>380</v>
      </c>
      <c r="E302" s="3" t="s">
        <v>31</v>
      </c>
      <c r="F302" s="3">
        <v>2021</v>
      </c>
      <c r="G302" s="3">
        <v>0</v>
      </c>
      <c r="H302" s="3">
        <v>0</v>
      </c>
      <c r="I302" s="3">
        <v>0</v>
      </c>
      <c r="J302" s="3">
        <v>0</v>
      </c>
      <c r="K302" s="3">
        <v>18480000000</v>
      </c>
      <c r="L302" s="3">
        <v>0.29980000000000001</v>
      </c>
      <c r="M302" s="3">
        <v>5540304</v>
      </c>
      <c r="N302" s="3">
        <v>13147000</v>
      </c>
      <c r="O302" s="3">
        <v>20247000</v>
      </c>
      <c r="P302" s="3">
        <v>1233000</v>
      </c>
      <c r="Q302" s="3">
        <v>0.92296656294759705</v>
      </c>
      <c r="R302" s="3">
        <v>16.823517192393702</v>
      </c>
      <c r="S302" s="3">
        <v>0.64933076505161302</v>
      </c>
      <c r="T302" s="3">
        <v>6.0897910801600202E-2</v>
      </c>
      <c r="U302" s="3">
        <v>1991</v>
      </c>
      <c r="V302" s="3">
        <v>30</v>
      </c>
      <c r="W302" s="3">
        <v>1</v>
      </c>
      <c r="X302" s="3" t="s">
        <v>381</v>
      </c>
      <c r="Y302" s="4" t="s">
        <v>382</v>
      </c>
      <c r="Z302" s="3" t="s">
        <v>34</v>
      </c>
      <c r="AA302" s="5">
        <f t="shared" si="12"/>
        <v>0.92296656294759705</v>
      </c>
      <c r="AB302" s="5">
        <f t="shared" si="13"/>
        <v>0.64933076505161302</v>
      </c>
      <c r="AC302" s="5">
        <f t="shared" si="14"/>
        <v>6.0897910801600202E-2</v>
      </c>
    </row>
    <row r="303" spans="1:29" ht="15" customHeight="1" x14ac:dyDescent="0.3">
      <c r="A303" s="3">
        <v>352</v>
      </c>
      <c r="B303" s="3">
        <v>71</v>
      </c>
      <c r="C303" s="3" t="s">
        <v>379</v>
      </c>
      <c r="D303" s="4" t="s">
        <v>380</v>
      </c>
      <c r="E303" s="3" t="s">
        <v>31</v>
      </c>
      <c r="F303" s="3">
        <v>2022</v>
      </c>
      <c r="G303" s="3">
        <v>0</v>
      </c>
      <c r="H303" s="3">
        <v>0</v>
      </c>
      <c r="I303" s="3">
        <v>0</v>
      </c>
      <c r="J303" s="3">
        <v>0</v>
      </c>
      <c r="K303" s="3">
        <v>18480000000</v>
      </c>
      <c r="L303" s="3">
        <v>0.35</v>
      </c>
      <c r="M303" s="3">
        <v>6468000</v>
      </c>
      <c r="N303" s="3">
        <v>15935000</v>
      </c>
      <c r="O303" s="3">
        <v>23631000</v>
      </c>
      <c r="P303" s="3">
        <v>1401000</v>
      </c>
      <c r="Q303" s="3">
        <v>0.948034361643604</v>
      </c>
      <c r="R303" s="3">
        <v>16.978069967353601</v>
      </c>
      <c r="S303" s="3">
        <v>0.67432609707587499</v>
      </c>
      <c r="T303" s="3">
        <v>5.9286530404976501E-2</v>
      </c>
      <c r="U303" s="3">
        <v>1991</v>
      </c>
      <c r="V303" s="3">
        <v>31</v>
      </c>
      <c r="W303" s="3">
        <v>1</v>
      </c>
      <c r="X303" s="3" t="s">
        <v>381</v>
      </c>
      <c r="Y303" s="4" t="s">
        <v>382</v>
      </c>
      <c r="Z303" s="3" t="s">
        <v>34</v>
      </c>
      <c r="AA303" s="5">
        <f t="shared" si="12"/>
        <v>0.948034361643604</v>
      </c>
      <c r="AB303" s="5">
        <f t="shared" si="13"/>
        <v>0.67432609707587499</v>
      </c>
      <c r="AC303" s="5">
        <f t="shared" si="14"/>
        <v>5.9286530404976501E-2</v>
      </c>
    </row>
    <row r="304" spans="1:29" ht="15" customHeight="1" x14ac:dyDescent="0.3">
      <c r="A304" s="3">
        <v>353</v>
      </c>
      <c r="B304" s="3">
        <v>71</v>
      </c>
      <c r="C304" s="3" t="s">
        <v>379</v>
      </c>
      <c r="D304" s="4" t="s">
        <v>380</v>
      </c>
      <c r="E304" s="3" t="s">
        <v>31</v>
      </c>
      <c r="F304" s="3">
        <v>2023</v>
      </c>
      <c r="G304" s="3">
        <v>1</v>
      </c>
      <c r="H304" s="3">
        <v>0</v>
      </c>
      <c r="I304" s="3">
        <v>0</v>
      </c>
      <c r="J304" s="3">
        <v>0</v>
      </c>
      <c r="K304" s="3">
        <v>18480000000</v>
      </c>
      <c r="L304" s="3">
        <v>0.45</v>
      </c>
      <c r="M304" s="3">
        <v>8316000</v>
      </c>
      <c r="N304" s="3">
        <v>19260000</v>
      </c>
      <c r="O304" s="3">
        <v>28130000</v>
      </c>
      <c r="P304" s="3">
        <v>1674000</v>
      </c>
      <c r="Q304" s="3">
        <v>0.980305723426946</v>
      </c>
      <c r="R304" s="3">
        <v>17.152347180465998</v>
      </c>
      <c r="S304" s="3">
        <v>0.684678279416993</v>
      </c>
      <c r="T304" s="3">
        <v>5.9509420547458197E-2</v>
      </c>
      <c r="U304" s="3">
        <v>1991</v>
      </c>
      <c r="V304" s="3">
        <v>32</v>
      </c>
      <c r="W304" s="3">
        <v>1</v>
      </c>
      <c r="X304" s="3" t="s">
        <v>381</v>
      </c>
      <c r="Y304" s="4" t="s">
        <v>382</v>
      </c>
      <c r="Z304" s="3" t="s">
        <v>34</v>
      </c>
      <c r="AA304" s="5">
        <f t="shared" si="12"/>
        <v>0.980305723426946</v>
      </c>
      <c r="AB304" s="5">
        <f t="shared" si="13"/>
        <v>0.684678279416993</v>
      </c>
      <c r="AC304" s="5">
        <f t="shared" si="14"/>
        <v>5.9509420547458197E-2</v>
      </c>
    </row>
    <row r="305" spans="1:29" ht="15" customHeight="1" x14ac:dyDescent="0.3">
      <c r="A305" s="3">
        <v>354</v>
      </c>
      <c r="B305" s="3">
        <v>71</v>
      </c>
      <c r="C305" s="3" t="s">
        <v>379</v>
      </c>
      <c r="D305" s="4" t="s">
        <v>380</v>
      </c>
      <c r="E305" s="3" t="s">
        <v>31</v>
      </c>
      <c r="F305" s="3">
        <v>2024</v>
      </c>
      <c r="G305" s="3">
        <v>1</v>
      </c>
      <c r="H305" s="3">
        <v>0</v>
      </c>
      <c r="I305" s="3">
        <v>0</v>
      </c>
      <c r="J305" s="3">
        <v>0</v>
      </c>
      <c r="K305" s="3">
        <v>18480000000</v>
      </c>
      <c r="L305" s="3">
        <v>0.63249999999999995</v>
      </c>
      <c r="M305" s="3">
        <v>11688600</v>
      </c>
      <c r="N305" s="3">
        <v>23940000</v>
      </c>
      <c r="O305" s="3">
        <v>34580000</v>
      </c>
      <c r="P305" s="3">
        <v>2050000</v>
      </c>
      <c r="Q305" s="3">
        <v>1.03032388663968</v>
      </c>
      <c r="R305" s="3">
        <v>17.358786038219399</v>
      </c>
      <c r="S305" s="3">
        <v>0.69230769230769196</v>
      </c>
      <c r="T305" s="3">
        <v>5.9282822440717198E-2</v>
      </c>
      <c r="U305" s="3">
        <v>1991</v>
      </c>
      <c r="V305" s="3">
        <v>33</v>
      </c>
      <c r="W305" s="3">
        <v>1</v>
      </c>
      <c r="X305" s="3" t="s">
        <v>381</v>
      </c>
      <c r="Y305" s="4" t="s">
        <v>382</v>
      </c>
      <c r="Z305" s="3" t="s">
        <v>34</v>
      </c>
      <c r="AA305" s="5">
        <f t="shared" si="12"/>
        <v>1.03032388663968</v>
      </c>
      <c r="AB305" s="5">
        <f t="shared" si="13"/>
        <v>0.69230769230769196</v>
      </c>
      <c r="AC305" s="5">
        <f t="shared" si="14"/>
        <v>5.9282822440717198E-2</v>
      </c>
    </row>
    <row r="306" spans="1:29" ht="15" customHeight="1" x14ac:dyDescent="0.3">
      <c r="A306" s="3">
        <v>355</v>
      </c>
      <c r="B306" s="3">
        <v>71</v>
      </c>
      <c r="C306" s="3" t="s">
        <v>379</v>
      </c>
      <c r="D306" s="4" t="s">
        <v>380</v>
      </c>
      <c r="E306" s="3" t="s">
        <v>31</v>
      </c>
      <c r="F306" s="3">
        <v>2025</v>
      </c>
      <c r="G306" s="3">
        <v>1</v>
      </c>
      <c r="H306" s="3">
        <v>0</v>
      </c>
      <c r="I306" s="3">
        <v>0</v>
      </c>
      <c r="J306" s="3">
        <v>0</v>
      </c>
      <c r="K306" s="3">
        <v>18480000000</v>
      </c>
      <c r="L306" s="3">
        <v>0.76919999999999999</v>
      </c>
      <c r="M306" s="3">
        <v>14214816</v>
      </c>
      <c r="N306" s="3">
        <v>27610000</v>
      </c>
      <c r="O306" s="3">
        <v>40120000</v>
      </c>
      <c r="P306" s="3">
        <v>2290000</v>
      </c>
      <c r="Q306" s="3">
        <v>1.0424929212362899</v>
      </c>
      <c r="R306" s="3">
        <v>17.507385521058001</v>
      </c>
      <c r="S306" s="3">
        <v>0.68818544366899304</v>
      </c>
      <c r="T306" s="3">
        <v>5.7078763708873402E-2</v>
      </c>
      <c r="U306" s="3">
        <v>1991</v>
      </c>
      <c r="V306" s="3">
        <v>34</v>
      </c>
      <c r="W306" s="3">
        <v>1</v>
      </c>
      <c r="X306" s="3" t="s">
        <v>381</v>
      </c>
      <c r="Y306" s="4" t="s">
        <v>383</v>
      </c>
      <c r="Z306" s="3" t="s">
        <v>34</v>
      </c>
      <c r="AA306" s="5">
        <f t="shared" si="12"/>
        <v>1.0424929212362899</v>
      </c>
      <c r="AB306" s="5">
        <f t="shared" si="13"/>
        <v>0.68818544366899304</v>
      </c>
      <c r="AC306" s="5">
        <f t="shared" si="14"/>
        <v>5.7078763708873402E-2</v>
      </c>
    </row>
    <row r="307" spans="1:29" ht="15" customHeight="1" x14ac:dyDescent="0.3">
      <c r="A307" s="3">
        <v>356</v>
      </c>
      <c r="B307" s="3">
        <v>72</v>
      </c>
      <c r="C307" s="3" t="s">
        <v>384</v>
      </c>
      <c r="D307" s="4" t="s">
        <v>385</v>
      </c>
      <c r="E307" s="3" t="s">
        <v>248</v>
      </c>
      <c r="F307" s="3">
        <v>2021</v>
      </c>
      <c r="G307" s="3">
        <v>0</v>
      </c>
      <c r="H307" s="3">
        <v>0</v>
      </c>
      <c r="I307" s="3">
        <v>0</v>
      </c>
      <c r="J307" s="3">
        <v>0</v>
      </c>
      <c r="K307" s="3">
        <v>3000000000</v>
      </c>
      <c r="L307" s="3">
        <v>0.92</v>
      </c>
      <c r="M307" s="3">
        <v>2760000</v>
      </c>
      <c r="N307" s="3">
        <v>4890000</v>
      </c>
      <c r="O307" s="3">
        <v>9120000</v>
      </c>
      <c r="P307" s="3">
        <v>612000</v>
      </c>
      <c r="Q307" s="3">
        <v>0.83881578947368396</v>
      </c>
      <c r="R307" s="3">
        <v>16.0259803620505</v>
      </c>
      <c r="S307" s="3">
        <v>0.53618421052631604</v>
      </c>
      <c r="T307" s="3">
        <v>6.7105263157894696E-2</v>
      </c>
      <c r="U307" s="3">
        <v>1963</v>
      </c>
      <c r="V307" s="3">
        <v>58</v>
      </c>
      <c r="W307" s="3">
        <v>1</v>
      </c>
      <c r="X307" s="3" t="s">
        <v>386</v>
      </c>
      <c r="Y307" s="4" t="s">
        <v>387</v>
      </c>
      <c r="Z307" s="3" t="s">
        <v>34</v>
      </c>
      <c r="AA307" s="5">
        <f t="shared" si="12"/>
        <v>0.83881578947368396</v>
      </c>
      <c r="AB307" s="5">
        <f t="shared" si="13"/>
        <v>0.53618421052631604</v>
      </c>
      <c r="AC307" s="5">
        <f t="shared" si="14"/>
        <v>6.7105263157894696E-2</v>
      </c>
    </row>
    <row r="308" spans="1:29" ht="15" customHeight="1" x14ac:dyDescent="0.3">
      <c r="A308" s="3">
        <v>357</v>
      </c>
      <c r="B308" s="3">
        <v>72</v>
      </c>
      <c r="C308" s="3" t="s">
        <v>384</v>
      </c>
      <c r="D308" s="4" t="s">
        <v>385</v>
      </c>
      <c r="E308" s="3" t="s">
        <v>248</v>
      </c>
      <c r="F308" s="3">
        <v>2022</v>
      </c>
      <c r="G308" s="3">
        <v>0</v>
      </c>
      <c r="H308" s="3">
        <v>0</v>
      </c>
      <c r="I308" s="3">
        <v>0</v>
      </c>
      <c r="J308" s="3">
        <v>0</v>
      </c>
      <c r="K308" s="3">
        <v>3000000000</v>
      </c>
      <c r="L308" s="3">
        <v>1.0900000000000001</v>
      </c>
      <c r="M308" s="3">
        <v>3270000</v>
      </c>
      <c r="N308" s="3">
        <v>5640000</v>
      </c>
      <c r="O308" s="3">
        <v>10580000</v>
      </c>
      <c r="P308" s="3">
        <v>745000</v>
      </c>
      <c r="Q308" s="3">
        <v>0.842155009451796</v>
      </c>
      <c r="R308" s="3">
        <v>16.174475984394402</v>
      </c>
      <c r="S308" s="3">
        <v>0.53308128544423405</v>
      </c>
      <c r="T308" s="3">
        <v>7.0415879017013197E-2</v>
      </c>
      <c r="U308" s="3">
        <v>1963</v>
      </c>
      <c r="V308" s="3">
        <v>59</v>
      </c>
      <c r="W308" s="3">
        <v>1</v>
      </c>
      <c r="X308" s="3" t="s">
        <v>386</v>
      </c>
      <c r="Y308" s="4" t="s">
        <v>387</v>
      </c>
      <c r="Z308" s="3" t="s">
        <v>34</v>
      </c>
      <c r="AA308" s="5">
        <f t="shared" si="12"/>
        <v>0.842155009451796</v>
      </c>
      <c r="AB308" s="5">
        <f t="shared" si="13"/>
        <v>0.53308128544423405</v>
      </c>
      <c r="AC308" s="5">
        <f t="shared" si="14"/>
        <v>7.0415879017013197E-2</v>
      </c>
    </row>
    <row r="309" spans="1:29" ht="15" customHeight="1" x14ac:dyDescent="0.3">
      <c r="A309" s="3">
        <v>358</v>
      </c>
      <c r="B309" s="3">
        <v>72</v>
      </c>
      <c r="C309" s="3" t="s">
        <v>384</v>
      </c>
      <c r="D309" s="4" t="s">
        <v>385</v>
      </c>
      <c r="E309" s="3" t="s">
        <v>248</v>
      </c>
      <c r="F309" s="3">
        <v>2023</v>
      </c>
      <c r="G309" s="3">
        <v>1</v>
      </c>
      <c r="H309" s="3">
        <v>0</v>
      </c>
      <c r="I309" s="3">
        <v>0</v>
      </c>
      <c r="J309" s="3">
        <v>0</v>
      </c>
      <c r="K309" s="3">
        <v>3000000000</v>
      </c>
      <c r="L309" s="3">
        <v>1.51</v>
      </c>
      <c r="M309" s="3">
        <v>4530000</v>
      </c>
      <c r="N309" s="3">
        <v>6920000</v>
      </c>
      <c r="O309" s="3">
        <v>13140000</v>
      </c>
      <c r="P309" s="3">
        <v>980000</v>
      </c>
      <c r="Q309" s="3">
        <v>0.87138508371385104</v>
      </c>
      <c r="R309" s="3">
        <v>16.391171571020699</v>
      </c>
      <c r="S309" s="3">
        <v>0.526636225266362</v>
      </c>
      <c r="T309" s="3">
        <v>7.4581430745814303E-2</v>
      </c>
      <c r="U309" s="3">
        <v>1963</v>
      </c>
      <c r="V309" s="3">
        <v>60</v>
      </c>
      <c r="W309" s="3">
        <v>1</v>
      </c>
      <c r="X309" s="3" t="s">
        <v>386</v>
      </c>
      <c r="Y309" s="4" t="s">
        <v>387</v>
      </c>
      <c r="Z309" s="3" t="s">
        <v>34</v>
      </c>
      <c r="AA309" s="5">
        <f t="shared" si="12"/>
        <v>0.87138508371385104</v>
      </c>
      <c r="AB309" s="5">
        <f t="shared" si="13"/>
        <v>0.526636225266362</v>
      </c>
      <c r="AC309" s="5">
        <f t="shared" si="14"/>
        <v>7.4581430745814303E-2</v>
      </c>
    </row>
    <row r="310" spans="1:29" ht="15" customHeight="1" x14ac:dyDescent="0.3">
      <c r="A310" s="3">
        <v>359</v>
      </c>
      <c r="B310" s="3">
        <v>72</v>
      </c>
      <c r="C310" s="3" t="s">
        <v>384</v>
      </c>
      <c r="D310" s="4" t="s">
        <v>385</v>
      </c>
      <c r="E310" s="3" t="s">
        <v>248</v>
      </c>
      <c r="F310" s="3">
        <v>2024</v>
      </c>
      <c r="G310" s="3">
        <v>1</v>
      </c>
      <c r="H310" s="3">
        <v>0</v>
      </c>
      <c r="I310" s="3">
        <v>5</v>
      </c>
      <c r="J310" s="3">
        <v>0</v>
      </c>
      <c r="K310" s="3">
        <v>3000000000</v>
      </c>
      <c r="L310" s="3">
        <v>2.06</v>
      </c>
      <c r="M310" s="3">
        <v>6180000</v>
      </c>
      <c r="N310" s="3">
        <v>8760000</v>
      </c>
      <c r="O310" s="3">
        <v>16390000</v>
      </c>
      <c r="P310" s="3">
        <v>1240000</v>
      </c>
      <c r="Q310" s="3">
        <v>0.91153142159853595</v>
      </c>
      <c r="R310" s="3">
        <v>16.61218195072</v>
      </c>
      <c r="S310" s="3">
        <v>0.53447223917022602</v>
      </c>
      <c r="T310" s="3">
        <v>7.5655887736424704E-2</v>
      </c>
      <c r="U310" s="3">
        <v>1963</v>
      </c>
      <c r="V310" s="3">
        <v>61</v>
      </c>
      <c r="W310" s="3">
        <v>1</v>
      </c>
      <c r="X310" s="3" t="s">
        <v>386</v>
      </c>
      <c r="Y310" s="4" t="s">
        <v>387</v>
      </c>
      <c r="Z310" s="3" t="s">
        <v>34</v>
      </c>
      <c r="AA310" s="5">
        <f t="shared" si="12"/>
        <v>0.91153142159853595</v>
      </c>
      <c r="AB310" s="5">
        <f t="shared" si="13"/>
        <v>0.53447223917022602</v>
      </c>
      <c r="AC310" s="5">
        <f t="shared" si="14"/>
        <v>7.5655887736424704E-2</v>
      </c>
    </row>
    <row r="311" spans="1:29" ht="15" customHeight="1" x14ac:dyDescent="0.3">
      <c r="A311" s="3">
        <v>360</v>
      </c>
      <c r="B311" s="3">
        <v>72</v>
      </c>
      <c r="C311" s="3" t="s">
        <v>384</v>
      </c>
      <c r="D311" s="4" t="s">
        <v>385</v>
      </c>
      <c r="E311" s="3" t="s">
        <v>248</v>
      </c>
      <c r="F311" s="3">
        <v>2025</v>
      </c>
      <c r="G311" s="3">
        <v>1</v>
      </c>
      <c r="H311" s="3">
        <v>0</v>
      </c>
      <c r="I311" s="3">
        <v>5</v>
      </c>
      <c r="J311" s="3">
        <v>0</v>
      </c>
      <c r="K311" s="3">
        <v>3000000000</v>
      </c>
      <c r="L311" s="3">
        <v>2.5499999999999998</v>
      </c>
      <c r="M311" s="3">
        <v>7650000</v>
      </c>
      <c r="N311" s="3">
        <v>10120000</v>
      </c>
      <c r="O311" s="3">
        <v>18970000</v>
      </c>
      <c r="P311" s="3">
        <v>1460000</v>
      </c>
      <c r="Q311" s="3">
        <v>0.93674222456510303</v>
      </c>
      <c r="R311" s="3">
        <v>16.758369341911202</v>
      </c>
      <c r="S311" s="3">
        <v>0.53347390616763302</v>
      </c>
      <c r="T311" s="3">
        <v>7.6963626779124897E-2</v>
      </c>
      <c r="U311" s="3">
        <v>1963</v>
      </c>
      <c r="V311" s="3">
        <v>62</v>
      </c>
      <c r="W311" s="3">
        <v>1</v>
      </c>
      <c r="X311" s="3" t="s">
        <v>386</v>
      </c>
      <c r="Y311" s="4" t="s">
        <v>387</v>
      </c>
      <c r="Z311" s="3" t="s">
        <v>34</v>
      </c>
      <c r="AA311" s="5">
        <f t="shared" si="12"/>
        <v>0.93674222456510303</v>
      </c>
      <c r="AB311" s="5">
        <f t="shared" si="13"/>
        <v>0.53347390616763302</v>
      </c>
      <c r="AC311" s="5">
        <f t="shared" si="14"/>
        <v>7.6963626779124897E-2</v>
      </c>
    </row>
    <row r="312" spans="1:29" ht="15" customHeight="1" x14ac:dyDescent="0.3">
      <c r="A312" s="3">
        <v>361</v>
      </c>
      <c r="B312" s="3">
        <v>73</v>
      </c>
      <c r="C312" s="3" t="s">
        <v>388</v>
      </c>
      <c r="D312" s="4" t="s">
        <v>389</v>
      </c>
      <c r="E312" s="3" t="s">
        <v>31</v>
      </c>
      <c r="F312" s="3">
        <v>2021</v>
      </c>
      <c r="G312" s="3">
        <v>0</v>
      </c>
      <c r="H312" s="3">
        <v>0</v>
      </c>
      <c r="I312" s="3">
        <v>0</v>
      </c>
      <c r="J312" s="3">
        <v>0</v>
      </c>
      <c r="K312" s="3">
        <v>5000000000</v>
      </c>
      <c r="L312" s="3">
        <v>1.04</v>
      </c>
      <c r="M312" s="3">
        <v>5200000</v>
      </c>
      <c r="N312" s="3">
        <v>8118000</v>
      </c>
      <c r="O312" s="3">
        <v>11342000</v>
      </c>
      <c r="P312" s="3">
        <v>506960</v>
      </c>
      <c r="Q312" s="3">
        <v>1.1742197143361</v>
      </c>
      <c r="R312" s="3">
        <v>16.244023207556101</v>
      </c>
      <c r="S312" s="3">
        <v>0.71574678187268603</v>
      </c>
      <c r="T312" s="3">
        <v>4.46975842003174E-2</v>
      </c>
      <c r="U312" s="3">
        <v>1993</v>
      </c>
      <c r="V312" s="3">
        <v>28</v>
      </c>
      <c r="W312" s="3">
        <v>0</v>
      </c>
      <c r="X312" s="3" t="s">
        <v>179</v>
      </c>
      <c r="Y312" s="4" t="s">
        <v>390</v>
      </c>
      <c r="Z312" s="3" t="s">
        <v>34</v>
      </c>
      <c r="AA312" s="5">
        <f t="shared" si="12"/>
        <v>1.1742197143361</v>
      </c>
      <c r="AB312" s="5">
        <f t="shared" si="13"/>
        <v>0.71574678187268603</v>
      </c>
      <c r="AC312" s="5">
        <f t="shared" si="14"/>
        <v>4.46975842003174E-2</v>
      </c>
    </row>
    <row r="313" spans="1:29" ht="15" customHeight="1" x14ac:dyDescent="0.3">
      <c r="A313" s="3">
        <v>362</v>
      </c>
      <c r="B313" s="3">
        <v>73</v>
      </c>
      <c r="C313" s="3" t="s">
        <v>388</v>
      </c>
      <c r="D313" s="4" t="s">
        <v>389</v>
      </c>
      <c r="E313" s="3" t="s">
        <v>31</v>
      </c>
      <c r="F313" s="3">
        <v>2022</v>
      </c>
      <c r="G313" s="3">
        <v>0</v>
      </c>
      <c r="H313" s="3">
        <v>0</v>
      </c>
      <c r="I313" s="3">
        <v>0</v>
      </c>
      <c r="J313" s="3">
        <v>0</v>
      </c>
      <c r="K313" s="3">
        <v>5000000000</v>
      </c>
      <c r="L313" s="3">
        <v>1.6</v>
      </c>
      <c r="M313" s="3">
        <v>8000000</v>
      </c>
      <c r="N313" s="3">
        <v>9168000</v>
      </c>
      <c r="O313" s="3">
        <v>12914000</v>
      </c>
      <c r="P313" s="3">
        <v>821680</v>
      </c>
      <c r="Q313" s="3">
        <v>1.3294099426978501</v>
      </c>
      <c r="R313" s="3">
        <v>16.373822552168502</v>
      </c>
      <c r="S313" s="3">
        <v>0.70992721077900001</v>
      </c>
      <c r="T313" s="3">
        <v>6.3627071395384899E-2</v>
      </c>
      <c r="U313" s="3">
        <v>1993</v>
      </c>
      <c r="V313" s="3">
        <v>29</v>
      </c>
      <c r="W313" s="3">
        <v>0</v>
      </c>
      <c r="X313" s="3" t="s">
        <v>179</v>
      </c>
      <c r="Y313" s="4" t="s">
        <v>390</v>
      </c>
      <c r="Z313" s="3" t="s">
        <v>34</v>
      </c>
      <c r="AA313" s="5">
        <f t="shared" si="12"/>
        <v>1.3294099426978501</v>
      </c>
      <c r="AB313" s="5">
        <f t="shared" si="13"/>
        <v>0.70992721077900001</v>
      </c>
      <c r="AC313" s="5">
        <f t="shared" si="14"/>
        <v>6.3627071395384899E-2</v>
      </c>
    </row>
    <row r="314" spans="1:29" ht="15" customHeight="1" x14ac:dyDescent="0.3">
      <c r="A314" s="3">
        <v>363</v>
      </c>
      <c r="B314" s="3">
        <v>73</v>
      </c>
      <c r="C314" s="3" t="s">
        <v>388</v>
      </c>
      <c r="D314" s="4" t="s">
        <v>389</v>
      </c>
      <c r="E314" s="3" t="s">
        <v>31</v>
      </c>
      <c r="F314" s="3">
        <v>2023</v>
      </c>
      <c r="G314" s="3">
        <v>1</v>
      </c>
      <c r="H314" s="3">
        <v>0</v>
      </c>
      <c r="I314" s="3">
        <v>0</v>
      </c>
      <c r="J314" s="3">
        <v>0</v>
      </c>
      <c r="K314" s="3">
        <v>5000000000</v>
      </c>
      <c r="L314" s="3">
        <v>2.98</v>
      </c>
      <c r="M314" s="3">
        <v>14900000</v>
      </c>
      <c r="N314" s="3">
        <v>13542000</v>
      </c>
      <c r="O314" s="3">
        <v>17796000</v>
      </c>
      <c r="P314" s="3">
        <v>568270</v>
      </c>
      <c r="Q314" s="3">
        <v>1.5982243200719299</v>
      </c>
      <c r="R314" s="3">
        <v>16.694484270908099</v>
      </c>
      <c r="S314" s="3">
        <v>0.76095751854349303</v>
      </c>
      <c r="T314" s="3">
        <v>3.1932456731849898E-2</v>
      </c>
      <c r="U314" s="3">
        <v>1993</v>
      </c>
      <c r="V314" s="3">
        <v>30</v>
      </c>
      <c r="W314" s="3">
        <v>0</v>
      </c>
      <c r="X314" s="3" t="s">
        <v>179</v>
      </c>
      <c r="Y314" s="4" t="s">
        <v>390</v>
      </c>
      <c r="Z314" s="3" t="s">
        <v>34</v>
      </c>
      <c r="AA314" s="5">
        <f t="shared" si="12"/>
        <v>1.5982243200719299</v>
      </c>
      <c r="AB314" s="5">
        <f t="shared" si="13"/>
        <v>0.76095751854349303</v>
      </c>
      <c r="AC314" s="5">
        <f t="shared" si="14"/>
        <v>3.1932456731849898E-2</v>
      </c>
    </row>
    <row r="315" spans="1:29" ht="15" customHeight="1" x14ac:dyDescent="0.3">
      <c r="A315" s="3">
        <v>364</v>
      </c>
      <c r="B315" s="3">
        <v>73</v>
      </c>
      <c r="C315" s="3" t="s">
        <v>388</v>
      </c>
      <c r="D315" s="4" t="s">
        <v>389</v>
      </c>
      <c r="E315" s="3" t="s">
        <v>31</v>
      </c>
      <c r="F315" s="3">
        <v>2024</v>
      </c>
      <c r="G315" s="3">
        <v>1</v>
      </c>
      <c r="H315" s="3">
        <v>0</v>
      </c>
      <c r="I315" s="3">
        <v>0</v>
      </c>
      <c r="J315" s="3">
        <v>0</v>
      </c>
      <c r="K315" s="3">
        <v>5000000000</v>
      </c>
      <c r="L315" s="3">
        <v>4.38</v>
      </c>
      <c r="M315" s="3">
        <v>21900000</v>
      </c>
      <c r="N315" s="3">
        <v>18994000</v>
      </c>
      <c r="O315" s="3">
        <v>24046000</v>
      </c>
      <c r="P315" s="3">
        <v>789140</v>
      </c>
      <c r="Q315" s="3">
        <v>1.70065707394161</v>
      </c>
      <c r="R315" s="3">
        <v>16.995479220517002</v>
      </c>
      <c r="S315" s="3">
        <v>0.78990268651750795</v>
      </c>
      <c r="T315" s="3">
        <v>3.2817932296431797E-2</v>
      </c>
      <c r="U315" s="3">
        <v>1993</v>
      </c>
      <c r="V315" s="3">
        <v>31</v>
      </c>
      <c r="W315" s="3">
        <v>0</v>
      </c>
      <c r="X315" s="3" t="s">
        <v>179</v>
      </c>
      <c r="Y315" s="4" t="s">
        <v>390</v>
      </c>
      <c r="Z315" s="3" t="s">
        <v>34</v>
      </c>
      <c r="AA315" s="5">
        <f t="shared" si="12"/>
        <v>1.70065707394161</v>
      </c>
      <c r="AB315" s="5">
        <f t="shared" si="13"/>
        <v>0.78990268651750795</v>
      </c>
      <c r="AC315" s="5">
        <f t="shared" si="14"/>
        <v>3.2817932296431797E-2</v>
      </c>
    </row>
    <row r="316" spans="1:29" ht="15" customHeight="1" x14ac:dyDescent="0.3">
      <c r="A316" s="3">
        <v>365</v>
      </c>
      <c r="B316" s="3">
        <v>73</v>
      </c>
      <c r="C316" s="3" t="s">
        <v>388</v>
      </c>
      <c r="D316" s="4" t="s">
        <v>389</v>
      </c>
      <c r="E316" s="3" t="s">
        <v>31</v>
      </c>
      <c r="F316" s="3">
        <v>2025</v>
      </c>
      <c r="G316" s="3">
        <v>1</v>
      </c>
      <c r="H316" s="3">
        <v>0</v>
      </c>
      <c r="I316" s="3">
        <v>0</v>
      </c>
      <c r="J316" s="3">
        <v>0</v>
      </c>
      <c r="K316" s="3">
        <v>5000000000</v>
      </c>
      <c r="L316" s="3">
        <v>3.45</v>
      </c>
      <c r="M316" s="3">
        <v>17250000</v>
      </c>
      <c r="N316" s="3">
        <v>27688000</v>
      </c>
      <c r="O316" s="3">
        <v>32740000</v>
      </c>
      <c r="P316" s="3">
        <v>1011000</v>
      </c>
      <c r="Q316" s="3">
        <v>1.3725717776420301</v>
      </c>
      <c r="R316" s="3">
        <v>17.304108129907299</v>
      </c>
      <c r="S316" s="3">
        <v>0.84569334147831399</v>
      </c>
      <c r="T316" s="3">
        <v>3.08796579108125E-2</v>
      </c>
      <c r="U316" s="3">
        <v>1993</v>
      </c>
      <c r="V316" s="3">
        <v>32</v>
      </c>
      <c r="W316" s="3">
        <v>0</v>
      </c>
      <c r="X316" s="3" t="s">
        <v>179</v>
      </c>
      <c r="Y316" s="4" t="s">
        <v>390</v>
      </c>
      <c r="Z316" s="3" t="s">
        <v>34</v>
      </c>
      <c r="AA316" s="5">
        <f t="shared" si="12"/>
        <v>1.3725717776420301</v>
      </c>
      <c r="AB316" s="5">
        <f t="shared" si="13"/>
        <v>0.84569334147831399</v>
      </c>
      <c r="AC316" s="5">
        <f t="shared" si="14"/>
        <v>3.08796579108125E-2</v>
      </c>
    </row>
    <row r="317" spans="1:29" ht="15" customHeight="1" x14ac:dyDescent="0.3">
      <c r="A317" s="3">
        <v>366</v>
      </c>
      <c r="B317" s="3">
        <v>74</v>
      </c>
      <c r="C317" s="3" t="s">
        <v>391</v>
      </c>
      <c r="D317" s="4" t="s">
        <v>392</v>
      </c>
      <c r="E317" s="3" t="s">
        <v>31</v>
      </c>
      <c r="F317" s="3">
        <v>2021</v>
      </c>
      <c r="G317" s="3">
        <v>0</v>
      </c>
      <c r="H317" s="3">
        <v>0</v>
      </c>
      <c r="I317" s="3">
        <v>40</v>
      </c>
      <c r="J317" s="3">
        <v>0</v>
      </c>
      <c r="K317" s="3">
        <v>8944000000</v>
      </c>
      <c r="L317" s="3">
        <v>2.3233000000000001</v>
      </c>
      <c r="M317" s="3">
        <v>20779595.199999999</v>
      </c>
      <c r="N317" s="3">
        <v>69671000</v>
      </c>
      <c r="O317" s="3">
        <v>104065000</v>
      </c>
      <c r="P317" s="3">
        <v>3165000</v>
      </c>
      <c r="Q317" s="3">
        <v>0.86917402777110497</v>
      </c>
      <c r="R317" s="3">
        <v>18.460526261874499</v>
      </c>
      <c r="S317" s="3">
        <v>0.669495027146495</v>
      </c>
      <c r="T317" s="3">
        <v>3.04136837553452E-2</v>
      </c>
      <c r="U317" s="3">
        <v>1989</v>
      </c>
      <c r="V317" s="3">
        <v>32</v>
      </c>
      <c r="W317" s="3">
        <v>1</v>
      </c>
      <c r="X317" s="3" t="s">
        <v>57</v>
      </c>
      <c r="Y317" s="4" t="s">
        <v>393</v>
      </c>
      <c r="Z317" s="3" t="s">
        <v>34</v>
      </c>
      <c r="AA317" s="5">
        <f t="shared" si="12"/>
        <v>0.86917402777110497</v>
      </c>
      <c r="AB317" s="5">
        <f t="shared" si="13"/>
        <v>0.669495027146495</v>
      </c>
      <c r="AC317" s="5">
        <f t="shared" si="14"/>
        <v>3.04136837553452E-2</v>
      </c>
    </row>
    <row r="318" spans="1:29" ht="15" customHeight="1" x14ac:dyDescent="0.3">
      <c r="A318" s="3">
        <v>367</v>
      </c>
      <c r="B318" s="3">
        <v>74</v>
      </c>
      <c r="C318" s="3" t="s">
        <v>391</v>
      </c>
      <c r="D318" s="4" t="s">
        <v>392</v>
      </c>
      <c r="E318" s="3" t="s">
        <v>31</v>
      </c>
      <c r="F318" s="3">
        <v>2022</v>
      </c>
      <c r="G318" s="3">
        <v>0</v>
      </c>
      <c r="H318" s="3">
        <v>0</v>
      </c>
      <c r="I318" s="3">
        <v>40</v>
      </c>
      <c r="J318" s="3">
        <v>0</v>
      </c>
      <c r="K318" s="3">
        <v>8944000000</v>
      </c>
      <c r="L318" s="3">
        <v>2.0002</v>
      </c>
      <c r="M318" s="3">
        <v>17889788.800000001</v>
      </c>
      <c r="N318" s="3">
        <v>72185000</v>
      </c>
      <c r="O318" s="3">
        <v>105293000</v>
      </c>
      <c r="P318" s="3">
        <v>2749000</v>
      </c>
      <c r="Q318" s="3">
        <v>0.85546796843094997</v>
      </c>
      <c r="R318" s="3">
        <v>18.472257498161401</v>
      </c>
      <c r="S318" s="3">
        <v>0.68556314284900199</v>
      </c>
      <c r="T318" s="3">
        <v>2.61080983541166E-2</v>
      </c>
      <c r="U318" s="3">
        <v>1989</v>
      </c>
      <c r="V318" s="3">
        <v>33</v>
      </c>
      <c r="W318" s="3">
        <v>1</v>
      </c>
      <c r="X318" s="3" t="s">
        <v>57</v>
      </c>
      <c r="Y318" s="4" t="s">
        <v>393</v>
      </c>
      <c r="Z318" s="3" t="s">
        <v>34</v>
      </c>
      <c r="AA318" s="5">
        <f t="shared" si="12"/>
        <v>0.85546796843094997</v>
      </c>
      <c r="AB318" s="5">
        <f t="shared" si="13"/>
        <v>0.68556314284900199</v>
      </c>
      <c r="AC318" s="5">
        <f t="shared" si="14"/>
        <v>2.61080983541166E-2</v>
      </c>
    </row>
    <row r="319" spans="1:29" ht="15" customHeight="1" x14ac:dyDescent="0.3">
      <c r="A319" s="3">
        <v>368</v>
      </c>
      <c r="B319" s="3">
        <v>74</v>
      </c>
      <c r="C319" s="3" t="s">
        <v>391</v>
      </c>
      <c r="D319" s="4" t="s">
        <v>392</v>
      </c>
      <c r="E319" s="3" t="s">
        <v>31</v>
      </c>
      <c r="F319" s="3">
        <v>2023</v>
      </c>
      <c r="G319" s="3">
        <v>1</v>
      </c>
      <c r="H319" s="3">
        <v>0</v>
      </c>
      <c r="I319" s="3">
        <v>40</v>
      </c>
      <c r="J319" s="3">
        <v>0</v>
      </c>
      <c r="K319" s="3">
        <v>8944000000</v>
      </c>
      <c r="L319" s="3">
        <v>5.4997999999999996</v>
      </c>
      <c r="M319" s="3">
        <v>49190211.200000003</v>
      </c>
      <c r="N319" s="3">
        <v>99709000</v>
      </c>
      <c r="O319" s="3">
        <v>141129000</v>
      </c>
      <c r="P319" s="3">
        <v>11485000</v>
      </c>
      <c r="Q319" s="3">
        <v>1.0550575090874299</v>
      </c>
      <c r="R319" s="3">
        <v>18.765184923699401</v>
      </c>
      <c r="S319" s="3">
        <v>0.70650964720220499</v>
      </c>
      <c r="T319" s="3">
        <v>8.1379447172445094E-2</v>
      </c>
      <c r="U319" s="3">
        <v>1989</v>
      </c>
      <c r="V319" s="3">
        <v>34</v>
      </c>
      <c r="W319" s="3">
        <v>1</v>
      </c>
      <c r="X319" s="3" t="s">
        <v>57</v>
      </c>
      <c r="Y319" s="4" t="s">
        <v>393</v>
      </c>
      <c r="Z319" s="3" t="s">
        <v>34</v>
      </c>
      <c r="AA319" s="5">
        <f t="shared" si="12"/>
        <v>1.0550575090874299</v>
      </c>
      <c r="AB319" s="5">
        <f t="shared" si="13"/>
        <v>0.70650964720220499</v>
      </c>
      <c r="AC319" s="5">
        <f t="shared" si="14"/>
        <v>8.1379447172445094E-2</v>
      </c>
    </row>
    <row r="320" spans="1:29" ht="15" customHeight="1" x14ac:dyDescent="0.3">
      <c r="A320" s="3">
        <v>369</v>
      </c>
      <c r="B320" s="3">
        <v>74</v>
      </c>
      <c r="C320" s="3" t="s">
        <v>391</v>
      </c>
      <c r="D320" s="4" t="s">
        <v>392</v>
      </c>
      <c r="E320" s="3" t="s">
        <v>31</v>
      </c>
      <c r="F320" s="3">
        <v>2024</v>
      </c>
      <c r="G320" s="3">
        <v>1</v>
      </c>
      <c r="H320" s="3">
        <v>0</v>
      </c>
      <c r="I320" s="3">
        <v>40</v>
      </c>
      <c r="J320" s="3">
        <v>0</v>
      </c>
      <c r="K320" s="3">
        <v>8944000000</v>
      </c>
      <c r="L320" s="3">
        <v>8.1998999999999995</v>
      </c>
      <c r="M320" s="3">
        <v>73339905.599999994</v>
      </c>
      <c r="N320" s="3">
        <v>140730000</v>
      </c>
      <c r="O320" s="3">
        <v>193609000</v>
      </c>
      <c r="P320" s="3">
        <v>24871000</v>
      </c>
      <c r="Q320" s="3">
        <v>1.1056815829842599</v>
      </c>
      <c r="R320" s="3">
        <v>19.081351219329498</v>
      </c>
      <c r="S320" s="3">
        <v>0.72687736623814003</v>
      </c>
      <c r="T320" s="3">
        <v>0.12845993729630301</v>
      </c>
      <c r="U320" s="3">
        <v>1989</v>
      </c>
      <c r="V320" s="3">
        <v>35</v>
      </c>
      <c r="W320" s="3">
        <v>1</v>
      </c>
      <c r="X320" s="3" t="s">
        <v>57</v>
      </c>
      <c r="Y320" s="4" t="s">
        <v>393</v>
      </c>
      <c r="Z320" s="3" t="s">
        <v>34</v>
      </c>
      <c r="AA320" s="5">
        <f t="shared" si="12"/>
        <v>1.1056815829842599</v>
      </c>
      <c r="AB320" s="5">
        <f t="shared" si="13"/>
        <v>0.72687736623814003</v>
      </c>
      <c r="AC320" s="5">
        <f t="shared" si="14"/>
        <v>0.12845993729630301</v>
      </c>
    </row>
    <row r="321" spans="1:29" ht="15" customHeight="1" x14ac:dyDescent="0.3">
      <c r="A321" s="3">
        <v>370</v>
      </c>
      <c r="B321" s="3">
        <v>74</v>
      </c>
      <c r="C321" s="3" t="s">
        <v>391</v>
      </c>
      <c r="D321" s="4" t="s">
        <v>392</v>
      </c>
      <c r="E321" s="3" t="s">
        <v>31</v>
      </c>
      <c r="F321" s="3">
        <v>2025</v>
      </c>
      <c r="G321" s="3">
        <v>1</v>
      </c>
      <c r="H321" s="3">
        <v>0</v>
      </c>
      <c r="I321" s="3">
        <v>40</v>
      </c>
      <c r="J321" s="3">
        <v>0</v>
      </c>
      <c r="K321" s="3">
        <v>8944000000</v>
      </c>
      <c r="L321" s="3">
        <v>13.700799999999999</v>
      </c>
      <c r="M321" s="3">
        <v>122539955.2</v>
      </c>
      <c r="N321" s="3">
        <v>171881000</v>
      </c>
      <c r="O321" s="3">
        <v>227935000</v>
      </c>
      <c r="P321" s="3">
        <v>2631000</v>
      </c>
      <c r="Q321" s="3">
        <v>1.2916882233970199</v>
      </c>
      <c r="R321" s="3">
        <v>19.2445710585542</v>
      </c>
      <c r="S321" s="3">
        <v>0.75407901375392095</v>
      </c>
      <c r="T321" s="3">
        <v>1.15427643845833E-2</v>
      </c>
      <c r="U321" s="3">
        <v>1989</v>
      </c>
      <c r="V321" s="3">
        <v>36</v>
      </c>
      <c r="W321" s="3">
        <v>1</v>
      </c>
      <c r="X321" s="3" t="s">
        <v>57</v>
      </c>
      <c r="Y321" s="4" t="s">
        <v>393</v>
      </c>
      <c r="Z321" s="3" t="s">
        <v>34</v>
      </c>
      <c r="AA321" s="5">
        <f t="shared" si="12"/>
        <v>1.2916882233970199</v>
      </c>
      <c r="AB321" s="5">
        <f t="shared" si="13"/>
        <v>0.75407901375392095</v>
      </c>
      <c r="AC321" s="5">
        <f t="shared" si="14"/>
        <v>1.15427643845833E-2</v>
      </c>
    </row>
    <row r="322" spans="1:29" ht="15" customHeight="1" x14ac:dyDescent="0.3">
      <c r="A322" s="3">
        <v>371</v>
      </c>
      <c r="B322" s="3">
        <v>75</v>
      </c>
      <c r="C322" s="3" t="s">
        <v>394</v>
      </c>
      <c r="D322" s="4" t="s">
        <v>395</v>
      </c>
      <c r="E322" s="3" t="s">
        <v>283</v>
      </c>
      <c r="F322" s="3">
        <v>2021</v>
      </c>
      <c r="G322" s="3">
        <v>0</v>
      </c>
      <c r="H322" s="3">
        <v>0</v>
      </c>
      <c r="I322" s="3">
        <v>50</v>
      </c>
      <c r="J322" s="3">
        <v>26.6666666666667</v>
      </c>
      <c r="K322" s="3">
        <v>1725000000</v>
      </c>
      <c r="L322" s="3">
        <v>4.0232000000000001</v>
      </c>
      <c r="M322" s="3">
        <v>6940020</v>
      </c>
      <c r="N322" s="3">
        <v>10351000</v>
      </c>
      <c r="O322" s="3">
        <v>17622000</v>
      </c>
      <c r="P322" s="3">
        <v>1050000</v>
      </c>
      <c r="Q322" s="3">
        <v>0.98121779593689695</v>
      </c>
      <c r="R322" s="3">
        <v>16.684658679408798</v>
      </c>
      <c r="S322" s="3">
        <v>0.58739076154806502</v>
      </c>
      <c r="T322" s="3">
        <v>5.9584610146407903E-2</v>
      </c>
      <c r="U322" s="3">
        <v>1944</v>
      </c>
      <c r="V322" s="3">
        <v>77</v>
      </c>
      <c r="W322" s="3">
        <v>0</v>
      </c>
      <c r="X322" s="3" t="s">
        <v>179</v>
      </c>
      <c r="Y322" s="4" t="s">
        <v>396</v>
      </c>
      <c r="Z322" s="3" t="s">
        <v>34</v>
      </c>
      <c r="AA322" s="5">
        <f t="shared" ref="AA322:AA385" si="15">MIN(MAX(Q322,PERCENTILE(Q$2:Q$612,0.005)),PERCENTILE(Q$2:Q$612,0.995))</f>
        <v>0.98121779593689695</v>
      </c>
      <c r="AB322" s="5">
        <f t="shared" ref="AB322:AB385" si="16">MIN(MAX(S322,PERCENTILE(S$2:S$612,0.005)),PERCENTILE(S$2:S$612,0.995))</f>
        <v>0.58739076154806502</v>
      </c>
      <c r="AC322" s="5">
        <f t="shared" ref="AC322:AC385" si="17">MIN(MAX(T322,PERCENTILE(T$2:T$612,0.005)),PERCENTILE(T$2:T$612,0.995))</f>
        <v>5.9584610146407903E-2</v>
      </c>
    </row>
    <row r="323" spans="1:29" ht="15" customHeight="1" x14ac:dyDescent="0.3">
      <c r="A323" s="3">
        <v>372</v>
      </c>
      <c r="B323" s="3">
        <v>75</v>
      </c>
      <c r="C323" s="3" t="s">
        <v>394</v>
      </c>
      <c r="D323" s="4" t="s">
        <v>395</v>
      </c>
      <c r="E323" s="3" t="s">
        <v>283</v>
      </c>
      <c r="F323" s="3">
        <v>2022</v>
      </c>
      <c r="G323" s="3">
        <v>0</v>
      </c>
      <c r="H323" s="3">
        <v>0</v>
      </c>
      <c r="I323" s="3">
        <v>50</v>
      </c>
      <c r="J323" s="3">
        <v>26.6666666666667</v>
      </c>
      <c r="K323" s="3">
        <v>1725000000</v>
      </c>
      <c r="L323" s="3">
        <v>4.3014000000000001</v>
      </c>
      <c r="M323" s="3">
        <v>7419915</v>
      </c>
      <c r="N323" s="3">
        <v>9733000</v>
      </c>
      <c r="O323" s="3">
        <v>17957000</v>
      </c>
      <c r="P323" s="3">
        <v>1491000</v>
      </c>
      <c r="Q323" s="3">
        <v>0.95522164058584402</v>
      </c>
      <c r="R323" s="3">
        <v>16.703490569024002</v>
      </c>
      <c r="S323" s="3">
        <v>0.54201704070835899</v>
      </c>
      <c r="T323" s="3">
        <v>8.3031686807373203E-2</v>
      </c>
      <c r="U323" s="3">
        <v>1944</v>
      </c>
      <c r="V323" s="3">
        <v>78</v>
      </c>
      <c r="W323" s="3">
        <v>0</v>
      </c>
      <c r="X323" s="3" t="s">
        <v>179</v>
      </c>
      <c r="Y323" s="4" t="s">
        <v>396</v>
      </c>
      <c r="Z323" s="3" t="s">
        <v>34</v>
      </c>
      <c r="AA323" s="5">
        <f t="shared" si="15"/>
        <v>0.95522164058584402</v>
      </c>
      <c r="AB323" s="5">
        <f t="shared" si="16"/>
        <v>0.54201704070835899</v>
      </c>
      <c r="AC323" s="5">
        <f t="shared" si="17"/>
        <v>8.3031686807373203E-2</v>
      </c>
    </row>
    <row r="324" spans="1:29" ht="15" customHeight="1" x14ac:dyDescent="0.3">
      <c r="A324" s="3">
        <v>373</v>
      </c>
      <c r="B324" s="3">
        <v>75</v>
      </c>
      <c r="C324" s="3" t="s">
        <v>394</v>
      </c>
      <c r="D324" s="4" t="s">
        <v>395</v>
      </c>
      <c r="E324" s="3" t="s">
        <v>283</v>
      </c>
      <c r="F324" s="3">
        <v>2023</v>
      </c>
      <c r="G324" s="3">
        <v>1</v>
      </c>
      <c r="H324" s="3">
        <v>0</v>
      </c>
      <c r="I324" s="3">
        <v>0</v>
      </c>
      <c r="J324" s="3">
        <v>0</v>
      </c>
      <c r="K324" s="3">
        <v>1725000000</v>
      </c>
      <c r="L324" s="3">
        <v>5.2522000000000002</v>
      </c>
      <c r="M324" s="3">
        <v>9060045</v>
      </c>
      <c r="N324" s="3">
        <v>11593000</v>
      </c>
      <c r="O324" s="3">
        <v>20382000</v>
      </c>
      <c r="P324" s="3">
        <v>1083000</v>
      </c>
      <c r="Q324" s="3">
        <v>1.0132982533608099</v>
      </c>
      <c r="R324" s="3">
        <v>16.830162716370801</v>
      </c>
      <c r="S324" s="3">
        <v>0.56878618388774405</v>
      </c>
      <c r="T324" s="3">
        <v>5.3135119222843703E-2</v>
      </c>
      <c r="U324" s="3">
        <v>1944</v>
      </c>
      <c r="V324" s="3">
        <v>79</v>
      </c>
      <c r="W324" s="3">
        <v>0</v>
      </c>
      <c r="X324" s="3" t="s">
        <v>179</v>
      </c>
      <c r="Y324" s="4" t="s">
        <v>396</v>
      </c>
      <c r="Z324" s="3" t="s">
        <v>34</v>
      </c>
      <c r="AA324" s="5">
        <f t="shared" si="15"/>
        <v>1.0132982533608099</v>
      </c>
      <c r="AB324" s="5">
        <f t="shared" si="16"/>
        <v>0.56878618388774405</v>
      </c>
      <c r="AC324" s="5">
        <f t="shared" si="17"/>
        <v>5.3135119222843703E-2</v>
      </c>
    </row>
    <row r="325" spans="1:29" ht="15" customHeight="1" x14ac:dyDescent="0.3">
      <c r="A325" s="3">
        <v>374</v>
      </c>
      <c r="B325" s="3">
        <v>75</v>
      </c>
      <c r="C325" s="3" t="s">
        <v>394</v>
      </c>
      <c r="D325" s="4" t="s">
        <v>395</v>
      </c>
      <c r="E325" s="3" t="s">
        <v>283</v>
      </c>
      <c r="F325" s="3">
        <v>2024</v>
      </c>
      <c r="G325" s="3">
        <v>1</v>
      </c>
      <c r="H325" s="3">
        <v>0</v>
      </c>
      <c r="I325" s="3">
        <v>0</v>
      </c>
      <c r="J325" s="3">
        <v>0</v>
      </c>
      <c r="K325" s="3">
        <v>1725000000</v>
      </c>
      <c r="L325" s="3">
        <v>9.4029000000000007</v>
      </c>
      <c r="M325" s="3">
        <v>16220002.5</v>
      </c>
      <c r="N325" s="3">
        <v>12563000</v>
      </c>
      <c r="O325" s="3">
        <v>22456000</v>
      </c>
      <c r="P325" s="3">
        <v>1621000</v>
      </c>
      <c r="Q325" s="3">
        <v>1.2817510910224399</v>
      </c>
      <c r="R325" s="3">
        <v>16.927068397023898</v>
      </c>
      <c r="S325" s="3">
        <v>0.55944959030994001</v>
      </c>
      <c r="T325" s="3">
        <v>7.2185607410046301E-2</v>
      </c>
      <c r="U325" s="3">
        <v>1944</v>
      </c>
      <c r="V325" s="3">
        <v>80</v>
      </c>
      <c r="W325" s="3">
        <v>0</v>
      </c>
      <c r="X325" s="3" t="s">
        <v>179</v>
      </c>
      <c r="Y325" s="4" t="s">
        <v>396</v>
      </c>
      <c r="Z325" s="3" t="s">
        <v>34</v>
      </c>
      <c r="AA325" s="5">
        <f t="shared" si="15"/>
        <v>1.2817510910224399</v>
      </c>
      <c r="AB325" s="5">
        <f t="shared" si="16"/>
        <v>0.55944959030994001</v>
      </c>
      <c r="AC325" s="5">
        <f t="shared" si="17"/>
        <v>7.2185607410046301E-2</v>
      </c>
    </row>
    <row r="326" spans="1:29" ht="15" customHeight="1" x14ac:dyDescent="0.3">
      <c r="A326" s="3">
        <v>375</v>
      </c>
      <c r="B326" s="3">
        <v>75</v>
      </c>
      <c r="C326" s="3" t="s">
        <v>394</v>
      </c>
      <c r="D326" s="4" t="s">
        <v>395</v>
      </c>
      <c r="E326" s="3" t="s">
        <v>283</v>
      </c>
      <c r="F326" s="3">
        <v>2025</v>
      </c>
      <c r="G326" s="3">
        <v>1</v>
      </c>
      <c r="H326" s="3">
        <v>0</v>
      </c>
      <c r="I326" s="3">
        <v>0</v>
      </c>
      <c r="J326" s="3">
        <v>0</v>
      </c>
      <c r="K326" s="3">
        <v>1725000000</v>
      </c>
      <c r="L326" s="3">
        <v>19.0029</v>
      </c>
      <c r="M326" s="3">
        <v>32780002.5</v>
      </c>
      <c r="N326" s="3">
        <v>11964000</v>
      </c>
      <c r="O326" s="3">
        <v>25615000</v>
      </c>
      <c r="P326" s="3">
        <v>4437000</v>
      </c>
      <c r="Q326" s="3">
        <v>1.7467890884247499</v>
      </c>
      <c r="R326" s="3">
        <v>17.058688675355398</v>
      </c>
      <c r="S326" s="3">
        <v>0.46707007612726897</v>
      </c>
      <c r="T326" s="3">
        <v>0.17321881709935599</v>
      </c>
      <c r="U326" s="3">
        <v>1944</v>
      </c>
      <c r="V326" s="3">
        <v>81</v>
      </c>
      <c r="W326" s="3">
        <v>0</v>
      </c>
      <c r="X326" s="3" t="s">
        <v>179</v>
      </c>
      <c r="Y326" s="4" t="s">
        <v>396</v>
      </c>
      <c r="Z326" s="3" t="s">
        <v>34</v>
      </c>
      <c r="AA326" s="5">
        <f t="shared" si="15"/>
        <v>1.7467890884247499</v>
      </c>
      <c r="AB326" s="5">
        <f t="shared" si="16"/>
        <v>0.46707007612726897</v>
      </c>
      <c r="AC326" s="5">
        <f t="shared" si="17"/>
        <v>0.17321881709935599</v>
      </c>
    </row>
    <row r="327" spans="1:29" ht="15" customHeight="1" x14ac:dyDescent="0.3">
      <c r="A327" s="3">
        <v>376</v>
      </c>
      <c r="B327" s="3">
        <v>76</v>
      </c>
      <c r="C327" s="3" t="s">
        <v>397</v>
      </c>
      <c r="D327" s="4" t="s">
        <v>398</v>
      </c>
      <c r="E327" s="3" t="s">
        <v>31</v>
      </c>
      <c r="F327" s="3">
        <v>2021</v>
      </c>
      <c r="G327" s="3">
        <v>0</v>
      </c>
      <c r="H327" s="3">
        <v>0</v>
      </c>
      <c r="I327" s="3">
        <v>5</v>
      </c>
      <c r="J327" s="3">
        <v>0</v>
      </c>
      <c r="K327" s="3">
        <v>20061000000</v>
      </c>
      <c r="L327" s="3">
        <v>0.33</v>
      </c>
      <c r="M327" s="3">
        <v>6620130</v>
      </c>
      <c r="N327" s="3">
        <v>63904000</v>
      </c>
      <c r="O327" s="3">
        <v>83780000</v>
      </c>
      <c r="P327" s="3">
        <v>-5575000</v>
      </c>
      <c r="Q327" s="3">
        <v>0.84177763189305299</v>
      </c>
      <c r="R327" s="3">
        <v>18.2437048734832</v>
      </c>
      <c r="S327" s="3">
        <v>0.76275960849844804</v>
      </c>
      <c r="T327" s="3">
        <v>-6.6543327763189303E-2</v>
      </c>
      <c r="U327" s="3">
        <v>1995</v>
      </c>
      <c r="V327" s="3">
        <v>26</v>
      </c>
      <c r="W327" s="3">
        <v>1</v>
      </c>
      <c r="X327" s="3" t="s">
        <v>57</v>
      </c>
      <c r="Y327" s="4" t="s">
        <v>399</v>
      </c>
      <c r="Z327" s="3" t="s">
        <v>34</v>
      </c>
      <c r="AA327" s="5">
        <f t="shared" si="15"/>
        <v>0.84177763189305299</v>
      </c>
      <c r="AB327" s="5">
        <f t="shared" si="16"/>
        <v>0.76275960849844804</v>
      </c>
      <c r="AC327" s="5">
        <f t="shared" si="17"/>
        <v>-6.6543327763189303E-2</v>
      </c>
    </row>
    <row r="328" spans="1:29" ht="15" customHeight="1" x14ac:dyDescent="0.3">
      <c r="A328" s="3">
        <v>377</v>
      </c>
      <c r="B328" s="3">
        <v>76</v>
      </c>
      <c r="C328" s="3" t="s">
        <v>397</v>
      </c>
      <c r="D328" s="4" t="s">
        <v>398</v>
      </c>
      <c r="E328" s="3" t="s">
        <v>31</v>
      </c>
      <c r="F328" s="3">
        <v>2022</v>
      </c>
      <c r="G328" s="3">
        <v>0</v>
      </c>
      <c r="H328" s="3">
        <v>0</v>
      </c>
      <c r="I328" s="3">
        <v>5</v>
      </c>
      <c r="J328" s="3">
        <v>0</v>
      </c>
      <c r="K328" s="3">
        <v>20061000000</v>
      </c>
      <c r="L328" s="3">
        <v>0.2702</v>
      </c>
      <c r="M328" s="3">
        <v>5420482.2000000002</v>
      </c>
      <c r="N328" s="3">
        <v>71456000</v>
      </c>
      <c r="O328" s="3">
        <v>90399000</v>
      </c>
      <c r="P328" s="3">
        <v>954620</v>
      </c>
      <c r="Q328" s="3">
        <v>0.850412971382427</v>
      </c>
      <c r="R328" s="3">
        <v>18.3197437633543</v>
      </c>
      <c r="S328" s="3">
        <v>0.79045122180555105</v>
      </c>
      <c r="T328" s="3">
        <v>1.05600725671744E-2</v>
      </c>
      <c r="U328" s="3">
        <v>1995</v>
      </c>
      <c r="V328" s="3">
        <v>27</v>
      </c>
      <c r="W328" s="3">
        <v>1</v>
      </c>
      <c r="X328" s="3" t="s">
        <v>57</v>
      </c>
      <c r="Y328" s="4" t="s">
        <v>399</v>
      </c>
      <c r="Z328" s="3" t="s">
        <v>34</v>
      </c>
      <c r="AA328" s="5">
        <f t="shared" si="15"/>
        <v>0.850412971382427</v>
      </c>
      <c r="AB328" s="5">
        <f t="shared" si="16"/>
        <v>0.79045122180555105</v>
      </c>
      <c r="AC328" s="5">
        <f t="shared" si="17"/>
        <v>1.05600725671744E-2</v>
      </c>
    </row>
    <row r="329" spans="1:29" ht="15" customHeight="1" x14ac:dyDescent="0.3">
      <c r="A329" s="3">
        <v>378</v>
      </c>
      <c r="B329" s="3">
        <v>76</v>
      </c>
      <c r="C329" s="3" t="s">
        <v>397</v>
      </c>
      <c r="D329" s="4" t="s">
        <v>398</v>
      </c>
      <c r="E329" s="3" t="s">
        <v>31</v>
      </c>
      <c r="F329" s="3">
        <v>2023</v>
      </c>
      <c r="G329" s="3">
        <v>1</v>
      </c>
      <c r="H329" s="3">
        <v>0</v>
      </c>
      <c r="I329" s="3">
        <v>5</v>
      </c>
      <c r="J329" s="3">
        <v>0</v>
      </c>
      <c r="K329" s="3">
        <v>20061000000</v>
      </c>
      <c r="L329" s="3">
        <v>0.52990000000000004</v>
      </c>
      <c r="M329" s="3">
        <v>10630323.9</v>
      </c>
      <c r="N329" s="3">
        <v>80458000</v>
      </c>
      <c r="O329" s="3">
        <v>110459000</v>
      </c>
      <c r="P329" s="3">
        <v>5847000</v>
      </c>
      <c r="Q329" s="3">
        <v>0.82463469613159601</v>
      </c>
      <c r="R329" s="3">
        <v>18.520154969345501</v>
      </c>
      <c r="S329" s="3">
        <v>0.72839696176862001</v>
      </c>
      <c r="T329" s="3">
        <v>5.2933667695706101E-2</v>
      </c>
      <c r="U329" s="3">
        <v>1995</v>
      </c>
      <c r="V329" s="3">
        <v>28</v>
      </c>
      <c r="W329" s="3">
        <v>1</v>
      </c>
      <c r="X329" s="3" t="s">
        <v>57</v>
      </c>
      <c r="Y329" s="4" t="s">
        <v>399</v>
      </c>
      <c r="Z329" s="3" t="s">
        <v>34</v>
      </c>
      <c r="AA329" s="5">
        <f t="shared" si="15"/>
        <v>0.82463469613159601</v>
      </c>
      <c r="AB329" s="5">
        <f t="shared" si="16"/>
        <v>0.72839696176862001</v>
      </c>
      <c r="AC329" s="5">
        <f t="shared" si="17"/>
        <v>5.2933667695706101E-2</v>
      </c>
    </row>
    <row r="330" spans="1:29" ht="15" customHeight="1" x14ac:dyDescent="0.3">
      <c r="A330" s="3">
        <v>379</v>
      </c>
      <c r="B330" s="3">
        <v>76</v>
      </c>
      <c r="C330" s="3" t="s">
        <v>397</v>
      </c>
      <c r="D330" s="4" t="s">
        <v>398</v>
      </c>
      <c r="E330" s="3" t="s">
        <v>31</v>
      </c>
      <c r="F330" s="3">
        <v>2024</v>
      </c>
      <c r="G330" s="3">
        <v>1</v>
      </c>
      <c r="H330" s="3">
        <v>0</v>
      </c>
      <c r="I330" s="3">
        <v>5</v>
      </c>
      <c r="J330" s="3">
        <v>0</v>
      </c>
      <c r="K330" s="3">
        <v>20061000000</v>
      </c>
      <c r="L330" s="3">
        <v>0.61009999999999998</v>
      </c>
      <c r="M330" s="3">
        <v>12239216.1</v>
      </c>
      <c r="N330" s="3">
        <v>92348000</v>
      </c>
      <c r="O330" s="3">
        <v>147134000</v>
      </c>
      <c r="P330" s="3">
        <v>10751000</v>
      </c>
      <c r="Q330" s="3">
        <v>0.71082969334076396</v>
      </c>
      <c r="R330" s="3">
        <v>18.806854294146099</v>
      </c>
      <c r="S330" s="3">
        <v>0.62764554759606905</v>
      </c>
      <c r="T330" s="3">
        <v>7.3069446898745394E-2</v>
      </c>
      <c r="U330" s="3">
        <v>1995</v>
      </c>
      <c r="V330" s="3">
        <v>29</v>
      </c>
      <c r="W330" s="3">
        <v>1</v>
      </c>
      <c r="X330" s="3" t="s">
        <v>57</v>
      </c>
      <c r="Y330" s="4" t="s">
        <v>399</v>
      </c>
      <c r="Z330" s="3" t="s">
        <v>34</v>
      </c>
      <c r="AA330" s="5">
        <f t="shared" si="15"/>
        <v>0.71082969334076396</v>
      </c>
      <c r="AB330" s="5">
        <f t="shared" si="16"/>
        <v>0.62764554759606905</v>
      </c>
      <c r="AC330" s="5">
        <f t="shared" si="17"/>
        <v>7.3069446898745394E-2</v>
      </c>
    </row>
    <row r="331" spans="1:29" ht="15" customHeight="1" x14ac:dyDescent="0.3">
      <c r="A331" s="3">
        <v>380</v>
      </c>
      <c r="B331" s="3">
        <v>76</v>
      </c>
      <c r="C331" s="3" t="s">
        <v>397</v>
      </c>
      <c r="D331" s="4" t="s">
        <v>398</v>
      </c>
      <c r="E331" s="3" t="s">
        <v>31</v>
      </c>
      <c r="F331" s="3">
        <v>2025</v>
      </c>
      <c r="G331" s="3">
        <v>1</v>
      </c>
      <c r="H331" s="3">
        <v>0</v>
      </c>
      <c r="I331" s="3">
        <v>5</v>
      </c>
      <c r="J331" s="3">
        <v>0</v>
      </c>
      <c r="K331" s="3">
        <v>20061000000</v>
      </c>
      <c r="L331" s="3">
        <v>3.1</v>
      </c>
      <c r="M331" s="3">
        <v>62189100</v>
      </c>
      <c r="N331" s="3">
        <v>105140000</v>
      </c>
      <c r="O331" s="3">
        <v>174321000</v>
      </c>
      <c r="P331" s="3">
        <v>20054000</v>
      </c>
      <c r="Q331" s="3">
        <v>0.95989066148083102</v>
      </c>
      <c r="R331" s="3">
        <v>18.976408985160599</v>
      </c>
      <c r="S331" s="3">
        <v>0.60314018391358504</v>
      </c>
      <c r="T331" s="3">
        <v>0.115040643410719</v>
      </c>
      <c r="U331" s="3">
        <v>1995</v>
      </c>
      <c r="V331" s="3">
        <v>30</v>
      </c>
      <c r="W331" s="3">
        <v>1</v>
      </c>
      <c r="X331" s="3" t="s">
        <v>57</v>
      </c>
      <c r="Y331" s="4" t="s">
        <v>399</v>
      </c>
      <c r="Z331" s="3" t="s">
        <v>34</v>
      </c>
      <c r="AA331" s="5">
        <f t="shared" si="15"/>
        <v>0.95989066148083102</v>
      </c>
      <c r="AB331" s="5">
        <f t="shared" si="16"/>
        <v>0.60314018391358504</v>
      </c>
      <c r="AC331" s="5">
        <f t="shared" si="17"/>
        <v>0.115040643410719</v>
      </c>
    </row>
    <row r="332" spans="1:29" ht="15" customHeight="1" x14ac:dyDescent="0.3">
      <c r="A332" s="3">
        <v>381</v>
      </c>
      <c r="B332" s="3">
        <v>77</v>
      </c>
      <c r="C332" s="3" t="s">
        <v>400</v>
      </c>
      <c r="D332" s="4" t="s">
        <v>401</v>
      </c>
      <c r="E332" s="3" t="s">
        <v>143</v>
      </c>
      <c r="F332" s="3">
        <v>2021</v>
      </c>
      <c r="G332" s="3">
        <v>0</v>
      </c>
      <c r="H332" s="3">
        <v>0</v>
      </c>
      <c r="I332" s="3">
        <v>0</v>
      </c>
      <c r="J332" s="3">
        <v>0</v>
      </c>
      <c r="K332" s="3">
        <v>718750000</v>
      </c>
      <c r="L332" s="3">
        <v>0.35</v>
      </c>
      <c r="M332" s="3">
        <v>251562.5</v>
      </c>
      <c r="N332" s="3">
        <v>333360</v>
      </c>
      <c r="O332" s="3">
        <v>692510</v>
      </c>
      <c r="P332" s="3">
        <v>14300</v>
      </c>
      <c r="Q332" s="3">
        <v>0.84464123261757995</v>
      </c>
      <c r="R332" s="3">
        <v>13.4480779573726</v>
      </c>
      <c r="S332" s="3">
        <v>0.481379330262379</v>
      </c>
      <c r="T332" s="3">
        <v>2.06495213065515E-2</v>
      </c>
      <c r="U332" s="3">
        <v>2004</v>
      </c>
      <c r="V332" s="3">
        <v>17</v>
      </c>
      <c r="W332" s="3">
        <v>0</v>
      </c>
      <c r="X332" s="3" t="s">
        <v>402</v>
      </c>
      <c r="Y332" s="4" t="s">
        <v>403</v>
      </c>
      <c r="Z332" s="3" t="s">
        <v>34</v>
      </c>
      <c r="AA332" s="5">
        <f t="shared" si="15"/>
        <v>0.84464123261757995</v>
      </c>
      <c r="AB332" s="5">
        <f t="shared" si="16"/>
        <v>0.481379330262379</v>
      </c>
      <c r="AC332" s="5">
        <f t="shared" si="17"/>
        <v>2.06495213065515E-2</v>
      </c>
    </row>
    <row r="333" spans="1:29" ht="15" customHeight="1" x14ac:dyDescent="0.3">
      <c r="A333" s="3">
        <v>382</v>
      </c>
      <c r="B333" s="3">
        <v>77</v>
      </c>
      <c r="C333" s="3" t="s">
        <v>400</v>
      </c>
      <c r="D333" s="4" t="s">
        <v>401</v>
      </c>
      <c r="E333" s="3" t="s">
        <v>143</v>
      </c>
      <c r="F333" s="3">
        <v>2022</v>
      </c>
      <c r="G333" s="3">
        <v>0</v>
      </c>
      <c r="H333" s="3">
        <v>0</v>
      </c>
      <c r="I333" s="3">
        <v>0</v>
      </c>
      <c r="J333" s="3">
        <v>0</v>
      </c>
      <c r="K333" s="3">
        <v>718740000</v>
      </c>
      <c r="L333" s="3">
        <v>0.56999999999999995</v>
      </c>
      <c r="M333" s="3">
        <v>409681.8</v>
      </c>
      <c r="N333" s="3">
        <v>273280</v>
      </c>
      <c r="O333" s="3">
        <v>653720</v>
      </c>
      <c r="P333" s="3">
        <v>19760</v>
      </c>
      <c r="Q333" s="3">
        <v>1.0447313834669301</v>
      </c>
      <c r="R333" s="3">
        <v>13.390434404206999</v>
      </c>
      <c r="S333" s="3">
        <v>0.41803830386098001</v>
      </c>
      <c r="T333" s="3">
        <v>3.0227008505170402E-2</v>
      </c>
      <c r="U333" s="3">
        <v>2004</v>
      </c>
      <c r="V333" s="3">
        <v>18</v>
      </c>
      <c r="W333" s="3">
        <v>0</v>
      </c>
      <c r="X333" s="3" t="s">
        <v>402</v>
      </c>
      <c r="Y333" s="4" t="s">
        <v>403</v>
      </c>
      <c r="Z333" s="3" t="s">
        <v>34</v>
      </c>
      <c r="AA333" s="5">
        <f t="shared" si="15"/>
        <v>1.0447313834669301</v>
      </c>
      <c r="AB333" s="5">
        <f t="shared" si="16"/>
        <v>0.41803830386098001</v>
      </c>
      <c r="AC333" s="5">
        <f t="shared" si="17"/>
        <v>3.0227008505170402E-2</v>
      </c>
    </row>
    <row r="334" spans="1:29" ht="15" customHeight="1" x14ac:dyDescent="0.3">
      <c r="A334" s="3">
        <v>383</v>
      </c>
      <c r="B334" s="3">
        <v>77</v>
      </c>
      <c r="C334" s="3" t="s">
        <v>400</v>
      </c>
      <c r="D334" s="4" t="s">
        <v>401</v>
      </c>
      <c r="E334" s="3" t="s">
        <v>143</v>
      </c>
      <c r="F334" s="3">
        <v>2023</v>
      </c>
      <c r="G334" s="3">
        <v>1</v>
      </c>
      <c r="H334" s="3">
        <v>0</v>
      </c>
      <c r="I334" s="3">
        <v>0</v>
      </c>
      <c r="J334" s="3">
        <v>0</v>
      </c>
      <c r="K334" s="3">
        <v>1117000000</v>
      </c>
      <c r="L334" s="3">
        <v>0.83979999999999999</v>
      </c>
      <c r="M334" s="3">
        <v>938056.6</v>
      </c>
      <c r="N334" s="3">
        <v>477000</v>
      </c>
      <c r="O334" s="3">
        <v>1069000</v>
      </c>
      <c r="P334" s="3">
        <v>36070</v>
      </c>
      <c r="Q334" s="3">
        <v>1.3237199251637</v>
      </c>
      <c r="R334" s="3">
        <v>13.8822341900072</v>
      </c>
      <c r="S334" s="3">
        <v>0.44621141253508001</v>
      </c>
      <c r="T334" s="3">
        <v>3.3741814780168397E-2</v>
      </c>
      <c r="U334" s="3">
        <v>2004</v>
      </c>
      <c r="V334" s="3">
        <v>19</v>
      </c>
      <c r="W334" s="3">
        <v>0</v>
      </c>
      <c r="X334" s="3" t="s">
        <v>402</v>
      </c>
      <c r="Y334" s="4" t="s">
        <v>403</v>
      </c>
      <c r="Z334" s="3" t="s">
        <v>34</v>
      </c>
      <c r="AA334" s="5">
        <f t="shared" si="15"/>
        <v>1.3237199251637</v>
      </c>
      <c r="AB334" s="5">
        <f t="shared" si="16"/>
        <v>0.44621141253508001</v>
      </c>
      <c r="AC334" s="5">
        <f t="shared" si="17"/>
        <v>3.3741814780168397E-2</v>
      </c>
    </row>
    <row r="335" spans="1:29" ht="15" customHeight="1" x14ac:dyDescent="0.3">
      <c r="A335" s="3">
        <v>384</v>
      </c>
      <c r="B335" s="3">
        <v>77</v>
      </c>
      <c r="C335" s="3" t="s">
        <v>400</v>
      </c>
      <c r="D335" s="4" t="s">
        <v>401</v>
      </c>
      <c r="E335" s="3" t="s">
        <v>143</v>
      </c>
      <c r="F335" s="3">
        <v>2024</v>
      </c>
      <c r="G335" s="3">
        <v>1</v>
      </c>
      <c r="H335" s="3">
        <v>0</v>
      </c>
      <c r="I335" s="3">
        <v>0</v>
      </c>
      <c r="J335" s="3">
        <v>0</v>
      </c>
      <c r="K335" s="3">
        <v>1117000000</v>
      </c>
      <c r="L335" s="3">
        <v>1.6114999999999999</v>
      </c>
      <c r="M335" s="3">
        <v>1800045.5</v>
      </c>
      <c r="N335" s="3">
        <v>652390</v>
      </c>
      <c r="O335" s="3">
        <v>1314000</v>
      </c>
      <c r="P335" s="3">
        <v>115760</v>
      </c>
      <c r="Q335" s="3">
        <v>1.8663892694063899</v>
      </c>
      <c r="R335" s="3">
        <v>14.0885864780267</v>
      </c>
      <c r="S335" s="3">
        <v>0.49649162861491603</v>
      </c>
      <c r="T335" s="3">
        <v>8.8097412480974094E-2</v>
      </c>
      <c r="U335" s="3">
        <v>2004</v>
      </c>
      <c r="V335" s="3">
        <v>20</v>
      </c>
      <c r="W335" s="3">
        <v>0</v>
      </c>
      <c r="X335" s="3" t="s">
        <v>402</v>
      </c>
      <c r="Y335" s="4" t="s">
        <v>403</v>
      </c>
      <c r="Z335" s="3" t="s">
        <v>34</v>
      </c>
      <c r="AA335" s="5">
        <f t="shared" si="15"/>
        <v>1.8663892694063899</v>
      </c>
      <c r="AB335" s="5">
        <f t="shared" si="16"/>
        <v>0.49649162861491603</v>
      </c>
      <c r="AC335" s="5">
        <f t="shared" si="17"/>
        <v>8.8097412480974094E-2</v>
      </c>
    </row>
    <row r="336" spans="1:29" ht="15" customHeight="1" x14ac:dyDescent="0.3">
      <c r="A336" s="3">
        <v>385</v>
      </c>
      <c r="B336" s="3">
        <v>77</v>
      </c>
      <c r="C336" s="3" t="s">
        <v>400</v>
      </c>
      <c r="D336" s="4" t="s">
        <v>401</v>
      </c>
      <c r="E336" s="3" t="s">
        <v>143</v>
      </c>
      <c r="F336" s="3">
        <v>2025</v>
      </c>
      <c r="G336" s="3">
        <v>1</v>
      </c>
      <c r="H336" s="3">
        <v>0</v>
      </c>
      <c r="I336" s="3">
        <v>0</v>
      </c>
      <c r="J336" s="3">
        <v>0</v>
      </c>
      <c r="K336" s="3">
        <v>1117000000</v>
      </c>
      <c r="L336" s="3">
        <v>3.2677</v>
      </c>
      <c r="M336" s="3">
        <v>3650020.9</v>
      </c>
      <c r="N336" s="3">
        <v>964320</v>
      </c>
      <c r="O336" s="3">
        <v>1894000</v>
      </c>
      <c r="P336" s="3">
        <v>346380</v>
      </c>
      <c r="Q336" s="3">
        <v>2.43629403379092</v>
      </c>
      <c r="R336" s="3">
        <v>14.4542015527282</v>
      </c>
      <c r="S336" s="3">
        <v>0.50914466737064401</v>
      </c>
      <c r="T336" s="3">
        <v>0.182882787750792</v>
      </c>
      <c r="U336" s="3">
        <v>2004</v>
      </c>
      <c r="V336" s="3">
        <v>21</v>
      </c>
      <c r="W336" s="3">
        <v>0</v>
      </c>
      <c r="X336" s="3" t="s">
        <v>402</v>
      </c>
      <c r="Y336" s="4" t="s">
        <v>403</v>
      </c>
      <c r="Z336" s="3" t="s">
        <v>34</v>
      </c>
      <c r="AA336" s="5">
        <f t="shared" si="15"/>
        <v>2.43629403379092</v>
      </c>
      <c r="AB336" s="5">
        <f t="shared" si="16"/>
        <v>0.50914466737064401</v>
      </c>
      <c r="AC336" s="5">
        <f t="shared" si="17"/>
        <v>0.182882787750792</v>
      </c>
    </row>
    <row r="337" spans="1:29" ht="15" customHeight="1" x14ac:dyDescent="0.3">
      <c r="A337" s="3">
        <v>388</v>
      </c>
      <c r="B337" s="3">
        <v>78</v>
      </c>
      <c r="C337" s="3" t="s">
        <v>404</v>
      </c>
      <c r="D337" s="4" t="s">
        <v>405</v>
      </c>
      <c r="E337" s="3" t="s">
        <v>283</v>
      </c>
      <c r="F337" s="3">
        <v>2023</v>
      </c>
      <c r="G337" s="3">
        <v>1</v>
      </c>
      <c r="H337" s="3">
        <v>0</v>
      </c>
      <c r="I337" s="3">
        <v>0</v>
      </c>
      <c r="J337" s="3">
        <v>0</v>
      </c>
      <c r="K337" s="3">
        <v>4000000000</v>
      </c>
      <c r="L337" s="3">
        <v>12</v>
      </c>
      <c r="M337" s="3">
        <v>48000000</v>
      </c>
      <c r="N337" s="3">
        <v>29505000</v>
      </c>
      <c r="O337" s="3">
        <v>41735000</v>
      </c>
      <c r="P337" s="3">
        <v>2913000</v>
      </c>
      <c r="Q337" s="3">
        <v>1.8570743979872999</v>
      </c>
      <c r="R337" s="3">
        <v>17.546850663267001</v>
      </c>
      <c r="S337" s="3">
        <v>0.70696058464118905</v>
      </c>
      <c r="T337" s="3">
        <v>6.9797532047442198E-2</v>
      </c>
      <c r="U337" s="3">
        <v>2005</v>
      </c>
      <c r="V337" s="3">
        <v>18</v>
      </c>
      <c r="W337" s="3">
        <v>0</v>
      </c>
      <c r="X337" s="3" t="s">
        <v>406</v>
      </c>
      <c r="Y337" s="4" t="s">
        <v>407</v>
      </c>
      <c r="Z337" s="3" t="s">
        <v>34</v>
      </c>
      <c r="AA337" s="5">
        <f t="shared" si="15"/>
        <v>1.8570743979872999</v>
      </c>
      <c r="AB337" s="5">
        <f t="shared" si="16"/>
        <v>0.70696058464118905</v>
      </c>
      <c r="AC337" s="5">
        <f t="shared" si="17"/>
        <v>6.9797532047442198E-2</v>
      </c>
    </row>
    <row r="338" spans="1:29" ht="15" customHeight="1" x14ac:dyDescent="0.3">
      <c r="A338" s="3">
        <v>389</v>
      </c>
      <c r="B338" s="3">
        <v>78</v>
      </c>
      <c r="C338" s="3" t="s">
        <v>404</v>
      </c>
      <c r="D338" s="4" t="s">
        <v>405</v>
      </c>
      <c r="E338" s="3" t="s">
        <v>283</v>
      </c>
      <c r="F338" s="3">
        <v>2024</v>
      </c>
      <c r="G338" s="3">
        <v>1</v>
      </c>
      <c r="H338" s="3">
        <v>0</v>
      </c>
      <c r="I338" s="3">
        <v>0</v>
      </c>
      <c r="J338" s="3">
        <v>0</v>
      </c>
      <c r="K338" s="3">
        <v>4000000000</v>
      </c>
      <c r="L338" s="3">
        <v>13.9</v>
      </c>
      <c r="M338" s="3">
        <v>55600000</v>
      </c>
      <c r="N338" s="3">
        <v>40879000</v>
      </c>
      <c r="O338" s="3">
        <v>54838000</v>
      </c>
      <c r="P338" s="3">
        <v>2329000</v>
      </c>
      <c r="Q338" s="3">
        <v>1.75934570917977</v>
      </c>
      <c r="R338" s="3">
        <v>17.819893942263199</v>
      </c>
      <c r="S338" s="3">
        <v>0.74545023523833798</v>
      </c>
      <c r="T338" s="3">
        <v>4.2470549618877397E-2</v>
      </c>
      <c r="U338" s="3">
        <v>2005</v>
      </c>
      <c r="V338" s="3">
        <v>19</v>
      </c>
      <c r="W338" s="3">
        <v>0</v>
      </c>
      <c r="X338" s="3" t="s">
        <v>406</v>
      </c>
      <c r="Y338" s="4" t="s">
        <v>408</v>
      </c>
      <c r="Z338" s="3" t="s">
        <v>34</v>
      </c>
      <c r="AA338" s="5">
        <f t="shared" si="15"/>
        <v>1.75934570917977</v>
      </c>
      <c r="AB338" s="5">
        <f t="shared" si="16"/>
        <v>0.74545023523833798</v>
      </c>
      <c r="AC338" s="5">
        <f t="shared" si="17"/>
        <v>4.2470549618877397E-2</v>
      </c>
    </row>
    <row r="339" spans="1:29" ht="15" customHeight="1" x14ac:dyDescent="0.3">
      <c r="A339" s="3">
        <v>390</v>
      </c>
      <c r="B339" s="3">
        <v>78</v>
      </c>
      <c r="C339" s="3" t="s">
        <v>404</v>
      </c>
      <c r="D339" s="4" t="s">
        <v>405</v>
      </c>
      <c r="E339" s="3" t="s">
        <v>283</v>
      </c>
      <c r="F339" s="3">
        <v>2025</v>
      </c>
      <c r="G339" s="3">
        <v>1</v>
      </c>
      <c r="H339" s="3">
        <v>0</v>
      </c>
      <c r="I339" s="3">
        <v>0</v>
      </c>
      <c r="J339" s="3">
        <v>0</v>
      </c>
      <c r="K339" s="3">
        <v>4000000000</v>
      </c>
      <c r="L339" s="3">
        <v>65.2</v>
      </c>
      <c r="M339" s="3">
        <v>260800000</v>
      </c>
      <c r="N339" s="3">
        <v>62136000</v>
      </c>
      <c r="O339" s="3">
        <v>81958000</v>
      </c>
      <c r="P339" s="3">
        <v>6463000</v>
      </c>
      <c r="Q339" s="3">
        <v>3.9402620854584098</v>
      </c>
      <c r="R339" s="3">
        <v>18.221717478889801</v>
      </c>
      <c r="S339" s="3">
        <v>0.75814441543229505</v>
      </c>
      <c r="T339" s="3">
        <v>7.8857463578906301E-2</v>
      </c>
      <c r="U339" s="3">
        <v>2005</v>
      </c>
      <c r="V339" s="3">
        <v>20</v>
      </c>
      <c r="W339" s="3">
        <v>0</v>
      </c>
      <c r="X339" s="3" t="s">
        <v>406</v>
      </c>
      <c r="Y339" s="4" t="s">
        <v>408</v>
      </c>
      <c r="Z339" s="3" t="s">
        <v>34</v>
      </c>
      <c r="AA339" s="5">
        <f t="shared" si="15"/>
        <v>3.9402620854584098</v>
      </c>
      <c r="AB339" s="5">
        <f t="shared" si="16"/>
        <v>0.75814441543229505</v>
      </c>
      <c r="AC339" s="5">
        <f t="shared" si="17"/>
        <v>7.8857463578906301E-2</v>
      </c>
    </row>
    <row r="340" spans="1:29" ht="15" customHeight="1" x14ac:dyDescent="0.3">
      <c r="A340" s="3">
        <v>391</v>
      </c>
      <c r="B340" s="3">
        <v>79</v>
      </c>
      <c r="C340" s="3" t="s">
        <v>409</v>
      </c>
      <c r="D340" s="4" t="s">
        <v>410</v>
      </c>
      <c r="E340" s="3" t="s">
        <v>105</v>
      </c>
      <c r="F340" s="3">
        <v>2021</v>
      </c>
      <c r="G340" s="3">
        <v>0</v>
      </c>
      <c r="H340" s="3">
        <v>0</v>
      </c>
      <c r="I340" s="3">
        <v>0</v>
      </c>
      <c r="J340" s="3">
        <v>0</v>
      </c>
      <c r="K340" s="3">
        <v>497730000</v>
      </c>
      <c r="L340" s="3">
        <v>0.46</v>
      </c>
      <c r="M340" s="3">
        <v>228955.8</v>
      </c>
      <c r="N340" s="3">
        <v>968500</v>
      </c>
      <c r="O340" s="3">
        <v>2023000</v>
      </c>
      <c r="P340" s="3">
        <v>33670</v>
      </c>
      <c r="Q340" s="3">
        <v>0.59192081067721203</v>
      </c>
      <c r="R340" s="3">
        <v>14.5200921161499</v>
      </c>
      <c r="S340" s="3">
        <v>0.47874443895205099</v>
      </c>
      <c r="T340" s="3">
        <v>1.6643598615917E-2</v>
      </c>
      <c r="U340" s="3">
        <v>1960</v>
      </c>
      <c r="V340" s="3">
        <v>61</v>
      </c>
      <c r="W340" s="3">
        <v>0</v>
      </c>
      <c r="X340" s="3" t="s">
        <v>305</v>
      </c>
      <c r="Y340" s="4" t="s">
        <v>411</v>
      </c>
      <c r="Z340" s="3" t="s">
        <v>34</v>
      </c>
      <c r="AA340" s="5">
        <f t="shared" si="15"/>
        <v>0.59192081067721203</v>
      </c>
      <c r="AB340" s="5">
        <f t="shared" si="16"/>
        <v>0.47874443895205099</v>
      </c>
      <c r="AC340" s="5">
        <f t="shared" si="17"/>
        <v>1.6643598615917E-2</v>
      </c>
    </row>
    <row r="341" spans="1:29" ht="15" customHeight="1" x14ac:dyDescent="0.3">
      <c r="A341" s="3">
        <v>392</v>
      </c>
      <c r="B341" s="3">
        <v>79</v>
      </c>
      <c r="C341" s="3" t="s">
        <v>409</v>
      </c>
      <c r="D341" s="4" t="s">
        <v>410</v>
      </c>
      <c r="E341" s="3" t="s">
        <v>105</v>
      </c>
      <c r="F341" s="3">
        <v>2022</v>
      </c>
      <c r="G341" s="3">
        <v>0</v>
      </c>
      <c r="H341" s="3">
        <v>0</v>
      </c>
      <c r="I341" s="3">
        <v>0</v>
      </c>
      <c r="J341" s="3">
        <v>0</v>
      </c>
      <c r="K341" s="3">
        <v>497730000</v>
      </c>
      <c r="L341" s="3">
        <v>2.2703000000000002</v>
      </c>
      <c r="M341" s="3">
        <v>1129996.419</v>
      </c>
      <c r="N341" s="3">
        <v>490150</v>
      </c>
      <c r="O341" s="3">
        <v>1939000</v>
      </c>
      <c r="P341" s="3">
        <v>393620</v>
      </c>
      <c r="Q341" s="3">
        <v>0.83555771995874195</v>
      </c>
      <c r="R341" s="3">
        <v>14.4776829342248</v>
      </c>
      <c r="S341" s="3">
        <v>0.25278494069107799</v>
      </c>
      <c r="T341" s="3">
        <v>0.20300154718927299</v>
      </c>
      <c r="U341" s="3">
        <v>1960</v>
      </c>
      <c r="V341" s="3">
        <v>62</v>
      </c>
      <c r="W341" s="3">
        <v>0</v>
      </c>
      <c r="X341" s="3" t="s">
        <v>305</v>
      </c>
      <c r="Y341" s="4" t="s">
        <v>411</v>
      </c>
      <c r="Z341" s="3" t="s">
        <v>34</v>
      </c>
      <c r="AA341" s="5">
        <f t="shared" si="15"/>
        <v>0.83555771995874195</v>
      </c>
      <c r="AB341" s="5">
        <f t="shared" si="16"/>
        <v>0.25278494069107799</v>
      </c>
      <c r="AC341" s="5">
        <f t="shared" si="17"/>
        <v>0.20300154718927299</v>
      </c>
    </row>
    <row r="342" spans="1:29" ht="15" customHeight="1" x14ac:dyDescent="0.3">
      <c r="A342" s="3">
        <v>393</v>
      </c>
      <c r="B342" s="3">
        <v>79</v>
      </c>
      <c r="C342" s="3" t="s">
        <v>409</v>
      </c>
      <c r="D342" s="4" t="s">
        <v>410</v>
      </c>
      <c r="E342" s="3" t="s">
        <v>105</v>
      </c>
      <c r="F342" s="3">
        <v>2023</v>
      </c>
      <c r="G342" s="3">
        <v>1</v>
      </c>
      <c r="H342" s="3">
        <v>0</v>
      </c>
      <c r="I342" s="3">
        <v>0</v>
      </c>
      <c r="J342" s="3">
        <v>0</v>
      </c>
      <c r="K342" s="3">
        <v>497730000</v>
      </c>
      <c r="L342" s="3">
        <v>3.5962999999999998</v>
      </c>
      <c r="M342" s="3">
        <v>1789986.399</v>
      </c>
      <c r="N342" s="3">
        <v>767650</v>
      </c>
      <c r="O342" s="3">
        <v>2452000</v>
      </c>
      <c r="P342" s="3">
        <v>235960</v>
      </c>
      <c r="Q342" s="3">
        <v>1.04308172879282</v>
      </c>
      <c r="R342" s="3">
        <v>14.712414576038199</v>
      </c>
      <c r="S342" s="3">
        <v>0.31307096247960797</v>
      </c>
      <c r="T342" s="3">
        <v>9.6231647634584E-2</v>
      </c>
      <c r="U342" s="3">
        <v>1960</v>
      </c>
      <c r="V342" s="3">
        <v>63</v>
      </c>
      <c r="W342" s="3">
        <v>0</v>
      </c>
      <c r="X342" s="3" t="s">
        <v>305</v>
      </c>
      <c r="Y342" s="4" t="s">
        <v>411</v>
      </c>
      <c r="Z342" s="3" t="s">
        <v>34</v>
      </c>
      <c r="AA342" s="5">
        <f t="shared" si="15"/>
        <v>1.04308172879282</v>
      </c>
      <c r="AB342" s="5">
        <f t="shared" si="16"/>
        <v>0.31307096247960797</v>
      </c>
      <c r="AC342" s="5">
        <f t="shared" si="17"/>
        <v>9.6231647634584E-2</v>
      </c>
    </row>
    <row r="343" spans="1:29" ht="15" customHeight="1" x14ac:dyDescent="0.3">
      <c r="A343" s="3">
        <v>394</v>
      </c>
      <c r="B343" s="3">
        <v>79</v>
      </c>
      <c r="C343" s="3" t="s">
        <v>409</v>
      </c>
      <c r="D343" s="4" t="s">
        <v>410</v>
      </c>
      <c r="E343" s="3" t="s">
        <v>105</v>
      </c>
      <c r="F343" s="3">
        <v>2024</v>
      </c>
      <c r="G343" s="3">
        <v>1</v>
      </c>
      <c r="H343" s="3">
        <v>0</v>
      </c>
      <c r="I343" s="3">
        <v>0</v>
      </c>
      <c r="J343" s="3">
        <v>0</v>
      </c>
      <c r="K343" s="3">
        <v>497730000</v>
      </c>
      <c r="L343" s="3">
        <v>8.4382999999999999</v>
      </c>
      <c r="M343" s="3">
        <v>4199995.0590000004</v>
      </c>
      <c r="N343" s="3">
        <v>1010000</v>
      </c>
      <c r="O343" s="3">
        <v>2840000</v>
      </c>
      <c r="P343" s="3">
        <v>295400</v>
      </c>
      <c r="Q343" s="3">
        <v>1.8345053024647899</v>
      </c>
      <c r="R343" s="3">
        <v>14.8593146101374</v>
      </c>
      <c r="S343" s="3">
        <v>0.35563380281690099</v>
      </c>
      <c r="T343" s="3">
        <v>0.104014084507042</v>
      </c>
      <c r="U343" s="3">
        <v>1960</v>
      </c>
      <c r="V343" s="3">
        <v>64</v>
      </c>
      <c r="W343" s="3">
        <v>0</v>
      </c>
      <c r="X343" s="3" t="s">
        <v>305</v>
      </c>
      <c r="Y343" s="4" t="s">
        <v>411</v>
      </c>
      <c r="Z343" s="3" t="s">
        <v>34</v>
      </c>
      <c r="AA343" s="5">
        <f t="shared" si="15"/>
        <v>1.8345053024647899</v>
      </c>
      <c r="AB343" s="5">
        <f t="shared" si="16"/>
        <v>0.35563380281690099</v>
      </c>
      <c r="AC343" s="5">
        <f t="shared" si="17"/>
        <v>0.104014084507042</v>
      </c>
    </row>
    <row r="344" spans="1:29" ht="15" customHeight="1" x14ac:dyDescent="0.3">
      <c r="A344" s="3">
        <v>395</v>
      </c>
      <c r="B344" s="3">
        <v>79</v>
      </c>
      <c r="C344" s="3" t="s">
        <v>409</v>
      </c>
      <c r="D344" s="4" t="s">
        <v>410</v>
      </c>
      <c r="E344" s="3" t="s">
        <v>105</v>
      </c>
      <c r="F344" s="3">
        <v>2025</v>
      </c>
      <c r="G344" s="3">
        <v>1</v>
      </c>
      <c r="H344" s="3">
        <v>0</v>
      </c>
      <c r="I344" s="3">
        <v>0</v>
      </c>
      <c r="J344" s="3">
        <v>0</v>
      </c>
      <c r="K344" s="3">
        <v>497730000</v>
      </c>
      <c r="L344" s="3">
        <v>12.9588</v>
      </c>
      <c r="M344" s="3">
        <v>6449983.5240000002</v>
      </c>
      <c r="N344" s="3">
        <v>1276000</v>
      </c>
      <c r="O344" s="3">
        <v>3417000</v>
      </c>
      <c r="P344" s="3">
        <v>461030</v>
      </c>
      <c r="Q344" s="3">
        <v>2.2610428808896699</v>
      </c>
      <c r="R344" s="3">
        <v>15.044273531097399</v>
      </c>
      <c r="S344" s="3">
        <v>0.37342698273339198</v>
      </c>
      <c r="T344" s="3">
        <v>0.13492244659057701</v>
      </c>
      <c r="U344" s="3">
        <v>1960</v>
      </c>
      <c r="V344" s="3">
        <v>65</v>
      </c>
      <c r="W344" s="3">
        <v>0</v>
      </c>
      <c r="X344" s="3" t="s">
        <v>305</v>
      </c>
      <c r="Y344" s="4" t="s">
        <v>411</v>
      </c>
      <c r="Z344" s="3" t="s">
        <v>34</v>
      </c>
      <c r="AA344" s="5">
        <f t="shared" si="15"/>
        <v>2.2610428808896699</v>
      </c>
      <c r="AB344" s="5">
        <f t="shared" si="16"/>
        <v>0.37342698273339198</v>
      </c>
      <c r="AC344" s="5">
        <f t="shared" si="17"/>
        <v>0.13492244659057701</v>
      </c>
    </row>
    <row r="345" spans="1:29" ht="15" customHeight="1" x14ac:dyDescent="0.3">
      <c r="A345" s="3">
        <v>401</v>
      </c>
      <c r="B345" s="3">
        <v>81</v>
      </c>
      <c r="C345" s="3" t="s">
        <v>412</v>
      </c>
      <c r="D345" s="4" t="s">
        <v>413</v>
      </c>
      <c r="E345" s="3" t="s">
        <v>283</v>
      </c>
      <c r="F345" s="3">
        <v>2021</v>
      </c>
      <c r="G345" s="3">
        <v>0</v>
      </c>
      <c r="H345" s="3">
        <v>0</v>
      </c>
      <c r="I345" s="3">
        <v>0</v>
      </c>
      <c r="J345" s="3">
        <v>0</v>
      </c>
      <c r="K345" s="3">
        <v>989160000</v>
      </c>
      <c r="L345" s="3">
        <v>1.9916</v>
      </c>
      <c r="M345" s="3">
        <v>1970011.0560000001</v>
      </c>
      <c r="N345" s="3">
        <v>547890</v>
      </c>
      <c r="O345" s="3">
        <v>1615000</v>
      </c>
      <c r="P345" s="3">
        <v>-93930</v>
      </c>
      <c r="Q345" s="3">
        <v>1.5590718613003101</v>
      </c>
      <c r="R345" s="3">
        <v>14.294845514638901</v>
      </c>
      <c r="S345" s="3">
        <v>0.33925077399380799</v>
      </c>
      <c r="T345" s="3">
        <v>-5.8160990712074298E-2</v>
      </c>
      <c r="U345" s="3">
        <v>1955</v>
      </c>
      <c r="V345" s="3">
        <v>66</v>
      </c>
      <c r="W345" s="3">
        <v>0</v>
      </c>
      <c r="X345" s="3" t="s">
        <v>305</v>
      </c>
      <c r="Y345" s="4" t="s">
        <v>414</v>
      </c>
      <c r="Z345" s="3" t="s">
        <v>34</v>
      </c>
      <c r="AA345" s="5">
        <f t="shared" si="15"/>
        <v>1.5590718613003101</v>
      </c>
      <c r="AB345" s="5">
        <f t="shared" si="16"/>
        <v>0.33925077399380799</v>
      </c>
      <c r="AC345" s="5">
        <f t="shared" si="17"/>
        <v>-5.8160990712074298E-2</v>
      </c>
    </row>
    <row r="346" spans="1:29" ht="15" customHeight="1" x14ac:dyDescent="0.3">
      <c r="A346" s="3">
        <v>402</v>
      </c>
      <c r="B346" s="3">
        <v>81</v>
      </c>
      <c r="C346" s="3" t="s">
        <v>412</v>
      </c>
      <c r="D346" s="4" t="s">
        <v>413</v>
      </c>
      <c r="E346" s="3" t="s">
        <v>283</v>
      </c>
      <c r="F346" s="3">
        <v>2022</v>
      </c>
      <c r="G346" s="3">
        <v>0</v>
      </c>
      <c r="H346" s="3">
        <v>0</v>
      </c>
      <c r="I346" s="3">
        <v>0</v>
      </c>
      <c r="J346" s="3">
        <v>0</v>
      </c>
      <c r="K346" s="3">
        <v>989160000</v>
      </c>
      <c r="L346" s="3">
        <v>2.1736</v>
      </c>
      <c r="M346" s="3">
        <v>2150038.176</v>
      </c>
      <c r="N346" s="3">
        <v>608790</v>
      </c>
      <c r="O346" s="3">
        <v>1568000</v>
      </c>
      <c r="P346" s="3">
        <v>-107480</v>
      </c>
      <c r="Q346" s="3">
        <v>1.7594567448979599</v>
      </c>
      <c r="R346" s="3">
        <v>14.2653114798925</v>
      </c>
      <c r="S346" s="3">
        <v>0.38825892857142902</v>
      </c>
      <c r="T346" s="3">
        <v>-6.85459183673469E-2</v>
      </c>
      <c r="U346" s="3">
        <v>1955</v>
      </c>
      <c r="V346" s="3">
        <v>67</v>
      </c>
      <c r="W346" s="3">
        <v>0</v>
      </c>
      <c r="X346" s="3" t="s">
        <v>305</v>
      </c>
      <c r="Y346" s="4" t="s">
        <v>414</v>
      </c>
      <c r="Z346" s="3" t="s">
        <v>34</v>
      </c>
      <c r="AA346" s="5">
        <f t="shared" si="15"/>
        <v>1.7594567448979599</v>
      </c>
      <c r="AB346" s="5">
        <f t="shared" si="16"/>
        <v>0.38825892857142902</v>
      </c>
      <c r="AC346" s="5">
        <f t="shared" si="17"/>
        <v>-6.85459183673469E-2</v>
      </c>
    </row>
    <row r="347" spans="1:29" ht="15" customHeight="1" x14ac:dyDescent="0.3">
      <c r="A347" s="3">
        <v>403</v>
      </c>
      <c r="B347" s="3">
        <v>81</v>
      </c>
      <c r="C347" s="3" t="s">
        <v>412</v>
      </c>
      <c r="D347" s="4" t="s">
        <v>413</v>
      </c>
      <c r="E347" s="3" t="s">
        <v>283</v>
      </c>
      <c r="F347" s="3">
        <v>2023</v>
      </c>
      <c r="G347" s="3">
        <v>1</v>
      </c>
      <c r="H347" s="3">
        <v>0</v>
      </c>
      <c r="I347" s="3">
        <v>0</v>
      </c>
      <c r="J347" s="3">
        <v>0</v>
      </c>
      <c r="K347" s="3">
        <v>989160000</v>
      </c>
      <c r="L347" s="3">
        <v>2.8003999999999998</v>
      </c>
      <c r="M347" s="3">
        <v>2770043.6639999999</v>
      </c>
      <c r="N347" s="3">
        <v>664930</v>
      </c>
      <c r="O347" s="3">
        <v>1525000</v>
      </c>
      <c r="P347" s="3">
        <v>-98720</v>
      </c>
      <c r="Q347" s="3">
        <v>2.2524417468852498</v>
      </c>
      <c r="R347" s="3">
        <v>14.2375049680236</v>
      </c>
      <c r="S347" s="3">
        <v>0.43601967213114801</v>
      </c>
      <c r="T347" s="3">
        <v>-6.4734426229508202E-2</v>
      </c>
      <c r="U347" s="3">
        <v>1955</v>
      </c>
      <c r="V347" s="3">
        <v>68</v>
      </c>
      <c r="W347" s="3">
        <v>0</v>
      </c>
      <c r="X347" s="3" t="s">
        <v>305</v>
      </c>
      <c r="Y347" s="4" t="s">
        <v>414</v>
      </c>
      <c r="Z347" s="3" t="s">
        <v>34</v>
      </c>
      <c r="AA347" s="5">
        <f t="shared" si="15"/>
        <v>2.2524417468852498</v>
      </c>
      <c r="AB347" s="5">
        <f t="shared" si="16"/>
        <v>0.43601967213114801</v>
      </c>
      <c r="AC347" s="5">
        <f t="shared" si="17"/>
        <v>-6.4734426229508202E-2</v>
      </c>
    </row>
    <row r="348" spans="1:29" ht="15" customHeight="1" x14ac:dyDescent="0.3">
      <c r="A348" s="3">
        <v>404</v>
      </c>
      <c r="B348" s="3">
        <v>81</v>
      </c>
      <c r="C348" s="3" t="s">
        <v>412</v>
      </c>
      <c r="D348" s="4" t="s">
        <v>413</v>
      </c>
      <c r="E348" s="3" t="s">
        <v>283</v>
      </c>
      <c r="F348" s="3">
        <v>2024</v>
      </c>
      <c r="G348" s="3">
        <v>1</v>
      </c>
      <c r="H348" s="3">
        <v>0</v>
      </c>
      <c r="I348" s="3">
        <v>0</v>
      </c>
      <c r="J348" s="3">
        <v>0</v>
      </c>
      <c r="K348" s="3">
        <v>989160000</v>
      </c>
      <c r="L348" s="3">
        <v>4.0134999999999996</v>
      </c>
      <c r="M348" s="3">
        <v>3969993.66</v>
      </c>
      <c r="N348" s="3">
        <v>773500</v>
      </c>
      <c r="O348" s="3">
        <v>1555000</v>
      </c>
      <c r="P348" s="3">
        <v>-78750</v>
      </c>
      <c r="Q348" s="3">
        <v>3.0504782379421198</v>
      </c>
      <c r="R348" s="3">
        <v>14.2569861035955</v>
      </c>
      <c r="S348" s="3">
        <v>0.49742765273311901</v>
      </c>
      <c r="T348" s="3">
        <v>-5.0643086816720299E-2</v>
      </c>
      <c r="U348" s="3">
        <v>1955</v>
      </c>
      <c r="V348" s="3">
        <v>69</v>
      </c>
      <c r="W348" s="3">
        <v>0</v>
      </c>
      <c r="X348" s="3" t="s">
        <v>305</v>
      </c>
      <c r="Y348" s="4" t="s">
        <v>414</v>
      </c>
      <c r="Z348" s="3" t="s">
        <v>34</v>
      </c>
      <c r="AA348" s="5">
        <f t="shared" si="15"/>
        <v>3.0504782379421198</v>
      </c>
      <c r="AB348" s="5">
        <f t="shared" si="16"/>
        <v>0.49742765273311901</v>
      </c>
      <c r="AC348" s="5">
        <f t="shared" si="17"/>
        <v>-5.0643086816720299E-2</v>
      </c>
    </row>
    <row r="349" spans="1:29" ht="15" customHeight="1" x14ac:dyDescent="0.3">
      <c r="A349" s="3">
        <v>405</v>
      </c>
      <c r="B349" s="3">
        <v>81</v>
      </c>
      <c r="C349" s="3" t="s">
        <v>412</v>
      </c>
      <c r="D349" s="4" t="s">
        <v>413</v>
      </c>
      <c r="E349" s="3" t="s">
        <v>283</v>
      </c>
      <c r="F349" s="3">
        <v>2025</v>
      </c>
      <c r="G349" s="3">
        <v>1</v>
      </c>
      <c r="H349" s="3">
        <v>0</v>
      </c>
      <c r="I349" s="3">
        <v>0</v>
      </c>
      <c r="J349" s="3">
        <v>0</v>
      </c>
      <c r="K349" s="3">
        <v>1256000000</v>
      </c>
      <c r="L349" s="3">
        <v>4.0525000000000002</v>
      </c>
      <c r="M349" s="3">
        <v>5089940</v>
      </c>
      <c r="N349" s="3">
        <v>916490</v>
      </c>
      <c r="O349" s="3">
        <v>2111000</v>
      </c>
      <c r="P349" s="3">
        <v>12310</v>
      </c>
      <c r="Q349" s="3">
        <v>2.84530080530554</v>
      </c>
      <c r="R349" s="3">
        <v>14.5626723268305</v>
      </c>
      <c r="S349" s="3">
        <v>0.43414969208905702</v>
      </c>
      <c r="T349" s="3">
        <v>5.8313595452392196E-3</v>
      </c>
      <c r="U349" s="3">
        <v>1955</v>
      </c>
      <c r="V349" s="3">
        <v>70</v>
      </c>
      <c r="W349" s="3">
        <v>0</v>
      </c>
      <c r="X349" s="3" t="s">
        <v>305</v>
      </c>
      <c r="Y349" s="4" t="s">
        <v>414</v>
      </c>
      <c r="Z349" s="3" t="s">
        <v>34</v>
      </c>
      <c r="AA349" s="5">
        <f t="shared" si="15"/>
        <v>2.84530080530554</v>
      </c>
      <c r="AB349" s="5">
        <f t="shared" si="16"/>
        <v>0.43414969208905702</v>
      </c>
      <c r="AC349" s="5">
        <f t="shared" si="17"/>
        <v>5.8313595452392196E-3</v>
      </c>
    </row>
    <row r="350" spans="1:29" ht="15" customHeight="1" x14ac:dyDescent="0.3">
      <c r="A350" s="3">
        <v>406</v>
      </c>
      <c r="B350" s="3">
        <v>82</v>
      </c>
      <c r="C350" s="3" t="s">
        <v>415</v>
      </c>
      <c r="D350" s="4" t="s">
        <v>416</v>
      </c>
      <c r="E350" s="3" t="s">
        <v>90</v>
      </c>
      <c r="F350" s="3">
        <v>2021</v>
      </c>
      <c r="G350" s="3">
        <v>0</v>
      </c>
      <c r="H350" s="3">
        <v>0</v>
      </c>
      <c r="I350" s="3">
        <v>25</v>
      </c>
      <c r="J350" s="3">
        <v>33.3333333333333</v>
      </c>
      <c r="K350" s="3">
        <v>20355000000</v>
      </c>
      <c r="L350" s="3">
        <v>197.00319999999999</v>
      </c>
      <c r="M350" s="3">
        <v>4010000136</v>
      </c>
      <c r="N350" s="3">
        <v>1997978000</v>
      </c>
      <c r="O350" s="3">
        <v>2262959000</v>
      </c>
      <c r="P350" s="3">
        <v>298654000</v>
      </c>
      <c r="Q350" s="3">
        <v>2.65492133794735</v>
      </c>
      <c r="R350" s="3">
        <v>21.539939085890602</v>
      </c>
      <c r="S350" s="3">
        <v>0.88290508135587098</v>
      </c>
      <c r="T350" s="3">
        <v>0.131974993802362</v>
      </c>
      <c r="U350" s="3">
        <v>2000</v>
      </c>
      <c r="V350" s="3">
        <v>21</v>
      </c>
      <c r="W350" s="3">
        <v>1</v>
      </c>
      <c r="X350" s="3" t="s">
        <v>50</v>
      </c>
      <c r="Y350" s="4" t="s">
        <v>417</v>
      </c>
      <c r="Z350" s="3" t="s">
        <v>34</v>
      </c>
      <c r="AA350" s="5">
        <f t="shared" si="15"/>
        <v>2.65492133794735</v>
      </c>
      <c r="AB350" s="5">
        <f t="shared" si="16"/>
        <v>0.88290508135587098</v>
      </c>
      <c r="AC350" s="5">
        <f t="shared" si="17"/>
        <v>0.131974993802362</v>
      </c>
    </row>
    <row r="351" spans="1:29" ht="15" customHeight="1" x14ac:dyDescent="0.3">
      <c r="A351" s="3">
        <v>407</v>
      </c>
      <c r="B351" s="3">
        <v>82</v>
      </c>
      <c r="C351" s="3" t="s">
        <v>415</v>
      </c>
      <c r="D351" s="4" t="s">
        <v>416</v>
      </c>
      <c r="E351" s="3" t="s">
        <v>90</v>
      </c>
      <c r="F351" s="3">
        <v>2022</v>
      </c>
      <c r="G351" s="3">
        <v>0</v>
      </c>
      <c r="H351" s="3">
        <v>0</v>
      </c>
      <c r="I351" s="3">
        <v>40</v>
      </c>
      <c r="J351" s="3">
        <v>46.6666666666667</v>
      </c>
      <c r="K351" s="3">
        <v>20326000000</v>
      </c>
      <c r="L351" s="3">
        <v>214.9956</v>
      </c>
      <c r="M351" s="3">
        <v>4370000565.6000004</v>
      </c>
      <c r="N351" s="3">
        <v>2276827000</v>
      </c>
      <c r="O351" s="3">
        <v>2539369000</v>
      </c>
      <c r="P351" s="3">
        <v>351382000</v>
      </c>
      <c r="Q351" s="3">
        <v>2.6175115021093802</v>
      </c>
      <c r="R351" s="3">
        <v>21.655181461917401</v>
      </c>
      <c r="S351" s="3">
        <v>0.89661132352171002</v>
      </c>
      <c r="T351" s="3">
        <v>0.138373745603731</v>
      </c>
      <c r="U351" s="3">
        <v>2000</v>
      </c>
      <c r="V351" s="3">
        <v>22</v>
      </c>
      <c r="W351" s="3">
        <v>1</v>
      </c>
      <c r="X351" s="3" t="s">
        <v>50</v>
      </c>
      <c r="Y351" s="4" t="s">
        <v>417</v>
      </c>
      <c r="Z351" s="3" t="s">
        <v>34</v>
      </c>
      <c r="AA351" s="5">
        <f t="shared" si="15"/>
        <v>2.6175115021093802</v>
      </c>
      <c r="AB351" s="5">
        <f t="shared" si="16"/>
        <v>0.89661132352171002</v>
      </c>
      <c r="AC351" s="5">
        <f t="shared" si="17"/>
        <v>0.138373745603731</v>
      </c>
    </row>
    <row r="352" spans="1:29" ht="15" customHeight="1" x14ac:dyDescent="0.3">
      <c r="A352" s="3">
        <v>408</v>
      </c>
      <c r="B352" s="3">
        <v>82</v>
      </c>
      <c r="C352" s="3" t="s">
        <v>415</v>
      </c>
      <c r="D352" s="4" t="s">
        <v>416</v>
      </c>
      <c r="E352" s="3" t="s">
        <v>90</v>
      </c>
      <c r="F352" s="3">
        <v>2023</v>
      </c>
      <c r="G352" s="3">
        <v>1</v>
      </c>
      <c r="H352" s="3">
        <v>1</v>
      </c>
      <c r="I352" s="3">
        <v>85</v>
      </c>
      <c r="J352" s="3">
        <v>80</v>
      </c>
      <c r="K352" s="3">
        <v>20967000000</v>
      </c>
      <c r="L352" s="3">
        <v>264.22469999999998</v>
      </c>
      <c r="M352" s="3">
        <v>5539999284.8999996</v>
      </c>
      <c r="N352" s="3">
        <v>3229671000</v>
      </c>
      <c r="O352" s="3">
        <v>3188827000</v>
      </c>
      <c r="P352" s="3">
        <v>-133841000</v>
      </c>
      <c r="Q352" s="3">
        <v>2.7501241945392501</v>
      </c>
      <c r="R352" s="3">
        <v>21.8829189745219</v>
      </c>
      <c r="S352" s="3">
        <v>1.01280847157905</v>
      </c>
      <c r="T352" s="3">
        <v>-4.1971859871984298E-2</v>
      </c>
      <c r="U352" s="3">
        <v>2000</v>
      </c>
      <c r="V352" s="3">
        <v>23</v>
      </c>
      <c r="W352" s="3">
        <v>1</v>
      </c>
      <c r="X352" s="3" t="s">
        <v>50</v>
      </c>
      <c r="Y352" s="4" t="s">
        <v>417</v>
      </c>
      <c r="Z352" s="3" t="s">
        <v>34</v>
      </c>
      <c r="AA352" s="5">
        <f t="shared" si="15"/>
        <v>2.7501241945392501</v>
      </c>
      <c r="AB352" s="5">
        <f t="shared" si="16"/>
        <v>1.01280847157905</v>
      </c>
      <c r="AC352" s="5">
        <f t="shared" si="17"/>
        <v>-4.1971859871984298E-2</v>
      </c>
    </row>
    <row r="353" spans="1:29" ht="15" customHeight="1" x14ac:dyDescent="0.3">
      <c r="A353" s="3">
        <v>409</v>
      </c>
      <c r="B353" s="3">
        <v>82</v>
      </c>
      <c r="C353" s="3" t="s">
        <v>415</v>
      </c>
      <c r="D353" s="4" t="s">
        <v>416</v>
      </c>
      <c r="E353" s="3" t="s">
        <v>90</v>
      </c>
      <c r="F353" s="3">
        <v>2024</v>
      </c>
      <c r="G353" s="3">
        <v>1</v>
      </c>
      <c r="H353" s="3">
        <v>1</v>
      </c>
      <c r="I353" s="3">
        <v>95</v>
      </c>
      <c r="J353" s="3">
        <v>86.6666666666667</v>
      </c>
      <c r="K353" s="3">
        <v>20967000000</v>
      </c>
      <c r="L353" s="3">
        <v>199.83779999999999</v>
      </c>
      <c r="M353" s="3">
        <v>4189999152.5999999</v>
      </c>
      <c r="N353" s="3">
        <v>4654998000</v>
      </c>
      <c r="O353" s="3">
        <v>4196991000</v>
      </c>
      <c r="P353" s="3">
        <v>-399448000</v>
      </c>
      <c r="Q353" s="3">
        <v>2.1074615486666501</v>
      </c>
      <c r="R353" s="3">
        <v>22.157633676906698</v>
      </c>
      <c r="S353" s="3">
        <v>1.10912746775011</v>
      </c>
      <c r="T353" s="3">
        <v>-9.5174852650386901E-2</v>
      </c>
      <c r="U353" s="3">
        <v>2000</v>
      </c>
      <c r="V353" s="3">
        <v>24</v>
      </c>
      <c r="W353" s="3">
        <v>1</v>
      </c>
      <c r="X353" s="3" t="s">
        <v>50</v>
      </c>
      <c r="Y353" s="4" t="s">
        <v>417</v>
      </c>
      <c r="Z353" s="3" t="s">
        <v>34</v>
      </c>
      <c r="AA353" s="5">
        <f t="shared" si="15"/>
        <v>2.1074615486666501</v>
      </c>
      <c r="AB353" s="5">
        <f t="shared" si="16"/>
        <v>1.10912746775011</v>
      </c>
      <c r="AC353" s="5">
        <f t="shared" si="17"/>
        <v>-9.5174852650386901E-2</v>
      </c>
    </row>
    <row r="354" spans="1:29" ht="15" customHeight="1" x14ac:dyDescent="0.3">
      <c r="A354" s="3">
        <v>410</v>
      </c>
      <c r="B354" s="3">
        <v>82</v>
      </c>
      <c r="C354" s="3" t="s">
        <v>415</v>
      </c>
      <c r="D354" s="4" t="s">
        <v>416</v>
      </c>
      <c r="E354" s="3" t="s">
        <v>90</v>
      </c>
      <c r="F354" s="3">
        <v>2025</v>
      </c>
      <c r="G354" s="3">
        <v>1</v>
      </c>
      <c r="H354" s="3">
        <v>1</v>
      </c>
      <c r="I354" s="3">
        <v>95</v>
      </c>
      <c r="J354" s="3">
        <v>86.6666666666667</v>
      </c>
      <c r="K354" s="3">
        <v>20970000000</v>
      </c>
      <c r="L354" s="3">
        <v>511.20650000000001</v>
      </c>
      <c r="M354" s="3">
        <v>10720000305</v>
      </c>
      <c r="N354" s="3">
        <v>4854777000</v>
      </c>
      <c r="O354" s="3">
        <v>5403489000</v>
      </c>
      <c r="P354" s="3">
        <v>1112846000</v>
      </c>
      <c r="Q354" s="3">
        <v>2.88235569740218</v>
      </c>
      <c r="R354" s="3">
        <v>22.4103106929878</v>
      </c>
      <c r="S354" s="3">
        <v>0.89845227777830206</v>
      </c>
      <c r="T354" s="3">
        <v>0.20594952631531199</v>
      </c>
      <c r="U354" s="3">
        <v>2000</v>
      </c>
      <c r="V354" s="3">
        <v>25</v>
      </c>
      <c r="W354" s="3">
        <v>1</v>
      </c>
      <c r="X354" s="3" t="s">
        <v>50</v>
      </c>
      <c r="Y354" s="4" t="s">
        <v>418</v>
      </c>
      <c r="Z354" s="3" t="s">
        <v>34</v>
      </c>
      <c r="AA354" s="5">
        <f t="shared" si="15"/>
        <v>2.88235569740218</v>
      </c>
      <c r="AB354" s="5">
        <f t="shared" si="16"/>
        <v>0.89845227777830206</v>
      </c>
      <c r="AC354" s="5">
        <f t="shared" si="17"/>
        <v>0.20594952631531199</v>
      </c>
    </row>
    <row r="355" spans="1:29" ht="15" customHeight="1" x14ac:dyDescent="0.3">
      <c r="A355" s="3">
        <v>416</v>
      </c>
      <c r="B355" s="3">
        <v>84</v>
      </c>
      <c r="C355" s="3" t="s">
        <v>419</v>
      </c>
      <c r="D355" s="4" t="s">
        <v>420</v>
      </c>
      <c r="E355" s="3" t="s">
        <v>339</v>
      </c>
      <c r="F355" s="3">
        <v>2021</v>
      </c>
      <c r="G355" s="3">
        <v>0</v>
      </c>
      <c r="H355" s="3">
        <v>0</v>
      </c>
      <c r="I355" s="3">
        <v>0</v>
      </c>
      <c r="J355" s="3">
        <v>0</v>
      </c>
      <c r="K355" s="3">
        <v>426190000</v>
      </c>
      <c r="L355" s="3">
        <v>2</v>
      </c>
      <c r="M355" s="3">
        <v>852380</v>
      </c>
      <c r="N355" s="3">
        <v>3951000</v>
      </c>
      <c r="O355" s="3">
        <v>4318000</v>
      </c>
      <c r="P355" s="3">
        <v>14030</v>
      </c>
      <c r="Q355" s="3">
        <v>1.1124085224641</v>
      </c>
      <c r="R355" s="3">
        <v>15.278302890056899</v>
      </c>
      <c r="S355" s="3">
        <v>0.91500694766095403</v>
      </c>
      <c r="T355" s="3">
        <v>3.24918943955535E-3</v>
      </c>
      <c r="U355" s="3">
        <v>2002</v>
      </c>
      <c r="V355" s="3">
        <v>19</v>
      </c>
      <c r="W355" s="3">
        <v>0</v>
      </c>
      <c r="X355" s="3" t="s">
        <v>421</v>
      </c>
      <c r="Y355" s="4" t="s">
        <v>422</v>
      </c>
      <c r="Z355" s="3" t="s">
        <v>34</v>
      </c>
      <c r="AA355" s="5">
        <f t="shared" si="15"/>
        <v>1.1124085224641</v>
      </c>
      <c r="AB355" s="5">
        <f t="shared" si="16"/>
        <v>0.91500694766095403</v>
      </c>
      <c r="AC355" s="5">
        <f t="shared" si="17"/>
        <v>3.24918943955535E-3</v>
      </c>
    </row>
    <row r="356" spans="1:29" ht="15" customHeight="1" x14ac:dyDescent="0.3">
      <c r="A356" s="3">
        <v>417</v>
      </c>
      <c r="B356" s="3">
        <v>84</v>
      </c>
      <c r="C356" s="3" t="s">
        <v>419</v>
      </c>
      <c r="D356" s="4" t="s">
        <v>420</v>
      </c>
      <c r="E356" s="3" t="s">
        <v>339</v>
      </c>
      <c r="F356" s="3">
        <v>2022</v>
      </c>
      <c r="G356" s="3">
        <v>0</v>
      </c>
      <c r="H356" s="3">
        <v>0</v>
      </c>
      <c r="I356" s="3">
        <v>0</v>
      </c>
      <c r="J356" s="3">
        <v>0</v>
      </c>
      <c r="K356" s="3">
        <v>426190000</v>
      </c>
      <c r="L356" s="3">
        <v>3.9887999999999999</v>
      </c>
      <c r="M356" s="3">
        <v>1699986.672</v>
      </c>
      <c r="N356" s="3">
        <v>3711000</v>
      </c>
      <c r="O356" s="3">
        <v>4269000</v>
      </c>
      <c r="P356" s="3">
        <v>189760</v>
      </c>
      <c r="Q356" s="3">
        <v>1.26750683345046</v>
      </c>
      <c r="R356" s="3">
        <v>15.266890165740101</v>
      </c>
      <c r="S356" s="3">
        <v>0.869290231904427</v>
      </c>
      <c r="T356" s="3">
        <v>4.4450691028343897E-2</v>
      </c>
      <c r="U356" s="3">
        <v>2002</v>
      </c>
      <c r="V356" s="3">
        <v>20</v>
      </c>
      <c r="W356" s="3">
        <v>0</v>
      </c>
      <c r="X356" s="3" t="s">
        <v>421</v>
      </c>
      <c r="Y356" s="4" t="s">
        <v>422</v>
      </c>
      <c r="Z356" s="3" t="s">
        <v>34</v>
      </c>
      <c r="AA356" s="5">
        <f t="shared" si="15"/>
        <v>1.26750683345046</v>
      </c>
      <c r="AB356" s="5">
        <f t="shared" si="16"/>
        <v>0.869290231904427</v>
      </c>
      <c r="AC356" s="5">
        <f t="shared" si="17"/>
        <v>4.4450691028343897E-2</v>
      </c>
    </row>
    <row r="357" spans="1:29" ht="15" customHeight="1" x14ac:dyDescent="0.3">
      <c r="A357" s="3">
        <v>418</v>
      </c>
      <c r="B357" s="3">
        <v>84</v>
      </c>
      <c r="C357" s="3" t="s">
        <v>419</v>
      </c>
      <c r="D357" s="4" t="s">
        <v>420</v>
      </c>
      <c r="E357" s="3" t="s">
        <v>339</v>
      </c>
      <c r="F357" s="3">
        <v>2023</v>
      </c>
      <c r="G357" s="3">
        <v>1</v>
      </c>
      <c r="H357" s="3">
        <v>0</v>
      </c>
      <c r="I357" s="3">
        <v>0</v>
      </c>
      <c r="J357" s="3">
        <v>0</v>
      </c>
      <c r="K357" s="3">
        <v>426190000</v>
      </c>
      <c r="L357" s="3">
        <v>18.559799999999999</v>
      </c>
      <c r="M357" s="3">
        <v>7910001.1619999995</v>
      </c>
      <c r="N357" s="3">
        <v>3433000</v>
      </c>
      <c r="O357" s="3">
        <v>4234000</v>
      </c>
      <c r="P357" s="3">
        <v>265990</v>
      </c>
      <c r="Q357" s="3">
        <v>2.67902719933869</v>
      </c>
      <c r="R357" s="3">
        <v>15.2586577306769</v>
      </c>
      <c r="S357" s="3">
        <v>0.81081719414265496</v>
      </c>
      <c r="T357" s="3">
        <v>6.2822390174775603E-2</v>
      </c>
      <c r="U357" s="3">
        <v>2002</v>
      </c>
      <c r="V357" s="3">
        <v>21</v>
      </c>
      <c r="W357" s="3">
        <v>0</v>
      </c>
      <c r="X357" s="3" t="s">
        <v>421</v>
      </c>
      <c r="Y357" s="4" t="s">
        <v>422</v>
      </c>
      <c r="Z357" s="3" t="s">
        <v>34</v>
      </c>
      <c r="AA357" s="5">
        <f t="shared" si="15"/>
        <v>2.67902719933869</v>
      </c>
      <c r="AB357" s="5">
        <f t="shared" si="16"/>
        <v>0.81081719414265496</v>
      </c>
      <c r="AC357" s="5">
        <f t="shared" si="17"/>
        <v>6.2822390174775603E-2</v>
      </c>
    </row>
    <row r="358" spans="1:29" ht="15" customHeight="1" x14ac:dyDescent="0.3">
      <c r="A358" s="3">
        <v>419</v>
      </c>
      <c r="B358" s="3">
        <v>84</v>
      </c>
      <c r="C358" s="3" t="s">
        <v>419</v>
      </c>
      <c r="D358" s="4" t="s">
        <v>420</v>
      </c>
      <c r="E358" s="3" t="s">
        <v>339</v>
      </c>
      <c r="F358" s="3">
        <v>2024</v>
      </c>
      <c r="G358" s="3">
        <v>1</v>
      </c>
      <c r="H358" s="3">
        <v>0</v>
      </c>
      <c r="I358" s="3">
        <v>0</v>
      </c>
      <c r="J358" s="3">
        <v>0</v>
      </c>
      <c r="K358" s="3">
        <v>426190000</v>
      </c>
      <c r="L358" s="3">
        <v>7.3441000000000001</v>
      </c>
      <c r="M358" s="3">
        <v>3129981.9789999998</v>
      </c>
      <c r="N358" s="3">
        <v>3236000</v>
      </c>
      <c r="O358" s="3">
        <v>4406000</v>
      </c>
      <c r="P358" s="3">
        <v>378470</v>
      </c>
      <c r="Q358" s="3">
        <v>1.4448438445301901</v>
      </c>
      <c r="R358" s="3">
        <v>15.298477806344399</v>
      </c>
      <c r="S358" s="3">
        <v>0.734453018610985</v>
      </c>
      <c r="T358" s="3">
        <v>8.5898774398547401E-2</v>
      </c>
      <c r="U358" s="3">
        <v>2002</v>
      </c>
      <c r="V358" s="3">
        <v>22</v>
      </c>
      <c r="W358" s="3">
        <v>0</v>
      </c>
      <c r="X358" s="3" t="s">
        <v>421</v>
      </c>
      <c r="Y358" s="4" t="s">
        <v>422</v>
      </c>
      <c r="Z358" s="3" t="s">
        <v>34</v>
      </c>
      <c r="AA358" s="5">
        <f t="shared" si="15"/>
        <v>1.4448438445301901</v>
      </c>
      <c r="AB358" s="5">
        <f t="shared" si="16"/>
        <v>0.734453018610985</v>
      </c>
      <c r="AC358" s="5">
        <f t="shared" si="17"/>
        <v>8.5898774398547401E-2</v>
      </c>
    </row>
    <row r="359" spans="1:29" ht="15" customHeight="1" x14ac:dyDescent="0.3">
      <c r="A359" s="3">
        <v>420</v>
      </c>
      <c r="B359" s="3">
        <v>84</v>
      </c>
      <c r="C359" s="3" t="s">
        <v>419</v>
      </c>
      <c r="D359" s="4" t="s">
        <v>420</v>
      </c>
      <c r="E359" s="3" t="s">
        <v>339</v>
      </c>
      <c r="F359" s="3">
        <v>2025</v>
      </c>
      <c r="G359" s="3">
        <v>1</v>
      </c>
      <c r="H359" s="3">
        <v>0</v>
      </c>
      <c r="I359" s="3">
        <v>0</v>
      </c>
      <c r="J359" s="3">
        <v>0</v>
      </c>
      <c r="K359" s="3">
        <v>426190000</v>
      </c>
      <c r="L359" s="3">
        <v>13.350899999999999</v>
      </c>
      <c r="M359" s="3">
        <v>5690020.0710000005</v>
      </c>
      <c r="N359" s="3">
        <v>1473000</v>
      </c>
      <c r="O359" s="3">
        <v>3159000</v>
      </c>
      <c r="P359" s="3">
        <v>547110</v>
      </c>
      <c r="Q359" s="3">
        <v>2.2674960655270699</v>
      </c>
      <c r="R359" s="3">
        <v>14.965766079784199</v>
      </c>
      <c r="S359" s="3">
        <v>0.46628679962013297</v>
      </c>
      <c r="T359" s="3">
        <v>0.17319088319088299</v>
      </c>
      <c r="U359" s="3">
        <v>2002</v>
      </c>
      <c r="V359" s="3">
        <v>23</v>
      </c>
      <c r="W359" s="3">
        <v>0</v>
      </c>
      <c r="X359" s="3" t="s">
        <v>421</v>
      </c>
      <c r="Y359" s="4" t="s">
        <v>422</v>
      </c>
      <c r="Z359" s="3" t="s">
        <v>34</v>
      </c>
      <c r="AA359" s="5">
        <f t="shared" si="15"/>
        <v>2.2674960655270699</v>
      </c>
      <c r="AB359" s="5">
        <f t="shared" si="16"/>
        <v>0.46628679962013297</v>
      </c>
      <c r="AC359" s="5">
        <f t="shared" si="17"/>
        <v>0.17319088319088299</v>
      </c>
    </row>
    <row r="360" spans="1:29" ht="15" customHeight="1" x14ac:dyDescent="0.3">
      <c r="A360" s="3">
        <v>421</v>
      </c>
      <c r="B360" s="3">
        <v>85</v>
      </c>
      <c r="C360" s="3" t="s">
        <v>423</v>
      </c>
      <c r="D360" s="4" t="s">
        <v>424</v>
      </c>
      <c r="E360" s="3" t="s">
        <v>41</v>
      </c>
      <c r="F360" s="3">
        <v>2021</v>
      </c>
      <c r="G360" s="3">
        <v>0</v>
      </c>
      <c r="H360" s="3">
        <v>0</v>
      </c>
      <c r="I360" s="3">
        <v>15</v>
      </c>
      <c r="J360" s="3">
        <v>0</v>
      </c>
      <c r="K360" s="3">
        <v>2227000000</v>
      </c>
      <c r="L360" s="3">
        <v>2.7256</v>
      </c>
      <c r="M360" s="3">
        <v>6069911.2000000002</v>
      </c>
      <c r="N360" s="3">
        <v>9423000</v>
      </c>
      <c r="O360" s="3">
        <v>16442000</v>
      </c>
      <c r="P360" s="3">
        <v>743190</v>
      </c>
      <c r="Q360" s="3">
        <v>0.94227656002919402</v>
      </c>
      <c r="R360" s="3">
        <v>16.615349594694202</v>
      </c>
      <c r="S360" s="3">
        <v>0.57310546162267395</v>
      </c>
      <c r="T360" s="3">
        <v>4.5200705510278598E-2</v>
      </c>
      <c r="U360" s="3">
        <v>1979</v>
      </c>
      <c r="V360" s="3">
        <v>42</v>
      </c>
      <c r="W360" s="3">
        <v>1</v>
      </c>
      <c r="X360" s="3" t="s">
        <v>50</v>
      </c>
      <c r="Y360" s="4" t="s">
        <v>425</v>
      </c>
      <c r="Z360" s="3" t="s">
        <v>34</v>
      </c>
      <c r="AA360" s="5">
        <f t="shared" si="15"/>
        <v>0.94227656002919402</v>
      </c>
      <c r="AB360" s="5">
        <f t="shared" si="16"/>
        <v>0.57310546162267395</v>
      </c>
      <c r="AC360" s="5">
        <f t="shared" si="17"/>
        <v>4.5200705510278598E-2</v>
      </c>
    </row>
    <row r="361" spans="1:29" ht="15" customHeight="1" x14ac:dyDescent="0.3">
      <c r="A361" s="3">
        <v>422</v>
      </c>
      <c r="B361" s="3">
        <v>85</v>
      </c>
      <c r="C361" s="3" t="s">
        <v>423</v>
      </c>
      <c r="D361" s="4" t="s">
        <v>424</v>
      </c>
      <c r="E361" s="3" t="s">
        <v>41</v>
      </c>
      <c r="F361" s="3">
        <v>2022</v>
      </c>
      <c r="G361" s="3">
        <v>0</v>
      </c>
      <c r="H361" s="3">
        <v>0</v>
      </c>
      <c r="I361" s="3">
        <v>15</v>
      </c>
      <c r="J361" s="3">
        <v>0</v>
      </c>
      <c r="K361" s="3">
        <v>2227000000</v>
      </c>
      <c r="L361" s="3">
        <v>5.5994999999999999</v>
      </c>
      <c r="M361" s="3">
        <v>12470086.5</v>
      </c>
      <c r="N361" s="3">
        <v>9701000</v>
      </c>
      <c r="O361" s="3">
        <v>18727000</v>
      </c>
      <c r="P361" s="3">
        <v>2658000</v>
      </c>
      <c r="Q361" s="3">
        <v>1.1839102098574299</v>
      </c>
      <c r="R361" s="3">
        <v>16.745476890742601</v>
      </c>
      <c r="S361" s="3">
        <v>0.51802210711806496</v>
      </c>
      <c r="T361" s="3">
        <v>0.14193410583649299</v>
      </c>
      <c r="U361" s="3">
        <v>1979</v>
      </c>
      <c r="V361" s="3">
        <v>43</v>
      </c>
      <c r="W361" s="3">
        <v>1</v>
      </c>
      <c r="X361" s="3" t="s">
        <v>50</v>
      </c>
      <c r="Y361" s="4" t="s">
        <v>425</v>
      </c>
      <c r="Z361" s="3" t="s">
        <v>34</v>
      </c>
      <c r="AA361" s="5">
        <f t="shared" si="15"/>
        <v>1.1839102098574299</v>
      </c>
      <c r="AB361" s="5">
        <f t="shared" si="16"/>
        <v>0.51802210711806496</v>
      </c>
      <c r="AC361" s="5">
        <f t="shared" si="17"/>
        <v>0.14193410583649299</v>
      </c>
    </row>
    <row r="362" spans="1:29" ht="15" customHeight="1" x14ac:dyDescent="0.3">
      <c r="A362" s="3">
        <v>423</v>
      </c>
      <c r="B362" s="3">
        <v>85</v>
      </c>
      <c r="C362" s="3" t="s">
        <v>423</v>
      </c>
      <c r="D362" s="4" t="s">
        <v>424</v>
      </c>
      <c r="E362" s="3" t="s">
        <v>41</v>
      </c>
      <c r="F362" s="3">
        <v>2023</v>
      </c>
      <c r="G362" s="3">
        <v>1</v>
      </c>
      <c r="H362" s="3">
        <v>0</v>
      </c>
      <c r="I362" s="3">
        <v>15</v>
      </c>
      <c r="J362" s="3">
        <v>0</v>
      </c>
      <c r="K362" s="3">
        <v>2227000000</v>
      </c>
      <c r="L362" s="3">
        <v>22.2317</v>
      </c>
      <c r="M362" s="3">
        <v>49509995.899999999</v>
      </c>
      <c r="N362" s="3">
        <v>15184000</v>
      </c>
      <c r="O362" s="3">
        <v>27311000</v>
      </c>
      <c r="P362" s="3">
        <v>5540000</v>
      </c>
      <c r="Q362" s="3">
        <v>2.3687889824612798</v>
      </c>
      <c r="R362" s="3">
        <v>17.122800109403499</v>
      </c>
      <c r="S362" s="3">
        <v>0.55596646040057096</v>
      </c>
      <c r="T362" s="3">
        <v>0.202848669034455</v>
      </c>
      <c r="U362" s="3">
        <v>1979</v>
      </c>
      <c r="V362" s="3">
        <v>44</v>
      </c>
      <c r="W362" s="3">
        <v>1</v>
      </c>
      <c r="X362" s="3" t="s">
        <v>50</v>
      </c>
      <c r="Y362" s="4" t="s">
        <v>425</v>
      </c>
      <c r="Z362" s="3" t="s">
        <v>34</v>
      </c>
      <c r="AA362" s="5">
        <f t="shared" si="15"/>
        <v>2.3687889824612798</v>
      </c>
      <c r="AB362" s="5">
        <f t="shared" si="16"/>
        <v>0.55596646040057096</v>
      </c>
      <c r="AC362" s="5">
        <f t="shared" si="17"/>
        <v>0.202848669034455</v>
      </c>
    </row>
    <row r="363" spans="1:29" ht="15" customHeight="1" x14ac:dyDescent="0.3">
      <c r="A363" s="3">
        <v>424</v>
      </c>
      <c r="B363" s="3">
        <v>85</v>
      </c>
      <c r="C363" s="3" t="s">
        <v>423</v>
      </c>
      <c r="D363" s="4" t="s">
        <v>424</v>
      </c>
      <c r="E363" s="3" t="s">
        <v>41</v>
      </c>
      <c r="F363" s="3">
        <v>2024</v>
      </c>
      <c r="G363" s="3">
        <v>1</v>
      </c>
      <c r="H363" s="3">
        <v>0</v>
      </c>
      <c r="I363" s="3">
        <v>15</v>
      </c>
      <c r="J363" s="3">
        <v>0</v>
      </c>
      <c r="K363" s="3">
        <v>2227000000</v>
      </c>
      <c r="L363" s="3">
        <v>40.300899999999999</v>
      </c>
      <c r="M363" s="3">
        <v>89750104.299999997</v>
      </c>
      <c r="N363" s="3">
        <v>26878000</v>
      </c>
      <c r="O363" s="3">
        <v>46953000</v>
      </c>
      <c r="P363" s="3">
        <v>12865000</v>
      </c>
      <c r="Q363" s="3">
        <v>2.4839329606201899</v>
      </c>
      <c r="R363" s="3">
        <v>17.664657659340701</v>
      </c>
      <c r="S363" s="3">
        <v>0.57244478521074305</v>
      </c>
      <c r="T363" s="3">
        <v>0.273997401656976</v>
      </c>
      <c r="U363" s="3">
        <v>1979</v>
      </c>
      <c r="V363" s="3">
        <v>45</v>
      </c>
      <c r="W363" s="3">
        <v>1</v>
      </c>
      <c r="X363" s="3" t="s">
        <v>50</v>
      </c>
      <c r="Y363" s="4" t="s">
        <v>425</v>
      </c>
      <c r="Z363" s="3" t="s">
        <v>34</v>
      </c>
      <c r="AA363" s="5">
        <f t="shared" si="15"/>
        <v>2.4839329606201899</v>
      </c>
      <c r="AB363" s="5">
        <f t="shared" si="16"/>
        <v>0.57244478521074305</v>
      </c>
      <c r="AC363" s="5">
        <f t="shared" si="17"/>
        <v>0.273997401656976</v>
      </c>
    </row>
    <row r="364" spans="1:29" ht="15" customHeight="1" x14ac:dyDescent="0.3">
      <c r="A364" s="3">
        <v>425</v>
      </c>
      <c r="B364" s="3">
        <v>85</v>
      </c>
      <c r="C364" s="3" t="s">
        <v>423</v>
      </c>
      <c r="D364" s="4" t="s">
        <v>424</v>
      </c>
      <c r="E364" s="3" t="s">
        <v>41</v>
      </c>
      <c r="F364" s="3">
        <v>2025</v>
      </c>
      <c r="G364" s="3">
        <v>1</v>
      </c>
      <c r="H364" s="3">
        <v>0</v>
      </c>
      <c r="I364" s="3">
        <v>15</v>
      </c>
      <c r="J364" s="3">
        <v>0</v>
      </c>
      <c r="K364" s="3">
        <v>2227000000</v>
      </c>
      <c r="L364" s="3">
        <v>94.521799999999999</v>
      </c>
      <c r="M364" s="3">
        <v>210500048.59999999</v>
      </c>
      <c r="N364" s="3">
        <v>29124000</v>
      </c>
      <c r="O364" s="3">
        <v>55120000</v>
      </c>
      <c r="P364" s="3">
        <v>17514000</v>
      </c>
      <c r="Q364" s="3">
        <v>4.3473158309143702</v>
      </c>
      <c r="R364" s="3">
        <v>17.8250231846697</v>
      </c>
      <c r="S364" s="3">
        <v>0.52837445573294595</v>
      </c>
      <c r="T364" s="3">
        <v>0.31774310595065303</v>
      </c>
      <c r="U364" s="3">
        <v>1979</v>
      </c>
      <c r="V364" s="3">
        <v>46</v>
      </c>
      <c r="W364" s="3">
        <v>1</v>
      </c>
      <c r="X364" s="3" t="s">
        <v>50</v>
      </c>
      <c r="Y364" s="4" t="s">
        <v>425</v>
      </c>
      <c r="Z364" s="3" t="s">
        <v>34</v>
      </c>
      <c r="AA364" s="5">
        <f t="shared" si="15"/>
        <v>4.3473158309143702</v>
      </c>
      <c r="AB364" s="5">
        <f t="shared" si="16"/>
        <v>0.52837445573294595</v>
      </c>
      <c r="AC364" s="5">
        <f t="shared" si="17"/>
        <v>0.31774310595065303</v>
      </c>
    </row>
    <row r="365" spans="1:29" ht="15" customHeight="1" x14ac:dyDescent="0.3">
      <c r="A365" s="3">
        <v>426</v>
      </c>
      <c r="B365" s="3">
        <v>86</v>
      </c>
      <c r="C365" s="3" t="s">
        <v>426</v>
      </c>
      <c r="D365" s="4" t="s">
        <v>427</v>
      </c>
      <c r="E365" s="3" t="s">
        <v>143</v>
      </c>
      <c r="F365" s="3">
        <v>2021</v>
      </c>
      <c r="G365" s="3">
        <v>0</v>
      </c>
      <c r="H365" s="3">
        <v>0</v>
      </c>
      <c r="I365" s="3">
        <v>35</v>
      </c>
      <c r="J365" s="3">
        <v>0</v>
      </c>
      <c r="K365" s="3">
        <v>2702000000</v>
      </c>
      <c r="L365" s="3">
        <v>12.942299999999999</v>
      </c>
      <c r="M365" s="3">
        <v>34970094.600000001</v>
      </c>
      <c r="N365" s="3">
        <v>25891000</v>
      </c>
      <c r="O365" s="3">
        <v>40521000</v>
      </c>
      <c r="P365" s="3">
        <v>2971000</v>
      </c>
      <c r="Q365" s="3">
        <v>1.5019642802497499</v>
      </c>
      <c r="R365" s="3">
        <v>17.517330916211002</v>
      </c>
      <c r="S365" s="3">
        <v>0.63895264184003397</v>
      </c>
      <c r="T365" s="3">
        <v>7.3320006909997307E-2</v>
      </c>
      <c r="U365" s="3">
        <v>1973</v>
      </c>
      <c r="V365" s="3">
        <v>48</v>
      </c>
      <c r="W365" s="3">
        <v>1</v>
      </c>
      <c r="X365" s="3" t="s">
        <v>346</v>
      </c>
      <c r="Y365" s="4" t="s">
        <v>428</v>
      </c>
      <c r="Z365" s="3" t="s">
        <v>34</v>
      </c>
      <c r="AA365" s="5">
        <f t="shared" si="15"/>
        <v>1.5019642802497499</v>
      </c>
      <c r="AB365" s="5">
        <f t="shared" si="16"/>
        <v>0.63895264184003397</v>
      </c>
      <c r="AC365" s="5">
        <f t="shared" si="17"/>
        <v>7.3320006909997307E-2</v>
      </c>
    </row>
    <row r="366" spans="1:29" ht="15" customHeight="1" x14ac:dyDescent="0.3">
      <c r="A366" s="3">
        <v>427</v>
      </c>
      <c r="B366" s="3">
        <v>86</v>
      </c>
      <c r="C366" s="3" t="s">
        <v>426</v>
      </c>
      <c r="D366" s="4" t="s">
        <v>427</v>
      </c>
      <c r="E366" s="3" t="s">
        <v>143</v>
      </c>
      <c r="F366" s="3">
        <v>2022</v>
      </c>
      <c r="G366" s="3">
        <v>0</v>
      </c>
      <c r="H366" s="3">
        <v>0</v>
      </c>
      <c r="I366" s="3">
        <v>35</v>
      </c>
      <c r="J366" s="3">
        <v>0</v>
      </c>
      <c r="K366" s="3">
        <v>2702000000</v>
      </c>
      <c r="L366" s="3">
        <v>10.884499999999999</v>
      </c>
      <c r="M366" s="3">
        <v>29409919</v>
      </c>
      <c r="N366" s="3">
        <v>36488000</v>
      </c>
      <c r="O366" s="3">
        <v>55531000</v>
      </c>
      <c r="P366" s="3">
        <v>5469000</v>
      </c>
      <c r="Q366" s="3">
        <v>1.1866870576794899</v>
      </c>
      <c r="R366" s="3">
        <v>17.832451981339499</v>
      </c>
      <c r="S366" s="3">
        <v>0.65707442689668805</v>
      </c>
      <c r="T366" s="3">
        <v>9.8485530604527194E-2</v>
      </c>
      <c r="U366" s="3">
        <v>1973</v>
      </c>
      <c r="V366" s="3">
        <v>49</v>
      </c>
      <c r="W366" s="3">
        <v>1</v>
      </c>
      <c r="X366" s="3" t="s">
        <v>346</v>
      </c>
      <c r="Y366" s="4" t="s">
        <v>428</v>
      </c>
      <c r="Z366" s="3" t="s">
        <v>34</v>
      </c>
      <c r="AA366" s="5">
        <f t="shared" si="15"/>
        <v>1.1866870576794899</v>
      </c>
      <c r="AB366" s="5">
        <f t="shared" si="16"/>
        <v>0.65707442689668805</v>
      </c>
      <c r="AC366" s="5">
        <f t="shared" si="17"/>
        <v>9.8485530604527194E-2</v>
      </c>
    </row>
    <row r="367" spans="1:29" ht="15" customHeight="1" x14ac:dyDescent="0.3">
      <c r="A367" s="3">
        <v>428</v>
      </c>
      <c r="B367" s="3">
        <v>86</v>
      </c>
      <c r="C367" s="3" t="s">
        <v>426</v>
      </c>
      <c r="D367" s="4" t="s">
        <v>427</v>
      </c>
      <c r="E367" s="3" t="s">
        <v>143</v>
      </c>
      <c r="F367" s="3">
        <v>2023</v>
      </c>
      <c r="G367" s="3">
        <v>1</v>
      </c>
      <c r="H367" s="3">
        <v>0</v>
      </c>
      <c r="I367" s="3">
        <v>35</v>
      </c>
      <c r="J367" s="3">
        <v>0</v>
      </c>
      <c r="K367" s="3">
        <v>2702000000</v>
      </c>
      <c r="L367" s="3">
        <v>52.705399999999997</v>
      </c>
      <c r="M367" s="3">
        <v>142409990.80000001</v>
      </c>
      <c r="N367" s="3">
        <v>38214000</v>
      </c>
      <c r="O367" s="3">
        <v>65686000</v>
      </c>
      <c r="P367" s="3">
        <v>13728000</v>
      </c>
      <c r="Q367" s="3">
        <v>2.7498095606369701</v>
      </c>
      <c r="R367" s="3">
        <v>18.0003963709459</v>
      </c>
      <c r="S367" s="3">
        <v>0.58176780440276499</v>
      </c>
      <c r="T367" s="3">
        <v>0.20899430624486201</v>
      </c>
      <c r="U367" s="3">
        <v>1973</v>
      </c>
      <c r="V367" s="3">
        <v>50</v>
      </c>
      <c r="W367" s="3">
        <v>1</v>
      </c>
      <c r="X367" s="3" t="s">
        <v>346</v>
      </c>
      <c r="Y367" s="4" t="s">
        <v>428</v>
      </c>
      <c r="Z367" s="3" t="s">
        <v>34</v>
      </c>
      <c r="AA367" s="5">
        <f t="shared" si="15"/>
        <v>2.7498095606369701</v>
      </c>
      <c r="AB367" s="5">
        <f t="shared" si="16"/>
        <v>0.58176780440276499</v>
      </c>
      <c r="AC367" s="5">
        <f t="shared" si="17"/>
        <v>0.20899430624486201</v>
      </c>
    </row>
    <row r="368" spans="1:29" ht="15" customHeight="1" x14ac:dyDescent="0.3">
      <c r="A368" s="3">
        <v>429</v>
      </c>
      <c r="B368" s="3">
        <v>86</v>
      </c>
      <c r="C368" s="3" t="s">
        <v>426</v>
      </c>
      <c r="D368" s="4" t="s">
        <v>427</v>
      </c>
      <c r="E368" s="3" t="s">
        <v>143</v>
      </c>
      <c r="F368" s="3">
        <v>2024</v>
      </c>
      <c r="G368" s="3">
        <v>1</v>
      </c>
      <c r="H368" s="3">
        <v>0</v>
      </c>
      <c r="I368" s="3">
        <v>35</v>
      </c>
      <c r="J368" s="3">
        <v>0</v>
      </c>
      <c r="K368" s="3">
        <v>2702000000</v>
      </c>
      <c r="L368" s="3">
        <v>31.354600000000001</v>
      </c>
      <c r="M368" s="3">
        <v>84720129.200000003</v>
      </c>
      <c r="N368" s="3">
        <v>35447000</v>
      </c>
      <c r="O368" s="3">
        <v>78502000</v>
      </c>
      <c r="P368" s="3">
        <v>15584000</v>
      </c>
      <c r="Q368" s="3">
        <v>1.5307524547145299</v>
      </c>
      <c r="R368" s="3">
        <v>18.178634660135099</v>
      </c>
      <c r="S368" s="3">
        <v>0.45154263585641102</v>
      </c>
      <c r="T368" s="3">
        <v>0.19851723522967599</v>
      </c>
      <c r="U368" s="3">
        <v>1973</v>
      </c>
      <c r="V368" s="3">
        <v>51</v>
      </c>
      <c r="W368" s="3">
        <v>1</v>
      </c>
      <c r="X368" s="3" t="s">
        <v>346</v>
      </c>
      <c r="Y368" s="4" t="s">
        <v>428</v>
      </c>
      <c r="Z368" s="3" t="s">
        <v>34</v>
      </c>
      <c r="AA368" s="5">
        <f t="shared" si="15"/>
        <v>1.5307524547145299</v>
      </c>
      <c r="AB368" s="5">
        <f t="shared" si="16"/>
        <v>0.45154263585641102</v>
      </c>
      <c r="AC368" s="5">
        <f t="shared" si="17"/>
        <v>0.19851723522967599</v>
      </c>
    </row>
    <row r="369" spans="1:29" ht="15" customHeight="1" x14ac:dyDescent="0.3">
      <c r="A369" s="3">
        <v>430</v>
      </c>
      <c r="B369" s="3">
        <v>86</v>
      </c>
      <c r="C369" s="3" t="s">
        <v>426</v>
      </c>
      <c r="D369" s="4" t="s">
        <v>427</v>
      </c>
      <c r="E369" s="3" t="s">
        <v>143</v>
      </c>
      <c r="F369" s="3">
        <v>2025</v>
      </c>
      <c r="G369" s="3">
        <v>1</v>
      </c>
      <c r="H369" s="3">
        <v>1</v>
      </c>
      <c r="I369" s="3">
        <v>75</v>
      </c>
      <c r="J369" s="3">
        <v>46.6666666666667</v>
      </c>
      <c r="K369" s="3">
        <v>2702000000</v>
      </c>
      <c r="L369" s="3">
        <v>107.5167</v>
      </c>
      <c r="M369" s="3">
        <v>290510123.39999998</v>
      </c>
      <c r="N369" s="3">
        <v>64086000</v>
      </c>
      <c r="O369" s="3">
        <v>135266000</v>
      </c>
      <c r="P369" s="3">
        <v>33529000</v>
      </c>
      <c r="Q369" s="3">
        <v>2.6214726790176401</v>
      </c>
      <c r="R369" s="3">
        <v>18.722753768139501</v>
      </c>
      <c r="S369" s="3">
        <v>0.47377759377818501</v>
      </c>
      <c r="T369" s="3">
        <v>0.247874558277764</v>
      </c>
      <c r="U369" s="3">
        <v>1973</v>
      </c>
      <c r="V369" s="3">
        <v>52</v>
      </c>
      <c r="W369" s="3">
        <v>1</v>
      </c>
      <c r="X369" s="3" t="s">
        <v>346</v>
      </c>
      <c r="Y369" s="4" t="s">
        <v>428</v>
      </c>
      <c r="Z369" s="3" t="s">
        <v>34</v>
      </c>
      <c r="AA369" s="5">
        <f t="shared" si="15"/>
        <v>2.6214726790176401</v>
      </c>
      <c r="AB369" s="5">
        <f t="shared" si="16"/>
        <v>0.47377759377818501</v>
      </c>
      <c r="AC369" s="5">
        <f t="shared" si="17"/>
        <v>0.247874558277764</v>
      </c>
    </row>
    <row r="370" spans="1:29" ht="15" customHeight="1" x14ac:dyDescent="0.3">
      <c r="A370" s="3">
        <v>431</v>
      </c>
      <c r="B370" s="3">
        <v>87</v>
      </c>
      <c r="C370" s="3" t="s">
        <v>429</v>
      </c>
      <c r="D370" s="4" t="s">
        <v>430</v>
      </c>
      <c r="E370" s="3" t="s">
        <v>143</v>
      </c>
      <c r="F370" s="3">
        <v>2021</v>
      </c>
      <c r="G370" s="3">
        <v>0</v>
      </c>
      <c r="H370" s="3">
        <v>0</v>
      </c>
      <c r="I370" s="3">
        <v>25</v>
      </c>
      <c r="J370" s="3">
        <v>13.3333333333333</v>
      </c>
      <c r="K370" s="3">
        <v>10095000000</v>
      </c>
      <c r="L370" s="3">
        <v>39.999000000000002</v>
      </c>
      <c r="M370" s="3">
        <v>403789905</v>
      </c>
      <c r="N370" s="3">
        <v>313610000</v>
      </c>
      <c r="O370" s="3">
        <v>485522000</v>
      </c>
      <c r="P370" s="3">
        <v>12666000</v>
      </c>
      <c r="Q370" s="3">
        <v>1.4775847541409</v>
      </c>
      <c r="R370" s="3">
        <v>20.000735158778198</v>
      </c>
      <c r="S370" s="3">
        <v>0.64592335671709999</v>
      </c>
      <c r="T370" s="3">
        <v>2.6087386359423499E-2</v>
      </c>
      <c r="U370" s="3">
        <v>1946</v>
      </c>
      <c r="V370" s="3">
        <v>75</v>
      </c>
      <c r="W370" s="3">
        <v>1</v>
      </c>
      <c r="X370" s="3" t="s">
        <v>431</v>
      </c>
      <c r="Y370" s="4" t="s">
        <v>432</v>
      </c>
      <c r="Z370" s="3" t="s">
        <v>34</v>
      </c>
      <c r="AA370" s="5">
        <f t="shared" si="15"/>
        <v>1.4775847541409</v>
      </c>
      <c r="AB370" s="5">
        <f t="shared" si="16"/>
        <v>0.64592335671709999</v>
      </c>
      <c r="AC370" s="5">
        <f t="shared" si="17"/>
        <v>2.6087386359423499E-2</v>
      </c>
    </row>
    <row r="371" spans="1:29" ht="15" customHeight="1" x14ac:dyDescent="0.3">
      <c r="A371" s="3">
        <v>432</v>
      </c>
      <c r="B371" s="3">
        <v>87</v>
      </c>
      <c r="C371" s="3" t="s">
        <v>429</v>
      </c>
      <c r="D371" s="4" t="s">
        <v>430</v>
      </c>
      <c r="E371" s="3" t="s">
        <v>143</v>
      </c>
      <c r="F371" s="3">
        <v>2022</v>
      </c>
      <c r="G371" s="3">
        <v>0</v>
      </c>
      <c r="H371" s="3">
        <v>0</v>
      </c>
      <c r="I371" s="3">
        <v>30</v>
      </c>
      <c r="J371" s="3">
        <v>13.3333333333333</v>
      </c>
      <c r="K371" s="3">
        <v>10276000000</v>
      </c>
      <c r="L371" s="3">
        <v>41.000399999999999</v>
      </c>
      <c r="M371" s="3">
        <v>421320110.39999998</v>
      </c>
      <c r="N371" s="3">
        <v>439975000</v>
      </c>
      <c r="O371" s="3">
        <v>619889000</v>
      </c>
      <c r="P371" s="3">
        <v>13182000</v>
      </c>
      <c r="Q371" s="3">
        <v>1.3894344155163301</v>
      </c>
      <c r="R371" s="3">
        <v>20.2450509877172</v>
      </c>
      <c r="S371" s="3">
        <v>0.70976416745578597</v>
      </c>
      <c r="T371" s="3">
        <v>2.1265097460997098E-2</v>
      </c>
      <c r="U371" s="3">
        <v>1946</v>
      </c>
      <c r="V371" s="3">
        <v>76</v>
      </c>
      <c r="W371" s="3">
        <v>1</v>
      </c>
      <c r="X371" s="3" t="s">
        <v>431</v>
      </c>
      <c r="Y371" s="4" t="s">
        <v>433</v>
      </c>
      <c r="Z371" s="3" t="s">
        <v>34</v>
      </c>
      <c r="AA371" s="5">
        <f t="shared" si="15"/>
        <v>1.3894344155163301</v>
      </c>
      <c r="AB371" s="5">
        <f t="shared" si="16"/>
        <v>0.70976416745578597</v>
      </c>
      <c r="AC371" s="5">
        <f t="shared" si="17"/>
        <v>2.1265097460997098E-2</v>
      </c>
    </row>
    <row r="372" spans="1:29" ht="15" customHeight="1" x14ac:dyDescent="0.3">
      <c r="A372" s="3">
        <v>433</v>
      </c>
      <c r="B372" s="3">
        <v>87</v>
      </c>
      <c r="C372" s="3" t="s">
        <v>429</v>
      </c>
      <c r="D372" s="4" t="s">
        <v>430</v>
      </c>
      <c r="E372" s="3" t="s">
        <v>143</v>
      </c>
      <c r="F372" s="3">
        <v>2023</v>
      </c>
      <c r="G372" s="3">
        <v>1</v>
      </c>
      <c r="H372" s="3">
        <v>0</v>
      </c>
      <c r="I372" s="3">
        <v>35</v>
      </c>
      <c r="J372" s="3">
        <v>20</v>
      </c>
      <c r="K372" s="3">
        <v>10276000000</v>
      </c>
      <c r="L372" s="3">
        <v>36.000399999999999</v>
      </c>
      <c r="M372" s="3">
        <v>369940110.39999998</v>
      </c>
      <c r="N372" s="3">
        <v>732589000</v>
      </c>
      <c r="O372" s="3">
        <v>795873000</v>
      </c>
      <c r="P372" s="3">
        <v>-106308000</v>
      </c>
      <c r="Q372" s="3">
        <v>1.3853078448445899</v>
      </c>
      <c r="R372" s="3">
        <v>20.494950183340901</v>
      </c>
      <c r="S372" s="3">
        <v>0.92048480096698904</v>
      </c>
      <c r="T372" s="3">
        <v>-0.13357407526075099</v>
      </c>
      <c r="U372" s="3">
        <v>1946</v>
      </c>
      <c r="V372" s="3">
        <v>77</v>
      </c>
      <c r="W372" s="3">
        <v>1</v>
      </c>
      <c r="X372" s="3" t="s">
        <v>431</v>
      </c>
      <c r="Y372" s="4" t="s">
        <v>434</v>
      </c>
      <c r="Z372" s="3" t="s">
        <v>34</v>
      </c>
      <c r="AA372" s="5">
        <f t="shared" si="15"/>
        <v>1.3853078448445899</v>
      </c>
      <c r="AB372" s="5">
        <f t="shared" si="16"/>
        <v>0.92048480096698904</v>
      </c>
      <c r="AC372" s="5">
        <f t="shared" si="17"/>
        <v>-0.13357407526075099</v>
      </c>
    </row>
    <row r="373" spans="1:29" ht="15" customHeight="1" x14ac:dyDescent="0.3">
      <c r="A373" s="3">
        <v>434</v>
      </c>
      <c r="B373" s="3">
        <v>87</v>
      </c>
      <c r="C373" s="3" t="s">
        <v>429</v>
      </c>
      <c r="D373" s="4" t="s">
        <v>430</v>
      </c>
      <c r="E373" s="3" t="s">
        <v>143</v>
      </c>
      <c r="F373" s="3">
        <v>2024</v>
      </c>
      <c r="G373" s="3">
        <v>1</v>
      </c>
      <c r="H373" s="3">
        <v>0</v>
      </c>
      <c r="I373" s="3">
        <v>45</v>
      </c>
      <c r="J373" s="3">
        <v>33.3333333333333</v>
      </c>
      <c r="K373" s="3">
        <v>30983000000</v>
      </c>
      <c r="L373" s="3">
        <v>32.000100000000003</v>
      </c>
      <c r="M373" s="3">
        <v>991459098.29999995</v>
      </c>
      <c r="N373" s="3">
        <v>674332000</v>
      </c>
      <c r="O373" s="3">
        <v>1138276000</v>
      </c>
      <c r="P373" s="3">
        <v>-144887000</v>
      </c>
      <c r="Q373" s="3">
        <v>1.4634333837311899</v>
      </c>
      <c r="R373" s="3">
        <v>20.8527806740004</v>
      </c>
      <c r="S373" s="3">
        <v>0.59241519631442596</v>
      </c>
      <c r="T373" s="3">
        <v>-0.12728635234336799</v>
      </c>
      <c r="U373" s="3">
        <v>1946</v>
      </c>
      <c r="V373" s="3">
        <v>78</v>
      </c>
      <c r="W373" s="3">
        <v>1</v>
      </c>
      <c r="X373" s="3" t="s">
        <v>431</v>
      </c>
      <c r="Y373" s="4" t="s">
        <v>435</v>
      </c>
      <c r="Z373" s="3" t="s">
        <v>34</v>
      </c>
      <c r="AA373" s="5">
        <f t="shared" si="15"/>
        <v>1.4634333837311899</v>
      </c>
      <c r="AB373" s="5">
        <f t="shared" si="16"/>
        <v>0.59241519631442596</v>
      </c>
      <c r="AC373" s="5">
        <f t="shared" si="17"/>
        <v>-0.12728635234336799</v>
      </c>
    </row>
    <row r="374" spans="1:29" ht="15" customHeight="1" x14ac:dyDescent="0.3">
      <c r="A374" s="3">
        <v>435</v>
      </c>
      <c r="B374" s="3">
        <v>87</v>
      </c>
      <c r="C374" s="3" t="s">
        <v>429</v>
      </c>
      <c r="D374" s="4" t="s">
        <v>430</v>
      </c>
      <c r="E374" s="3" t="s">
        <v>143</v>
      </c>
      <c r="F374" s="3">
        <v>2025</v>
      </c>
      <c r="G374" s="3">
        <v>1</v>
      </c>
      <c r="H374" s="3">
        <v>0</v>
      </c>
      <c r="I374" s="3">
        <v>45</v>
      </c>
      <c r="J374" s="3">
        <v>33.3333333333333</v>
      </c>
      <c r="K374" s="3">
        <v>30983000000</v>
      </c>
      <c r="L374" s="3">
        <v>75.202500000000001</v>
      </c>
      <c r="M374" s="3">
        <v>2329999057.5</v>
      </c>
      <c r="N374" s="3">
        <v>505896000</v>
      </c>
      <c r="O374" s="3">
        <v>1066118000</v>
      </c>
      <c r="P374" s="3">
        <v>99100000</v>
      </c>
      <c r="Q374" s="3">
        <v>2.6600198641238602</v>
      </c>
      <c r="R374" s="3">
        <v>20.787289850747801</v>
      </c>
      <c r="S374" s="3">
        <v>0.47452158203876099</v>
      </c>
      <c r="T374" s="3">
        <v>9.2954063246282304E-2</v>
      </c>
      <c r="U374" s="3">
        <v>1946</v>
      </c>
      <c r="V374" s="3">
        <v>79</v>
      </c>
      <c r="W374" s="3">
        <v>1</v>
      </c>
      <c r="X374" s="3" t="s">
        <v>431</v>
      </c>
      <c r="Y374" s="4" t="s">
        <v>436</v>
      </c>
      <c r="Z374" s="3" t="s">
        <v>34</v>
      </c>
      <c r="AA374" s="5">
        <f t="shared" si="15"/>
        <v>2.6600198641238602</v>
      </c>
      <c r="AB374" s="5">
        <f t="shared" si="16"/>
        <v>0.47452158203876099</v>
      </c>
      <c r="AC374" s="5">
        <f t="shared" si="17"/>
        <v>9.2954063246282304E-2</v>
      </c>
    </row>
    <row r="375" spans="1:29" ht="15" customHeight="1" x14ac:dyDescent="0.3">
      <c r="A375" s="3">
        <v>436</v>
      </c>
      <c r="B375" s="3">
        <v>88</v>
      </c>
      <c r="C375" s="3" t="s">
        <v>437</v>
      </c>
      <c r="D375" s="4" t="s">
        <v>438</v>
      </c>
      <c r="E375" s="3" t="s">
        <v>90</v>
      </c>
      <c r="F375" s="3">
        <v>2021</v>
      </c>
      <c r="G375" s="3">
        <v>0</v>
      </c>
      <c r="H375" s="3">
        <v>0</v>
      </c>
      <c r="I375" s="3">
        <v>0</v>
      </c>
      <c r="J375" s="3">
        <v>0</v>
      </c>
      <c r="K375" s="3">
        <v>108000000</v>
      </c>
      <c r="L375" s="3">
        <v>3</v>
      </c>
      <c r="M375" s="3">
        <v>324000</v>
      </c>
      <c r="N375" s="3">
        <v>5967000</v>
      </c>
      <c r="O375" s="3">
        <v>5128000</v>
      </c>
      <c r="P375" s="3">
        <v>7550</v>
      </c>
      <c r="Q375" s="3">
        <v>1.22679407176287</v>
      </c>
      <c r="R375" s="3">
        <v>15.450226277582599</v>
      </c>
      <c r="S375" s="3">
        <v>1.1636115444617801</v>
      </c>
      <c r="T375" s="3">
        <v>1.4723088923556901E-3</v>
      </c>
      <c r="U375" s="3">
        <v>1949</v>
      </c>
      <c r="V375" s="3">
        <v>72</v>
      </c>
      <c r="W375" s="3">
        <v>0</v>
      </c>
      <c r="X375" s="3" t="s">
        <v>439</v>
      </c>
      <c r="Y375" s="4" t="s">
        <v>440</v>
      </c>
      <c r="Z375" s="3" t="s">
        <v>34</v>
      </c>
      <c r="AA375" s="5">
        <f t="shared" si="15"/>
        <v>1.22679407176287</v>
      </c>
      <c r="AB375" s="5">
        <f t="shared" si="16"/>
        <v>1.1636115444617801</v>
      </c>
      <c r="AC375" s="5">
        <f t="shared" si="17"/>
        <v>1.4723088923556901E-3</v>
      </c>
    </row>
    <row r="376" spans="1:29" ht="15" customHeight="1" x14ac:dyDescent="0.3">
      <c r="A376" s="3">
        <v>437</v>
      </c>
      <c r="B376" s="3">
        <v>88</v>
      </c>
      <c r="C376" s="3" t="s">
        <v>437</v>
      </c>
      <c r="D376" s="4" t="s">
        <v>438</v>
      </c>
      <c r="E376" s="3" t="s">
        <v>90</v>
      </c>
      <c r="F376" s="3">
        <v>2022</v>
      </c>
      <c r="G376" s="3">
        <v>0</v>
      </c>
      <c r="H376" s="3">
        <v>0</v>
      </c>
      <c r="I376" s="3">
        <v>0</v>
      </c>
      <c r="J376" s="3">
        <v>0</v>
      </c>
      <c r="K376" s="3">
        <v>108000000</v>
      </c>
      <c r="L376" s="3">
        <v>3.6</v>
      </c>
      <c r="M376" s="3">
        <v>388800</v>
      </c>
      <c r="N376" s="3">
        <v>6155000</v>
      </c>
      <c r="O376" s="3">
        <v>4310000</v>
      </c>
      <c r="P376" s="3">
        <v>-1011000</v>
      </c>
      <c r="Q376" s="3">
        <v>1.5182830626450099</v>
      </c>
      <c r="R376" s="3">
        <v>15.2764484620799</v>
      </c>
      <c r="S376" s="3">
        <v>1.42807424593968</v>
      </c>
      <c r="T376" s="3">
        <v>-0.23457076566125301</v>
      </c>
      <c r="U376" s="3">
        <v>1949</v>
      </c>
      <c r="V376" s="3">
        <v>73</v>
      </c>
      <c r="W376" s="3">
        <v>0</v>
      </c>
      <c r="X376" s="3" t="s">
        <v>439</v>
      </c>
      <c r="Y376" s="4" t="s">
        <v>440</v>
      </c>
      <c r="Z376" s="3" t="s">
        <v>34</v>
      </c>
      <c r="AA376" s="5">
        <f t="shared" si="15"/>
        <v>1.5182830626450099</v>
      </c>
      <c r="AB376" s="5">
        <f t="shared" si="16"/>
        <v>1.42807424593968</v>
      </c>
      <c r="AC376" s="5">
        <f t="shared" si="17"/>
        <v>-0.23457076566125301</v>
      </c>
    </row>
    <row r="377" spans="1:29" ht="15" customHeight="1" x14ac:dyDescent="0.3">
      <c r="A377" s="3">
        <v>438</v>
      </c>
      <c r="B377" s="3">
        <v>88</v>
      </c>
      <c r="C377" s="3" t="s">
        <v>437</v>
      </c>
      <c r="D377" s="4" t="s">
        <v>438</v>
      </c>
      <c r="E377" s="3" t="s">
        <v>90</v>
      </c>
      <c r="F377" s="3">
        <v>2023</v>
      </c>
      <c r="G377" s="3">
        <v>1</v>
      </c>
      <c r="H377" s="3">
        <v>0</v>
      </c>
      <c r="I377" s="3">
        <v>0</v>
      </c>
      <c r="J377" s="3">
        <v>0</v>
      </c>
      <c r="K377" s="3">
        <v>108000000</v>
      </c>
      <c r="L377" s="3">
        <v>3.96</v>
      </c>
      <c r="M377" s="3">
        <v>427680</v>
      </c>
      <c r="N377" s="3">
        <v>8065000</v>
      </c>
      <c r="O377" s="3">
        <v>5460000</v>
      </c>
      <c r="P377" s="3">
        <v>-738900</v>
      </c>
      <c r="Q377" s="3">
        <v>1.5554358974358999</v>
      </c>
      <c r="R377" s="3">
        <v>15.5129593477211</v>
      </c>
      <c r="S377" s="3">
        <v>1.4771062271062301</v>
      </c>
      <c r="T377" s="3">
        <v>-0.13532967032967</v>
      </c>
      <c r="U377" s="3">
        <v>1949</v>
      </c>
      <c r="V377" s="3">
        <v>74</v>
      </c>
      <c r="W377" s="3">
        <v>0</v>
      </c>
      <c r="X377" s="3" t="s">
        <v>439</v>
      </c>
      <c r="Y377" s="4" t="s">
        <v>440</v>
      </c>
      <c r="Z377" s="3" t="s">
        <v>34</v>
      </c>
      <c r="AA377" s="5">
        <f t="shared" si="15"/>
        <v>1.5554358974358999</v>
      </c>
      <c r="AB377" s="5">
        <f t="shared" si="16"/>
        <v>1.4771062271062301</v>
      </c>
      <c r="AC377" s="5">
        <f t="shared" si="17"/>
        <v>-0.13532967032967</v>
      </c>
    </row>
    <row r="378" spans="1:29" ht="15" customHeight="1" x14ac:dyDescent="0.3">
      <c r="A378" s="3">
        <v>439</v>
      </c>
      <c r="B378" s="3">
        <v>88</v>
      </c>
      <c r="C378" s="3" t="s">
        <v>437</v>
      </c>
      <c r="D378" s="4" t="s">
        <v>438</v>
      </c>
      <c r="E378" s="3" t="s">
        <v>90</v>
      </c>
      <c r="F378" s="3">
        <v>2024</v>
      </c>
      <c r="G378" s="3">
        <v>1</v>
      </c>
      <c r="H378" s="3">
        <v>0</v>
      </c>
      <c r="I378" s="3">
        <v>0</v>
      </c>
      <c r="J378" s="3">
        <v>0</v>
      </c>
      <c r="K378" s="3">
        <v>108000000</v>
      </c>
      <c r="L378" s="3">
        <v>5</v>
      </c>
      <c r="M378" s="3">
        <v>540000</v>
      </c>
      <c r="N378" s="3">
        <v>9237000</v>
      </c>
      <c r="O378" s="3">
        <v>4428000</v>
      </c>
      <c r="P378" s="3">
        <v>-2172000</v>
      </c>
      <c r="Q378" s="3">
        <v>2.2079945799458001</v>
      </c>
      <c r="R378" s="3">
        <v>15.303458572810699</v>
      </c>
      <c r="S378" s="3">
        <v>2.0860433604335999</v>
      </c>
      <c r="T378" s="3">
        <v>-0.49051490514905199</v>
      </c>
      <c r="U378" s="3">
        <v>1949</v>
      </c>
      <c r="V378" s="3">
        <v>75</v>
      </c>
      <c r="W378" s="3">
        <v>0</v>
      </c>
      <c r="X378" s="3" t="s">
        <v>439</v>
      </c>
      <c r="Y378" s="4" t="s">
        <v>440</v>
      </c>
      <c r="Z378" s="3" t="s">
        <v>34</v>
      </c>
      <c r="AA378" s="5">
        <f t="shared" si="15"/>
        <v>2.2079945799458001</v>
      </c>
      <c r="AB378" s="5">
        <f t="shared" si="16"/>
        <v>2.0860433604335999</v>
      </c>
      <c r="AC378" s="5">
        <f t="shared" si="17"/>
        <v>-0.49051490514905199</v>
      </c>
    </row>
    <row r="379" spans="1:29" ht="15" customHeight="1" x14ac:dyDescent="0.3">
      <c r="A379" s="3">
        <v>440</v>
      </c>
      <c r="B379" s="3">
        <v>88</v>
      </c>
      <c r="C379" s="3" t="s">
        <v>437</v>
      </c>
      <c r="D379" s="4" t="s">
        <v>438</v>
      </c>
      <c r="E379" s="3" t="s">
        <v>90</v>
      </c>
      <c r="F379" s="3">
        <v>2025</v>
      </c>
      <c r="G379" s="3">
        <v>1</v>
      </c>
      <c r="H379" s="3">
        <v>0</v>
      </c>
      <c r="I379" s="3">
        <v>0</v>
      </c>
      <c r="J379" s="3">
        <v>0</v>
      </c>
      <c r="K379" s="3">
        <v>108000000</v>
      </c>
      <c r="L379" s="3">
        <v>72.685199999999995</v>
      </c>
      <c r="M379" s="3">
        <v>7850001.5999999996</v>
      </c>
      <c r="N379" s="3">
        <v>12450000</v>
      </c>
      <c r="O379" s="3">
        <v>7767000</v>
      </c>
      <c r="P379" s="3">
        <v>212410</v>
      </c>
      <c r="Q379" s="3">
        <v>2.6136219389725799</v>
      </c>
      <c r="R379" s="3">
        <v>15.865394547401801</v>
      </c>
      <c r="S379" s="3">
        <v>1.6029354963306299</v>
      </c>
      <c r="T379" s="3">
        <v>2.73477533153084E-2</v>
      </c>
      <c r="U379" s="3">
        <v>1949</v>
      </c>
      <c r="V379" s="3">
        <v>76</v>
      </c>
      <c r="W379" s="3">
        <v>0</v>
      </c>
      <c r="X379" s="3" t="s">
        <v>439</v>
      </c>
      <c r="Y379" s="4" t="s">
        <v>440</v>
      </c>
      <c r="Z379" s="3" t="s">
        <v>34</v>
      </c>
      <c r="AA379" s="5">
        <f t="shared" si="15"/>
        <v>2.6136219389725799</v>
      </c>
      <c r="AB379" s="5">
        <f t="shared" si="16"/>
        <v>1.6029354963306299</v>
      </c>
      <c r="AC379" s="5">
        <f t="shared" si="17"/>
        <v>2.73477533153084E-2</v>
      </c>
    </row>
    <row r="380" spans="1:29" ht="15" customHeight="1" x14ac:dyDescent="0.3">
      <c r="A380" s="3">
        <v>441</v>
      </c>
      <c r="B380" s="3">
        <v>89</v>
      </c>
      <c r="C380" s="3" t="s">
        <v>441</v>
      </c>
      <c r="D380" s="4" t="s">
        <v>442</v>
      </c>
      <c r="E380" s="3" t="s">
        <v>283</v>
      </c>
      <c r="F380" s="3">
        <v>2021</v>
      </c>
      <c r="G380" s="3">
        <v>0</v>
      </c>
      <c r="H380" s="3">
        <v>0</v>
      </c>
      <c r="I380" s="3">
        <v>30</v>
      </c>
      <c r="J380" s="3">
        <v>6.6666666666666696</v>
      </c>
      <c r="K380" s="3">
        <v>1899000000</v>
      </c>
      <c r="L380" s="3">
        <v>1.7483</v>
      </c>
      <c r="M380" s="3">
        <v>3320021.7</v>
      </c>
      <c r="N380" s="3">
        <v>4860603</v>
      </c>
      <c r="O380" s="3">
        <v>6274670</v>
      </c>
      <c r="P380" s="3">
        <v>270576</v>
      </c>
      <c r="Q380" s="3">
        <v>1.3037537750989301</v>
      </c>
      <c r="R380" s="3">
        <v>15.6520314519578</v>
      </c>
      <c r="S380" s="3">
        <v>0.77463882562748299</v>
      </c>
      <c r="T380" s="3">
        <v>4.31219490427385E-2</v>
      </c>
      <c r="U380" s="3">
        <v>1957</v>
      </c>
      <c r="V380" s="3">
        <v>64</v>
      </c>
      <c r="W380" s="3">
        <v>0</v>
      </c>
      <c r="X380" s="3" t="s">
        <v>305</v>
      </c>
      <c r="Y380" s="4" t="s">
        <v>443</v>
      </c>
      <c r="Z380" s="3" t="s">
        <v>34</v>
      </c>
      <c r="AA380" s="5">
        <f t="shared" si="15"/>
        <v>1.3037537750989301</v>
      </c>
      <c r="AB380" s="5">
        <f t="shared" si="16"/>
        <v>0.77463882562748299</v>
      </c>
      <c r="AC380" s="5">
        <f t="shared" si="17"/>
        <v>4.31219490427385E-2</v>
      </c>
    </row>
    <row r="381" spans="1:29" ht="15" customHeight="1" x14ac:dyDescent="0.3">
      <c r="A381" s="3">
        <v>442</v>
      </c>
      <c r="B381" s="3">
        <v>89</v>
      </c>
      <c r="C381" s="3" t="s">
        <v>441</v>
      </c>
      <c r="D381" s="4" t="s">
        <v>442</v>
      </c>
      <c r="E381" s="3" t="s">
        <v>283</v>
      </c>
      <c r="F381" s="3">
        <v>2022</v>
      </c>
      <c r="G381" s="3">
        <v>0</v>
      </c>
      <c r="H381" s="3">
        <v>0</v>
      </c>
      <c r="I381" s="3">
        <v>30</v>
      </c>
      <c r="J381" s="3">
        <v>6.6666666666666696</v>
      </c>
      <c r="K381" s="3">
        <v>1899000000</v>
      </c>
      <c r="L381" s="3">
        <v>1.4322999999999999</v>
      </c>
      <c r="M381" s="3">
        <v>2719937.7</v>
      </c>
      <c r="N381" s="3">
        <v>5733000</v>
      </c>
      <c r="O381" s="3">
        <v>6512000</v>
      </c>
      <c r="P381" s="3">
        <v>-325040</v>
      </c>
      <c r="Q381" s="3">
        <v>1.29805554361179</v>
      </c>
      <c r="R381" s="3">
        <v>15.689157186664501</v>
      </c>
      <c r="S381" s="3">
        <v>0.88037469287469305</v>
      </c>
      <c r="T381" s="3">
        <v>-4.9914004914004897E-2</v>
      </c>
      <c r="U381" s="3">
        <v>1957</v>
      </c>
      <c r="V381" s="3">
        <v>65</v>
      </c>
      <c r="W381" s="3">
        <v>0</v>
      </c>
      <c r="X381" s="3" t="s">
        <v>305</v>
      </c>
      <c r="Y381" s="4" t="s">
        <v>444</v>
      </c>
      <c r="Z381" s="3" t="s">
        <v>34</v>
      </c>
      <c r="AA381" s="5">
        <f t="shared" si="15"/>
        <v>1.29805554361179</v>
      </c>
      <c r="AB381" s="5">
        <f t="shared" si="16"/>
        <v>0.88037469287469305</v>
      </c>
      <c r="AC381" s="5">
        <f t="shared" si="17"/>
        <v>-4.9914004914004897E-2</v>
      </c>
    </row>
    <row r="382" spans="1:29" ht="15" customHeight="1" x14ac:dyDescent="0.3">
      <c r="A382" s="3">
        <v>443</v>
      </c>
      <c r="B382" s="3">
        <v>89</v>
      </c>
      <c r="C382" s="3" t="s">
        <v>441</v>
      </c>
      <c r="D382" s="4" t="s">
        <v>442</v>
      </c>
      <c r="E382" s="3" t="s">
        <v>283</v>
      </c>
      <c r="F382" s="3">
        <v>2023</v>
      </c>
      <c r="G382" s="3">
        <v>1</v>
      </c>
      <c r="H382" s="3">
        <v>0</v>
      </c>
      <c r="I382" s="3">
        <v>30</v>
      </c>
      <c r="J382" s="3">
        <v>6.6666666666666696</v>
      </c>
      <c r="K382" s="3">
        <v>4273000000</v>
      </c>
      <c r="L382" s="3">
        <v>1.9400999999999999</v>
      </c>
      <c r="M382" s="3">
        <v>8290047.2999999998</v>
      </c>
      <c r="N382" s="3">
        <v>7642000</v>
      </c>
      <c r="O382" s="3">
        <v>10179000</v>
      </c>
      <c r="P382" s="3">
        <v>-1798000</v>
      </c>
      <c r="Q382" s="3">
        <v>1.5651878671775199</v>
      </c>
      <c r="R382" s="3">
        <v>16.135837332434502</v>
      </c>
      <c r="S382" s="3">
        <v>0.75076137145102695</v>
      </c>
      <c r="T382" s="3">
        <v>-0.17663817663817699</v>
      </c>
      <c r="U382" s="3">
        <v>1957</v>
      </c>
      <c r="V382" s="3">
        <v>66</v>
      </c>
      <c r="W382" s="3">
        <v>0</v>
      </c>
      <c r="X382" s="3" t="s">
        <v>305</v>
      </c>
      <c r="Y382" s="4" t="s">
        <v>445</v>
      </c>
      <c r="Z382" s="3" t="s">
        <v>34</v>
      </c>
      <c r="AA382" s="5">
        <f t="shared" si="15"/>
        <v>1.5651878671775199</v>
      </c>
      <c r="AB382" s="5">
        <f t="shared" si="16"/>
        <v>0.75076137145102695</v>
      </c>
      <c r="AC382" s="5">
        <f t="shared" si="17"/>
        <v>-0.17663817663817699</v>
      </c>
    </row>
    <row r="383" spans="1:29" ht="15" customHeight="1" x14ac:dyDescent="0.3">
      <c r="A383" s="3">
        <v>444</v>
      </c>
      <c r="B383" s="3">
        <v>89</v>
      </c>
      <c r="C383" s="3" t="s">
        <v>441</v>
      </c>
      <c r="D383" s="4" t="s">
        <v>442</v>
      </c>
      <c r="E383" s="3" t="s">
        <v>283</v>
      </c>
      <c r="F383" s="3">
        <v>2024</v>
      </c>
      <c r="G383" s="3">
        <v>1</v>
      </c>
      <c r="H383" s="3">
        <v>0</v>
      </c>
      <c r="I383" s="3">
        <v>30</v>
      </c>
      <c r="J383" s="3">
        <v>6.6666666666666696</v>
      </c>
      <c r="K383" s="3">
        <v>4273000000</v>
      </c>
      <c r="L383" s="3">
        <v>2.2911000000000001</v>
      </c>
      <c r="M383" s="3">
        <v>9789870.3000000007</v>
      </c>
      <c r="N383" s="3">
        <v>10336000</v>
      </c>
      <c r="O383" s="3">
        <v>11987000</v>
      </c>
      <c r="P383" s="3">
        <v>-885330</v>
      </c>
      <c r="Q383" s="3">
        <v>1.6789747476432799</v>
      </c>
      <c r="R383" s="3">
        <v>16.299333287189199</v>
      </c>
      <c r="S383" s="3">
        <v>0.86226745641111202</v>
      </c>
      <c r="T383" s="3">
        <v>-7.3857512304997097E-2</v>
      </c>
      <c r="U383" s="3">
        <v>1957</v>
      </c>
      <c r="V383" s="3">
        <v>67</v>
      </c>
      <c r="W383" s="3">
        <v>0</v>
      </c>
      <c r="X383" s="3" t="s">
        <v>305</v>
      </c>
      <c r="Y383" s="4" t="s">
        <v>444</v>
      </c>
      <c r="Z383" s="3" t="s">
        <v>34</v>
      </c>
      <c r="AA383" s="5">
        <f t="shared" si="15"/>
        <v>1.6789747476432799</v>
      </c>
      <c r="AB383" s="5">
        <f t="shared" si="16"/>
        <v>0.86226745641111202</v>
      </c>
      <c r="AC383" s="5">
        <f t="shared" si="17"/>
        <v>-7.3857512304997097E-2</v>
      </c>
    </row>
    <row r="384" spans="1:29" ht="15" customHeight="1" x14ac:dyDescent="0.3">
      <c r="A384" s="3">
        <v>445</v>
      </c>
      <c r="B384" s="3">
        <v>89</v>
      </c>
      <c r="C384" s="3" t="s">
        <v>441</v>
      </c>
      <c r="D384" s="4" t="s">
        <v>442</v>
      </c>
      <c r="E384" s="3" t="s">
        <v>283</v>
      </c>
      <c r="F384" s="3">
        <v>2025</v>
      </c>
      <c r="G384" s="3">
        <v>1</v>
      </c>
      <c r="H384" s="3">
        <v>0</v>
      </c>
      <c r="I384" s="3">
        <v>30</v>
      </c>
      <c r="J384" s="3">
        <v>6.6666666666666696</v>
      </c>
      <c r="K384" s="3">
        <v>4273000000</v>
      </c>
      <c r="L384" s="3">
        <v>5.7991999999999999</v>
      </c>
      <c r="M384" s="3">
        <v>24779981.600000001</v>
      </c>
      <c r="N384" s="3">
        <v>11386000</v>
      </c>
      <c r="O384" s="3">
        <v>14014000</v>
      </c>
      <c r="P384" s="3">
        <v>976420</v>
      </c>
      <c r="Q384" s="3">
        <v>2.5807036963036998</v>
      </c>
      <c r="R384" s="3">
        <v>16.455567387912598</v>
      </c>
      <c r="S384" s="3">
        <v>0.81247324104467</v>
      </c>
      <c r="T384" s="3">
        <v>6.9674611103182502E-2</v>
      </c>
      <c r="U384" s="3">
        <v>1957</v>
      </c>
      <c r="V384" s="3">
        <v>68</v>
      </c>
      <c r="W384" s="3">
        <v>0</v>
      </c>
      <c r="X384" s="3" t="s">
        <v>305</v>
      </c>
      <c r="Y384" s="4" t="s">
        <v>444</v>
      </c>
      <c r="Z384" s="3" t="s">
        <v>34</v>
      </c>
      <c r="AA384" s="5">
        <f t="shared" si="15"/>
        <v>2.5807036963036998</v>
      </c>
      <c r="AB384" s="5">
        <f t="shared" si="16"/>
        <v>0.81247324104467</v>
      </c>
      <c r="AC384" s="5">
        <f t="shared" si="17"/>
        <v>6.9674611103182502E-2</v>
      </c>
    </row>
    <row r="385" spans="1:29" ht="15" customHeight="1" x14ac:dyDescent="0.3">
      <c r="A385" s="3">
        <v>446</v>
      </c>
      <c r="B385" s="3">
        <v>90</v>
      </c>
      <c r="C385" s="3" t="s">
        <v>446</v>
      </c>
      <c r="D385" s="4" t="s">
        <v>447</v>
      </c>
      <c r="E385" s="3" t="s">
        <v>31</v>
      </c>
      <c r="F385" s="3">
        <v>2021</v>
      </c>
      <c r="G385" s="3">
        <v>0</v>
      </c>
      <c r="H385" s="3">
        <v>0</v>
      </c>
      <c r="I385" s="3">
        <v>10</v>
      </c>
      <c r="J385" s="3">
        <v>0</v>
      </c>
      <c r="K385" s="3">
        <v>5016000000</v>
      </c>
      <c r="L385" s="3">
        <v>4.4996</v>
      </c>
      <c r="M385" s="3">
        <v>22569993.600000001</v>
      </c>
      <c r="N385" s="3">
        <v>15348000</v>
      </c>
      <c r="O385" s="3">
        <v>38257000</v>
      </c>
      <c r="P385" s="3">
        <v>4432000</v>
      </c>
      <c r="Q385" s="3">
        <v>0.99113870925582304</v>
      </c>
      <c r="R385" s="3">
        <v>17.459837108029099</v>
      </c>
      <c r="S385" s="3">
        <v>0.40118148312727098</v>
      </c>
      <c r="T385" s="3">
        <v>0.115848080089918</v>
      </c>
      <c r="U385" s="3">
        <v>1948</v>
      </c>
      <c r="V385" s="3">
        <v>73</v>
      </c>
      <c r="W385" s="3">
        <v>1</v>
      </c>
      <c r="X385" s="3" t="s">
        <v>57</v>
      </c>
      <c r="Y385" s="4" t="s">
        <v>448</v>
      </c>
      <c r="Z385" s="3" t="s">
        <v>34</v>
      </c>
      <c r="AA385" s="5">
        <f t="shared" si="15"/>
        <v>0.99113870925582304</v>
      </c>
      <c r="AB385" s="5">
        <f t="shared" si="16"/>
        <v>0.40118148312727098</v>
      </c>
      <c r="AC385" s="5">
        <f t="shared" si="17"/>
        <v>0.115848080089918</v>
      </c>
    </row>
    <row r="386" spans="1:29" ht="15" customHeight="1" x14ac:dyDescent="0.3">
      <c r="A386" s="3">
        <v>447</v>
      </c>
      <c r="B386" s="3">
        <v>90</v>
      </c>
      <c r="C386" s="3" t="s">
        <v>446</v>
      </c>
      <c r="D386" s="4" t="s">
        <v>447</v>
      </c>
      <c r="E386" s="3" t="s">
        <v>31</v>
      </c>
      <c r="F386" s="3">
        <v>2022</v>
      </c>
      <c r="G386" s="3">
        <v>0</v>
      </c>
      <c r="H386" s="3">
        <v>0</v>
      </c>
      <c r="I386" s="3">
        <v>10</v>
      </c>
      <c r="J386" s="3">
        <v>0</v>
      </c>
      <c r="K386" s="3">
        <v>5016000000</v>
      </c>
      <c r="L386" s="3">
        <v>4.4996</v>
      </c>
      <c r="M386" s="3">
        <v>22569993.600000001</v>
      </c>
      <c r="N386" s="3">
        <v>17186000</v>
      </c>
      <c r="O386" s="3">
        <v>44201000</v>
      </c>
      <c r="P386" s="3">
        <v>5401000</v>
      </c>
      <c r="Q386" s="3">
        <v>0.89943651953575698</v>
      </c>
      <c r="R386" s="3">
        <v>17.604257971226399</v>
      </c>
      <c r="S386" s="3">
        <v>0.38881473269835498</v>
      </c>
      <c r="T386" s="3">
        <v>0.122191805615258</v>
      </c>
      <c r="U386" s="3">
        <v>1948</v>
      </c>
      <c r="V386" s="3">
        <v>74</v>
      </c>
      <c r="W386" s="3">
        <v>1</v>
      </c>
      <c r="X386" s="3" t="s">
        <v>57</v>
      </c>
      <c r="Y386" s="4" t="s">
        <v>448</v>
      </c>
      <c r="Z386" s="3" t="s">
        <v>34</v>
      </c>
      <c r="AA386" s="5">
        <f t="shared" ref="AA386:AA449" si="18">MIN(MAX(Q386,PERCENTILE(Q$2:Q$612,0.005)),PERCENTILE(Q$2:Q$612,0.995))</f>
        <v>0.89943651953575698</v>
      </c>
      <c r="AB386" s="5">
        <f t="shared" ref="AB386:AB449" si="19">MIN(MAX(S386,PERCENTILE(S$2:S$612,0.005)),PERCENTILE(S$2:S$612,0.995))</f>
        <v>0.38881473269835498</v>
      </c>
      <c r="AC386" s="5">
        <f t="shared" ref="AC386:AC449" si="20">MIN(MAX(T386,PERCENTILE(T$2:T$612,0.005)),PERCENTILE(T$2:T$612,0.995))</f>
        <v>0.122191805615258</v>
      </c>
    </row>
    <row r="387" spans="1:29" ht="15" customHeight="1" x14ac:dyDescent="0.3">
      <c r="A387" s="3">
        <v>448</v>
      </c>
      <c r="B387" s="3">
        <v>90</v>
      </c>
      <c r="C387" s="3" t="s">
        <v>446</v>
      </c>
      <c r="D387" s="4" t="s">
        <v>447</v>
      </c>
      <c r="E387" s="3" t="s">
        <v>31</v>
      </c>
      <c r="F387" s="3">
        <v>2023</v>
      </c>
      <c r="G387" s="3">
        <v>1</v>
      </c>
      <c r="H387" s="3">
        <v>0</v>
      </c>
      <c r="I387" s="3">
        <v>10</v>
      </c>
      <c r="J387" s="3">
        <v>0</v>
      </c>
      <c r="K387" s="3">
        <v>5016000000</v>
      </c>
      <c r="L387" s="3">
        <v>6.2998000000000003</v>
      </c>
      <c r="M387" s="3">
        <v>31599796.800000001</v>
      </c>
      <c r="N387" s="3">
        <v>35930000</v>
      </c>
      <c r="O387" s="3">
        <v>74468000</v>
      </c>
      <c r="P387" s="3">
        <v>13021000</v>
      </c>
      <c r="Q387" s="3">
        <v>0.90682973626255603</v>
      </c>
      <c r="R387" s="3">
        <v>18.1258800608739</v>
      </c>
      <c r="S387" s="3">
        <v>0.48248912284471202</v>
      </c>
      <c r="T387" s="3">
        <v>0.174853628404147</v>
      </c>
      <c r="U387" s="3">
        <v>1948</v>
      </c>
      <c r="V387" s="3">
        <v>75</v>
      </c>
      <c r="W387" s="3">
        <v>1</v>
      </c>
      <c r="X387" s="3" t="s">
        <v>57</v>
      </c>
      <c r="Y387" s="4" t="s">
        <v>448</v>
      </c>
      <c r="Z387" s="3" t="s">
        <v>34</v>
      </c>
      <c r="AA387" s="5">
        <f t="shared" si="18"/>
        <v>0.90682973626255603</v>
      </c>
      <c r="AB387" s="5">
        <f t="shared" si="19"/>
        <v>0.48248912284471202</v>
      </c>
      <c r="AC387" s="5">
        <f t="shared" si="20"/>
        <v>0.174853628404147</v>
      </c>
    </row>
    <row r="388" spans="1:29" ht="15" customHeight="1" x14ac:dyDescent="0.3">
      <c r="A388" s="3">
        <v>449</v>
      </c>
      <c r="B388" s="3">
        <v>90</v>
      </c>
      <c r="C388" s="3" t="s">
        <v>446</v>
      </c>
      <c r="D388" s="4" t="s">
        <v>447</v>
      </c>
      <c r="E388" s="3" t="s">
        <v>31</v>
      </c>
      <c r="F388" s="3">
        <v>2024</v>
      </c>
      <c r="G388" s="3">
        <v>1</v>
      </c>
      <c r="H388" s="3">
        <v>0</v>
      </c>
      <c r="I388" s="3">
        <v>10</v>
      </c>
      <c r="J388" s="3">
        <v>0</v>
      </c>
      <c r="K388" s="3">
        <v>5016000000</v>
      </c>
      <c r="L388" s="3">
        <v>10.951000000000001</v>
      </c>
      <c r="M388" s="3">
        <v>54930216</v>
      </c>
      <c r="N388" s="3">
        <v>58793000</v>
      </c>
      <c r="O388" s="3">
        <v>124232000</v>
      </c>
      <c r="P388" s="3">
        <v>29214000</v>
      </c>
      <c r="Q388" s="3">
        <v>0.91541000708352105</v>
      </c>
      <c r="R388" s="3">
        <v>18.637661343231201</v>
      </c>
      <c r="S388" s="3">
        <v>0.47325165818790699</v>
      </c>
      <c r="T388" s="3">
        <v>0.23515680340008999</v>
      </c>
      <c r="U388" s="3">
        <v>1948</v>
      </c>
      <c r="V388" s="3">
        <v>76</v>
      </c>
      <c r="W388" s="3">
        <v>1</v>
      </c>
      <c r="X388" s="3" t="s">
        <v>57</v>
      </c>
      <c r="Y388" s="4" t="s">
        <v>448</v>
      </c>
      <c r="Z388" s="3" t="s">
        <v>34</v>
      </c>
      <c r="AA388" s="5">
        <f t="shared" si="18"/>
        <v>0.91541000708352105</v>
      </c>
      <c r="AB388" s="5">
        <f t="shared" si="19"/>
        <v>0.47325165818790699</v>
      </c>
      <c r="AC388" s="5">
        <f t="shared" si="20"/>
        <v>0.23515680340008999</v>
      </c>
    </row>
    <row r="389" spans="1:29" ht="15" customHeight="1" x14ac:dyDescent="0.3">
      <c r="A389" s="3">
        <v>450</v>
      </c>
      <c r="B389" s="3">
        <v>90</v>
      </c>
      <c r="C389" s="3" t="s">
        <v>446</v>
      </c>
      <c r="D389" s="4" t="s">
        <v>447</v>
      </c>
      <c r="E389" s="3" t="s">
        <v>31</v>
      </c>
      <c r="F389" s="3">
        <v>2025</v>
      </c>
      <c r="G389" s="3">
        <v>1</v>
      </c>
      <c r="H389" s="3">
        <v>0</v>
      </c>
      <c r="I389" s="3">
        <v>10</v>
      </c>
      <c r="J389" s="3">
        <v>0</v>
      </c>
      <c r="K389" s="3">
        <v>5016000000</v>
      </c>
      <c r="L389" s="3">
        <v>26.802199999999999</v>
      </c>
      <c r="M389" s="3">
        <v>134439835.19999999</v>
      </c>
      <c r="N389" s="3">
        <v>101582000</v>
      </c>
      <c r="O389" s="3">
        <v>186040000</v>
      </c>
      <c r="P389" s="3">
        <v>23833000</v>
      </c>
      <c r="Q389" s="3">
        <v>1.2686617673618601</v>
      </c>
      <c r="R389" s="3">
        <v>19.041472262320202</v>
      </c>
      <c r="S389" s="3">
        <v>0.546022360782627</v>
      </c>
      <c r="T389" s="3">
        <v>0.12810685874005601</v>
      </c>
      <c r="U389" s="3">
        <v>1948</v>
      </c>
      <c r="V389" s="3">
        <v>77</v>
      </c>
      <c r="W389" s="3">
        <v>1</v>
      </c>
      <c r="X389" s="3" t="s">
        <v>57</v>
      </c>
      <c r="Y389" s="4" t="s">
        <v>448</v>
      </c>
      <c r="Z389" s="3" t="s">
        <v>34</v>
      </c>
      <c r="AA389" s="5">
        <f t="shared" si="18"/>
        <v>1.2686617673618601</v>
      </c>
      <c r="AB389" s="5">
        <f t="shared" si="19"/>
        <v>0.546022360782627</v>
      </c>
      <c r="AC389" s="5">
        <f t="shared" si="20"/>
        <v>0.12810685874005601</v>
      </c>
    </row>
    <row r="390" spans="1:29" ht="15" customHeight="1" x14ac:dyDescent="0.3">
      <c r="A390" s="3">
        <v>451</v>
      </c>
      <c r="B390" s="3">
        <v>91</v>
      </c>
      <c r="C390" s="3" t="s">
        <v>449</v>
      </c>
      <c r="D390" s="4" t="s">
        <v>450</v>
      </c>
      <c r="E390" s="3" t="s">
        <v>143</v>
      </c>
      <c r="F390" s="3">
        <v>2021</v>
      </c>
      <c r="G390" s="3">
        <v>0</v>
      </c>
      <c r="H390" s="3">
        <v>0</v>
      </c>
      <c r="I390" s="3">
        <v>30</v>
      </c>
      <c r="J390" s="3">
        <v>0</v>
      </c>
      <c r="K390" s="3">
        <v>792660000</v>
      </c>
      <c r="L390" s="3">
        <v>1551.7372</v>
      </c>
      <c r="M390" s="3">
        <v>1230000008.9519999</v>
      </c>
      <c r="N390" s="3">
        <v>288860000</v>
      </c>
      <c r="O390" s="3">
        <v>310239000</v>
      </c>
      <c r="P390" s="3">
        <v>40037000</v>
      </c>
      <c r="Q390" s="3">
        <v>4.8957739322006599</v>
      </c>
      <c r="R390" s="3">
        <v>19.5528535261424</v>
      </c>
      <c r="S390" s="3">
        <v>0.93108861232791496</v>
      </c>
      <c r="T390" s="3">
        <v>0.129052117883309</v>
      </c>
      <c r="U390" s="3">
        <v>1961</v>
      </c>
      <c r="V390" s="3">
        <v>60</v>
      </c>
      <c r="W390" s="3">
        <v>1</v>
      </c>
      <c r="X390" s="3" t="s">
        <v>50</v>
      </c>
      <c r="Y390" s="4" t="s">
        <v>451</v>
      </c>
      <c r="Z390" s="3" t="s">
        <v>34</v>
      </c>
      <c r="AA390" s="5">
        <f t="shared" si="18"/>
        <v>4.8957739322006599</v>
      </c>
      <c r="AB390" s="5">
        <f t="shared" si="19"/>
        <v>0.93108861232791496</v>
      </c>
      <c r="AC390" s="5">
        <f t="shared" si="20"/>
        <v>0.129052117883309</v>
      </c>
    </row>
    <row r="391" spans="1:29" ht="15" customHeight="1" x14ac:dyDescent="0.3">
      <c r="A391" s="3">
        <v>452</v>
      </c>
      <c r="B391" s="3">
        <v>91</v>
      </c>
      <c r="C391" s="3" t="s">
        <v>449</v>
      </c>
      <c r="D391" s="4" t="s">
        <v>450</v>
      </c>
      <c r="E391" s="3" t="s">
        <v>143</v>
      </c>
      <c r="F391" s="3">
        <v>2022</v>
      </c>
      <c r="G391" s="3">
        <v>0</v>
      </c>
      <c r="H391" s="3">
        <v>0</v>
      </c>
      <c r="I391" s="3">
        <v>30</v>
      </c>
      <c r="J391" s="3">
        <v>0</v>
      </c>
      <c r="K391" s="3">
        <v>792660000</v>
      </c>
      <c r="L391" s="3">
        <v>1099.9924000000001</v>
      </c>
      <c r="M391" s="3">
        <v>871919975.78400004</v>
      </c>
      <c r="N391" s="3">
        <v>384753000</v>
      </c>
      <c r="O391" s="3">
        <v>415044000</v>
      </c>
      <c r="P391" s="3">
        <v>48965000</v>
      </c>
      <c r="Q391" s="3">
        <v>3.0278066320293799</v>
      </c>
      <c r="R391" s="3">
        <v>19.843895096671201</v>
      </c>
      <c r="S391" s="3">
        <v>0.92701737647092797</v>
      </c>
      <c r="T391" s="3">
        <v>0.11797544356742901</v>
      </c>
      <c r="U391" s="3">
        <v>1961</v>
      </c>
      <c r="V391" s="3">
        <v>61</v>
      </c>
      <c r="W391" s="3">
        <v>1</v>
      </c>
      <c r="X391" s="3" t="s">
        <v>50</v>
      </c>
      <c r="Y391" s="4" t="s">
        <v>451</v>
      </c>
      <c r="Z391" s="3" t="s">
        <v>34</v>
      </c>
      <c r="AA391" s="5">
        <f t="shared" si="18"/>
        <v>3.0278066320293799</v>
      </c>
      <c r="AB391" s="5">
        <f t="shared" si="19"/>
        <v>0.92701737647092797</v>
      </c>
      <c r="AC391" s="5">
        <f t="shared" si="20"/>
        <v>0.11797544356742901</v>
      </c>
    </row>
    <row r="392" spans="1:29" ht="15" customHeight="1" x14ac:dyDescent="0.3">
      <c r="A392" s="3">
        <v>453</v>
      </c>
      <c r="B392" s="3">
        <v>91</v>
      </c>
      <c r="C392" s="3" t="s">
        <v>449</v>
      </c>
      <c r="D392" s="4" t="s">
        <v>450</v>
      </c>
      <c r="E392" s="3" t="s">
        <v>143</v>
      </c>
      <c r="F392" s="3">
        <v>2023</v>
      </c>
      <c r="G392" s="3">
        <v>1</v>
      </c>
      <c r="H392" s="3">
        <v>0</v>
      </c>
      <c r="I392" s="3">
        <v>30</v>
      </c>
      <c r="J392" s="3">
        <v>0</v>
      </c>
      <c r="K392" s="3">
        <v>792660000</v>
      </c>
      <c r="L392" s="3">
        <v>1099.9924000000001</v>
      </c>
      <c r="M392" s="3">
        <v>871919975.78400004</v>
      </c>
      <c r="N392" s="3">
        <v>659810000</v>
      </c>
      <c r="O392" s="3">
        <v>581774000</v>
      </c>
      <c r="P392" s="3">
        <v>-79474000</v>
      </c>
      <c r="Q392" s="3">
        <v>2.6328608287479298</v>
      </c>
      <c r="R392" s="3">
        <v>20.181592614130299</v>
      </c>
      <c r="S392" s="3">
        <v>1.1341345608432101</v>
      </c>
      <c r="T392" s="3">
        <v>-0.136606311041745</v>
      </c>
      <c r="U392" s="3">
        <v>1961</v>
      </c>
      <c r="V392" s="3">
        <v>62</v>
      </c>
      <c r="W392" s="3">
        <v>1</v>
      </c>
      <c r="X392" s="3" t="s">
        <v>50</v>
      </c>
      <c r="Y392" s="4" t="s">
        <v>452</v>
      </c>
      <c r="Z392" s="3" t="s">
        <v>34</v>
      </c>
      <c r="AA392" s="5">
        <f t="shared" si="18"/>
        <v>2.6328608287479298</v>
      </c>
      <c r="AB392" s="5">
        <f t="shared" si="19"/>
        <v>1.1341345608432101</v>
      </c>
      <c r="AC392" s="5">
        <f t="shared" si="20"/>
        <v>-0.136606311041745</v>
      </c>
    </row>
    <row r="393" spans="1:29" ht="15" customHeight="1" x14ac:dyDescent="0.3">
      <c r="A393" s="3">
        <v>454</v>
      </c>
      <c r="B393" s="3">
        <v>91</v>
      </c>
      <c r="C393" s="3" t="s">
        <v>449</v>
      </c>
      <c r="D393" s="4" t="s">
        <v>450</v>
      </c>
      <c r="E393" s="3" t="s">
        <v>143</v>
      </c>
      <c r="F393" s="3">
        <v>2024</v>
      </c>
      <c r="G393" s="3">
        <v>1</v>
      </c>
      <c r="H393" s="3">
        <v>0</v>
      </c>
      <c r="I393" s="3">
        <v>30</v>
      </c>
      <c r="J393" s="3">
        <v>0</v>
      </c>
      <c r="K393" s="3">
        <v>792660000</v>
      </c>
      <c r="L393" s="3">
        <v>874.9905</v>
      </c>
      <c r="M393" s="3">
        <v>693569969.73000002</v>
      </c>
      <c r="N393" s="3">
        <v>950988000</v>
      </c>
      <c r="O393" s="3">
        <v>858698000</v>
      </c>
      <c r="P393" s="3">
        <v>-164595000</v>
      </c>
      <c r="Q393" s="3">
        <v>1.9151761966721701</v>
      </c>
      <c r="R393" s="3">
        <v>20.570927846537899</v>
      </c>
      <c r="S393" s="3">
        <v>1.1074766681650601</v>
      </c>
      <c r="T393" s="3">
        <v>-0.19167972907820899</v>
      </c>
      <c r="U393" s="3">
        <v>1961</v>
      </c>
      <c r="V393" s="3">
        <v>63</v>
      </c>
      <c r="W393" s="3">
        <v>1</v>
      </c>
      <c r="X393" s="3" t="s">
        <v>50</v>
      </c>
      <c r="Y393" s="4" t="s">
        <v>452</v>
      </c>
      <c r="Z393" s="3" t="s">
        <v>34</v>
      </c>
      <c r="AA393" s="5">
        <f t="shared" si="18"/>
        <v>1.9151761966721701</v>
      </c>
      <c r="AB393" s="5">
        <f t="shared" si="19"/>
        <v>1.1074766681650601</v>
      </c>
      <c r="AC393" s="5">
        <f t="shared" si="20"/>
        <v>-0.19167972907820899</v>
      </c>
    </row>
    <row r="394" spans="1:29" ht="15" customHeight="1" x14ac:dyDescent="0.3">
      <c r="A394" s="3">
        <v>455</v>
      </c>
      <c r="B394" s="3">
        <v>91</v>
      </c>
      <c r="C394" s="3" t="s">
        <v>449</v>
      </c>
      <c r="D394" s="4" t="s">
        <v>450</v>
      </c>
      <c r="E394" s="3" t="s">
        <v>143</v>
      </c>
      <c r="F394" s="3">
        <v>2025</v>
      </c>
      <c r="G394" s="3">
        <v>1</v>
      </c>
      <c r="H394" s="3">
        <v>0</v>
      </c>
      <c r="I394" s="3">
        <v>30</v>
      </c>
      <c r="J394" s="3">
        <v>0</v>
      </c>
      <c r="K394" s="3">
        <v>792660000</v>
      </c>
      <c r="L394" s="3">
        <v>1955.4412</v>
      </c>
      <c r="M394" s="3">
        <v>1550000021.592</v>
      </c>
      <c r="N394" s="3">
        <v>833269000</v>
      </c>
      <c r="O394" s="3">
        <v>846160000</v>
      </c>
      <c r="P394" s="3">
        <v>104966000</v>
      </c>
      <c r="Q394" s="3">
        <v>2.8165701777347101</v>
      </c>
      <c r="R394" s="3">
        <v>20.556219024984099</v>
      </c>
      <c r="S394" s="3">
        <v>0.98476529261605406</v>
      </c>
      <c r="T394" s="3">
        <v>0.124049825092181</v>
      </c>
      <c r="U394" s="3">
        <v>1961</v>
      </c>
      <c r="V394" s="3">
        <v>64</v>
      </c>
      <c r="W394" s="3">
        <v>1</v>
      </c>
      <c r="X394" s="3" t="s">
        <v>50</v>
      </c>
      <c r="Y394" s="4" t="s">
        <v>451</v>
      </c>
      <c r="Z394" s="3" t="s">
        <v>34</v>
      </c>
      <c r="AA394" s="5">
        <f t="shared" si="18"/>
        <v>2.8165701777347101</v>
      </c>
      <c r="AB394" s="5">
        <f t="shared" si="19"/>
        <v>0.98476529261605406</v>
      </c>
      <c r="AC394" s="5">
        <f t="shared" si="20"/>
        <v>0.124049825092181</v>
      </c>
    </row>
    <row r="395" spans="1:29" ht="15" customHeight="1" x14ac:dyDescent="0.3">
      <c r="A395" s="3">
        <v>456</v>
      </c>
      <c r="B395" s="3">
        <v>92</v>
      </c>
      <c r="C395" s="3" t="s">
        <v>453</v>
      </c>
      <c r="D395" s="4" t="s">
        <v>454</v>
      </c>
      <c r="E395" s="3" t="s">
        <v>31</v>
      </c>
      <c r="F395" s="3">
        <v>2021</v>
      </c>
      <c r="G395" s="3">
        <v>0</v>
      </c>
      <c r="H395" s="3">
        <v>0</v>
      </c>
      <c r="I395" s="3">
        <v>25</v>
      </c>
      <c r="J395" s="3">
        <v>0</v>
      </c>
      <c r="K395" s="3">
        <v>2619000000</v>
      </c>
      <c r="L395" s="3">
        <v>14.9255</v>
      </c>
      <c r="M395" s="3">
        <v>39089884.5</v>
      </c>
      <c r="N395" s="3">
        <v>3755000</v>
      </c>
      <c r="O395" s="3">
        <v>37869000</v>
      </c>
      <c r="P395" s="3">
        <v>2248000</v>
      </c>
      <c r="Q395" s="3">
        <v>1.13139730386332</v>
      </c>
      <c r="R395" s="3">
        <v>17.4496433934031</v>
      </c>
      <c r="S395" s="3">
        <v>9.9157622329610007E-2</v>
      </c>
      <c r="T395" s="3">
        <v>5.9362539280149999E-2</v>
      </c>
      <c r="U395" s="3">
        <v>1960</v>
      </c>
      <c r="V395" s="3">
        <v>61</v>
      </c>
      <c r="W395" s="3">
        <v>1</v>
      </c>
      <c r="X395" s="3" t="s">
        <v>50</v>
      </c>
      <c r="Y395" s="4" t="s">
        <v>455</v>
      </c>
      <c r="Z395" s="3" t="s">
        <v>34</v>
      </c>
      <c r="AA395" s="5">
        <f t="shared" si="18"/>
        <v>1.13139730386332</v>
      </c>
      <c r="AB395" s="5">
        <f t="shared" si="19"/>
        <v>9.9157622329610007E-2</v>
      </c>
      <c r="AC395" s="5">
        <f t="shared" si="20"/>
        <v>5.9362539280149999E-2</v>
      </c>
    </row>
    <row r="396" spans="1:29" ht="15" customHeight="1" x14ac:dyDescent="0.3">
      <c r="A396" s="3">
        <v>457</v>
      </c>
      <c r="B396" s="3">
        <v>92</v>
      </c>
      <c r="C396" s="3" t="s">
        <v>453</v>
      </c>
      <c r="D396" s="4" t="s">
        <v>454</v>
      </c>
      <c r="E396" s="3" t="s">
        <v>31</v>
      </c>
      <c r="F396" s="3">
        <v>2022</v>
      </c>
      <c r="G396" s="3">
        <v>0</v>
      </c>
      <c r="H396" s="3">
        <v>0</v>
      </c>
      <c r="I396" s="3">
        <v>25</v>
      </c>
      <c r="J396" s="3">
        <v>0</v>
      </c>
      <c r="K396" s="3">
        <v>2939000000</v>
      </c>
      <c r="L396" s="3">
        <v>16.740400000000001</v>
      </c>
      <c r="M396" s="3">
        <v>49200035.600000001</v>
      </c>
      <c r="N396" s="3">
        <v>20256000</v>
      </c>
      <c r="O396" s="3">
        <v>57063000</v>
      </c>
      <c r="P396" s="3">
        <v>591510</v>
      </c>
      <c r="Q396" s="3">
        <v>1.2171816343339801</v>
      </c>
      <c r="R396" s="3">
        <v>17.859666478603099</v>
      </c>
      <c r="S396" s="3">
        <v>0.35497607907050099</v>
      </c>
      <c r="T396" s="3">
        <v>1.03659113611272E-2</v>
      </c>
      <c r="U396" s="3">
        <v>1960</v>
      </c>
      <c r="V396" s="3">
        <v>62</v>
      </c>
      <c r="W396" s="3">
        <v>1</v>
      </c>
      <c r="X396" s="3" t="s">
        <v>50</v>
      </c>
      <c r="Y396" s="4" t="s">
        <v>456</v>
      </c>
      <c r="Z396" s="3" t="s">
        <v>34</v>
      </c>
      <c r="AA396" s="5">
        <f t="shared" si="18"/>
        <v>1.2171816343339801</v>
      </c>
      <c r="AB396" s="5">
        <f t="shared" si="19"/>
        <v>0.35497607907050099</v>
      </c>
      <c r="AC396" s="5">
        <f t="shared" si="20"/>
        <v>1.03659113611272E-2</v>
      </c>
    </row>
    <row r="397" spans="1:29" ht="15" customHeight="1" x14ac:dyDescent="0.3">
      <c r="A397" s="3">
        <v>458</v>
      </c>
      <c r="B397" s="3">
        <v>92</v>
      </c>
      <c r="C397" s="3" t="s">
        <v>453</v>
      </c>
      <c r="D397" s="4" t="s">
        <v>454</v>
      </c>
      <c r="E397" s="3" t="s">
        <v>31</v>
      </c>
      <c r="F397" s="3">
        <v>2023</v>
      </c>
      <c r="G397" s="3">
        <v>1</v>
      </c>
      <c r="H397" s="3">
        <v>0</v>
      </c>
      <c r="I397" s="3">
        <v>25</v>
      </c>
      <c r="J397" s="3">
        <v>0</v>
      </c>
      <c r="K397" s="3">
        <v>2939000000</v>
      </c>
      <c r="L397" s="3">
        <v>17.628399999999999</v>
      </c>
      <c r="M397" s="3">
        <v>51809867.600000001</v>
      </c>
      <c r="N397" s="3">
        <v>20378000</v>
      </c>
      <c r="O397" s="3">
        <v>59841000</v>
      </c>
      <c r="P397" s="3">
        <v>5251000</v>
      </c>
      <c r="Q397" s="3">
        <v>1.2063278955899801</v>
      </c>
      <c r="R397" s="3">
        <v>17.9072016027208</v>
      </c>
      <c r="S397" s="3">
        <v>0.34053575307899298</v>
      </c>
      <c r="T397" s="3">
        <v>8.7749202052104805E-2</v>
      </c>
      <c r="U397" s="3">
        <v>1960</v>
      </c>
      <c r="V397" s="3">
        <v>63</v>
      </c>
      <c r="W397" s="3">
        <v>1</v>
      </c>
      <c r="X397" s="3" t="s">
        <v>50</v>
      </c>
      <c r="Y397" s="4" t="s">
        <v>455</v>
      </c>
      <c r="Z397" s="3" t="s">
        <v>34</v>
      </c>
      <c r="AA397" s="5">
        <f t="shared" si="18"/>
        <v>1.2063278955899801</v>
      </c>
      <c r="AB397" s="5">
        <f t="shared" si="19"/>
        <v>0.34053575307899298</v>
      </c>
      <c r="AC397" s="5">
        <f t="shared" si="20"/>
        <v>8.7749202052104805E-2</v>
      </c>
    </row>
    <row r="398" spans="1:29" ht="15" customHeight="1" x14ac:dyDescent="0.3">
      <c r="A398" s="3">
        <v>459</v>
      </c>
      <c r="B398" s="3">
        <v>92</v>
      </c>
      <c r="C398" s="3" t="s">
        <v>453</v>
      </c>
      <c r="D398" s="4" t="s">
        <v>454</v>
      </c>
      <c r="E398" s="3" t="s">
        <v>31</v>
      </c>
      <c r="F398" s="3">
        <v>2024</v>
      </c>
      <c r="G398" s="3">
        <v>1</v>
      </c>
      <c r="H398" s="3">
        <v>0</v>
      </c>
      <c r="I398" s="3">
        <v>25</v>
      </c>
      <c r="J398" s="3">
        <v>0</v>
      </c>
      <c r="K398" s="3">
        <v>2939000000</v>
      </c>
      <c r="L398" s="3">
        <v>20.442299999999999</v>
      </c>
      <c r="M398" s="3">
        <v>60079919.700000003</v>
      </c>
      <c r="N398" s="3">
        <v>19493000</v>
      </c>
      <c r="O398" s="3">
        <v>68040000</v>
      </c>
      <c r="P398" s="3">
        <v>9920000</v>
      </c>
      <c r="Q398" s="3">
        <v>1.1695020532039999</v>
      </c>
      <c r="R398" s="3">
        <v>18.035606325491901</v>
      </c>
      <c r="S398" s="3">
        <v>0.286493239271017</v>
      </c>
      <c r="T398" s="3">
        <v>0.145796590241035</v>
      </c>
      <c r="U398" s="3">
        <v>1960</v>
      </c>
      <c r="V398" s="3">
        <v>64</v>
      </c>
      <c r="W398" s="3">
        <v>1</v>
      </c>
      <c r="X398" s="3" t="s">
        <v>50</v>
      </c>
      <c r="Y398" s="4" t="s">
        <v>455</v>
      </c>
      <c r="Z398" s="3" t="s">
        <v>34</v>
      </c>
      <c r="AA398" s="5">
        <f t="shared" si="18"/>
        <v>1.1695020532039999</v>
      </c>
      <c r="AB398" s="5">
        <f t="shared" si="19"/>
        <v>0.286493239271017</v>
      </c>
      <c r="AC398" s="5">
        <f t="shared" si="20"/>
        <v>0.145796590241035</v>
      </c>
    </row>
    <row r="399" spans="1:29" ht="15" customHeight="1" x14ac:dyDescent="0.3">
      <c r="A399" s="3">
        <v>460</v>
      </c>
      <c r="B399" s="3">
        <v>92</v>
      </c>
      <c r="C399" s="3" t="s">
        <v>453</v>
      </c>
      <c r="D399" s="4" t="s">
        <v>454</v>
      </c>
      <c r="E399" s="3" t="s">
        <v>31</v>
      </c>
      <c r="F399" s="3">
        <v>2025</v>
      </c>
      <c r="G399" s="3">
        <v>1</v>
      </c>
      <c r="H399" s="3">
        <v>0</v>
      </c>
      <c r="I399" s="3">
        <v>35</v>
      </c>
      <c r="J399" s="3">
        <v>6.6666666666666696</v>
      </c>
      <c r="K399" s="3">
        <v>2939000000</v>
      </c>
      <c r="L399" s="3">
        <v>52.5077</v>
      </c>
      <c r="M399" s="3">
        <v>154320130.30000001</v>
      </c>
      <c r="N399" s="3">
        <v>15846000</v>
      </c>
      <c r="O399" s="3">
        <v>71050000</v>
      </c>
      <c r="P399" s="3">
        <v>10479000</v>
      </c>
      <c r="Q399" s="3">
        <v>2.39501942716397</v>
      </c>
      <c r="R399" s="3">
        <v>18.078894412507399</v>
      </c>
      <c r="S399" s="3">
        <v>0.223026038001407</v>
      </c>
      <c r="T399" s="3">
        <v>0.14748768472906401</v>
      </c>
      <c r="U399" s="3">
        <v>1960</v>
      </c>
      <c r="V399" s="3">
        <v>65</v>
      </c>
      <c r="W399" s="3">
        <v>1</v>
      </c>
      <c r="X399" s="3" t="s">
        <v>50</v>
      </c>
      <c r="Y399" s="4" t="s">
        <v>455</v>
      </c>
      <c r="Z399" s="3" t="s">
        <v>34</v>
      </c>
      <c r="AA399" s="5">
        <f t="shared" si="18"/>
        <v>2.39501942716397</v>
      </c>
      <c r="AB399" s="5">
        <f t="shared" si="19"/>
        <v>0.223026038001407</v>
      </c>
      <c r="AC399" s="5">
        <f t="shared" si="20"/>
        <v>0.14748768472906401</v>
      </c>
    </row>
    <row r="400" spans="1:29" ht="15" customHeight="1" x14ac:dyDescent="0.3">
      <c r="A400" s="3">
        <v>466</v>
      </c>
      <c r="B400" s="3">
        <v>94</v>
      </c>
      <c r="C400" s="3" t="s">
        <v>457</v>
      </c>
      <c r="D400" s="4" t="s">
        <v>458</v>
      </c>
      <c r="E400" s="3" t="s">
        <v>143</v>
      </c>
      <c r="F400" s="3">
        <v>2021</v>
      </c>
      <c r="G400" s="3">
        <v>0</v>
      </c>
      <c r="H400" s="3">
        <v>0</v>
      </c>
      <c r="I400" s="3">
        <v>5</v>
      </c>
      <c r="J400" s="3">
        <v>0</v>
      </c>
      <c r="K400" s="3">
        <v>178200000</v>
      </c>
      <c r="L400" s="3">
        <v>8.0246999999999993</v>
      </c>
      <c r="M400" s="3">
        <v>1430001.54</v>
      </c>
      <c r="N400" s="3">
        <v>4577449</v>
      </c>
      <c r="O400" s="3">
        <v>7365270</v>
      </c>
      <c r="P400" s="3">
        <v>69919</v>
      </c>
      <c r="Q400" s="3">
        <v>0.81564566404218697</v>
      </c>
      <c r="R400" s="3">
        <v>15.8122862670847</v>
      </c>
      <c r="S400" s="3">
        <v>0.62149099761448001</v>
      </c>
      <c r="T400" s="3">
        <v>9.4930667850601502E-3</v>
      </c>
      <c r="U400" s="3">
        <v>1971</v>
      </c>
      <c r="V400" s="3">
        <v>50</v>
      </c>
      <c r="W400" s="3">
        <v>1</v>
      </c>
      <c r="X400" s="3" t="s">
        <v>459</v>
      </c>
      <c r="Y400" s="4" t="s">
        <v>460</v>
      </c>
      <c r="Z400" s="3" t="s">
        <v>34</v>
      </c>
      <c r="AA400" s="5">
        <f t="shared" si="18"/>
        <v>0.81564566404218697</v>
      </c>
      <c r="AB400" s="5">
        <f t="shared" si="19"/>
        <v>0.62149099761448001</v>
      </c>
      <c r="AC400" s="5">
        <f t="shared" si="20"/>
        <v>9.4930667850601502E-3</v>
      </c>
    </row>
    <row r="401" spans="1:29" ht="15" customHeight="1" x14ac:dyDescent="0.3">
      <c r="A401" s="3">
        <v>467</v>
      </c>
      <c r="B401" s="3">
        <v>94</v>
      </c>
      <c r="C401" s="3" t="s">
        <v>457</v>
      </c>
      <c r="D401" s="4" t="s">
        <v>458</v>
      </c>
      <c r="E401" s="3" t="s">
        <v>143</v>
      </c>
      <c r="F401" s="3">
        <v>2022</v>
      </c>
      <c r="G401" s="3">
        <v>0</v>
      </c>
      <c r="H401" s="3">
        <v>0</v>
      </c>
      <c r="I401" s="3">
        <v>5</v>
      </c>
      <c r="J401" s="3">
        <v>0</v>
      </c>
      <c r="K401" s="3">
        <v>178200000</v>
      </c>
      <c r="L401" s="3">
        <v>8.0246999999999993</v>
      </c>
      <c r="M401" s="3">
        <v>1430001.54</v>
      </c>
      <c r="N401" s="3">
        <v>10461000</v>
      </c>
      <c r="O401" s="3">
        <v>13315000</v>
      </c>
      <c r="P401" s="3">
        <v>80670</v>
      </c>
      <c r="Q401" s="3">
        <v>0.89305306346226099</v>
      </c>
      <c r="R401" s="3">
        <v>16.404401777230198</v>
      </c>
      <c r="S401" s="3">
        <v>0.78565527600450602</v>
      </c>
      <c r="T401" s="3">
        <v>6.0585805482538503E-3</v>
      </c>
      <c r="U401" s="3">
        <v>1971</v>
      </c>
      <c r="V401" s="3">
        <v>51</v>
      </c>
      <c r="W401" s="3">
        <v>1</v>
      </c>
      <c r="X401" s="3" t="s">
        <v>459</v>
      </c>
      <c r="Y401" s="4" t="s">
        <v>461</v>
      </c>
      <c r="Z401" s="3" t="s">
        <v>34</v>
      </c>
      <c r="AA401" s="5">
        <f t="shared" si="18"/>
        <v>0.89305306346226099</v>
      </c>
      <c r="AB401" s="5">
        <f t="shared" si="19"/>
        <v>0.78565527600450602</v>
      </c>
      <c r="AC401" s="5">
        <f t="shared" si="20"/>
        <v>6.0585805482538503E-3</v>
      </c>
    </row>
    <row r="402" spans="1:29" ht="15" customHeight="1" x14ac:dyDescent="0.3">
      <c r="A402" s="3">
        <v>468</v>
      </c>
      <c r="B402" s="3">
        <v>94</v>
      </c>
      <c r="C402" s="3" t="s">
        <v>457</v>
      </c>
      <c r="D402" s="4" t="s">
        <v>458</v>
      </c>
      <c r="E402" s="3" t="s">
        <v>143</v>
      </c>
      <c r="F402" s="3">
        <v>2023</v>
      </c>
      <c r="G402" s="3">
        <v>1</v>
      </c>
      <c r="H402" s="3">
        <v>0</v>
      </c>
      <c r="I402" s="3">
        <v>5</v>
      </c>
      <c r="J402" s="3">
        <v>0</v>
      </c>
      <c r="K402" s="3">
        <v>179420000</v>
      </c>
      <c r="L402" s="3">
        <v>6.1308999999999996</v>
      </c>
      <c r="M402" s="3">
        <v>1100006.078</v>
      </c>
      <c r="N402" s="3">
        <v>11248000</v>
      </c>
      <c r="O402" s="3">
        <v>17828000</v>
      </c>
      <c r="P402" s="3">
        <v>272820</v>
      </c>
      <c r="Q402" s="3">
        <v>0.69261869407673304</v>
      </c>
      <c r="R402" s="3">
        <v>16.696280813048599</v>
      </c>
      <c r="S402" s="3">
        <v>0.63091765761723095</v>
      </c>
      <c r="T402" s="3">
        <v>1.5302894323535999E-2</v>
      </c>
      <c r="U402" s="3">
        <v>1971</v>
      </c>
      <c r="V402" s="3">
        <v>52</v>
      </c>
      <c r="W402" s="3">
        <v>1</v>
      </c>
      <c r="X402" s="3" t="s">
        <v>459</v>
      </c>
      <c r="Y402" s="4" t="s">
        <v>462</v>
      </c>
      <c r="Z402" s="3" t="s">
        <v>34</v>
      </c>
      <c r="AA402" s="5">
        <f t="shared" si="18"/>
        <v>0.69261869407673304</v>
      </c>
      <c r="AB402" s="5">
        <f t="shared" si="19"/>
        <v>0.63091765761723095</v>
      </c>
      <c r="AC402" s="5">
        <f t="shared" si="20"/>
        <v>1.5302894323535999E-2</v>
      </c>
    </row>
    <row r="403" spans="1:29" ht="15" customHeight="1" x14ac:dyDescent="0.3">
      <c r="A403" s="3">
        <v>469</v>
      </c>
      <c r="B403" s="3">
        <v>94</v>
      </c>
      <c r="C403" s="3" t="s">
        <v>457</v>
      </c>
      <c r="D403" s="4" t="s">
        <v>458</v>
      </c>
      <c r="E403" s="3" t="s">
        <v>143</v>
      </c>
      <c r="F403" s="3">
        <v>2024</v>
      </c>
      <c r="G403" s="3">
        <v>1</v>
      </c>
      <c r="H403" s="3">
        <v>0</v>
      </c>
      <c r="I403" s="3">
        <v>5</v>
      </c>
      <c r="J403" s="3">
        <v>0</v>
      </c>
      <c r="K403" s="3">
        <v>178200000</v>
      </c>
      <c r="L403" s="3">
        <v>45.5107</v>
      </c>
      <c r="M403" s="3">
        <v>8110006.7400000002</v>
      </c>
      <c r="N403" s="3">
        <v>9847000</v>
      </c>
      <c r="O403" s="3">
        <v>17924000</v>
      </c>
      <c r="P403" s="3">
        <v>1526000</v>
      </c>
      <c r="Q403" s="3">
        <v>1.0018414829279201</v>
      </c>
      <c r="R403" s="3">
        <v>16.7016511548882</v>
      </c>
      <c r="S403" s="3">
        <v>0.54937513947779504</v>
      </c>
      <c r="T403" s="3">
        <v>8.5137246150412904E-2</v>
      </c>
      <c r="U403" s="3">
        <v>1971</v>
      </c>
      <c r="V403" s="3">
        <v>53</v>
      </c>
      <c r="W403" s="3">
        <v>1</v>
      </c>
      <c r="X403" s="3" t="s">
        <v>459</v>
      </c>
      <c r="Y403" s="4" t="s">
        <v>461</v>
      </c>
      <c r="Z403" s="3" t="s">
        <v>34</v>
      </c>
      <c r="AA403" s="5">
        <f t="shared" si="18"/>
        <v>1.0018414829279201</v>
      </c>
      <c r="AB403" s="5">
        <f t="shared" si="19"/>
        <v>0.54937513947779504</v>
      </c>
      <c r="AC403" s="5">
        <f t="shared" si="20"/>
        <v>8.5137246150412904E-2</v>
      </c>
    </row>
    <row r="404" spans="1:29" ht="15" customHeight="1" x14ac:dyDescent="0.3">
      <c r="A404" s="3">
        <v>470</v>
      </c>
      <c r="B404" s="3">
        <v>94</v>
      </c>
      <c r="C404" s="3" t="s">
        <v>457</v>
      </c>
      <c r="D404" s="4" t="s">
        <v>458</v>
      </c>
      <c r="E404" s="3" t="s">
        <v>143</v>
      </c>
      <c r="F404" s="3">
        <v>2025</v>
      </c>
      <c r="G404" s="3">
        <v>1</v>
      </c>
      <c r="H404" s="3">
        <v>0</v>
      </c>
      <c r="I404" s="3">
        <v>5</v>
      </c>
      <c r="J404" s="3">
        <v>0</v>
      </c>
      <c r="K404" s="3">
        <v>178200000</v>
      </c>
      <c r="L404" s="3">
        <v>43.883299999999998</v>
      </c>
      <c r="M404" s="3">
        <v>7820004.0599999996</v>
      </c>
      <c r="N404" s="3">
        <v>20856000</v>
      </c>
      <c r="O404" s="3">
        <v>30549000</v>
      </c>
      <c r="P404" s="3">
        <v>1745000</v>
      </c>
      <c r="Q404" s="3">
        <v>0.93868879701463204</v>
      </c>
      <c r="R404" s="3">
        <v>17.234842509821899</v>
      </c>
      <c r="S404" s="3">
        <v>0.68270647157026398</v>
      </c>
      <c r="T404" s="3">
        <v>5.71213460342401E-2</v>
      </c>
      <c r="U404" s="3">
        <v>1971</v>
      </c>
      <c r="V404" s="3">
        <v>54</v>
      </c>
      <c r="W404" s="3">
        <v>1</v>
      </c>
      <c r="X404" s="3" t="s">
        <v>459</v>
      </c>
      <c r="Y404" s="4" t="s">
        <v>461</v>
      </c>
      <c r="Z404" s="3" t="s">
        <v>34</v>
      </c>
      <c r="AA404" s="5">
        <f t="shared" si="18"/>
        <v>0.93868879701463204</v>
      </c>
      <c r="AB404" s="5">
        <f t="shared" si="19"/>
        <v>0.68270647157026398</v>
      </c>
      <c r="AC404" s="5">
        <f t="shared" si="20"/>
        <v>5.71213460342401E-2</v>
      </c>
    </row>
    <row r="405" spans="1:29" ht="15" customHeight="1" x14ac:dyDescent="0.3">
      <c r="A405" s="3">
        <v>471</v>
      </c>
      <c r="B405" s="3">
        <v>95</v>
      </c>
      <c r="C405" s="3" t="s">
        <v>463</v>
      </c>
      <c r="D405" s="4" t="s">
        <v>464</v>
      </c>
      <c r="E405" s="3" t="s">
        <v>31</v>
      </c>
      <c r="F405" s="3">
        <v>2021</v>
      </c>
      <c r="G405" s="3">
        <v>0</v>
      </c>
      <c r="H405" s="3">
        <v>0</v>
      </c>
      <c r="I405" s="3">
        <v>5</v>
      </c>
      <c r="J405" s="3">
        <v>0</v>
      </c>
      <c r="K405" s="3">
        <v>2541000000</v>
      </c>
      <c r="L405" s="3">
        <v>1.5308999999999999</v>
      </c>
      <c r="M405" s="3">
        <v>3890016.9</v>
      </c>
      <c r="N405" s="3">
        <v>26236000</v>
      </c>
      <c r="O405" s="3">
        <v>31967000</v>
      </c>
      <c r="P405" s="3">
        <v>707490</v>
      </c>
      <c r="Q405" s="3">
        <v>0.94240988832233197</v>
      </c>
      <c r="R405" s="3">
        <v>17.280214678659899</v>
      </c>
      <c r="S405" s="3">
        <v>0.82072136891169001</v>
      </c>
      <c r="T405" s="3">
        <v>2.2131886007445201E-2</v>
      </c>
      <c r="U405" s="3">
        <v>1993</v>
      </c>
      <c r="V405" s="3">
        <v>28</v>
      </c>
      <c r="W405" s="3">
        <v>0</v>
      </c>
      <c r="X405" s="3" t="s">
        <v>465</v>
      </c>
      <c r="Y405" s="4" t="s">
        <v>466</v>
      </c>
      <c r="Z405" s="3" t="s">
        <v>34</v>
      </c>
      <c r="AA405" s="5">
        <f t="shared" si="18"/>
        <v>0.94240988832233197</v>
      </c>
      <c r="AB405" s="5">
        <f t="shared" si="19"/>
        <v>0.82072136891169001</v>
      </c>
      <c r="AC405" s="5">
        <f t="shared" si="20"/>
        <v>2.2131886007445201E-2</v>
      </c>
    </row>
    <row r="406" spans="1:29" ht="15" customHeight="1" x14ac:dyDescent="0.3">
      <c r="A406" s="3">
        <v>472</v>
      </c>
      <c r="B406" s="3">
        <v>95</v>
      </c>
      <c r="C406" s="3" t="s">
        <v>463</v>
      </c>
      <c r="D406" s="4" t="s">
        <v>464</v>
      </c>
      <c r="E406" s="3" t="s">
        <v>31</v>
      </c>
      <c r="F406" s="3">
        <v>2022</v>
      </c>
      <c r="G406" s="3">
        <v>0</v>
      </c>
      <c r="H406" s="3">
        <v>0</v>
      </c>
      <c r="I406" s="3">
        <v>5</v>
      </c>
      <c r="J406" s="3">
        <v>0</v>
      </c>
      <c r="K406" s="3">
        <v>5993000000</v>
      </c>
      <c r="L406" s="3">
        <v>1.6902999999999999</v>
      </c>
      <c r="M406" s="3">
        <v>10129967.9</v>
      </c>
      <c r="N406" s="3">
        <v>23918000</v>
      </c>
      <c r="O406" s="3">
        <v>34496000</v>
      </c>
      <c r="P406" s="3">
        <v>882170</v>
      </c>
      <c r="Q406" s="3">
        <v>0.98701205647031498</v>
      </c>
      <c r="R406" s="3">
        <v>17.356353933250801</v>
      </c>
      <c r="S406" s="3">
        <v>0.69335575139146599</v>
      </c>
      <c r="T406" s="3">
        <v>2.5573109925788502E-2</v>
      </c>
      <c r="U406" s="3">
        <v>1993</v>
      </c>
      <c r="V406" s="3">
        <v>29</v>
      </c>
      <c r="W406" s="3">
        <v>0</v>
      </c>
      <c r="X406" s="3" t="s">
        <v>465</v>
      </c>
      <c r="Y406" s="4" t="s">
        <v>467</v>
      </c>
      <c r="Z406" s="3" t="s">
        <v>34</v>
      </c>
      <c r="AA406" s="5">
        <f t="shared" si="18"/>
        <v>0.98701205647031498</v>
      </c>
      <c r="AB406" s="5">
        <f t="shared" si="19"/>
        <v>0.69335575139146599</v>
      </c>
      <c r="AC406" s="5">
        <f t="shared" si="20"/>
        <v>2.5573109925788502E-2</v>
      </c>
    </row>
    <row r="407" spans="1:29" ht="15" customHeight="1" x14ac:dyDescent="0.3">
      <c r="A407" s="3">
        <v>473</v>
      </c>
      <c r="B407" s="3">
        <v>95</v>
      </c>
      <c r="C407" s="3" t="s">
        <v>463</v>
      </c>
      <c r="D407" s="4" t="s">
        <v>464</v>
      </c>
      <c r="E407" s="3" t="s">
        <v>31</v>
      </c>
      <c r="F407" s="3">
        <v>2023</v>
      </c>
      <c r="G407" s="3">
        <v>1</v>
      </c>
      <c r="H407" s="3">
        <v>0</v>
      </c>
      <c r="I407" s="3">
        <v>5</v>
      </c>
      <c r="J407" s="3">
        <v>0</v>
      </c>
      <c r="K407" s="3">
        <v>5993000000</v>
      </c>
      <c r="L407" s="3">
        <v>1.9406000000000001</v>
      </c>
      <c r="M407" s="3">
        <v>11630015.800000001</v>
      </c>
      <c r="N407" s="3">
        <v>33900000</v>
      </c>
      <c r="O407" s="3">
        <v>44891000</v>
      </c>
      <c r="P407" s="3">
        <v>1019000</v>
      </c>
      <c r="Q407" s="3">
        <v>1.0142348310351701</v>
      </c>
      <c r="R407" s="3">
        <v>17.6197478871863</v>
      </c>
      <c r="S407" s="3">
        <v>0.75516250473368796</v>
      </c>
      <c r="T407" s="3">
        <v>2.2699427502171899E-2</v>
      </c>
      <c r="U407" s="3">
        <v>1993</v>
      </c>
      <c r="V407" s="3">
        <v>30</v>
      </c>
      <c r="W407" s="3">
        <v>1</v>
      </c>
      <c r="X407" s="3" t="s">
        <v>465</v>
      </c>
      <c r="Y407" s="4" t="s">
        <v>468</v>
      </c>
      <c r="Z407" s="3" t="s">
        <v>34</v>
      </c>
      <c r="AA407" s="5">
        <f t="shared" si="18"/>
        <v>1.0142348310351701</v>
      </c>
      <c r="AB407" s="5">
        <f t="shared" si="19"/>
        <v>0.75516250473368796</v>
      </c>
      <c r="AC407" s="5">
        <f t="shared" si="20"/>
        <v>2.2699427502171899E-2</v>
      </c>
    </row>
    <row r="408" spans="1:29" ht="15" customHeight="1" x14ac:dyDescent="0.3">
      <c r="A408" s="3">
        <v>474</v>
      </c>
      <c r="B408" s="3">
        <v>95</v>
      </c>
      <c r="C408" s="3" t="s">
        <v>463</v>
      </c>
      <c r="D408" s="4" t="s">
        <v>464</v>
      </c>
      <c r="E408" s="3" t="s">
        <v>31</v>
      </c>
      <c r="F408" s="3">
        <v>2024</v>
      </c>
      <c r="G408" s="3">
        <v>1</v>
      </c>
      <c r="H408" s="3">
        <v>0</v>
      </c>
      <c r="I408" s="3">
        <v>5</v>
      </c>
      <c r="J408" s="3">
        <v>0</v>
      </c>
      <c r="K408" s="3">
        <v>5993000000</v>
      </c>
      <c r="L408" s="3">
        <v>1.7102999999999999</v>
      </c>
      <c r="M408" s="3">
        <v>10249827.9</v>
      </c>
      <c r="N408" s="3">
        <v>56782000</v>
      </c>
      <c r="O408" s="3">
        <v>68628000</v>
      </c>
      <c r="P408" s="3">
        <v>1574000</v>
      </c>
      <c r="Q408" s="3">
        <v>0.97674167832371594</v>
      </c>
      <c r="R408" s="3">
        <v>18.0442111726855</v>
      </c>
      <c r="S408" s="3">
        <v>0.82738823803695305</v>
      </c>
      <c r="T408" s="3">
        <v>2.2935245089467898E-2</v>
      </c>
      <c r="U408" s="3">
        <v>1993</v>
      </c>
      <c r="V408" s="3">
        <v>31</v>
      </c>
      <c r="W408" s="3">
        <v>1</v>
      </c>
      <c r="X408" s="3" t="s">
        <v>465</v>
      </c>
      <c r="Y408" s="4" t="s">
        <v>468</v>
      </c>
      <c r="Z408" s="3" t="s">
        <v>34</v>
      </c>
      <c r="AA408" s="5">
        <f t="shared" si="18"/>
        <v>0.97674167832371594</v>
      </c>
      <c r="AB408" s="5">
        <f t="shared" si="19"/>
        <v>0.82738823803695305</v>
      </c>
      <c r="AC408" s="5">
        <f t="shared" si="20"/>
        <v>2.2935245089467898E-2</v>
      </c>
    </row>
    <row r="409" spans="1:29" ht="15" customHeight="1" x14ac:dyDescent="0.3">
      <c r="A409" s="3">
        <v>475</v>
      </c>
      <c r="B409" s="3">
        <v>95</v>
      </c>
      <c r="C409" s="3" t="s">
        <v>463</v>
      </c>
      <c r="D409" s="4" t="s">
        <v>464</v>
      </c>
      <c r="E409" s="3" t="s">
        <v>31</v>
      </c>
      <c r="F409" s="3">
        <v>2025</v>
      </c>
      <c r="G409" s="3">
        <v>1</v>
      </c>
      <c r="H409" s="3">
        <v>0</v>
      </c>
      <c r="I409" s="3">
        <v>5</v>
      </c>
      <c r="J409" s="3">
        <v>0</v>
      </c>
      <c r="K409" s="3">
        <v>5993000000</v>
      </c>
      <c r="L409" s="3">
        <v>3.7092999999999998</v>
      </c>
      <c r="M409" s="3">
        <v>22229834.899999999</v>
      </c>
      <c r="N409" s="3">
        <v>53881000</v>
      </c>
      <c r="O409" s="3">
        <v>67733000</v>
      </c>
      <c r="P409" s="3">
        <v>2906000</v>
      </c>
      <c r="Q409" s="3">
        <v>1.1236891160881699</v>
      </c>
      <c r="R409" s="3">
        <v>18.0310840637285</v>
      </c>
      <c r="S409" s="3">
        <v>0.79549111954291096</v>
      </c>
      <c r="T409" s="3">
        <v>4.29037544476105E-2</v>
      </c>
      <c r="U409" s="3">
        <v>1993</v>
      </c>
      <c r="V409" s="3">
        <v>32</v>
      </c>
      <c r="W409" s="3">
        <v>1</v>
      </c>
      <c r="X409" s="3" t="s">
        <v>465</v>
      </c>
      <c r="Y409" s="4" t="s">
        <v>468</v>
      </c>
      <c r="Z409" s="3" t="s">
        <v>34</v>
      </c>
      <c r="AA409" s="5">
        <f t="shared" si="18"/>
        <v>1.1236891160881699</v>
      </c>
      <c r="AB409" s="5">
        <f t="shared" si="19"/>
        <v>0.79549111954291096</v>
      </c>
      <c r="AC409" s="5">
        <f t="shared" si="20"/>
        <v>4.29037544476105E-2</v>
      </c>
    </row>
    <row r="410" spans="1:29" ht="15" customHeight="1" x14ac:dyDescent="0.3">
      <c r="A410" s="3">
        <v>481</v>
      </c>
      <c r="B410" s="3">
        <v>97</v>
      </c>
      <c r="C410" s="3" t="s">
        <v>469</v>
      </c>
      <c r="D410" s="4" t="s">
        <v>470</v>
      </c>
      <c r="E410" s="3" t="s">
        <v>41</v>
      </c>
      <c r="F410" s="3">
        <v>2021</v>
      </c>
      <c r="G410" s="3">
        <v>0</v>
      </c>
      <c r="H410" s="3">
        <v>0</v>
      </c>
      <c r="I410" s="3">
        <v>0</v>
      </c>
      <c r="J410" s="3">
        <v>0</v>
      </c>
      <c r="K410" s="3">
        <v>5632000000</v>
      </c>
      <c r="L410" s="3">
        <v>0.2</v>
      </c>
      <c r="M410" s="3">
        <v>1126400</v>
      </c>
      <c r="N410" s="3">
        <v>828560</v>
      </c>
      <c r="O410" s="3">
        <v>3484000</v>
      </c>
      <c r="P410" s="3">
        <v>-91930</v>
      </c>
      <c r="Q410" s="3">
        <v>0.56112514351320297</v>
      </c>
      <c r="R410" s="3">
        <v>15.0636916169545</v>
      </c>
      <c r="S410" s="3">
        <v>0.237818599311137</v>
      </c>
      <c r="T410" s="3">
        <v>-2.6386337543054E-2</v>
      </c>
      <c r="U410" s="3">
        <v>2000</v>
      </c>
      <c r="V410" s="3">
        <v>21</v>
      </c>
      <c r="W410" s="3">
        <v>0</v>
      </c>
      <c r="X410" s="3" t="s">
        <v>471</v>
      </c>
      <c r="Y410" s="4" t="s">
        <v>472</v>
      </c>
      <c r="Z410" s="3" t="s">
        <v>34</v>
      </c>
      <c r="AA410" s="5">
        <f t="shared" si="18"/>
        <v>0.56112514351320297</v>
      </c>
      <c r="AB410" s="5">
        <f t="shared" si="19"/>
        <v>0.237818599311137</v>
      </c>
      <c r="AC410" s="5">
        <f t="shared" si="20"/>
        <v>-2.6386337543054E-2</v>
      </c>
    </row>
    <row r="411" spans="1:29" ht="15" customHeight="1" x14ac:dyDescent="0.3">
      <c r="A411" s="3">
        <v>482</v>
      </c>
      <c r="B411" s="3">
        <v>97</v>
      </c>
      <c r="C411" s="3" t="s">
        <v>469</v>
      </c>
      <c r="D411" s="4" t="s">
        <v>470</v>
      </c>
      <c r="E411" s="3" t="s">
        <v>41</v>
      </c>
      <c r="F411" s="3">
        <v>2022</v>
      </c>
      <c r="G411" s="3">
        <v>0</v>
      </c>
      <c r="H411" s="3">
        <v>0</v>
      </c>
      <c r="I411" s="3">
        <v>0</v>
      </c>
      <c r="J411" s="3">
        <v>0</v>
      </c>
      <c r="K411" s="3">
        <v>5632000000</v>
      </c>
      <c r="L411" s="3">
        <v>0.22</v>
      </c>
      <c r="M411" s="3">
        <v>1239040</v>
      </c>
      <c r="N411" s="3">
        <v>843060</v>
      </c>
      <c r="O411" s="3">
        <v>3457000</v>
      </c>
      <c r="P411" s="3">
        <v>-40880</v>
      </c>
      <c r="Q411" s="3">
        <v>0.60228521839745397</v>
      </c>
      <c r="R411" s="3">
        <v>15.055911718903801</v>
      </c>
      <c r="S411" s="3">
        <v>0.243870407868094</v>
      </c>
      <c r="T411" s="3">
        <v>-1.1825282036447801E-2</v>
      </c>
      <c r="U411" s="3">
        <v>2000</v>
      </c>
      <c r="V411" s="3">
        <v>22</v>
      </c>
      <c r="W411" s="3">
        <v>0</v>
      </c>
      <c r="X411" s="3" t="s">
        <v>471</v>
      </c>
      <c r="Y411" s="4" t="s">
        <v>473</v>
      </c>
      <c r="Z411" s="3" t="s">
        <v>34</v>
      </c>
      <c r="AA411" s="5">
        <f t="shared" si="18"/>
        <v>0.60228521839745397</v>
      </c>
      <c r="AB411" s="5">
        <f t="shared" si="19"/>
        <v>0.243870407868094</v>
      </c>
      <c r="AC411" s="5">
        <f t="shared" si="20"/>
        <v>-1.1825282036447801E-2</v>
      </c>
    </row>
    <row r="412" spans="1:29" ht="15" customHeight="1" x14ac:dyDescent="0.3">
      <c r="A412" s="3">
        <v>483</v>
      </c>
      <c r="B412" s="3">
        <v>97</v>
      </c>
      <c r="C412" s="3" t="s">
        <v>469</v>
      </c>
      <c r="D412" s="4" t="s">
        <v>470</v>
      </c>
      <c r="E412" s="3" t="s">
        <v>41</v>
      </c>
      <c r="F412" s="3">
        <v>2023</v>
      </c>
      <c r="G412" s="3">
        <v>1</v>
      </c>
      <c r="H412" s="3">
        <v>0</v>
      </c>
      <c r="I412" s="3">
        <v>0</v>
      </c>
      <c r="J412" s="3">
        <v>0</v>
      </c>
      <c r="K412" s="3">
        <v>5632000000</v>
      </c>
      <c r="L412" s="3">
        <v>0.74</v>
      </c>
      <c r="M412" s="3">
        <v>4167680</v>
      </c>
      <c r="N412" s="3">
        <v>909880</v>
      </c>
      <c r="O412" s="3">
        <v>3329000</v>
      </c>
      <c r="P412" s="3">
        <v>-187520</v>
      </c>
      <c r="Q412" s="3">
        <v>1.5252508260738999</v>
      </c>
      <c r="R412" s="3">
        <v>15.0181825165572</v>
      </c>
      <c r="S412" s="3">
        <v>0.27331931510964302</v>
      </c>
      <c r="T412" s="3">
        <v>-5.6329227996395302E-2</v>
      </c>
      <c r="U412" s="3">
        <v>2000</v>
      </c>
      <c r="V412" s="3">
        <v>23</v>
      </c>
      <c r="W412" s="3">
        <v>0</v>
      </c>
      <c r="X412" s="3" t="s">
        <v>471</v>
      </c>
      <c r="Y412" s="4" t="s">
        <v>474</v>
      </c>
      <c r="Z412" s="3" t="s">
        <v>34</v>
      </c>
      <c r="AA412" s="5">
        <f t="shared" si="18"/>
        <v>1.5252508260738999</v>
      </c>
      <c r="AB412" s="5">
        <f t="shared" si="19"/>
        <v>0.27331931510964302</v>
      </c>
      <c r="AC412" s="5">
        <f t="shared" si="20"/>
        <v>-5.6329227996395302E-2</v>
      </c>
    </row>
    <row r="413" spans="1:29" ht="15" customHeight="1" x14ac:dyDescent="0.3">
      <c r="A413" s="3">
        <v>484</v>
      </c>
      <c r="B413" s="3">
        <v>97</v>
      </c>
      <c r="C413" s="3" t="s">
        <v>469</v>
      </c>
      <c r="D413" s="4" t="s">
        <v>470</v>
      </c>
      <c r="E413" s="3" t="s">
        <v>41</v>
      </c>
      <c r="F413" s="3">
        <v>2024</v>
      </c>
      <c r="G413" s="3">
        <v>1</v>
      </c>
      <c r="H413" s="3">
        <v>0</v>
      </c>
      <c r="I413" s="3">
        <v>0</v>
      </c>
      <c r="J413" s="3">
        <v>0</v>
      </c>
      <c r="K413" s="3">
        <v>5632000000</v>
      </c>
      <c r="L413" s="3">
        <v>0.63</v>
      </c>
      <c r="M413" s="3">
        <v>3548160</v>
      </c>
      <c r="N413" s="3">
        <v>926890</v>
      </c>
      <c r="O413" s="3">
        <v>4838000</v>
      </c>
      <c r="P413" s="3">
        <v>-121030</v>
      </c>
      <c r="Q413" s="3">
        <v>0.92497933030177804</v>
      </c>
      <c r="R413" s="3">
        <v>15.392011970152099</v>
      </c>
      <c r="S413" s="3">
        <v>0.19158536585365901</v>
      </c>
      <c r="T413" s="3">
        <v>-2.5016535758577901E-2</v>
      </c>
      <c r="U413" s="3">
        <v>2000</v>
      </c>
      <c r="V413" s="3">
        <v>24</v>
      </c>
      <c r="W413" s="3">
        <v>0</v>
      </c>
      <c r="X413" s="3" t="s">
        <v>471</v>
      </c>
      <c r="Y413" s="4" t="s">
        <v>475</v>
      </c>
      <c r="Z413" s="3" t="s">
        <v>34</v>
      </c>
      <c r="AA413" s="5">
        <f t="shared" si="18"/>
        <v>0.92497933030177804</v>
      </c>
      <c r="AB413" s="5">
        <f t="shared" si="19"/>
        <v>0.19158536585365901</v>
      </c>
      <c r="AC413" s="5">
        <f t="shared" si="20"/>
        <v>-2.5016535758577901E-2</v>
      </c>
    </row>
    <row r="414" spans="1:29" ht="15" customHeight="1" x14ac:dyDescent="0.3">
      <c r="A414" s="3">
        <v>485</v>
      </c>
      <c r="B414" s="3">
        <v>97</v>
      </c>
      <c r="C414" s="3" t="s">
        <v>469</v>
      </c>
      <c r="D414" s="4" t="s">
        <v>470</v>
      </c>
      <c r="E414" s="3" t="s">
        <v>41</v>
      </c>
      <c r="F414" s="3">
        <v>2025</v>
      </c>
      <c r="G414" s="3">
        <v>1</v>
      </c>
      <c r="H414" s="3">
        <v>0</v>
      </c>
      <c r="I414" s="3">
        <v>0</v>
      </c>
      <c r="J414" s="3">
        <v>0</v>
      </c>
      <c r="K414" s="3">
        <v>5632000000</v>
      </c>
      <c r="L414" s="3">
        <v>0.76</v>
      </c>
      <c r="M414" s="3">
        <v>4280320</v>
      </c>
      <c r="N414" s="3">
        <v>852560</v>
      </c>
      <c r="O414" s="3">
        <v>4448000</v>
      </c>
      <c r="P414" s="3">
        <v>-166790</v>
      </c>
      <c r="Q414" s="3">
        <v>1.15397482014388</v>
      </c>
      <c r="R414" s="3">
        <v>15.3079651149126</v>
      </c>
      <c r="S414" s="3">
        <v>0.191672661870504</v>
      </c>
      <c r="T414" s="3">
        <v>-3.7497751798561199E-2</v>
      </c>
      <c r="U414" s="3">
        <v>2000</v>
      </c>
      <c r="V414" s="3">
        <v>25</v>
      </c>
      <c r="W414" s="3">
        <v>0</v>
      </c>
      <c r="X414" s="3" t="s">
        <v>471</v>
      </c>
      <c r="Y414" s="4" t="s">
        <v>476</v>
      </c>
      <c r="Z414" s="3" t="s">
        <v>34</v>
      </c>
      <c r="AA414" s="5">
        <f t="shared" si="18"/>
        <v>1.15397482014388</v>
      </c>
      <c r="AB414" s="5">
        <f t="shared" si="19"/>
        <v>0.191672661870504</v>
      </c>
      <c r="AC414" s="5">
        <f t="shared" si="20"/>
        <v>-3.7497751798561199E-2</v>
      </c>
    </row>
    <row r="415" spans="1:29" ht="15" customHeight="1" x14ac:dyDescent="0.3">
      <c r="A415" s="3">
        <v>486</v>
      </c>
      <c r="B415" s="3">
        <v>98</v>
      </c>
      <c r="C415" s="3" t="s">
        <v>477</v>
      </c>
      <c r="D415" s="4" t="s">
        <v>478</v>
      </c>
      <c r="E415" s="3" t="s">
        <v>99</v>
      </c>
      <c r="F415" s="3">
        <v>2021</v>
      </c>
      <c r="G415" s="3">
        <v>0</v>
      </c>
      <c r="H415" s="3">
        <v>0</v>
      </c>
      <c r="I415" s="3">
        <v>15</v>
      </c>
      <c r="J415" s="3">
        <v>6.6666666666666696</v>
      </c>
      <c r="K415" s="3">
        <v>14590000000</v>
      </c>
      <c r="L415" s="3">
        <v>3.77</v>
      </c>
      <c r="M415" s="3">
        <v>55004300</v>
      </c>
      <c r="N415" s="3">
        <v>1124996000</v>
      </c>
      <c r="O415" s="3">
        <v>998051000</v>
      </c>
      <c r="P415" s="3">
        <v>35817000</v>
      </c>
      <c r="Q415" s="3">
        <v>1.1823046116881799</v>
      </c>
      <c r="R415" s="3">
        <v>20.721314935174501</v>
      </c>
      <c r="S415" s="3">
        <v>1.1271928989600699</v>
      </c>
      <c r="T415" s="3">
        <v>3.5886943653180098E-2</v>
      </c>
      <c r="U415" s="3">
        <v>1956</v>
      </c>
      <c r="V415" s="3">
        <v>65</v>
      </c>
      <c r="W415" s="3">
        <v>1</v>
      </c>
      <c r="X415" s="3" t="s">
        <v>479</v>
      </c>
      <c r="Y415" s="4" t="s">
        <v>480</v>
      </c>
      <c r="Z415" s="3" t="s">
        <v>34</v>
      </c>
      <c r="AA415" s="5">
        <f t="shared" si="18"/>
        <v>1.1823046116881799</v>
      </c>
      <c r="AB415" s="5">
        <f t="shared" si="19"/>
        <v>1.1271928989600699</v>
      </c>
      <c r="AC415" s="5">
        <f t="shared" si="20"/>
        <v>3.5886943653180098E-2</v>
      </c>
    </row>
    <row r="416" spans="1:29" ht="15" customHeight="1" x14ac:dyDescent="0.3">
      <c r="A416" s="3">
        <v>487</v>
      </c>
      <c r="B416" s="3">
        <v>98</v>
      </c>
      <c r="C416" s="3" t="s">
        <v>477</v>
      </c>
      <c r="D416" s="4" t="s">
        <v>478</v>
      </c>
      <c r="E416" s="3" t="s">
        <v>99</v>
      </c>
      <c r="F416" s="3">
        <v>2022</v>
      </c>
      <c r="G416" s="3">
        <v>0</v>
      </c>
      <c r="H416" s="3">
        <v>0</v>
      </c>
      <c r="I416" s="3">
        <v>15</v>
      </c>
      <c r="J416" s="3">
        <v>6.6666666666666696</v>
      </c>
      <c r="K416" s="3">
        <v>14590000000</v>
      </c>
      <c r="L416" s="3">
        <v>3.34</v>
      </c>
      <c r="M416" s="3">
        <v>48730600</v>
      </c>
      <c r="N416" s="3">
        <v>1449536000</v>
      </c>
      <c r="O416" s="3">
        <v>1252330000</v>
      </c>
      <c r="P416" s="3">
        <v>-78719000</v>
      </c>
      <c r="Q416" s="3">
        <v>1.1963832216748</v>
      </c>
      <c r="R416" s="3">
        <v>20.948271653168401</v>
      </c>
      <c r="S416" s="3">
        <v>1.1574712735461099</v>
      </c>
      <c r="T416" s="3">
        <v>-6.2858032627182897E-2</v>
      </c>
      <c r="U416" s="3">
        <v>1956</v>
      </c>
      <c r="V416" s="3">
        <v>66</v>
      </c>
      <c r="W416" s="3">
        <v>0</v>
      </c>
      <c r="X416" s="3" t="s">
        <v>479</v>
      </c>
      <c r="Y416" s="4" t="s">
        <v>481</v>
      </c>
      <c r="Z416" s="3" t="s">
        <v>34</v>
      </c>
      <c r="AA416" s="5">
        <f t="shared" si="18"/>
        <v>1.1963832216748</v>
      </c>
      <c r="AB416" s="5">
        <f t="shared" si="19"/>
        <v>1.1574712735461099</v>
      </c>
      <c r="AC416" s="5">
        <f t="shared" si="20"/>
        <v>-6.2858032627182897E-2</v>
      </c>
    </row>
    <row r="417" spans="1:29" ht="15" customHeight="1" x14ac:dyDescent="0.3">
      <c r="A417" s="3">
        <v>488</v>
      </c>
      <c r="B417" s="3">
        <v>98</v>
      </c>
      <c r="C417" s="3" t="s">
        <v>477</v>
      </c>
      <c r="D417" s="4" t="s">
        <v>478</v>
      </c>
      <c r="E417" s="3" t="s">
        <v>99</v>
      </c>
      <c r="F417" s="3">
        <v>2023</v>
      </c>
      <c r="G417" s="3">
        <v>1</v>
      </c>
      <c r="H417" s="3">
        <v>0</v>
      </c>
      <c r="I417" s="3">
        <v>15</v>
      </c>
      <c r="J417" s="3">
        <v>6.6666666666666696</v>
      </c>
      <c r="K417" s="3">
        <v>14590000000</v>
      </c>
      <c r="L417" s="3">
        <v>8.9499999999999993</v>
      </c>
      <c r="M417" s="3">
        <v>130580500</v>
      </c>
      <c r="N417" s="3">
        <v>2943297000</v>
      </c>
      <c r="O417" s="3">
        <v>2676118000</v>
      </c>
      <c r="P417" s="3">
        <v>61996000</v>
      </c>
      <c r="Q417" s="3">
        <v>1.1486330199191499</v>
      </c>
      <c r="R417" s="3">
        <v>21.707633073905399</v>
      </c>
      <c r="S417" s="3">
        <v>1.0998382732002101</v>
      </c>
      <c r="T417" s="3">
        <v>2.3166392513334601E-2</v>
      </c>
      <c r="U417" s="3">
        <v>1956</v>
      </c>
      <c r="V417" s="3">
        <v>67</v>
      </c>
      <c r="W417" s="3">
        <v>0</v>
      </c>
      <c r="X417" s="3" t="s">
        <v>479</v>
      </c>
      <c r="Y417" s="4" t="s">
        <v>482</v>
      </c>
      <c r="Z417" s="3" t="s">
        <v>34</v>
      </c>
      <c r="AA417" s="5">
        <f t="shared" si="18"/>
        <v>1.1486330199191499</v>
      </c>
      <c r="AB417" s="5">
        <f t="shared" si="19"/>
        <v>1.0998382732002101</v>
      </c>
      <c r="AC417" s="5">
        <f t="shared" si="20"/>
        <v>2.3166392513334601E-2</v>
      </c>
    </row>
    <row r="418" spans="1:29" ht="15" customHeight="1" x14ac:dyDescent="0.3">
      <c r="A418" s="3">
        <v>489</v>
      </c>
      <c r="B418" s="3">
        <v>98</v>
      </c>
      <c r="C418" s="3" t="s">
        <v>477</v>
      </c>
      <c r="D418" s="4" t="s">
        <v>478</v>
      </c>
      <c r="E418" s="3" t="s">
        <v>99</v>
      </c>
      <c r="F418" s="3">
        <v>2024</v>
      </c>
      <c r="G418" s="3">
        <v>1</v>
      </c>
      <c r="H418" s="3">
        <v>0</v>
      </c>
      <c r="I418" s="3">
        <v>65</v>
      </c>
      <c r="J418" s="3">
        <v>20</v>
      </c>
      <c r="K418" s="3">
        <v>13467000000</v>
      </c>
      <c r="L418" s="3">
        <v>60.93</v>
      </c>
      <c r="M418" s="3">
        <v>820544310</v>
      </c>
      <c r="N418" s="3">
        <v>6795139000</v>
      </c>
      <c r="O418" s="3">
        <v>6434159000</v>
      </c>
      <c r="P418" s="3">
        <v>224856000</v>
      </c>
      <c r="Q418" s="3">
        <v>1.1836330606688501</v>
      </c>
      <c r="R418" s="3">
        <v>22.584886977922899</v>
      </c>
      <c r="S418" s="3">
        <v>1.0561036803722099</v>
      </c>
      <c r="T418" s="3">
        <v>3.4947224648940102E-2</v>
      </c>
      <c r="U418" s="3">
        <v>1956</v>
      </c>
      <c r="V418" s="3">
        <v>68</v>
      </c>
      <c r="W418" s="3">
        <v>0</v>
      </c>
      <c r="X418" s="3" t="s">
        <v>479</v>
      </c>
      <c r="Y418" s="4" t="s">
        <v>483</v>
      </c>
      <c r="Z418" s="3" t="s">
        <v>34</v>
      </c>
      <c r="AA418" s="5">
        <f t="shared" si="18"/>
        <v>1.1836330606688501</v>
      </c>
      <c r="AB418" s="5">
        <f t="shared" si="19"/>
        <v>1.0561036803722099</v>
      </c>
      <c r="AC418" s="5">
        <f t="shared" si="20"/>
        <v>3.4947224648940102E-2</v>
      </c>
    </row>
    <row r="419" spans="1:29" ht="15" customHeight="1" x14ac:dyDescent="0.3">
      <c r="A419" s="3">
        <v>490</v>
      </c>
      <c r="B419" s="3">
        <v>98</v>
      </c>
      <c r="C419" s="3" t="s">
        <v>477</v>
      </c>
      <c r="D419" s="4" t="s">
        <v>478</v>
      </c>
      <c r="E419" s="3" t="s">
        <v>99</v>
      </c>
      <c r="F419" s="3">
        <v>2025</v>
      </c>
      <c r="G419" s="3">
        <v>1</v>
      </c>
      <c r="H419" s="3">
        <v>0</v>
      </c>
      <c r="I419" s="3">
        <v>65</v>
      </c>
      <c r="J419" s="3">
        <v>20</v>
      </c>
      <c r="K419" s="3">
        <v>14590000000</v>
      </c>
      <c r="L419" s="3">
        <v>40.200000000000003</v>
      </c>
      <c r="M419" s="3">
        <v>586518000</v>
      </c>
      <c r="N419" s="3">
        <v>7257906000</v>
      </c>
      <c r="O419" s="3">
        <v>6704080000</v>
      </c>
      <c r="P419" s="3">
        <v>244310000</v>
      </c>
      <c r="Q419" s="3">
        <v>1.17009701554874</v>
      </c>
      <c r="R419" s="3">
        <v>22.625982133229201</v>
      </c>
      <c r="S419" s="3">
        <v>1.08261029104665</v>
      </c>
      <c r="T419" s="3">
        <v>3.6441987565780799E-2</v>
      </c>
      <c r="U419" s="3">
        <v>1956</v>
      </c>
      <c r="V419" s="3">
        <v>69</v>
      </c>
      <c r="W419" s="3">
        <v>0</v>
      </c>
      <c r="X419" s="3" t="s">
        <v>479</v>
      </c>
      <c r="Y419" s="4" t="s">
        <v>484</v>
      </c>
      <c r="Z419" s="3" t="s">
        <v>34</v>
      </c>
      <c r="AA419" s="5">
        <f t="shared" si="18"/>
        <v>1.17009701554874</v>
      </c>
      <c r="AB419" s="5">
        <f t="shared" si="19"/>
        <v>1.08261029104665</v>
      </c>
      <c r="AC419" s="5">
        <f t="shared" si="20"/>
        <v>3.6441987565780799E-2</v>
      </c>
    </row>
    <row r="420" spans="1:29" ht="15" customHeight="1" x14ac:dyDescent="0.3">
      <c r="A420" s="3">
        <v>491</v>
      </c>
      <c r="B420" s="3">
        <v>99</v>
      </c>
      <c r="C420" s="3" t="s">
        <v>485</v>
      </c>
      <c r="D420" s="4" t="s">
        <v>486</v>
      </c>
      <c r="E420" s="3" t="s">
        <v>248</v>
      </c>
      <c r="F420" s="3">
        <v>2021</v>
      </c>
      <c r="G420" s="3">
        <v>0</v>
      </c>
      <c r="H420" s="3">
        <v>0</v>
      </c>
      <c r="I420" s="3">
        <v>45</v>
      </c>
      <c r="J420" s="3">
        <v>0</v>
      </c>
      <c r="K420" s="3">
        <v>953910000</v>
      </c>
      <c r="L420" s="3">
        <v>142.02000000000001</v>
      </c>
      <c r="M420" s="3">
        <v>135474298.19999999</v>
      </c>
      <c r="N420" s="3">
        <v>31720000</v>
      </c>
      <c r="O420" s="3">
        <v>65772000</v>
      </c>
      <c r="P420" s="3">
        <v>11539000</v>
      </c>
      <c r="Q420" s="3">
        <v>2.5420284954083798</v>
      </c>
      <c r="R420" s="3">
        <v>18.0017047738163</v>
      </c>
      <c r="S420" s="3">
        <v>0.482272091467494</v>
      </c>
      <c r="T420" s="3">
        <v>0.17543939670376499</v>
      </c>
      <c r="U420" s="3">
        <v>1979</v>
      </c>
      <c r="V420" s="3">
        <v>42</v>
      </c>
      <c r="W420" s="3">
        <v>1</v>
      </c>
      <c r="X420" s="3" t="s">
        <v>50</v>
      </c>
      <c r="Y420" s="4" t="s">
        <v>487</v>
      </c>
      <c r="Z420" s="3" t="s">
        <v>34</v>
      </c>
      <c r="AA420" s="5">
        <f t="shared" si="18"/>
        <v>2.5420284954083798</v>
      </c>
      <c r="AB420" s="5">
        <f t="shared" si="19"/>
        <v>0.482272091467494</v>
      </c>
      <c r="AC420" s="5">
        <f t="shared" si="20"/>
        <v>0.17543939670376499</v>
      </c>
    </row>
    <row r="421" spans="1:29" ht="15" customHeight="1" x14ac:dyDescent="0.3">
      <c r="A421" s="3">
        <v>492</v>
      </c>
      <c r="B421" s="3">
        <v>99</v>
      </c>
      <c r="C421" s="3" t="s">
        <v>485</v>
      </c>
      <c r="D421" s="4" t="s">
        <v>486</v>
      </c>
      <c r="E421" s="3" t="s">
        <v>248</v>
      </c>
      <c r="F421" s="3">
        <v>2022</v>
      </c>
      <c r="G421" s="3">
        <v>0</v>
      </c>
      <c r="H421" s="3">
        <v>0</v>
      </c>
      <c r="I421" s="3">
        <v>45</v>
      </c>
      <c r="J421" s="3">
        <v>0</v>
      </c>
      <c r="K421" s="3">
        <v>953910000</v>
      </c>
      <c r="L421" s="3">
        <v>165.02</v>
      </c>
      <c r="M421" s="3">
        <v>157414228.19999999</v>
      </c>
      <c r="N421" s="3">
        <v>38464000</v>
      </c>
      <c r="O421" s="3">
        <v>72498000</v>
      </c>
      <c r="P421" s="3">
        <v>16231000</v>
      </c>
      <c r="Q421" s="3">
        <v>2.70184319843306</v>
      </c>
      <c r="R421" s="3">
        <v>18.0990695332375</v>
      </c>
      <c r="S421" s="3">
        <v>0.53055256696736497</v>
      </c>
      <c r="T421" s="3">
        <v>0.22388203812519</v>
      </c>
      <c r="U421" s="3">
        <v>1979</v>
      </c>
      <c r="V421" s="3">
        <v>43</v>
      </c>
      <c r="W421" s="3">
        <v>1</v>
      </c>
      <c r="X421" s="3" t="s">
        <v>50</v>
      </c>
      <c r="Y421" s="4" t="s">
        <v>488</v>
      </c>
      <c r="Z421" s="3" t="s">
        <v>34</v>
      </c>
      <c r="AA421" s="5">
        <f t="shared" si="18"/>
        <v>2.70184319843306</v>
      </c>
      <c r="AB421" s="5">
        <f t="shared" si="19"/>
        <v>0.53055256696736497</v>
      </c>
      <c r="AC421" s="5">
        <f t="shared" si="20"/>
        <v>0.22388203812519</v>
      </c>
    </row>
    <row r="422" spans="1:29" ht="15" customHeight="1" x14ac:dyDescent="0.3">
      <c r="A422" s="3">
        <v>493</v>
      </c>
      <c r="B422" s="3">
        <v>99</v>
      </c>
      <c r="C422" s="3" t="s">
        <v>485</v>
      </c>
      <c r="D422" s="4" t="s">
        <v>486</v>
      </c>
      <c r="E422" s="3" t="s">
        <v>248</v>
      </c>
      <c r="F422" s="3">
        <v>2023</v>
      </c>
      <c r="G422" s="3">
        <v>1</v>
      </c>
      <c r="H422" s="3">
        <v>0</v>
      </c>
      <c r="I422" s="3">
        <v>45</v>
      </c>
      <c r="J422" s="3">
        <v>0</v>
      </c>
      <c r="K422" s="3">
        <v>953910000</v>
      </c>
      <c r="L422" s="3">
        <v>260.02999999999997</v>
      </c>
      <c r="M422" s="3">
        <v>248045217.30000001</v>
      </c>
      <c r="N422" s="3">
        <v>56226000</v>
      </c>
      <c r="O422" s="3">
        <v>95100000</v>
      </c>
      <c r="P422" s="3">
        <v>20647000</v>
      </c>
      <c r="Q422" s="3">
        <v>3.1994870378548899</v>
      </c>
      <c r="R422" s="3">
        <v>18.3704395275156</v>
      </c>
      <c r="S422" s="3">
        <v>0.59123028391167198</v>
      </c>
      <c r="T422" s="3">
        <v>0.217108307045216</v>
      </c>
      <c r="U422" s="3">
        <v>1979</v>
      </c>
      <c r="V422" s="3">
        <v>44</v>
      </c>
      <c r="W422" s="3">
        <v>1</v>
      </c>
      <c r="X422" s="3" t="s">
        <v>50</v>
      </c>
      <c r="Y422" s="4" t="s">
        <v>489</v>
      </c>
      <c r="Z422" s="3" t="s">
        <v>34</v>
      </c>
      <c r="AA422" s="5">
        <f t="shared" si="18"/>
        <v>3.1994870378548899</v>
      </c>
      <c r="AB422" s="5">
        <f t="shared" si="19"/>
        <v>0.59123028391167198</v>
      </c>
      <c r="AC422" s="5">
        <f t="shared" si="20"/>
        <v>0.217108307045216</v>
      </c>
    </row>
    <row r="423" spans="1:29" ht="15" customHeight="1" x14ac:dyDescent="0.3">
      <c r="A423" s="3">
        <v>494</v>
      </c>
      <c r="B423" s="3">
        <v>99</v>
      </c>
      <c r="C423" s="3" t="s">
        <v>485</v>
      </c>
      <c r="D423" s="4" t="s">
        <v>486</v>
      </c>
      <c r="E423" s="3" t="s">
        <v>248</v>
      </c>
      <c r="F423" s="3">
        <v>2024</v>
      </c>
      <c r="G423" s="3">
        <v>1</v>
      </c>
      <c r="H423" s="3">
        <v>0</v>
      </c>
      <c r="I423" s="3">
        <v>45</v>
      </c>
      <c r="J423" s="3">
        <v>0</v>
      </c>
      <c r="K423" s="3">
        <v>953910000</v>
      </c>
      <c r="L423" s="3">
        <v>444.05</v>
      </c>
      <c r="M423" s="3">
        <v>423583735.5</v>
      </c>
      <c r="N423" s="3">
        <v>61560000</v>
      </c>
      <c r="O423" s="3">
        <v>117038000</v>
      </c>
      <c r="P423" s="3">
        <v>39958000</v>
      </c>
      <c r="Q423" s="3">
        <v>4.1451813556280896</v>
      </c>
      <c r="R423" s="3">
        <v>18.578009226355199</v>
      </c>
      <c r="S423" s="3">
        <v>0.52598301406380799</v>
      </c>
      <c r="T423" s="3">
        <v>0.341410482065654</v>
      </c>
      <c r="U423" s="3">
        <v>1979</v>
      </c>
      <c r="V423" s="3">
        <v>45</v>
      </c>
      <c r="W423" s="3">
        <v>1</v>
      </c>
      <c r="X423" s="3" t="s">
        <v>50</v>
      </c>
      <c r="Y423" s="4" t="s">
        <v>490</v>
      </c>
      <c r="Z423" s="3" t="s">
        <v>34</v>
      </c>
      <c r="AA423" s="5">
        <f t="shared" si="18"/>
        <v>4.1451813556280896</v>
      </c>
      <c r="AB423" s="5">
        <f t="shared" si="19"/>
        <v>0.52598301406380799</v>
      </c>
      <c r="AC423" s="5">
        <f t="shared" si="20"/>
        <v>0.341410482065654</v>
      </c>
    </row>
    <row r="424" spans="1:29" ht="15" customHeight="1" x14ac:dyDescent="0.3">
      <c r="A424" s="3">
        <v>495</v>
      </c>
      <c r="B424" s="3">
        <v>99</v>
      </c>
      <c r="C424" s="3" t="s">
        <v>485</v>
      </c>
      <c r="D424" s="4" t="s">
        <v>486</v>
      </c>
      <c r="E424" s="3" t="s">
        <v>248</v>
      </c>
      <c r="F424" s="3">
        <v>2025</v>
      </c>
      <c r="G424" s="3">
        <v>1</v>
      </c>
      <c r="H424" s="3">
        <v>0</v>
      </c>
      <c r="I424" s="3">
        <v>45</v>
      </c>
      <c r="J424" s="3">
        <v>0</v>
      </c>
      <c r="K424" s="3">
        <v>953910000</v>
      </c>
      <c r="L424" s="3">
        <v>1090.24</v>
      </c>
      <c r="M424" s="3">
        <v>1039990838.4</v>
      </c>
      <c r="N424" s="3">
        <v>90043000</v>
      </c>
      <c r="O424" s="3">
        <v>138853000</v>
      </c>
      <c r="P424" s="3">
        <v>57952000</v>
      </c>
      <c r="Q424" s="3">
        <v>8.1383465852376293</v>
      </c>
      <c r="R424" s="3">
        <v>18.748926377533401</v>
      </c>
      <c r="S424" s="3">
        <v>0.64847716649982401</v>
      </c>
      <c r="T424" s="3">
        <v>0.417362246404471</v>
      </c>
      <c r="U424" s="3">
        <v>1979</v>
      </c>
      <c r="V424" s="3">
        <v>46</v>
      </c>
      <c r="W424" s="3">
        <v>1</v>
      </c>
      <c r="X424" s="3" t="s">
        <v>50</v>
      </c>
      <c r="Y424" s="4" t="s">
        <v>491</v>
      </c>
      <c r="Z424" s="3" t="s">
        <v>34</v>
      </c>
      <c r="AA424" s="5">
        <f t="shared" si="18"/>
        <v>8.1383465852376293</v>
      </c>
      <c r="AB424" s="5">
        <f t="shared" si="19"/>
        <v>0.64847716649982401</v>
      </c>
      <c r="AC424" s="5">
        <f t="shared" si="20"/>
        <v>0.417362246404471</v>
      </c>
    </row>
    <row r="425" spans="1:29" ht="15" customHeight="1" x14ac:dyDescent="0.3">
      <c r="A425" s="3">
        <v>496</v>
      </c>
      <c r="B425" s="3">
        <v>100</v>
      </c>
      <c r="C425" s="3" t="s">
        <v>492</v>
      </c>
      <c r="D425" s="4" t="s">
        <v>493</v>
      </c>
      <c r="E425" s="3" t="s">
        <v>90</v>
      </c>
      <c r="F425" s="3">
        <v>2021</v>
      </c>
      <c r="G425" s="3">
        <v>0</v>
      </c>
      <c r="H425" s="3">
        <v>0</v>
      </c>
      <c r="I425" s="3">
        <v>0</v>
      </c>
      <c r="J425" s="3">
        <v>0</v>
      </c>
      <c r="K425" s="3">
        <v>2942000000</v>
      </c>
      <c r="L425" s="3">
        <v>0.2</v>
      </c>
      <c r="M425" s="3">
        <v>588400</v>
      </c>
      <c r="N425" s="3">
        <v>15881000</v>
      </c>
      <c r="O425" s="3">
        <v>4711000</v>
      </c>
      <c r="P425" s="3">
        <v>-1616000</v>
      </c>
      <c r="Q425" s="3">
        <v>3.4959456590957299</v>
      </c>
      <c r="R425" s="3">
        <v>15.3654107576822</v>
      </c>
      <c r="S425" s="3">
        <v>3.3710464869454499</v>
      </c>
      <c r="T425" s="3">
        <v>-0.34302695818297602</v>
      </c>
      <c r="U425" s="3">
        <v>1988</v>
      </c>
      <c r="V425" s="3">
        <v>33</v>
      </c>
      <c r="W425" s="3">
        <v>0</v>
      </c>
      <c r="X425" s="3" t="s">
        <v>494</v>
      </c>
      <c r="Y425" s="4" t="s">
        <v>495</v>
      </c>
      <c r="Z425" s="3" t="s">
        <v>34</v>
      </c>
      <c r="AA425" s="5">
        <f t="shared" si="18"/>
        <v>3.4959456590957299</v>
      </c>
      <c r="AB425" s="5">
        <f t="shared" si="19"/>
        <v>3.3537437882137295</v>
      </c>
      <c r="AC425" s="5">
        <f t="shared" si="20"/>
        <v>-0.34302695818297602</v>
      </c>
    </row>
    <row r="426" spans="1:29" ht="15" customHeight="1" x14ac:dyDescent="0.3">
      <c r="A426" s="3">
        <v>497</v>
      </c>
      <c r="B426" s="3">
        <v>100</v>
      </c>
      <c r="C426" s="3" t="s">
        <v>492</v>
      </c>
      <c r="D426" s="4" t="s">
        <v>493</v>
      </c>
      <c r="E426" s="3" t="s">
        <v>90</v>
      </c>
      <c r="F426" s="3">
        <v>2022</v>
      </c>
      <c r="G426" s="3">
        <v>0</v>
      </c>
      <c r="H426" s="3">
        <v>0</v>
      </c>
      <c r="I426" s="3">
        <v>0</v>
      </c>
      <c r="J426" s="3">
        <v>0</v>
      </c>
      <c r="K426" s="3">
        <v>2942000000</v>
      </c>
      <c r="L426" s="3">
        <v>0.2</v>
      </c>
      <c r="M426" s="3">
        <v>588400</v>
      </c>
      <c r="N426" s="3">
        <v>17772000</v>
      </c>
      <c r="O426" s="3">
        <v>4673000</v>
      </c>
      <c r="P426" s="3">
        <v>-1794000</v>
      </c>
      <c r="Q426" s="3">
        <v>3.9290391611384599</v>
      </c>
      <c r="R426" s="3">
        <v>15.3573118216826</v>
      </c>
      <c r="S426" s="3">
        <v>3.8031243312647098</v>
      </c>
      <c r="T426" s="3">
        <v>-0.38390755403381099</v>
      </c>
      <c r="U426" s="3">
        <v>1988</v>
      </c>
      <c r="V426" s="3">
        <v>34</v>
      </c>
      <c r="W426" s="3">
        <v>0</v>
      </c>
      <c r="X426" s="3" t="s">
        <v>494</v>
      </c>
      <c r="Y426" s="4" t="s">
        <v>496</v>
      </c>
      <c r="Z426" s="3" t="s">
        <v>34</v>
      </c>
      <c r="AA426" s="5">
        <f t="shared" si="18"/>
        <v>3.9290391611384599</v>
      </c>
      <c r="AB426" s="5">
        <f t="shared" si="19"/>
        <v>3.3537437882137295</v>
      </c>
      <c r="AC426" s="5">
        <f t="shared" si="20"/>
        <v>-0.38390755403381099</v>
      </c>
    </row>
    <row r="427" spans="1:29" ht="15" customHeight="1" x14ac:dyDescent="0.3">
      <c r="A427" s="3">
        <v>498</v>
      </c>
      <c r="B427" s="3">
        <v>100</v>
      </c>
      <c r="C427" s="3" t="s">
        <v>492</v>
      </c>
      <c r="D427" s="4" t="s">
        <v>493</v>
      </c>
      <c r="E427" s="3" t="s">
        <v>90</v>
      </c>
      <c r="F427" s="3">
        <v>2023</v>
      </c>
      <c r="G427" s="3">
        <v>1</v>
      </c>
      <c r="H427" s="3">
        <v>0</v>
      </c>
      <c r="I427" s="3">
        <v>0</v>
      </c>
      <c r="J427" s="3">
        <v>0</v>
      </c>
      <c r="K427" s="3">
        <v>2942000000</v>
      </c>
      <c r="L427" s="3">
        <v>0.76</v>
      </c>
      <c r="M427" s="3">
        <v>2235920</v>
      </c>
      <c r="N427" s="3">
        <v>5425000</v>
      </c>
      <c r="O427" s="3">
        <v>2875000</v>
      </c>
      <c r="P427" s="3">
        <v>6620</v>
      </c>
      <c r="Q427" s="3">
        <v>2.6646678260869598</v>
      </c>
      <c r="R427" s="3">
        <v>14.8715632322136</v>
      </c>
      <c r="S427" s="3">
        <v>1.88695652173913</v>
      </c>
      <c r="T427" s="3">
        <v>2.3026086956521698E-3</v>
      </c>
      <c r="U427" s="3">
        <v>1988</v>
      </c>
      <c r="V427" s="3">
        <v>35</v>
      </c>
      <c r="W427" s="3">
        <v>0</v>
      </c>
      <c r="X427" s="3" t="s">
        <v>494</v>
      </c>
      <c r="Y427" s="4" t="s">
        <v>497</v>
      </c>
      <c r="Z427" s="3" t="s">
        <v>34</v>
      </c>
      <c r="AA427" s="5">
        <f t="shared" si="18"/>
        <v>2.6646678260869598</v>
      </c>
      <c r="AB427" s="5">
        <f t="shared" si="19"/>
        <v>1.88695652173913</v>
      </c>
      <c r="AC427" s="5">
        <f t="shared" si="20"/>
        <v>2.3026086956521698E-3</v>
      </c>
    </row>
    <row r="428" spans="1:29" ht="15" customHeight="1" x14ac:dyDescent="0.3">
      <c r="A428" s="3">
        <v>499</v>
      </c>
      <c r="B428" s="3">
        <v>100</v>
      </c>
      <c r="C428" s="3" t="s">
        <v>492</v>
      </c>
      <c r="D428" s="4" t="s">
        <v>493</v>
      </c>
      <c r="E428" s="3" t="s">
        <v>90</v>
      </c>
      <c r="F428" s="3">
        <v>2024</v>
      </c>
      <c r="G428" s="3">
        <v>1</v>
      </c>
      <c r="H428" s="3">
        <v>0</v>
      </c>
      <c r="I428" s="3">
        <v>0</v>
      </c>
      <c r="J428" s="3">
        <v>0</v>
      </c>
      <c r="K428" s="3">
        <v>2942000000</v>
      </c>
      <c r="L428" s="3">
        <v>0.73</v>
      </c>
      <c r="M428" s="3">
        <v>2147660</v>
      </c>
      <c r="N428" s="3">
        <v>5507000</v>
      </c>
      <c r="O428" s="3">
        <v>2870000</v>
      </c>
      <c r="P428" s="3">
        <v>-79350</v>
      </c>
      <c r="Q428" s="3">
        <v>2.6671289198606298</v>
      </c>
      <c r="R428" s="3">
        <v>14.869822587735801</v>
      </c>
      <c r="S428" s="3">
        <v>1.9188153310104501</v>
      </c>
      <c r="T428" s="3">
        <v>-2.7648083623693399E-2</v>
      </c>
      <c r="U428" s="3">
        <v>1988</v>
      </c>
      <c r="V428" s="3">
        <v>36</v>
      </c>
      <c r="W428" s="3">
        <v>0</v>
      </c>
      <c r="X428" s="3" t="s">
        <v>494</v>
      </c>
      <c r="Y428" s="4" t="s">
        <v>498</v>
      </c>
      <c r="Z428" s="3" t="s">
        <v>34</v>
      </c>
      <c r="AA428" s="5">
        <f t="shared" si="18"/>
        <v>2.6671289198606298</v>
      </c>
      <c r="AB428" s="5">
        <f t="shared" si="19"/>
        <v>1.9188153310104501</v>
      </c>
      <c r="AC428" s="5">
        <f t="shared" si="20"/>
        <v>-2.7648083623693399E-2</v>
      </c>
    </row>
    <row r="429" spans="1:29" ht="15" customHeight="1" x14ac:dyDescent="0.3">
      <c r="A429" s="3">
        <v>500</v>
      </c>
      <c r="B429" s="3">
        <v>100</v>
      </c>
      <c r="C429" s="3" t="s">
        <v>492</v>
      </c>
      <c r="D429" s="4" t="s">
        <v>493</v>
      </c>
      <c r="E429" s="3" t="s">
        <v>90</v>
      </c>
      <c r="F429" s="3">
        <v>2025</v>
      </c>
      <c r="G429" s="3">
        <v>1</v>
      </c>
      <c r="H429" s="3">
        <v>0</v>
      </c>
      <c r="I429" s="3">
        <v>0</v>
      </c>
      <c r="J429" s="3">
        <v>0</v>
      </c>
      <c r="K429" s="3">
        <v>2942000000</v>
      </c>
      <c r="L429" s="3">
        <v>1.1299999999999999</v>
      </c>
      <c r="M429" s="3">
        <v>3324460</v>
      </c>
      <c r="N429" s="3">
        <v>5122000</v>
      </c>
      <c r="O429" s="3">
        <v>2431000</v>
      </c>
      <c r="P429" s="3">
        <v>-58920</v>
      </c>
      <c r="Q429" s="3">
        <v>3.4744796380090501</v>
      </c>
      <c r="R429" s="3">
        <v>14.7038132532983</v>
      </c>
      <c r="S429" s="3">
        <v>2.10695187165775</v>
      </c>
      <c r="T429" s="3">
        <v>-2.4236939531057201E-2</v>
      </c>
      <c r="U429" s="3">
        <v>1988</v>
      </c>
      <c r="V429" s="3">
        <v>37</v>
      </c>
      <c r="W429" s="3">
        <v>0</v>
      </c>
      <c r="X429" s="3" t="s">
        <v>494</v>
      </c>
      <c r="Y429" s="4" t="s">
        <v>499</v>
      </c>
      <c r="Z429" s="3" t="s">
        <v>34</v>
      </c>
      <c r="AA429" s="5">
        <f t="shared" si="18"/>
        <v>3.4744796380090501</v>
      </c>
      <c r="AB429" s="5">
        <f t="shared" si="19"/>
        <v>2.10695187165775</v>
      </c>
      <c r="AC429" s="5">
        <f t="shared" si="20"/>
        <v>-2.4236939531057201E-2</v>
      </c>
    </row>
    <row r="430" spans="1:29" ht="15" customHeight="1" x14ac:dyDescent="0.3">
      <c r="A430" s="3">
        <v>506</v>
      </c>
      <c r="B430" s="3">
        <v>102</v>
      </c>
      <c r="C430" s="3" t="s">
        <v>500</v>
      </c>
      <c r="D430" s="4" t="s">
        <v>501</v>
      </c>
      <c r="E430" s="3" t="s">
        <v>105</v>
      </c>
      <c r="F430" s="3">
        <v>2021</v>
      </c>
      <c r="G430" s="3">
        <v>0</v>
      </c>
      <c r="H430" s="3">
        <v>0</v>
      </c>
      <c r="I430" s="3">
        <v>0</v>
      </c>
      <c r="J430" s="3">
        <v>0</v>
      </c>
      <c r="K430" s="3">
        <v>123000000</v>
      </c>
      <c r="L430" s="3">
        <v>10</v>
      </c>
      <c r="M430" s="3">
        <v>1230000</v>
      </c>
      <c r="N430" s="3">
        <v>405250</v>
      </c>
      <c r="O430" s="3">
        <v>204940</v>
      </c>
      <c r="P430" s="3">
        <v>-22410</v>
      </c>
      <c r="Q430" s="3">
        <v>7.9791646335512798</v>
      </c>
      <c r="R430" s="3">
        <v>12.2304725323537</v>
      </c>
      <c r="S430" s="3">
        <v>1.97740802186006</v>
      </c>
      <c r="T430" s="3">
        <v>-0.10934907777886201</v>
      </c>
      <c r="U430" s="3">
        <v>1982</v>
      </c>
      <c r="V430" s="3">
        <v>39</v>
      </c>
      <c r="W430" s="3">
        <v>0</v>
      </c>
      <c r="X430" s="3" t="s">
        <v>471</v>
      </c>
      <c r="Y430" s="4" t="s">
        <v>502</v>
      </c>
      <c r="Z430" s="3" t="s">
        <v>108</v>
      </c>
      <c r="AA430" s="5">
        <f t="shared" si="18"/>
        <v>7.9791646335512798</v>
      </c>
      <c r="AB430" s="5">
        <f t="shared" si="19"/>
        <v>1.97740802186006</v>
      </c>
      <c r="AC430" s="5">
        <f t="shared" si="20"/>
        <v>-0.10934907777886201</v>
      </c>
    </row>
    <row r="431" spans="1:29" ht="15" customHeight="1" x14ac:dyDescent="0.3">
      <c r="A431" s="3">
        <v>507</v>
      </c>
      <c r="B431" s="3">
        <v>102</v>
      </c>
      <c r="C431" s="3" t="s">
        <v>500</v>
      </c>
      <c r="D431" s="4" t="s">
        <v>501</v>
      </c>
      <c r="E431" s="3" t="s">
        <v>105</v>
      </c>
      <c r="F431" s="3">
        <v>2022</v>
      </c>
      <c r="G431" s="3">
        <v>0</v>
      </c>
      <c r="H431" s="3">
        <v>0</v>
      </c>
      <c r="I431" s="3">
        <v>0</v>
      </c>
      <c r="J431" s="3">
        <v>0</v>
      </c>
      <c r="K431" s="3">
        <v>135330000</v>
      </c>
      <c r="L431" s="3">
        <v>9.0890000000000004</v>
      </c>
      <c r="M431" s="3">
        <v>1230014.3700000001</v>
      </c>
      <c r="N431" s="3">
        <v>415380</v>
      </c>
      <c r="O431" s="3">
        <v>195710</v>
      </c>
      <c r="P431" s="3">
        <v>-19370</v>
      </c>
      <c r="Q431" s="3">
        <v>8.4073086198967903</v>
      </c>
      <c r="R431" s="3">
        <v>12.184389250699001</v>
      </c>
      <c r="S431" s="3">
        <v>2.12242603852639</v>
      </c>
      <c r="T431" s="3">
        <v>-9.8972970211026495E-2</v>
      </c>
      <c r="U431" s="3">
        <v>1982</v>
      </c>
      <c r="V431" s="3">
        <v>40</v>
      </c>
      <c r="W431" s="3">
        <v>0</v>
      </c>
      <c r="X431" s="3" t="s">
        <v>471</v>
      </c>
      <c r="Y431" s="4" t="s">
        <v>503</v>
      </c>
      <c r="Z431" s="3" t="s">
        <v>108</v>
      </c>
      <c r="AA431" s="5">
        <f t="shared" si="18"/>
        <v>8.4073086198967903</v>
      </c>
      <c r="AB431" s="5">
        <f t="shared" si="19"/>
        <v>2.12242603852639</v>
      </c>
      <c r="AC431" s="5">
        <f t="shared" si="20"/>
        <v>-9.8972970211026495E-2</v>
      </c>
    </row>
    <row r="432" spans="1:29" ht="15" customHeight="1" x14ac:dyDescent="0.3">
      <c r="A432" s="3">
        <v>508</v>
      </c>
      <c r="B432" s="3">
        <v>102</v>
      </c>
      <c r="C432" s="3" t="s">
        <v>500</v>
      </c>
      <c r="D432" s="4" t="s">
        <v>501</v>
      </c>
      <c r="E432" s="3" t="s">
        <v>105</v>
      </c>
      <c r="F432" s="3">
        <v>2023</v>
      </c>
      <c r="G432" s="3">
        <v>1</v>
      </c>
      <c r="H432" s="3">
        <v>0</v>
      </c>
      <c r="I432" s="3">
        <v>0</v>
      </c>
      <c r="J432" s="3">
        <v>0</v>
      </c>
      <c r="K432" s="3">
        <v>123000000</v>
      </c>
      <c r="L432" s="3">
        <v>10</v>
      </c>
      <c r="M432" s="3">
        <v>1230000</v>
      </c>
      <c r="N432" s="3">
        <v>405870</v>
      </c>
      <c r="O432" s="3">
        <v>186670</v>
      </c>
      <c r="P432" s="3">
        <v>470</v>
      </c>
      <c r="Q432" s="3">
        <v>8.7634327958429292</v>
      </c>
      <c r="R432" s="3">
        <v>12.137097631026601</v>
      </c>
      <c r="S432" s="3">
        <v>2.17426474527241</v>
      </c>
      <c r="T432" s="3">
        <v>2.5178121819253202E-3</v>
      </c>
      <c r="U432" s="3">
        <v>1982</v>
      </c>
      <c r="V432" s="3">
        <v>41</v>
      </c>
      <c r="W432" s="3">
        <v>0</v>
      </c>
      <c r="X432" s="3" t="s">
        <v>471</v>
      </c>
      <c r="Y432" s="4" t="s">
        <v>504</v>
      </c>
      <c r="Z432" s="3" t="s">
        <v>108</v>
      </c>
      <c r="AA432" s="5">
        <f t="shared" si="18"/>
        <v>8.7634327958429292</v>
      </c>
      <c r="AB432" s="5">
        <f t="shared" si="19"/>
        <v>2.17426474527241</v>
      </c>
      <c r="AC432" s="5">
        <f t="shared" si="20"/>
        <v>2.5178121819253202E-3</v>
      </c>
    </row>
    <row r="433" spans="1:29" ht="15" customHeight="1" x14ac:dyDescent="0.3">
      <c r="A433" s="3">
        <v>509</v>
      </c>
      <c r="B433" s="3">
        <v>102</v>
      </c>
      <c r="C433" s="3" t="s">
        <v>500</v>
      </c>
      <c r="D433" s="4" t="s">
        <v>501</v>
      </c>
      <c r="E433" s="3" t="s">
        <v>105</v>
      </c>
      <c r="F433" s="3">
        <v>2024</v>
      </c>
      <c r="G433" s="3">
        <v>1</v>
      </c>
      <c r="H433" s="3">
        <v>0</v>
      </c>
      <c r="I433" s="3">
        <v>0</v>
      </c>
      <c r="J433" s="3">
        <v>0</v>
      </c>
      <c r="K433" s="3">
        <v>123000000</v>
      </c>
      <c r="L433" s="3">
        <v>10</v>
      </c>
      <c r="M433" s="3">
        <v>1230000</v>
      </c>
      <c r="N433" s="3">
        <v>390830</v>
      </c>
      <c r="O433" s="3">
        <v>170920</v>
      </c>
      <c r="P433" s="3">
        <v>-710</v>
      </c>
      <c r="Q433" s="3">
        <v>9.4829744909899407</v>
      </c>
      <c r="R433" s="3">
        <v>12.048950889758</v>
      </c>
      <c r="S433" s="3">
        <v>2.28662532178797</v>
      </c>
      <c r="T433" s="3">
        <v>-4.1539901708401604E-3</v>
      </c>
      <c r="U433" s="3">
        <v>1982</v>
      </c>
      <c r="V433" s="3">
        <v>42</v>
      </c>
      <c r="W433" s="3">
        <v>0</v>
      </c>
      <c r="X433" s="3" t="s">
        <v>471</v>
      </c>
      <c r="Y433" s="4" t="s">
        <v>505</v>
      </c>
      <c r="Z433" s="3" t="s">
        <v>108</v>
      </c>
      <c r="AA433" s="5">
        <f t="shared" si="18"/>
        <v>9.4829744909899407</v>
      </c>
      <c r="AB433" s="5">
        <f t="shared" si="19"/>
        <v>2.28662532178797</v>
      </c>
      <c r="AC433" s="5">
        <f t="shared" si="20"/>
        <v>-4.1539901708401604E-3</v>
      </c>
    </row>
    <row r="434" spans="1:29" ht="15" customHeight="1" x14ac:dyDescent="0.3">
      <c r="A434" s="3">
        <v>510</v>
      </c>
      <c r="B434" s="3">
        <v>102</v>
      </c>
      <c r="C434" s="3" t="s">
        <v>500</v>
      </c>
      <c r="D434" s="4" t="s">
        <v>501</v>
      </c>
      <c r="E434" s="3" t="s">
        <v>105</v>
      </c>
      <c r="F434" s="3">
        <v>2025</v>
      </c>
      <c r="G434" s="3">
        <v>1</v>
      </c>
      <c r="H434" s="3">
        <v>0</v>
      </c>
      <c r="I434" s="3">
        <v>0</v>
      </c>
      <c r="J434" s="3">
        <v>0</v>
      </c>
      <c r="K434" s="3">
        <v>123000000</v>
      </c>
      <c r="L434" s="3">
        <v>10</v>
      </c>
      <c r="M434" s="3">
        <v>1230000</v>
      </c>
      <c r="N434" s="3">
        <v>379650</v>
      </c>
      <c r="O434" s="3">
        <v>161740</v>
      </c>
      <c r="P434" s="3">
        <v>1990</v>
      </c>
      <c r="Q434" s="3">
        <v>9.9520835909484404</v>
      </c>
      <c r="R434" s="3">
        <v>11.993745386649801</v>
      </c>
      <c r="S434" s="3">
        <v>2.3472857672808201</v>
      </c>
      <c r="T434" s="3">
        <v>1.2303697291949999E-2</v>
      </c>
      <c r="U434" s="3">
        <v>1982</v>
      </c>
      <c r="V434" s="3">
        <v>43</v>
      </c>
      <c r="W434" s="3">
        <v>0</v>
      </c>
      <c r="X434" s="3" t="s">
        <v>471</v>
      </c>
      <c r="Y434" s="4" t="s">
        <v>506</v>
      </c>
      <c r="Z434" s="3" t="s">
        <v>108</v>
      </c>
      <c r="AA434" s="5">
        <f t="shared" si="18"/>
        <v>9.9520835909484404</v>
      </c>
      <c r="AB434" s="5">
        <f t="shared" si="19"/>
        <v>2.3472857672808201</v>
      </c>
      <c r="AC434" s="5">
        <f t="shared" si="20"/>
        <v>1.2303697291949999E-2</v>
      </c>
    </row>
    <row r="435" spans="1:29" ht="15" customHeight="1" x14ac:dyDescent="0.3">
      <c r="A435" s="3">
        <v>511</v>
      </c>
      <c r="B435" s="3">
        <v>103</v>
      </c>
      <c r="C435" s="3" t="s">
        <v>507</v>
      </c>
      <c r="D435" s="4" t="s">
        <v>508</v>
      </c>
      <c r="E435" s="3" t="s">
        <v>248</v>
      </c>
      <c r="F435" s="3">
        <v>2021</v>
      </c>
      <c r="G435" s="3">
        <v>0</v>
      </c>
      <c r="H435" s="3">
        <v>0</v>
      </c>
      <c r="I435" s="3">
        <v>0</v>
      </c>
      <c r="J435" s="3">
        <v>0</v>
      </c>
      <c r="K435" s="3">
        <v>1000000000</v>
      </c>
      <c r="L435" s="3">
        <v>87.8</v>
      </c>
      <c r="M435" s="3">
        <v>87800000</v>
      </c>
      <c r="N435" s="3">
        <v>110825000</v>
      </c>
      <c r="O435" s="3">
        <v>140606000</v>
      </c>
      <c r="P435" s="3">
        <v>19320000</v>
      </c>
      <c r="Q435" s="3">
        <v>1.4126353071703901</v>
      </c>
      <c r="R435" s="3">
        <v>18.7614722106835</v>
      </c>
      <c r="S435" s="3">
        <v>0.78819538284283697</v>
      </c>
      <c r="T435" s="3">
        <v>0.137405231640186</v>
      </c>
      <c r="U435" s="3">
        <v>1991</v>
      </c>
      <c r="V435" s="3">
        <v>30</v>
      </c>
      <c r="W435" s="3">
        <v>1</v>
      </c>
      <c r="X435" s="3" t="s">
        <v>509</v>
      </c>
      <c r="Y435" s="4" t="s">
        <v>510</v>
      </c>
      <c r="Z435" s="3" t="s">
        <v>34</v>
      </c>
      <c r="AA435" s="5">
        <f t="shared" si="18"/>
        <v>1.4126353071703901</v>
      </c>
      <c r="AB435" s="5">
        <f t="shared" si="19"/>
        <v>0.78819538284283697</v>
      </c>
      <c r="AC435" s="5">
        <f t="shared" si="20"/>
        <v>0.137405231640186</v>
      </c>
    </row>
    <row r="436" spans="1:29" ht="15" customHeight="1" x14ac:dyDescent="0.3">
      <c r="A436" s="3">
        <v>512</v>
      </c>
      <c r="B436" s="3">
        <v>103</v>
      </c>
      <c r="C436" s="3" t="s">
        <v>507</v>
      </c>
      <c r="D436" s="4" t="s">
        <v>508</v>
      </c>
      <c r="E436" s="3" t="s">
        <v>248</v>
      </c>
      <c r="F436" s="3">
        <v>2022</v>
      </c>
      <c r="G436" s="3">
        <v>0</v>
      </c>
      <c r="H436" s="3">
        <v>0</v>
      </c>
      <c r="I436" s="3">
        <v>0</v>
      </c>
      <c r="J436" s="3">
        <v>0</v>
      </c>
      <c r="K436" s="3">
        <v>1000000000</v>
      </c>
      <c r="L436" s="3">
        <v>137.5</v>
      </c>
      <c r="M436" s="3">
        <v>137500000</v>
      </c>
      <c r="N436" s="3">
        <v>98209000</v>
      </c>
      <c r="O436" s="3">
        <v>132369000</v>
      </c>
      <c r="P436" s="3">
        <v>13032000</v>
      </c>
      <c r="Q436" s="3">
        <v>1.7806963866162</v>
      </c>
      <c r="R436" s="3">
        <v>18.701104035079599</v>
      </c>
      <c r="S436" s="3">
        <v>0.74193353428672904</v>
      </c>
      <c r="T436" s="3">
        <v>9.8452054484055904E-2</v>
      </c>
      <c r="U436" s="3">
        <v>1991</v>
      </c>
      <c r="V436" s="3">
        <v>31</v>
      </c>
      <c r="W436" s="3">
        <v>1</v>
      </c>
      <c r="X436" s="3" t="s">
        <v>509</v>
      </c>
      <c r="Y436" s="4" t="s">
        <v>511</v>
      </c>
      <c r="Z436" s="3" t="s">
        <v>34</v>
      </c>
      <c r="AA436" s="5">
        <f t="shared" si="18"/>
        <v>1.7806963866162</v>
      </c>
      <c r="AB436" s="5">
        <f t="shared" si="19"/>
        <v>0.74193353428672904</v>
      </c>
      <c r="AC436" s="5">
        <f t="shared" si="20"/>
        <v>9.8452054484055904E-2</v>
      </c>
    </row>
    <row r="437" spans="1:29" ht="15" customHeight="1" x14ac:dyDescent="0.3">
      <c r="A437" s="3">
        <v>513</v>
      </c>
      <c r="B437" s="3">
        <v>103</v>
      </c>
      <c r="C437" s="3" t="s">
        <v>507</v>
      </c>
      <c r="D437" s="4" t="s">
        <v>508</v>
      </c>
      <c r="E437" s="3" t="s">
        <v>248</v>
      </c>
      <c r="F437" s="3">
        <v>2023</v>
      </c>
      <c r="G437" s="3">
        <v>1</v>
      </c>
      <c r="H437" s="3">
        <v>0</v>
      </c>
      <c r="I437" s="3">
        <v>5</v>
      </c>
      <c r="J437" s="3">
        <v>0</v>
      </c>
      <c r="K437" s="3">
        <v>1000000000</v>
      </c>
      <c r="L437" s="3">
        <v>193</v>
      </c>
      <c r="M437" s="3">
        <v>193000000</v>
      </c>
      <c r="N437" s="3">
        <v>113155000</v>
      </c>
      <c r="O437" s="3">
        <v>187067000</v>
      </c>
      <c r="P437" s="3">
        <v>32354000</v>
      </c>
      <c r="Q437" s="3">
        <v>1.6366061357695401</v>
      </c>
      <c r="R437" s="3">
        <v>19.0469773994188</v>
      </c>
      <c r="S437" s="3">
        <v>0.60489022649638902</v>
      </c>
      <c r="T437" s="3">
        <v>0.17295407527784201</v>
      </c>
      <c r="U437" s="3">
        <v>1991</v>
      </c>
      <c r="V437" s="3">
        <v>32</v>
      </c>
      <c r="W437" s="3">
        <v>1</v>
      </c>
      <c r="X437" s="3" t="s">
        <v>509</v>
      </c>
      <c r="Y437" s="4" t="s">
        <v>512</v>
      </c>
      <c r="Z437" s="3" t="s">
        <v>34</v>
      </c>
      <c r="AA437" s="5">
        <f t="shared" si="18"/>
        <v>1.6366061357695401</v>
      </c>
      <c r="AB437" s="5">
        <f t="shared" si="19"/>
        <v>0.60489022649638902</v>
      </c>
      <c r="AC437" s="5">
        <f t="shared" si="20"/>
        <v>0.17295407527784201</v>
      </c>
    </row>
    <row r="438" spans="1:29" ht="15" customHeight="1" x14ac:dyDescent="0.3">
      <c r="A438" s="3">
        <v>514</v>
      </c>
      <c r="B438" s="3">
        <v>103</v>
      </c>
      <c r="C438" s="3" t="s">
        <v>507</v>
      </c>
      <c r="D438" s="4" t="s">
        <v>508</v>
      </c>
      <c r="E438" s="3" t="s">
        <v>248</v>
      </c>
      <c r="F438" s="3">
        <v>2024</v>
      </c>
      <c r="G438" s="3">
        <v>1</v>
      </c>
      <c r="H438" s="3">
        <v>0</v>
      </c>
      <c r="I438" s="3">
        <v>10</v>
      </c>
      <c r="J438" s="3">
        <v>0</v>
      </c>
      <c r="K438" s="3">
        <v>1000000000</v>
      </c>
      <c r="L438" s="3">
        <v>475</v>
      </c>
      <c r="M438" s="3">
        <v>475000000</v>
      </c>
      <c r="N438" s="3">
        <v>263912000</v>
      </c>
      <c r="O438" s="3">
        <v>475096000</v>
      </c>
      <c r="P438" s="3">
        <v>76069000</v>
      </c>
      <c r="Q438" s="3">
        <v>1.5552898782561799</v>
      </c>
      <c r="R438" s="3">
        <v>19.979027446841599</v>
      </c>
      <c r="S438" s="3">
        <v>0.55549194268105795</v>
      </c>
      <c r="T438" s="3">
        <v>0.16011290349739801</v>
      </c>
      <c r="U438" s="3">
        <v>1991</v>
      </c>
      <c r="V438" s="3">
        <v>33</v>
      </c>
      <c r="W438" s="3">
        <v>1</v>
      </c>
      <c r="X438" s="3" t="s">
        <v>509</v>
      </c>
      <c r="Y438" s="4" t="s">
        <v>513</v>
      </c>
      <c r="Z438" s="3" t="s">
        <v>34</v>
      </c>
      <c r="AA438" s="5">
        <f t="shared" si="18"/>
        <v>1.5552898782561799</v>
      </c>
      <c r="AB438" s="5">
        <f t="shared" si="19"/>
        <v>0.55549194268105795</v>
      </c>
      <c r="AC438" s="5">
        <f t="shared" si="20"/>
        <v>0.16011290349739801</v>
      </c>
    </row>
    <row r="439" spans="1:29" ht="15" customHeight="1" x14ac:dyDescent="0.3">
      <c r="A439" s="3">
        <v>515</v>
      </c>
      <c r="B439" s="3">
        <v>103</v>
      </c>
      <c r="C439" s="3" t="s">
        <v>507</v>
      </c>
      <c r="D439" s="4" t="s">
        <v>508</v>
      </c>
      <c r="E439" s="3" t="s">
        <v>248</v>
      </c>
      <c r="F439" s="3">
        <v>2025</v>
      </c>
      <c r="G439" s="3">
        <v>1</v>
      </c>
      <c r="H439" s="3">
        <v>0</v>
      </c>
      <c r="I439" s="3">
        <v>10</v>
      </c>
      <c r="J439" s="3">
        <v>0</v>
      </c>
      <c r="K439" s="3">
        <v>1167000000</v>
      </c>
      <c r="L439" s="3">
        <v>1242.5</v>
      </c>
      <c r="M439" s="3">
        <v>1449997500</v>
      </c>
      <c r="N439" s="3">
        <v>483259000</v>
      </c>
      <c r="O439" s="3">
        <v>926008000</v>
      </c>
      <c r="P439" s="3">
        <v>121354000</v>
      </c>
      <c r="Q439" s="3">
        <v>2.0877319634387601</v>
      </c>
      <c r="R439" s="3">
        <v>20.646393431882</v>
      </c>
      <c r="S439" s="3">
        <v>0.52187346113640498</v>
      </c>
      <c r="T439" s="3">
        <v>0.13105070366562699</v>
      </c>
      <c r="U439" s="3">
        <v>1991</v>
      </c>
      <c r="V439" s="3">
        <v>34</v>
      </c>
      <c r="W439" s="3">
        <v>1</v>
      </c>
      <c r="X439" s="3" t="s">
        <v>509</v>
      </c>
      <c r="Y439" s="4" t="s">
        <v>514</v>
      </c>
      <c r="Z439" s="3" t="s">
        <v>34</v>
      </c>
      <c r="AA439" s="5">
        <f t="shared" si="18"/>
        <v>2.0877319634387601</v>
      </c>
      <c r="AB439" s="5">
        <f t="shared" si="19"/>
        <v>0.52187346113640498</v>
      </c>
      <c r="AC439" s="5">
        <f t="shared" si="20"/>
        <v>0.13105070366562699</v>
      </c>
    </row>
    <row r="440" spans="1:29" ht="15" customHeight="1" x14ac:dyDescent="0.3">
      <c r="A440" s="3">
        <v>516</v>
      </c>
      <c r="B440" s="3">
        <v>104</v>
      </c>
      <c r="C440" s="3" t="s">
        <v>515</v>
      </c>
      <c r="D440" s="4" t="s">
        <v>516</v>
      </c>
      <c r="E440" s="3" t="s">
        <v>31</v>
      </c>
      <c r="F440" s="3">
        <v>2021</v>
      </c>
      <c r="G440" s="3">
        <v>0</v>
      </c>
      <c r="H440" s="3">
        <v>0</v>
      </c>
      <c r="I440" s="3">
        <v>0</v>
      </c>
      <c r="J440" s="3">
        <v>0</v>
      </c>
      <c r="K440" s="3">
        <v>13253000000</v>
      </c>
      <c r="L440" s="3">
        <v>0.51</v>
      </c>
      <c r="M440" s="3">
        <v>6759030</v>
      </c>
      <c r="N440" s="3">
        <v>8584000</v>
      </c>
      <c r="O440" s="3">
        <v>21579000</v>
      </c>
      <c r="P440" s="3">
        <v>688280</v>
      </c>
      <c r="Q440" s="3">
        <v>0.71101672922749004</v>
      </c>
      <c r="R440" s="3">
        <v>16.887231177517599</v>
      </c>
      <c r="S440" s="3">
        <v>0.397794151721581</v>
      </c>
      <c r="T440" s="3">
        <v>3.1895824644330099E-2</v>
      </c>
      <c r="U440" s="3">
        <v>1970</v>
      </c>
      <c r="V440" s="3">
        <v>51</v>
      </c>
      <c r="W440" s="3">
        <v>0</v>
      </c>
      <c r="X440" s="3" t="s">
        <v>471</v>
      </c>
      <c r="Y440" s="4" t="s">
        <v>517</v>
      </c>
      <c r="Z440" s="3" t="s">
        <v>172</v>
      </c>
      <c r="AA440" s="5">
        <f t="shared" si="18"/>
        <v>0.71101672922749004</v>
      </c>
      <c r="AB440" s="5">
        <f t="shared" si="19"/>
        <v>0.397794151721581</v>
      </c>
      <c r="AC440" s="5">
        <f t="shared" si="20"/>
        <v>3.1895824644330099E-2</v>
      </c>
    </row>
    <row r="441" spans="1:29" ht="15" customHeight="1" x14ac:dyDescent="0.3">
      <c r="A441" s="3">
        <v>517</v>
      </c>
      <c r="B441" s="3">
        <v>104</v>
      </c>
      <c r="C441" s="3" t="s">
        <v>515</v>
      </c>
      <c r="D441" s="4" t="s">
        <v>516</v>
      </c>
      <c r="E441" s="3" t="s">
        <v>31</v>
      </c>
      <c r="F441" s="3">
        <v>2022</v>
      </c>
      <c r="G441" s="3">
        <v>0</v>
      </c>
      <c r="H441" s="3">
        <v>0</v>
      </c>
      <c r="I441" s="3">
        <v>0</v>
      </c>
      <c r="J441" s="3">
        <v>0</v>
      </c>
      <c r="K441" s="3">
        <v>13253000000</v>
      </c>
      <c r="L441" s="3">
        <v>0.42030000000000001</v>
      </c>
      <c r="M441" s="3">
        <v>5570235.9000000004</v>
      </c>
      <c r="N441" s="3">
        <v>8915000</v>
      </c>
      <c r="O441" s="3">
        <v>22039000</v>
      </c>
      <c r="P441" s="3">
        <v>502260</v>
      </c>
      <c r="Q441" s="3">
        <v>0.65725468033939805</v>
      </c>
      <c r="R441" s="3">
        <v>16.9083241691688</v>
      </c>
      <c r="S441" s="3">
        <v>0.40451018648759002</v>
      </c>
      <c r="T441" s="3">
        <v>2.2789600254094999E-2</v>
      </c>
      <c r="U441" s="3">
        <v>1970</v>
      </c>
      <c r="V441" s="3">
        <v>52</v>
      </c>
      <c r="W441" s="3">
        <v>0</v>
      </c>
      <c r="X441" s="3" t="s">
        <v>471</v>
      </c>
      <c r="Y441" s="4" t="s">
        <v>518</v>
      </c>
      <c r="Z441" s="3" t="s">
        <v>172</v>
      </c>
      <c r="AA441" s="5">
        <f t="shared" si="18"/>
        <v>0.65725468033939805</v>
      </c>
      <c r="AB441" s="5">
        <f t="shared" si="19"/>
        <v>0.40451018648759002</v>
      </c>
      <c r="AC441" s="5">
        <f t="shared" si="20"/>
        <v>2.2789600254094999E-2</v>
      </c>
    </row>
    <row r="442" spans="1:29" ht="15" customHeight="1" x14ac:dyDescent="0.3">
      <c r="A442" s="3">
        <v>518</v>
      </c>
      <c r="B442" s="3">
        <v>104</v>
      </c>
      <c r="C442" s="3" t="s">
        <v>515</v>
      </c>
      <c r="D442" s="4" t="s">
        <v>516</v>
      </c>
      <c r="E442" s="3" t="s">
        <v>31</v>
      </c>
      <c r="F442" s="3">
        <v>2023</v>
      </c>
      <c r="G442" s="3">
        <v>1</v>
      </c>
      <c r="H442" s="3">
        <v>0</v>
      </c>
      <c r="I442" s="3">
        <v>0</v>
      </c>
      <c r="J442" s="3">
        <v>0</v>
      </c>
      <c r="K442" s="3">
        <v>13253000000</v>
      </c>
      <c r="L442" s="3">
        <v>0.51</v>
      </c>
      <c r="M442" s="3">
        <v>6759030</v>
      </c>
      <c r="N442" s="3">
        <v>11902000</v>
      </c>
      <c r="O442" s="3">
        <v>27851000</v>
      </c>
      <c r="P442" s="3">
        <v>1310000</v>
      </c>
      <c r="Q442" s="3">
        <v>0.67003087860400001</v>
      </c>
      <c r="R442" s="3">
        <v>17.142379430335701</v>
      </c>
      <c r="S442" s="3">
        <v>0.42734551721661701</v>
      </c>
      <c r="T442" s="3">
        <v>4.7036013069548702E-2</v>
      </c>
      <c r="U442" s="3">
        <v>1970</v>
      </c>
      <c r="V442" s="3">
        <v>53</v>
      </c>
      <c r="W442" s="3">
        <v>0</v>
      </c>
      <c r="X442" s="3" t="s">
        <v>471</v>
      </c>
      <c r="Y442" s="4" t="s">
        <v>519</v>
      </c>
      <c r="Z442" s="3" t="s">
        <v>172</v>
      </c>
      <c r="AA442" s="5">
        <f t="shared" si="18"/>
        <v>0.67003087860400001</v>
      </c>
      <c r="AB442" s="5">
        <f t="shared" si="19"/>
        <v>0.42734551721661701</v>
      </c>
      <c r="AC442" s="5">
        <f t="shared" si="20"/>
        <v>4.7036013069548702E-2</v>
      </c>
    </row>
    <row r="443" spans="1:29" ht="15" customHeight="1" x14ac:dyDescent="0.3">
      <c r="A443" s="3">
        <v>519</v>
      </c>
      <c r="B443" s="3">
        <v>104</v>
      </c>
      <c r="C443" s="3" t="s">
        <v>515</v>
      </c>
      <c r="D443" s="4" t="s">
        <v>516</v>
      </c>
      <c r="E443" s="3" t="s">
        <v>31</v>
      </c>
      <c r="F443" s="3">
        <v>2024</v>
      </c>
      <c r="G443" s="3">
        <v>1</v>
      </c>
      <c r="H443" s="3">
        <v>0</v>
      </c>
      <c r="I443" s="3">
        <v>0</v>
      </c>
      <c r="J443" s="3">
        <v>0</v>
      </c>
      <c r="K443" s="3">
        <v>13253000000</v>
      </c>
      <c r="L443" s="3">
        <v>1.2104999999999999</v>
      </c>
      <c r="M443" s="3">
        <v>16042756.5</v>
      </c>
      <c r="N443" s="3">
        <v>18630000</v>
      </c>
      <c r="O443" s="3">
        <v>38004000</v>
      </c>
      <c r="P443" s="3">
        <v>3236000</v>
      </c>
      <c r="Q443" s="3">
        <v>0.912344924218503</v>
      </c>
      <c r="R443" s="3">
        <v>17.453201975308801</v>
      </c>
      <c r="S443" s="3">
        <v>0.49021155667824401</v>
      </c>
      <c r="T443" s="3">
        <v>8.5148931691400906E-2</v>
      </c>
      <c r="U443" s="3">
        <v>1970</v>
      </c>
      <c r="V443" s="3">
        <v>54</v>
      </c>
      <c r="W443" s="3">
        <v>0</v>
      </c>
      <c r="X443" s="3" t="s">
        <v>471</v>
      </c>
      <c r="Y443" s="4" t="s">
        <v>520</v>
      </c>
      <c r="Z443" s="3" t="s">
        <v>172</v>
      </c>
      <c r="AA443" s="5">
        <f t="shared" si="18"/>
        <v>0.912344924218503</v>
      </c>
      <c r="AB443" s="5">
        <f t="shared" si="19"/>
        <v>0.49021155667824401</v>
      </c>
      <c r="AC443" s="5">
        <f t="shared" si="20"/>
        <v>8.5148931691400906E-2</v>
      </c>
    </row>
    <row r="444" spans="1:29" ht="15" customHeight="1" x14ac:dyDescent="0.3">
      <c r="A444" s="3">
        <v>520</v>
      </c>
      <c r="B444" s="3">
        <v>104</v>
      </c>
      <c r="C444" s="3" t="s">
        <v>515</v>
      </c>
      <c r="D444" s="4" t="s">
        <v>516</v>
      </c>
      <c r="E444" s="3" t="s">
        <v>31</v>
      </c>
      <c r="F444" s="3">
        <v>2025</v>
      </c>
      <c r="G444" s="3">
        <v>1</v>
      </c>
      <c r="H444" s="3">
        <v>0</v>
      </c>
      <c r="I444" s="3">
        <v>0</v>
      </c>
      <c r="J444" s="3">
        <v>0</v>
      </c>
      <c r="K444" s="3">
        <v>13253000000</v>
      </c>
      <c r="L444" s="3">
        <v>1.5802</v>
      </c>
      <c r="M444" s="3">
        <v>20942390.600000001</v>
      </c>
      <c r="N444" s="3">
        <v>17102000</v>
      </c>
      <c r="O444" s="3">
        <v>37347000</v>
      </c>
      <c r="P444" s="3">
        <v>609330</v>
      </c>
      <c r="Q444" s="3">
        <v>1.01867326960666</v>
      </c>
      <c r="R444" s="3">
        <v>17.435763145031999</v>
      </c>
      <c r="S444" s="3">
        <v>0.45792165368034898</v>
      </c>
      <c r="T444" s="3">
        <v>1.6315366696120201E-2</v>
      </c>
      <c r="U444" s="3">
        <v>1970</v>
      </c>
      <c r="V444" s="3">
        <v>55</v>
      </c>
      <c r="W444" s="3">
        <v>0</v>
      </c>
      <c r="X444" s="3" t="s">
        <v>471</v>
      </c>
      <c r="Y444" s="4" t="s">
        <v>521</v>
      </c>
      <c r="Z444" s="3" t="s">
        <v>172</v>
      </c>
      <c r="AA444" s="5">
        <f t="shared" si="18"/>
        <v>1.01867326960666</v>
      </c>
      <c r="AB444" s="5">
        <f t="shared" si="19"/>
        <v>0.45792165368034898</v>
      </c>
      <c r="AC444" s="5">
        <f t="shared" si="20"/>
        <v>1.6315366696120201E-2</v>
      </c>
    </row>
    <row r="445" spans="1:29" ht="15" customHeight="1" x14ac:dyDescent="0.3">
      <c r="A445" s="3">
        <v>521</v>
      </c>
      <c r="B445" s="3">
        <v>105</v>
      </c>
      <c r="C445" s="3" t="s">
        <v>522</v>
      </c>
      <c r="D445" s="4" t="s">
        <v>523</v>
      </c>
      <c r="E445" s="3" t="s">
        <v>143</v>
      </c>
      <c r="F445" s="3">
        <v>2021</v>
      </c>
      <c r="G445" s="3">
        <v>0</v>
      </c>
      <c r="H445" s="3">
        <v>0</v>
      </c>
      <c r="I445" s="3">
        <v>0</v>
      </c>
      <c r="J445" s="3">
        <v>0</v>
      </c>
      <c r="K445" s="3">
        <v>3970000000</v>
      </c>
      <c r="L445" s="3">
        <v>6.101</v>
      </c>
      <c r="M445" s="3">
        <v>24220970</v>
      </c>
      <c r="N445" s="3">
        <v>55576000</v>
      </c>
      <c r="O445" s="3">
        <v>87345000</v>
      </c>
      <c r="P445" s="3">
        <v>1560000</v>
      </c>
      <c r="Q445" s="3">
        <v>0.91358371973209695</v>
      </c>
      <c r="R445" s="3">
        <v>18.285376351921499</v>
      </c>
      <c r="S445" s="3">
        <v>0.63628141278836803</v>
      </c>
      <c r="T445" s="3">
        <v>1.7860209513996202E-2</v>
      </c>
      <c r="U445" s="3">
        <v>1948</v>
      </c>
      <c r="V445" s="3">
        <v>73</v>
      </c>
      <c r="W445" s="3">
        <v>1</v>
      </c>
      <c r="X445" s="3" t="s">
        <v>346</v>
      </c>
      <c r="Y445" s="4" t="s">
        <v>524</v>
      </c>
      <c r="Z445" s="3" t="s">
        <v>34</v>
      </c>
      <c r="AA445" s="5">
        <f t="shared" si="18"/>
        <v>0.91358371973209695</v>
      </c>
      <c r="AB445" s="5">
        <f t="shared" si="19"/>
        <v>0.63628141278836803</v>
      </c>
      <c r="AC445" s="5">
        <f t="shared" si="20"/>
        <v>1.7860209513996202E-2</v>
      </c>
    </row>
    <row r="446" spans="1:29" ht="15" customHeight="1" x14ac:dyDescent="0.3">
      <c r="A446" s="3">
        <v>522</v>
      </c>
      <c r="B446" s="3">
        <v>105</v>
      </c>
      <c r="C446" s="3" t="s">
        <v>522</v>
      </c>
      <c r="D446" s="4" t="s">
        <v>523</v>
      </c>
      <c r="E446" s="3" t="s">
        <v>143</v>
      </c>
      <c r="F446" s="3">
        <v>2022</v>
      </c>
      <c r="G446" s="3">
        <v>0</v>
      </c>
      <c r="H446" s="3">
        <v>0</v>
      </c>
      <c r="I446" s="3">
        <v>0</v>
      </c>
      <c r="J446" s="3">
        <v>0</v>
      </c>
      <c r="K446" s="3">
        <v>3970000000</v>
      </c>
      <c r="L446" s="3">
        <v>6.101</v>
      </c>
      <c r="M446" s="3">
        <v>24220970</v>
      </c>
      <c r="N446" s="3">
        <v>71733000</v>
      </c>
      <c r="O446" s="3">
        <v>109473000</v>
      </c>
      <c r="P446" s="3">
        <v>5970000</v>
      </c>
      <c r="Q446" s="3">
        <v>0.87650808875247799</v>
      </c>
      <c r="R446" s="3">
        <v>18.511188501473701</v>
      </c>
      <c r="S446" s="3">
        <v>0.65525746074374502</v>
      </c>
      <c r="T446" s="3">
        <v>5.45339946836206E-2</v>
      </c>
      <c r="U446" s="3">
        <v>1948</v>
      </c>
      <c r="V446" s="3">
        <v>74</v>
      </c>
      <c r="W446" s="3">
        <v>1</v>
      </c>
      <c r="X446" s="3" t="s">
        <v>346</v>
      </c>
      <c r="Y446" s="4" t="s">
        <v>525</v>
      </c>
      <c r="Z446" s="3" t="s">
        <v>34</v>
      </c>
      <c r="AA446" s="5">
        <f t="shared" si="18"/>
        <v>0.87650808875247799</v>
      </c>
      <c r="AB446" s="5">
        <f t="shared" si="19"/>
        <v>0.65525746074374502</v>
      </c>
      <c r="AC446" s="5">
        <f t="shared" si="20"/>
        <v>5.45339946836206E-2</v>
      </c>
    </row>
    <row r="447" spans="1:29" ht="15" customHeight="1" x14ac:dyDescent="0.3">
      <c r="A447" s="3">
        <v>523</v>
      </c>
      <c r="B447" s="3">
        <v>105</v>
      </c>
      <c r="C447" s="3" t="s">
        <v>522</v>
      </c>
      <c r="D447" s="4" t="s">
        <v>523</v>
      </c>
      <c r="E447" s="3" t="s">
        <v>143</v>
      </c>
      <c r="F447" s="3">
        <v>2023</v>
      </c>
      <c r="G447" s="3">
        <v>1</v>
      </c>
      <c r="H447" s="3">
        <v>0</v>
      </c>
      <c r="I447" s="3">
        <v>0</v>
      </c>
      <c r="J447" s="3">
        <v>0</v>
      </c>
      <c r="K447" s="3">
        <v>3970000000</v>
      </c>
      <c r="L447" s="3">
        <v>11.349</v>
      </c>
      <c r="M447" s="3">
        <v>45055530</v>
      </c>
      <c r="N447" s="3">
        <v>118006000</v>
      </c>
      <c r="O447" s="3">
        <v>166366000</v>
      </c>
      <c r="P447" s="3">
        <v>12893000</v>
      </c>
      <c r="Q447" s="3">
        <v>0.98013734777538697</v>
      </c>
      <c r="R447" s="3">
        <v>18.9297007385507</v>
      </c>
      <c r="S447" s="3">
        <v>0.70931560535205496</v>
      </c>
      <c r="T447" s="3">
        <v>7.7497806042100006E-2</v>
      </c>
      <c r="U447" s="3">
        <v>1948</v>
      </c>
      <c r="V447" s="3">
        <v>75</v>
      </c>
      <c r="W447" s="3">
        <v>1</v>
      </c>
      <c r="X447" s="3" t="s">
        <v>346</v>
      </c>
      <c r="Y447" s="4" t="s">
        <v>526</v>
      </c>
      <c r="Z447" s="3" t="s">
        <v>34</v>
      </c>
      <c r="AA447" s="5">
        <f t="shared" si="18"/>
        <v>0.98013734777538697</v>
      </c>
      <c r="AB447" s="5">
        <f t="shared" si="19"/>
        <v>0.70931560535205496</v>
      </c>
      <c r="AC447" s="5">
        <f t="shared" si="20"/>
        <v>7.7497806042100006E-2</v>
      </c>
    </row>
    <row r="448" spans="1:29" ht="15" customHeight="1" x14ac:dyDescent="0.3">
      <c r="A448" s="3">
        <v>524</v>
      </c>
      <c r="B448" s="3">
        <v>105</v>
      </c>
      <c r="C448" s="3" t="s">
        <v>522</v>
      </c>
      <c r="D448" s="4" t="s">
        <v>523</v>
      </c>
      <c r="E448" s="3" t="s">
        <v>143</v>
      </c>
      <c r="F448" s="3">
        <v>2024</v>
      </c>
      <c r="G448" s="3">
        <v>1</v>
      </c>
      <c r="H448" s="3">
        <v>0</v>
      </c>
      <c r="I448" s="3">
        <v>5</v>
      </c>
      <c r="J448" s="3">
        <v>0</v>
      </c>
      <c r="K448" s="3">
        <v>3970000000</v>
      </c>
      <c r="L448" s="3">
        <v>26.702999999999999</v>
      </c>
      <c r="M448" s="3">
        <v>106010910</v>
      </c>
      <c r="N448" s="3">
        <v>184567000</v>
      </c>
      <c r="O448" s="3">
        <v>157060000</v>
      </c>
      <c r="P448" s="3">
        <v>-82702000</v>
      </c>
      <c r="Q448" s="3">
        <v>1.8501076658601801</v>
      </c>
      <c r="R448" s="3">
        <v>18.872138455910999</v>
      </c>
      <c r="S448" s="3">
        <v>1.1751368903603701</v>
      </c>
      <c r="T448" s="3">
        <v>-0.52656309690564096</v>
      </c>
      <c r="U448" s="3">
        <v>1948</v>
      </c>
      <c r="V448" s="3">
        <v>76</v>
      </c>
      <c r="W448" s="3">
        <v>1</v>
      </c>
      <c r="X448" s="3" t="s">
        <v>346</v>
      </c>
      <c r="Y448" s="4" t="s">
        <v>527</v>
      </c>
      <c r="Z448" s="3" t="s">
        <v>34</v>
      </c>
      <c r="AA448" s="5">
        <f t="shared" si="18"/>
        <v>1.8501076658601801</v>
      </c>
      <c r="AB448" s="5">
        <f t="shared" si="19"/>
        <v>1.1751368903603701</v>
      </c>
      <c r="AC448" s="5">
        <f t="shared" si="20"/>
        <v>-0.52656309690564096</v>
      </c>
    </row>
    <row r="449" spans="1:29" ht="15" customHeight="1" x14ac:dyDescent="0.3">
      <c r="A449" s="3">
        <v>525</v>
      </c>
      <c r="B449" s="3">
        <v>105</v>
      </c>
      <c r="C449" s="3" t="s">
        <v>522</v>
      </c>
      <c r="D449" s="4" t="s">
        <v>523</v>
      </c>
      <c r="E449" s="3" t="s">
        <v>143</v>
      </c>
      <c r="F449" s="3">
        <v>2025</v>
      </c>
      <c r="G449" s="3">
        <v>1</v>
      </c>
      <c r="H449" s="3">
        <v>0</v>
      </c>
      <c r="I449" s="3">
        <v>5</v>
      </c>
      <c r="J449" s="3">
        <v>0</v>
      </c>
      <c r="K449" s="3">
        <v>3970000000</v>
      </c>
      <c r="L449" s="3">
        <v>24.3</v>
      </c>
      <c r="M449" s="3">
        <v>96471000</v>
      </c>
      <c r="N449" s="3">
        <v>186244000</v>
      </c>
      <c r="O449" s="3">
        <v>168902000</v>
      </c>
      <c r="P449" s="3">
        <v>9208000</v>
      </c>
      <c r="Q449" s="3">
        <v>1.6738404518596599</v>
      </c>
      <c r="R449" s="3">
        <v>18.944829223034102</v>
      </c>
      <c r="S449" s="3">
        <v>1.1026749239203799</v>
      </c>
      <c r="T449" s="3">
        <v>5.45168204047317E-2</v>
      </c>
      <c r="U449" s="3">
        <v>1948</v>
      </c>
      <c r="V449" s="3">
        <v>77</v>
      </c>
      <c r="W449" s="3">
        <v>1</v>
      </c>
      <c r="X449" s="3" t="s">
        <v>346</v>
      </c>
      <c r="Y449" s="4" t="s">
        <v>528</v>
      </c>
      <c r="Z449" s="3" t="s">
        <v>34</v>
      </c>
      <c r="AA449" s="5">
        <f t="shared" si="18"/>
        <v>1.6738404518596599</v>
      </c>
      <c r="AB449" s="5">
        <f t="shared" si="19"/>
        <v>1.1026749239203799</v>
      </c>
      <c r="AC449" s="5">
        <f t="shared" si="20"/>
        <v>5.45168204047317E-2</v>
      </c>
    </row>
    <row r="450" spans="1:29" ht="15" customHeight="1" x14ac:dyDescent="0.3">
      <c r="A450" s="3">
        <v>526</v>
      </c>
      <c r="B450" s="3">
        <v>106</v>
      </c>
      <c r="C450" s="3" t="s">
        <v>529</v>
      </c>
      <c r="D450" s="4" t="s">
        <v>530</v>
      </c>
      <c r="E450" s="3" t="s">
        <v>41</v>
      </c>
      <c r="F450" s="3">
        <v>2021</v>
      </c>
      <c r="G450" s="3">
        <v>0</v>
      </c>
      <c r="H450" s="3">
        <v>0</v>
      </c>
      <c r="I450" s="3">
        <v>0</v>
      </c>
      <c r="J450" s="3">
        <v>0</v>
      </c>
      <c r="K450" s="3">
        <v>954420000</v>
      </c>
      <c r="L450" s="3">
        <v>3.448</v>
      </c>
      <c r="M450" s="3">
        <v>3290840.16</v>
      </c>
      <c r="N450" s="3">
        <v>3310000</v>
      </c>
      <c r="O450" s="3">
        <v>7540000</v>
      </c>
      <c r="P450" s="3">
        <v>150070</v>
      </c>
      <c r="Q450" s="3">
        <v>0.87544299204244003</v>
      </c>
      <c r="R450" s="3">
        <v>15.835732739984101</v>
      </c>
      <c r="S450" s="3">
        <v>0.43899204244031798</v>
      </c>
      <c r="T450" s="3">
        <v>1.99031830238727E-2</v>
      </c>
      <c r="U450" s="3">
        <v>1992</v>
      </c>
      <c r="V450" s="3">
        <v>29</v>
      </c>
      <c r="W450" s="3">
        <v>1</v>
      </c>
      <c r="X450" s="3" t="s">
        <v>57</v>
      </c>
      <c r="Y450" s="4" t="s">
        <v>531</v>
      </c>
      <c r="Z450" s="3" t="s">
        <v>34</v>
      </c>
      <c r="AA450" s="5">
        <f t="shared" ref="AA450:AA513" si="21">MIN(MAX(Q450,PERCENTILE(Q$2:Q$612,0.005)),PERCENTILE(Q$2:Q$612,0.995))</f>
        <v>0.87544299204244003</v>
      </c>
      <c r="AB450" s="5">
        <f t="shared" ref="AB450:AB513" si="22">MIN(MAX(S450,PERCENTILE(S$2:S$612,0.005)),PERCENTILE(S$2:S$612,0.995))</f>
        <v>0.43899204244031798</v>
      </c>
      <c r="AC450" s="5">
        <f t="shared" ref="AC450:AC513" si="23">MIN(MAX(T450,PERCENTILE(T$2:T$612,0.005)),PERCENTILE(T$2:T$612,0.995))</f>
        <v>1.99031830238727E-2</v>
      </c>
    </row>
    <row r="451" spans="1:29" ht="15" customHeight="1" x14ac:dyDescent="0.3">
      <c r="A451" s="3">
        <v>527</v>
      </c>
      <c r="B451" s="3">
        <v>106</v>
      </c>
      <c r="C451" s="3" t="s">
        <v>529</v>
      </c>
      <c r="D451" s="4" t="s">
        <v>530</v>
      </c>
      <c r="E451" s="3" t="s">
        <v>41</v>
      </c>
      <c r="F451" s="3">
        <v>2022</v>
      </c>
      <c r="G451" s="3">
        <v>0</v>
      </c>
      <c r="H451" s="3">
        <v>0</v>
      </c>
      <c r="I451" s="3">
        <v>0</v>
      </c>
      <c r="J451" s="3">
        <v>0</v>
      </c>
      <c r="K451" s="3">
        <v>954450000</v>
      </c>
      <c r="L451" s="3">
        <v>3.448</v>
      </c>
      <c r="M451" s="3">
        <v>3290943.6</v>
      </c>
      <c r="N451" s="3">
        <v>3559000</v>
      </c>
      <c r="O451" s="3">
        <v>7752000</v>
      </c>
      <c r="P451" s="3">
        <v>87810</v>
      </c>
      <c r="Q451" s="3">
        <v>0.88363565531475696</v>
      </c>
      <c r="R451" s="3">
        <v>15.8634614325527</v>
      </c>
      <c r="S451" s="3">
        <v>0.45910732714138303</v>
      </c>
      <c r="T451" s="3">
        <v>1.1327399380805001E-2</v>
      </c>
      <c r="U451" s="3">
        <v>1992</v>
      </c>
      <c r="V451" s="3">
        <v>30</v>
      </c>
      <c r="W451" s="3">
        <v>1</v>
      </c>
      <c r="X451" s="3" t="s">
        <v>57</v>
      </c>
      <c r="Y451" s="4" t="s">
        <v>532</v>
      </c>
      <c r="Z451" s="3" t="s">
        <v>34</v>
      </c>
      <c r="AA451" s="5">
        <f t="shared" si="21"/>
        <v>0.88363565531475696</v>
      </c>
      <c r="AB451" s="5">
        <f t="shared" si="22"/>
        <v>0.45910732714138303</v>
      </c>
      <c r="AC451" s="5">
        <f t="shared" si="23"/>
        <v>1.1327399380805001E-2</v>
      </c>
    </row>
    <row r="452" spans="1:29" ht="15" customHeight="1" x14ac:dyDescent="0.3">
      <c r="A452" s="3">
        <v>528</v>
      </c>
      <c r="B452" s="3">
        <v>106</v>
      </c>
      <c r="C452" s="3" t="s">
        <v>529</v>
      </c>
      <c r="D452" s="4" t="s">
        <v>530</v>
      </c>
      <c r="E452" s="3" t="s">
        <v>41</v>
      </c>
      <c r="F452" s="3">
        <v>2023</v>
      </c>
      <c r="G452" s="3">
        <v>1</v>
      </c>
      <c r="H452" s="3">
        <v>0</v>
      </c>
      <c r="I452" s="3">
        <v>0</v>
      </c>
      <c r="J452" s="3">
        <v>0</v>
      </c>
      <c r="K452" s="3">
        <v>954420000</v>
      </c>
      <c r="L452" s="3">
        <v>2.2629999999999999</v>
      </c>
      <c r="M452" s="3">
        <v>2159852.46</v>
      </c>
      <c r="N452" s="3">
        <v>4080000</v>
      </c>
      <c r="O452" s="3">
        <v>8658000</v>
      </c>
      <c r="P452" s="3">
        <v>313900</v>
      </c>
      <c r="Q452" s="3">
        <v>0.72070367983368</v>
      </c>
      <c r="R452" s="3">
        <v>15.9739943069841</v>
      </c>
      <c r="S452" s="3">
        <v>0.47124047124047103</v>
      </c>
      <c r="T452" s="3">
        <v>3.6255486255486302E-2</v>
      </c>
      <c r="U452" s="3">
        <v>1992</v>
      </c>
      <c r="V452" s="3">
        <v>31</v>
      </c>
      <c r="W452" s="3">
        <v>1</v>
      </c>
      <c r="X452" s="3" t="s">
        <v>57</v>
      </c>
      <c r="Y452" s="4" t="s">
        <v>533</v>
      </c>
      <c r="Z452" s="3" t="s">
        <v>34</v>
      </c>
      <c r="AA452" s="5">
        <f t="shared" si="21"/>
        <v>0.72070367983368</v>
      </c>
      <c r="AB452" s="5">
        <f t="shared" si="22"/>
        <v>0.47124047124047103</v>
      </c>
      <c r="AC452" s="5">
        <f t="shared" si="23"/>
        <v>3.6255486255486302E-2</v>
      </c>
    </row>
    <row r="453" spans="1:29" ht="15" customHeight="1" x14ac:dyDescent="0.3">
      <c r="A453" s="3">
        <v>529</v>
      </c>
      <c r="B453" s="3">
        <v>106</v>
      </c>
      <c r="C453" s="3" t="s">
        <v>529</v>
      </c>
      <c r="D453" s="4" t="s">
        <v>530</v>
      </c>
      <c r="E453" s="3" t="s">
        <v>41</v>
      </c>
      <c r="F453" s="3">
        <v>2024</v>
      </c>
      <c r="G453" s="3">
        <v>1</v>
      </c>
      <c r="H453" s="3">
        <v>0</v>
      </c>
      <c r="I453" s="3">
        <v>5</v>
      </c>
      <c r="J453" s="3">
        <v>0</v>
      </c>
      <c r="K453" s="3">
        <v>954420000</v>
      </c>
      <c r="L453" s="3">
        <v>3.1850000000000001</v>
      </c>
      <c r="M453" s="3">
        <v>3039827.7</v>
      </c>
      <c r="N453" s="3">
        <v>4570000</v>
      </c>
      <c r="O453" s="3">
        <v>9244000</v>
      </c>
      <c r="P453" s="3">
        <v>343000</v>
      </c>
      <c r="Q453" s="3">
        <v>0.82321805495456502</v>
      </c>
      <c r="R453" s="3">
        <v>16.039485250376401</v>
      </c>
      <c r="S453" s="3">
        <v>0.494374729554306</v>
      </c>
      <c r="T453" s="3">
        <v>3.7105149286023403E-2</v>
      </c>
      <c r="U453" s="3">
        <v>1992</v>
      </c>
      <c r="V453" s="3">
        <v>32</v>
      </c>
      <c r="W453" s="3">
        <v>1</v>
      </c>
      <c r="X453" s="3" t="s">
        <v>57</v>
      </c>
      <c r="Y453" s="4" t="s">
        <v>534</v>
      </c>
      <c r="Z453" s="3" t="s">
        <v>34</v>
      </c>
      <c r="AA453" s="5">
        <f t="shared" si="21"/>
        <v>0.82321805495456502</v>
      </c>
      <c r="AB453" s="5">
        <f t="shared" si="22"/>
        <v>0.494374729554306</v>
      </c>
      <c r="AC453" s="5">
        <f t="shared" si="23"/>
        <v>3.7105149286023403E-2</v>
      </c>
    </row>
    <row r="454" spans="1:29" ht="15" customHeight="1" x14ac:dyDescent="0.3">
      <c r="A454" s="3">
        <v>530</v>
      </c>
      <c r="B454" s="3">
        <v>106</v>
      </c>
      <c r="C454" s="3" t="s">
        <v>529</v>
      </c>
      <c r="D454" s="4" t="s">
        <v>530</v>
      </c>
      <c r="E454" s="3" t="s">
        <v>41</v>
      </c>
      <c r="F454" s="3">
        <v>2025</v>
      </c>
      <c r="G454" s="3">
        <v>1</v>
      </c>
      <c r="H454" s="3">
        <v>0</v>
      </c>
      <c r="I454" s="3">
        <v>5</v>
      </c>
      <c r="J454" s="3">
        <v>0</v>
      </c>
      <c r="K454" s="3">
        <v>954420000</v>
      </c>
      <c r="L454" s="3">
        <v>4.4109999999999996</v>
      </c>
      <c r="M454" s="3">
        <v>4209946.62</v>
      </c>
      <c r="N454" s="3">
        <v>5396000</v>
      </c>
      <c r="O454" s="3">
        <v>10279000</v>
      </c>
      <c r="P454" s="3">
        <v>546520</v>
      </c>
      <c r="Q454" s="3">
        <v>0.93452151182021603</v>
      </c>
      <c r="R454" s="3">
        <v>16.1456135369951</v>
      </c>
      <c r="S454" s="3">
        <v>0.52495378927911296</v>
      </c>
      <c r="T454" s="3">
        <v>5.3168596166942299E-2</v>
      </c>
      <c r="U454" s="3">
        <v>1992</v>
      </c>
      <c r="V454" s="3">
        <v>33</v>
      </c>
      <c r="W454" s="3">
        <v>1</v>
      </c>
      <c r="X454" s="3" t="s">
        <v>57</v>
      </c>
      <c r="Y454" s="4" t="s">
        <v>535</v>
      </c>
      <c r="Z454" s="3" t="s">
        <v>34</v>
      </c>
      <c r="AA454" s="5">
        <f t="shared" si="21"/>
        <v>0.93452151182021603</v>
      </c>
      <c r="AB454" s="5">
        <f t="shared" si="22"/>
        <v>0.52495378927911296</v>
      </c>
      <c r="AC454" s="5">
        <f t="shared" si="23"/>
        <v>5.3168596166942299E-2</v>
      </c>
    </row>
    <row r="455" spans="1:29" ht="15" customHeight="1" x14ac:dyDescent="0.3">
      <c r="A455" s="3">
        <v>531</v>
      </c>
      <c r="B455" s="3">
        <v>107</v>
      </c>
      <c r="C455" s="3" t="s">
        <v>536</v>
      </c>
      <c r="D455" s="4" t="s">
        <v>537</v>
      </c>
      <c r="E455" s="3" t="s">
        <v>31</v>
      </c>
      <c r="F455" s="3">
        <v>2021</v>
      </c>
      <c r="G455" s="3">
        <v>0</v>
      </c>
      <c r="H455" s="3">
        <v>0</v>
      </c>
      <c r="I455" s="3">
        <v>0</v>
      </c>
      <c r="J455" s="3">
        <v>0</v>
      </c>
      <c r="K455" s="3">
        <v>16005000000</v>
      </c>
      <c r="L455" s="3">
        <v>0.21240000000000001</v>
      </c>
      <c r="M455" s="3">
        <v>3399462</v>
      </c>
      <c r="N455" s="3">
        <v>5146000</v>
      </c>
      <c r="O455" s="3">
        <v>11869000</v>
      </c>
      <c r="P455" s="3">
        <v>322430</v>
      </c>
      <c r="Q455" s="3">
        <v>0.71998163282500605</v>
      </c>
      <c r="R455" s="3">
        <v>16.289440517038599</v>
      </c>
      <c r="S455" s="3">
        <v>0.43356643356643398</v>
      </c>
      <c r="T455" s="3">
        <v>2.71657258404246E-2</v>
      </c>
      <c r="U455" s="3">
        <v>1993</v>
      </c>
      <c r="V455" s="3">
        <v>28</v>
      </c>
      <c r="W455" s="3">
        <v>0</v>
      </c>
      <c r="X455" s="3" t="s">
        <v>471</v>
      </c>
      <c r="Y455" s="4" t="s">
        <v>538</v>
      </c>
      <c r="Z455" s="3" t="s">
        <v>34</v>
      </c>
      <c r="AA455" s="5">
        <f t="shared" si="21"/>
        <v>0.71998163282500605</v>
      </c>
      <c r="AB455" s="5">
        <f t="shared" si="22"/>
        <v>0.43356643356643398</v>
      </c>
      <c r="AC455" s="5">
        <f t="shared" si="23"/>
        <v>2.71657258404246E-2</v>
      </c>
    </row>
    <row r="456" spans="1:29" ht="15" customHeight="1" x14ac:dyDescent="0.3">
      <c r="A456" s="3">
        <v>532</v>
      </c>
      <c r="B456" s="3">
        <v>107</v>
      </c>
      <c r="C456" s="3" t="s">
        <v>536</v>
      </c>
      <c r="D456" s="4" t="s">
        <v>537</v>
      </c>
      <c r="E456" s="3" t="s">
        <v>31</v>
      </c>
      <c r="F456" s="3">
        <v>2022</v>
      </c>
      <c r="G456" s="3">
        <v>0</v>
      </c>
      <c r="H456" s="3">
        <v>0</v>
      </c>
      <c r="I456" s="3">
        <v>0</v>
      </c>
      <c r="J456" s="3">
        <v>0</v>
      </c>
      <c r="K456" s="3">
        <v>16005000000</v>
      </c>
      <c r="L456" s="3">
        <v>0.10440000000000001</v>
      </c>
      <c r="M456" s="3">
        <v>1670922</v>
      </c>
      <c r="N456" s="3">
        <v>5349000</v>
      </c>
      <c r="O456" s="3">
        <v>12371000</v>
      </c>
      <c r="P456" s="3">
        <v>594590</v>
      </c>
      <c r="Q456" s="3">
        <v>0.56744984237329199</v>
      </c>
      <c r="R456" s="3">
        <v>16.330865581845</v>
      </c>
      <c r="S456" s="3">
        <v>0.43238218414032797</v>
      </c>
      <c r="T456" s="3">
        <v>4.8063212351467099E-2</v>
      </c>
      <c r="U456" s="3">
        <v>1993</v>
      </c>
      <c r="V456" s="3">
        <v>29</v>
      </c>
      <c r="W456" s="3">
        <v>0</v>
      </c>
      <c r="X456" s="3" t="s">
        <v>471</v>
      </c>
      <c r="Y456" s="4" t="s">
        <v>539</v>
      </c>
      <c r="Z456" s="3" t="s">
        <v>34</v>
      </c>
      <c r="AA456" s="5">
        <f t="shared" si="21"/>
        <v>0.56744984237329199</v>
      </c>
      <c r="AB456" s="5">
        <f t="shared" si="22"/>
        <v>0.43238218414032797</v>
      </c>
      <c r="AC456" s="5">
        <f t="shared" si="23"/>
        <v>4.8063212351467099E-2</v>
      </c>
    </row>
    <row r="457" spans="1:29" ht="15" customHeight="1" x14ac:dyDescent="0.3">
      <c r="A457" s="3">
        <v>533</v>
      </c>
      <c r="B457" s="3">
        <v>107</v>
      </c>
      <c r="C457" s="3" t="s">
        <v>536</v>
      </c>
      <c r="D457" s="4" t="s">
        <v>537</v>
      </c>
      <c r="E457" s="3" t="s">
        <v>31</v>
      </c>
      <c r="F457" s="3">
        <v>2023</v>
      </c>
      <c r="G457" s="3">
        <v>1</v>
      </c>
      <c r="H457" s="3">
        <v>0</v>
      </c>
      <c r="I457" s="3">
        <v>0</v>
      </c>
      <c r="J457" s="3">
        <v>0</v>
      </c>
      <c r="K457" s="3">
        <v>16005000000</v>
      </c>
      <c r="L457" s="3">
        <v>0.15809999999999999</v>
      </c>
      <c r="M457" s="3">
        <v>2530390.5</v>
      </c>
      <c r="N457" s="3">
        <v>7048000</v>
      </c>
      <c r="O457" s="3">
        <v>18848000</v>
      </c>
      <c r="P457" s="3">
        <v>1943000</v>
      </c>
      <c r="Q457" s="3">
        <v>0.50819134656196896</v>
      </c>
      <c r="R457" s="3">
        <v>16.751917365433499</v>
      </c>
      <c r="S457" s="3">
        <v>0.37393887945670601</v>
      </c>
      <c r="T457" s="3">
        <v>0.103087860780985</v>
      </c>
      <c r="U457" s="3">
        <v>1993</v>
      </c>
      <c r="V457" s="3">
        <v>30</v>
      </c>
      <c r="W457" s="3">
        <v>0</v>
      </c>
      <c r="X457" s="3" t="s">
        <v>471</v>
      </c>
      <c r="Y457" s="4" t="s">
        <v>540</v>
      </c>
      <c r="Z457" s="3" t="s">
        <v>34</v>
      </c>
      <c r="AA457" s="5">
        <f t="shared" si="21"/>
        <v>0.50819134656196896</v>
      </c>
      <c r="AB457" s="5">
        <f t="shared" si="22"/>
        <v>0.37393887945670601</v>
      </c>
      <c r="AC457" s="5">
        <f t="shared" si="23"/>
        <v>0.103087860780985</v>
      </c>
    </row>
    <row r="458" spans="1:29" ht="15" customHeight="1" x14ac:dyDescent="0.3">
      <c r="A458" s="3">
        <v>534</v>
      </c>
      <c r="B458" s="3">
        <v>107</v>
      </c>
      <c r="C458" s="3" t="s">
        <v>536</v>
      </c>
      <c r="D458" s="4" t="s">
        <v>537</v>
      </c>
      <c r="E458" s="3" t="s">
        <v>31</v>
      </c>
      <c r="F458" s="3">
        <v>2024</v>
      </c>
      <c r="G458" s="3">
        <v>1</v>
      </c>
      <c r="H458" s="3">
        <v>0</v>
      </c>
      <c r="I458" s="3">
        <v>5</v>
      </c>
      <c r="J458" s="3">
        <v>0</v>
      </c>
      <c r="K458" s="3">
        <v>16005000000</v>
      </c>
      <c r="L458" s="3">
        <v>0.56230000000000002</v>
      </c>
      <c r="M458" s="3">
        <v>8999611.5</v>
      </c>
      <c r="N458" s="3">
        <v>7790000</v>
      </c>
      <c r="O458" s="3">
        <v>21857000</v>
      </c>
      <c r="P458" s="3">
        <v>2266000</v>
      </c>
      <c r="Q458" s="3">
        <v>0.76815718076588702</v>
      </c>
      <c r="R458" s="3">
        <v>16.9000317943323</v>
      </c>
      <c r="S458" s="3">
        <v>0.35640755821933501</v>
      </c>
      <c r="T458" s="3">
        <v>0.103673880221439</v>
      </c>
      <c r="U458" s="3">
        <v>1993</v>
      </c>
      <c r="V458" s="3">
        <v>31</v>
      </c>
      <c r="W458" s="3">
        <v>0</v>
      </c>
      <c r="X458" s="3" t="s">
        <v>471</v>
      </c>
      <c r="Y458" s="4" t="s">
        <v>541</v>
      </c>
      <c r="Z458" s="3" t="s">
        <v>34</v>
      </c>
      <c r="AA458" s="5">
        <f t="shared" si="21"/>
        <v>0.76815718076588702</v>
      </c>
      <c r="AB458" s="5">
        <f t="shared" si="22"/>
        <v>0.35640755821933501</v>
      </c>
      <c r="AC458" s="5">
        <f t="shared" si="23"/>
        <v>0.103673880221439</v>
      </c>
    </row>
    <row r="459" spans="1:29" ht="15" customHeight="1" x14ac:dyDescent="0.3">
      <c r="A459" s="3">
        <v>535</v>
      </c>
      <c r="B459" s="3">
        <v>107</v>
      </c>
      <c r="C459" s="3" t="s">
        <v>536</v>
      </c>
      <c r="D459" s="4" t="s">
        <v>537</v>
      </c>
      <c r="E459" s="3" t="s">
        <v>31</v>
      </c>
      <c r="F459" s="3">
        <v>2025</v>
      </c>
      <c r="G459" s="3">
        <v>1</v>
      </c>
      <c r="H459" s="3">
        <v>0</v>
      </c>
      <c r="I459" s="3">
        <v>10</v>
      </c>
      <c r="J459" s="3">
        <v>0</v>
      </c>
      <c r="K459" s="3">
        <v>16024000000</v>
      </c>
      <c r="L459" s="3">
        <v>1.079</v>
      </c>
      <c r="M459" s="3">
        <v>17289896</v>
      </c>
      <c r="N459" s="3">
        <v>7655000</v>
      </c>
      <c r="O459" s="3">
        <v>22245000</v>
      </c>
      <c r="P459" s="3">
        <v>618530</v>
      </c>
      <c r="Q459" s="3">
        <v>1.1213709148123201</v>
      </c>
      <c r="R459" s="3">
        <v>16.9176278222223</v>
      </c>
      <c r="S459" s="3">
        <v>0.34412227466846501</v>
      </c>
      <c r="T459" s="3">
        <v>2.7805349516745299E-2</v>
      </c>
      <c r="U459" s="3">
        <v>1993</v>
      </c>
      <c r="V459" s="3">
        <v>32</v>
      </c>
      <c r="W459" s="3">
        <v>0</v>
      </c>
      <c r="X459" s="3" t="s">
        <v>471</v>
      </c>
      <c r="Y459" s="4" t="s">
        <v>542</v>
      </c>
      <c r="Z459" s="3" t="s">
        <v>34</v>
      </c>
      <c r="AA459" s="5">
        <f t="shared" si="21"/>
        <v>1.1213709148123201</v>
      </c>
      <c r="AB459" s="5">
        <f t="shared" si="22"/>
        <v>0.34412227466846501</v>
      </c>
      <c r="AC459" s="5">
        <f t="shared" si="23"/>
        <v>2.7805349516745299E-2</v>
      </c>
    </row>
    <row r="460" spans="1:29" ht="15" customHeight="1" x14ac:dyDescent="0.3">
      <c r="A460" s="3">
        <v>536</v>
      </c>
      <c r="B460" s="3">
        <v>108</v>
      </c>
      <c r="C460" s="3" t="s">
        <v>543</v>
      </c>
      <c r="D460" s="4" t="s">
        <v>544</v>
      </c>
      <c r="E460" s="3" t="s">
        <v>321</v>
      </c>
      <c r="F460" s="3">
        <v>2021</v>
      </c>
      <c r="G460" s="3">
        <v>0</v>
      </c>
      <c r="H460" s="3">
        <v>0</v>
      </c>
      <c r="I460" s="3">
        <v>0</v>
      </c>
      <c r="J460" s="3">
        <v>0</v>
      </c>
      <c r="K460" s="3">
        <v>91000000</v>
      </c>
      <c r="L460" s="3">
        <v>81</v>
      </c>
      <c r="M460" s="3">
        <v>7371000</v>
      </c>
      <c r="N460" s="3">
        <v>4421501</v>
      </c>
      <c r="O460" s="3">
        <v>18586180</v>
      </c>
      <c r="P460" s="3">
        <v>4898754</v>
      </c>
      <c r="Q460" s="3">
        <v>0.63447685323181002</v>
      </c>
      <c r="R460" s="3">
        <v>16.737928851761399</v>
      </c>
      <c r="S460" s="3">
        <v>0.23789186373961699</v>
      </c>
      <c r="T460" s="3">
        <v>0.26356970609345198</v>
      </c>
      <c r="U460" s="3">
        <v>2008</v>
      </c>
      <c r="V460" s="3">
        <v>13</v>
      </c>
      <c r="W460" s="3">
        <v>0</v>
      </c>
      <c r="X460" s="3" t="s">
        <v>545</v>
      </c>
      <c r="Y460" s="4" t="s">
        <v>546</v>
      </c>
      <c r="Z460" s="3" t="s">
        <v>34</v>
      </c>
      <c r="AA460" s="5">
        <f t="shared" si="21"/>
        <v>0.63447685323181002</v>
      </c>
      <c r="AB460" s="5">
        <f t="shared" si="22"/>
        <v>0.23789186373961699</v>
      </c>
      <c r="AC460" s="5">
        <f t="shared" si="23"/>
        <v>0.26356970609345198</v>
      </c>
    </row>
    <row r="461" spans="1:29" ht="15" customHeight="1" x14ac:dyDescent="0.3">
      <c r="A461" s="3">
        <v>537</v>
      </c>
      <c r="B461" s="3">
        <v>108</v>
      </c>
      <c r="C461" s="3" t="s">
        <v>543</v>
      </c>
      <c r="D461" s="4" t="s">
        <v>544</v>
      </c>
      <c r="E461" s="3" t="s">
        <v>321</v>
      </c>
      <c r="F461" s="3">
        <v>2022</v>
      </c>
      <c r="G461" s="3">
        <v>0</v>
      </c>
      <c r="H461" s="3">
        <v>0</v>
      </c>
      <c r="I461" s="3">
        <v>0</v>
      </c>
      <c r="J461" s="3">
        <v>0</v>
      </c>
      <c r="K461" s="3">
        <v>91000000</v>
      </c>
      <c r="L461" s="3">
        <v>81</v>
      </c>
      <c r="M461" s="3">
        <v>7371000</v>
      </c>
      <c r="N461" s="3">
        <v>1558227</v>
      </c>
      <c r="O461" s="3">
        <v>20907432</v>
      </c>
      <c r="P461" s="3">
        <v>1033885</v>
      </c>
      <c r="Q461" s="3">
        <v>0.42708387141950299</v>
      </c>
      <c r="R461" s="3">
        <v>16.855615251811098</v>
      </c>
      <c r="S461" s="3">
        <v>7.4529813130565198E-2</v>
      </c>
      <c r="T461" s="3">
        <v>4.9450597280431198E-2</v>
      </c>
      <c r="U461" s="3">
        <v>2008</v>
      </c>
      <c r="V461" s="3">
        <v>14</v>
      </c>
      <c r="W461" s="3">
        <v>0</v>
      </c>
      <c r="X461" s="3" t="s">
        <v>545</v>
      </c>
      <c r="Y461" s="4" t="s">
        <v>547</v>
      </c>
      <c r="Z461" s="3" t="s">
        <v>34</v>
      </c>
      <c r="AA461" s="5">
        <f t="shared" si="21"/>
        <v>0.42843804935676</v>
      </c>
      <c r="AB461" s="5">
        <f t="shared" si="22"/>
        <v>7.4529813130565198E-2</v>
      </c>
      <c r="AC461" s="5">
        <f t="shared" si="23"/>
        <v>4.9450597280431198E-2</v>
      </c>
    </row>
    <row r="462" spans="1:29" ht="15" customHeight="1" x14ac:dyDescent="0.3">
      <c r="A462" s="3">
        <v>538</v>
      </c>
      <c r="B462" s="3">
        <v>108</v>
      </c>
      <c r="C462" s="3" t="s">
        <v>543</v>
      </c>
      <c r="D462" s="4" t="s">
        <v>544</v>
      </c>
      <c r="E462" s="3" t="s">
        <v>321</v>
      </c>
      <c r="F462" s="3">
        <v>2023</v>
      </c>
      <c r="G462" s="3">
        <v>1</v>
      </c>
      <c r="H462" s="3">
        <v>0</v>
      </c>
      <c r="I462" s="3">
        <v>0</v>
      </c>
      <c r="J462" s="3">
        <v>0</v>
      </c>
      <c r="K462" s="3">
        <v>91000000</v>
      </c>
      <c r="L462" s="3">
        <v>81</v>
      </c>
      <c r="M462" s="3">
        <v>7371000</v>
      </c>
      <c r="N462" s="3">
        <v>1583266</v>
      </c>
      <c r="O462" s="3">
        <v>21668265</v>
      </c>
      <c r="P462" s="3">
        <v>735794</v>
      </c>
      <c r="Q462" s="3">
        <v>0.41324333074198599</v>
      </c>
      <c r="R462" s="3">
        <v>16.891359305701801</v>
      </c>
      <c r="S462" s="3">
        <v>7.30684251830961E-2</v>
      </c>
      <c r="T462" s="3">
        <v>3.3957218079066299E-2</v>
      </c>
      <c r="U462" s="3">
        <v>2008</v>
      </c>
      <c r="V462" s="3">
        <v>15</v>
      </c>
      <c r="W462" s="3">
        <v>0</v>
      </c>
      <c r="X462" s="3" t="s">
        <v>545</v>
      </c>
      <c r="Y462" s="4" t="s">
        <v>548</v>
      </c>
      <c r="Z462" s="3" t="s">
        <v>34</v>
      </c>
      <c r="AA462" s="5">
        <f t="shared" si="21"/>
        <v>0.42843804935676</v>
      </c>
      <c r="AB462" s="5">
        <f t="shared" si="22"/>
        <v>7.30684251830961E-2</v>
      </c>
      <c r="AC462" s="5">
        <f t="shared" si="23"/>
        <v>3.3957218079066299E-2</v>
      </c>
    </row>
    <row r="463" spans="1:29" ht="15" customHeight="1" x14ac:dyDescent="0.3">
      <c r="A463" s="3">
        <v>539</v>
      </c>
      <c r="B463" s="3">
        <v>108</v>
      </c>
      <c r="C463" s="3" t="s">
        <v>543</v>
      </c>
      <c r="D463" s="4" t="s">
        <v>544</v>
      </c>
      <c r="E463" s="3" t="s">
        <v>321</v>
      </c>
      <c r="F463" s="3">
        <v>2024</v>
      </c>
      <c r="G463" s="3">
        <v>1</v>
      </c>
      <c r="H463" s="3">
        <v>0</v>
      </c>
      <c r="I463" s="3">
        <v>0</v>
      </c>
      <c r="J463" s="3">
        <v>0</v>
      </c>
      <c r="K463" s="3">
        <v>101000000</v>
      </c>
      <c r="L463" s="3">
        <v>81</v>
      </c>
      <c r="M463" s="3">
        <v>8181000</v>
      </c>
      <c r="N463" s="3">
        <v>5911112</v>
      </c>
      <c r="O463" s="3">
        <v>10722766</v>
      </c>
      <c r="P463" s="3">
        <v>-2338179</v>
      </c>
      <c r="Q463" s="3">
        <v>1.3142235874586801</v>
      </c>
      <c r="R463" s="3">
        <v>16.187879702712902</v>
      </c>
      <c r="S463" s="3">
        <v>0.55126746214549505</v>
      </c>
      <c r="T463" s="3">
        <v>-0.21805744898284601</v>
      </c>
      <c r="U463" s="3">
        <v>2008</v>
      </c>
      <c r="V463" s="3">
        <v>16</v>
      </c>
      <c r="W463" s="3">
        <v>0</v>
      </c>
      <c r="X463" s="3" t="s">
        <v>545</v>
      </c>
      <c r="Y463" s="4" t="s">
        <v>549</v>
      </c>
      <c r="Z463" s="3" t="s">
        <v>34</v>
      </c>
      <c r="AA463" s="5">
        <f t="shared" si="21"/>
        <v>1.3142235874586801</v>
      </c>
      <c r="AB463" s="5">
        <f t="shared" si="22"/>
        <v>0.55126746214549505</v>
      </c>
      <c r="AC463" s="5">
        <f t="shared" si="23"/>
        <v>-0.21805744898284601</v>
      </c>
    </row>
    <row r="464" spans="1:29" ht="15" customHeight="1" x14ac:dyDescent="0.3">
      <c r="A464" s="3">
        <v>540</v>
      </c>
      <c r="B464" s="3">
        <v>108</v>
      </c>
      <c r="C464" s="3" t="s">
        <v>543</v>
      </c>
      <c r="D464" s="4" t="s">
        <v>544</v>
      </c>
      <c r="E464" s="3" t="s">
        <v>321</v>
      </c>
      <c r="F464" s="3">
        <v>2025</v>
      </c>
      <c r="G464" s="3">
        <v>1</v>
      </c>
      <c r="H464" s="3">
        <v>0</v>
      </c>
      <c r="I464" s="3">
        <v>0</v>
      </c>
      <c r="J464" s="3">
        <v>0</v>
      </c>
      <c r="K464" s="3">
        <v>101000000</v>
      </c>
      <c r="L464" s="3">
        <v>81</v>
      </c>
      <c r="M464" s="3">
        <v>8181000</v>
      </c>
      <c r="N464" s="3">
        <v>7730586</v>
      </c>
      <c r="O464" s="3">
        <v>9775962</v>
      </c>
      <c r="P464" s="3">
        <v>-5984281</v>
      </c>
      <c r="Q464" s="3">
        <v>1.6276235525465399</v>
      </c>
      <c r="R464" s="3">
        <v>16.095437073315601</v>
      </c>
      <c r="S464" s="3">
        <v>0.79077496414163595</v>
      </c>
      <c r="T464" s="3">
        <v>-0.61214241626553001</v>
      </c>
      <c r="U464" s="3">
        <v>2008</v>
      </c>
      <c r="V464" s="3">
        <v>17</v>
      </c>
      <c r="W464" s="3">
        <v>0</v>
      </c>
      <c r="X464" s="3" t="s">
        <v>545</v>
      </c>
      <c r="Y464" s="4" t="s">
        <v>550</v>
      </c>
      <c r="Z464" s="3" t="s">
        <v>34</v>
      </c>
      <c r="AA464" s="5">
        <f t="shared" si="21"/>
        <v>1.6276235525465399</v>
      </c>
      <c r="AB464" s="5">
        <f t="shared" si="22"/>
        <v>0.79077496414163595</v>
      </c>
      <c r="AC464" s="5">
        <f t="shared" si="23"/>
        <v>-0.61214241626553001</v>
      </c>
    </row>
    <row r="465" spans="1:29" ht="15" customHeight="1" x14ac:dyDescent="0.3">
      <c r="A465" s="3">
        <v>541</v>
      </c>
      <c r="B465" s="3">
        <v>109</v>
      </c>
      <c r="C465" s="3" t="s">
        <v>551</v>
      </c>
      <c r="D465" s="4" t="s">
        <v>552</v>
      </c>
      <c r="E465" s="3" t="s">
        <v>31</v>
      </c>
      <c r="F465" s="3">
        <v>2021</v>
      </c>
      <c r="G465" s="3">
        <v>0</v>
      </c>
      <c r="H465" s="3">
        <v>0</v>
      </c>
      <c r="I465" s="3">
        <v>0</v>
      </c>
      <c r="J465" s="3">
        <v>0</v>
      </c>
      <c r="K465" s="3">
        <v>5145000000</v>
      </c>
      <c r="L465" s="3">
        <v>0.88049999999999995</v>
      </c>
      <c r="M465" s="3">
        <v>4530172.5</v>
      </c>
      <c r="N465" s="3">
        <v>12254000</v>
      </c>
      <c r="O465" s="3">
        <v>14263000</v>
      </c>
      <c r="P465" s="3">
        <v>-1697000</v>
      </c>
      <c r="Q465" s="3">
        <v>1.17676312837412</v>
      </c>
      <c r="R465" s="3">
        <v>16.473179329505601</v>
      </c>
      <c r="S465" s="3">
        <v>0.859146042207109</v>
      </c>
      <c r="T465" s="3">
        <v>-0.118979176891257</v>
      </c>
      <c r="U465" s="3">
        <v>1969</v>
      </c>
      <c r="V465" s="3">
        <v>52</v>
      </c>
      <c r="W465" s="3">
        <v>1</v>
      </c>
      <c r="X465" s="3" t="s">
        <v>553</v>
      </c>
      <c r="Y465" s="4" t="s">
        <v>554</v>
      </c>
      <c r="Z465" s="3" t="s">
        <v>34</v>
      </c>
      <c r="AA465" s="5">
        <f t="shared" si="21"/>
        <v>1.17676312837412</v>
      </c>
      <c r="AB465" s="5">
        <f t="shared" si="22"/>
        <v>0.859146042207109</v>
      </c>
      <c r="AC465" s="5">
        <f t="shared" si="23"/>
        <v>-0.118979176891257</v>
      </c>
    </row>
    <row r="466" spans="1:29" ht="15" customHeight="1" x14ac:dyDescent="0.3">
      <c r="A466" s="3">
        <v>542</v>
      </c>
      <c r="B466" s="3">
        <v>109</v>
      </c>
      <c r="C466" s="3" t="s">
        <v>551</v>
      </c>
      <c r="D466" s="4" t="s">
        <v>552</v>
      </c>
      <c r="E466" s="3" t="s">
        <v>31</v>
      </c>
      <c r="F466" s="3">
        <v>2022</v>
      </c>
      <c r="G466" s="3">
        <v>0</v>
      </c>
      <c r="H466" s="3">
        <v>0</v>
      </c>
      <c r="I466" s="3">
        <v>0</v>
      </c>
      <c r="J466" s="3">
        <v>0</v>
      </c>
      <c r="K466" s="3">
        <v>5145000000</v>
      </c>
      <c r="L466" s="3">
        <v>1.0591999999999999</v>
      </c>
      <c r="M466" s="3">
        <v>5449584</v>
      </c>
      <c r="N466" s="3">
        <v>5523000</v>
      </c>
      <c r="O466" s="3">
        <v>7628000</v>
      </c>
      <c r="P466" s="3">
        <v>-289210</v>
      </c>
      <c r="Q466" s="3">
        <v>1.4384614577871</v>
      </c>
      <c r="R466" s="3">
        <v>15.847336245702399</v>
      </c>
      <c r="S466" s="3">
        <v>0.72404299947561601</v>
      </c>
      <c r="T466" s="3">
        <v>-3.7914263240692199E-2</v>
      </c>
      <c r="U466" s="3">
        <v>1969</v>
      </c>
      <c r="V466" s="3">
        <v>53</v>
      </c>
      <c r="W466" s="3">
        <v>1</v>
      </c>
      <c r="X466" s="3" t="s">
        <v>553</v>
      </c>
      <c r="Y466" s="4" t="s">
        <v>555</v>
      </c>
      <c r="Z466" s="3" t="s">
        <v>34</v>
      </c>
      <c r="AA466" s="5">
        <f t="shared" si="21"/>
        <v>1.4384614577871</v>
      </c>
      <c r="AB466" s="5">
        <f t="shared" si="22"/>
        <v>0.72404299947561601</v>
      </c>
      <c r="AC466" s="5">
        <f t="shared" si="23"/>
        <v>-3.7914263240692199E-2</v>
      </c>
    </row>
    <row r="467" spans="1:29" ht="15" customHeight="1" x14ac:dyDescent="0.3">
      <c r="A467" s="3">
        <v>543</v>
      </c>
      <c r="B467" s="3">
        <v>109</v>
      </c>
      <c r="C467" s="3" t="s">
        <v>551</v>
      </c>
      <c r="D467" s="4" t="s">
        <v>552</v>
      </c>
      <c r="E467" s="3" t="s">
        <v>31</v>
      </c>
      <c r="F467" s="3">
        <v>2023</v>
      </c>
      <c r="G467" s="3">
        <v>1</v>
      </c>
      <c r="H467" s="3">
        <v>0</v>
      </c>
      <c r="I467" s="3">
        <v>25</v>
      </c>
      <c r="J467" s="3">
        <v>20</v>
      </c>
      <c r="K467" s="3">
        <v>5145000000</v>
      </c>
      <c r="L467" s="3">
        <v>0.62980000000000003</v>
      </c>
      <c r="M467" s="3">
        <v>3240321</v>
      </c>
      <c r="N467" s="3">
        <v>4279000</v>
      </c>
      <c r="O467" s="3">
        <v>8070000</v>
      </c>
      <c r="P467" s="3">
        <v>-206220</v>
      </c>
      <c r="Q467" s="3">
        <v>0.93176220570012402</v>
      </c>
      <c r="R467" s="3">
        <v>15.903664040246101</v>
      </c>
      <c r="S467" s="3">
        <v>0.53023543990086697</v>
      </c>
      <c r="T467" s="3">
        <v>-2.5553903345724899E-2</v>
      </c>
      <c r="U467" s="3">
        <v>1969</v>
      </c>
      <c r="V467" s="3">
        <v>54</v>
      </c>
      <c r="W467" s="3">
        <v>0</v>
      </c>
      <c r="X467" s="3" t="s">
        <v>553</v>
      </c>
      <c r="Y467" s="4" t="s">
        <v>556</v>
      </c>
      <c r="Z467" s="3" t="s">
        <v>34</v>
      </c>
      <c r="AA467" s="5">
        <f t="shared" si="21"/>
        <v>0.93176220570012402</v>
      </c>
      <c r="AB467" s="5">
        <f t="shared" si="22"/>
        <v>0.53023543990086697</v>
      </c>
      <c r="AC467" s="5">
        <f t="shared" si="23"/>
        <v>-2.5553903345724899E-2</v>
      </c>
    </row>
    <row r="468" spans="1:29" ht="15" customHeight="1" x14ac:dyDescent="0.3">
      <c r="A468" s="3">
        <v>544</v>
      </c>
      <c r="B468" s="3">
        <v>109</v>
      </c>
      <c r="C468" s="3" t="s">
        <v>551</v>
      </c>
      <c r="D468" s="4" t="s">
        <v>552</v>
      </c>
      <c r="E468" s="3" t="s">
        <v>31</v>
      </c>
      <c r="F468" s="3">
        <v>2024</v>
      </c>
      <c r="G468" s="3">
        <v>1</v>
      </c>
      <c r="H468" s="3">
        <v>0</v>
      </c>
      <c r="I468" s="3">
        <v>25</v>
      </c>
      <c r="J468" s="3">
        <v>20</v>
      </c>
      <c r="K468" s="3">
        <v>7738000000</v>
      </c>
      <c r="L468" s="3">
        <v>1.0688</v>
      </c>
      <c r="M468" s="3">
        <v>8270374.4000000004</v>
      </c>
      <c r="N468" s="3">
        <v>2949000</v>
      </c>
      <c r="O468" s="3">
        <v>9205000</v>
      </c>
      <c r="P468" s="3">
        <v>1006000</v>
      </c>
      <c r="Q468" s="3">
        <v>1.2188348071700199</v>
      </c>
      <c r="R468" s="3">
        <v>16.035257372649301</v>
      </c>
      <c r="S468" s="3">
        <v>0.32036936447582798</v>
      </c>
      <c r="T468" s="3">
        <v>0.109288430200978</v>
      </c>
      <c r="U468" s="3">
        <v>1969</v>
      </c>
      <c r="V468" s="3">
        <v>55</v>
      </c>
      <c r="W468" s="3">
        <v>0</v>
      </c>
      <c r="X468" s="3" t="s">
        <v>553</v>
      </c>
      <c r="Y468" s="4" t="s">
        <v>557</v>
      </c>
      <c r="Z468" s="3" t="s">
        <v>34</v>
      </c>
      <c r="AA468" s="5">
        <f t="shared" si="21"/>
        <v>1.2188348071700199</v>
      </c>
      <c r="AB468" s="5">
        <f t="shared" si="22"/>
        <v>0.32036936447582798</v>
      </c>
      <c r="AC468" s="5">
        <f t="shared" si="23"/>
        <v>0.109288430200978</v>
      </c>
    </row>
    <row r="469" spans="1:29" ht="15" customHeight="1" x14ac:dyDescent="0.3">
      <c r="A469" s="3">
        <v>545</v>
      </c>
      <c r="B469" s="3">
        <v>109</v>
      </c>
      <c r="C469" s="3" t="s">
        <v>551</v>
      </c>
      <c r="D469" s="4" t="s">
        <v>552</v>
      </c>
      <c r="E469" s="3" t="s">
        <v>31</v>
      </c>
      <c r="F469" s="3">
        <v>2025</v>
      </c>
      <c r="G469" s="3">
        <v>1</v>
      </c>
      <c r="H469" s="3">
        <v>0</v>
      </c>
      <c r="I469" s="3">
        <v>25</v>
      </c>
      <c r="J469" s="3">
        <v>20</v>
      </c>
      <c r="K469" s="3">
        <v>8267000000</v>
      </c>
      <c r="L469" s="3">
        <v>1.8605</v>
      </c>
      <c r="M469" s="3">
        <v>15380753.5</v>
      </c>
      <c r="N469" s="3">
        <v>4896000</v>
      </c>
      <c r="O469" s="3">
        <v>12004000</v>
      </c>
      <c r="P469" s="3">
        <v>851430</v>
      </c>
      <c r="Q469" s="3">
        <v>1.6891664028657101</v>
      </c>
      <c r="R469" s="3">
        <v>16.300750485542402</v>
      </c>
      <c r="S469" s="3">
        <v>0.40786404531822701</v>
      </c>
      <c r="T469" s="3">
        <v>7.0928857047650798E-2</v>
      </c>
      <c r="U469" s="3">
        <v>1969</v>
      </c>
      <c r="V469" s="3">
        <v>56</v>
      </c>
      <c r="W469" s="3">
        <v>0</v>
      </c>
      <c r="X469" s="3" t="s">
        <v>553</v>
      </c>
      <c r="Y469" s="4" t="s">
        <v>558</v>
      </c>
      <c r="Z469" s="3" t="s">
        <v>34</v>
      </c>
      <c r="AA469" s="5">
        <f t="shared" si="21"/>
        <v>1.6891664028657101</v>
      </c>
      <c r="AB469" s="5">
        <f t="shared" si="22"/>
        <v>0.40786404531822701</v>
      </c>
      <c r="AC469" s="5">
        <f t="shared" si="23"/>
        <v>7.0928857047650798E-2</v>
      </c>
    </row>
    <row r="470" spans="1:29" ht="15" customHeight="1" x14ac:dyDescent="0.3">
      <c r="A470" s="3">
        <v>546</v>
      </c>
      <c r="B470" s="3">
        <v>110</v>
      </c>
      <c r="C470" s="3" t="s">
        <v>559</v>
      </c>
      <c r="D470" s="4" t="s">
        <v>560</v>
      </c>
      <c r="E470" s="3" t="s">
        <v>41</v>
      </c>
      <c r="F470" s="3">
        <v>2021</v>
      </c>
      <c r="G470" s="3">
        <v>0</v>
      </c>
      <c r="H470" s="3">
        <v>0</v>
      </c>
      <c r="I470" s="3">
        <v>0</v>
      </c>
      <c r="J470" s="3">
        <v>0</v>
      </c>
      <c r="K470" s="3">
        <v>1176000000</v>
      </c>
      <c r="L470" s="3">
        <v>0.2</v>
      </c>
      <c r="M470" s="3">
        <v>235200</v>
      </c>
      <c r="N470" s="3">
        <v>17302000</v>
      </c>
      <c r="O470" s="3">
        <v>9195000</v>
      </c>
      <c r="P470" s="3">
        <v>-766430</v>
      </c>
      <c r="Q470" s="3">
        <v>1.9072539423599799</v>
      </c>
      <c r="R470" s="3">
        <v>16.034170416020601</v>
      </c>
      <c r="S470" s="3">
        <v>1.8816748232735201</v>
      </c>
      <c r="T470" s="3">
        <v>-8.33529091897771E-2</v>
      </c>
      <c r="U470" s="3">
        <v>1957</v>
      </c>
      <c r="V470" s="3">
        <v>64</v>
      </c>
      <c r="W470" s="3">
        <v>0</v>
      </c>
      <c r="X470" s="3" t="s">
        <v>561</v>
      </c>
      <c r="Y470" s="4" t="s">
        <v>562</v>
      </c>
      <c r="Z470" s="3" t="s">
        <v>34</v>
      </c>
      <c r="AA470" s="5">
        <f t="shared" si="21"/>
        <v>1.9072539423599799</v>
      </c>
      <c r="AB470" s="5">
        <f t="shared" si="22"/>
        <v>1.8816748232735201</v>
      </c>
      <c r="AC470" s="5">
        <f t="shared" si="23"/>
        <v>-8.33529091897771E-2</v>
      </c>
    </row>
    <row r="471" spans="1:29" ht="15" customHeight="1" x14ac:dyDescent="0.3">
      <c r="A471" s="3">
        <v>547</v>
      </c>
      <c r="B471" s="3">
        <v>110</v>
      </c>
      <c r="C471" s="3" t="s">
        <v>559</v>
      </c>
      <c r="D471" s="4" t="s">
        <v>560</v>
      </c>
      <c r="E471" s="3" t="s">
        <v>41</v>
      </c>
      <c r="F471" s="3">
        <v>2022</v>
      </c>
      <c r="G471" s="3">
        <v>0</v>
      </c>
      <c r="H471" s="3">
        <v>0</v>
      </c>
      <c r="I471" s="3">
        <v>0</v>
      </c>
      <c r="J471" s="3">
        <v>0</v>
      </c>
      <c r="K471" s="3">
        <v>1176000000</v>
      </c>
      <c r="L471" s="3">
        <v>0.2601</v>
      </c>
      <c r="M471" s="3">
        <v>305877.59999999998</v>
      </c>
      <c r="N471" s="3">
        <v>17240000</v>
      </c>
      <c r="O471" s="3">
        <v>9244000</v>
      </c>
      <c r="P471" s="3">
        <v>123350</v>
      </c>
      <c r="Q471" s="3">
        <v>1.89808282128949</v>
      </c>
      <c r="R471" s="3">
        <v>16.039485250376401</v>
      </c>
      <c r="S471" s="3">
        <v>1.8649935093033301</v>
      </c>
      <c r="T471" s="3">
        <v>1.33437905668542E-2</v>
      </c>
      <c r="U471" s="3">
        <v>1957</v>
      </c>
      <c r="V471" s="3">
        <v>65</v>
      </c>
      <c r="W471" s="3">
        <v>0</v>
      </c>
      <c r="X471" s="3" t="s">
        <v>561</v>
      </c>
      <c r="Y471" s="4" t="s">
        <v>563</v>
      </c>
      <c r="Z471" s="3" t="s">
        <v>34</v>
      </c>
      <c r="AA471" s="5">
        <f t="shared" si="21"/>
        <v>1.89808282128949</v>
      </c>
      <c r="AB471" s="5">
        <f t="shared" si="22"/>
        <v>1.8649935093033301</v>
      </c>
      <c r="AC471" s="5">
        <f t="shared" si="23"/>
        <v>1.33437905668542E-2</v>
      </c>
    </row>
    <row r="472" spans="1:29" ht="15" customHeight="1" x14ac:dyDescent="0.3">
      <c r="A472" s="3">
        <v>548</v>
      </c>
      <c r="B472" s="3">
        <v>110</v>
      </c>
      <c r="C472" s="3" t="s">
        <v>559</v>
      </c>
      <c r="D472" s="4" t="s">
        <v>560</v>
      </c>
      <c r="E472" s="3" t="s">
        <v>41</v>
      </c>
      <c r="F472" s="3">
        <v>2023</v>
      </c>
      <c r="G472" s="3">
        <v>1</v>
      </c>
      <c r="H472" s="3">
        <v>0</v>
      </c>
      <c r="I472" s="3">
        <v>0</v>
      </c>
      <c r="J472" s="3">
        <v>0</v>
      </c>
      <c r="K472" s="3">
        <v>1176000000</v>
      </c>
      <c r="L472" s="3">
        <v>0.61019999999999996</v>
      </c>
      <c r="M472" s="3">
        <v>717595.2</v>
      </c>
      <c r="N472" s="3">
        <v>19855000</v>
      </c>
      <c r="O472" s="3">
        <v>10607000</v>
      </c>
      <c r="P472" s="3">
        <v>-1243000</v>
      </c>
      <c r="Q472" s="3">
        <v>1.93953004619591</v>
      </c>
      <c r="R472" s="3">
        <v>16.177024718487601</v>
      </c>
      <c r="S472" s="3">
        <v>1.87187706231734</v>
      </c>
      <c r="T472" s="3">
        <v>-0.11718676345809401</v>
      </c>
      <c r="U472" s="3">
        <v>1957</v>
      </c>
      <c r="V472" s="3">
        <v>66</v>
      </c>
      <c r="W472" s="3">
        <v>0</v>
      </c>
      <c r="X472" s="3" t="s">
        <v>561</v>
      </c>
      <c r="Y472" s="4" t="s">
        <v>564</v>
      </c>
      <c r="Z472" s="3" t="s">
        <v>34</v>
      </c>
      <c r="AA472" s="5">
        <f t="shared" si="21"/>
        <v>1.93953004619591</v>
      </c>
      <c r="AB472" s="5">
        <f t="shared" si="22"/>
        <v>1.87187706231734</v>
      </c>
      <c r="AC472" s="5">
        <f t="shared" si="23"/>
        <v>-0.11718676345809401</v>
      </c>
    </row>
    <row r="473" spans="1:29" ht="15" customHeight="1" x14ac:dyDescent="0.3">
      <c r="A473" s="3">
        <v>549</v>
      </c>
      <c r="B473" s="3">
        <v>110</v>
      </c>
      <c r="C473" s="3" t="s">
        <v>559</v>
      </c>
      <c r="D473" s="4" t="s">
        <v>560</v>
      </c>
      <c r="E473" s="3" t="s">
        <v>41</v>
      </c>
      <c r="F473" s="3">
        <v>2024</v>
      </c>
      <c r="G473" s="3">
        <v>1</v>
      </c>
      <c r="H473" s="3">
        <v>0</v>
      </c>
      <c r="I473" s="3">
        <v>5</v>
      </c>
      <c r="J473" s="3">
        <v>0</v>
      </c>
      <c r="K473" s="3">
        <v>1176000000</v>
      </c>
      <c r="L473" s="3">
        <v>2.5</v>
      </c>
      <c r="M473" s="3">
        <v>2940000</v>
      </c>
      <c r="N473" s="3">
        <v>21140000</v>
      </c>
      <c r="O473" s="3">
        <v>12661000</v>
      </c>
      <c r="P473" s="3">
        <v>809250</v>
      </c>
      <c r="Q473" s="3">
        <v>1.9019034831371899</v>
      </c>
      <c r="R473" s="3">
        <v>16.354036960502398</v>
      </c>
      <c r="S473" s="3">
        <v>1.66969433694021</v>
      </c>
      <c r="T473" s="3">
        <v>6.3916752231261406E-2</v>
      </c>
      <c r="U473" s="3">
        <v>1957</v>
      </c>
      <c r="V473" s="3">
        <v>67</v>
      </c>
      <c r="W473" s="3">
        <v>0</v>
      </c>
      <c r="X473" s="3" t="s">
        <v>561</v>
      </c>
      <c r="Y473" s="4" t="s">
        <v>565</v>
      </c>
      <c r="Z473" s="3" t="s">
        <v>34</v>
      </c>
      <c r="AA473" s="5">
        <f t="shared" si="21"/>
        <v>1.9019034831371899</v>
      </c>
      <c r="AB473" s="5">
        <f t="shared" si="22"/>
        <v>1.66969433694021</v>
      </c>
      <c r="AC473" s="5">
        <f t="shared" si="23"/>
        <v>6.3916752231261406E-2</v>
      </c>
    </row>
    <row r="474" spans="1:29" ht="15" customHeight="1" x14ac:dyDescent="0.3">
      <c r="A474" s="3">
        <v>550</v>
      </c>
      <c r="B474" s="3">
        <v>110</v>
      </c>
      <c r="C474" s="3" t="s">
        <v>559</v>
      </c>
      <c r="D474" s="4" t="s">
        <v>560</v>
      </c>
      <c r="E474" s="3" t="s">
        <v>41</v>
      </c>
      <c r="F474" s="3">
        <v>2025</v>
      </c>
      <c r="G474" s="3">
        <v>1</v>
      </c>
      <c r="H474" s="3">
        <v>0</v>
      </c>
      <c r="I474" s="3">
        <v>5</v>
      </c>
      <c r="J474" s="3">
        <v>0</v>
      </c>
      <c r="K474" s="3">
        <v>1176000000</v>
      </c>
      <c r="L474" s="3">
        <v>3.5030000000000001</v>
      </c>
      <c r="M474" s="3">
        <v>4119528</v>
      </c>
      <c r="N474" s="3">
        <v>24949000</v>
      </c>
      <c r="O474" s="3">
        <v>19288000</v>
      </c>
      <c r="P474" s="3">
        <v>2802000</v>
      </c>
      <c r="Q474" s="3">
        <v>1.50707839070925</v>
      </c>
      <c r="R474" s="3">
        <v>16.774993698843101</v>
      </c>
      <c r="S474" s="3">
        <v>1.2934985483201999</v>
      </c>
      <c r="T474" s="3">
        <v>0.145271671505599</v>
      </c>
      <c r="U474" s="3">
        <v>1957</v>
      </c>
      <c r="V474" s="3">
        <v>68</v>
      </c>
      <c r="W474" s="3">
        <v>0</v>
      </c>
      <c r="X474" s="3" t="s">
        <v>561</v>
      </c>
      <c r="Y474" s="4" t="s">
        <v>566</v>
      </c>
      <c r="Z474" s="3" t="s">
        <v>34</v>
      </c>
      <c r="AA474" s="5">
        <f t="shared" si="21"/>
        <v>1.50707839070925</v>
      </c>
      <c r="AB474" s="5">
        <f t="shared" si="22"/>
        <v>1.2934985483201999</v>
      </c>
      <c r="AC474" s="5">
        <f t="shared" si="23"/>
        <v>0.145271671505599</v>
      </c>
    </row>
    <row r="475" spans="1:29" ht="15" customHeight="1" x14ac:dyDescent="0.3">
      <c r="A475" s="3">
        <v>551</v>
      </c>
      <c r="B475" s="3">
        <v>111</v>
      </c>
      <c r="C475" s="3" t="s">
        <v>567</v>
      </c>
      <c r="D475" s="4" t="s">
        <v>568</v>
      </c>
      <c r="E475" s="3" t="s">
        <v>225</v>
      </c>
      <c r="F475" s="3">
        <v>2021</v>
      </c>
      <c r="G475" s="3">
        <v>0</v>
      </c>
      <c r="H475" s="3">
        <v>0</v>
      </c>
      <c r="I475" s="3">
        <v>0</v>
      </c>
      <c r="J475" s="3">
        <v>0</v>
      </c>
      <c r="K475" s="3">
        <v>649830000</v>
      </c>
      <c r="L475" s="3">
        <v>1.04</v>
      </c>
      <c r="M475" s="3">
        <v>675823.2</v>
      </c>
      <c r="N475" s="3">
        <v>20583000</v>
      </c>
      <c r="O475" s="3">
        <v>23448000</v>
      </c>
      <c r="P475" s="3">
        <v>66420</v>
      </c>
      <c r="Q475" s="3">
        <v>0.90663694984646903</v>
      </c>
      <c r="R475" s="3">
        <v>16.970295761372899</v>
      </c>
      <c r="S475" s="3">
        <v>0.87781473899692897</v>
      </c>
      <c r="T475" s="3">
        <v>2.8326509723643799E-3</v>
      </c>
      <c r="U475" s="3">
        <v>1969</v>
      </c>
      <c r="V475" s="3">
        <v>52</v>
      </c>
      <c r="W475" s="3">
        <v>0</v>
      </c>
      <c r="X475" s="3" t="s">
        <v>569</v>
      </c>
      <c r="Y475" s="4" t="s">
        <v>570</v>
      </c>
      <c r="Z475" s="3" t="s">
        <v>67</v>
      </c>
      <c r="AA475" s="5">
        <f t="shared" si="21"/>
        <v>0.90663694984646903</v>
      </c>
      <c r="AB475" s="5">
        <f t="shared" si="22"/>
        <v>0.87781473899692897</v>
      </c>
      <c r="AC475" s="5">
        <f t="shared" si="23"/>
        <v>2.8326509723643799E-3</v>
      </c>
    </row>
    <row r="476" spans="1:29" ht="15" customHeight="1" x14ac:dyDescent="0.3">
      <c r="A476" s="3">
        <v>552</v>
      </c>
      <c r="B476" s="3">
        <v>111</v>
      </c>
      <c r="C476" s="3" t="s">
        <v>567</v>
      </c>
      <c r="D476" s="4" t="s">
        <v>568</v>
      </c>
      <c r="E476" s="3" t="s">
        <v>225</v>
      </c>
      <c r="F476" s="3">
        <v>2022</v>
      </c>
      <c r="G476" s="3">
        <v>0</v>
      </c>
      <c r="H476" s="3">
        <v>0</v>
      </c>
      <c r="I476" s="3">
        <v>0</v>
      </c>
      <c r="J476" s="3">
        <v>0</v>
      </c>
      <c r="K476" s="3">
        <v>649830000</v>
      </c>
      <c r="L476" s="3">
        <v>0.92</v>
      </c>
      <c r="M476" s="3">
        <v>597843.6</v>
      </c>
      <c r="N476" s="3">
        <v>14917000</v>
      </c>
      <c r="O476" s="3">
        <v>17924000</v>
      </c>
      <c r="P476" s="3">
        <v>-587180</v>
      </c>
      <c r="Q476" s="3">
        <v>0.865590470877036</v>
      </c>
      <c r="R476" s="3">
        <v>16.7016511548882</v>
      </c>
      <c r="S476" s="3">
        <v>0.83223610801160497</v>
      </c>
      <c r="T476" s="3">
        <v>-3.2759428698951099E-2</v>
      </c>
      <c r="U476" s="3">
        <v>1969</v>
      </c>
      <c r="V476" s="3">
        <v>53</v>
      </c>
      <c r="W476" s="3">
        <v>0</v>
      </c>
      <c r="X476" s="3" t="s">
        <v>569</v>
      </c>
      <c r="Y476" s="4" t="s">
        <v>571</v>
      </c>
      <c r="Z476" s="3" t="s">
        <v>67</v>
      </c>
      <c r="AA476" s="5">
        <f t="shared" si="21"/>
        <v>0.865590470877036</v>
      </c>
      <c r="AB476" s="5">
        <f t="shared" si="22"/>
        <v>0.83223610801160497</v>
      </c>
      <c r="AC476" s="5">
        <f t="shared" si="23"/>
        <v>-3.2759428698951099E-2</v>
      </c>
    </row>
    <row r="477" spans="1:29" ht="15" customHeight="1" x14ac:dyDescent="0.3">
      <c r="A477" s="3">
        <v>553</v>
      </c>
      <c r="B477" s="3">
        <v>111</v>
      </c>
      <c r="C477" s="3" t="s">
        <v>567</v>
      </c>
      <c r="D477" s="4" t="s">
        <v>568</v>
      </c>
      <c r="E477" s="3" t="s">
        <v>225</v>
      </c>
      <c r="F477" s="3">
        <v>2023</v>
      </c>
      <c r="G477" s="3">
        <v>1</v>
      </c>
      <c r="H477" s="3">
        <v>0</v>
      </c>
      <c r="I477" s="3">
        <v>0</v>
      </c>
      <c r="J477" s="3">
        <v>0</v>
      </c>
      <c r="K477" s="3">
        <v>649830000</v>
      </c>
      <c r="L477" s="3">
        <v>1.9851000000000001</v>
      </c>
      <c r="M477" s="3">
        <v>1289977.5330000001</v>
      </c>
      <c r="N477" s="3">
        <v>13411000</v>
      </c>
      <c r="O477" s="3">
        <v>15527000</v>
      </c>
      <c r="P477" s="3">
        <v>76100</v>
      </c>
      <c r="Q477" s="3">
        <v>0.94680089734011696</v>
      </c>
      <c r="R477" s="3">
        <v>16.558091001963302</v>
      </c>
      <c r="S477" s="3">
        <v>0.86372125974109604</v>
      </c>
      <c r="T477" s="3">
        <v>4.9011399497649296E-3</v>
      </c>
      <c r="U477" s="3">
        <v>1969</v>
      </c>
      <c r="V477" s="3">
        <v>54</v>
      </c>
      <c r="W477" s="3">
        <v>0</v>
      </c>
      <c r="X477" s="3" t="s">
        <v>569</v>
      </c>
      <c r="Y477" s="4" t="s">
        <v>572</v>
      </c>
      <c r="Z477" s="3" t="s">
        <v>67</v>
      </c>
      <c r="AA477" s="5">
        <f t="shared" si="21"/>
        <v>0.94680089734011696</v>
      </c>
      <c r="AB477" s="5">
        <f t="shared" si="22"/>
        <v>0.86372125974109604</v>
      </c>
      <c r="AC477" s="5">
        <f t="shared" si="23"/>
        <v>4.9011399497649296E-3</v>
      </c>
    </row>
    <row r="478" spans="1:29" ht="15" customHeight="1" x14ac:dyDescent="0.3">
      <c r="A478" s="3">
        <v>554</v>
      </c>
      <c r="B478" s="3">
        <v>111</v>
      </c>
      <c r="C478" s="3" t="s">
        <v>567</v>
      </c>
      <c r="D478" s="4" t="s">
        <v>568</v>
      </c>
      <c r="E478" s="3" t="s">
        <v>225</v>
      </c>
      <c r="F478" s="3">
        <v>2024</v>
      </c>
      <c r="G478" s="3">
        <v>1</v>
      </c>
      <c r="H478" s="3">
        <v>0</v>
      </c>
      <c r="I478" s="3">
        <v>0</v>
      </c>
      <c r="J478" s="3">
        <v>0</v>
      </c>
      <c r="K478" s="3">
        <v>649830000</v>
      </c>
      <c r="L478" s="3">
        <v>2.0621</v>
      </c>
      <c r="M478" s="3">
        <v>1340014.443</v>
      </c>
      <c r="N478" s="3">
        <v>9561000</v>
      </c>
      <c r="O478" s="3">
        <v>12006000</v>
      </c>
      <c r="P478" s="3">
        <v>157830</v>
      </c>
      <c r="Q478" s="3">
        <v>0.90796388830584696</v>
      </c>
      <c r="R478" s="3">
        <v>16.300917082793902</v>
      </c>
      <c r="S478" s="3">
        <v>0.79635182408795602</v>
      </c>
      <c r="T478" s="3">
        <v>1.31459270364818E-2</v>
      </c>
      <c r="U478" s="3">
        <v>1969</v>
      </c>
      <c r="V478" s="3">
        <v>55</v>
      </c>
      <c r="W478" s="3">
        <v>0</v>
      </c>
      <c r="X478" s="3" t="s">
        <v>569</v>
      </c>
      <c r="Y478" s="4" t="s">
        <v>573</v>
      </c>
      <c r="Z478" s="3" t="s">
        <v>67</v>
      </c>
      <c r="AA478" s="5">
        <f t="shared" si="21"/>
        <v>0.90796388830584696</v>
      </c>
      <c r="AB478" s="5">
        <f t="shared" si="22"/>
        <v>0.79635182408795602</v>
      </c>
      <c r="AC478" s="5">
        <f t="shared" si="23"/>
        <v>1.31459270364818E-2</v>
      </c>
    </row>
    <row r="479" spans="1:29" ht="15" customHeight="1" x14ac:dyDescent="0.3">
      <c r="A479" s="3">
        <v>555</v>
      </c>
      <c r="B479" s="3">
        <v>111</v>
      </c>
      <c r="C479" s="3" t="s">
        <v>567</v>
      </c>
      <c r="D479" s="4" t="s">
        <v>568</v>
      </c>
      <c r="E479" s="3" t="s">
        <v>225</v>
      </c>
      <c r="F479" s="3">
        <v>2025</v>
      </c>
      <c r="G479" s="3">
        <v>1</v>
      </c>
      <c r="H479" s="3">
        <v>0</v>
      </c>
      <c r="I479" s="3">
        <v>0</v>
      </c>
      <c r="J479" s="3">
        <v>0</v>
      </c>
      <c r="K479" s="3">
        <v>649830000</v>
      </c>
      <c r="L479" s="3">
        <v>7.0941999999999998</v>
      </c>
      <c r="M479" s="3">
        <v>4610023.9859999996</v>
      </c>
      <c r="N479" s="3">
        <v>19866000</v>
      </c>
      <c r="O479" s="3">
        <v>22998000</v>
      </c>
      <c r="P479" s="3">
        <v>462570</v>
      </c>
      <c r="Q479" s="3">
        <v>1.0642675009131199</v>
      </c>
      <c r="R479" s="3">
        <v>16.950917813590699</v>
      </c>
      <c r="S479" s="3">
        <v>0.86381424471693202</v>
      </c>
      <c r="T479" s="3">
        <v>2.0113488129402599E-2</v>
      </c>
      <c r="U479" s="3">
        <v>1969</v>
      </c>
      <c r="V479" s="3">
        <v>56</v>
      </c>
      <c r="W479" s="3">
        <v>0</v>
      </c>
      <c r="X479" s="3" t="s">
        <v>569</v>
      </c>
      <c r="Y479" s="4" t="s">
        <v>574</v>
      </c>
      <c r="Z479" s="3" t="s">
        <v>67</v>
      </c>
      <c r="AA479" s="5">
        <f t="shared" si="21"/>
        <v>1.0642675009131199</v>
      </c>
      <c r="AB479" s="5">
        <f t="shared" si="22"/>
        <v>0.86381424471693202</v>
      </c>
      <c r="AC479" s="5">
        <f t="shared" si="23"/>
        <v>2.0113488129402599E-2</v>
      </c>
    </row>
    <row r="480" spans="1:29" ht="15" customHeight="1" x14ac:dyDescent="0.3">
      <c r="A480" s="3">
        <v>556</v>
      </c>
      <c r="B480" s="3">
        <v>112</v>
      </c>
      <c r="C480" s="3" t="s">
        <v>575</v>
      </c>
      <c r="D480" s="4" t="s">
        <v>576</v>
      </c>
      <c r="E480" s="3" t="s">
        <v>99</v>
      </c>
      <c r="F480" s="3">
        <v>2021</v>
      </c>
      <c r="G480" s="3">
        <v>0</v>
      </c>
      <c r="H480" s="3">
        <v>0</v>
      </c>
      <c r="I480" s="3">
        <v>70</v>
      </c>
      <c r="J480" s="3">
        <v>73.3333333333333</v>
      </c>
      <c r="K480" s="3">
        <v>584400000</v>
      </c>
      <c r="L480" s="3">
        <v>470.35</v>
      </c>
      <c r="M480" s="3">
        <v>274872540</v>
      </c>
      <c r="N480" s="3">
        <v>601750240</v>
      </c>
      <c r="O480" s="3">
        <v>1307236270</v>
      </c>
      <c r="P480" s="3">
        <v>58596256.200000003</v>
      </c>
      <c r="Q480" s="3">
        <v>0.67059245533326595</v>
      </c>
      <c r="R480" s="3">
        <v>20.991181028013099</v>
      </c>
      <c r="S480" s="3">
        <v>0.46032247865950099</v>
      </c>
      <c r="T480" s="3">
        <v>4.4824533670565901E-2</v>
      </c>
      <c r="U480" s="3">
        <v>1988</v>
      </c>
      <c r="V480" s="3">
        <v>33</v>
      </c>
      <c r="W480" s="3">
        <v>1</v>
      </c>
      <c r="X480" s="3" t="s">
        <v>32</v>
      </c>
      <c r="Y480" s="4" t="s">
        <v>577</v>
      </c>
      <c r="Z480" s="3" t="s">
        <v>34</v>
      </c>
      <c r="AA480" s="5">
        <f t="shared" si="21"/>
        <v>0.67059245533326595</v>
      </c>
      <c r="AB480" s="5">
        <f t="shared" si="22"/>
        <v>0.46032247865950099</v>
      </c>
      <c r="AC480" s="5">
        <f t="shared" si="23"/>
        <v>4.4824533670565901E-2</v>
      </c>
    </row>
    <row r="481" spans="1:29" ht="15" customHeight="1" x14ac:dyDescent="0.3">
      <c r="A481" s="3">
        <v>557</v>
      </c>
      <c r="B481" s="3">
        <v>112</v>
      </c>
      <c r="C481" s="3" t="s">
        <v>575</v>
      </c>
      <c r="D481" s="4" t="s">
        <v>576</v>
      </c>
      <c r="E481" s="3" t="s">
        <v>99</v>
      </c>
      <c r="F481" s="3">
        <v>2022</v>
      </c>
      <c r="G481" s="3">
        <v>0</v>
      </c>
      <c r="H481" s="3">
        <v>0</v>
      </c>
      <c r="I481" s="3">
        <v>70</v>
      </c>
      <c r="J481" s="3">
        <v>73.3333333333333</v>
      </c>
      <c r="K481" s="3">
        <v>588450000</v>
      </c>
      <c r="L481" s="3">
        <v>562.62</v>
      </c>
      <c r="M481" s="3">
        <v>331073739</v>
      </c>
      <c r="N481" s="3">
        <v>725478000</v>
      </c>
      <c r="O481" s="3">
        <v>1537718000</v>
      </c>
      <c r="P481" s="3">
        <v>28802215</v>
      </c>
      <c r="Q481" s="3">
        <v>0.68709070128593197</v>
      </c>
      <c r="R481" s="3">
        <v>21.153565336211798</v>
      </c>
      <c r="S481" s="3">
        <v>0.471788715486195</v>
      </c>
      <c r="T481" s="3">
        <v>1.8730492196878799E-2</v>
      </c>
      <c r="U481" s="3">
        <v>1988</v>
      </c>
      <c r="V481" s="3">
        <v>34</v>
      </c>
      <c r="W481" s="3">
        <v>1</v>
      </c>
      <c r="X481" s="3" t="s">
        <v>32</v>
      </c>
      <c r="Y481" s="4" t="s">
        <v>578</v>
      </c>
      <c r="Z481" s="3" t="s">
        <v>34</v>
      </c>
      <c r="AA481" s="5">
        <f t="shared" si="21"/>
        <v>0.68709070128593197</v>
      </c>
      <c r="AB481" s="5">
        <f t="shared" si="22"/>
        <v>0.471788715486195</v>
      </c>
      <c r="AC481" s="5">
        <f t="shared" si="23"/>
        <v>1.8730492196878799E-2</v>
      </c>
    </row>
    <row r="482" spans="1:29" ht="15" customHeight="1" x14ac:dyDescent="0.3">
      <c r="A482" s="3">
        <v>558</v>
      </c>
      <c r="B482" s="3">
        <v>112</v>
      </c>
      <c r="C482" s="3" t="s">
        <v>575</v>
      </c>
      <c r="D482" s="4" t="s">
        <v>576</v>
      </c>
      <c r="E482" s="3" t="s">
        <v>99</v>
      </c>
      <c r="F482" s="3">
        <v>2023</v>
      </c>
      <c r="G482" s="3">
        <v>1</v>
      </c>
      <c r="H482" s="3">
        <v>1</v>
      </c>
      <c r="I482" s="3">
        <v>70</v>
      </c>
      <c r="J482" s="3">
        <v>73.3333333333333</v>
      </c>
      <c r="K482" s="3">
        <v>588450000</v>
      </c>
      <c r="L482" s="3">
        <v>1404.44</v>
      </c>
      <c r="M482" s="3">
        <v>826442718</v>
      </c>
      <c r="N482" s="3">
        <v>1440822780</v>
      </c>
      <c r="O482" s="3">
        <v>3053429050</v>
      </c>
      <c r="P482" s="3">
        <v>74766290.700000003</v>
      </c>
      <c r="Q482" s="3">
        <v>0.74253092535423404</v>
      </c>
      <c r="R482" s="3">
        <v>21.839531074726299</v>
      </c>
      <c r="S482" s="3">
        <v>0.47187039764359401</v>
      </c>
      <c r="T482" s="3">
        <v>2.4486008836524301E-2</v>
      </c>
      <c r="U482" s="3">
        <v>1988</v>
      </c>
      <c r="V482" s="3">
        <v>35</v>
      </c>
      <c r="W482" s="3">
        <v>1</v>
      </c>
      <c r="X482" s="3" t="s">
        <v>32</v>
      </c>
      <c r="Y482" s="4" t="s">
        <v>579</v>
      </c>
      <c r="Z482" s="3" t="s">
        <v>34</v>
      </c>
      <c r="AA482" s="5">
        <f t="shared" si="21"/>
        <v>0.74253092535423404</v>
      </c>
      <c r="AB482" s="5">
        <f t="shared" si="22"/>
        <v>0.47187039764359401</v>
      </c>
      <c r="AC482" s="5">
        <f t="shared" si="23"/>
        <v>2.4486008836524301E-2</v>
      </c>
    </row>
    <row r="483" spans="1:29" ht="15" customHeight="1" x14ac:dyDescent="0.3">
      <c r="A483" s="3">
        <v>559</v>
      </c>
      <c r="B483" s="3">
        <v>112</v>
      </c>
      <c r="C483" s="3" t="s">
        <v>575</v>
      </c>
      <c r="D483" s="4" t="s">
        <v>576</v>
      </c>
      <c r="E483" s="3" t="s">
        <v>99</v>
      </c>
      <c r="F483" s="3">
        <v>2024</v>
      </c>
      <c r="G483" s="3">
        <v>1</v>
      </c>
      <c r="H483" s="3">
        <v>1</v>
      </c>
      <c r="I483" s="3">
        <v>70</v>
      </c>
      <c r="J483" s="3">
        <v>73.3333333333333</v>
      </c>
      <c r="K483" s="3">
        <v>588450000</v>
      </c>
      <c r="L483" s="3">
        <v>3756.07</v>
      </c>
      <c r="M483" s="3">
        <v>2210259391.5</v>
      </c>
      <c r="N483" s="3">
        <v>7658115000</v>
      </c>
      <c r="O483" s="3">
        <v>10480980000</v>
      </c>
      <c r="P483" s="3">
        <v>235392250</v>
      </c>
      <c r="Q483" s="3">
        <v>0.94155073204032502</v>
      </c>
      <c r="R483" s="3">
        <v>23.0728280229178</v>
      </c>
      <c r="S483" s="3">
        <v>0.73066783831283</v>
      </c>
      <c r="T483" s="3">
        <v>2.2458992384299901E-2</v>
      </c>
      <c r="U483" s="3">
        <v>1988</v>
      </c>
      <c r="V483" s="3">
        <v>36</v>
      </c>
      <c r="W483" s="3">
        <v>1</v>
      </c>
      <c r="X483" s="3" t="s">
        <v>32</v>
      </c>
      <c r="Y483" s="4" t="s">
        <v>580</v>
      </c>
      <c r="Z483" s="3" t="s">
        <v>34</v>
      </c>
      <c r="AA483" s="5">
        <f t="shared" si="21"/>
        <v>0.94155073204032502</v>
      </c>
      <c r="AB483" s="5">
        <f t="shared" si="22"/>
        <v>0.73066783831283</v>
      </c>
      <c r="AC483" s="5">
        <f t="shared" si="23"/>
        <v>2.2458992384299901E-2</v>
      </c>
    </row>
    <row r="484" spans="1:29" ht="15" customHeight="1" x14ac:dyDescent="0.3">
      <c r="A484" s="3">
        <v>560</v>
      </c>
      <c r="B484" s="3">
        <v>112</v>
      </c>
      <c r="C484" s="3" t="s">
        <v>575</v>
      </c>
      <c r="D484" s="4" t="s">
        <v>576</v>
      </c>
      <c r="E484" s="3" t="s">
        <v>99</v>
      </c>
      <c r="F484" s="3">
        <v>2025</v>
      </c>
      <c r="G484" s="3">
        <v>1</v>
      </c>
      <c r="H484" s="3">
        <v>1</v>
      </c>
      <c r="I484" s="3">
        <v>70</v>
      </c>
      <c r="J484" s="3">
        <v>73.3333333333333</v>
      </c>
      <c r="K484" s="3">
        <v>588450000</v>
      </c>
      <c r="L484" s="3">
        <v>5809</v>
      </c>
      <c r="M484" s="3">
        <v>3418306050</v>
      </c>
      <c r="N484" s="3">
        <v>6149272000</v>
      </c>
      <c r="O484" s="3">
        <v>8820724600</v>
      </c>
      <c r="P484" s="3">
        <v>232251042</v>
      </c>
      <c r="Q484" s="3">
        <v>1.08467030588394</v>
      </c>
      <c r="R484" s="3">
        <v>22.900369857785702</v>
      </c>
      <c r="S484" s="3">
        <v>0.697139098980598</v>
      </c>
      <c r="T484" s="3">
        <v>2.6330154554422901E-2</v>
      </c>
      <c r="U484" s="3">
        <v>1988</v>
      </c>
      <c r="V484" s="3">
        <v>37</v>
      </c>
      <c r="W484" s="3">
        <v>1</v>
      </c>
      <c r="X484" s="3" t="s">
        <v>32</v>
      </c>
      <c r="Y484" s="4" t="s">
        <v>581</v>
      </c>
      <c r="Z484" s="3" t="s">
        <v>34</v>
      </c>
      <c r="AA484" s="5">
        <f t="shared" si="21"/>
        <v>1.08467030588394</v>
      </c>
      <c r="AB484" s="5">
        <f t="shared" si="22"/>
        <v>0.697139098980598</v>
      </c>
      <c r="AC484" s="5">
        <f t="shared" si="23"/>
        <v>2.6330154554422901E-2</v>
      </c>
    </row>
    <row r="485" spans="1:29" ht="15" customHeight="1" x14ac:dyDescent="0.3">
      <c r="A485" s="3">
        <v>566</v>
      </c>
      <c r="B485" s="3">
        <v>114</v>
      </c>
      <c r="C485" s="3" t="s">
        <v>582</v>
      </c>
      <c r="D485" s="4" t="s">
        <v>583</v>
      </c>
      <c r="E485" s="3" t="s">
        <v>41</v>
      </c>
      <c r="F485" s="3">
        <v>2021</v>
      </c>
      <c r="G485" s="3">
        <v>0</v>
      </c>
      <c r="H485" s="3">
        <v>0</v>
      </c>
      <c r="I485" s="3">
        <v>5</v>
      </c>
      <c r="J485" s="3">
        <v>0</v>
      </c>
      <c r="K485" s="3">
        <v>1354000000</v>
      </c>
      <c r="L485" s="3">
        <v>5.3</v>
      </c>
      <c r="M485" s="3">
        <v>7176200</v>
      </c>
      <c r="N485" s="3">
        <v>5266000</v>
      </c>
      <c r="O485" s="3">
        <v>24608000</v>
      </c>
      <c r="P485" s="3">
        <v>282030</v>
      </c>
      <c r="Q485" s="3">
        <v>0.505616059817945</v>
      </c>
      <c r="R485" s="3">
        <v>17.0185821512875</v>
      </c>
      <c r="S485" s="3">
        <v>0.21399544863459</v>
      </c>
      <c r="T485" s="3">
        <v>1.1460907022106601E-2</v>
      </c>
      <c r="U485" s="3">
        <v>2009</v>
      </c>
      <c r="V485" s="3">
        <v>12</v>
      </c>
      <c r="W485" s="3">
        <v>0</v>
      </c>
      <c r="X485" s="3" t="s">
        <v>584</v>
      </c>
      <c r="Y485" s="4" t="s">
        <v>585</v>
      </c>
      <c r="Z485" s="3" t="s">
        <v>34</v>
      </c>
      <c r="AA485" s="5">
        <f t="shared" si="21"/>
        <v>0.505616059817945</v>
      </c>
      <c r="AB485" s="5">
        <f t="shared" si="22"/>
        <v>0.21399544863459</v>
      </c>
      <c r="AC485" s="5">
        <f t="shared" si="23"/>
        <v>1.1460907022106601E-2</v>
      </c>
    </row>
    <row r="486" spans="1:29" ht="15" customHeight="1" x14ac:dyDescent="0.3">
      <c r="A486" s="3">
        <v>567</v>
      </c>
      <c r="B486" s="3">
        <v>114</v>
      </c>
      <c r="C486" s="3" t="s">
        <v>582</v>
      </c>
      <c r="D486" s="4" t="s">
        <v>583</v>
      </c>
      <c r="E486" s="3" t="s">
        <v>41</v>
      </c>
      <c r="F486" s="3">
        <v>2022</v>
      </c>
      <c r="G486" s="3">
        <v>0</v>
      </c>
      <c r="H486" s="3">
        <v>0</v>
      </c>
      <c r="I486" s="3">
        <v>5</v>
      </c>
      <c r="J486" s="3">
        <v>0</v>
      </c>
      <c r="K486" s="3">
        <v>1354000000</v>
      </c>
      <c r="L486" s="3">
        <v>5</v>
      </c>
      <c r="M486" s="3">
        <v>6770000</v>
      </c>
      <c r="N486" s="3">
        <v>9681000</v>
      </c>
      <c r="O486" s="3">
        <v>29219000</v>
      </c>
      <c r="P486" s="3">
        <v>309340</v>
      </c>
      <c r="Q486" s="3">
        <v>0.56302405968719005</v>
      </c>
      <c r="R486" s="3">
        <v>17.190329740566401</v>
      </c>
      <c r="S486" s="3">
        <v>0.331325507375338</v>
      </c>
      <c r="T486" s="3">
        <v>1.05869468496526E-2</v>
      </c>
      <c r="U486" s="3">
        <v>2009</v>
      </c>
      <c r="V486" s="3">
        <v>13</v>
      </c>
      <c r="W486" s="3">
        <v>0</v>
      </c>
      <c r="X486" s="3" t="s">
        <v>584</v>
      </c>
      <c r="Y486" s="4" t="s">
        <v>586</v>
      </c>
      <c r="Z486" s="3" t="s">
        <v>34</v>
      </c>
      <c r="AA486" s="5">
        <f t="shared" si="21"/>
        <v>0.56302405968719005</v>
      </c>
      <c r="AB486" s="5">
        <f t="shared" si="22"/>
        <v>0.331325507375338</v>
      </c>
      <c r="AC486" s="5">
        <f t="shared" si="23"/>
        <v>1.05869468496526E-2</v>
      </c>
    </row>
    <row r="487" spans="1:29" ht="15" customHeight="1" x14ac:dyDescent="0.3">
      <c r="A487" s="3">
        <v>568</v>
      </c>
      <c r="B487" s="3">
        <v>114</v>
      </c>
      <c r="C487" s="3" t="s">
        <v>582</v>
      </c>
      <c r="D487" s="4" t="s">
        <v>583</v>
      </c>
      <c r="E487" s="3" t="s">
        <v>41</v>
      </c>
      <c r="F487" s="3">
        <v>2023</v>
      </c>
      <c r="G487" s="3">
        <v>1</v>
      </c>
      <c r="H487" s="3">
        <v>0</v>
      </c>
      <c r="I487" s="3">
        <v>0</v>
      </c>
      <c r="J487" s="3">
        <v>0</v>
      </c>
      <c r="K487" s="3">
        <v>1354000000</v>
      </c>
      <c r="L487" s="3">
        <v>25.34</v>
      </c>
      <c r="M487" s="3">
        <v>34310360</v>
      </c>
      <c r="N487" s="3">
        <v>11286000</v>
      </c>
      <c r="O487" s="3">
        <v>34066000</v>
      </c>
      <c r="P487" s="3">
        <v>1955000</v>
      </c>
      <c r="Q487" s="3">
        <v>1.33847120295896</v>
      </c>
      <c r="R487" s="3">
        <v>17.343810377402701</v>
      </c>
      <c r="S487" s="3">
        <v>0.33129806845535098</v>
      </c>
      <c r="T487" s="3">
        <v>5.73885986027124E-2</v>
      </c>
      <c r="U487" s="3">
        <v>2009</v>
      </c>
      <c r="V487" s="3">
        <v>14</v>
      </c>
      <c r="W487" s="3">
        <v>0</v>
      </c>
      <c r="X487" s="3" t="s">
        <v>584</v>
      </c>
      <c r="Y487" s="4" t="s">
        <v>587</v>
      </c>
      <c r="Z487" s="3" t="s">
        <v>34</v>
      </c>
      <c r="AA487" s="5">
        <f t="shared" si="21"/>
        <v>1.33847120295896</v>
      </c>
      <c r="AB487" s="5">
        <f t="shared" si="22"/>
        <v>0.33129806845535098</v>
      </c>
      <c r="AC487" s="5">
        <f t="shared" si="23"/>
        <v>5.73885986027124E-2</v>
      </c>
    </row>
    <row r="488" spans="1:29" ht="15" customHeight="1" x14ac:dyDescent="0.3">
      <c r="A488" s="3">
        <v>569</v>
      </c>
      <c r="B488" s="3">
        <v>114</v>
      </c>
      <c r="C488" s="3" t="s">
        <v>582</v>
      </c>
      <c r="D488" s="4" t="s">
        <v>583</v>
      </c>
      <c r="E488" s="3" t="s">
        <v>41</v>
      </c>
      <c r="F488" s="3">
        <v>2024</v>
      </c>
      <c r="G488" s="3">
        <v>1</v>
      </c>
      <c r="H488" s="3">
        <v>0</v>
      </c>
      <c r="I488" s="3">
        <v>0</v>
      </c>
      <c r="J488" s="3">
        <v>0</v>
      </c>
      <c r="K488" s="3">
        <v>1354000000</v>
      </c>
      <c r="L488" s="3">
        <v>33.450000000000003</v>
      </c>
      <c r="M488" s="3">
        <v>45291300</v>
      </c>
      <c r="N488" s="3">
        <v>12514000</v>
      </c>
      <c r="O488" s="3">
        <v>41780000</v>
      </c>
      <c r="P488" s="3">
        <v>4834000</v>
      </c>
      <c r="Q488" s="3">
        <v>1.3835639061752001</v>
      </c>
      <c r="R488" s="3">
        <v>17.547928314092701</v>
      </c>
      <c r="S488" s="3">
        <v>0.299521302058401</v>
      </c>
      <c r="T488" s="3">
        <v>0.115701292484442</v>
      </c>
      <c r="U488" s="3">
        <v>2009</v>
      </c>
      <c r="V488" s="3">
        <v>15</v>
      </c>
      <c r="W488" s="3">
        <v>0</v>
      </c>
      <c r="X488" s="3" t="s">
        <v>584</v>
      </c>
      <c r="Y488" s="4" t="s">
        <v>588</v>
      </c>
      <c r="Z488" s="3" t="s">
        <v>34</v>
      </c>
      <c r="AA488" s="5">
        <f t="shared" si="21"/>
        <v>1.3835639061752001</v>
      </c>
      <c r="AB488" s="5">
        <f t="shared" si="22"/>
        <v>0.299521302058401</v>
      </c>
      <c r="AC488" s="5">
        <f t="shared" si="23"/>
        <v>0.115701292484442</v>
      </c>
    </row>
    <row r="489" spans="1:29" ht="15" customHeight="1" x14ac:dyDescent="0.3">
      <c r="A489" s="3">
        <v>570</v>
      </c>
      <c r="B489" s="3">
        <v>114</v>
      </c>
      <c r="C489" s="3" t="s">
        <v>582</v>
      </c>
      <c r="D489" s="4" t="s">
        <v>583</v>
      </c>
      <c r="E489" s="3" t="s">
        <v>41</v>
      </c>
      <c r="F489" s="3">
        <v>2025</v>
      </c>
      <c r="G489" s="3">
        <v>1</v>
      </c>
      <c r="H489" s="3">
        <v>0</v>
      </c>
      <c r="I489" s="3">
        <v>0</v>
      </c>
      <c r="J489" s="3">
        <v>0</v>
      </c>
      <c r="K489" s="3">
        <v>1354000000</v>
      </c>
      <c r="L489" s="3">
        <v>88.42</v>
      </c>
      <c r="M489" s="3">
        <v>119720680</v>
      </c>
      <c r="N489" s="3">
        <v>20483000</v>
      </c>
      <c r="O489" s="3">
        <v>82692000</v>
      </c>
      <c r="P489" s="3">
        <v>9742000</v>
      </c>
      <c r="Q489" s="3">
        <v>1.69549267160064</v>
      </c>
      <c r="R489" s="3">
        <v>18.230633420127301</v>
      </c>
      <c r="S489" s="3">
        <v>0.24770231703187701</v>
      </c>
      <c r="T489" s="3">
        <v>0.11781067092342699</v>
      </c>
      <c r="U489" s="3">
        <v>2009</v>
      </c>
      <c r="V489" s="3">
        <v>16</v>
      </c>
      <c r="W489" s="3">
        <v>0</v>
      </c>
      <c r="X489" s="3" t="s">
        <v>584</v>
      </c>
      <c r="Y489" s="4" t="s">
        <v>589</v>
      </c>
      <c r="Z489" s="3" t="s">
        <v>34</v>
      </c>
      <c r="AA489" s="5">
        <f t="shared" si="21"/>
        <v>1.69549267160064</v>
      </c>
      <c r="AB489" s="5">
        <f t="shared" si="22"/>
        <v>0.24770231703187701</v>
      </c>
      <c r="AC489" s="5">
        <f t="shared" si="23"/>
        <v>0.11781067092342699</v>
      </c>
    </row>
    <row r="490" spans="1:29" ht="15" customHeight="1" x14ac:dyDescent="0.3">
      <c r="A490" s="3">
        <v>571</v>
      </c>
      <c r="B490" s="3">
        <v>115</v>
      </c>
      <c r="C490" s="3" t="s">
        <v>590</v>
      </c>
      <c r="D490" s="4" t="s">
        <v>591</v>
      </c>
      <c r="E490" s="3" t="s">
        <v>31</v>
      </c>
      <c r="F490" s="3">
        <v>2021</v>
      </c>
      <c r="G490" s="3">
        <v>0</v>
      </c>
      <c r="H490" s="3">
        <v>0</v>
      </c>
      <c r="I490" s="3">
        <v>0</v>
      </c>
      <c r="J490" s="3">
        <v>0</v>
      </c>
      <c r="K490" s="3">
        <v>8593000000</v>
      </c>
      <c r="L490" s="3">
        <v>0.39679999999999999</v>
      </c>
      <c r="M490" s="3">
        <v>3409702.4</v>
      </c>
      <c r="N490" s="3">
        <v>6780000</v>
      </c>
      <c r="O490" s="3">
        <v>16397000</v>
      </c>
      <c r="P490" s="3">
        <v>974730</v>
      </c>
      <c r="Q490" s="3">
        <v>0.62143699457217805</v>
      </c>
      <c r="R490" s="3">
        <v>16.612608949232001</v>
      </c>
      <c r="S490" s="3">
        <v>0.41349027261084298</v>
      </c>
      <c r="T490" s="3">
        <v>5.9445630298225298E-2</v>
      </c>
      <c r="U490" s="3">
        <v>1980</v>
      </c>
      <c r="V490" s="3">
        <v>41</v>
      </c>
      <c r="W490" s="3">
        <v>0</v>
      </c>
      <c r="X490" s="3" t="s">
        <v>179</v>
      </c>
      <c r="Y490" s="4" t="s">
        <v>592</v>
      </c>
      <c r="Z490" s="3" t="s">
        <v>34</v>
      </c>
      <c r="AA490" s="5">
        <f t="shared" si="21"/>
        <v>0.62143699457217805</v>
      </c>
      <c r="AB490" s="5">
        <f t="shared" si="22"/>
        <v>0.41349027261084298</v>
      </c>
      <c r="AC490" s="5">
        <f t="shared" si="23"/>
        <v>5.9445630298225298E-2</v>
      </c>
    </row>
    <row r="491" spans="1:29" ht="15" customHeight="1" x14ac:dyDescent="0.3">
      <c r="A491" s="3">
        <v>572</v>
      </c>
      <c r="B491" s="3">
        <v>115</v>
      </c>
      <c r="C491" s="3" t="s">
        <v>590</v>
      </c>
      <c r="D491" s="4" t="s">
        <v>591</v>
      </c>
      <c r="E491" s="3" t="s">
        <v>31</v>
      </c>
      <c r="F491" s="3">
        <v>2022</v>
      </c>
      <c r="G491" s="3">
        <v>0</v>
      </c>
      <c r="H491" s="3">
        <v>0</v>
      </c>
      <c r="I491" s="3">
        <v>0</v>
      </c>
      <c r="J491" s="3">
        <v>0</v>
      </c>
      <c r="K491" s="3">
        <v>8593000000</v>
      </c>
      <c r="L491" s="3">
        <v>0.37</v>
      </c>
      <c r="M491" s="3">
        <v>3179410</v>
      </c>
      <c r="N491" s="3">
        <v>6749000</v>
      </c>
      <c r="O491" s="3">
        <v>17154000</v>
      </c>
      <c r="P491" s="3">
        <v>1387000</v>
      </c>
      <c r="Q491" s="3">
        <v>0.57878104232248995</v>
      </c>
      <c r="R491" s="3">
        <v>16.6577419405325</v>
      </c>
      <c r="S491" s="3">
        <v>0.39343593331001497</v>
      </c>
      <c r="T491" s="3">
        <v>8.0855777078232494E-2</v>
      </c>
      <c r="U491" s="3">
        <v>1980</v>
      </c>
      <c r="V491" s="3">
        <v>42</v>
      </c>
      <c r="W491" s="3">
        <v>0</v>
      </c>
      <c r="X491" s="3" t="s">
        <v>179</v>
      </c>
      <c r="Y491" s="4" t="s">
        <v>593</v>
      </c>
      <c r="Z491" s="3" t="s">
        <v>34</v>
      </c>
      <c r="AA491" s="5">
        <f t="shared" si="21"/>
        <v>0.57878104232248995</v>
      </c>
      <c r="AB491" s="5">
        <f t="shared" si="22"/>
        <v>0.39343593331001497</v>
      </c>
      <c r="AC491" s="5">
        <f t="shared" si="23"/>
        <v>8.0855777078232494E-2</v>
      </c>
    </row>
    <row r="492" spans="1:29" ht="15" customHeight="1" x14ac:dyDescent="0.3">
      <c r="A492" s="3">
        <v>573</v>
      </c>
      <c r="B492" s="3">
        <v>115</v>
      </c>
      <c r="C492" s="3" t="s">
        <v>590</v>
      </c>
      <c r="D492" s="4" t="s">
        <v>591</v>
      </c>
      <c r="E492" s="3" t="s">
        <v>31</v>
      </c>
      <c r="F492" s="3">
        <v>2023</v>
      </c>
      <c r="G492" s="3">
        <v>1</v>
      </c>
      <c r="H492" s="3">
        <v>0</v>
      </c>
      <c r="I492" s="3">
        <v>0</v>
      </c>
      <c r="J492" s="3">
        <v>0</v>
      </c>
      <c r="K492" s="3">
        <v>14228000000</v>
      </c>
      <c r="L492" s="3">
        <v>0.3352</v>
      </c>
      <c r="M492" s="3">
        <v>4769225.5999999996</v>
      </c>
      <c r="N492" s="3">
        <v>9132000</v>
      </c>
      <c r="O492" s="3">
        <v>22761000</v>
      </c>
      <c r="P492" s="3">
        <v>1298000</v>
      </c>
      <c r="Q492" s="3">
        <v>0.61074757699573801</v>
      </c>
      <c r="R492" s="3">
        <v>16.940559102988299</v>
      </c>
      <c r="S492" s="3">
        <v>0.401212600500857</v>
      </c>
      <c r="T492" s="3">
        <v>5.70273713808708E-2</v>
      </c>
      <c r="U492" s="3">
        <v>1980</v>
      </c>
      <c r="V492" s="3">
        <v>43</v>
      </c>
      <c r="W492" s="3">
        <v>0</v>
      </c>
      <c r="X492" s="3" t="s">
        <v>179</v>
      </c>
      <c r="Y492" s="4" t="s">
        <v>594</v>
      </c>
      <c r="Z492" s="3" t="s">
        <v>34</v>
      </c>
      <c r="AA492" s="5">
        <f t="shared" si="21"/>
        <v>0.61074757699573801</v>
      </c>
      <c r="AB492" s="5">
        <f t="shared" si="22"/>
        <v>0.401212600500857</v>
      </c>
      <c r="AC492" s="5">
        <f t="shared" si="23"/>
        <v>5.70273713808708E-2</v>
      </c>
    </row>
    <row r="493" spans="1:29" ht="15" customHeight="1" x14ac:dyDescent="0.3">
      <c r="A493" s="3">
        <v>574</v>
      </c>
      <c r="B493" s="3">
        <v>115</v>
      </c>
      <c r="C493" s="3" t="s">
        <v>590</v>
      </c>
      <c r="D493" s="4" t="s">
        <v>591</v>
      </c>
      <c r="E493" s="3" t="s">
        <v>31</v>
      </c>
      <c r="F493" s="3">
        <v>2024</v>
      </c>
      <c r="G493" s="3">
        <v>1</v>
      </c>
      <c r="H493" s="3">
        <v>0</v>
      </c>
      <c r="I493" s="3">
        <v>0</v>
      </c>
      <c r="J493" s="3">
        <v>0</v>
      </c>
      <c r="K493" s="3">
        <v>14228000000</v>
      </c>
      <c r="L493" s="3">
        <v>1.1206</v>
      </c>
      <c r="M493" s="3">
        <v>15943896.800000001</v>
      </c>
      <c r="N493" s="3">
        <v>12538000</v>
      </c>
      <c r="O493" s="3">
        <v>28312000</v>
      </c>
      <c r="P493" s="3">
        <v>2340000</v>
      </c>
      <c r="Q493" s="3">
        <v>1.0060008759536601</v>
      </c>
      <c r="R493" s="3">
        <v>17.158796301007399</v>
      </c>
      <c r="S493" s="3">
        <v>0.44285108787793198</v>
      </c>
      <c r="T493" s="3">
        <v>8.2650466233399306E-2</v>
      </c>
      <c r="U493" s="3">
        <v>1980</v>
      </c>
      <c r="V493" s="3">
        <v>44</v>
      </c>
      <c r="W493" s="3">
        <v>0</v>
      </c>
      <c r="X493" s="3" t="s">
        <v>179</v>
      </c>
      <c r="Y493" s="4" t="s">
        <v>595</v>
      </c>
      <c r="Z493" s="3" t="s">
        <v>34</v>
      </c>
      <c r="AA493" s="5">
        <f t="shared" si="21"/>
        <v>1.0060008759536601</v>
      </c>
      <c r="AB493" s="5">
        <f t="shared" si="22"/>
        <v>0.44285108787793198</v>
      </c>
      <c r="AC493" s="5">
        <f t="shared" si="23"/>
        <v>8.2650466233399306E-2</v>
      </c>
    </row>
    <row r="494" spans="1:29" ht="15" customHeight="1" x14ac:dyDescent="0.3">
      <c r="A494" s="3">
        <v>575</v>
      </c>
      <c r="B494" s="3">
        <v>115</v>
      </c>
      <c r="C494" s="3" t="s">
        <v>590</v>
      </c>
      <c r="D494" s="4" t="s">
        <v>591</v>
      </c>
      <c r="E494" s="3" t="s">
        <v>31</v>
      </c>
      <c r="F494" s="3">
        <v>2025</v>
      </c>
      <c r="G494" s="3">
        <v>1</v>
      </c>
      <c r="H494" s="3">
        <v>0</v>
      </c>
      <c r="I494" s="3">
        <v>0</v>
      </c>
      <c r="J494" s="3">
        <v>0</v>
      </c>
      <c r="K494" s="3">
        <v>14228000000</v>
      </c>
      <c r="L494" s="3">
        <v>3.8195999999999999</v>
      </c>
      <c r="M494" s="3">
        <v>54345268.799999997</v>
      </c>
      <c r="N494" s="3">
        <v>12486000</v>
      </c>
      <c r="O494" s="3">
        <v>28315000</v>
      </c>
      <c r="P494" s="3">
        <v>663000</v>
      </c>
      <c r="Q494" s="3">
        <v>2.36027790217199</v>
      </c>
      <c r="R494" s="3">
        <v>17.158902257529999</v>
      </c>
      <c r="S494" s="3">
        <v>0.440967684972629</v>
      </c>
      <c r="T494" s="3">
        <v>2.3415150980045901E-2</v>
      </c>
      <c r="U494" s="3">
        <v>1980</v>
      </c>
      <c r="V494" s="3">
        <v>45</v>
      </c>
      <c r="W494" s="3">
        <v>0</v>
      </c>
      <c r="X494" s="3" t="s">
        <v>179</v>
      </c>
      <c r="Y494" s="4" t="s">
        <v>596</v>
      </c>
      <c r="Z494" s="3" t="s">
        <v>34</v>
      </c>
      <c r="AA494" s="5">
        <f t="shared" si="21"/>
        <v>2.36027790217199</v>
      </c>
      <c r="AB494" s="5">
        <f t="shared" si="22"/>
        <v>0.440967684972629</v>
      </c>
      <c r="AC494" s="5">
        <f t="shared" si="23"/>
        <v>2.3415150980045901E-2</v>
      </c>
    </row>
    <row r="495" spans="1:29" ht="15" customHeight="1" x14ac:dyDescent="0.3">
      <c r="A495" s="3">
        <v>581</v>
      </c>
      <c r="B495" s="3">
        <v>117</v>
      </c>
      <c r="C495" s="3" t="s">
        <v>597</v>
      </c>
      <c r="D495" s="4" t="s">
        <v>598</v>
      </c>
      <c r="E495" s="3" t="s">
        <v>31</v>
      </c>
      <c r="F495" s="3">
        <v>2021</v>
      </c>
      <c r="G495" s="3">
        <v>0</v>
      </c>
      <c r="H495" s="3">
        <v>0</v>
      </c>
      <c r="I495" s="3">
        <v>0</v>
      </c>
      <c r="J495" s="3">
        <v>0</v>
      </c>
      <c r="K495" s="3">
        <v>12957000000</v>
      </c>
      <c r="L495" s="3">
        <v>36</v>
      </c>
      <c r="M495" s="3">
        <v>466452000</v>
      </c>
      <c r="N495" s="3">
        <v>2365898000</v>
      </c>
      <c r="O495" s="3">
        <v>2742764000</v>
      </c>
      <c r="P495" s="3">
        <v>54378000</v>
      </c>
      <c r="Q495" s="3">
        <v>1.0326626716698899</v>
      </c>
      <c r="R495" s="3">
        <v>21.732232008014901</v>
      </c>
      <c r="S495" s="3">
        <v>0.86259627149838602</v>
      </c>
      <c r="T495" s="3">
        <v>1.9825985757432999E-2</v>
      </c>
      <c r="U495" s="3">
        <v>2012</v>
      </c>
      <c r="V495" s="3">
        <v>9</v>
      </c>
      <c r="W495" s="3">
        <v>1</v>
      </c>
      <c r="X495" s="3" t="s">
        <v>32</v>
      </c>
      <c r="Y495" s="4" t="s">
        <v>599</v>
      </c>
      <c r="Z495" s="3" t="s">
        <v>34</v>
      </c>
      <c r="AA495" s="5">
        <f t="shared" si="21"/>
        <v>1.0326626716698899</v>
      </c>
      <c r="AB495" s="5">
        <f t="shared" si="22"/>
        <v>0.86259627149838602</v>
      </c>
      <c r="AC495" s="5">
        <f t="shared" si="23"/>
        <v>1.9825985757432999E-2</v>
      </c>
    </row>
    <row r="496" spans="1:29" ht="15" customHeight="1" x14ac:dyDescent="0.3">
      <c r="A496" s="3">
        <v>582</v>
      </c>
      <c r="B496" s="3">
        <v>117</v>
      </c>
      <c r="C496" s="3" t="s">
        <v>597</v>
      </c>
      <c r="D496" s="4" t="s">
        <v>598</v>
      </c>
      <c r="E496" s="3" t="s">
        <v>31</v>
      </c>
      <c r="F496" s="3">
        <v>2022</v>
      </c>
      <c r="G496" s="3">
        <v>0</v>
      </c>
      <c r="H496" s="3">
        <v>0</v>
      </c>
      <c r="I496" s="3">
        <v>0</v>
      </c>
      <c r="J496" s="3">
        <v>0</v>
      </c>
      <c r="K496" s="3">
        <v>12957000000</v>
      </c>
      <c r="L496" s="3">
        <v>33.451000000000001</v>
      </c>
      <c r="M496" s="3">
        <v>433424607</v>
      </c>
      <c r="N496" s="3">
        <v>2621456000</v>
      </c>
      <c r="O496" s="3">
        <v>3029026000</v>
      </c>
      <c r="P496" s="3">
        <v>78042000</v>
      </c>
      <c r="Q496" s="3">
        <v>1.0085356173898801</v>
      </c>
      <c r="R496" s="3">
        <v>21.8315069526457</v>
      </c>
      <c r="S496" s="3">
        <v>0.86544519591446201</v>
      </c>
      <c r="T496" s="3">
        <v>2.57647177673615E-2</v>
      </c>
      <c r="U496" s="3">
        <v>2012</v>
      </c>
      <c r="V496" s="3">
        <v>10</v>
      </c>
      <c r="W496" s="3">
        <v>1</v>
      </c>
      <c r="X496" s="3" t="s">
        <v>32</v>
      </c>
      <c r="Y496" s="4" t="s">
        <v>600</v>
      </c>
      <c r="Z496" s="3" t="s">
        <v>34</v>
      </c>
      <c r="AA496" s="5">
        <f t="shared" si="21"/>
        <v>1.0085356173898801</v>
      </c>
      <c r="AB496" s="5">
        <f t="shared" si="22"/>
        <v>0.86544519591446201</v>
      </c>
      <c r="AC496" s="5">
        <f t="shared" si="23"/>
        <v>2.57647177673615E-2</v>
      </c>
    </row>
    <row r="497" spans="1:29" ht="15" customHeight="1" x14ac:dyDescent="0.3">
      <c r="A497" s="3">
        <v>583</v>
      </c>
      <c r="B497" s="3">
        <v>117</v>
      </c>
      <c r="C497" s="3" t="s">
        <v>597</v>
      </c>
      <c r="D497" s="4" t="s">
        <v>598</v>
      </c>
      <c r="E497" s="3" t="s">
        <v>31</v>
      </c>
      <c r="F497" s="3">
        <v>2023</v>
      </c>
      <c r="G497" s="3">
        <v>1</v>
      </c>
      <c r="H497" s="3">
        <v>0</v>
      </c>
      <c r="I497" s="3">
        <v>10</v>
      </c>
      <c r="J497" s="3">
        <v>0</v>
      </c>
      <c r="K497" s="3">
        <v>12957000000</v>
      </c>
      <c r="L497" s="3">
        <v>69.652000000000001</v>
      </c>
      <c r="M497" s="3">
        <v>902480964</v>
      </c>
      <c r="N497" s="3">
        <v>4638672000</v>
      </c>
      <c r="O497" s="3">
        <v>5145596000</v>
      </c>
      <c r="P497" s="3">
        <v>137582000</v>
      </c>
      <c r="Q497" s="3">
        <v>1.07687291501315</v>
      </c>
      <c r="R497" s="3">
        <v>22.361407040145401</v>
      </c>
      <c r="S497" s="3">
        <v>0.90148390973562598</v>
      </c>
      <c r="T497" s="3">
        <v>2.6737816183003901E-2</v>
      </c>
      <c r="U497" s="3">
        <v>2012</v>
      </c>
      <c r="V497" s="3">
        <v>11</v>
      </c>
      <c r="W497" s="3">
        <v>1</v>
      </c>
      <c r="X497" s="3" t="s">
        <v>32</v>
      </c>
      <c r="Y497" s="4" t="s">
        <v>601</v>
      </c>
      <c r="Z497" s="3" t="s">
        <v>34</v>
      </c>
      <c r="AA497" s="5">
        <f t="shared" si="21"/>
        <v>1.07687291501315</v>
      </c>
      <c r="AB497" s="5">
        <f t="shared" si="22"/>
        <v>0.90148390973562598</v>
      </c>
      <c r="AC497" s="5">
        <f t="shared" si="23"/>
        <v>2.6737816183003901E-2</v>
      </c>
    </row>
    <row r="498" spans="1:29" ht="15" customHeight="1" x14ac:dyDescent="0.3">
      <c r="A498" s="3">
        <v>584</v>
      </c>
      <c r="B498" s="3">
        <v>117</v>
      </c>
      <c r="C498" s="3" t="s">
        <v>597</v>
      </c>
      <c r="D498" s="4" t="s">
        <v>598</v>
      </c>
      <c r="E498" s="3" t="s">
        <v>31</v>
      </c>
      <c r="F498" s="3">
        <v>2024</v>
      </c>
      <c r="G498" s="3">
        <v>1</v>
      </c>
      <c r="H498" s="3">
        <v>0</v>
      </c>
      <c r="I498" s="3">
        <v>10</v>
      </c>
      <c r="J498" s="3">
        <v>0</v>
      </c>
      <c r="K498" s="3">
        <v>12957000000</v>
      </c>
      <c r="L498" s="3">
        <v>57.593000000000004</v>
      </c>
      <c r="M498" s="3">
        <v>746232501</v>
      </c>
      <c r="N498" s="3">
        <v>6241444000</v>
      </c>
      <c r="O498" s="3">
        <v>6912092000</v>
      </c>
      <c r="P498" s="3">
        <v>221606000</v>
      </c>
      <c r="Q498" s="3">
        <v>1.0109351121194601</v>
      </c>
      <c r="R498" s="3">
        <v>22.6565381785448</v>
      </c>
      <c r="S498" s="3">
        <v>0.90297467105472595</v>
      </c>
      <c r="T498" s="3">
        <v>3.2060626507864801E-2</v>
      </c>
      <c r="U498" s="3">
        <v>2012</v>
      </c>
      <c r="V498" s="3">
        <v>12</v>
      </c>
      <c r="W498" s="3">
        <v>1</v>
      </c>
      <c r="X498" s="3" t="s">
        <v>32</v>
      </c>
      <c r="Y498" s="4" t="s">
        <v>602</v>
      </c>
      <c r="Z498" s="3" t="s">
        <v>34</v>
      </c>
      <c r="AA498" s="5">
        <f t="shared" si="21"/>
        <v>1.0109351121194601</v>
      </c>
      <c r="AB498" s="5">
        <f t="shared" si="22"/>
        <v>0.90297467105472595</v>
      </c>
      <c r="AC498" s="5">
        <f t="shared" si="23"/>
        <v>3.2060626507864801E-2</v>
      </c>
    </row>
    <row r="499" spans="1:29" ht="15" customHeight="1" x14ac:dyDescent="0.3">
      <c r="A499" s="3">
        <v>585</v>
      </c>
      <c r="B499" s="3">
        <v>117</v>
      </c>
      <c r="C499" s="3" t="s">
        <v>597</v>
      </c>
      <c r="D499" s="4" t="s">
        <v>598</v>
      </c>
      <c r="E499" s="3" t="s">
        <v>31</v>
      </c>
      <c r="F499" s="3">
        <v>2025</v>
      </c>
      <c r="G499" s="3">
        <v>1</v>
      </c>
      <c r="H499" s="3">
        <v>0</v>
      </c>
      <c r="I499" s="3">
        <v>0</v>
      </c>
      <c r="J499" s="3">
        <v>0</v>
      </c>
      <c r="K499" s="3">
        <v>15902000000</v>
      </c>
      <c r="L499" s="3">
        <v>99.986999999999995</v>
      </c>
      <c r="M499" s="3">
        <v>1589993274</v>
      </c>
      <c r="N499" s="3">
        <v>7496207000</v>
      </c>
      <c r="O499" s="3">
        <v>8620110000</v>
      </c>
      <c r="P499" s="3">
        <v>376530000</v>
      </c>
      <c r="Q499" s="3">
        <v>1.0540701074580301</v>
      </c>
      <c r="R499" s="3">
        <v>22.877363682561501</v>
      </c>
      <c r="S499" s="3">
        <v>0.86961848514694096</v>
      </c>
      <c r="T499" s="3">
        <v>4.3680417071243899E-2</v>
      </c>
      <c r="U499" s="3">
        <v>2012</v>
      </c>
      <c r="V499" s="3">
        <v>13</v>
      </c>
      <c r="W499" s="3">
        <v>1</v>
      </c>
      <c r="X499" s="3" t="s">
        <v>32</v>
      </c>
      <c r="Y499" s="4" t="s">
        <v>603</v>
      </c>
      <c r="Z499" s="3" t="s">
        <v>34</v>
      </c>
      <c r="AA499" s="5">
        <f t="shared" si="21"/>
        <v>1.0540701074580301</v>
      </c>
      <c r="AB499" s="5">
        <f t="shared" si="22"/>
        <v>0.86961848514694096</v>
      </c>
      <c r="AC499" s="5">
        <f t="shared" si="23"/>
        <v>4.3680417071243899E-2</v>
      </c>
    </row>
    <row r="500" spans="1:29" ht="15" customHeight="1" x14ac:dyDescent="0.3">
      <c r="A500" s="3">
        <v>586</v>
      </c>
      <c r="B500" s="3">
        <v>118</v>
      </c>
      <c r="C500" s="3" t="s">
        <v>604</v>
      </c>
      <c r="D500" s="4" t="s">
        <v>605</v>
      </c>
      <c r="E500" s="3" t="s">
        <v>31</v>
      </c>
      <c r="F500" s="3">
        <v>2021</v>
      </c>
      <c r="G500" s="3">
        <v>0</v>
      </c>
      <c r="H500" s="3">
        <v>0</v>
      </c>
      <c r="I500" s="3">
        <v>0</v>
      </c>
      <c r="J500" s="3">
        <v>0</v>
      </c>
      <c r="K500" s="3">
        <v>28790000000</v>
      </c>
      <c r="L500" s="3">
        <v>1.5098</v>
      </c>
      <c r="M500" s="3">
        <v>43467142</v>
      </c>
      <c r="N500" s="3">
        <v>1487638000</v>
      </c>
      <c r="O500" s="3">
        <v>1629129000</v>
      </c>
      <c r="P500" s="3">
        <v>13515000</v>
      </c>
      <c r="Q500" s="3">
        <v>0.93983051188702704</v>
      </c>
      <c r="R500" s="3">
        <v>21.2113113531179</v>
      </c>
      <c r="S500" s="3">
        <v>0.91314929634178799</v>
      </c>
      <c r="T500" s="3">
        <v>8.2958439755231195E-3</v>
      </c>
      <c r="U500" s="3">
        <v>2021</v>
      </c>
      <c r="V500" s="3">
        <v>0</v>
      </c>
      <c r="W500" s="3">
        <v>1</v>
      </c>
      <c r="X500" s="3" t="s">
        <v>65</v>
      </c>
      <c r="Y500" s="4" t="s">
        <v>606</v>
      </c>
      <c r="Z500" s="3" t="s">
        <v>34</v>
      </c>
      <c r="AA500" s="5">
        <f t="shared" si="21"/>
        <v>0.93983051188702704</v>
      </c>
      <c r="AB500" s="5">
        <f t="shared" si="22"/>
        <v>0.91314929634178799</v>
      </c>
      <c r="AC500" s="5">
        <f t="shared" si="23"/>
        <v>8.2958439755231195E-3</v>
      </c>
    </row>
    <row r="501" spans="1:29" ht="15" customHeight="1" x14ac:dyDescent="0.3">
      <c r="A501" s="3">
        <v>587</v>
      </c>
      <c r="B501" s="3">
        <v>118</v>
      </c>
      <c r="C501" s="3" t="s">
        <v>604</v>
      </c>
      <c r="D501" s="4" t="s">
        <v>605</v>
      </c>
      <c r="E501" s="3" t="s">
        <v>31</v>
      </c>
      <c r="F501" s="3">
        <v>2022</v>
      </c>
      <c r="G501" s="3">
        <v>0</v>
      </c>
      <c r="H501" s="3">
        <v>0</v>
      </c>
      <c r="I501" s="3">
        <v>0</v>
      </c>
      <c r="J501" s="3">
        <v>0</v>
      </c>
      <c r="K501" s="3">
        <v>28790000000</v>
      </c>
      <c r="L501" s="3">
        <v>1.4000999999999999</v>
      </c>
      <c r="M501" s="3">
        <v>40308879</v>
      </c>
      <c r="N501" s="3">
        <v>1703994000</v>
      </c>
      <c r="O501" s="3">
        <v>1857992000</v>
      </c>
      <c r="P501" s="3">
        <v>19298000</v>
      </c>
      <c r="Q501" s="3">
        <v>0.93881075860391205</v>
      </c>
      <c r="R501" s="3">
        <v>21.342762171623701</v>
      </c>
      <c r="S501" s="3">
        <v>0.91711589716209796</v>
      </c>
      <c r="T501" s="3">
        <v>1.0386481750190499E-2</v>
      </c>
      <c r="U501" s="3">
        <v>2021</v>
      </c>
      <c r="V501" s="3">
        <v>1</v>
      </c>
      <c r="W501" s="3">
        <v>1</v>
      </c>
      <c r="X501" s="3" t="s">
        <v>65</v>
      </c>
      <c r="Y501" s="4" t="s">
        <v>607</v>
      </c>
      <c r="Z501" s="3" t="s">
        <v>34</v>
      </c>
      <c r="AA501" s="5">
        <f t="shared" si="21"/>
        <v>0.93881075860391205</v>
      </c>
      <c r="AB501" s="5">
        <f t="shared" si="22"/>
        <v>0.91711589716209796</v>
      </c>
      <c r="AC501" s="5">
        <f t="shared" si="23"/>
        <v>1.0386481750190499E-2</v>
      </c>
    </row>
    <row r="502" spans="1:29" ht="15" customHeight="1" x14ac:dyDescent="0.3">
      <c r="A502" s="3">
        <v>588</v>
      </c>
      <c r="B502" s="3">
        <v>118</v>
      </c>
      <c r="C502" s="3" t="s">
        <v>604</v>
      </c>
      <c r="D502" s="4" t="s">
        <v>605</v>
      </c>
      <c r="E502" s="3" t="s">
        <v>31</v>
      </c>
      <c r="F502" s="3">
        <v>2023</v>
      </c>
      <c r="G502" s="3">
        <v>1</v>
      </c>
      <c r="H502" s="3">
        <v>0</v>
      </c>
      <c r="I502" s="3">
        <v>0</v>
      </c>
      <c r="J502" s="3">
        <v>0</v>
      </c>
      <c r="K502" s="3">
        <v>28790000000</v>
      </c>
      <c r="L502" s="3">
        <v>4.29</v>
      </c>
      <c r="M502" s="3">
        <v>123509100</v>
      </c>
      <c r="N502" s="3">
        <v>2347488000</v>
      </c>
      <c r="O502" s="3">
        <v>2531092000</v>
      </c>
      <c r="P502" s="3">
        <v>21584000</v>
      </c>
      <c r="Q502" s="3">
        <v>0.97625732292623102</v>
      </c>
      <c r="R502" s="3">
        <v>21.651916667117799</v>
      </c>
      <c r="S502" s="3">
        <v>0.92746055852572695</v>
      </c>
      <c r="T502" s="3">
        <v>8.5275446329094295E-3</v>
      </c>
      <c r="U502" s="3">
        <v>2021</v>
      </c>
      <c r="V502" s="3">
        <v>2</v>
      </c>
      <c r="W502" s="3">
        <v>1</v>
      </c>
      <c r="X502" s="3" t="s">
        <v>65</v>
      </c>
      <c r="Y502" s="4" t="s">
        <v>608</v>
      </c>
      <c r="Z502" s="3" t="s">
        <v>34</v>
      </c>
      <c r="AA502" s="5">
        <f t="shared" si="21"/>
        <v>0.97625732292623102</v>
      </c>
      <c r="AB502" s="5">
        <f t="shared" si="22"/>
        <v>0.92746055852572695</v>
      </c>
      <c r="AC502" s="5">
        <f t="shared" si="23"/>
        <v>8.5275446329094295E-3</v>
      </c>
    </row>
    <row r="503" spans="1:29" ht="15" customHeight="1" x14ac:dyDescent="0.3">
      <c r="A503" s="3">
        <v>589</v>
      </c>
      <c r="B503" s="3">
        <v>118</v>
      </c>
      <c r="C503" s="3" t="s">
        <v>604</v>
      </c>
      <c r="D503" s="4" t="s">
        <v>605</v>
      </c>
      <c r="E503" s="3" t="s">
        <v>31</v>
      </c>
      <c r="F503" s="3">
        <v>2024</v>
      </c>
      <c r="G503" s="3">
        <v>1</v>
      </c>
      <c r="H503" s="3">
        <v>1</v>
      </c>
      <c r="I503" s="3">
        <v>60</v>
      </c>
      <c r="J503" s="3">
        <v>53.3333333333333</v>
      </c>
      <c r="K503" s="3">
        <v>45457000000</v>
      </c>
      <c r="L503" s="3">
        <v>3.5464000000000002</v>
      </c>
      <c r="M503" s="3">
        <v>161208704.80000001</v>
      </c>
      <c r="N503" s="3">
        <v>3236781000</v>
      </c>
      <c r="O503" s="3">
        <v>3541940000</v>
      </c>
      <c r="P503" s="3">
        <v>43675000</v>
      </c>
      <c r="Q503" s="3">
        <v>0.95935834734637004</v>
      </c>
      <c r="R503" s="3">
        <v>21.9879404365814</v>
      </c>
      <c r="S503" s="3">
        <v>0.91384410803119198</v>
      </c>
      <c r="T503" s="3">
        <v>1.2330813057251099E-2</v>
      </c>
      <c r="U503" s="3">
        <v>2021</v>
      </c>
      <c r="V503" s="3">
        <v>3</v>
      </c>
      <c r="W503" s="3">
        <v>1</v>
      </c>
      <c r="X503" s="3" t="s">
        <v>65</v>
      </c>
      <c r="Y503" s="4" t="s">
        <v>609</v>
      </c>
      <c r="Z503" s="3" t="s">
        <v>34</v>
      </c>
      <c r="AA503" s="5">
        <f t="shared" si="21"/>
        <v>0.95935834734637004</v>
      </c>
      <c r="AB503" s="5">
        <f t="shared" si="22"/>
        <v>0.91384410803119198</v>
      </c>
      <c r="AC503" s="5">
        <f t="shared" si="23"/>
        <v>1.2330813057251099E-2</v>
      </c>
    </row>
    <row r="504" spans="1:29" ht="15" customHeight="1" x14ac:dyDescent="0.3">
      <c r="A504" s="3">
        <v>590</v>
      </c>
      <c r="B504" s="3">
        <v>118</v>
      </c>
      <c r="C504" s="3" t="s">
        <v>604</v>
      </c>
      <c r="D504" s="4" t="s">
        <v>605</v>
      </c>
      <c r="E504" s="3" t="s">
        <v>31</v>
      </c>
      <c r="F504" s="3">
        <v>2025</v>
      </c>
      <c r="G504" s="3">
        <v>1</v>
      </c>
      <c r="H504" s="3">
        <v>1</v>
      </c>
      <c r="I504" s="3">
        <v>60</v>
      </c>
      <c r="J504" s="3">
        <v>53.3333333333333</v>
      </c>
      <c r="K504" s="3">
        <v>54690000000</v>
      </c>
      <c r="L504" s="3">
        <v>6.7184999999999997</v>
      </c>
      <c r="M504" s="3">
        <v>367434765</v>
      </c>
      <c r="N504" s="3">
        <v>3482939000</v>
      </c>
      <c r="O504" s="3">
        <v>3911642000</v>
      </c>
      <c r="P504" s="3">
        <v>78634000</v>
      </c>
      <c r="Q504" s="3">
        <v>0.98433695235913699</v>
      </c>
      <c r="R504" s="3">
        <v>22.087223071638999</v>
      </c>
      <c r="S504" s="3">
        <v>0.89040331400470696</v>
      </c>
      <c r="T504" s="3">
        <v>2.0102555397452E-2</v>
      </c>
      <c r="U504" s="3">
        <v>2021</v>
      </c>
      <c r="V504" s="3">
        <v>4</v>
      </c>
      <c r="W504" s="3">
        <v>1</v>
      </c>
      <c r="X504" s="3" t="s">
        <v>65</v>
      </c>
      <c r="Y504" s="4" t="s">
        <v>610</v>
      </c>
      <c r="Z504" s="3" t="s">
        <v>34</v>
      </c>
      <c r="AA504" s="5">
        <f t="shared" si="21"/>
        <v>0.98433695235913699</v>
      </c>
      <c r="AB504" s="5">
        <f t="shared" si="22"/>
        <v>0.89040331400470696</v>
      </c>
      <c r="AC504" s="5">
        <f t="shared" si="23"/>
        <v>2.0102555397452E-2</v>
      </c>
    </row>
    <row r="505" spans="1:29" ht="15" customHeight="1" x14ac:dyDescent="0.3">
      <c r="A505" s="3">
        <v>591</v>
      </c>
      <c r="B505" s="3">
        <v>119</v>
      </c>
      <c r="C505" s="3" t="s">
        <v>611</v>
      </c>
      <c r="D505" s="4" t="s">
        <v>612</v>
      </c>
      <c r="E505" s="3" t="s">
        <v>31</v>
      </c>
      <c r="F505" s="3">
        <v>2021</v>
      </c>
      <c r="G505" s="3">
        <v>0</v>
      </c>
      <c r="H505" s="3">
        <v>0</v>
      </c>
      <c r="I505" s="3">
        <v>0</v>
      </c>
      <c r="J505" s="3">
        <v>0</v>
      </c>
      <c r="K505" s="3">
        <v>5811000000</v>
      </c>
      <c r="L505" s="3">
        <v>0.44919999999999999</v>
      </c>
      <c r="M505" s="3">
        <v>2610301.2000000002</v>
      </c>
      <c r="N505" s="3">
        <v>4577000</v>
      </c>
      <c r="O505" s="3">
        <v>11906000</v>
      </c>
      <c r="P505" s="3">
        <v>198730</v>
      </c>
      <c r="Q505" s="3">
        <v>0.60367051906601699</v>
      </c>
      <c r="R505" s="3">
        <v>16.292553032695501</v>
      </c>
      <c r="S505" s="3">
        <v>0.38442801948597299</v>
      </c>
      <c r="T505" s="3">
        <v>1.6691584075256199E-2</v>
      </c>
      <c r="U505" s="3">
        <v>1984</v>
      </c>
      <c r="V505" s="3">
        <v>37</v>
      </c>
      <c r="W505" s="3">
        <v>0</v>
      </c>
      <c r="X505" s="3" t="s">
        <v>78</v>
      </c>
      <c r="Y505" s="4" t="s">
        <v>613</v>
      </c>
      <c r="Z505" s="3" t="s">
        <v>172</v>
      </c>
      <c r="AA505" s="5">
        <f t="shared" si="21"/>
        <v>0.60367051906601699</v>
      </c>
      <c r="AB505" s="5">
        <f t="shared" si="22"/>
        <v>0.38442801948597299</v>
      </c>
      <c r="AC505" s="5">
        <f t="shared" si="23"/>
        <v>1.6691584075256199E-2</v>
      </c>
    </row>
    <row r="506" spans="1:29" ht="15" customHeight="1" x14ac:dyDescent="0.3">
      <c r="A506" s="3">
        <v>592</v>
      </c>
      <c r="B506" s="3">
        <v>119</v>
      </c>
      <c r="C506" s="3" t="s">
        <v>611</v>
      </c>
      <c r="D506" s="4" t="s">
        <v>612</v>
      </c>
      <c r="E506" s="3" t="s">
        <v>31</v>
      </c>
      <c r="F506" s="3">
        <v>2022</v>
      </c>
      <c r="G506" s="3">
        <v>0</v>
      </c>
      <c r="H506" s="3">
        <v>0</v>
      </c>
      <c r="I506" s="3">
        <v>0</v>
      </c>
      <c r="J506" s="3">
        <v>0</v>
      </c>
      <c r="K506" s="3">
        <v>5811000000</v>
      </c>
      <c r="L506" s="3">
        <v>0.2908</v>
      </c>
      <c r="M506" s="3">
        <v>1689838.8</v>
      </c>
      <c r="N506" s="3">
        <v>5346000</v>
      </c>
      <c r="O506" s="3">
        <v>13067000</v>
      </c>
      <c r="P506" s="3">
        <v>432900</v>
      </c>
      <c r="Q506" s="3">
        <v>0.53844331522154998</v>
      </c>
      <c r="R506" s="3">
        <v>16.385600525971299</v>
      </c>
      <c r="S506" s="3">
        <v>0.40912221626999301</v>
      </c>
      <c r="T506" s="3">
        <v>3.3129256906711597E-2</v>
      </c>
      <c r="U506" s="3">
        <v>1984</v>
      </c>
      <c r="V506" s="3">
        <v>38</v>
      </c>
      <c r="W506" s="3">
        <v>0</v>
      </c>
      <c r="X506" s="3" t="s">
        <v>78</v>
      </c>
      <c r="Y506" s="4" t="s">
        <v>614</v>
      </c>
      <c r="Z506" s="3" t="s">
        <v>172</v>
      </c>
      <c r="AA506" s="5">
        <f t="shared" si="21"/>
        <v>0.53844331522154998</v>
      </c>
      <c r="AB506" s="5">
        <f t="shared" si="22"/>
        <v>0.40912221626999301</v>
      </c>
      <c r="AC506" s="5">
        <f t="shared" si="23"/>
        <v>3.3129256906711597E-2</v>
      </c>
    </row>
    <row r="507" spans="1:29" ht="15" customHeight="1" x14ac:dyDescent="0.3">
      <c r="A507" s="3">
        <v>593</v>
      </c>
      <c r="B507" s="3">
        <v>119</v>
      </c>
      <c r="C507" s="3" t="s">
        <v>611</v>
      </c>
      <c r="D507" s="4" t="s">
        <v>612</v>
      </c>
      <c r="E507" s="3" t="s">
        <v>31</v>
      </c>
      <c r="F507" s="3">
        <v>2023</v>
      </c>
      <c r="G507" s="3">
        <v>1</v>
      </c>
      <c r="H507" s="3">
        <v>0</v>
      </c>
      <c r="I507" s="3">
        <v>0</v>
      </c>
      <c r="J507" s="3">
        <v>0</v>
      </c>
      <c r="K507" s="3">
        <v>5811000000</v>
      </c>
      <c r="L507" s="3">
        <v>1.0994999999999999</v>
      </c>
      <c r="M507" s="3">
        <v>6389194.5</v>
      </c>
      <c r="N507" s="3">
        <v>6633000</v>
      </c>
      <c r="O507" s="3">
        <v>16749000</v>
      </c>
      <c r="P507" s="3">
        <v>2633000</v>
      </c>
      <c r="Q507" s="3">
        <v>0.77749086512627597</v>
      </c>
      <c r="R507" s="3">
        <v>16.633849112960601</v>
      </c>
      <c r="S507" s="3">
        <v>0.39602364320257899</v>
      </c>
      <c r="T507" s="3">
        <v>0.157203415129261</v>
      </c>
      <c r="U507" s="3">
        <v>1984</v>
      </c>
      <c r="V507" s="3">
        <v>39</v>
      </c>
      <c r="W507" s="3">
        <v>0</v>
      </c>
      <c r="X507" s="3" t="s">
        <v>78</v>
      </c>
      <c r="Y507" s="4" t="s">
        <v>615</v>
      </c>
      <c r="Z507" s="3" t="s">
        <v>172</v>
      </c>
      <c r="AA507" s="5">
        <f t="shared" si="21"/>
        <v>0.77749086512627597</v>
      </c>
      <c r="AB507" s="5">
        <f t="shared" si="22"/>
        <v>0.39602364320257899</v>
      </c>
      <c r="AC507" s="5">
        <f t="shared" si="23"/>
        <v>0.157203415129261</v>
      </c>
    </row>
    <row r="508" spans="1:29" ht="15" customHeight="1" x14ac:dyDescent="0.3">
      <c r="A508" s="3">
        <v>594</v>
      </c>
      <c r="B508" s="3">
        <v>119</v>
      </c>
      <c r="C508" s="3" t="s">
        <v>611</v>
      </c>
      <c r="D508" s="4" t="s">
        <v>612</v>
      </c>
      <c r="E508" s="3" t="s">
        <v>31</v>
      </c>
      <c r="F508" s="3">
        <v>2024</v>
      </c>
      <c r="G508" s="3">
        <v>1</v>
      </c>
      <c r="H508" s="3">
        <v>0</v>
      </c>
      <c r="I508" s="3">
        <v>0</v>
      </c>
      <c r="J508" s="3">
        <v>0</v>
      </c>
      <c r="K508" s="3">
        <v>5811000000</v>
      </c>
      <c r="L508" s="3">
        <v>10.75</v>
      </c>
      <c r="M508" s="3">
        <v>62468250</v>
      </c>
      <c r="N508" s="3">
        <v>9668000</v>
      </c>
      <c r="O508" s="3">
        <v>23316000</v>
      </c>
      <c r="P508" s="3">
        <v>3663000</v>
      </c>
      <c r="Q508" s="3">
        <v>3.0938518613827402</v>
      </c>
      <c r="R508" s="3">
        <v>16.964650378147599</v>
      </c>
      <c r="S508" s="3">
        <v>0.41465088351346702</v>
      </c>
      <c r="T508" s="3">
        <v>0.15710241893978399</v>
      </c>
      <c r="U508" s="3">
        <v>1984</v>
      </c>
      <c r="V508" s="3">
        <v>40</v>
      </c>
      <c r="W508" s="3">
        <v>0</v>
      </c>
      <c r="X508" s="3" t="s">
        <v>78</v>
      </c>
      <c r="Y508" s="4" t="s">
        <v>616</v>
      </c>
      <c r="Z508" s="3" t="s">
        <v>172</v>
      </c>
      <c r="AA508" s="5">
        <f t="shared" si="21"/>
        <v>3.0938518613827402</v>
      </c>
      <c r="AB508" s="5">
        <f t="shared" si="22"/>
        <v>0.41465088351346702</v>
      </c>
      <c r="AC508" s="5">
        <f t="shared" si="23"/>
        <v>0.15710241893978399</v>
      </c>
    </row>
    <row r="509" spans="1:29" ht="15" customHeight="1" x14ac:dyDescent="0.3">
      <c r="A509" s="3">
        <v>595</v>
      </c>
      <c r="B509" s="3">
        <v>119</v>
      </c>
      <c r="C509" s="3" t="s">
        <v>611</v>
      </c>
      <c r="D509" s="4" t="s">
        <v>612</v>
      </c>
      <c r="E509" s="3" t="s">
        <v>31</v>
      </c>
      <c r="F509" s="3">
        <v>2025</v>
      </c>
      <c r="G509" s="3">
        <v>1</v>
      </c>
      <c r="H509" s="3">
        <v>0</v>
      </c>
      <c r="I509" s="3">
        <v>0</v>
      </c>
      <c r="J509" s="3">
        <v>0</v>
      </c>
      <c r="K509" s="3">
        <v>5811000000</v>
      </c>
      <c r="L509" s="3">
        <v>5.5</v>
      </c>
      <c r="M509" s="3">
        <v>31960500</v>
      </c>
      <c r="N509" s="3">
        <v>9883000</v>
      </c>
      <c r="O509" s="3">
        <v>24378000</v>
      </c>
      <c r="P509" s="3">
        <v>1443000</v>
      </c>
      <c r="Q509" s="3">
        <v>1.71644515546804</v>
      </c>
      <c r="R509" s="3">
        <v>17.009191644197902</v>
      </c>
      <c r="S509" s="3">
        <v>0.40540651407006301</v>
      </c>
      <c r="T509" s="3">
        <v>5.9192714742800898E-2</v>
      </c>
      <c r="U509" s="3">
        <v>1984</v>
      </c>
      <c r="V509" s="3">
        <v>41</v>
      </c>
      <c r="W509" s="3">
        <v>0</v>
      </c>
      <c r="X509" s="3" t="s">
        <v>78</v>
      </c>
      <c r="Y509" s="4" t="s">
        <v>617</v>
      </c>
      <c r="Z509" s="3" t="s">
        <v>172</v>
      </c>
      <c r="AA509" s="5">
        <f t="shared" si="21"/>
        <v>1.71644515546804</v>
      </c>
      <c r="AB509" s="5">
        <f t="shared" si="22"/>
        <v>0.40540651407006301</v>
      </c>
      <c r="AC509" s="5">
        <f t="shared" si="23"/>
        <v>5.9192714742800898E-2</v>
      </c>
    </row>
    <row r="510" spans="1:29" ht="15" customHeight="1" x14ac:dyDescent="0.3">
      <c r="A510" s="3">
        <v>596</v>
      </c>
      <c r="B510" s="3">
        <v>120</v>
      </c>
      <c r="C510" s="3" t="s">
        <v>618</v>
      </c>
      <c r="D510" s="4" t="s">
        <v>619</v>
      </c>
      <c r="E510" s="3" t="s">
        <v>41</v>
      </c>
      <c r="F510" s="3">
        <v>2021</v>
      </c>
      <c r="G510" s="3">
        <v>0</v>
      </c>
      <c r="H510" s="3">
        <v>0</v>
      </c>
      <c r="I510" s="3">
        <v>0</v>
      </c>
      <c r="J510" s="3">
        <v>0</v>
      </c>
      <c r="K510" s="3">
        <v>3212000000</v>
      </c>
      <c r="L510" s="3">
        <v>0.2</v>
      </c>
      <c r="M510" s="3">
        <v>642400</v>
      </c>
      <c r="N510" s="3">
        <v>2035000</v>
      </c>
      <c r="O510" s="3">
        <v>2235000</v>
      </c>
      <c r="P510" s="3">
        <v>-214820</v>
      </c>
      <c r="Q510" s="3">
        <v>1.1979418344518999</v>
      </c>
      <c r="R510" s="3">
        <v>14.6197517860298</v>
      </c>
      <c r="S510" s="3">
        <v>0.91051454138702503</v>
      </c>
      <c r="T510" s="3">
        <v>-9.6116331096196897E-2</v>
      </c>
      <c r="U510" s="3">
        <v>1997</v>
      </c>
      <c r="V510" s="3">
        <v>24</v>
      </c>
      <c r="W510" s="3">
        <v>0</v>
      </c>
      <c r="X510" s="3" t="s">
        <v>620</v>
      </c>
      <c r="Y510" s="4" t="s">
        <v>621</v>
      </c>
      <c r="Z510" s="3" t="s">
        <v>34</v>
      </c>
      <c r="AA510" s="5">
        <f t="shared" si="21"/>
        <v>1.1979418344518999</v>
      </c>
      <c r="AB510" s="5">
        <f t="shared" si="22"/>
        <v>0.91051454138702503</v>
      </c>
      <c r="AC510" s="5">
        <f t="shared" si="23"/>
        <v>-9.6116331096196897E-2</v>
      </c>
    </row>
    <row r="511" spans="1:29" ht="15" customHeight="1" x14ac:dyDescent="0.3">
      <c r="A511" s="3">
        <v>597</v>
      </c>
      <c r="B511" s="3">
        <v>120</v>
      </c>
      <c r="C511" s="3" t="s">
        <v>618</v>
      </c>
      <c r="D511" s="4" t="s">
        <v>619</v>
      </c>
      <c r="E511" s="3" t="s">
        <v>41</v>
      </c>
      <c r="F511" s="3">
        <v>2022</v>
      </c>
      <c r="G511" s="3">
        <v>0</v>
      </c>
      <c r="H511" s="3">
        <v>0</v>
      </c>
      <c r="I511" s="3">
        <v>0</v>
      </c>
      <c r="J511" s="3">
        <v>0</v>
      </c>
      <c r="K511" s="3">
        <v>3212000000</v>
      </c>
      <c r="L511" s="3">
        <v>0.2</v>
      </c>
      <c r="M511" s="3">
        <v>642400</v>
      </c>
      <c r="N511" s="3">
        <v>1892000</v>
      </c>
      <c r="O511" s="3">
        <v>2545000</v>
      </c>
      <c r="P511" s="3">
        <v>-264090</v>
      </c>
      <c r="Q511" s="3">
        <v>0.995834970530452</v>
      </c>
      <c r="R511" s="3">
        <v>14.7496412079668</v>
      </c>
      <c r="S511" s="3">
        <v>0.74341846758349694</v>
      </c>
      <c r="T511" s="3">
        <v>-0.103768172888016</v>
      </c>
      <c r="U511" s="3">
        <v>1997</v>
      </c>
      <c r="V511" s="3">
        <v>25</v>
      </c>
      <c r="W511" s="3">
        <v>0</v>
      </c>
      <c r="X511" s="3" t="s">
        <v>620</v>
      </c>
      <c r="Y511" s="4" t="s">
        <v>622</v>
      </c>
      <c r="Z511" s="3" t="s">
        <v>34</v>
      </c>
      <c r="AA511" s="5">
        <f t="shared" si="21"/>
        <v>0.995834970530452</v>
      </c>
      <c r="AB511" s="5">
        <f t="shared" si="22"/>
        <v>0.74341846758349694</v>
      </c>
      <c r="AC511" s="5">
        <f t="shared" si="23"/>
        <v>-0.103768172888016</v>
      </c>
    </row>
    <row r="512" spans="1:29" ht="15" customHeight="1" x14ac:dyDescent="0.3">
      <c r="A512" s="3">
        <v>598</v>
      </c>
      <c r="B512" s="3">
        <v>120</v>
      </c>
      <c r="C512" s="3" t="s">
        <v>618</v>
      </c>
      <c r="D512" s="4" t="s">
        <v>619</v>
      </c>
      <c r="E512" s="3" t="s">
        <v>41</v>
      </c>
      <c r="F512" s="3">
        <v>2023</v>
      </c>
      <c r="G512" s="3">
        <v>1</v>
      </c>
      <c r="H512" s="3">
        <v>0</v>
      </c>
      <c r="I512" s="3">
        <v>0</v>
      </c>
      <c r="J512" s="3">
        <v>0</v>
      </c>
      <c r="K512" s="3">
        <v>3212000000</v>
      </c>
      <c r="L512" s="3">
        <v>0.47010000000000002</v>
      </c>
      <c r="M512" s="3">
        <v>1509961.2</v>
      </c>
      <c r="N512" s="3">
        <v>1888000</v>
      </c>
      <c r="O512" s="3">
        <v>2250000</v>
      </c>
      <c r="P512" s="3">
        <v>-290740</v>
      </c>
      <c r="Q512" s="3">
        <v>1.51020497777778</v>
      </c>
      <c r="R512" s="3">
        <v>14.626440774180599</v>
      </c>
      <c r="S512" s="3">
        <v>0.83911111111111103</v>
      </c>
      <c r="T512" s="3">
        <v>-0.12921777777777799</v>
      </c>
      <c r="U512" s="3">
        <v>1997</v>
      </c>
      <c r="V512" s="3">
        <v>26</v>
      </c>
      <c r="W512" s="3">
        <v>0</v>
      </c>
      <c r="X512" s="3" t="s">
        <v>620</v>
      </c>
      <c r="Y512" s="4" t="s">
        <v>623</v>
      </c>
      <c r="Z512" s="3" t="s">
        <v>34</v>
      </c>
      <c r="AA512" s="5">
        <f t="shared" si="21"/>
        <v>1.51020497777778</v>
      </c>
      <c r="AB512" s="5">
        <f t="shared" si="22"/>
        <v>0.83911111111111103</v>
      </c>
      <c r="AC512" s="5">
        <f t="shared" si="23"/>
        <v>-0.12921777777777799</v>
      </c>
    </row>
    <row r="513" spans="1:29" ht="15" customHeight="1" x14ac:dyDescent="0.3">
      <c r="A513" s="3">
        <v>599</v>
      </c>
      <c r="B513" s="3">
        <v>120</v>
      </c>
      <c r="C513" s="3" t="s">
        <v>618</v>
      </c>
      <c r="D513" s="4" t="s">
        <v>619</v>
      </c>
      <c r="E513" s="3" t="s">
        <v>41</v>
      </c>
      <c r="F513" s="3">
        <v>2024</v>
      </c>
      <c r="G513" s="3">
        <v>1</v>
      </c>
      <c r="H513" s="3">
        <v>0</v>
      </c>
      <c r="I513" s="3">
        <v>0</v>
      </c>
      <c r="J513" s="3">
        <v>0</v>
      </c>
      <c r="K513" s="3">
        <v>5000000000</v>
      </c>
      <c r="L513" s="3">
        <v>2.0499999999999998</v>
      </c>
      <c r="M513" s="3">
        <v>10250000</v>
      </c>
      <c r="N513" s="3">
        <v>1784000</v>
      </c>
      <c r="O513" s="3">
        <v>2954000</v>
      </c>
      <c r="P513" s="3">
        <v>-265590</v>
      </c>
      <c r="Q513" s="3">
        <v>4.0737982396750203</v>
      </c>
      <c r="R513" s="3">
        <v>14.898670742073501</v>
      </c>
      <c r="S513" s="3">
        <v>0.60392687880839502</v>
      </c>
      <c r="T513" s="3">
        <v>-8.9908598510494306E-2</v>
      </c>
      <c r="U513" s="3">
        <v>1997</v>
      </c>
      <c r="V513" s="3">
        <v>27</v>
      </c>
      <c r="W513" s="3">
        <v>0</v>
      </c>
      <c r="X513" s="3" t="s">
        <v>620</v>
      </c>
      <c r="Y513" s="4" t="s">
        <v>624</v>
      </c>
      <c r="Z513" s="3" t="s">
        <v>34</v>
      </c>
      <c r="AA513" s="5">
        <f t="shared" si="21"/>
        <v>4.0737982396750203</v>
      </c>
      <c r="AB513" s="5">
        <f t="shared" si="22"/>
        <v>0.60392687880839502</v>
      </c>
      <c r="AC513" s="5">
        <f t="shared" si="23"/>
        <v>-8.9908598510494306E-2</v>
      </c>
    </row>
    <row r="514" spans="1:29" ht="15" customHeight="1" x14ac:dyDescent="0.3">
      <c r="A514" s="3">
        <v>600</v>
      </c>
      <c r="B514" s="3">
        <v>120</v>
      </c>
      <c r="C514" s="3" t="s">
        <v>618</v>
      </c>
      <c r="D514" s="4" t="s">
        <v>619</v>
      </c>
      <c r="E514" s="3" t="s">
        <v>41</v>
      </c>
      <c r="F514" s="3">
        <v>2025</v>
      </c>
      <c r="G514" s="3">
        <v>1</v>
      </c>
      <c r="H514" s="3">
        <v>0</v>
      </c>
      <c r="I514" s="3">
        <v>0</v>
      </c>
      <c r="J514" s="3">
        <v>0</v>
      </c>
      <c r="K514" s="3">
        <v>5000000000</v>
      </c>
      <c r="L514" s="3">
        <v>2.5</v>
      </c>
      <c r="M514" s="3">
        <v>12500000</v>
      </c>
      <c r="N514" s="3">
        <v>8676000</v>
      </c>
      <c r="O514" s="3">
        <v>13395000</v>
      </c>
      <c r="P514" s="3">
        <v>72740</v>
      </c>
      <c r="Q514" s="3">
        <v>1.5808883911907401</v>
      </c>
      <c r="R514" s="3">
        <v>16.410392060960799</v>
      </c>
      <c r="S514" s="3">
        <v>0.64770436730123204</v>
      </c>
      <c r="T514" s="3">
        <v>5.4303844718178399E-3</v>
      </c>
      <c r="U514" s="3">
        <v>1997</v>
      </c>
      <c r="V514" s="3">
        <v>28</v>
      </c>
      <c r="W514" s="3">
        <v>0</v>
      </c>
      <c r="X514" s="3" t="s">
        <v>620</v>
      </c>
      <c r="Y514" s="4" t="s">
        <v>625</v>
      </c>
      <c r="Z514" s="3" t="s">
        <v>34</v>
      </c>
      <c r="AA514" s="5">
        <f t="shared" ref="AA514:AA577" si="24">MIN(MAX(Q514,PERCENTILE(Q$2:Q$612,0.005)),PERCENTILE(Q$2:Q$612,0.995))</f>
        <v>1.5808883911907401</v>
      </c>
      <c r="AB514" s="5">
        <f t="shared" ref="AB514:AB577" si="25">MIN(MAX(S514,PERCENTILE(S$2:S$612,0.005)),PERCENTILE(S$2:S$612,0.995))</f>
        <v>0.64770436730123204</v>
      </c>
      <c r="AC514" s="5">
        <f t="shared" ref="AC514:AC577" si="26">MIN(MAX(T514,PERCENTILE(T$2:T$612,0.005)),PERCENTILE(T$2:T$612,0.995))</f>
        <v>5.4303844718178399E-3</v>
      </c>
    </row>
    <row r="515" spans="1:29" ht="15" customHeight="1" x14ac:dyDescent="0.3">
      <c r="A515" s="3">
        <v>606</v>
      </c>
      <c r="B515" s="3">
        <v>122</v>
      </c>
      <c r="C515" s="3" t="s">
        <v>626</v>
      </c>
      <c r="D515" s="4" t="s">
        <v>627</v>
      </c>
      <c r="E515" s="3" t="s">
        <v>41</v>
      </c>
      <c r="F515" s="3">
        <v>2021</v>
      </c>
      <c r="G515" s="3">
        <v>0</v>
      </c>
      <c r="H515" s="3">
        <v>0</v>
      </c>
      <c r="I515" s="3">
        <v>0</v>
      </c>
      <c r="J515" s="3">
        <v>0</v>
      </c>
      <c r="K515" s="3">
        <v>889980000</v>
      </c>
      <c r="L515" s="3">
        <v>0.37</v>
      </c>
      <c r="M515" s="3">
        <v>329292.59999999998</v>
      </c>
      <c r="N515" s="3">
        <v>1028000</v>
      </c>
      <c r="O515" s="3">
        <v>1794000</v>
      </c>
      <c r="P515" s="3">
        <v>-77240</v>
      </c>
      <c r="Q515" s="3">
        <v>0.75657335562987704</v>
      </c>
      <c r="R515" s="3">
        <v>14.3999583216009</v>
      </c>
      <c r="S515" s="3">
        <v>0.57302118171683403</v>
      </c>
      <c r="T515" s="3">
        <v>-4.3054626532887399E-2</v>
      </c>
      <c r="U515" s="3">
        <v>1995</v>
      </c>
      <c r="V515" s="3">
        <v>26</v>
      </c>
      <c r="W515" s="3">
        <v>0</v>
      </c>
      <c r="X515" s="3" t="s">
        <v>628</v>
      </c>
      <c r="Y515" s="4" t="s">
        <v>629</v>
      </c>
      <c r="Z515" s="3" t="s">
        <v>34</v>
      </c>
      <c r="AA515" s="5">
        <f t="shared" si="24"/>
        <v>0.75657335562987704</v>
      </c>
      <c r="AB515" s="5">
        <f t="shared" si="25"/>
        <v>0.57302118171683403</v>
      </c>
      <c r="AC515" s="5">
        <f t="shared" si="26"/>
        <v>-4.3054626532887399E-2</v>
      </c>
    </row>
    <row r="516" spans="1:29" ht="15" customHeight="1" x14ac:dyDescent="0.3">
      <c r="A516" s="3">
        <v>607</v>
      </c>
      <c r="B516" s="3">
        <v>122</v>
      </c>
      <c r="C516" s="3" t="s">
        <v>626</v>
      </c>
      <c r="D516" s="4" t="s">
        <v>627</v>
      </c>
      <c r="E516" s="3" t="s">
        <v>41</v>
      </c>
      <c r="F516" s="3">
        <v>2022</v>
      </c>
      <c r="G516" s="3">
        <v>0</v>
      </c>
      <c r="H516" s="3">
        <v>0</v>
      </c>
      <c r="I516" s="3">
        <v>0</v>
      </c>
      <c r="J516" s="3">
        <v>0</v>
      </c>
      <c r="K516" s="3">
        <v>889980000</v>
      </c>
      <c r="L516" s="3">
        <v>0.48</v>
      </c>
      <c r="M516" s="3">
        <v>427190.4</v>
      </c>
      <c r="N516" s="3">
        <v>1377000</v>
      </c>
      <c r="O516" s="3">
        <v>2090000</v>
      </c>
      <c r="P516" s="3">
        <v>-53700</v>
      </c>
      <c r="Q516" s="3">
        <v>0.86324899521531095</v>
      </c>
      <c r="R516" s="3">
        <v>14.552674623941</v>
      </c>
      <c r="S516" s="3">
        <v>0.65885167464114802</v>
      </c>
      <c r="T516" s="3">
        <v>-2.5693779904306199E-2</v>
      </c>
      <c r="U516" s="3">
        <v>1995</v>
      </c>
      <c r="V516" s="3">
        <v>27</v>
      </c>
      <c r="W516" s="3">
        <v>0</v>
      </c>
      <c r="X516" s="3" t="s">
        <v>628</v>
      </c>
      <c r="Y516" s="4" t="s">
        <v>630</v>
      </c>
      <c r="Z516" s="3" t="s">
        <v>34</v>
      </c>
      <c r="AA516" s="5">
        <f t="shared" si="24"/>
        <v>0.86324899521531095</v>
      </c>
      <c r="AB516" s="5">
        <f t="shared" si="25"/>
        <v>0.65885167464114802</v>
      </c>
      <c r="AC516" s="5">
        <f t="shared" si="26"/>
        <v>-2.5693779904306199E-2</v>
      </c>
    </row>
    <row r="517" spans="1:29" ht="15" customHeight="1" x14ac:dyDescent="0.3">
      <c r="A517" s="3">
        <v>608</v>
      </c>
      <c r="B517" s="3">
        <v>122</v>
      </c>
      <c r="C517" s="3" t="s">
        <v>626</v>
      </c>
      <c r="D517" s="4" t="s">
        <v>627</v>
      </c>
      <c r="E517" s="3" t="s">
        <v>41</v>
      </c>
      <c r="F517" s="3">
        <v>2023</v>
      </c>
      <c r="G517" s="3">
        <v>1</v>
      </c>
      <c r="H517" s="3">
        <v>0</v>
      </c>
      <c r="I517" s="3">
        <v>5</v>
      </c>
      <c r="J517" s="3">
        <v>0</v>
      </c>
      <c r="K517" s="3">
        <v>889980000</v>
      </c>
      <c r="L517" s="3">
        <v>1.1460999999999999</v>
      </c>
      <c r="M517" s="3">
        <v>1020006.078</v>
      </c>
      <c r="N517" s="3">
        <v>1382000</v>
      </c>
      <c r="O517" s="3">
        <v>2560000</v>
      </c>
      <c r="P517" s="3">
        <v>348230</v>
      </c>
      <c r="Q517" s="3">
        <v>0.93828362421875</v>
      </c>
      <c r="R517" s="3">
        <v>14.755517816455701</v>
      </c>
      <c r="S517" s="3">
        <v>0.53984374999999996</v>
      </c>
      <c r="T517" s="3">
        <v>0.13602734375</v>
      </c>
      <c r="U517" s="3">
        <v>1995</v>
      </c>
      <c r="V517" s="3">
        <v>28</v>
      </c>
      <c r="W517" s="3">
        <v>0</v>
      </c>
      <c r="X517" s="3" t="s">
        <v>628</v>
      </c>
      <c r="Y517" s="4" t="s">
        <v>631</v>
      </c>
      <c r="Z517" s="3" t="s">
        <v>34</v>
      </c>
      <c r="AA517" s="5">
        <f t="shared" si="24"/>
        <v>0.93828362421875</v>
      </c>
      <c r="AB517" s="5">
        <f t="shared" si="25"/>
        <v>0.53984374999999996</v>
      </c>
      <c r="AC517" s="5">
        <f t="shared" si="26"/>
        <v>0.13602734375</v>
      </c>
    </row>
    <row r="518" spans="1:29" ht="15" customHeight="1" x14ac:dyDescent="0.3">
      <c r="A518" s="3">
        <v>609</v>
      </c>
      <c r="B518" s="3">
        <v>122</v>
      </c>
      <c r="C518" s="3" t="s">
        <v>626</v>
      </c>
      <c r="D518" s="4" t="s">
        <v>627</v>
      </c>
      <c r="E518" s="3" t="s">
        <v>41</v>
      </c>
      <c r="F518" s="3">
        <v>2024</v>
      </c>
      <c r="G518" s="3">
        <v>1</v>
      </c>
      <c r="H518" s="3">
        <v>0</v>
      </c>
      <c r="I518" s="3">
        <v>5</v>
      </c>
      <c r="J518" s="3">
        <v>0</v>
      </c>
      <c r="K518" s="3">
        <v>889980000</v>
      </c>
      <c r="L518" s="3">
        <v>2.4944000000000002</v>
      </c>
      <c r="M518" s="3">
        <v>2219966.1120000002</v>
      </c>
      <c r="N518" s="3">
        <v>2646000</v>
      </c>
      <c r="O518" s="3">
        <v>5120000</v>
      </c>
      <c r="P518" s="3">
        <v>1380000</v>
      </c>
      <c r="Q518" s="3">
        <v>0.95038400624999997</v>
      </c>
      <c r="R518" s="3">
        <v>15.448664997015699</v>
      </c>
      <c r="S518" s="3">
        <v>0.51679687500000004</v>
      </c>
      <c r="T518" s="3">
        <v>0.26953125</v>
      </c>
      <c r="U518" s="3">
        <v>1995</v>
      </c>
      <c r="V518" s="3">
        <v>29</v>
      </c>
      <c r="W518" s="3">
        <v>0</v>
      </c>
      <c r="X518" s="3" t="s">
        <v>628</v>
      </c>
      <c r="Y518" s="4" t="s">
        <v>632</v>
      </c>
      <c r="Z518" s="3" t="s">
        <v>34</v>
      </c>
      <c r="AA518" s="5">
        <f t="shared" si="24"/>
        <v>0.95038400624999997</v>
      </c>
      <c r="AB518" s="5">
        <f t="shared" si="25"/>
        <v>0.51679687500000004</v>
      </c>
      <c r="AC518" s="5">
        <f t="shared" si="26"/>
        <v>0.26953125</v>
      </c>
    </row>
    <row r="519" spans="1:29" ht="15" customHeight="1" x14ac:dyDescent="0.3">
      <c r="A519" s="3">
        <v>610</v>
      </c>
      <c r="B519" s="3">
        <v>122</v>
      </c>
      <c r="C519" s="3" t="s">
        <v>626</v>
      </c>
      <c r="D519" s="4" t="s">
        <v>627</v>
      </c>
      <c r="E519" s="3" t="s">
        <v>41</v>
      </c>
      <c r="F519" s="3">
        <v>2025</v>
      </c>
      <c r="G519" s="3">
        <v>1</v>
      </c>
      <c r="H519" s="3">
        <v>0</v>
      </c>
      <c r="I519" s="3">
        <v>0</v>
      </c>
      <c r="J519" s="3">
        <v>0</v>
      </c>
      <c r="K519" s="3">
        <v>889980000</v>
      </c>
      <c r="L519" s="3">
        <v>13.303699999999999</v>
      </c>
      <c r="M519" s="3">
        <v>11840026.926000001</v>
      </c>
      <c r="N519" s="3">
        <v>5974000</v>
      </c>
      <c r="O519" s="3">
        <v>11727000</v>
      </c>
      <c r="P519" s="3">
        <v>3388000</v>
      </c>
      <c r="Q519" s="3">
        <v>1.51906087882664</v>
      </c>
      <c r="R519" s="3">
        <v>16.277404433443198</v>
      </c>
      <c r="S519" s="3">
        <v>0.50942269975270704</v>
      </c>
      <c r="T519" s="3">
        <v>0.28890594354907501</v>
      </c>
      <c r="U519" s="3">
        <v>1995</v>
      </c>
      <c r="V519" s="3">
        <v>30</v>
      </c>
      <c r="W519" s="3">
        <v>0</v>
      </c>
      <c r="X519" s="3" t="s">
        <v>628</v>
      </c>
      <c r="Y519" s="4" t="s">
        <v>633</v>
      </c>
      <c r="Z519" s="3" t="s">
        <v>34</v>
      </c>
      <c r="AA519" s="5">
        <f t="shared" si="24"/>
        <v>1.51906087882664</v>
      </c>
      <c r="AB519" s="5">
        <f t="shared" si="25"/>
        <v>0.50942269975270704</v>
      </c>
      <c r="AC519" s="5">
        <f t="shared" si="26"/>
        <v>0.28890594354907501</v>
      </c>
    </row>
    <row r="520" spans="1:29" ht="15" customHeight="1" x14ac:dyDescent="0.3">
      <c r="A520" s="3">
        <v>611</v>
      </c>
      <c r="B520" s="3">
        <v>123</v>
      </c>
      <c r="C520" s="3" t="s">
        <v>634</v>
      </c>
      <c r="D520" s="4" t="s">
        <v>635</v>
      </c>
      <c r="E520" s="3" t="s">
        <v>99</v>
      </c>
      <c r="F520" s="3">
        <v>2021</v>
      </c>
      <c r="G520" s="3">
        <v>0</v>
      </c>
      <c r="H520" s="3">
        <v>0</v>
      </c>
      <c r="I520" s="3">
        <v>0</v>
      </c>
      <c r="J520" s="3">
        <v>0</v>
      </c>
      <c r="K520" s="3">
        <v>339520000</v>
      </c>
      <c r="L520" s="3">
        <v>221.9015</v>
      </c>
      <c r="M520" s="3">
        <v>75339997.280000001</v>
      </c>
      <c r="N520" s="3">
        <v>167110000</v>
      </c>
      <c r="O520" s="3">
        <v>208729000</v>
      </c>
      <c r="P520" s="3">
        <v>16862000</v>
      </c>
      <c r="Q520" s="3">
        <v>1.16155396365622</v>
      </c>
      <c r="R520" s="3">
        <v>19.156547317832398</v>
      </c>
      <c r="S520" s="3">
        <v>0.80060748626209099</v>
      </c>
      <c r="T520" s="3">
        <v>8.0784174695418501E-2</v>
      </c>
      <c r="U520" s="3">
        <v>1956</v>
      </c>
      <c r="V520" s="3">
        <v>65</v>
      </c>
      <c r="W520" s="3">
        <v>1</v>
      </c>
      <c r="X520" s="3" t="s">
        <v>32</v>
      </c>
      <c r="Y520" s="4" t="s">
        <v>636</v>
      </c>
      <c r="Z520" s="3" t="s">
        <v>34</v>
      </c>
      <c r="AA520" s="5">
        <f t="shared" si="24"/>
        <v>1.16155396365622</v>
      </c>
      <c r="AB520" s="5">
        <f t="shared" si="25"/>
        <v>0.80060748626209099</v>
      </c>
      <c r="AC520" s="5">
        <f t="shared" si="26"/>
        <v>8.0784174695418501E-2</v>
      </c>
    </row>
    <row r="521" spans="1:29" ht="15" customHeight="1" x14ac:dyDescent="0.3">
      <c r="A521" s="3">
        <v>612</v>
      </c>
      <c r="B521" s="3">
        <v>123</v>
      </c>
      <c r="C521" s="3" t="s">
        <v>634</v>
      </c>
      <c r="D521" s="4" t="s">
        <v>635</v>
      </c>
      <c r="E521" s="3" t="s">
        <v>99</v>
      </c>
      <c r="F521" s="3">
        <v>2022</v>
      </c>
      <c r="G521" s="3">
        <v>0</v>
      </c>
      <c r="H521" s="3">
        <v>0</v>
      </c>
      <c r="I521" s="3">
        <v>0</v>
      </c>
      <c r="J521" s="3">
        <v>0</v>
      </c>
      <c r="K521" s="3">
        <v>339520000</v>
      </c>
      <c r="L521" s="3">
        <v>193.0078</v>
      </c>
      <c r="M521" s="3">
        <v>65530008.255999997</v>
      </c>
      <c r="N521" s="3">
        <v>257529000</v>
      </c>
      <c r="O521" s="3">
        <v>307816000</v>
      </c>
      <c r="P521" s="3">
        <v>16118000</v>
      </c>
      <c r="Q521" s="3">
        <v>1.04951986984432</v>
      </c>
      <c r="R521" s="3">
        <v>19.545012759824399</v>
      </c>
      <c r="S521" s="3">
        <v>0.83663292356472696</v>
      </c>
      <c r="T521" s="3">
        <v>5.2362450294981398E-2</v>
      </c>
      <c r="U521" s="3">
        <v>1956</v>
      </c>
      <c r="V521" s="3">
        <v>66</v>
      </c>
      <c r="W521" s="3">
        <v>1</v>
      </c>
      <c r="X521" s="3" t="s">
        <v>32</v>
      </c>
      <c r="Y521" s="4" t="s">
        <v>637</v>
      </c>
      <c r="Z521" s="3" t="s">
        <v>34</v>
      </c>
      <c r="AA521" s="5">
        <f t="shared" si="24"/>
        <v>1.04951986984432</v>
      </c>
      <c r="AB521" s="5">
        <f t="shared" si="25"/>
        <v>0.83663292356472696</v>
      </c>
      <c r="AC521" s="5">
        <f t="shared" si="26"/>
        <v>5.2362450294981398E-2</v>
      </c>
    </row>
    <row r="522" spans="1:29" ht="15" customHeight="1" x14ac:dyDescent="0.3">
      <c r="A522" s="3">
        <v>613</v>
      </c>
      <c r="B522" s="3">
        <v>123</v>
      </c>
      <c r="C522" s="3" t="s">
        <v>634</v>
      </c>
      <c r="D522" s="4" t="s">
        <v>635</v>
      </c>
      <c r="E522" s="3" t="s">
        <v>99</v>
      </c>
      <c r="F522" s="3">
        <v>2023</v>
      </c>
      <c r="G522" s="3">
        <v>1</v>
      </c>
      <c r="H522" s="3">
        <v>0</v>
      </c>
      <c r="I522" s="3">
        <v>0</v>
      </c>
      <c r="J522" s="3">
        <v>0</v>
      </c>
      <c r="K522" s="3">
        <v>339520000</v>
      </c>
      <c r="L522" s="3">
        <v>385.01409999999998</v>
      </c>
      <c r="M522" s="3">
        <v>130719987.23199999</v>
      </c>
      <c r="N522" s="3">
        <v>319038000</v>
      </c>
      <c r="O522" s="3">
        <v>375116000</v>
      </c>
      <c r="P522" s="3">
        <v>12913000</v>
      </c>
      <c r="Q522" s="3">
        <v>1.1989837469796001</v>
      </c>
      <c r="R522" s="3">
        <v>19.742745869434302</v>
      </c>
      <c r="S522" s="3">
        <v>0.85050491048102494</v>
      </c>
      <c r="T522" s="3">
        <v>3.4424018170379302E-2</v>
      </c>
      <c r="U522" s="3">
        <v>1956</v>
      </c>
      <c r="V522" s="3">
        <v>67</v>
      </c>
      <c r="W522" s="3">
        <v>1</v>
      </c>
      <c r="X522" s="3" t="s">
        <v>32</v>
      </c>
      <c r="Y522" s="4" t="s">
        <v>638</v>
      </c>
      <c r="Z522" s="3" t="s">
        <v>34</v>
      </c>
      <c r="AA522" s="5">
        <f t="shared" si="24"/>
        <v>1.1989837469796001</v>
      </c>
      <c r="AB522" s="5">
        <f t="shared" si="25"/>
        <v>0.85050491048102494</v>
      </c>
      <c r="AC522" s="5">
        <f t="shared" si="26"/>
        <v>3.4424018170379302E-2</v>
      </c>
    </row>
    <row r="523" spans="1:29" ht="15" customHeight="1" x14ac:dyDescent="0.3">
      <c r="A523" s="3">
        <v>614</v>
      </c>
      <c r="B523" s="3">
        <v>123</v>
      </c>
      <c r="C523" s="3" t="s">
        <v>634</v>
      </c>
      <c r="D523" s="4" t="s">
        <v>635</v>
      </c>
      <c r="E523" s="3" t="s">
        <v>99</v>
      </c>
      <c r="F523" s="3">
        <v>2024</v>
      </c>
      <c r="G523" s="3">
        <v>1</v>
      </c>
      <c r="H523" s="3">
        <v>0</v>
      </c>
      <c r="I523" s="3">
        <v>20</v>
      </c>
      <c r="J523" s="3">
        <v>13.3333333333333</v>
      </c>
      <c r="K523" s="3">
        <v>339520000</v>
      </c>
      <c r="L523" s="3">
        <v>698.01480000000004</v>
      </c>
      <c r="M523" s="3">
        <v>236989984.896</v>
      </c>
      <c r="N523" s="3">
        <v>396042000</v>
      </c>
      <c r="O523" s="3">
        <v>471123000</v>
      </c>
      <c r="P523" s="3">
        <v>27496000</v>
      </c>
      <c r="Q523" s="3">
        <v>1.3436660593857701</v>
      </c>
      <c r="R523" s="3">
        <v>19.9706297643847</v>
      </c>
      <c r="S523" s="3">
        <v>0.84063397456715105</v>
      </c>
      <c r="T523" s="3">
        <v>5.8362678111660897E-2</v>
      </c>
      <c r="U523" s="3">
        <v>1956</v>
      </c>
      <c r="V523" s="3">
        <v>68</v>
      </c>
      <c r="W523" s="3">
        <v>1</v>
      </c>
      <c r="X523" s="3" t="s">
        <v>32</v>
      </c>
      <c r="Y523" s="4" t="s">
        <v>639</v>
      </c>
      <c r="Z523" s="3" t="s">
        <v>34</v>
      </c>
      <c r="AA523" s="5">
        <f t="shared" si="24"/>
        <v>1.3436660593857701</v>
      </c>
      <c r="AB523" s="5">
        <f t="shared" si="25"/>
        <v>0.84063397456715105</v>
      </c>
      <c r="AC523" s="5">
        <f t="shared" si="26"/>
        <v>5.8362678111660897E-2</v>
      </c>
    </row>
    <row r="524" spans="1:29" ht="15" customHeight="1" x14ac:dyDescent="0.3">
      <c r="A524" s="3">
        <v>615</v>
      </c>
      <c r="B524" s="3">
        <v>123</v>
      </c>
      <c r="C524" s="3" t="s">
        <v>634</v>
      </c>
      <c r="D524" s="4" t="s">
        <v>635</v>
      </c>
      <c r="E524" s="3" t="s">
        <v>99</v>
      </c>
      <c r="F524" s="3">
        <v>2025</v>
      </c>
      <c r="G524" s="3">
        <v>1</v>
      </c>
      <c r="H524" s="3">
        <v>0</v>
      </c>
      <c r="I524" s="3">
        <v>0</v>
      </c>
      <c r="J524" s="3">
        <v>0</v>
      </c>
      <c r="K524" s="3">
        <v>339520000</v>
      </c>
      <c r="L524" s="3">
        <v>639.99180000000001</v>
      </c>
      <c r="M524" s="3">
        <v>217290015.93599999</v>
      </c>
      <c r="N524" s="3">
        <v>341010000</v>
      </c>
      <c r="O524" s="3">
        <v>388550000</v>
      </c>
      <c r="P524" s="3">
        <v>-13853000</v>
      </c>
      <c r="Q524" s="3">
        <v>1.4368807513473201</v>
      </c>
      <c r="R524" s="3">
        <v>19.7779324196195</v>
      </c>
      <c r="S524" s="3">
        <v>0.87764766439325703</v>
      </c>
      <c r="T524" s="3">
        <v>-3.5653069103075502E-2</v>
      </c>
      <c r="U524" s="3">
        <v>1956</v>
      </c>
      <c r="V524" s="3">
        <v>69</v>
      </c>
      <c r="W524" s="3">
        <v>1</v>
      </c>
      <c r="X524" s="3" t="s">
        <v>32</v>
      </c>
      <c r="Y524" s="4" t="s">
        <v>640</v>
      </c>
      <c r="Z524" s="3" t="s">
        <v>34</v>
      </c>
      <c r="AA524" s="5">
        <f t="shared" si="24"/>
        <v>1.4368807513473201</v>
      </c>
      <c r="AB524" s="5">
        <f t="shared" si="25"/>
        <v>0.87764766439325703</v>
      </c>
      <c r="AC524" s="5">
        <f t="shared" si="26"/>
        <v>-3.5653069103075502E-2</v>
      </c>
    </row>
    <row r="525" spans="1:29" ht="15" customHeight="1" x14ac:dyDescent="0.3">
      <c r="A525" s="3">
        <v>616</v>
      </c>
      <c r="B525" s="3">
        <v>124</v>
      </c>
      <c r="C525" s="3" t="s">
        <v>641</v>
      </c>
      <c r="D525" s="4" t="s">
        <v>642</v>
      </c>
      <c r="E525" s="3" t="s">
        <v>41</v>
      </c>
      <c r="F525" s="3">
        <v>2021</v>
      </c>
      <c r="G525" s="3">
        <v>0</v>
      </c>
      <c r="H525" s="3">
        <v>0</v>
      </c>
      <c r="I525" s="3">
        <v>0</v>
      </c>
      <c r="J525" s="3">
        <v>0</v>
      </c>
      <c r="K525" s="3">
        <v>10243000000</v>
      </c>
      <c r="L525" s="3">
        <v>5.3792999999999997</v>
      </c>
      <c r="M525" s="3">
        <v>55100169.899999999</v>
      </c>
      <c r="N525" s="3">
        <v>53670000</v>
      </c>
      <c r="O525" s="3">
        <v>115890000</v>
      </c>
      <c r="P525" s="3">
        <v>1144000</v>
      </c>
      <c r="Q525" s="3">
        <v>0.93856389593580103</v>
      </c>
      <c r="R525" s="3">
        <v>18.568152023310599</v>
      </c>
      <c r="S525" s="3">
        <v>0.46311157131762898</v>
      </c>
      <c r="T525" s="3">
        <v>9.8714298041245995E-3</v>
      </c>
      <c r="U525" s="3">
        <v>1994</v>
      </c>
      <c r="V525" s="3">
        <v>27</v>
      </c>
      <c r="W525" s="3">
        <v>1</v>
      </c>
      <c r="X525" s="3" t="s">
        <v>65</v>
      </c>
      <c r="Y525" s="4" t="s">
        <v>643</v>
      </c>
      <c r="Z525" s="3" t="s">
        <v>34</v>
      </c>
      <c r="AA525" s="5">
        <f t="shared" si="24"/>
        <v>0.93856389593580103</v>
      </c>
      <c r="AB525" s="5">
        <f t="shared" si="25"/>
        <v>0.46311157131762898</v>
      </c>
      <c r="AC525" s="5">
        <f t="shared" si="26"/>
        <v>9.8714298041245995E-3</v>
      </c>
    </row>
    <row r="526" spans="1:29" ht="15" customHeight="1" x14ac:dyDescent="0.3">
      <c r="A526" s="3">
        <v>617</v>
      </c>
      <c r="B526" s="3">
        <v>124</v>
      </c>
      <c r="C526" s="3" t="s">
        <v>641</v>
      </c>
      <c r="D526" s="4" t="s">
        <v>642</v>
      </c>
      <c r="E526" s="3" t="s">
        <v>41</v>
      </c>
      <c r="F526" s="3">
        <v>2022</v>
      </c>
      <c r="G526" s="3">
        <v>0</v>
      </c>
      <c r="H526" s="3">
        <v>0</v>
      </c>
      <c r="I526" s="3">
        <v>0</v>
      </c>
      <c r="J526" s="3">
        <v>0</v>
      </c>
      <c r="K526" s="3">
        <v>10243000000</v>
      </c>
      <c r="L526" s="3">
        <v>6.2500999999999998</v>
      </c>
      <c r="M526" s="3">
        <v>64019774.299999997</v>
      </c>
      <c r="N526" s="3">
        <v>57698000</v>
      </c>
      <c r="O526" s="3">
        <v>120487000</v>
      </c>
      <c r="P526" s="3">
        <v>2678000</v>
      </c>
      <c r="Q526" s="3">
        <v>1.01021499663864</v>
      </c>
      <c r="R526" s="3">
        <v>18.607052421257698</v>
      </c>
      <c r="S526" s="3">
        <v>0.47887323943662002</v>
      </c>
      <c r="T526" s="3">
        <v>2.2226464265854399E-2</v>
      </c>
      <c r="U526" s="3">
        <v>1994</v>
      </c>
      <c r="V526" s="3">
        <v>28</v>
      </c>
      <c r="W526" s="3">
        <v>1</v>
      </c>
      <c r="X526" s="3" t="s">
        <v>65</v>
      </c>
      <c r="Y526" s="4" t="s">
        <v>644</v>
      </c>
      <c r="Z526" s="3" t="s">
        <v>34</v>
      </c>
      <c r="AA526" s="5">
        <f t="shared" si="24"/>
        <v>1.01021499663864</v>
      </c>
      <c r="AB526" s="5">
        <f t="shared" si="25"/>
        <v>0.47887323943662002</v>
      </c>
      <c r="AC526" s="5">
        <f t="shared" si="26"/>
        <v>2.2226464265854399E-2</v>
      </c>
    </row>
    <row r="527" spans="1:29" ht="15" customHeight="1" x14ac:dyDescent="0.3">
      <c r="A527" s="3">
        <v>618</v>
      </c>
      <c r="B527" s="3">
        <v>124</v>
      </c>
      <c r="C527" s="3" t="s">
        <v>641</v>
      </c>
      <c r="D527" s="4" t="s">
        <v>642</v>
      </c>
      <c r="E527" s="3" t="s">
        <v>41</v>
      </c>
      <c r="F527" s="3">
        <v>2023</v>
      </c>
      <c r="G527" s="3">
        <v>1</v>
      </c>
      <c r="H527" s="3">
        <v>0</v>
      </c>
      <c r="I527" s="3">
        <v>0</v>
      </c>
      <c r="J527" s="3">
        <v>0</v>
      </c>
      <c r="K527" s="3">
        <v>10243000000</v>
      </c>
      <c r="L527" s="3">
        <v>70.176699999999997</v>
      </c>
      <c r="M527" s="3">
        <v>718819938.10000002</v>
      </c>
      <c r="N527" s="3">
        <v>59299000</v>
      </c>
      <c r="O527" s="3">
        <v>126095000</v>
      </c>
      <c r="P527" s="3">
        <v>6156000</v>
      </c>
      <c r="Q527" s="3">
        <v>6.1708944692493803</v>
      </c>
      <c r="R527" s="3">
        <v>18.6525461490784</v>
      </c>
      <c r="S527" s="3">
        <v>0.47027241365637001</v>
      </c>
      <c r="T527" s="3">
        <v>4.8820333875252801E-2</v>
      </c>
      <c r="U527" s="3">
        <v>1994</v>
      </c>
      <c r="V527" s="3">
        <v>29</v>
      </c>
      <c r="W527" s="3">
        <v>1</v>
      </c>
      <c r="X527" s="3" t="s">
        <v>65</v>
      </c>
      <c r="Y527" s="4" t="s">
        <v>645</v>
      </c>
      <c r="Z527" s="3" t="s">
        <v>34</v>
      </c>
      <c r="AA527" s="5">
        <f t="shared" si="24"/>
        <v>6.1708944692493803</v>
      </c>
      <c r="AB527" s="5">
        <f t="shared" si="25"/>
        <v>0.47027241365637001</v>
      </c>
      <c r="AC527" s="5">
        <f t="shared" si="26"/>
        <v>4.8820333875252801E-2</v>
      </c>
    </row>
    <row r="528" spans="1:29" ht="15" customHeight="1" x14ac:dyDescent="0.3">
      <c r="A528" s="3">
        <v>619</v>
      </c>
      <c r="B528" s="3">
        <v>124</v>
      </c>
      <c r="C528" s="3" t="s">
        <v>641</v>
      </c>
      <c r="D528" s="4" t="s">
        <v>642</v>
      </c>
      <c r="E528" s="3" t="s">
        <v>41</v>
      </c>
      <c r="F528" s="3">
        <v>2024</v>
      </c>
      <c r="G528" s="3">
        <v>1</v>
      </c>
      <c r="H528" s="3">
        <v>0</v>
      </c>
      <c r="I528" s="3">
        <v>10</v>
      </c>
      <c r="J528" s="3">
        <v>13.3333333333333</v>
      </c>
      <c r="K528" s="3">
        <v>10243000000</v>
      </c>
      <c r="L528" s="3">
        <v>116.1769</v>
      </c>
      <c r="M528" s="3">
        <v>1189999986.7</v>
      </c>
      <c r="N528" s="3">
        <v>60177000</v>
      </c>
      <c r="O528" s="3">
        <v>140696000</v>
      </c>
      <c r="P528" s="3">
        <v>14944000</v>
      </c>
      <c r="Q528" s="3">
        <v>8.8856611893728292</v>
      </c>
      <c r="R528" s="3">
        <v>18.762112092398301</v>
      </c>
      <c r="S528" s="3">
        <v>0.42770938761585298</v>
      </c>
      <c r="T528" s="3">
        <v>0.10621481776312</v>
      </c>
      <c r="U528" s="3">
        <v>1994</v>
      </c>
      <c r="V528" s="3">
        <v>30</v>
      </c>
      <c r="W528" s="3">
        <v>1</v>
      </c>
      <c r="X528" s="3" t="s">
        <v>65</v>
      </c>
      <c r="Y528" s="4" t="s">
        <v>646</v>
      </c>
      <c r="Z528" s="3" t="s">
        <v>34</v>
      </c>
      <c r="AA528" s="5">
        <f t="shared" si="24"/>
        <v>8.8856611893728292</v>
      </c>
      <c r="AB528" s="5">
        <f t="shared" si="25"/>
        <v>0.42770938761585298</v>
      </c>
      <c r="AC528" s="5">
        <f t="shared" si="26"/>
        <v>0.10621481776312</v>
      </c>
    </row>
    <row r="529" spans="1:29" ht="15" customHeight="1" x14ac:dyDescent="0.3">
      <c r="A529" s="3">
        <v>620</v>
      </c>
      <c r="B529" s="3">
        <v>124</v>
      </c>
      <c r="C529" s="3" t="s">
        <v>641</v>
      </c>
      <c r="D529" s="4" t="s">
        <v>642</v>
      </c>
      <c r="E529" s="3" t="s">
        <v>41</v>
      </c>
      <c r="F529" s="3">
        <v>2025</v>
      </c>
      <c r="G529" s="3">
        <v>1</v>
      </c>
      <c r="H529" s="3">
        <v>0</v>
      </c>
      <c r="I529" s="3">
        <v>0</v>
      </c>
      <c r="J529" s="3">
        <v>0</v>
      </c>
      <c r="K529" s="3">
        <v>10243000000</v>
      </c>
      <c r="L529" s="3">
        <v>170.8484</v>
      </c>
      <c r="M529" s="3">
        <v>1750000161.2</v>
      </c>
      <c r="N529" s="3">
        <v>64676000</v>
      </c>
      <c r="O529" s="3">
        <v>159906000</v>
      </c>
      <c r="P529" s="3">
        <v>21871000</v>
      </c>
      <c r="Q529" s="3">
        <v>11.3483931884982</v>
      </c>
      <c r="R529" s="3">
        <v>18.890096700552402</v>
      </c>
      <c r="S529" s="3">
        <v>0.40446262179030201</v>
      </c>
      <c r="T529" s="3">
        <v>0.13677410478656199</v>
      </c>
      <c r="U529" s="3">
        <v>1994</v>
      </c>
      <c r="V529" s="3">
        <v>31</v>
      </c>
      <c r="W529" s="3">
        <v>1</v>
      </c>
      <c r="X529" s="3" t="s">
        <v>65</v>
      </c>
      <c r="Y529" s="4" t="s">
        <v>647</v>
      </c>
      <c r="Z529" s="3" t="s">
        <v>34</v>
      </c>
      <c r="AA529" s="5">
        <f t="shared" si="24"/>
        <v>11.329690675506347</v>
      </c>
      <c r="AB529" s="5">
        <f t="shared" si="25"/>
        <v>0.40446262179030201</v>
      </c>
      <c r="AC529" s="5">
        <f t="shared" si="26"/>
        <v>0.13677410478656199</v>
      </c>
    </row>
    <row r="530" spans="1:29" ht="15" customHeight="1" x14ac:dyDescent="0.3">
      <c r="A530" s="3">
        <v>621</v>
      </c>
      <c r="B530" s="3">
        <v>125</v>
      </c>
      <c r="C530" s="3" t="s">
        <v>648</v>
      </c>
      <c r="D530" s="4" t="s">
        <v>649</v>
      </c>
      <c r="E530" s="3" t="s">
        <v>225</v>
      </c>
      <c r="F530" s="3">
        <v>2021</v>
      </c>
      <c r="G530" s="3">
        <v>0</v>
      </c>
      <c r="H530" s="3">
        <v>0</v>
      </c>
      <c r="I530" s="3">
        <v>0</v>
      </c>
      <c r="J530" s="3">
        <v>0</v>
      </c>
      <c r="K530" s="3">
        <v>10162000000</v>
      </c>
      <c r="L530" s="3">
        <v>3.8397999999999999</v>
      </c>
      <c r="M530" s="3">
        <v>39020047.600000001</v>
      </c>
      <c r="N530" s="3">
        <v>269708000</v>
      </c>
      <c r="O530" s="3">
        <v>416000000</v>
      </c>
      <c r="P530" s="3">
        <v>13964000</v>
      </c>
      <c r="Q530" s="3">
        <v>0.74213472980769202</v>
      </c>
      <c r="R530" s="3">
        <v>19.8461958182255</v>
      </c>
      <c r="S530" s="3">
        <v>0.64833653846153905</v>
      </c>
      <c r="T530" s="3">
        <v>3.3567307692307702E-2</v>
      </c>
      <c r="U530" s="3">
        <v>2004</v>
      </c>
      <c r="V530" s="3">
        <v>17</v>
      </c>
      <c r="W530" s="3">
        <v>1</v>
      </c>
      <c r="X530" s="3" t="s">
        <v>65</v>
      </c>
      <c r="Y530" s="4" t="s">
        <v>650</v>
      </c>
      <c r="Z530" s="3" t="s">
        <v>34</v>
      </c>
      <c r="AA530" s="5">
        <f t="shared" si="24"/>
        <v>0.74213472980769202</v>
      </c>
      <c r="AB530" s="5">
        <f t="shared" si="25"/>
        <v>0.64833653846153905</v>
      </c>
      <c r="AC530" s="5">
        <f t="shared" si="26"/>
        <v>3.3567307692307702E-2</v>
      </c>
    </row>
    <row r="531" spans="1:29" ht="15" customHeight="1" x14ac:dyDescent="0.3">
      <c r="A531" s="3">
        <v>622</v>
      </c>
      <c r="B531" s="3">
        <v>125</v>
      </c>
      <c r="C531" s="3" t="s">
        <v>648</v>
      </c>
      <c r="D531" s="4" t="s">
        <v>649</v>
      </c>
      <c r="E531" s="3" t="s">
        <v>225</v>
      </c>
      <c r="F531" s="3">
        <v>2022</v>
      </c>
      <c r="G531" s="3">
        <v>0</v>
      </c>
      <c r="H531" s="3">
        <v>0</v>
      </c>
      <c r="I531" s="3">
        <v>0</v>
      </c>
      <c r="J531" s="3">
        <v>0</v>
      </c>
      <c r="K531" s="3">
        <v>10162000000</v>
      </c>
      <c r="L531" s="3">
        <v>4.5198</v>
      </c>
      <c r="M531" s="3">
        <v>45930207.600000001</v>
      </c>
      <c r="N531" s="3">
        <v>287929000</v>
      </c>
      <c r="O531" s="3">
        <v>442703000</v>
      </c>
      <c r="P531" s="3">
        <v>7788000</v>
      </c>
      <c r="Q531" s="3">
        <v>0.754138118783925</v>
      </c>
      <c r="R531" s="3">
        <v>19.9084096742776</v>
      </c>
      <c r="S531" s="3">
        <v>0.65038863527014701</v>
      </c>
      <c r="T531" s="3">
        <v>1.75919295780693E-2</v>
      </c>
      <c r="U531" s="3">
        <v>2004</v>
      </c>
      <c r="V531" s="3">
        <v>18</v>
      </c>
      <c r="W531" s="3">
        <v>1</v>
      </c>
      <c r="X531" s="3" t="s">
        <v>65</v>
      </c>
      <c r="Y531" s="4" t="s">
        <v>651</v>
      </c>
      <c r="Z531" s="3" t="s">
        <v>34</v>
      </c>
      <c r="AA531" s="5">
        <f t="shared" si="24"/>
        <v>0.754138118783925</v>
      </c>
      <c r="AB531" s="5">
        <f t="shared" si="25"/>
        <v>0.65038863527014701</v>
      </c>
      <c r="AC531" s="5">
        <f t="shared" si="26"/>
        <v>1.75919295780693E-2</v>
      </c>
    </row>
    <row r="532" spans="1:29" ht="15" customHeight="1" x14ac:dyDescent="0.3">
      <c r="A532" s="3">
        <v>623</v>
      </c>
      <c r="B532" s="3">
        <v>125</v>
      </c>
      <c r="C532" s="3" t="s">
        <v>648</v>
      </c>
      <c r="D532" s="4" t="s">
        <v>649</v>
      </c>
      <c r="E532" s="3" t="s">
        <v>225</v>
      </c>
      <c r="F532" s="3">
        <v>2023</v>
      </c>
      <c r="G532" s="3">
        <v>1</v>
      </c>
      <c r="H532" s="3">
        <v>0</v>
      </c>
      <c r="I532" s="3">
        <v>10</v>
      </c>
      <c r="J532" s="3">
        <v>0</v>
      </c>
      <c r="K532" s="3">
        <v>10162000000</v>
      </c>
      <c r="L532" s="3">
        <v>34.639800000000001</v>
      </c>
      <c r="M532" s="3">
        <v>352009647.60000002</v>
      </c>
      <c r="N532" s="3">
        <v>342626000</v>
      </c>
      <c r="O532" s="3">
        <v>529924000</v>
      </c>
      <c r="P532" s="3">
        <v>16378000</v>
      </c>
      <c r="Q532" s="3">
        <v>1.31082126418128</v>
      </c>
      <c r="R532" s="3">
        <v>20.0882441580018</v>
      </c>
      <c r="S532" s="3">
        <v>0.64655686475796503</v>
      </c>
      <c r="T532" s="3">
        <v>3.09063186419185E-2</v>
      </c>
      <c r="U532" s="3">
        <v>2004</v>
      </c>
      <c r="V532" s="3">
        <v>19</v>
      </c>
      <c r="W532" s="3">
        <v>1</v>
      </c>
      <c r="X532" s="3" t="s">
        <v>65</v>
      </c>
      <c r="Y532" s="4" t="s">
        <v>652</v>
      </c>
      <c r="Z532" s="3" t="s">
        <v>34</v>
      </c>
      <c r="AA532" s="5">
        <f t="shared" si="24"/>
        <v>1.31082126418128</v>
      </c>
      <c r="AB532" s="5">
        <f t="shared" si="25"/>
        <v>0.64655686475796503</v>
      </c>
      <c r="AC532" s="5">
        <f t="shared" si="26"/>
        <v>3.09063186419185E-2</v>
      </c>
    </row>
    <row r="533" spans="1:29" ht="15" customHeight="1" x14ac:dyDescent="0.3">
      <c r="A533" s="3">
        <v>624</v>
      </c>
      <c r="B533" s="3">
        <v>125</v>
      </c>
      <c r="C533" s="3" t="s">
        <v>648</v>
      </c>
      <c r="D533" s="4" t="s">
        <v>649</v>
      </c>
      <c r="E533" s="3" t="s">
        <v>225</v>
      </c>
      <c r="F533" s="3">
        <v>2024</v>
      </c>
      <c r="G533" s="3">
        <v>1</v>
      </c>
      <c r="H533" s="3">
        <v>0</v>
      </c>
      <c r="I533" s="3">
        <v>10</v>
      </c>
      <c r="J533" s="3">
        <v>0</v>
      </c>
      <c r="K533" s="3">
        <v>10162000000</v>
      </c>
      <c r="L533" s="3">
        <v>43.500300000000003</v>
      </c>
      <c r="M533" s="3">
        <v>442050048.60000002</v>
      </c>
      <c r="N533" s="3">
        <v>511370000</v>
      </c>
      <c r="O533" s="3">
        <v>751563000</v>
      </c>
      <c r="P533" s="3">
        <v>51525000</v>
      </c>
      <c r="Q533" s="3">
        <v>1.2685830044853199</v>
      </c>
      <c r="R533" s="3">
        <v>20.437665595978899</v>
      </c>
      <c r="S533" s="3">
        <v>0.680408694946398</v>
      </c>
      <c r="T533" s="3">
        <v>6.8557126947441496E-2</v>
      </c>
      <c r="U533" s="3">
        <v>2004</v>
      </c>
      <c r="V533" s="3">
        <v>20</v>
      </c>
      <c r="W533" s="3">
        <v>1</v>
      </c>
      <c r="X533" s="3" t="s">
        <v>65</v>
      </c>
      <c r="Y533" s="4" t="s">
        <v>653</v>
      </c>
      <c r="Z533" s="3" t="s">
        <v>34</v>
      </c>
      <c r="AA533" s="5">
        <f t="shared" si="24"/>
        <v>1.2685830044853199</v>
      </c>
      <c r="AB533" s="5">
        <f t="shared" si="25"/>
        <v>0.680408694946398</v>
      </c>
      <c r="AC533" s="5">
        <f t="shared" si="26"/>
        <v>6.8557126947441496E-2</v>
      </c>
    </row>
    <row r="534" spans="1:29" ht="15" customHeight="1" x14ac:dyDescent="0.3">
      <c r="A534" s="3">
        <v>625</v>
      </c>
      <c r="B534" s="3">
        <v>125</v>
      </c>
      <c r="C534" s="3" t="s">
        <v>648</v>
      </c>
      <c r="D534" s="4" t="s">
        <v>649</v>
      </c>
      <c r="E534" s="3" t="s">
        <v>225</v>
      </c>
      <c r="F534" s="3">
        <v>2025</v>
      </c>
      <c r="G534" s="3">
        <v>1</v>
      </c>
      <c r="H534" s="3">
        <v>0</v>
      </c>
      <c r="I534" s="3">
        <v>0</v>
      </c>
      <c r="J534" s="3">
        <v>0</v>
      </c>
      <c r="K534" s="3">
        <v>10162000000</v>
      </c>
      <c r="L534" s="3">
        <v>45.399500000000003</v>
      </c>
      <c r="M534" s="3">
        <v>461349719</v>
      </c>
      <c r="N534" s="3">
        <v>648957000</v>
      </c>
      <c r="O534" s="3">
        <v>1002343000</v>
      </c>
      <c r="P534" s="3">
        <v>85789000</v>
      </c>
      <c r="Q534" s="3">
        <v>1.1077113513039001</v>
      </c>
      <c r="R534" s="3">
        <v>20.725606096401801</v>
      </c>
      <c r="S534" s="3">
        <v>0.64744004796761201</v>
      </c>
      <c r="T534" s="3">
        <v>8.5588466223637999E-2</v>
      </c>
      <c r="U534" s="3">
        <v>2004</v>
      </c>
      <c r="V534" s="3">
        <v>21</v>
      </c>
      <c r="W534" s="3">
        <v>1</v>
      </c>
      <c r="X534" s="3" t="s">
        <v>65</v>
      </c>
      <c r="Y534" s="4" t="s">
        <v>654</v>
      </c>
      <c r="Z534" s="3" t="s">
        <v>34</v>
      </c>
      <c r="AA534" s="5">
        <f t="shared" si="24"/>
        <v>1.1077113513039001</v>
      </c>
      <c r="AB534" s="5">
        <f t="shared" si="25"/>
        <v>0.64744004796761201</v>
      </c>
      <c r="AC534" s="5">
        <f t="shared" si="26"/>
        <v>8.5588466223637999E-2</v>
      </c>
    </row>
    <row r="535" spans="1:29" ht="15" customHeight="1" x14ac:dyDescent="0.3">
      <c r="A535" s="3">
        <v>626</v>
      </c>
      <c r="B535" s="3">
        <v>126</v>
      </c>
      <c r="C535" s="3" t="s">
        <v>655</v>
      </c>
      <c r="D535" s="4" t="s">
        <v>656</v>
      </c>
      <c r="E535" s="3" t="s">
        <v>41</v>
      </c>
      <c r="F535" s="3">
        <v>2021</v>
      </c>
      <c r="G535" s="3">
        <v>0</v>
      </c>
      <c r="H535" s="3">
        <v>0</v>
      </c>
      <c r="I535" s="3">
        <v>0</v>
      </c>
      <c r="J535" s="3">
        <v>0</v>
      </c>
      <c r="K535" s="3">
        <v>498150000</v>
      </c>
      <c r="L535" s="3">
        <v>0.76239999999999997</v>
      </c>
      <c r="M535" s="3">
        <v>379789.56</v>
      </c>
      <c r="N535" s="3">
        <v>288960</v>
      </c>
      <c r="O535" s="3">
        <v>649590</v>
      </c>
      <c r="P535" s="3">
        <v>-39710</v>
      </c>
      <c r="Q535" s="3">
        <v>1.0294948505980701</v>
      </c>
      <c r="R535" s="3">
        <v>13.3840966736224</v>
      </c>
      <c r="S535" s="3">
        <v>0.44483443402761702</v>
      </c>
      <c r="T535" s="3">
        <v>-6.1130867162364003E-2</v>
      </c>
      <c r="U535" s="3">
        <v>1984</v>
      </c>
      <c r="V535" s="3">
        <v>37</v>
      </c>
      <c r="W535" s="3">
        <v>0</v>
      </c>
      <c r="X535" s="3" t="s">
        <v>238</v>
      </c>
      <c r="Y535" s="4" t="s">
        <v>657</v>
      </c>
      <c r="Z535" s="3" t="s">
        <v>34</v>
      </c>
      <c r="AA535" s="5">
        <f t="shared" si="24"/>
        <v>1.0294948505980701</v>
      </c>
      <c r="AB535" s="5">
        <f t="shared" si="25"/>
        <v>0.44483443402761702</v>
      </c>
      <c r="AC535" s="5">
        <f t="shared" si="26"/>
        <v>-6.1130867162364003E-2</v>
      </c>
    </row>
    <row r="536" spans="1:29" ht="15" customHeight="1" x14ac:dyDescent="0.3">
      <c r="A536" s="3">
        <v>627</v>
      </c>
      <c r="B536" s="3">
        <v>126</v>
      </c>
      <c r="C536" s="3" t="s">
        <v>655</v>
      </c>
      <c r="D536" s="4" t="s">
        <v>656</v>
      </c>
      <c r="E536" s="3" t="s">
        <v>41</v>
      </c>
      <c r="F536" s="3">
        <v>2022</v>
      </c>
      <c r="G536" s="3">
        <v>0</v>
      </c>
      <c r="H536" s="3">
        <v>0</v>
      </c>
      <c r="I536" s="3">
        <v>0</v>
      </c>
      <c r="J536" s="3">
        <v>0</v>
      </c>
      <c r="K536" s="3">
        <v>498150000</v>
      </c>
      <c r="L536" s="3">
        <v>0.82</v>
      </c>
      <c r="M536" s="3">
        <v>408483</v>
      </c>
      <c r="N536" s="3">
        <v>318080</v>
      </c>
      <c r="O536" s="3">
        <v>697030</v>
      </c>
      <c r="P536" s="3">
        <v>25220</v>
      </c>
      <c r="Q536" s="3">
        <v>1.0423697688765201</v>
      </c>
      <c r="R536" s="3">
        <v>13.4545837304233</v>
      </c>
      <c r="S536" s="3">
        <v>0.45633616917492797</v>
      </c>
      <c r="T536" s="3">
        <v>3.6182086854224402E-2</v>
      </c>
      <c r="U536" s="3">
        <v>1984</v>
      </c>
      <c r="V536" s="3">
        <v>38</v>
      </c>
      <c r="W536" s="3">
        <v>0</v>
      </c>
      <c r="X536" s="3" t="s">
        <v>238</v>
      </c>
      <c r="Y536" s="4" t="s">
        <v>658</v>
      </c>
      <c r="Z536" s="3" t="s">
        <v>34</v>
      </c>
      <c r="AA536" s="5">
        <f t="shared" si="24"/>
        <v>1.0423697688765201</v>
      </c>
      <c r="AB536" s="5">
        <f t="shared" si="25"/>
        <v>0.45633616917492797</v>
      </c>
      <c r="AC536" s="5">
        <f t="shared" si="26"/>
        <v>3.6182086854224402E-2</v>
      </c>
    </row>
    <row r="537" spans="1:29" ht="15" customHeight="1" x14ac:dyDescent="0.3">
      <c r="A537" s="3">
        <v>628</v>
      </c>
      <c r="B537" s="3">
        <v>126</v>
      </c>
      <c r="C537" s="3" t="s">
        <v>655</v>
      </c>
      <c r="D537" s="4" t="s">
        <v>656</v>
      </c>
      <c r="E537" s="3" t="s">
        <v>41</v>
      </c>
      <c r="F537" s="3">
        <v>2023</v>
      </c>
      <c r="G537" s="3">
        <v>1</v>
      </c>
      <c r="H537" s="3">
        <v>0</v>
      </c>
      <c r="I537" s="3">
        <v>5</v>
      </c>
      <c r="J537" s="3">
        <v>0</v>
      </c>
      <c r="K537" s="3">
        <v>498150000</v>
      </c>
      <c r="L537" s="3">
        <v>1.1499999999999999</v>
      </c>
      <c r="M537" s="3">
        <v>572872.5</v>
      </c>
      <c r="N537" s="3">
        <v>334310</v>
      </c>
      <c r="O537" s="3">
        <v>719910</v>
      </c>
      <c r="P537" s="3">
        <v>16030</v>
      </c>
      <c r="Q537" s="3">
        <v>1.2601332110958301</v>
      </c>
      <c r="R537" s="3">
        <v>13.486881483179101</v>
      </c>
      <c r="S537" s="3">
        <v>0.46437749163089798</v>
      </c>
      <c r="T537" s="3">
        <v>2.2266672222916801E-2</v>
      </c>
      <c r="U537" s="3">
        <v>1984</v>
      </c>
      <c r="V537" s="3">
        <v>39</v>
      </c>
      <c r="W537" s="3">
        <v>0</v>
      </c>
      <c r="X537" s="3" t="s">
        <v>238</v>
      </c>
      <c r="Y537" s="4" t="s">
        <v>659</v>
      </c>
      <c r="Z537" s="3" t="s">
        <v>34</v>
      </c>
      <c r="AA537" s="5">
        <f t="shared" si="24"/>
        <v>1.2601332110958301</v>
      </c>
      <c r="AB537" s="5">
        <f t="shared" si="25"/>
        <v>0.46437749163089798</v>
      </c>
      <c r="AC537" s="5">
        <f t="shared" si="26"/>
        <v>2.2266672222916801E-2</v>
      </c>
    </row>
    <row r="538" spans="1:29" ht="15" customHeight="1" x14ac:dyDescent="0.3">
      <c r="A538" s="3">
        <v>629</v>
      </c>
      <c r="B538" s="3">
        <v>126</v>
      </c>
      <c r="C538" s="3" t="s">
        <v>655</v>
      </c>
      <c r="D538" s="4" t="s">
        <v>656</v>
      </c>
      <c r="E538" s="3" t="s">
        <v>41</v>
      </c>
      <c r="F538" s="3">
        <v>2024</v>
      </c>
      <c r="G538" s="3">
        <v>1</v>
      </c>
      <c r="H538" s="3">
        <v>0</v>
      </c>
      <c r="I538" s="3">
        <v>0</v>
      </c>
      <c r="J538" s="3">
        <v>0</v>
      </c>
      <c r="K538" s="3">
        <v>498150000</v>
      </c>
      <c r="L538" s="3">
        <v>1.38</v>
      </c>
      <c r="M538" s="3">
        <v>687447</v>
      </c>
      <c r="N538" s="3">
        <v>392790</v>
      </c>
      <c r="O538" s="3">
        <v>607860</v>
      </c>
      <c r="P538" s="3">
        <v>-97890</v>
      </c>
      <c r="Q538" s="3">
        <v>1.7771147961701701</v>
      </c>
      <c r="R538" s="3">
        <v>13.317699871275799</v>
      </c>
      <c r="S538" s="3">
        <v>0.64618497680386899</v>
      </c>
      <c r="T538" s="3">
        <v>-0.161040371138091</v>
      </c>
      <c r="U538" s="3">
        <v>1984</v>
      </c>
      <c r="V538" s="3">
        <v>40</v>
      </c>
      <c r="W538" s="3">
        <v>0</v>
      </c>
      <c r="X538" s="3" t="s">
        <v>238</v>
      </c>
      <c r="Y538" s="4" t="s">
        <v>660</v>
      </c>
      <c r="Z538" s="3" t="s">
        <v>34</v>
      </c>
      <c r="AA538" s="5">
        <f t="shared" si="24"/>
        <v>1.7771147961701701</v>
      </c>
      <c r="AB538" s="5">
        <f t="shared" si="25"/>
        <v>0.64618497680386899</v>
      </c>
      <c r="AC538" s="5">
        <f t="shared" si="26"/>
        <v>-0.161040371138091</v>
      </c>
    </row>
    <row r="539" spans="1:29" ht="15" customHeight="1" x14ac:dyDescent="0.3">
      <c r="A539" s="3">
        <v>630</v>
      </c>
      <c r="B539" s="3">
        <v>126</v>
      </c>
      <c r="C539" s="3" t="s">
        <v>655</v>
      </c>
      <c r="D539" s="4" t="s">
        <v>656</v>
      </c>
      <c r="E539" s="3" t="s">
        <v>41</v>
      </c>
      <c r="F539" s="3">
        <v>2025</v>
      </c>
      <c r="G539" s="3">
        <v>1</v>
      </c>
      <c r="H539" s="3">
        <v>0</v>
      </c>
      <c r="I539" s="3">
        <v>0</v>
      </c>
      <c r="J539" s="3">
        <v>0</v>
      </c>
      <c r="K539" s="3">
        <v>498150000</v>
      </c>
      <c r="L539" s="3">
        <v>2.1478999999999999</v>
      </c>
      <c r="M539" s="3">
        <v>1069976.385</v>
      </c>
      <c r="N539" s="3">
        <v>436670</v>
      </c>
      <c r="O539" s="3">
        <v>475010</v>
      </c>
      <c r="P539" s="3">
        <v>-176720</v>
      </c>
      <c r="Q539" s="3">
        <v>3.1718203511505001</v>
      </c>
      <c r="R539" s="3">
        <v>13.0710911354268</v>
      </c>
      <c r="S539" s="3">
        <v>0.91928590977032099</v>
      </c>
      <c r="T539" s="3">
        <v>-0.37203427296267499</v>
      </c>
      <c r="U539" s="3">
        <v>1984</v>
      </c>
      <c r="V539" s="3">
        <v>41</v>
      </c>
      <c r="W539" s="3">
        <v>0</v>
      </c>
      <c r="X539" s="3" t="s">
        <v>238</v>
      </c>
      <c r="Y539" s="4" t="s">
        <v>661</v>
      </c>
      <c r="Z539" s="3" t="s">
        <v>34</v>
      </c>
      <c r="AA539" s="5">
        <f t="shared" si="24"/>
        <v>3.1718203511505001</v>
      </c>
      <c r="AB539" s="5">
        <f t="shared" si="25"/>
        <v>0.91928590977032099</v>
      </c>
      <c r="AC539" s="5">
        <f t="shared" si="26"/>
        <v>-0.37203427296267499</v>
      </c>
    </row>
    <row r="540" spans="1:29" ht="15" customHeight="1" x14ac:dyDescent="0.3">
      <c r="A540" s="3">
        <v>634</v>
      </c>
      <c r="B540" s="3">
        <v>127</v>
      </c>
      <c r="C540" s="3" t="s">
        <v>662</v>
      </c>
      <c r="D540" s="4" t="s">
        <v>663</v>
      </c>
      <c r="E540" s="3" t="s">
        <v>297</v>
      </c>
      <c r="F540" s="3">
        <v>2024</v>
      </c>
      <c r="G540" s="3">
        <v>1</v>
      </c>
      <c r="H540" s="3">
        <v>0</v>
      </c>
      <c r="I540" s="3">
        <v>5</v>
      </c>
      <c r="J540" s="3">
        <v>0</v>
      </c>
      <c r="K540" s="3">
        <v>7500000000</v>
      </c>
      <c r="L540" s="3">
        <v>360</v>
      </c>
      <c r="M540" s="3">
        <v>2700000000</v>
      </c>
      <c r="N540" s="3">
        <v>270157000</v>
      </c>
      <c r="O540" s="3">
        <v>396782000</v>
      </c>
      <c r="P540" s="3">
        <v>80013000</v>
      </c>
      <c r="Q540" s="3">
        <v>7.48561426677621</v>
      </c>
      <c r="R540" s="3">
        <v>19.798897569442801</v>
      </c>
      <c r="S540" s="3">
        <v>0.68087009995413095</v>
      </c>
      <c r="T540" s="3">
        <v>0.20165481297034599</v>
      </c>
      <c r="U540" s="3">
        <v>2012</v>
      </c>
      <c r="V540" s="3">
        <v>12</v>
      </c>
      <c r="W540" s="3">
        <v>1</v>
      </c>
      <c r="X540" s="3" t="s">
        <v>65</v>
      </c>
      <c r="Y540" s="4" t="s">
        <v>664</v>
      </c>
      <c r="Z540" s="3" t="s">
        <v>34</v>
      </c>
      <c r="AA540" s="5">
        <f t="shared" si="24"/>
        <v>7.48561426677621</v>
      </c>
      <c r="AB540" s="5">
        <f t="shared" si="25"/>
        <v>0.68087009995413095</v>
      </c>
      <c r="AC540" s="5">
        <f t="shared" si="26"/>
        <v>0.20165481297034599</v>
      </c>
    </row>
    <row r="541" spans="1:29" ht="15" customHeight="1" x14ac:dyDescent="0.3">
      <c r="A541" s="3">
        <v>635</v>
      </c>
      <c r="B541" s="3">
        <v>127</v>
      </c>
      <c r="C541" s="3" t="s">
        <v>662</v>
      </c>
      <c r="D541" s="4" t="s">
        <v>663</v>
      </c>
      <c r="E541" s="3" t="s">
        <v>297</v>
      </c>
      <c r="F541" s="3">
        <v>2025</v>
      </c>
      <c r="G541" s="3">
        <v>1</v>
      </c>
      <c r="H541" s="3">
        <v>0</v>
      </c>
      <c r="I541" s="3">
        <v>5</v>
      </c>
      <c r="J541" s="3">
        <v>0</v>
      </c>
      <c r="K541" s="3">
        <v>7500000000</v>
      </c>
      <c r="L541" s="3">
        <v>306.66669999999999</v>
      </c>
      <c r="M541" s="3">
        <v>2300000250</v>
      </c>
      <c r="N541" s="3">
        <v>380080000</v>
      </c>
      <c r="O541" s="3">
        <v>563479000</v>
      </c>
      <c r="P541" s="3">
        <v>91417000</v>
      </c>
      <c r="Q541" s="3">
        <v>4.7563090195020603</v>
      </c>
      <c r="R541" s="3">
        <v>20.149640623668901</v>
      </c>
      <c r="S541" s="3">
        <v>0.67452380656599398</v>
      </c>
      <c r="T541" s="3">
        <v>0.162236747065995</v>
      </c>
      <c r="U541" s="3">
        <v>2012</v>
      </c>
      <c r="V541" s="3">
        <v>13</v>
      </c>
      <c r="W541" s="3">
        <v>1</v>
      </c>
      <c r="X541" s="3" t="s">
        <v>65</v>
      </c>
      <c r="Y541" s="4" t="s">
        <v>665</v>
      </c>
      <c r="Z541" s="3" t="s">
        <v>34</v>
      </c>
      <c r="AA541" s="5">
        <f t="shared" si="24"/>
        <v>4.7563090195020603</v>
      </c>
      <c r="AB541" s="5">
        <f t="shared" si="25"/>
        <v>0.67452380656599398</v>
      </c>
      <c r="AC541" s="5">
        <f t="shared" si="26"/>
        <v>0.162236747065995</v>
      </c>
    </row>
    <row r="542" spans="1:29" ht="15" customHeight="1" x14ac:dyDescent="0.3">
      <c r="A542" s="3">
        <v>637</v>
      </c>
      <c r="B542" s="3">
        <v>128</v>
      </c>
      <c r="C542" s="3" t="s">
        <v>666</v>
      </c>
      <c r="D542" s="4" t="s">
        <v>667</v>
      </c>
      <c r="E542" s="3" t="s">
        <v>105</v>
      </c>
      <c r="F542" s="3">
        <v>2022</v>
      </c>
      <c r="G542" s="3">
        <v>0</v>
      </c>
      <c r="H542" s="3">
        <v>0</v>
      </c>
      <c r="I542" s="3">
        <v>0</v>
      </c>
      <c r="J542" s="3">
        <v>0</v>
      </c>
      <c r="K542" s="3">
        <v>989910000</v>
      </c>
      <c r="L542" s="3">
        <v>0.48</v>
      </c>
      <c r="M542" s="3">
        <v>475156.8</v>
      </c>
      <c r="N542" s="3">
        <v>3172000</v>
      </c>
      <c r="O542" s="3">
        <v>4346000</v>
      </c>
      <c r="P542" s="3">
        <v>66240</v>
      </c>
      <c r="Q542" s="3">
        <v>0.83919852738150003</v>
      </c>
      <c r="R542" s="3">
        <v>15.284766439798499</v>
      </c>
      <c r="S542" s="3">
        <v>0.72986654394845796</v>
      </c>
      <c r="T542" s="3">
        <v>1.52416014726185E-2</v>
      </c>
      <c r="U542" s="3">
        <v>1980</v>
      </c>
      <c r="V542" s="3">
        <v>42</v>
      </c>
      <c r="W542" s="3">
        <v>0</v>
      </c>
      <c r="X542" s="3" t="s">
        <v>668</v>
      </c>
      <c r="Y542" s="4" t="s">
        <v>669</v>
      </c>
      <c r="Z542" s="3" t="s">
        <v>34</v>
      </c>
      <c r="AA542" s="5">
        <f t="shared" si="24"/>
        <v>0.83919852738150003</v>
      </c>
      <c r="AB542" s="5">
        <f t="shared" si="25"/>
        <v>0.72986654394845796</v>
      </c>
      <c r="AC542" s="5">
        <f t="shared" si="26"/>
        <v>1.52416014726185E-2</v>
      </c>
    </row>
    <row r="543" spans="1:29" ht="15" customHeight="1" x14ac:dyDescent="0.3">
      <c r="A543" s="3">
        <v>638</v>
      </c>
      <c r="B543" s="3">
        <v>128</v>
      </c>
      <c r="C543" s="3" t="s">
        <v>666</v>
      </c>
      <c r="D543" s="4" t="s">
        <v>667</v>
      </c>
      <c r="E543" s="3" t="s">
        <v>105</v>
      </c>
      <c r="F543" s="3">
        <v>2023</v>
      </c>
      <c r="G543" s="3">
        <v>1</v>
      </c>
      <c r="H543" s="3">
        <v>0</v>
      </c>
      <c r="I543" s="3">
        <v>0</v>
      </c>
      <c r="J543" s="3">
        <v>0</v>
      </c>
      <c r="K543" s="3">
        <v>989910000</v>
      </c>
      <c r="L543" s="3">
        <v>0.39500000000000002</v>
      </c>
      <c r="M543" s="3">
        <v>391014.45</v>
      </c>
      <c r="N543" s="3">
        <v>4395000</v>
      </c>
      <c r="O543" s="3">
        <v>5662000</v>
      </c>
      <c r="P543" s="3">
        <v>122900</v>
      </c>
      <c r="Q543" s="3">
        <v>0.84528690392087602</v>
      </c>
      <c r="R543" s="3">
        <v>15.549287744654</v>
      </c>
      <c r="S543" s="3">
        <v>0.77622748145531595</v>
      </c>
      <c r="T543" s="3">
        <v>2.17061109148711E-2</v>
      </c>
      <c r="U543" s="3">
        <v>1980</v>
      </c>
      <c r="V543" s="3">
        <v>43</v>
      </c>
      <c r="W543" s="3">
        <v>0</v>
      </c>
      <c r="X543" s="3" t="s">
        <v>668</v>
      </c>
      <c r="Y543" s="4" t="s">
        <v>670</v>
      </c>
      <c r="Z543" s="3" t="s">
        <v>34</v>
      </c>
      <c r="AA543" s="5">
        <f t="shared" si="24"/>
        <v>0.84528690392087602</v>
      </c>
      <c r="AB543" s="5">
        <f t="shared" si="25"/>
        <v>0.77622748145531595</v>
      </c>
      <c r="AC543" s="5">
        <f t="shared" si="26"/>
        <v>2.17061109148711E-2</v>
      </c>
    </row>
    <row r="544" spans="1:29" ht="15" customHeight="1" x14ac:dyDescent="0.3">
      <c r="A544" s="3">
        <v>639</v>
      </c>
      <c r="B544" s="3">
        <v>128</v>
      </c>
      <c r="C544" s="3" t="s">
        <v>666</v>
      </c>
      <c r="D544" s="4" t="s">
        <v>667</v>
      </c>
      <c r="E544" s="3" t="s">
        <v>105</v>
      </c>
      <c r="F544" s="3">
        <v>2024</v>
      </c>
      <c r="G544" s="3">
        <v>1</v>
      </c>
      <c r="H544" s="3">
        <v>0</v>
      </c>
      <c r="I544" s="3">
        <v>0</v>
      </c>
      <c r="J544" s="3">
        <v>0</v>
      </c>
      <c r="K544" s="3">
        <v>989910000</v>
      </c>
      <c r="L544" s="3">
        <v>1.0708</v>
      </c>
      <c r="M544" s="3">
        <v>1059995.628</v>
      </c>
      <c r="N544" s="3">
        <v>5537000</v>
      </c>
      <c r="O544" s="3">
        <v>6342000</v>
      </c>
      <c r="P544" s="3">
        <v>7000</v>
      </c>
      <c r="Q544" s="3">
        <v>1.04020744686219</v>
      </c>
      <c r="R544" s="3">
        <v>15.6627047340804</v>
      </c>
      <c r="S544" s="3">
        <v>0.87306843267108203</v>
      </c>
      <c r="T544" s="3">
        <v>1.1037527593819E-3</v>
      </c>
      <c r="U544" s="3">
        <v>1980</v>
      </c>
      <c r="V544" s="3">
        <v>44</v>
      </c>
      <c r="W544" s="3">
        <v>0</v>
      </c>
      <c r="X544" s="3" t="s">
        <v>668</v>
      </c>
      <c r="Y544" s="4" t="s">
        <v>671</v>
      </c>
      <c r="Z544" s="3" t="s">
        <v>34</v>
      </c>
      <c r="AA544" s="5">
        <f t="shared" si="24"/>
        <v>1.04020744686219</v>
      </c>
      <c r="AB544" s="5">
        <f t="shared" si="25"/>
        <v>0.87306843267108203</v>
      </c>
      <c r="AC544" s="5">
        <f t="shared" si="26"/>
        <v>1.1037527593819E-3</v>
      </c>
    </row>
    <row r="545" spans="1:29" ht="15" customHeight="1" x14ac:dyDescent="0.3">
      <c r="A545" s="3">
        <v>640</v>
      </c>
      <c r="B545" s="3">
        <v>128</v>
      </c>
      <c r="C545" s="3" t="s">
        <v>666</v>
      </c>
      <c r="D545" s="4" t="s">
        <v>667</v>
      </c>
      <c r="E545" s="3" t="s">
        <v>105</v>
      </c>
      <c r="F545" s="3">
        <v>2025</v>
      </c>
      <c r="G545" s="3">
        <v>1</v>
      </c>
      <c r="H545" s="3">
        <v>0</v>
      </c>
      <c r="I545" s="3">
        <v>0</v>
      </c>
      <c r="J545" s="3">
        <v>0</v>
      </c>
      <c r="K545" s="3">
        <v>989910000</v>
      </c>
      <c r="L545" s="3">
        <v>2.0507</v>
      </c>
      <c r="M545" s="3">
        <v>2030008.4369999999</v>
      </c>
      <c r="N545" s="3">
        <v>6065000</v>
      </c>
      <c r="O545" s="3">
        <v>5477000</v>
      </c>
      <c r="P545" s="3">
        <v>-1385000</v>
      </c>
      <c r="Q545" s="3">
        <v>1.47800044495162</v>
      </c>
      <c r="R545" s="3">
        <v>15.5160680637659</v>
      </c>
      <c r="S545" s="3">
        <v>1.1073580427241201</v>
      </c>
      <c r="T545" s="3">
        <v>-0.25287566185868199</v>
      </c>
      <c r="U545" s="3">
        <v>1980</v>
      </c>
      <c r="V545" s="3">
        <v>45</v>
      </c>
      <c r="W545" s="3">
        <v>0</v>
      </c>
      <c r="X545" s="3" t="s">
        <v>668</v>
      </c>
      <c r="Y545" s="4" t="s">
        <v>672</v>
      </c>
      <c r="Z545" s="3" t="s">
        <v>34</v>
      </c>
      <c r="AA545" s="5">
        <f t="shared" si="24"/>
        <v>1.47800044495162</v>
      </c>
      <c r="AB545" s="5">
        <f t="shared" si="25"/>
        <v>1.1073580427241201</v>
      </c>
      <c r="AC545" s="5">
        <f t="shared" si="26"/>
        <v>-0.25287566185868199</v>
      </c>
    </row>
    <row r="546" spans="1:29" ht="15" customHeight="1" x14ac:dyDescent="0.3">
      <c r="A546" s="3">
        <v>641</v>
      </c>
      <c r="B546" s="3">
        <v>129</v>
      </c>
      <c r="C546" s="3" t="s">
        <v>673</v>
      </c>
      <c r="D546" s="4" t="s">
        <v>674</v>
      </c>
      <c r="E546" s="3" t="s">
        <v>225</v>
      </c>
      <c r="F546" s="3">
        <v>2021</v>
      </c>
      <c r="G546" s="3">
        <v>0</v>
      </c>
      <c r="H546" s="3">
        <v>0</v>
      </c>
      <c r="I546" s="3">
        <v>5</v>
      </c>
      <c r="J546" s="3">
        <v>0</v>
      </c>
      <c r="K546" s="3">
        <v>2881000000</v>
      </c>
      <c r="L546" s="3">
        <v>9.5001999999999995</v>
      </c>
      <c r="M546" s="3">
        <v>27370076.199999999</v>
      </c>
      <c r="N546" s="3">
        <v>48093000</v>
      </c>
      <c r="O546" s="3">
        <v>98932000</v>
      </c>
      <c r="P546" s="3">
        <v>1807000</v>
      </c>
      <c r="Q546" s="3">
        <v>0.76277722273885096</v>
      </c>
      <c r="R546" s="3">
        <v>18.409943303409602</v>
      </c>
      <c r="S546" s="3">
        <v>0.48612178061698902</v>
      </c>
      <c r="T546" s="3">
        <v>1.8265070957829602E-2</v>
      </c>
      <c r="U546" s="3">
        <v>1931</v>
      </c>
      <c r="V546" s="3">
        <v>90</v>
      </c>
      <c r="W546" s="3">
        <v>1</v>
      </c>
      <c r="X546" s="3" t="s">
        <v>57</v>
      </c>
      <c r="Y546" s="4" t="s">
        <v>675</v>
      </c>
      <c r="Z546" s="3" t="s">
        <v>34</v>
      </c>
      <c r="AA546" s="5">
        <f t="shared" si="24"/>
        <v>0.76277722273885096</v>
      </c>
      <c r="AB546" s="5">
        <f t="shared" si="25"/>
        <v>0.48612178061698902</v>
      </c>
      <c r="AC546" s="5">
        <f t="shared" si="26"/>
        <v>1.8265070957829602E-2</v>
      </c>
    </row>
    <row r="547" spans="1:29" ht="15" customHeight="1" x14ac:dyDescent="0.3">
      <c r="A547" s="3">
        <v>642</v>
      </c>
      <c r="B547" s="3">
        <v>129</v>
      </c>
      <c r="C547" s="3" t="s">
        <v>673</v>
      </c>
      <c r="D547" s="4" t="s">
        <v>674</v>
      </c>
      <c r="E547" s="3" t="s">
        <v>225</v>
      </c>
      <c r="F547" s="3">
        <v>2022</v>
      </c>
      <c r="G547" s="3">
        <v>0</v>
      </c>
      <c r="H547" s="3">
        <v>0</v>
      </c>
      <c r="I547" s="3">
        <v>5</v>
      </c>
      <c r="J547" s="3">
        <v>0</v>
      </c>
      <c r="K547" s="3">
        <v>2926000000</v>
      </c>
      <c r="L547" s="3">
        <v>10.249499999999999</v>
      </c>
      <c r="M547" s="3">
        <v>29990037</v>
      </c>
      <c r="N547" s="3">
        <v>48547000</v>
      </c>
      <c r="O547" s="3">
        <v>93828000</v>
      </c>
      <c r="P547" s="3">
        <v>-3079000</v>
      </c>
      <c r="Q547" s="3">
        <v>0.83703198405593204</v>
      </c>
      <c r="R547" s="3">
        <v>18.356973876894699</v>
      </c>
      <c r="S547" s="3">
        <v>0.51740418638359598</v>
      </c>
      <c r="T547" s="3">
        <v>-3.2815364283582699E-2</v>
      </c>
      <c r="U547" s="3">
        <v>1931</v>
      </c>
      <c r="V547" s="3">
        <v>91</v>
      </c>
      <c r="W547" s="3">
        <v>1</v>
      </c>
      <c r="X547" s="3" t="s">
        <v>57</v>
      </c>
      <c r="Y547" s="4" t="s">
        <v>676</v>
      </c>
      <c r="Z547" s="3" t="s">
        <v>34</v>
      </c>
      <c r="AA547" s="5">
        <f t="shared" si="24"/>
        <v>0.83703198405593204</v>
      </c>
      <c r="AB547" s="5">
        <f t="shared" si="25"/>
        <v>0.51740418638359598</v>
      </c>
      <c r="AC547" s="5">
        <f t="shared" si="26"/>
        <v>-3.2815364283582699E-2</v>
      </c>
    </row>
    <row r="548" spans="1:29" ht="15" customHeight="1" x14ac:dyDescent="0.3">
      <c r="A548" s="3">
        <v>643</v>
      </c>
      <c r="B548" s="3">
        <v>129</v>
      </c>
      <c r="C548" s="3" t="s">
        <v>673</v>
      </c>
      <c r="D548" s="4" t="s">
        <v>674</v>
      </c>
      <c r="E548" s="3" t="s">
        <v>225</v>
      </c>
      <c r="F548" s="3">
        <v>2023</v>
      </c>
      <c r="G548" s="3">
        <v>1</v>
      </c>
      <c r="H548" s="3">
        <v>0</v>
      </c>
      <c r="I548" s="3">
        <v>0</v>
      </c>
      <c r="J548" s="3">
        <v>0</v>
      </c>
      <c r="K548" s="3">
        <v>2926000000</v>
      </c>
      <c r="L548" s="3">
        <v>12.850300000000001</v>
      </c>
      <c r="M548" s="3">
        <v>37599977.799999997</v>
      </c>
      <c r="N548" s="3">
        <v>59164000</v>
      </c>
      <c r="O548" s="3">
        <v>112345000</v>
      </c>
      <c r="P548" s="3">
        <v>9187000</v>
      </c>
      <c r="Q548" s="3">
        <v>0.86131094218701298</v>
      </c>
      <c r="R548" s="3">
        <v>18.537085051822501</v>
      </c>
      <c r="S548" s="3">
        <v>0.52662779829988005</v>
      </c>
      <c r="T548" s="3">
        <v>8.1774889848235402E-2</v>
      </c>
      <c r="U548" s="3">
        <v>1931</v>
      </c>
      <c r="V548" s="3">
        <v>92</v>
      </c>
      <c r="W548" s="3">
        <v>1</v>
      </c>
      <c r="X548" s="3" t="s">
        <v>57</v>
      </c>
      <c r="Y548" s="4" t="s">
        <v>677</v>
      </c>
      <c r="Z548" s="3" t="s">
        <v>34</v>
      </c>
      <c r="AA548" s="5">
        <f t="shared" si="24"/>
        <v>0.86131094218701298</v>
      </c>
      <c r="AB548" s="5">
        <f t="shared" si="25"/>
        <v>0.52662779829988005</v>
      </c>
      <c r="AC548" s="5">
        <f t="shared" si="26"/>
        <v>8.1774889848235402E-2</v>
      </c>
    </row>
    <row r="549" spans="1:29" ht="15" customHeight="1" x14ac:dyDescent="0.3">
      <c r="A549" s="3">
        <v>644</v>
      </c>
      <c r="B549" s="3">
        <v>129</v>
      </c>
      <c r="C549" s="3" t="s">
        <v>673</v>
      </c>
      <c r="D549" s="4" t="s">
        <v>674</v>
      </c>
      <c r="E549" s="3" t="s">
        <v>225</v>
      </c>
      <c r="F549" s="3">
        <v>2024</v>
      </c>
      <c r="G549" s="3">
        <v>1</v>
      </c>
      <c r="H549" s="3">
        <v>0</v>
      </c>
      <c r="I549" s="3">
        <v>0</v>
      </c>
      <c r="J549" s="3">
        <v>0</v>
      </c>
      <c r="K549" s="3">
        <v>2926000000</v>
      </c>
      <c r="L549" s="3">
        <v>31.452500000000001</v>
      </c>
      <c r="M549" s="3">
        <v>92030015</v>
      </c>
      <c r="N549" s="3">
        <v>91316000</v>
      </c>
      <c r="O549" s="3">
        <v>157726000</v>
      </c>
      <c r="P549" s="3">
        <v>14539000</v>
      </c>
      <c r="Q549" s="3">
        <v>1.1624336824619901</v>
      </c>
      <c r="R549" s="3">
        <v>18.87636990835</v>
      </c>
      <c r="S549" s="3">
        <v>0.57895337483991205</v>
      </c>
      <c r="T549" s="3">
        <v>9.2178841788925103E-2</v>
      </c>
      <c r="U549" s="3">
        <v>1931</v>
      </c>
      <c r="V549" s="3">
        <v>93</v>
      </c>
      <c r="W549" s="3">
        <v>1</v>
      </c>
      <c r="X549" s="3" t="s">
        <v>57</v>
      </c>
      <c r="Y549" s="4" t="s">
        <v>678</v>
      </c>
      <c r="Z549" s="3" t="s">
        <v>34</v>
      </c>
      <c r="AA549" s="5">
        <f t="shared" si="24"/>
        <v>1.1624336824619901</v>
      </c>
      <c r="AB549" s="5">
        <f t="shared" si="25"/>
        <v>0.57895337483991205</v>
      </c>
      <c r="AC549" s="5">
        <f t="shared" si="26"/>
        <v>9.2178841788925103E-2</v>
      </c>
    </row>
    <row r="550" spans="1:29" ht="15" customHeight="1" x14ac:dyDescent="0.3">
      <c r="A550" s="3">
        <v>645</v>
      </c>
      <c r="B550" s="3">
        <v>129</v>
      </c>
      <c r="C550" s="3" t="s">
        <v>673</v>
      </c>
      <c r="D550" s="4" t="s">
        <v>674</v>
      </c>
      <c r="E550" s="3" t="s">
        <v>225</v>
      </c>
      <c r="F550" s="3">
        <v>2025</v>
      </c>
      <c r="G550" s="3">
        <v>1</v>
      </c>
      <c r="H550" s="3">
        <v>0</v>
      </c>
      <c r="I550" s="3">
        <v>0</v>
      </c>
      <c r="J550" s="3">
        <v>0</v>
      </c>
      <c r="K550" s="3">
        <v>2926000000</v>
      </c>
      <c r="L550" s="3">
        <v>91.004800000000003</v>
      </c>
      <c r="M550" s="3">
        <v>266280044.80000001</v>
      </c>
      <c r="N550" s="3">
        <v>527288000</v>
      </c>
      <c r="O550" s="3">
        <v>597058000</v>
      </c>
      <c r="P550" s="3">
        <v>10587000</v>
      </c>
      <c r="Q550" s="3">
        <v>1.3291305782687799</v>
      </c>
      <c r="R550" s="3">
        <v>20.207524819066698</v>
      </c>
      <c r="S550" s="3">
        <v>0.88314368118340303</v>
      </c>
      <c r="T550" s="3">
        <v>1.77319456401221E-2</v>
      </c>
      <c r="U550" s="3">
        <v>1931</v>
      </c>
      <c r="V550" s="3">
        <v>94</v>
      </c>
      <c r="W550" s="3">
        <v>1</v>
      </c>
      <c r="X550" s="3" t="s">
        <v>57</v>
      </c>
      <c r="Y550" s="4" t="s">
        <v>679</v>
      </c>
      <c r="Z550" s="3" t="s">
        <v>34</v>
      </c>
      <c r="AA550" s="5">
        <f t="shared" si="24"/>
        <v>1.3291305782687799</v>
      </c>
      <c r="AB550" s="5">
        <f t="shared" si="25"/>
        <v>0.88314368118340303</v>
      </c>
      <c r="AC550" s="5">
        <f t="shared" si="26"/>
        <v>1.77319456401221E-2</v>
      </c>
    </row>
    <row r="551" spans="1:29" ht="15" customHeight="1" x14ac:dyDescent="0.3">
      <c r="A551" s="3">
        <v>646</v>
      </c>
      <c r="B551" s="3">
        <v>130</v>
      </c>
      <c r="C551" s="3" t="s">
        <v>680</v>
      </c>
      <c r="D551" s="4" t="s">
        <v>681</v>
      </c>
      <c r="E551" s="3" t="s">
        <v>31</v>
      </c>
      <c r="F551" s="3">
        <v>2021</v>
      </c>
      <c r="G551" s="3">
        <v>0</v>
      </c>
      <c r="H551" s="3">
        <v>0</v>
      </c>
      <c r="I551" s="3">
        <v>45</v>
      </c>
      <c r="J551" s="3">
        <v>80</v>
      </c>
      <c r="K551" s="3">
        <v>34199000000</v>
      </c>
      <c r="L551" s="3">
        <v>8.5396999999999998</v>
      </c>
      <c r="M551" s="3">
        <v>292049200.30000001</v>
      </c>
      <c r="N551" s="3">
        <v>7736511000</v>
      </c>
      <c r="O551" s="3">
        <v>8541318000</v>
      </c>
      <c r="P551" s="3">
        <v>115883000</v>
      </c>
      <c r="Q551" s="3">
        <v>0.93996736806895598</v>
      </c>
      <c r="R551" s="3">
        <v>22.868181165391501</v>
      </c>
      <c r="S551" s="3">
        <v>0.90577484645812301</v>
      </c>
      <c r="T551" s="3">
        <v>1.3567344056268599E-2</v>
      </c>
      <c r="U551" s="3">
        <v>1961</v>
      </c>
      <c r="V551" s="3">
        <v>60</v>
      </c>
      <c r="W551" s="3">
        <v>1</v>
      </c>
      <c r="X551" s="3" t="s">
        <v>50</v>
      </c>
      <c r="Y551" s="4" t="s">
        <v>682</v>
      </c>
      <c r="Z551" s="3" t="s">
        <v>34</v>
      </c>
      <c r="AA551" s="5">
        <f t="shared" si="24"/>
        <v>0.93996736806895598</v>
      </c>
      <c r="AB551" s="5">
        <f t="shared" si="25"/>
        <v>0.90577484645812301</v>
      </c>
      <c r="AC551" s="5">
        <f t="shared" si="26"/>
        <v>1.3567344056268599E-2</v>
      </c>
    </row>
    <row r="552" spans="1:29" ht="15" customHeight="1" x14ac:dyDescent="0.3">
      <c r="A552" s="3">
        <v>647</v>
      </c>
      <c r="B552" s="3">
        <v>130</v>
      </c>
      <c r="C552" s="3" t="s">
        <v>680</v>
      </c>
      <c r="D552" s="4" t="s">
        <v>681</v>
      </c>
      <c r="E552" s="3" t="s">
        <v>31</v>
      </c>
      <c r="F552" s="3">
        <v>2022</v>
      </c>
      <c r="G552" s="3">
        <v>0</v>
      </c>
      <c r="H552" s="3">
        <v>0</v>
      </c>
      <c r="I552" s="3">
        <v>90</v>
      </c>
      <c r="J552" s="3">
        <v>86.6666666666667</v>
      </c>
      <c r="K552" s="3">
        <v>34199000000</v>
      </c>
      <c r="L552" s="3">
        <v>7.6002000000000001</v>
      </c>
      <c r="M552" s="3">
        <v>259919239.80000001</v>
      </c>
      <c r="N552" s="3">
        <v>9935467000</v>
      </c>
      <c r="O552" s="3">
        <v>10857571000</v>
      </c>
      <c r="P552" s="3">
        <v>165451000</v>
      </c>
      <c r="Q552" s="3">
        <v>0.93901170342795803</v>
      </c>
      <c r="R552" s="3">
        <v>23.108128461610502</v>
      </c>
      <c r="S552" s="3">
        <v>0.91507271746139196</v>
      </c>
      <c r="T552" s="3">
        <v>1.52383069841312E-2</v>
      </c>
      <c r="U552" s="3">
        <v>1961</v>
      </c>
      <c r="V552" s="3">
        <v>61</v>
      </c>
      <c r="W552" s="3">
        <v>1</v>
      </c>
      <c r="X552" s="3" t="s">
        <v>50</v>
      </c>
      <c r="Y552" s="4" t="s">
        <v>683</v>
      </c>
      <c r="Z552" s="3" t="s">
        <v>34</v>
      </c>
      <c r="AA552" s="5">
        <f t="shared" si="24"/>
        <v>0.93901170342795803</v>
      </c>
      <c r="AB552" s="5">
        <f t="shared" si="25"/>
        <v>0.91507271746139196</v>
      </c>
      <c r="AC552" s="5">
        <f t="shared" si="26"/>
        <v>1.52383069841312E-2</v>
      </c>
    </row>
    <row r="553" spans="1:29" ht="15" customHeight="1" x14ac:dyDescent="0.3">
      <c r="A553" s="3">
        <v>648</v>
      </c>
      <c r="B553" s="3">
        <v>130</v>
      </c>
      <c r="C553" s="3" t="s">
        <v>680</v>
      </c>
      <c r="D553" s="4" t="s">
        <v>681</v>
      </c>
      <c r="E553" s="3" t="s">
        <v>31</v>
      </c>
      <c r="F553" s="3">
        <v>2023</v>
      </c>
      <c r="G553" s="3">
        <v>1</v>
      </c>
      <c r="H553" s="3">
        <v>0</v>
      </c>
      <c r="I553" s="3">
        <v>90</v>
      </c>
      <c r="J553" s="3">
        <v>93.3333333333333</v>
      </c>
      <c r="K553" s="3">
        <v>34199000000</v>
      </c>
      <c r="L553" s="3">
        <v>25.650500000000001</v>
      </c>
      <c r="M553" s="3">
        <v>877221449.5</v>
      </c>
      <c r="N553" s="3">
        <v>18623002000</v>
      </c>
      <c r="O553" s="3">
        <v>20653197000</v>
      </c>
      <c r="P553" s="3">
        <v>598285000</v>
      </c>
      <c r="Q553" s="3">
        <v>0.94417457256133297</v>
      </c>
      <c r="R553" s="3">
        <v>23.751135962772299</v>
      </c>
      <c r="S553" s="3">
        <v>0.90170069069694203</v>
      </c>
      <c r="T553" s="3">
        <v>2.8968154421806998E-2</v>
      </c>
      <c r="U553" s="3">
        <v>1961</v>
      </c>
      <c r="V553" s="3">
        <v>62</v>
      </c>
      <c r="W553" s="3">
        <v>1</v>
      </c>
      <c r="X553" s="3" t="s">
        <v>50</v>
      </c>
      <c r="Y553" s="4" t="s">
        <v>684</v>
      </c>
      <c r="Z553" s="3" t="s">
        <v>34</v>
      </c>
      <c r="AA553" s="5">
        <f t="shared" si="24"/>
        <v>0.94417457256133297</v>
      </c>
      <c r="AB553" s="5">
        <f t="shared" si="25"/>
        <v>0.90170069069694203</v>
      </c>
      <c r="AC553" s="5">
        <f t="shared" si="26"/>
        <v>2.8968154421806998E-2</v>
      </c>
    </row>
    <row r="554" spans="1:29" ht="15" customHeight="1" x14ac:dyDescent="0.3">
      <c r="A554" s="3">
        <v>649</v>
      </c>
      <c r="B554" s="3">
        <v>130</v>
      </c>
      <c r="C554" s="3" t="s">
        <v>680</v>
      </c>
      <c r="D554" s="4" t="s">
        <v>681</v>
      </c>
      <c r="E554" s="3" t="s">
        <v>31</v>
      </c>
      <c r="F554" s="3">
        <v>2024</v>
      </c>
      <c r="G554" s="3">
        <v>1</v>
      </c>
      <c r="H554" s="3">
        <v>0</v>
      </c>
      <c r="I554" s="3">
        <v>90</v>
      </c>
      <c r="J554" s="3">
        <v>93.3333333333333</v>
      </c>
      <c r="K554" s="3">
        <v>34199000000</v>
      </c>
      <c r="L554" s="3">
        <v>33.9191</v>
      </c>
      <c r="M554" s="3">
        <v>1159999300.9000001</v>
      </c>
      <c r="N554" s="3">
        <v>26904716000</v>
      </c>
      <c r="O554" s="3">
        <v>30323355000</v>
      </c>
      <c r="P554" s="3">
        <v>743121000</v>
      </c>
      <c r="Q554" s="3">
        <v>0.92551484823826402</v>
      </c>
      <c r="R554" s="3">
        <v>24.135184044633299</v>
      </c>
      <c r="S554" s="3">
        <v>0.88726052905425501</v>
      </c>
      <c r="T554" s="3">
        <v>2.45065560852353E-2</v>
      </c>
      <c r="U554" s="3">
        <v>1961</v>
      </c>
      <c r="V554" s="3">
        <v>63</v>
      </c>
      <c r="W554" s="3">
        <v>1</v>
      </c>
      <c r="X554" s="3" t="s">
        <v>50</v>
      </c>
      <c r="Y554" s="4" t="s">
        <v>685</v>
      </c>
      <c r="Z554" s="3" t="s">
        <v>34</v>
      </c>
      <c r="AA554" s="5">
        <f t="shared" si="24"/>
        <v>0.92551484823826402</v>
      </c>
      <c r="AB554" s="5">
        <f t="shared" si="25"/>
        <v>0.88726052905425501</v>
      </c>
      <c r="AC554" s="5">
        <f t="shared" si="26"/>
        <v>2.45065560852353E-2</v>
      </c>
    </row>
    <row r="555" spans="1:29" ht="15" customHeight="1" x14ac:dyDescent="0.3">
      <c r="A555" s="3">
        <v>650</v>
      </c>
      <c r="B555" s="3">
        <v>130</v>
      </c>
      <c r="C555" s="3" t="s">
        <v>680</v>
      </c>
      <c r="D555" s="4" t="s">
        <v>681</v>
      </c>
      <c r="E555" s="3" t="s">
        <v>31</v>
      </c>
      <c r="F555" s="3">
        <v>2025</v>
      </c>
      <c r="G555" s="3">
        <v>1</v>
      </c>
      <c r="H555" s="3">
        <v>0</v>
      </c>
      <c r="I555" s="3">
        <v>45</v>
      </c>
      <c r="J555" s="3">
        <v>80</v>
      </c>
      <c r="K555" s="3">
        <v>44196000000</v>
      </c>
      <c r="L555" s="3">
        <v>38.691299999999998</v>
      </c>
      <c r="M555" s="3">
        <v>1710000694.8</v>
      </c>
      <c r="N555" s="3">
        <v>28920246000</v>
      </c>
      <c r="O555" s="3">
        <v>33173188000</v>
      </c>
      <c r="P555" s="3">
        <v>373654000</v>
      </c>
      <c r="Q555" s="3">
        <v>0.92334347530300698</v>
      </c>
      <c r="R555" s="3">
        <v>24.225007796230599</v>
      </c>
      <c r="S555" s="3">
        <v>0.87179580087388597</v>
      </c>
      <c r="T555" s="3">
        <v>1.1263735038067499E-2</v>
      </c>
      <c r="U555" s="3">
        <v>1961</v>
      </c>
      <c r="V555" s="3">
        <v>64</v>
      </c>
      <c r="W555" s="3">
        <v>1</v>
      </c>
      <c r="X555" s="3" t="s">
        <v>50</v>
      </c>
      <c r="Y555" s="4" t="s">
        <v>686</v>
      </c>
      <c r="Z555" s="3" t="s">
        <v>34</v>
      </c>
      <c r="AA555" s="5">
        <f t="shared" si="24"/>
        <v>0.92334347530300698</v>
      </c>
      <c r="AB555" s="5">
        <f t="shared" si="25"/>
        <v>0.87179580087388597</v>
      </c>
      <c r="AC555" s="5">
        <f t="shared" si="26"/>
        <v>1.1263735038067499E-2</v>
      </c>
    </row>
    <row r="556" spans="1:29" ht="15" customHeight="1" x14ac:dyDescent="0.3">
      <c r="A556" s="3">
        <v>651</v>
      </c>
      <c r="B556" s="3">
        <v>131</v>
      </c>
      <c r="C556" s="3" t="s">
        <v>687</v>
      </c>
      <c r="D556" s="4" t="s">
        <v>688</v>
      </c>
      <c r="E556" s="3" t="s">
        <v>31</v>
      </c>
      <c r="F556" s="3">
        <v>2021</v>
      </c>
      <c r="G556" s="3">
        <v>0</v>
      </c>
      <c r="H556" s="3">
        <v>0</v>
      </c>
      <c r="I556" s="3">
        <v>0</v>
      </c>
      <c r="J556" s="3">
        <v>0</v>
      </c>
      <c r="K556" s="3">
        <v>18000000000</v>
      </c>
      <c r="L556" s="3">
        <v>3.3</v>
      </c>
      <c r="M556" s="3">
        <v>59400000</v>
      </c>
      <c r="N556" s="3">
        <v>423051000</v>
      </c>
      <c r="O556" s="3">
        <v>453598000</v>
      </c>
      <c r="P556" s="3">
        <v>11259000</v>
      </c>
      <c r="Q556" s="3">
        <v>1.06360918698936</v>
      </c>
      <c r="R556" s="3">
        <v>19.932721901196999</v>
      </c>
      <c r="S556" s="3">
        <v>0.93265622864298403</v>
      </c>
      <c r="T556" s="3">
        <v>2.4821538013835999E-2</v>
      </c>
      <c r="U556" s="3">
        <v>2012</v>
      </c>
      <c r="V556" s="3">
        <v>9</v>
      </c>
      <c r="W556" s="3">
        <v>1</v>
      </c>
      <c r="X556" s="3" t="s">
        <v>32</v>
      </c>
      <c r="Y556" s="4" t="s">
        <v>689</v>
      </c>
      <c r="Z556" s="3" t="s">
        <v>34</v>
      </c>
      <c r="AA556" s="5">
        <f t="shared" si="24"/>
        <v>1.06360918698936</v>
      </c>
      <c r="AB556" s="5">
        <f t="shared" si="25"/>
        <v>0.93265622864298403</v>
      </c>
      <c r="AC556" s="5">
        <f t="shared" si="26"/>
        <v>2.4821538013835999E-2</v>
      </c>
    </row>
    <row r="557" spans="1:29" ht="15" customHeight="1" x14ac:dyDescent="0.3">
      <c r="A557" s="3">
        <v>652</v>
      </c>
      <c r="B557" s="3">
        <v>131</v>
      </c>
      <c r="C557" s="3" t="s">
        <v>687</v>
      </c>
      <c r="D557" s="4" t="s">
        <v>688</v>
      </c>
      <c r="E557" s="3" t="s">
        <v>31</v>
      </c>
      <c r="F557" s="3">
        <v>2022</v>
      </c>
      <c r="G557" s="3">
        <v>0</v>
      </c>
      <c r="H557" s="3">
        <v>0</v>
      </c>
      <c r="I557" s="3">
        <v>0</v>
      </c>
      <c r="J557" s="3">
        <v>0</v>
      </c>
      <c r="K557" s="3">
        <v>18000000000</v>
      </c>
      <c r="L557" s="3">
        <v>4.6666999999999996</v>
      </c>
      <c r="M557" s="3">
        <v>84000600</v>
      </c>
      <c r="N557" s="3">
        <v>568928000</v>
      </c>
      <c r="O557" s="3">
        <v>601915000</v>
      </c>
      <c r="P557" s="3">
        <v>9653000</v>
      </c>
      <c r="Q557" s="3">
        <v>1.08475216600351</v>
      </c>
      <c r="R557" s="3">
        <v>20.2156267972907</v>
      </c>
      <c r="S557" s="3">
        <v>0.94519658091258696</v>
      </c>
      <c r="T557" s="3">
        <v>1.60371481023068E-2</v>
      </c>
      <c r="U557" s="3">
        <v>2012</v>
      </c>
      <c r="V557" s="3">
        <v>10</v>
      </c>
      <c r="W557" s="3">
        <v>1</v>
      </c>
      <c r="X557" s="3" t="s">
        <v>32</v>
      </c>
      <c r="Y557" s="4" t="s">
        <v>690</v>
      </c>
      <c r="Z557" s="3" t="s">
        <v>34</v>
      </c>
      <c r="AA557" s="5">
        <f t="shared" si="24"/>
        <v>1.08475216600351</v>
      </c>
      <c r="AB557" s="5">
        <f t="shared" si="25"/>
        <v>0.94519658091258696</v>
      </c>
      <c r="AC557" s="5">
        <f t="shared" si="26"/>
        <v>1.60371481023068E-2</v>
      </c>
    </row>
    <row r="558" spans="1:29" ht="15" customHeight="1" x14ac:dyDescent="0.3">
      <c r="A558" s="3">
        <v>653</v>
      </c>
      <c r="B558" s="3">
        <v>131</v>
      </c>
      <c r="C558" s="3" t="s">
        <v>687</v>
      </c>
      <c r="D558" s="4" t="s">
        <v>688</v>
      </c>
      <c r="E558" s="3" t="s">
        <v>31</v>
      </c>
      <c r="F558" s="3">
        <v>2023</v>
      </c>
      <c r="G558" s="3">
        <v>1</v>
      </c>
      <c r="H558" s="3">
        <v>0</v>
      </c>
      <c r="I558" s="3">
        <v>0</v>
      </c>
      <c r="J558" s="3">
        <v>0</v>
      </c>
      <c r="K558" s="3">
        <v>18000000000</v>
      </c>
      <c r="L558" s="3">
        <v>7.6666999999999996</v>
      </c>
      <c r="M558" s="3">
        <v>138000600</v>
      </c>
      <c r="N558" s="3">
        <v>841235000</v>
      </c>
      <c r="O558" s="3">
        <v>931948000</v>
      </c>
      <c r="P558" s="3">
        <v>11420000</v>
      </c>
      <c r="Q558" s="3">
        <v>1.0507405992609</v>
      </c>
      <c r="R558" s="3">
        <v>20.6527875771019</v>
      </c>
      <c r="S558" s="3">
        <v>0.90266302411722499</v>
      </c>
      <c r="T558" s="3">
        <v>1.2253902578255401E-2</v>
      </c>
      <c r="U558" s="3">
        <v>2012</v>
      </c>
      <c r="V558" s="3">
        <v>11</v>
      </c>
      <c r="W558" s="3">
        <v>1</v>
      </c>
      <c r="X558" s="3" t="s">
        <v>32</v>
      </c>
      <c r="Y558" s="4" t="s">
        <v>691</v>
      </c>
      <c r="Z558" s="3" t="s">
        <v>34</v>
      </c>
      <c r="AA558" s="5">
        <f t="shared" si="24"/>
        <v>1.0507405992609</v>
      </c>
      <c r="AB558" s="5">
        <f t="shared" si="25"/>
        <v>0.90266302411722499</v>
      </c>
      <c r="AC558" s="5">
        <f t="shared" si="26"/>
        <v>1.2253902578255401E-2</v>
      </c>
    </row>
    <row r="559" spans="1:29" ht="15" customHeight="1" x14ac:dyDescent="0.3">
      <c r="A559" s="3">
        <v>654</v>
      </c>
      <c r="B559" s="3">
        <v>131</v>
      </c>
      <c r="C559" s="3" t="s">
        <v>687</v>
      </c>
      <c r="D559" s="4" t="s">
        <v>688</v>
      </c>
      <c r="E559" s="3" t="s">
        <v>31</v>
      </c>
      <c r="F559" s="3">
        <v>2024</v>
      </c>
      <c r="G559" s="3">
        <v>1</v>
      </c>
      <c r="H559" s="3">
        <v>0</v>
      </c>
      <c r="I559" s="3">
        <v>0</v>
      </c>
      <c r="J559" s="3">
        <v>0</v>
      </c>
      <c r="K559" s="3">
        <v>18000000000</v>
      </c>
      <c r="L559" s="3">
        <v>20.399999999999999</v>
      </c>
      <c r="M559" s="3">
        <v>367200000</v>
      </c>
      <c r="N559" s="3">
        <v>1568200000</v>
      </c>
      <c r="O559" s="3">
        <v>1701704000</v>
      </c>
      <c r="P559" s="3">
        <v>24103000</v>
      </c>
      <c r="Q559" s="3">
        <v>1.13733058158176</v>
      </c>
      <c r="R559" s="3">
        <v>21.254895938929501</v>
      </c>
      <c r="S559" s="3">
        <v>0.92154687301669402</v>
      </c>
      <c r="T559" s="3">
        <v>1.41640379290405E-2</v>
      </c>
      <c r="U559" s="3">
        <v>2012</v>
      </c>
      <c r="V559" s="3">
        <v>12</v>
      </c>
      <c r="W559" s="3">
        <v>1</v>
      </c>
      <c r="X559" s="3" t="s">
        <v>32</v>
      </c>
      <c r="Y559" s="4" t="s">
        <v>692</v>
      </c>
      <c r="Z559" s="3" t="s">
        <v>34</v>
      </c>
      <c r="AA559" s="5">
        <f t="shared" si="24"/>
        <v>1.13733058158176</v>
      </c>
      <c r="AB559" s="5">
        <f t="shared" si="25"/>
        <v>0.92154687301669402</v>
      </c>
      <c r="AC559" s="5">
        <f t="shared" si="26"/>
        <v>1.41640379290405E-2</v>
      </c>
    </row>
    <row r="560" spans="1:29" ht="15" customHeight="1" x14ac:dyDescent="0.3">
      <c r="A560" s="3">
        <v>655</v>
      </c>
      <c r="B560" s="3">
        <v>131</v>
      </c>
      <c r="C560" s="3" t="s">
        <v>687</v>
      </c>
      <c r="D560" s="4" t="s">
        <v>688</v>
      </c>
      <c r="E560" s="3" t="s">
        <v>31</v>
      </c>
      <c r="F560" s="3">
        <v>2025</v>
      </c>
      <c r="G560" s="3">
        <v>1</v>
      </c>
      <c r="H560" s="3">
        <v>0</v>
      </c>
      <c r="I560" s="3">
        <v>0</v>
      </c>
      <c r="J560" s="3">
        <v>0</v>
      </c>
      <c r="K560" s="3">
        <v>18000000000</v>
      </c>
      <c r="L560" s="3">
        <v>18.7</v>
      </c>
      <c r="M560" s="3">
        <v>336600000</v>
      </c>
      <c r="N560" s="3">
        <v>1611340000</v>
      </c>
      <c r="O560" s="3">
        <v>1761337000</v>
      </c>
      <c r="P560" s="3">
        <v>28147000</v>
      </c>
      <c r="Q560" s="3">
        <v>1.10594395053303</v>
      </c>
      <c r="R560" s="3">
        <v>21.289339016692502</v>
      </c>
      <c r="S560" s="3">
        <v>0.91483912505102705</v>
      </c>
      <c r="T560" s="3">
        <v>1.5980473924070201E-2</v>
      </c>
      <c r="U560" s="3">
        <v>2012</v>
      </c>
      <c r="V560" s="3">
        <v>13</v>
      </c>
      <c r="W560" s="3">
        <v>1</v>
      </c>
      <c r="X560" s="3" t="s">
        <v>32</v>
      </c>
      <c r="Y560" s="4" t="s">
        <v>693</v>
      </c>
      <c r="Z560" s="3" t="s">
        <v>34</v>
      </c>
      <c r="AA560" s="5">
        <f t="shared" si="24"/>
        <v>1.10594395053303</v>
      </c>
      <c r="AB560" s="5">
        <f t="shared" si="25"/>
        <v>0.91483912505102705</v>
      </c>
      <c r="AC560" s="5">
        <f t="shared" si="26"/>
        <v>1.5980473924070201E-2</v>
      </c>
    </row>
    <row r="561" spans="1:29" ht="15" customHeight="1" x14ac:dyDescent="0.3">
      <c r="A561" s="3">
        <v>661</v>
      </c>
      <c r="B561" s="3">
        <v>133</v>
      </c>
      <c r="C561" s="3" t="s">
        <v>694</v>
      </c>
      <c r="D561" s="4" t="s">
        <v>695</v>
      </c>
      <c r="E561" s="3" t="s">
        <v>143</v>
      </c>
      <c r="F561" s="3">
        <v>2021</v>
      </c>
      <c r="G561" s="3">
        <v>0</v>
      </c>
      <c r="H561" s="3">
        <v>0</v>
      </c>
      <c r="I561" s="3">
        <v>65</v>
      </c>
      <c r="J561" s="3">
        <v>46.6666666666667</v>
      </c>
      <c r="K561" s="3">
        <v>5745000000</v>
      </c>
      <c r="L561" s="3">
        <v>14.499599999999999</v>
      </c>
      <c r="M561" s="3">
        <v>83300202</v>
      </c>
      <c r="N561" s="3">
        <v>42527000</v>
      </c>
      <c r="O561" s="3">
        <v>108289000</v>
      </c>
      <c r="P561" s="3">
        <v>3409000</v>
      </c>
      <c r="Q561" s="3">
        <v>1.1619573733250801</v>
      </c>
      <c r="R561" s="3">
        <v>18.500314137098901</v>
      </c>
      <c r="S561" s="3">
        <v>0.39271763521687297</v>
      </c>
      <c r="T561" s="3">
        <v>3.1480575127667602E-2</v>
      </c>
      <c r="U561" s="3">
        <v>1923</v>
      </c>
      <c r="V561" s="3">
        <v>98</v>
      </c>
      <c r="W561" s="3">
        <v>0</v>
      </c>
      <c r="X561" s="3" t="s">
        <v>42</v>
      </c>
      <c r="Y561" s="4" t="s">
        <v>696</v>
      </c>
      <c r="Z561" s="3" t="s">
        <v>34</v>
      </c>
      <c r="AA561" s="5">
        <f t="shared" si="24"/>
        <v>1.1619573733250801</v>
      </c>
      <c r="AB561" s="5">
        <f t="shared" si="25"/>
        <v>0.39271763521687297</v>
      </c>
      <c r="AC561" s="5">
        <f t="shared" si="26"/>
        <v>3.1480575127667602E-2</v>
      </c>
    </row>
    <row r="562" spans="1:29" ht="15" customHeight="1" x14ac:dyDescent="0.3">
      <c r="A562" s="3">
        <v>662</v>
      </c>
      <c r="B562" s="3">
        <v>133</v>
      </c>
      <c r="C562" s="3" t="s">
        <v>694</v>
      </c>
      <c r="D562" s="4" t="s">
        <v>695</v>
      </c>
      <c r="E562" s="3" t="s">
        <v>143</v>
      </c>
      <c r="F562" s="3">
        <v>2022</v>
      </c>
      <c r="G562" s="3">
        <v>0</v>
      </c>
      <c r="H562" s="3">
        <v>0</v>
      </c>
      <c r="I562" s="3">
        <v>65</v>
      </c>
      <c r="J562" s="3">
        <v>46.6666666666667</v>
      </c>
      <c r="K562" s="3">
        <v>5745000000</v>
      </c>
      <c r="L562" s="3">
        <v>11.5997</v>
      </c>
      <c r="M562" s="3">
        <v>66640276.5</v>
      </c>
      <c r="N562" s="3">
        <v>57825000</v>
      </c>
      <c r="O562" s="3">
        <v>125390000</v>
      </c>
      <c r="P562" s="3">
        <v>4467000</v>
      </c>
      <c r="Q562" s="3">
        <v>0.99262522130951403</v>
      </c>
      <c r="R562" s="3">
        <v>18.646939438166701</v>
      </c>
      <c r="S562" s="3">
        <v>0.46116117712736299</v>
      </c>
      <c r="T562" s="3">
        <v>3.56248504665444E-2</v>
      </c>
      <c r="U562" s="3">
        <v>1923</v>
      </c>
      <c r="V562" s="3">
        <v>99</v>
      </c>
      <c r="W562" s="3">
        <v>0</v>
      </c>
      <c r="X562" s="3" t="s">
        <v>42</v>
      </c>
      <c r="Y562" s="4" t="s">
        <v>697</v>
      </c>
      <c r="Z562" s="3" t="s">
        <v>34</v>
      </c>
      <c r="AA562" s="5">
        <f t="shared" si="24"/>
        <v>0.99262522130951403</v>
      </c>
      <c r="AB562" s="5">
        <f t="shared" si="25"/>
        <v>0.46116117712736299</v>
      </c>
      <c r="AC562" s="5">
        <f t="shared" si="26"/>
        <v>3.56248504665444E-2</v>
      </c>
    </row>
    <row r="563" spans="1:29" ht="15" customHeight="1" x14ac:dyDescent="0.3">
      <c r="A563" s="3">
        <v>663</v>
      </c>
      <c r="B563" s="3">
        <v>133</v>
      </c>
      <c r="C563" s="3" t="s">
        <v>694</v>
      </c>
      <c r="D563" s="4" t="s">
        <v>695</v>
      </c>
      <c r="E563" s="3" t="s">
        <v>143</v>
      </c>
      <c r="F563" s="3">
        <v>2023</v>
      </c>
      <c r="G563" s="3">
        <v>1</v>
      </c>
      <c r="H563" s="3">
        <v>0</v>
      </c>
      <c r="I563" s="3">
        <v>65</v>
      </c>
      <c r="J563" s="3">
        <v>46.6666666666667</v>
      </c>
      <c r="K563" s="3">
        <v>5745000000</v>
      </c>
      <c r="L563" s="3">
        <v>14.800700000000001</v>
      </c>
      <c r="M563" s="3">
        <v>85030021.5</v>
      </c>
      <c r="N563" s="3">
        <v>41793000</v>
      </c>
      <c r="O563" s="3">
        <v>116302000</v>
      </c>
      <c r="P563" s="3">
        <v>8440000</v>
      </c>
      <c r="Q563" s="3">
        <v>1.09046294560713</v>
      </c>
      <c r="R563" s="3">
        <v>18.571700814245599</v>
      </c>
      <c r="S563" s="3">
        <v>0.35934893638974402</v>
      </c>
      <c r="T563" s="3">
        <v>7.2569689257278497E-2</v>
      </c>
      <c r="U563" s="3">
        <v>1923</v>
      </c>
      <c r="V563" s="3">
        <v>100</v>
      </c>
      <c r="W563" s="3">
        <v>0</v>
      </c>
      <c r="X563" s="3" t="s">
        <v>42</v>
      </c>
      <c r="Y563" s="4" t="s">
        <v>698</v>
      </c>
      <c r="Z563" s="3" t="s">
        <v>34</v>
      </c>
      <c r="AA563" s="5">
        <f t="shared" si="24"/>
        <v>1.09046294560713</v>
      </c>
      <c r="AB563" s="5">
        <f t="shared" si="25"/>
        <v>0.35934893638974402</v>
      </c>
      <c r="AC563" s="5">
        <f t="shared" si="26"/>
        <v>7.2569689257278497E-2</v>
      </c>
    </row>
    <row r="564" spans="1:29" ht="15" customHeight="1" x14ac:dyDescent="0.3">
      <c r="A564" s="3">
        <v>664</v>
      </c>
      <c r="B564" s="3">
        <v>133</v>
      </c>
      <c r="C564" s="3" t="s">
        <v>694</v>
      </c>
      <c r="D564" s="4" t="s">
        <v>695</v>
      </c>
      <c r="E564" s="3" t="s">
        <v>143</v>
      </c>
      <c r="F564" s="3">
        <v>2024</v>
      </c>
      <c r="G564" s="3">
        <v>1</v>
      </c>
      <c r="H564" s="3">
        <v>1</v>
      </c>
      <c r="I564" s="3">
        <v>65</v>
      </c>
      <c r="J564" s="3">
        <v>46.6666666666667</v>
      </c>
      <c r="K564" s="3">
        <v>5745000000</v>
      </c>
      <c r="L564" s="3">
        <v>32.950400000000002</v>
      </c>
      <c r="M564" s="3">
        <v>189300048</v>
      </c>
      <c r="N564" s="3">
        <v>56541000</v>
      </c>
      <c r="O564" s="3">
        <v>141647000</v>
      </c>
      <c r="P564" s="3">
        <v>15143000</v>
      </c>
      <c r="Q564" s="3">
        <v>1.7355895147797</v>
      </c>
      <c r="R564" s="3">
        <v>18.768848605054298</v>
      </c>
      <c r="S564" s="3">
        <v>0.39916835513636001</v>
      </c>
      <c r="T564" s="3">
        <v>0.10690660585822501</v>
      </c>
      <c r="U564" s="3">
        <v>1923</v>
      </c>
      <c r="V564" s="3">
        <v>101</v>
      </c>
      <c r="W564" s="3">
        <v>0</v>
      </c>
      <c r="X564" s="3" t="s">
        <v>42</v>
      </c>
      <c r="Y564" s="4" t="s">
        <v>699</v>
      </c>
      <c r="Z564" s="3" t="s">
        <v>34</v>
      </c>
      <c r="AA564" s="5">
        <f t="shared" si="24"/>
        <v>1.7355895147797</v>
      </c>
      <c r="AB564" s="5">
        <f t="shared" si="25"/>
        <v>0.39916835513636001</v>
      </c>
      <c r="AC564" s="5">
        <f t="shared" si="26"/>
        <v>0.10690660585822501</v>
      </c>
    </row>
    <row r="565" spans="1:29" ht="15" customHeight="1" x14ac:dyDescent="0.3">
      <c r="A565" s="3">
        <v>665</v>
      </c>
      <c r="B565" s="3">
        <v>133</v>
      </c>
      <c r="C565" s="3" t="s">
        <v>694</v>
      </c>
      <c r="D565" s="4" t="s">
        <v>695</v>
      </c>
      <c r="E565" s="3" t="s">
        <v>143</v>
      </c>
      <c r="F565" s="3">
        <v>2025</v>
      </c>
      <c r="G565" s="3">
        <v>1</v>
      </c>
      <c r="H565" s="3">
        <v>1</v>
      </c>
      <c r="I565" s="3">
        <v>65</v>
      </c>
      <c r="J565" s="3">
        <v>46.6666666666667</v>
      </c>
      <c r="K565" s="3">
        <v>5745000000</v>
      </c>
      <c r="L565" s="3">
        <v>72</v>
      </c>
      <c r="M565" s="3">
        <v>413640000</v>
      </c>
      <c r="N565" s="3">
        <v>72723000</v>
      </c>
      <c r="O565" s="3">
        <v>180179000</v>
      </c>
      <c r="P565" s="3">
        <v>32199000</v>
      </c>
      <c r="Q565" s="3">
        <v>2.69933233062677</v>
      </c>
      <c r="R565" s="3">
        <v>19.0094613591666</v>
      </c>
      <c r="S565" s="3">
        <v>0.40361529368017401</v>
      </c>
      <c r="T565" s="3">
        <v>0.17870562052181399</v>
      </c>
      <c r="U565" s="3">
        <v>1923</v>
      </c>
      <c r="V565" s="3">
        <v>102</v>
      </c>
      <c r="W565" s="3">
        <v>0</v>
      </c>
      <c r="X565" s="3" t="s">
        <v>42</v>
      </c>
      <c r="Y565" s="4" t="s">
        <v>700</v>
      </c>
      <c r="Z565" s="3" t="s">
        <v>34</v>
      </c>
      <c r="AA565" s="5">
        <f t="shared" si="24"/>
        <v>2.69933233062677</v>
      </c>
      <c r="AB565" s="5">
        <f t="shared" si="25"/>
        <v>0.40361529368017401</v>
      </c>
      <c r="AC565" s="5">
        <f t="shared" si="26"/>
        <v>0.17870562052181399</v>
      </c>
    </row>
    <row r="566" spans="1:29" ht="15" customHeight="1" x14ac:dyDescent="0.3">
      <c r="A566" s="3">
        <v>671</v>
      </c>
      <c r="B566" s="3">
        <v>135</v>
      </c>
      <c r="C566" s="3" t="s">
        <v>701</v>
      </c>
      <c r="D566" s="4" t="s">
        <v>702</v>
      </c>
      <c r="E566" s="3" t="s">
        <v>31</v>
      </c>
      <c r="F566" s="3">
        <v>2021</v>
      </c>
      <c r="G566" s="3">
        <v>0</v>
      </c>
      <c r="H566" s="3">
        <v>0</v>
      </c>
      <c r="I566" s="3">
        <v>0</v>
      </c>
      <c r="J566" s="3">
        <v>0</v>
      </c>
      <c r="K566" s="3">
        <v>11689000000</v>
      </c>
      <c r="L566" s="3">
        <v>0.53979999999999995</v>
      </c>
      <c r="M566" s="3">
        <v>6309722.2000000002</v>
      </c>
      <c r="N566" s="3">
        <v>815022000</v>
      </c>
      <c r="O566" s="3">
        <v>538869000</v>
      </c>
      <c r="P566" s="3">
        <v>3173000</v>
      </c>
      <c r="Q566" s="3">
        <v>1.52417697473783</v>
      </c>
      <c r="R566" s="3">
        <v>20.104983056662</v>
      </c>
      <c r="S566" s="3">
        <v>1.5124677797386801</v>
      </c>
      <c r="T566" s="3">
        <v>5.8882585563467199E-3</v>
      </c>
      <c r="U566" s="3">
        <v>1987</v>
      </c>
      <c r="V566" s="3">
        <v>34</v>
      </c>
      <c r="W566" s="3">
        <v>1</v>
      </c>
      <c r="X566" s="3" t="s">
        <v>57</v>
      </c>
      <c r="Y566" s="4" t="s">
        <v>703</v>
      </c>
      <c r="Z566" s="3" t="s">
        <v>67</v>
      </c>
      <c r="AA566" s="5">
        <f t="shared" si="24"/>
        <v>1.52417697473783</v>
      </c>
      <c r="AB566" s="5">
        <f t="shared" si="25"/>
        <v>1.5124677797386801</v>
      </c>
      <c r="AC566" s="5">
        <f t="shared" si="26"/>
        <v>5.8882585563467199E-3</v>
      </c>
    </row>
    <row r="567" spans="1:29" ht="15" customHeight="1" x14ac:dyDescent="0.3">
      <c r="A567" s="3">
        <v>672</v>
      </c>
      <c r="B567" s="3">
        <v>135</v>
      </c>
      <c r="C567" s="3" t="s">
        <v>701</v>
      </c>
      <c r="D567" s="4" t="s">
        <v>702</v>
      </c>
      <c r="E567" s="3" t="s">
        <v>31</v>
      </c>
      <c r="F567" s="3">
        <v>2022</v>
      </c>
      <c r="G567" s="3">
        <v>0</v>
      </c>
      <c r="H567" s="3">
        <v>0</v>
      </c>
      <c r="I567" s="3">
        <v>5</v>
      </c>
      <c r="J567" s="3">
        <v>0</v>
      </c>
      <c r="K567" s="3">
        <v>11689000000</v>
      </c>
      <c r="L567" s="3">
        <v>0.55010000000000003</v>
      </c>
      <c r="M567" s="3">
        <v>6430118.9000000004</v>
      </c>
      <c r="N567" s="3">
        <v>785092000</v>
      </c>
      <c r="O567" s="3">
        <v>510144000</v>
      </c>
      <c r="P567" s="3">
        <v>941380</v>
      </c>
      <c r="Q567" s="3">
        <v>1.5515660654638701</v>
      </c>
      <c r="R567" s="3">
        <v>20.050203596769698</v>
      </c>
      <c r="S567" s="3">
        <v>1.5389615481119101</v>
      </c>
      <c r="T567" s="3">
        <v>1.8453221051310999E-3</v>
      </c>
      <c r="U567" s="3">
        <v>1987</v>
      </c>
      <c r="V567" s="3">
        <v>35</v>
      </c>
      <c r="W567" s="3">
        <v>1</v>
      </c>
      <c r="X567" s="3" t="s">
        <v>57</v>
      </c>
      <c r="Y567" s="4" t="s">
        <v>704</v>
      </c>
      <c r="Z567" s="3" t="s">
        <v>67</v>
      </c>
      <c r="AA567" s="5">
        <f t="shared" si="24"/>
        <v>1.5515660654638701</v>
      </c>
      <c r="AB567" s="5">
        <f t="shared" si="25"/>
        <v>1.5389615481119101</v>
      </c>
      <c r="AC567" s="5">
        <f t="shared" si="26"/>
        <v>1.8453221051310999E-3</v>
      </c>
    </row>
    <row r="568" spans="1:29" ht="15" customHeight="1" x14ac:dyDescent="0.3">
      <c r="A568" s="3">
        <v>673</v>
      </c>
      <c r="B568" s="3">
        <v>135</v>
      </c>
      <c r="C568" s="3" t="s">
        <v>701</v>
      </c>
      <c r="D568" s="4" t="s">
        <v>702</v>
      </c>
      <c r="E568" s="3" t="s">
        <v>31</v>
      </c>
      <c r="F568" s="3">
        <v>2023</v>
      </c>
      <c r="G568" s="3">
        <v>1</v>
      </c>
      <c r="H568" s="3">
        <v>0</v>
      </c>
      <c r="I568" s="3">
        <v>5</v>
      </c>
      <c r="J568" s="3">
        <v>0</v>
      </c>
      <c r="K568" s="3">
        <v>11689000000</v>
      </c>
      <c r="L568" s="3">
        <v>1.6203000000000001</v>
      </c>
      <c r="M568" s="3">
        <v>18939686.699999999</v>
      </c>
      <c r="N568" s="3">
        <v>799458000</v>
      </c>
      <c r="O568" s="3">
        <v>472585000</v>
      </c>
      <c r="P568" s="3">
        <v>-62637000</v>
      </c>
      <c r="Q568" s="3">
        <v>1.73174706497244</v>
      </c>
      <c r="R568" s="3">
        <v>19.973728182898999</v>
      </c>
      <c r="S568" s="3">
        <v>1.69167028153665</v>
      </c>
      <c r="T568" s="3">
        <v>-0.132541235968133</v>
      </c>
      <c r="U568" s="3">
        <v>1987</v>
      </c>
      <c r="V568" s="3">
        <v>36</v>
      </c>
      <c r="W568" s="3">
        <v>1</v>
      </c>
      <c r="X568" s="3" t="s">
        <v>57</v>
      </c>
      <c r="Y568" s="4" t="s">
        <v>705</v>
      </c>
      <c r="Z568" s="3" t="s">
        <v>67</v>
      </c>
      <c r="AA568" s="5">
        <f t="shared" si="24"/>
        <v>1.73174706497244</v>
      </c>
      <c r="AB568" s="5">
        <f t="shared" si="25"/>
        <v>1.69167028153665</v>
      </c>
      <c r="AC568" s="5">
        <f t="shared" si="26"/>
        <v>-0.132541235968133</v>
      </c>
    </row>
    <row r="569" spans="1:29" ht="15" customHeight="1" x14ac:dyDescent="0.3">
      <c r="A569" s="3">
        <v>674</v>
      </c>
      <c r="B569" s="3">
        <v>135</v>
      </c>
      <c r="C569" s="3" t="s">
        <v>701</v>
      </c>
      <c r="D569" s="4" t="s">
        <v>702</v>
      </c>
      <c r="E569" s="3" t="s">
        <v>31</v>
      </c>
      <c r="F569" s="3">
        <v>2024</v>
      </c>
      <c r="G569" s="3">
        <v>1</v>
      </c>
      <c r="H569" s="3">
        <v>0</v>
      </c>
      <c r="I569" s="3">
        <v>0</v>
      </c>
      <c r="J569" s="3">
        <v>0</v>
      </c>
      <c r="K569" s="3">
        <v>11689000000</v>
      </c>
      <c r="L569" s="3">
        <v>1.51</v>
      </c>
      <c r="M569" s="3">
        <v>17650390</v>
      </c>
      <c r="N569" s="3">
        <v>861414000</v>
      </c>
      <c r="O569" s="3">
        <v>414708000</v>
      </c>
      <c r="P569" s="3">
        <v>-114912000</v>
      </c>
      <c r="Q569" s="3">
        <v>2.1197189106552101</v>
      </c>
      <c r="R569" s="3">
        <v>19.843085216084301</v>
      </c>
      <c r="S569" s="3">
        <v>2.07715790387453</v>
      </c>
      <c r="T569" s="3">
        <v>-0.27709135102288801</v>
      </c>
      <c r="U569" s="3">
        <v>1987</v>
      </c>
      <c r="V569" s="3">
        <v>37</v>
      </c>
      <c r="W569" s="3">
        <v>1</v>
      </c>
      <c r="X569" s="3" t="s">
        <v>57</v>
      </c>
      <c r="Y569" s="4" t="s">
        <v>706</v>
      </c>
      <c r="Z569" s="3" t="s">
        <v>67</v>
      </c>
      <c r="AA569" s="5">
        <f t="shared" si="24"/>
        <v>2.1197189106552101</v>
      </c>
      <c r="AB569" s="5">
        <f t="shared" si="25"/>
        <v>2.07715790387453</v>
      </c>
      <c r="AC569" s="5">
        <f t="shared" si="26"/>
        <v>-0.27709135102288801</v>
      </c>
    </row>
    <row r="570" spans="1:29" ht="15" customHeight="1" x14ac:dyDescent="0.3">
      <c r="A570" s="3">
        <v>676</v>
      </c>
      <c r="B570" s="3">
        <v>136</v>
      </c>
      <c r="C570" s="3" t="s">
        <v>707</v>
      </c>
      <c r="D570" s="4" t="s">
        <v>708</v>
      </c>
      <c r="E570" s="3" t="s">
        <v>31</v>
      </c>
      <c r="F570" s="3">
        <v>2021</v>
      </c>
      <c r="G570" s="3">
        <v>0</v>
      </c>
      <c r="H570" s="3">
        <v>0</v>
      </c>
      <c r="I570" s="3">
        <v>0</v>
      </c>
      <c r="J570" s="3">
        <v>0</v>
      </c>
      <c r="K570" s="3">
        <v>16000000000</v>
      </c>
      <c r="L570" s="3">
        <v>0.2</v>
      </c>
      <c r="M570" s="3">
        <v>3200000</v>
      </c>
      <c r="N570" s="3">
        <v>2318000</v>
      </c>
      <c r="O570" s="3">
        <v>12320000</v>
      </c>
      <c r="P570" s="3">
        <v>151430</v>
      </c>
      <c r="Q570" s="3">
        <v>0.44788961038961</v>
      </c>
      <c r="R570" s="3">
        <v>16.326734516069699</v>
      </c>
      <c r="S570" s="3">
        <v>0.18814935064935101</v>
      </c>
      <c r="T570" s="3">
        <v>1.22913961038961E-2</v>
      </c>
      <c r="U570" s="3">
        <v>1961</v>
      </c>
      <c r="V570" s="3">
        <v>60</v>
      </c>
      <c r="W570" s="3">
        <v>0</v>
      </c>
      <c r="X570" s="3" t="s">
        <v>709</v>
      </c>
      <c r="Y570" s="4" t="s">
        <v>710</v>
      </c>
      <c r="Z570" s="3" t="s">
        <v>34</v>
      </c>
      <c r="AA570" s="5">
        <f t="shared" si="24"/>
        <v>0.44788961038961</v>
      </c>
      <c r="AB570" s="5">
        <f t="shared" si="25"/>
        <v>0.18814935064935101</v>
      </c>
      <c r="AC570" s="5">
        <f t="shared" si="26"/>
        <v>1.22913961038961E-2</v>
      </c>
    </row>
    <row r="571" spans="1:29" ht="15" customHeight="1" x14ac:dyDescent="0.3">
      <c r="A571" s="3">
        <v>677</v>
      </c>
      <c r="B571" s="3">
        <v>136</v>
      </c>
      <c r="C571" s="3" t="s">
        <v>707</v>
      </c>
      <c r="D571" s="4" t="s">
        <v>708</v>
      </c>
      <c r="E571" s="3" t="s">
        <v>31</v>
      </c>
      <c r="F571" s="3">
        <v>2022</v>
      </c>
      <c r="G571" s="3">
        <v>0</v>
      </c>
      <c r="H571" s="3">
        <v>0</v>
      </c>
      <c r="I571" s="3">
        <v>0</v>
      </c>
      <c r="J571" s="3">
        <v>0</v>
      </c>
      <c r="K571" s="3">
        <v>16000000000</v>
      </c>
      <c r="L571" s="3">
        <v>0.2</v>
      </c>
      <c r="M571" s="3">
        <v>3200000</v>
      </c>
      <c r="N571" s="3">
        <v>3145000</v>
      </c>
      <c r="O571" s="3">
        <v>13487000</v>
      </c>
      <c r="P571" s="3">
        <v>314510</v>
      </c>
      <c r="Q571" s="3">
        <v>0.47045302884258899</v>
      </c>
      <c r="R571" s="3">
        <v>16.417236816498999</v>
      </c>
      <c r="S571" s="3">
        <v>0.23318751390227599</v>
      </c>
      <c r="T571" s="3">
        <v>2.3319492844961799E-2</v>
      </c>
      <c r="U571" s="3">
        <v>1961</v>
      </c>
      <c r="V571" s="3">
        <v>61</v>
      </c>
      <c r="W571" s="3">
        <v>0</v>
      </c>
      <c r="X571" s="3" t="s">
        <v>709</v>
      </c>
      <c r="Y571" s="4" t="s">
        <v>711</v>
      </c>
      <c r="Z571" s="3" t="s">
        <v>34</v>
      </c>
      <c r="AA571" s="5">
        <f t="shared" si="24"/>
        <v>0.47045302884258899</v>
      </c>
      <c r="AB571" s="5">
        <f t="shared" si="25"/>
        <v>0.23318751390227599</v>
      </c>
      <c r="AC571" s="5">
        <f t="shared" si="26"/>
        <v>2.3319492844961799E-2</v>
      </c>
    </row>
    <row r="572" spans="1:29" ht="15" customHeight="1" x14ac:dyDescent="0.3">
      <c r="A572" s="3">
        <v>678</v>
      </c>
      <c r="B572" s="3">
        <v>136</v>
      </c>
      <c r="C572" s="3" t="s">
        <v>707</v>
      </c>
      <c r="D572" s="4" t="s">
        <v>708</v>
      </c>
      <c r="E572" s="3" t="s">
        <v>31</v>
      </c>
      <c r="F572" s="3">
        <v>2023</v>
      </c>
      <c r="G572" s="3">
        <v>1</v>
      </c>
      <c r="H572" s="3">
        <v>0</v>
      </c>
      <c r="I572" s="3">
        <v>0</v>
      </c>
      <c r="J572" s="3">
        <v>0</v>
      </c>
      <c r="K572" s="3">
        <v>16000000000</v>
      </c>
      <c r="L572" s="3">
        <v>0.26</v>
      </c>
      <c r="M572" s="3">
        <v>4160000</v>
      </c>
      <c r="N572" s="3">
        <v>4898000</v>
      </c>
      <c r="O572" s="3">
        <v>17122000</v>
      </c>
      <c r="P572" s="3">
        <v>530060</v>
      </c>
      <c r="Q572" s="3">
        <v>0.52902698282910898</v>
      </c>
      <c r="R572" s="3">
        <v>16.655874744284599</v>
      </c>
      <c r="S572" s="3">
        <v>0.28606471206634698</v>
      </c>
      <c r="T572" s="3">
        <v>3.0957832028968599E-2</v>
      </c>
      <c r="U572" s="3">
        <v>1961</v>
      </c>
      <c r="V572" s="3">
        <v>62</v>
      </c>
      <c r="W572" s="3">
        <v>0</v>
      </c>
      <c r="X572" s="3" t="s">
        <v>709</v>
      </c>
      <c r="Y572" s="4" t="s">
        <v>712</v>
      </c>
      <c r="Z572" s="3" t="s">
        <v>34</v>
      </c>
      <c r="AA572" s="5">
        <f t="shared" si="24"/>
        <v>0.52902698282910898</v>
      </c>
      <c r="AB572" s="5">
        <f t="shared" si="25"/>
        <v>0.28606471206634698</v>
      </c>
      <c r="AC572" s="5">
        <f t="shared" si="26"/>
        <v>3.0957832028968599E-2</v>
      </c>
    </row>
    <row r="573" spans="1:29" ht="15" customHeight="1" x14ac:dyDescent="0.3">
      <c r="A573" s="3">
        <v>679</v>
      </c>
      <c r="B573" s="3">
        <v>136</v>
      </c>
      <c r="C573" s="3" t="s">
        <v>707</v>
      </c>
      <c r="D573" s="4" t="s">
        <v>708</v>
      </c>
      <c r="E573" s="3" t="s">
        <v>31</v>
      </c>
      <c r="F573" s="3">
        <v>2024</v>
      </c>
      <c r="G573" s="3">
        <v>1</v>
      </c>
      <c r="H573" s="3">
        <v>0</v>
      </c>
      <c r="I573" s="3">
        <v>0</v>
      </c>
      <c r="J573" s="3">
        <v>0</v>
      </c>
      <c r="K573" s="3">
        <v>16000000000</v>
      </c>
      <c r="L573" s="3">
        <v>0.66</v>
      </c>
      <c r="M573" s="3">
        <v>10560000</v>
      </c>
      <c r="N573" s="3">
        <v>7225000</v>
      </c>
      <c r="O573" s="3">
        <v>22194000</v>
      </c>
      <c r="P573" s="3">
        <v>1941000</v>
      </c>
      <c r="Q573" s="3">
        <v>0.80134270523564899</v>
      </c>
      <c r="R573" s="3">
        <v>16.915332540042598</v>
      </c>
      <c r="S573" s="3">
        <v>0.32553843381094</v>
      </c>
      <c r="T573" s="3">
        <v>8.7456069207894005E-2</v>
      </c>
      <c r="U573" s="3">
        <v>1961</v>
      </c>
      <c r="V573" s="3">
        <v>63</v>
      </c>
      <c r="W573" s="3">
        <v>0</v>
      </c>
      <c r="X573" s="3" t="s">
        <v>709</v>
      </c>
      <c r="Y573" s="4" t="s">
        <v>713</v>
      </c>
      <c r="Z573" s="3" t="s">
        <v>34</v>
      </c>
      <c r="AA573" s="5">
        <f t="shared" si="24"/>
        <v>0.80134270523564899</v>
      </c>
      <c r="AB573" s="5">
        <f t="shared" si="25"/>
        <v>0.32553843381094</v>
      </c>
      <c r="AC573" s="5">
        <f t="shared" si="26"/>
        <v>8.7456069207894005E-2</v>
      </c>
    </row>
    <row r="574" spans="1:29" ht="15" customHeight="1" x14ac:dyDescent="0.3">
      <c r="A574" s="3">
        <v>680</v>
      </c>
      <c r="B574" s="3">
        <v>136</v>
      </c>
      <c r="C574" s="3" t="s">
        <v>707</v>
      </c>
      <c r="D574" s="4" t="s">
        <v>708</v>
      </c>
      <c r="E574" s="3" t="s">
        <v>31</v>
      </c>
      <c r="F574" s="3">
        <v>2025</v>
      </c>
      <c r="G574" s="3">
        <v>1</v>
      </c>
      <c r="H574" s="3">
        <v>0</v>
      </c>
      <c r="I574" s="3">
        <v>5</v>
      </c>
      <c r="J574" s="3">
        <v>0</v>
      </c>
      <c r="K574" s="3">
        <v>16000000000</v>
      </c>
      <c r="L574" s="3">
        <v>1.21</v>
      </c>
      <c r="M574" s="3">
        <v>19360000</v>
      </c>
      <c r="N574" s="3">
        <v>9302000</v>
      </c>
      <c r="O574" s="3">
        <v>28307000</v>
      </c>
      <c r="P574" s="3">
        <v>4495000</v>
      </c>
      <c r="Q574" s="3">
        <v>1.01254106758046</v>
      </c>
      <c r="R574" s="3">
        <v>17.158619681850901</v>
      </c>
      <c r="S574" s="3">
        <v>0.328611297558908</v>
      </c>
      <c r="T574" s="3">
        <v>0.15879464443423899</v>
      </c>
      <c r="U574" s="3">
        <v>1961</v>
      </c>
      <c r="V574" s="3">
        <v>64</v>
      </c>
      <c r="W574" s="3">
        <v>0</v>
      </c>
      <c r="X574" s="3" t="s">
        <v>709</v>
      </c>
      <c r="Y574" s="4" t="s">
        <v>714</v>
      </c>
      <c r="Z574" s="3" t="s">
        <v>34</v>
      </c>
      <c r="AA574" s="5">
        <f t="shared" si="24"/>
        <v>1.01254106758046</v>
      </c>
      <c r="AB574" s="5">
        <f t="shared" si="25"/>
        <v>0.328611297558908</v>
      </c>
      <c r="AC574" s="5">
        <f t="shared" si="26"/>
        <v>0.15879464443423899</v>
      </c>
    </row>
    <row r="575" spans="1:29" ht="15" customHeight="1" x14ac:dyDescent="0.3">
      <c r="A575" s="3">
        <v>681</v>
      </c>
      <c r="B575" s="3">
        <v>137</v>
      </c>
      <c r="C575" s="3" t="s">
        <v>715</v>
      </c>
      <c r="D575" s="4" t="s">
        <v>716</v>
      </c>
      <c r="E575" s="3" t="s">
        <v>321</v>
      </c>
      <c r="F575" s="3">
        <v>2021</v>
      </c>
      <c r="G575" s="3">
        <v>0</v>
      </c>
      <c r="H575" s="3">
        <v>0</v>
      </c>
      <c r="I575" s="3">
        <v>0</v>
      </c>
      <c r="J575" s="3">
        <v>0</v>
      </c>
      <c r="K575" s="3">
        <v>18560000000</v>
      </c>
      <c r="L575" s="3">
        <v>1.1901999999999999</v>
      </c>
      <c r="M575" s="3">
        <v>22090112</v>
      </c>
      <c r="N575" s="3">
        <v>11501000</v>
      </c>
      <c r="O575" s="3">
        <v>19595000</v>
      </c>
      <c r="P575" s="3">
        <v>-1928000</v>
      </c>
      <c r="Q575" s="3">
        <v>1.7142695585608601</v>
      </c>
      <c r="R575" s="3">
        <v>16.790784989615901</v>
      </c>
      <c r="S575" s="3">
        <v>0.586935442714978</v>
      </c>
      <c r="T575" s="3">
        <v>-9.8392447052819604E-2</v>
      </c>
      <c r="U575" s="3">
        <v>1997</v>
      </c>
      <c r="V575" s="3">
        <v>24</v>
      </c>
      <c r="W575" s="3">
        <v>0</v>
      </c>
      <c r="X575" s="3" t="s">
        <v>668</v>
      </c>
      <c r="Y575" s="4" t="s">
        <v>717</v>
      </c>
      <c r="Z575" s="3" t="s">
        <v>172</v>
      </c>
      <c r="AA575" s="5">
        <f t="shared" si="24"/>
        <v>1.7142695585608601</v>
      </c>
      <c r="AB575" s="5">
        <f t="shared" si="25"/>
        <v>0.586935442714978</v>
      </c>
      <c r="AC575" s="5">
        <f t="shared" si="26"/>
        <v>-9.8392447052819604E-2</v>
      </c>
    </row>
    <row r="576" spans="1:29" ht="15" customHeight="1" x14ac:dyDescent="0.3">
      <c r="A576" s="3">
        <v>682</v>
      </c>
      <c r="B576" s="3">
        <v>137</v>
      </c>
      <c r="C576" s="3" t="s">
        <v>715</v>
      </c>
      <c r="D576" s="4" t="s">
        <v>716</v>
      </c>
      <c r="E576" s="3" t="s">
        <v>321</v>
      </c>
      <c r="F576" s="3">
        <v>2022</v>
      </c>
      <c r="G576" s="3">
        <v>0</v>
      </c>
      <c r="H576" s="3">
        <v>0</v>
      </c>
      <c r="I576" s="3">
        <v>0</v>
      </c>
      <c r="J576" s="3">
        <v>0</v>
      </c>
      <c r="K576" s="3">
        <v>18560000000</v>
      </c>
      <c r="L576" s="3">
        <v>0.91</v>
      </c>
      <c r="M576" s="3">
        <v>16889600</v>
      </c>
      <c r="N576" s="3">
        <v>11238000</v>
      </c>
      <c r="O576" s="3">
        <v>19428000</v>
      </c>
      <c r="P576" s="3">
        <v>159660</v>
      </c>
      <c r="Q576" s="3">
        <v>1.44778669960881</v>
      </c>
      <c r="R576" s="3">
        <v>16.782225882447801</v>
      </c>
      <c r="S576" s="3">
        <v>0.57844348363187204</v>
      </c>
      <c r="T576" s="3">
        <v>8.2180358245830792E-3</v>
      </c>
      <c r="U576" s="3">
        <v>1997</v>
      </c>
      <c r="V576" s="3">
        <v>25</v>
      </c>
      <c r="W576" s="3">
        <v>0</v>
      </c>
      <c r="X576" s="3" t="s">
        <v>668</v>
      </c>
      <c r="Y576" s="4" t="s">
        <v>718</v>
      </c>
      <c r="Z576" s="3" t="s">
        <v>172</v>
      </c>
      <c r="AA576" s="5">
        <f t="shared" si="24"/>
        <v>1.44778669960881</v>
      </c>
      <c r="AB576" s="5">
        <f t="shared" si="25"/>
        <v>0.57844348363187204</v>
      </c>
      <c r="AC576" s="5">
        <f t="shared" si="26"/>
        <v>8.2180358245830792E-3</v>
      </c>
    </row>
    <row r="577" spans="1:29" ht="15" customHeight="1" x14ac:dyDescent="0.3">
      <c r="A577" s="3">
        <v>683</v>
      </c>
      <c r="B577" s="3">
        <v>137</v>
      </c>
      <c r="C577" s="3" t="s">
        <v>715</v>
      </c>
      <c r="D577" s="4" t="s">
        <v>716</v>
      </c>
      <c r="E577" s="3" t="s">
        <v>321</v>
      </c>
      <c r="F577" s="3">
        <v>2023</v>
      </c>
      <c r="G577" s="3">
        <v>1</v>
      </c>
      <c r="H577" s="3">
        <v>0</v>
      </c>
      <c r="I577" s="3">
        <v>0</v>
      </c>
      <c r="J577" s="3">
        <v>0</v>
      </c>
      <c r="K577" s="3">
        <v>18560000000</v>
      </c>
      <c r="L577" s="3">
        <v>1.2802</v>
      </c>
      <c r="M577" s="3">
        <v>23760512</v>
      </c>
      <c r="N577" s="3">
        <v>10829000</v>
      </c>
      <c r="O577" s="3">
        <v>19664000</v>
      </c>
      <c r="P577" s="3">
        <v>253510</v>
      </c>
      <c r="Q577" s="3">
        <v>1.75902725793328</v>
      </c>
      <c r="R577" s="3">
        <v>16.794300110788001</v>
      </c>
      <c r="S577" s="3">
        <v>0.55070179007322995</v>
      </c>
      <c r="T577" s="3">
        <v>1.28920870626526E-2</v>
      </c>
      <c r="U577" s="3">
        <v>1997</v>
      </c>
      <c r="V577" s="3">
        <v>26</v>
      </c>
      <c r="W577" s="3">
        <v>0</v>
      </c>
      <c r="X577" s="3" t="s">
        <v>668</v>
      </c>
      <c r="Y577" s="4" t="s">
        <v>719</v>
      </c>
      <c r="Z577" s="3" t="s">
        <v>172</v>
      </c>
      <c r="AA577" s="5">
        <f t="shared" si="24"/>
        <v>1.75902725793328</v>
      </c>
      <c r="AB577" s="5">
        <f t="shared" si="25"/>
        <v>0.55070179007322995</v>
      </c>
      <c r="AC577" s="5">
        <f t="shared" si="26"/>
        <v>1.28920870626526E-2</v>
      </c>
    </row>
    <row r="578" spans="1:29" ht="15" customHeight="1" x14ac:dyDescent="0.3">
      <c r="A578" s="3">
        <v>684</v>
      </c>
      <c r="B578" s="3">
        <v>137</v>
      </c>
      <c r="C578" s="3" t="s">
        <v>715</v>
      </c>
      <c r="D578" s="4" t="s">
        <v>716</v>
      </c>
      <c r="E578" s="3" t="s">
        <v>321</v>
      </c>
      <c r="F578" s="3">
        <v>2024</v>
      </c>
      <c r="G578" s="3">
        <v>1</v>
      </c>
      <c r="H578" s="3">
        <v>0</v>
      </c>
      <c r="I578" s="3">
        <v>0</v>
      </c>
      <c r="J578" s="3">
        <v>0</v>
      </c>
      <c r="K578" s="3">
        <v>18560000000</v>
      </c>
      <c r="L578" s="3">
        <v>1.59</v>
      </c>
      <c r="M578" s="3">
        <v>29510400</v>
      </c>
      <c r="N578" s="3">
        <v>21503000</v>
      </c>
      <c r="O578" s="3">
        <v>30988000</v>
      </c>
      <c r="P578" s="3">
        <v>432190</v>
      </c>
      <c r="Q578" s="3">
        <v>1.64623079901898</v>
      </c>
      <c r="R578" s="3">
        <v>17.249110590733899</v>
      </c>
      <c r="S578" s="3">
        <v>0.69391377307344804</v>
      </c>
      <c r="T578" s="3">
        <v>1.39470117464825E-2</v>
      </c>
      <c r="U578" s="3">
        <v>1997</v>
      </c>
      <c r="V578" s="3">
        <v>27</v>
      </c>
      <c r="W578" s="3">
        <v>0</v>
      </c>
      <c r="X578" s="3" t="s">
        <v>668</v>
      </c>
      <c r="Y578" s="4" t="s">
        <v>720</v>
      </c>
      <c r="Z578" s="3" t="s">
        <v>172</v>
      </c>
      <c r="AA578" s="5">
        <f t="shared" ref="AA578:AA612" si="27">MIN(MAX(Q578,PERCENTILE(Q$2:Q$612,0.005)),PERCENTILE(Q$2:Q$612,0.995))</f>
        <v>1.64623079901898</v>
      </c>
      <c r="AB578" s="5">
        <f t="shared" ref="AB578:AB612" si="28">MIN(MAX(S578,PERCENTILE(S$2:S$612,0.005)),PERCENTILE(S$2:S$612,0.995))</f>
        <v>0.69391377307344804</v>
      </c>
      <c r="AC578" s="5">
        <f t="shared" ref="AC578:AC612" si="29">MIN(MAX(T578,PERCENTILE(T$2:T$612,0.005)),PERCENTILE(T$2:T$612,0.995))</f>
        <v>1.39470117464825E-2</v>
      </c>
    </row>
    <row r="579" spans="1:29" ht="15" customHeight="1" x14ac:dyDescent="0.3">
      <c r="A579" s="3">
        <v>685</v>
      </c>
      <c r="B579" s="3">
        <v>137</v>
      </c>
      <c r="C579" s="3" t="s">
        <v>715</v>
      </c>
      <c r="D579" s="4" t="s">
        <v>716</v>
      </c>
      <c r="E579" s="3" t="s">
        <v>321</v>
      </c>
      <c r="F579" s="3">
        <v>2025</v>
      </c>
      <c r="G579" s="3">
        <v>1</v>
      </c>
      <c r="H579" s="3">
        <v>0</v>
      </c>
      <c r="I579" s="3">
        <v>0</v>
      </c>
      <c r="J579" s="3">
        <v>0</v>
      </c>
      <c r="K579" s="3">
        <v>18560000000</v>
      </c>
      <c r="L579" s="3">
        <v>4.8997999999999999</v>
      </c>
      <c r="M579" s="3">
        <v>90940288</v>
      </c>
      <c r="N579" s="3">
        <v>18538000</v>
      </c>
      <c r="O579" s="3">
        <v>29989000</v>
      </c>
      <c r="P579" s="3">
        <v>974620</v>
      </c>
      <c r="Q579" s="3">
        <v>3.6506148254359898</v>
      </c>
      <c r="R579" s="3">
        <v>17.2163412057211</v>
      </c>
      <c r="S579" s="3">
        <v>0.61815999199706595</v>
      </c>
      <c r="T579" s="3">
        <v>3.24992497248991E-2</v>
      </c>
      <c r="U579" s="3">
        <v>1997</v>
      </c>
      <c r="V579" s="3">
        <v>28</v>
      </c>
      <c r="W579" s="3">
        <v>0</v>
      </c>
      <c r="X579" s="3" t="s">
        <v>668</v>
      </c>
      <c r="Y579" s="4" t="s">
        <v>721</v>
      </c>
      <c r="Z579" s="3" t="s">
        <v>172</v>
      </c>
      <c r="AA579" s="5">
        <f t="shared" si="27"/>
        <v>3.6506148254359898</v>
      </c>
      <c r="AB579" s="5">
        <f t="shared" si="28"/>
        <v>0.61815999199706595</v>
      </c>
      <c r="AC579" s="5">
        <f t="shared" si="29"/>
        <v>3.24992497248991E-2</v>
      </c>
    </row>
    <row r="580" spans="1:29" ht="15" customHeight="1" x14ac:dyDescent="0.3">
      <c r="A580" s="3">
        <v>691</v>
      </c>
      <c r="B580" s="3">
        <v>139</v>
      </c>
      <c r="C580" s="3" t="s">
        <v>722</v>
      </c>
      <c r="D580" s="4" t="s">
        <v>723</v>
      </c>
      <c r="E580" s="3" t="s">
        <v>41</v>
      </c>
      <c r="F580" s="3">
        <v>2021</v>
      </c>
      <c r="G580" s="3">
        <v>0</v>
      </c>
      <c r="H580" s="3">
        <v>0</v>
      </c>
      <c r="I580" s="3">
        <v>0</v>
      </c>
      <c r="J580" s="3">
        <v>0</v>
      </c>
      <c r="K580" s="3">
        <v>431409504</v>
      </c>
      <c r="L580" s="3">
        <v>2.94</v>
      </c>
      <c r="M580" s="3">
        <v>1268343.9417600001</v>
      </c>
      <c r="N580" s="3">
        <v>1124536</v>
      </c>
      <c r="O580" s="3">
        <v>3785015</v>
      </c>
      <c r="P580" s="3">
        <v>57106</v>
      </c>
      <c r="Q580" s="3">
        <v>0.63219827180605603</v>
      </c>
      <c r="R580" s="3">
        <v>15.146560407857701</v>
      </c>
      <c r="S580" s="3">
        <v>0.29710212509065398</v>
      </c>
      <c r="T580" s="3">
        <v>1.5087390670842801E-2</v>
      </c>
      <c r="U580" s="3">
        <v>1978</v>
      </c>
      <c r="V580" s="3">
        <v>43</v>
      </c>
      <c r="W580" s="3"/>
      <c r="X580" s="3" t="s">
        <v>179</v>
      </c>
      <c r="Y580" s="4" t="s">
        <v>724</v>
      </c>
      <c r="Z580" s="3" t="s">
        <v>34</v>
      </c>
      <c r="AA580" s="5">
        <f t="shared" si="27"/>
        <v>0.63219827180605603</v>
      </c>
      <c r="AB580" s="5">
        <f t="shared" si="28"/>
        <v>0.29710212509065398</v>
      </c>
      <c r="AC580" s="5">
        <f t="shared" si="29"/>
        <v>1.5087390670842801E-2</v>
      </c>
    </row>
    <row r="581" spans="1:29" ht="15" customHeight="1" x14ac:dyDescent="0.3">
      <c r="A581" s="3">
        <v>692</v>
      </c>
      <c r="B581" s="3">
        <v>139</v>
      </c>
      <c r="C581" s="3" t="s">
        <v>722</v>
      </c>
      <c r="D581" s="4" t="s">
        <v>723</v>
      </c>
      <c r="E581" s="3" t="s">
        <v>41</v>
      </c>
      <c r="F581" s="3">
        <v>2022</v>
      </c>
      <c r="G581" s="3">
        <v>0</v>
      </c>
      <c r="H581" s="3">
        <v>0</v>
      </c>
      <c r="I581" s="3">
        <v>0</v>
      </c>
      <c r="J581" s="3">
        <v>0</v>
      </c>
      <c r="K581" s="3">
        <v>431410000</v>
      </c>
      <c r="L581" s="3">
        <v>2.9438</v>
      </c>
      <c r="M581" s="3">
        <v>1269984.7579999999</v>
      </c>
      <c r="N581" s="3">
        <v>1115000</v>
      </c>
      <c r="O581" s="3">
        <v>4287000</v>
      </c>
      <c r="P581" s="3">
        <v>207490</v>
      </c>
      <c r="Q581" s="3">
        <v>0.55632954466993201</v>
      </c>
      <c r="R581" s="3">
        <v>15.2710977455801</v>
      </c>
      <c r="S581" s="3">
        <v>0.260088640074644</v>
      </c>
      <c r="T581" s="3">
        <v>4.8399813389316503E-2</v>
      </c>
      <c r="U581" s="3">
        <v>1978</v>
      </c>
      <c r="V581" s="3">
        <v>44</v>
      </c>
      <c r="W581" s="3">
        <v>0</v>
      </c>
      <c r="X581" s="3" t="s">
        <v>179</v>
      </c>
      <c r="Y581" s="4" t="s">
        <v>725</v>
      </c>
      <c r="Z581" s="3" t="s">
        <v>34</v>
      </c>
      <c r="AA581" s="5">
        <f t="shared" si="27"/>
        <v>0.55632954466993201</v>
      </c>
      <c r="AB581" s="5">
        <f t="shared" si="28"/>
        <v>0.260088640074644</v>
      </c>
      <c r="AC581" s="5">
        <f t="shared" si="29"/>
        <v>4.8399813389316503E-2</v>
      </c>
    </row>
    <row r="582" spans="1:29" ht="15" customHeight="1" x14ac:dyDescent="0.3">
      <c r="A582" s="3">
        <v>693</v>
      </c>
      <c r="B582" s="3">
        <v>139</v>
      </c>
      <c r="C582" s="3" t="s">
        <v>722</v>
      </c>
      <c r="D582" s="4" t="s">
        <v>723</v>
      </c>
      <c r="E582" s="3" t="s">
        <v>41</v>
      </c>
      <c r="F582" s="3">
        <v>2023</v>
      </c>
      <c r="G582" s="3">
        <v>1</v>
      </c>
      <c r="H582" s="3">
        <v>0</v>
      </c>
      <c r="I582" s="3">
        <v>0</v>
      </c>
      <c r="J582" s="3">
        <v>0</v>
      </c>
      <c r="K582" s="3">
        <v>431410000</v>
      </c>
      <c r="L582" s="3">
        <v>1.9</v>
      </c>
      <c r="M582" s="3">
        <v>819679</v>
      </c>
      <c r="N582" s="3">
        <v>964620</v>
      </c>
      <c r="O582" s="3">
        <v>4236000</v>
      </c>
      <c r="P582" s="3">
        <v>142290</v>
      </c>
      <c r="Q582" s="3">
        <v>0.421222615675165</v>
      </c>
      <c r="R582" s="3">
        <v>15.2591299857034</v>
      </c>
      <c r="S582" s="3">
        <v>0.22771954674221001</v>
      </c>
      <c r="T582" s="3">
        <v>3.3590651558073698E-2</v>
      </c>
      <c r="U582" s="3">
        <v>1978</v>
      </c>
      <c r="V582" s="3">
        <v>45</v>
      </c>
      <c r="W582" s="3">
        <v>0</v>
      </c>
      <c r="X582" s="3" t="s">
        <v>179</v>
      </c>
      <c r="Y582" s="4" t="s">
        <v>726</v>
      </c>
      <c r="Z582" s="3" t="s">
        <v>34</v>
      </c>
      <c r="AA582" s="5">
        <f t="shared" si="27"/>
        <v>0.42843804935676</v>
      </c>
      <c r="AB582" s="5">
        <f t="shared" si="28"/>
        <v>0.22771954674221001</v>
      </c>
      <c r="AC582" s="5">
        <f t="shared" si="29"/>
        <v>3.3590651558073698E-2</v>
      </c>
    </row>
    <row r="583" spans="1:29" ht="15" customHeight="1" x14ac:dyDescent="0.3">
      <c r="A583" s="3">
        <v>694</v>
      </c>
      <c r="B583" s="3">
        <v>139</v>
      </c>
      <c r="C583" s="3" t="s">
        <v>722</v>
      </c>
      <c r="D583" s="4" t="s">
        <v>723</v>
      </c>
      <c r="E583" s="3" t="s">
        <v>41</v>
      </c>
      <c r="F583" s="3">
        <v>2024</v>
      </c>
      <c r="G583" s="3">
        <v>1</v>
      </c>
      <c r="H583" s="3">
        <v>0</v>
      </c>
      <c r="I583" s="3">
        <v>5</v>
      </c>
      <c r="J583" s="3">
        <v>0</v>
      </c>
      <c r="K583" s="3">
        <v>431410000</v>
      </c>
      <c r="L583" s="3">
        <v>2.4106999999999998</v>
      </c>
      <c r="M583" s="3">
        <v>1040000.0870000001</v>
      </c>
      <c r="N583" s="3">
        <v>2041000</v>
      </c>
      <c r="O583" s="3">
        <v>5112000</v>
      </c>
      <c r="P583" s="3">
        <v>-157720</v>
      </c>
      <c r="Q583" s="3">
        <v>0.60269954753521104</v>
      </c>
      <c r="R583" s="3">
        <v>15.4471012750395</v>
      </c>
      <c r="S583" s="3">
        <v>0.39925665101721403</v>
      </c>
      <c r="T583" s="3">
        <v>-3.08528951486698E-2</v>
      </c>
      <c r="U583" s="3">
        <v>1978</v>
      </c>
      <c r="V583" s="3">
        <v>46</v>
      </c>
      <c r="W583" s="3">
        <v>0</v>
      </c>
      <c r="X583" s="3" t="s">
        <v>179</v>
      </c>
      <c r="Y583" s="4" t="s">
        <v>727</v>
      </c>
      <c r="Z583" s="3" t="s">
        <v>34</v>
      </c>
      <c r="AA583" s="5">
        <f t="shared" si="27"/>
        <v>0.60269954753521104</v>
      </c>
      <c r="AB583" s="5">
        <f t="shared" si="28"/>
        <v>0.39925665101721403</v>
      </c>
      <c r="AC583" s="5">
        <f t="shared" si="29"/>
        <v>-3.08528951486698E-2</v>
      </c>
    </row>
    <row r="584" spans="1:29" ht="15" customHeight="1" x14ac:dyDescent="0.3">
      <c r="A584" s="3">
        <v>695</v>
      </c>
      <c r="B584" s="3">
        <v>139</v>
      </c>
      <c r="C584" s="3" t="s">
        <v>722</v>
      </c>
      <c r="D584" s="4" t="s">
        <v>723</v>
      </c>
      <c r="E584" s="3" t="s">
        <v>41</v>
      </c>
      <c r="F584" s="3">
        <v>2025</v>
      </c>
      <c r="G584" s="3">
        <v>1</v>
      </c>
      <c r="H584" s="3">
        <v>0</v>
      </c>
      <c r="I584" s="3">
        <v>5</v>
      </c>
      <c r="J584" s="3">
        <v>0</v>
      </c>
      <c r="K584" s="3">
        <v>431410000</v>
      </c>
      <c r="L584" s="3">
        <v>3.8477999999999999</v>
      </c>
      <c r="M584" s="3">
        <v>1659979.398</v>
      </c>
      <c r="N584" s="3">
        <v>1099000</v>
      </c>
      <c r="O584" s="3">
        <v>4508000</v>
      </c>
      <c r="P584" s="3">
        <v>450630</v>
      </c>
      <c r="Q584" s="3">
        <v>0.61201850000000002</v>
      </c>
      <c r="R584" s="3">
        <v>15.321364154141801</v>
      </c>
      <c r="S584" s="3">
        <v>0.243788819875776</v>
      </c>
      <c r="T584" s="3">
        <v>9.9962289263531498E-2</v>
      </c>
      <c r="U584" s="3">
        <v>1978</v>
      </c>
      <c r="V584" s="3">
        <v>47</v>
      </c>
      <c r="W584" s="3">
        <v>0</v>
      </c>
      <c r="X584" s="3" t="s">
        <v>179</v>
      </c>
      <c r="Y584" s="4" t="s">
        <v>728</v>
      </c>
      <c r="Z584" s="3" t="s">
        <v>34</v>
      </c>
      <c r="AA584" s="5">
        <f t="shared" si="27"/>
        <v>0.61201850000000002</v>
      </c>
      <c r="AB584" s="5">
        <f t="shared" si="28"/>
        <v>0.243788819875776</v>
      </c>
      <c r="AC584" s="5">
        <f t="shared" si="29"/>
        <v>9.9962289263531498E-2</v>
      </c>
    </row>
    <row r="585" spans="1:29" ht="15" customHeight="1" x14ac:dyDescent="0.3">
      <c r="A585" s="3">
        <v>696</v>
      </c>
      <c r="B585" s="3">
        <v>140</v>
      </c>
      <c r="C585" s="3" t="s">
        <v>729</v>
      </c>
      <c r="D585" s="4" t="s">
        <v>730</v>
      </c>
      <c r="E585" s="3" t="s">
        <v>31</v>
      </c>
      <c r="F585" s="3">
        <v>2021</v>
      </c>
      <c r="G585" s="3">
        <v>0</v>
      </c>
      <c r="H585" s="3">
        <v>0</v>
      </c>
      <c r="I585" s="3">
        <v>0</v>
      </c>
      <c r="J585" s="3">
        <v>0</v>
      </c>
      <c r="K585" s="3">
        <v>13867000000</v>
      </c>
      <c r="L585" s="3">
        <v>0.2099</v>
      </c>
      <c r="M585" s="3">
        <v>2910683.3</v>
      </c>
      <c r="N585" s="3">
        <v>5762000</v>
      </c>
      <c r="O585" s="3">
        <v>16565000</v>
      </c>
      <c r="P585" s="3">
        <v>505300</v>
      </c>
      <c r="Q585" s="3">
        <v>0.52355468155750096</v>
      </c>
      <c r="R585" s="3">
        <v>16.622802593716099</v>
      </c>
      <c r="S585" s="3">
        <v>0.34784183519468798</v>
      </c>
      <c r="T585" s="3">
        <v>3.0504074856625402E-2</v>
      </c>
      <c r="U585" s="3">
        <v>1973</v>
      </c>
      <c r="V585" s="3">
        <v>48</v>
      </c>
      <c r="W585" s="3">
        <v>1</v>
      </c>
      <c r="X585" s="3" t="s">
        <v>50</v>
      </c>
      <c r="Y585" s="4" t="s">
        <v>731</v>
      </c>
      <c r="Z585" s="3" t="s">
        <v>34</v>
      </c>
      <c r="AA585" s="5">
        <f t="shared" si="27"/>
        <v>0.52355468155750096</v>
      </c>
      <c r="AB585" s="5">
        <f t="shared" si="28"/>
        <v>0.34784183519468798</v>
      </c>
      <c r="AC585" s="5">
        <f t="shared" si="29"/>
        <v>3.0504074856625402E-2</v>
      </c>
    </row>
    <row r="586" spans="1:29" ht="15" customHeight="1" x14ac:dyDescent="0.3">
      <c r="A586" s="3">
        <v>697</v>
      </c>
      <c r="B586" s="3">
        <v>140</v>
      </c>
      <c r="C586" s="3" t="s">
        <v>729</v>
      </c>
      <c r="D586" s="4" t="s">
        <v>730</v>
      </c>
      <c r="E586" s="3" t="s">
        <v>31</v>
      </c>
      <c r="F586" s="3">
        <v>2022</v>
      </c>
      <c r="G586" s="3">
        <v>0</v>
      </c>
      <c r="H586" s="3">
        <v>0</v>
      </c>
      <c r="I586" s="3">
        <v>0</v>
      </c>
      <c r="J586" s="3">
        <v>0</v>
      </c>
      <c r="K586" s="3">
        <v>13867000000</v>
      </c>
      <c r="L586" s="3">
        <v>0.19980000000000001</v>
      </c>
      <c r="M586" s="3">
        <v>2770626.6</v>
      </c>
      <c r="N586" s="3">
        <v>4791000</v>
      </c>
      <c r="O586" s="3">
        <v>17250000</v>
      </c>
      <c r="P586" s="3">
        <v>540610</v>
      </c>
      <c r="Q586" s="3">
        <v>0.43835516521739099</v>
      </c>
      <c r="R586" s="3">
        <v>16.663322701441601</v>
      </c>
      <c r="S586" s="3">
        <v>0.27773913043478299</v>
      </c>
      <c r="T586" s="3">
        <v>3.13397101449275E-2</v>
      </c>
      <c r="U586" s="3">
        <v>1973</v>
      </c>
      <c r="V586" s="3">
        <v>49</v>
      </c>
      <c r="W586" s="3">
        <v>1</v>
      </c>
      <c r="X586" s="3" t="s">
        <v>50</v>
      </c>
      <c r="Y586" s="4" t="s">
        <v>732</v>
      </c>
      <c r="Z586" s="3" t="s">
        <v>34</v>
      </c>
      <c r="AA586" s="5">
        <f t="shared" si="27"/>
        <v>0.43835516521739099</v>
      </c>
      <c r="AB586" s="5">
        <f t="shared" si="28"/>
        <v>0.27773913043478299</v>
      </c>
      <c r="AC586" s="5">
        <f t="shared" si="29"/>
        <v>3.13397101449275E-2</v>
      </c>
    </row>
    <row r="587" spans="1:29" ht="15" customHeight="1" x14ac:dyDescent="0.3">
      <c r="A587" s="3">
        <v>698</v>
      </c>
      <c r="B587" s="3">
        <v>140</v>
      </c>
      <c r="C587" s="3" t="s">
        <v>729</v>
      </c>
      <c r="D587" s="4" t="s">
        <v>730</v>
      </c>
      <c r="E587" s="3" t="s">
        <v>31</v>
      </c>
      <c r="F587" s="3">
        <v>2023</v>
      </c>
      <c r="G587" s="3">
        <v>1</v>
      </c>
      <c r="H587" s="3">
        <v>0</v>
      </c>
      <c r="I587" s="3">
        <v>0</v>
      </c>
      <c r="J587" s="3">
        <v>0</v>
      </c>
      <c r="K587" s="3">
        <v>13867000000</v>
      </c>
      <c r="L587" s="3">
        <v>0.36990000000000001</v>
      </c>
      <c r="M587" s="3">
        <v>5129403.3</v>
      </c>
      <c r="N587" s="3">
        <v>8311000</v>
      </c>
      <c r="O587" s="3">
        <v>24680000</v>
      </c>
      <c r="P587" s="3">
        <v>2575000</v>
      </c>
      <c r="Q587" s="3">
        <v>0.54458684359805498</v>
      </c>
      <c r="R587" s="3">
        <v>17.021503757001501</v>
      </c>
      <c r="S587" s="3">
        <v>0.33675040518638599</v>
      </c>
      <c r="T587" s="3">
        <v>0.104335494327391</v>
      </c>
      <c r="U587" s="3">
        <v>1973</v>
      </c>
      <c r="V587" s="3">
        <v>50</v>
      </c>
      <c r="W587" s="3">
        <v>1</v>
      </c>
      <c r="X587" s="3" t="s">
        <v>50</v>
      </c>
      <c r="Y587" s="4" t="s">
        <v>733</v>
      </c>
      <c r="Z587" s="3" t="s">
        <v>34</v>
      </c>
      <c r="AA587" s="5">
        <f t="shared" si="27"/>
        <v>0.54458684359805498</v>
      </c>
      <c r="AB587" s="5">
        <f t="shared" si="28"/>
        <v>0.33675040518638599</v>
      </c>
      <c r="AC587" s="5">
        <f t="shared" si="29"/>
        <v>0.104335494327391</v>
      </c>
    </row>
    <row r="588" spans="1:29" ht="15" customHeight="1" x14ac:dyDescent="0.3">
      <c r="A588" s="3">
        <v>699</v>
      </c>
      <c r="B588" s="3">
        <v>140</v>
      </c>
      <c r="C588" s="3" t="s">
        <v>729</v>
      </c>
      <c r="D588" s="4" t="s">
        <v>730</v>
      </c>
      <c r="E588" s="3" t="s">
        <v>31</v>
      </c>
      <c r="F588" s="3">
        <v>2024</v>
      </c>
      <c r="G588" s="3">
        <v>1</v>
      </c>
      <c r="H588" s="3">
        <v>0</v>
      </c>
      <c r="I588" s="3">
        <v>0</v>
      </c>
      <c r="J588" s="3">
        <v>0</v>
      </c>
      <c r="K588" s="3">
        <v>13867000000</v>
      </c>
      <c r="L588" s="3">
        <v>1.3601000000000001</v>
      </c>
      <c r="M588" s="3">
        <v>18860506.699999999</v>
      </c>
      <c r="N588" s="3">
        <v>22255000</v>
      </c>
      <c r="O588" s="3">
        <v>37540000</v>
      </c>
      <c r="P588" s="3">
        <v>-1224000</v>
      </c>
      <c r="Q588" s="3">
        <v>1.09524525039957</v>
      </c>
      <c r="R588" s="3">
        <v>17.440917589122598</v>
      </c>
      <c r="S588" s="3">
        <v>0.59283431006926002</v>
      </c>
      <c r="T588" s="3">
        <v>-3.2605221097496001E-2</v>
      </c>
      <c r="U588" s="3">
        <v>1973</v>
      </c>
      <c r="V588" s="3">
        <v>51</v>
      </c>
      <c r="W588" s="3">
        <v>1</v>
      </c>
      <c r="X588" s="3" t="s">
        <v>50</v>
      </c>
      <c r="Y588" s="4" t="s">
        <v>734</v>
      </c>
      <c r="Z588" s="3" t="s">
        <v>34</v>
      </c>
      <c r="AA588" s="5">
        <f t="shared" si="27"/>
        <v>1.09524525039957</v>
      </c>
      <c r="AB588" s="5">
        <f t="shared" si="28"/>
        <v>0.59283431006926002</v>
      </c>
      <c r="AC588" s="5">
        <f t="shared" si="29"/>
        <v>-3.2605221097496001E-2</v>
      </c>
    </row>
    <row r="589" spans="1:29" ht="15" customHeight="1" x14ac:dyDescent="0.3">
      <c r="A589" s="3">
        <v>700</v>
      </c>
      <c r="B589" s="3">
        <v>140</v>
      </c>
      <c r="C589" s="3" t="s">
        <v>729</v>
      </c>
      <c r="D589" s="4" t="s">
        <v>730</v>
      </c>
      <c r="E589" s="3" t="s">
        <v>31</v>
      </c>
      <c r="F589" s="3">
        <v>2025</v>
      </c>
      <c r="G589" s="3">
        <v>1</v>
      </c>
      <c r="H589" s="3">
        <v>0</v>
      </c>
      <c r="I589" s="3">
        <v>5</v>
      </c>
      <c r="J589" s="3">
        <v>0</v>
      </c>
      <c r="K589" s="3">
        <v>13867000000</v>
      </c>
      <c r="L589" s="3">
        <v>1.7098</v>
      </c>
      <c r="M589" s="3">
        <v>23709796.600000001</v>
      </c>
      <c r="N589" s="3">
        <v>16270000</v>
      </c>
      <c r="O589" s="3">
        <v>35397000</v>
      </c>
      <c r="P589" s="3">
        <v>3733000</v>
      </c>
      <c r="Q589" s="3">
        <v>1.1294685029804801</v>
      </c>
      <c r="R589" s="3">
        <v>17.382137628750201</v>
      </c>
      <c r="S589" s="3">
        <v>0.45964347261067301</v>
      </c>
      <c r="T589" s="3">
        <v>0.105460914766788</v>
      </c>
      <c r="U589" s="3">
        <v>1973</v>
      </c>
      <c r="V589" s="3">
        <v>52</v>
      </c>
      <c r="W589" s="3">
        <v>1</v>
      </c>
      <c r="X589" s="3" t="s">
        <v>50</v>
      </c>
      <c r="Y589" s="4" t="s">
        <v>735</v>
      </c>
      <c r="Z589" s="3" t="s">
        <v>34</v>
      </c>
      <c r="AA589" s="5">
        <f t="shared" si="27"/>
        <v>1.1294685029804801</v>
      </c>
      <c r="AB589" s="5">
        <f t="shared" si="28"/>
        <v>0.45964347261067301</v>
      </c>
      <c r="AC589" s="5">
        <f t="shared" si="29"/>
        <v>0.105460914766788</v>
      </c>
    </row>
    <row r="590" spans="1:29" ht="15" customHeight="1" x14ac:dyDescent="0.3">
      <c r="A590" s="3">
        <v>703</v>
      </c>
      <c r="B590" s="3">
        <v>141</v>
      </c>
      <c r="C590" s="3" t="s">
        <v>736</v>
      </c>
      <c r="D590" s="4" t="s">
        <v>737</v>
      </c>
      <c r="E590" s="3" t="s">
        <v>738</v>
      </c>
      <c r="F590" s="3">
        <v>2023</v>
      </c>
      <c r="G590" s="3">
        <v>1</v>
      </c>
      <c r="H590" s="3">
        <v>0</v>
      </c>
      <c r="I590" s="3">
        <v>0</v>
      </c>
      <c r="J590" s="3">
        <v>0</v>
      </c>
      <c r="K590" s="3">
        <v>5701000000</v>
      </c>
      <c r="L590" s="3">
        <v>6.7637</v>
      </c>
      <c r="M590" s="3">
        <v>38559853.700000003</v>
      </c>
      <c r="N590" s="3">
        <v>186747000</v>
      </c>
      <c r="O590" s="3">
        <v>219277000</v>
      </c>
      <c r="P590" s="3">
        <v>-2463000</v>
      </c>
      <c r="Q590" s="3">
        <v>1.0274987969554501</v>
      </c>
      <c r="R590" s="3">
        <v>19.205846328726899</v>
      </c>
      <c r="S590" s="3">
        <v>0.85164882773843098</v>
      </c>
      <c r="T590" s="3">
        <v>-1.12323681918304E-2</v>
      </c>
      <c r="U590" s="3">
        <v>2009</v>
      </c>
      <c r="V590" s="3">
        <v>14</v>
      </c>
      <c r="W590" s="3">
        <v>1</v>
      </c>
      <c r="X590" s="3" t="s">
        <v>32</v>
      </c>
      <c r="Y590" s="4" t="s">
        <v>739</v>
      </c>
      <c r="Z590" s="3" t="s">
        <v>34</v>
      </c>
      <c r="AA590" s="5">
        <f t="shared" si="27"/>
        <v>1.0274987969554501</v>
      </c>
      <c r="AB590" s="5">
        <f t="shared" si="28"/>
        <v>0.85164882773843098</v>
      </c>
      <c r="AC590" s="5">
        <f t="shared" si="29"/>
        <v>-1.12323681918304E-2</v>
      </c>
    </row>
    <row r="591" spans="1:29" ht="15" customHeight="1" x14ac:dyDescent="0.3">
      <c r="A591" s="3">
        <v>704</v>
      </c>
      <c r="B591" s="3">
        <v>141</v>
      </c>
      <c r="C591" s="3" t="s">
        <v>736</v>
      </c>
      <c r="D591" s="4" t="s">
        <v>737</v>
      </c>
      <c r="E591" s="3" t="s">
        <v>738</v>
      </c>
      <c r="F591" s="3">
        <v>2024</v>
      </c>
      <c r="G591" s="3">
        <v>1</v>
      </c>
      <c r="H591" s="3">
        <v>0</v>
      </c>
      <c r="I591" s="3">
        <v>5</v>
      </c>
      <c r="J591" s="3">
        <v>0</v>
      </c>
      <c r="K591" s="3">
        <v>7601000000</v>
      </c>
      <c r="L591" s="3">
        <v>7.4002999999999997</v>
      </c>
      <c r="M591" s="3">
        <v>56249680.299999997</v>
      </c>
      <c r="N591" s="3">
        <v>237143000</v>
      </c>
      <c r="O591" s="3">
        <v>295669000</v>
      </c>
      <c r="P591" s="3">
        <v>6265000</v>
      </c>
      <c r="Q591" s="3">
        <v>0.99230112152440697</v>
      </c>
      <c r="R591" s="3">
        <v>19.504751143344599</v>
      </c>
      <c r="S591" s="3">
        <v>0.80205567712543402</v>
      </c>
      <c r="T591" s="3">
        <v>2.11892352596992E-2</v>
      </c>
      <c r="U591" s="3">
        <v>2009</v>
      </c>
      <c r="V591" s="3">
        <v>15</v>
      </c>
      <c r="W591" s="3">
        <v>1</v>
      </c>
      <c r="X591" s="3" t="s">
        <v>32</v>
      </c>
      <c r="Y591" s="4" t="s">
        <v>740</v>
      </c>
      <c r="Z591" s="3" t="s">
        <v>34</v>
      </c>
      <c r="AA591" s="5">
        <f t="shared" si="27"/>
        <v>0.99230112152440697</v>
      </c>
      <c r="AB591" s="5">
        <f t="shared" si="28"/>
        <v>0.80205567712543402</v>
      </c>
      <c r="AC591" s="5">
        <f t="shared" si="29"/>
        <v>2.11892352596992E-2</v>
      </c>
    </row>
    <row r="592" spans="1:29" ht="15" customHeight="1" x14ac:dyDescent="0.3">
      <c r="A592" s="3">
        <v>705</v>
      </c>
      <c r="B592" s="3">
        <v>141</v>
      </c>
      <c r="C592" s="3" t="s">
        <v>736</v>
      </c>
      <c r="D592" s="4" t="s">
        <v>737</v>
      </c>
      <c r="E592" s="3" t="s">
        <v>738</v>
      </c>
      <c r="F592" s="3">
        <v>2025</v>
      </c>
      <c r="G592" s="3">
        <v>1</v>
      </c>
      <c r="H592" s="3">
        <v>0</v>
      </c>
      <c r="I592" s="3">
        <v>5</v>
      </c>
      <c r="J592" s="3">
        <v>0</v>
      </c>
      <c r="K592" s="3">
        <v>7601000000</v>
      </c>
      <c r="L592" s="3">
        <v>10.9999</v>
      </c>
      <c r="M592" s="3">
        <v>83610239.900000006</v>
      </c>
      <c r="N592" s="3">
        <v>376185000</v>
      </c>
      <c r="O592" s="3">
        <v>445806000</v>
      </c>
      <c r="P592" s="3">
        <v>7246000</v>
      </c>
      <c r="Q592" s="3">
        <v>1.03137965819213</v>
      </c>
      <c r="R592" s="3">
        <v>19.915394437775699</v>
      </c>
      <c r="S592" s="3">
        <v>0.84383117320089895</v>
      </c>
      <c r="T592" s="3">
        <v>1.62537067693122E-2</v>
      </c>
      <c r="U592" s="3">
        <v>2009</v>
      </c>
      <c r="V592" s="3">
        <v>16</v>
      </c>
      <c r="W592" s="3">
        <v>1</v>
      </c>
      <c r="X592" s="3" t="s">
        <v>32</v>
      </c>
      <c r="Y592" s="4" t="s">
        <v>741</v>
      </c>
      <c r="Z592" s="3" t="s">
        <v>34</v>
      </c>
      <c r="AA592" s="5">
        <f t="shared" si="27"/>
        <v>1.03137965819213</v>
      </c>
      <c r="AB592" s="5">
        <f t="shared" si="28"/>
        <v>0.84383117320089895</v>
      </c>
      <c r="AC592" s="5">
        <f t="shared" si="29"/>
        <v>1.62537067693122E-2</v>
      </c>
    </row>
    <row r="593" spans="1:29" ht="15" customHeight="1" x14ac:dyDescent="0.3">
      <c r="A593" s="3">
        <v>706</v>
      </c>
      <c r="B593" s="3">
        <v>142</v>
      </c>
      <c r="C593" s="3" t="s">
        <v>742</v>
      </c>
      <c r="D593" s="4" t="s">
        <v>743</v>
      </c>
      <c r="E593" s="3" t="s">
        <v>143</v>
      </c>
      <c r="F593" s="3">
        <v>2021</v>
      </c>
      <c r="G593" s="3">
        <v>0</v>
      </c>
      <c r="H593" s="3">
        <v>0</v>
      </c>
      <c r="I593" s="3">
        <v>0</v>
      </c>
      <c r="J593" s="3">
        <v>0</v>
      </c>
      <c r="K593" s="3">
        <v>1501000000</v>
      </c>
      <c r="L593" s="3">
        <v>18.747499999999999</v>
      </c>
      <c r="M593" s="3">
        <v>28139997.5</v>
      </c>
      <c r="N593" s="3">
        <v>18854000</v>
      </c>
      <c r="O593" s="3">
        <v>31790000</v>
      </c>
      <c r="P593" s="3">
        <v>4237000</v>
      </c>
      <c r="Q593" s="3">
        <v>1.4782635262661199</v>
      </c>
      <c r="R593" s="3">
        <v>17.274662332887001</v>
      </c>
      <c r="S593" s="3">
        <v>0.59307958477508704</v>
      </c>
      <c r="T593" s="3">
        <v>0.13328090594526601</v>
      </c>
      <c r="U593" s="3">
        <v>1962</v>
      </c>
      <c r="V593" s="3">
        <v>59</v>
      </c>
      <c r="W593" s="3">
        <v>1</v>
      </c>
      <c r="X593" s="3" t="s">
        <v>32</v>
      </c>
      <c r="Y593" s="4" t="s">
        <v>744</v>
      </c>
      <c r="Z593" s="3" t="s">
        <v>34</v>
      </c>
      <c r="AA593" s="5">
        <f t="shared" si="27"/>
        <v>1.4782635262661199</v>
      </c>
      <c r="AB593" s="5">
        <f t="shared" si="28"/>
        <v>0.59307958477508704</v>
      </c>
      <c r="AC593" s="5">
        <f t="shared" si="29"/>
        <v>0.13328090594526601</v>
      </c>
    </row>
    <row r="594" spans="1:29" ht="15" customHeight="1" x14ac:dyDescent="0.3">
      <c r="A594" s="3">
        <v>707</v>
      </c>
      <c r="B594" s="3">
        <v>142</v>
      </c>
      <c r="C594" s="3" t="s">
        <v>742</v>
      </c>
      <c r="D594" s="4" t="s">
        <v>743</v>
      </c>
      <c r="E594" s="3" t="s">
        <v>143</v>
      </c>
      <c r="F594" s="3">
        <v>2022</v>
      </c>
      <c r="G594" s="3">
        <v>0</v>
      </c>
      <c r="H594" s="3">
        <v>0</v>
      </c>
      <c r="I594" s="3">
        <v>0</v>
      </c>
      <c r="J594" s="3">
        <v>0</v>
      </c>
      <c r="K594" s="3">
        <v>1501000000</v>
      </c>
      <c r="L594" s="3">
        <v>17.042000000000002</v>
      </c>
      <c r="M594" s="3">
        <v>25580042</v>
      </c>
      <c r="N594" s="3">
        <v>23768000</v>
      </c>
      <c r="O594" s="3">
        <v>39437000</v>
      </c>
      <c r="P594" s="3">
        <v>4223000</v>
      </c>
      <c r="Q594" s="3">
        <v>1.25131328447904</v>
      </c>
      <c r="R594" s="3">
        <v>17.490215019896901</v>
      </c>
      <c r="S594" s="3">
        <v>0.60268275984481601</v>
      </c>
      <c r="T594" s="3">
        <v>0.107082181707534</v>
      </c>
      <c r="U594" s="3">
        <v>1962</v>
      </c>
      <c r="V594" s="3">
        <v>60</v>
      </c>
      <c r="W594" s="3">
        <v>1</v>
      </c>
      <c r="X594" s="3" t="s">
        <v>32</v>
      </c>
      <c r="Y594" s="4" t="s">
        <v>745</v>
      </c>
      <c r="Z594" s="3" t="s">
        <v>34</v>
      </c>
      <c r="AA594" s="5">
        <f t="shared" si="27"/>
        <v>1.25131328447904</v>
      </c>
      <c r="AB594" s="5">
        <f t="shared" si="28"/>
        <v>0.60268275984481601</v>
      </c>
      <c r="AC594" s="5">
        <f t="shared" si="29"/>
        <v>0.107082181707534</v>
      </c>
    </row>
    <row r="595" spans="1:29" ht="15" customHeight="1" x14ac:dyDescent="0.3">
      <c r="A595" s="3">
        <v>708</v>
      </c>
      <c r="B595" s="3">
        <v>142</v>
      </c>
      <c r="C595" s="3" t="s">
        <v>742</v>
      </c>
      <c r="D595" s="4" t="s">
        <v>743</v>
      </c>
      <c r="E595" s="3" t="s">
        <v>143</v>
      </c>
      <c r="F595" s="3">
        <v>2023</v>
      </c>
      <c r="G595" s="3">
        <v>1</v>
      </c>
      <c r="H595" s="3">
        <v>0</v>
      </c>
      <c r="I595" s="3">
        <v>0</v>
      </c>
      <c r="J595" s="3">
        <v>0</v>
      </c>
      <c r="K595" s="3">
        <v>1501000000</v>
      </c>
      <c r="L595" s="3">
        <v>18.334399999999999</v>
      </c>
      <c r="M595" s="3">
        <v>27519934.399999999</v>
      </c>
      <c r="N595" s="3">
        <v>32255000</v>
      </c>
      <c r="O595" s="3">
        <v>49661000</v>
      </c>
      <c r="P595" s="3">
        <v>3939000</v>
      </c>
      <c r="Q595" s="3">
        <v>1.2036594994059699</v>
      </c>
      <c r="R595" s="3">
        <v>17.720730474772701</v>
      </c>
      <c r="S595" s="3">
        <v>0.64950363464287897</v>
      </c>
      <c r="T595" s="3">
        <v>7.9317774511185796E-2</v>
      </c>
      <c r="U595" s="3">
        <v>1962</v>
      </c>
      <c r="V595" s="3">
        <v>61</v>
      </c>
      <c r="W595" s="3">
        <v>1</v>
      </c>
      <c r="X595" s="3" t="s">
        <v>32</v>
      </c>
      <c r="Y595" s="4" t="s">
        <v>746</v>
      </c>
      <c r="Z595" s="3" t="s">
        <v>34</v>
      </c>
      <c r="AA595" s="5">
        <f t="shared" si="27"/>
        <v>1.2036594994059699</v>
      </c>
      <c r="AB595" s="5">
        <f t="shared" si="28"/>
        <v>0.64950363464287897</v>
      </c>
      <c r="AC595" s="5">
        <f t="shared" si="29"/>
        <v>7.9317774511185796E-2</v>
      </c>
    </row>
    <row r="596" spans="1:29" ht="15" customHeight="1" x14ac:dyDescent="0.3">
      <c r="A596" s="3">
        <v>709</v>
      </c>
      <c r="B596" s="3">
        <v>142</v>
      </c>
      <c r="C596" s="3" t="s">
        <v>742</v>
      </c>
      <c r="D596" s="4" t="s">
        <v>743</v>
      </c>
      <c r="E596" s="3" t="s">
        <v>143</v>
      </c>
      <c r="F596" s="3">
        <v>2024</v>
      </c>
      <c r="G596" s="3">
        <v>1</v>
      </c>
      <c r="H596" s="3">
        <v>0</v>
      </c>
      <c r="I596" s="3">
        <v>30</v>
      </c>
      <c r="J596" s="3">
        <v>0</v>
      </c>
      <c r="K596" s="3">
        <v>1501000000</v>
      </c>
      <c r="L596" s="3">
        <v>19.167200000000001</v>
      </c>
      <c r="M596" s="3">
        <v>28769967.199999999</v>
      </c>
      <c r="N596" s="3">
        <v>27181000</v>
      </c>
      <c r="O596" s="3">
        <v>52211000</v>
      </c>
      <c r="P596" s="3">
        <v>359700</v>
      </c>
      <c r="Q596" s="3">
        <v>1.0716317864051601</v>
      </c>
      <c r="R596" s="3">
        <v>17.770803758622201</v>
      </c>
      <c r="S596" s="3">
        <v>0.52059910746777505</v>
      </c>
      <c r="T596" s="3">
        <v>6.8893528183716097E-3</v>
      </c>
      <c r="U596" s="3">
        <v>1962</v>
      </c>
      <c r="V596" s="3">
        <v>62</v>
      </c>
      <c r="W596" s="3">
        <v>1</v>
      </c>
      <c r="X596" s="3" t="s">
        <v>32</v>
      </c>
      <c r="Y596" s="4" t="s">
        <v>747</v>
      </c>
      <c r="Z596" s="3" t="s">
        <v>34</v>
      </c>
      <c r="AA596" s="5">
        <f t="shared" si="27"/>
        <v>1.0716317864051601</v>
      </c>
      <c r="AB596" s="5">
        <f t="shared" si="28"/>
        <v>0.52059910746777505</v>
      </c>
      <c r="AC596" s="5">
        <f t="shared" si="29"/>
        <v>6.8893528183716097E-3</v>
      </c>
    </row>
    <row r="597" spans="1:29" ht="15" customHeight="1" x14ac:dyDescent="0.3">
      <c r="A597" s="3">
        <v>710</v>
      </c>
      <c r="B597" s="3">
        <v>142</v>
      </c>
      <c r="C597" s="3" t="s">
        <v>742</v>
      </c>
      <c r="D597" s="4" t="s">
        <v>743</v>
      </c>
      <c r="E597" s="3" t="s">
        <v>143</v>
      </c>
      <c r="F597" s="3">
        <v>2025</v>
      </c>
      <c r="G597" s="3">
        <v>1</v>
      </c>
      <c r="H597" s="3">
        <v>0</v>
      </c>
      <c r="I597" s="3">
        <v>0</v>
      </c>
      <c r="J597" s="3">
        <v>0</v>
      </c>
      <c r="K597" s="3">
        <v>1501000000</v>
      </c>
      <c r="L597" s="3">
        <v>76.668899999999994</v>
      </c>
      <c r="M597" s="3">
        <v>115080018.90000001</v>
      </c>
      <c r="N597" s="3">
        <v>29721000</v>
      </c>
      <c r="O597" s="3">
        <v>65275000</v>
      </c>
      <c r="P597" s="3">
        <v>13511000</v>
      </c>
      <c r="Q597" s="3">
        <v>2.21832277135197</v>
      </c>
      <c r="R597" s="3">
        <v>17.994119672549498</v>
      </c>
      <c r="S597" s="3">
        <v>0.455319800842589</v>
      </c>
      <c r="T597" s="3">
        <v>0.20698582918422101</v>
      </c>
      <c r="U597" s="3">
        <v>1962</v>
      </c>
      <c r="V597" s="3">
        <v>63</v>
      </c>
      <c r="W597" s="3">
        <v>1</v>
      </c>
      <c r="X597" s="3" t="s">
        <v>32</v>
      </c>
      <c r="Y597" s="4" t="s">
        <v>748</v>
      </c>
      <c r="Z597" s="3" t="s">
        <v>34</v>
      </c>
      <c r="AA597" s="5">
        <f t="shared" si="27"/>
        <v>2.21832277135197</v>
      </c>
      <c r="AB597" s="5">
        <f t="shared" si="28"/>
        <v>0.455319800842589</v>
      </c>
      <c r="AC597" s="5">
        <f t="shared" si="29"/>
        <v>0.20698582918422101</v>
      </c>
    </row>
    <row r="598" spans="1:29" ht="15" customHeight="1" x14ac:dyDescent="0.3">
      <c r="A598" s="3">
        <v>711</v>
      </c>
      <c r="B598" s="3">
        <v>143</v>
      </c>
      <c r="C598" s="3" t="s">
        <v>749</v>
      </c>
      <c r="D598" s="4" t="s">
        <v>750</v>
      </c>
      <c r="E598" s="3" t="s">
        <v>31</v>
      </c>
      <c r="F598" s="3">
        <v>2021</v>
      </c>
      <c r="G598" s="3">
        <v>0</v>
      </c>
      <c r="H598" s="3">
        <v>0</v>
      </c>
      <c r="I598" s="3">
        <v>0</v>
      </c>
      <c r="J598" s="3">
        <v>0</v>
      </c>
      <c r="K598" s="3">
        <v>23992000000</v>
      </c>
      <c r="L598" s="3">
        <v>0.56020000000000003</v>
      </c>
      <c r="M598" s="3">
        <v>13440318.4</v>
      </c>
      <c r="N598" s="3">
        <v>18213000</v>
      </c>
      <c r="O598" s="3">
        <v>39802000</v>
      </c>
      <c r="P598" s="3">
        <v>-2583000</v>
      </c>
      <c r="Q598" s="3">
        <v>0.79526954424400798</v>
      </c>
      <c r="R598" s="3">
        <v>17.499427720248399</v>
      </c>
      <c r="S598" s="3">
        <v>0.45759007085071102</v>
      </c>
      <c r="T598" s="3">
        <v>-6.4896236370031696E-2</v>
      </c>
      <c r="U598" s="3">
        <v>1958</v>
      </c>
      <c r="V598" s="3">
        <v>63</v>
      </c>
      <c r="W598" s="3">
        <v>1</v>
      </c>
      <c r="X598" s="3" t="s">
        <v>50</v>
      </c>
      <c r="Y598" s="4" t="s">
        <v>751</v>
      </c>
      <c r="Z598" s="3" t="s">
        <v>34</v>
      </c>
      <c r="AA598" s="5">
        <f t="shared" si="27"/>
        <v>0.79526954424400798</v>
      </c>
      <c r="AB598" s="5">
        <f t="shared" si="28"/>
        <v>0.45759007085071102</v>
      </c>
      <c r="AC598" s="5">
        <f t="shared" si="29"/>
        <v>-6.4896236370031696E-2</v>
      </c>
    </row>
    <row r="599" spans="1:29" ht="15" customHeight="1" x14ac:dyDescent="0.3">
      <c r="A599" s="3">
        <v>712</v>
      </c>
      <c r="B599" s="3">
        <v>143</v>
      </c>
      <c r="C599" s="3" t="s">
        <v>749</v>
      </c>
      <c r="D599" s="4" t="s">
        <v>750</v>
      </c>
      <c r="E599" s="3" t="s">
        <v>31</v>
      </c>
      <c r="F599" s="3">
        <v>2022</v>
      </c>
      <c r="G599" s="3">
        <v>0</v>
      </c>
      <c r="H599" s="3">
        <v>0</v>
      </c>
      <c r="I599" s="3">
        <v>0</v>
      </c>
      <c r="J599" s="3">
        <v>0</v>
      </c>
      <c r="K599" s="3">
        <v>23992000000</v>
      </c>
      <c r="L599" s="3">
        <v>0.40010000000000001</v>
      </c>
      <c r="M599" s="3">
        <v>9599199.1999999993</v>
      </c>
      <c r="N599" s="3">
        <v>17199000</v>
      </c>
      <c r="O599" s="3">
        <v>36765000</v>
      </c>
      <c r="P599" s="3">
        <v>-1968000</v>
      </c>
      <c r="Q599" s="3">
        <v>0.72890518699850404</v>
      </c>
      <c r="R599" s="3">
        <v>17.420056863612501</v>
      </c>
      <c r="S599" s="3">
        <v>0.46780905752753998</v>
      </c>
      <c r="T599" s="3">
        <v>-5.3529171766625902E-2</v>
      </c>
      <c r="U599" s="3">
        <v>1958</v>
      </c>
      <c r="V599" s="3">
        <v>64</v>
      </c>
      <c r="W599" s="3">
        <v>1</v>
      </c>
      <c r="X599" s="3" t="s">
        <v>50</v>
      </c>
      <c r="Y599" s="4" t="s">
        <v>752</v>
      </c>
      <c r="Z599" s="3" t="s">
        <v>34</v>
      </c>
      <c r="AA599" s="5">
        <f t="shared" si="27"/>
        <v>0.72890518699850404</v>
      </c>
      <c r="AB599" s="5">
        <f t="shared" si="28"/>
        <v>0.46780905752753998</v>
      </c>
      <c r="AC599" s="5">
        <f t="shared" si="29"/>
        <v>-5.3529171766625902E-2</v>
      </c>
    </row>
    <row r="600" spans="1:29" ht="15" customHeight="1" x14ac:dyDescent="0.3">
      <c r="A600" s="3">
        <v>713</v>
      </c>
      <c r="B600" s="3">
        <v>143</v>
      </c>
      <c r="C600" s="3" t="s">
        <v>749</v>
      </c>
      <c r="D600" s="4" t="s">
        <v>750</v>
      </c>
      <c r="E600" s="3" t="s">
        <v>31</v>
      </c>
      <c r="F600" s="3">
        <v>2023</v>
      </c>
      <c r="G600" s="3">
        <v>1</v>
      </c>
      <c r="H600" s="3">
        <v>0</v>
      </c>
      <c r="I600" s="3">
        <v>5</v>
      </c>
      <c r="J600" s="3">
        <v>0</v>
      </c>
      <c r="K600" s="3">
        <v>23992000000</v>
      </c>
      <c r="L600" s="3">
        <v>0.67979999999999996</v>
      </c>
      <c r="M600" s="3">
        <v>16309761.6</v>
      </c>
      <c r="N600" s="3">
        <v>23627000</v>
      </c>
      <c r="O600" s="3">
        <v>48014000</v>
      </c>
      <c r="P600" s="3">
        <v>1819000</v>
      </c>
      <c r="Q600" s="3">
        <v>0.83177326613071201</v>
      </c>
      <c r="R600" s="3">
        <v>17.687003193012401</v>
      </c>
      <c r="S600" s="3">
        <v>0.49208564168784102</v>
      </c>
      <c r="T600" s="3">
        <v>3.7884783604781903E-2</v>
      </c>
      <c r="U600" s="3">
        <v>1958</v>
      </c>
      <c r="V600" s="3">
        <v>65</v>
      </c>
      <c r="W600" s="3">
        <v>1</v>
      </c>
      <c r="X600" s="3" t="s">
        <v>50</v>
      </c>
      <c r="Y600" s="4" t="s">
        <v>753</v>
      </c>
      <c r="Z600" s="3" t="s">
        <v>34</v>
      </c>
      <c r="AA600" s="5">
        <f t="shared" si="27"/>
        <v>0.83177326613071201</v>
      </c>
      <c r="AB600" s="5">
        <f t="shared" si="28"/>
        <v>0.49208564168784102</v>
      </c>
      <c r="AC600" s="5">
        <f t="shared" si="29"/>
        <v>3.7884783604781903E-2</v>
      </c>
    </row>
    <row r="601" spans="1:29" ht="15" customHeight="1" x14ac:dyDescent="0.3">
      <c r="A601" s="3">
        <v>714</v>
      </c>
      <c r="B601" s="3">
        <v>143</v>
      </c>
      <c r="C601" s="3" t="s">
        <v>749</v>
      </c>
      <c r="D601" s="4" t="s">
        <v>750</v>
      </c>
      <c r="E601" s="3" t="s">
        <v>31</v>
      </c>
      <c r="F601" s="3">
        <v>2024</v>
      </c>
      <c r="G601" s="3">
        <v>1</v>
      </c>
      <c r="H601" s="3">
        <v>0</v>
      </c>
      <c r="I601" s="3">
        <v>5</v>
      </c>
      <c r="J601" s="3">
        <v>0</v>
      </c>
      <c r="K601" s="3">
        <v>23992000000</v>
      </c>
      <c r="L601" s="3">
        <v>2.2498999999999998</v>
      </c>
      <c r="M601" s="3">
        <v>53979600.799999997</v>
      </c>
      <c r="N601" s="3">
        <v>37039000</v>
      </c>
      <c r="O601" s="3">
        <v>76798000</v>
      </c>
      <c r="P601" s="3">
        <v>11911000</v>
      </c>
      <c r="Q601" s="3">
        <v>1.1851688950233099</v>
      </c>
      <c r="R601" s="3">
        <v>18.156689156112101</v>
      </c>
      <c r="S601" s="3">
        <v>0.48229120550014298</v>
      </c>
      <c r="T601" s="3">
        <v>0.15509518477043699</v>
      </c>
      <c r="U601" s="3">
        <v>1958</v>
      </c>
      <c r="V601" s="3">
        <v>66</v>
      </c>
      <c r="W601" s="3">
        <v>1</v>
      </c>
      <c r="X601" s="3" t="s">
        <v>50</v>
      </c>
      <c r="Y601" s="4" t="s">
        <v>754</v>
      </c>
      <c r="Z601" s="3" t="s">
        <v>34</v>
      </c>
      <c r="AA601" s="5">
        <f t="shared" si="27"/>
        <v>1.1851688950233099</v>
      </c>
      <c r="AB601" s="5">
        <f t="shared" si="28"/>
        <v>0.48229120550014298</v>
      </c>
      <c r="AC601" s="5">
        <f t="shared" si="29"/>
        <v>0.15509518477043699</v>
      </c>
    </row>
    <row r="602" spans="1:29" ht="15" customHeight="1" x14ac:dyDescent="0.3">
      <c r="A602" s="3">
        <v>715</v>
      </c>
      <c r="B602" s="3">
        <v>143</v>
      </c>
      <c r="C602" s="3" t="s">
        <v>749</v>
      </c>
      <c r="D602" s="4" t="s">
        <v>750</v>
      </c>
      <c r="E602" s="3" t="s">
        <v>31</v>
      </c>
      <c r="F602" s="3">
        <v>2025</v>
      </c>
      <c r="G602" s="3">
        <v>1</v>
      </c>
      <c r="H602" s="3">
        <v>0</v>
      </c>
      <c r="I602" s="3">
        <v>0</v>
      </c>
      <c r="J602" s="3">
        <v>0</v>
      </c>
      <c r="K602" s="3">
        <v>23992000000</v>
      </c>
      <c r="L602" s="3">
        <v>3.2498</v>
      </c>
      <c r="M602" s="3">
        <v>77969201.599999994</v>
      </c>
      <c r="N602" s="3">
        <v>49608000</v>
      </c>
      <c r="O602" s="3">
        <v>98100000</v>
      </c>
      <c r="P602" s="3">
        <v>7515000</v>
      </c>
      <c r="Q602" s="3">
        <v>1.3004811580020399</v>
      </c>
      <c r="R602" s="3">
        <v>18.401497924535601</v>
      </c>
      <c r="S602" s="3">
        <v>0.50568807339449495</v>
      </c>
      <c r="T602" s="3">
        <v>7.6605504587155995E-2</v>
      </c>
      <c r="U602" s="3">
        <v>1958</v>
      </c>
      <c r="V602" s="3">
        <v>67</v>
      </c>
      <c r="W602" s="3">
        <v>1</v>
      </c>
      <c r="X602" s="3" t="s">
        <v>50</v>
      </c>
      <c r="Y602" s="4" t="s">
        <v>755</v>
      </c>
      <c r="Z602" s="3" t="s">
        <v>34</v>
      </c>
      <c r="AA602" s="5">
        <f t="shared" si="27"/>
        <v>1.3004811580020399</v>
      </c>
      <c r="AB602" s="5">
        <f t="shared" si="28"/>
        <v>0.50568807339449495</v>
      </c>
      <c r="AC602" s="5">
        <f t="shared" si="29"/>
        <v>7.6605504587155995E-2</v>
      </c>
    </row>
    <row r="603" spans="1:29" ht="15" customHeight="1" x14ac:dyDescent="0.3">
      <c r="A603" s="3">
        <v>716</v>
      </c>
      <c r="B603" s="3">
        <v>144</v>
      </c>
      <c r="C603" s="3" t="s">
        <v>756</v>
      </c>
      <c r="D603" s="4" t="s">
        <v>757</v>
      </c>
      <c r="E603" s="3" t="s">
        <v>31</v>
      </c>
      <c r="F603" s="3">
        <v>2021</v>
      </c>
      <c r="G603" s="3">
        <v>0</v>
      </c>
      <c r="H603" s="3">
        <v>0</v>
      </c>
      <c r="I603" s="3">
        <v>0</v>
      </c>
      <c r="J603" s="3">
        <v>0</v>
      </c>
      <c r="K603" s="3">
        <v>12858000000</v>
      </c>
      <c r="L603" s="3">
        <v>2.1597</v>
      </c>
      <c r="M603" s="3">
        <v>27769422.600000001</v>
      </c>
      <c r="N603" s="3">
        <v>1105344000</v>
      </c>
      <c r="O603" s="3">
        <v>1175490000</v>
      </c>
      <c r="P603" s="3">
        <v>8927000</v>
      </c>
      <c r="Q603" s="3">
        <v>0.96394986141949301</v>
      </c>
      <c r="R603" s="3">
        <v>20.884950918889899</v>
      </c>
      <c r="S603" s="3">
        <v>0.94032616185590701</v>
      </c>
      <c r="T603" s="3">
        <v>7.5942798322401698E-3</v>
      </c>
      <c r="U603" s="3">
        <v>1945</v>
      </c>
      <c r="V603" s="3">
        <v>76</v>
      </c>
      <c r="W603" s="3">
        <v>1</v>
      </c>
      <c r="X603" s="3" t="s">
        <v>57</v>
      </c>
      <c r="Y603" s="4" t="s">
        <v>758</v>
      </c>
      <c r="Z603" s="3" t="s">
        <v>34</v>
      </c>
      <c r="AA603" s="5">
        <f t="shared" si="27"/>
        <v>0.96394986141949301</v>
      </c>
      <c r="AB603" s="5">
        <f t="shared" si="28"/>
        <v>0.94032616185590701</v>
      </c>
      <c r="AC603" s="5">
        <f t="shared" si="29"/>
        <v>7.5942798322401698E-3</v>
      </c>
    </row>
    <row r="604" spans="1:29" ht="15" customHeight="1" x14ac:dyDescent="0.3">
      <c r="A604" s="3">
        <v>717</v>
      </c>
      <c r="B604" s="3">
        <v>144</v>
      </c>
      <c r="C604" s="3" t="s">
        <v>756</v>
      </c>
      <c r="D604" s="4" t="s">
        <v>757</v>
      </c>
      <c r="E604" s="3" t="s">
        <v>31</v>
      </c>
      <c r="F604" s="3">
        <v>2022</v>
      </c>
      <c r="G604" s="3">
        <v>0</v>
      </c>
      <c r="H604" s="3">
        <v>0</v>
      </c>
      <c r="I604" s="3">
        <v>0</v>
      </c>
      <c r="J604" s="3">
        <v>0</v>
      </c>
      <c r="K604" s="3">
        <v>12858000000</v>
      </c>
      <c r="L604" s="3">
        <v>3.9003000000000001</v>
      </c>
      <c r="M604" s="3">
        <v>50150057.399999999</v>
      </c>
      <c r="N604" s="3">
        <v>1359322000</v>
      </c>
      <c r="O604" s="3">
        <v>1441865000</v>
      </c>
      <c r="P604" s="3">
        <v>11352000</v>
      </c>
      <c r="Q604" s="3">
        <v>0.97753399756565296</v>
      </c>
      <c r="R604" s="3">
        <v>21.0892032514543</v>
      </c>
      <c r="S604" s="3">
        <v>0.94275261553612899</v>
      </c>
      <c r="T604" s="3">
        <v>7.8731365280383398E-3</v>
      </c>
      <c r="U604" s="3">
        <v>1945</v>
      </c>
      <c r="V604" s="3">
        <v>77</v>
      </c>
      <c r="W604" s="3">
        <v>1</v>
      </c>
      <c r="X604" s="3" t="s">
        <v>57</v>
      </c>
      <c r="Y604" s="4" t="s">
        <v>759</v>
      </c>
      <c r="Z604" s="3" t="s">
        <v>34</v>
      </c>
      <c r="AA604" s="5">
        <f t="shared" si="27"/>
        <v>0.97753399756565296</v>
      </c>
      <c r="AB604" s="5">
        <f t="shared" si="28"/>
        <v>0.94275261553612899</v>
      </c>
      <c r="AC604" s="5">
        <f t="shared" si="29"/>
        <v>7.8731365280383398E-3</v>
      </c>
    </row>
    <row r="605" spans="1:29" ht="15" customHeight="1" x14ac:dyDescent="0.3">
      <c r="A605" s="3">
        <v>718</v>
      </c>
      <c r="B605" s="3">
        <v>144</v>
      </c>
      <c r="C605" s="3" t="s">
        <v>756</v>
      </c>
      <c r="D605" s="4" t="s">
        <v>757</v>
      </c>
      <c r="E605" s="3" t="s">
        <v>31</v>
      </c>
      <c r="F605" s="3">
        <v>2023</v>
      </c>
      <c r="G605" s="3">
        <v>1</v>
      </c>
      <c r="H605" s="3">
        <v>0</v>
      </c>
      <c r="I605" s="3">
        <v>0</v>
      </c>
      <c r="J605" s="3">
        <v>0</v>
      </c>
      <c r="K605" s="3">
        <v>12858000000</v>
      </c>
      <c r="L605" s="3">
        <v>5.6003999999999996</v>
      </c>
      <c r="M605" s="3">
        <v>72009943.200000003</v>
      </c>
      <c r="N605" s="3">
        <v>2108941000</v>
      </c>
      <c r="O605" s="3">
        <v>2248240000</v>
      </c>
      <c r="P605" s="3">
        <v>35989000</v>
      </c>
      <c r="Q605" s="3">
        <v>0.97007034088887301</v>
      </c>
      <c r="R605" s="3">
        <v>21.533413524845098</v>
      </c>
      <c r="S605" s="3">
        <v>0.93804086752303995</v>
      </c>
      <c r="T605" s="3">
        <v>1.6007632637085E-2</v>
      </c>
      <c r="U605" s="3">
        <v>1945</v>
      </c>
      <c r="V605" s="3">
        <v>78</v>
      </c>
      <c r="W605" s="3">
        <v>1</v>
      </c>
      <c r="X605" s="3" t="s">
        <v>57</v>
      </c>
      <c r="Y605" s="4" t="s">
        <v>760</v>
      </c>
      <c r="Z605" s="3" t="s">
        <v>34</v>
      </c>
      <c r="AA605" s="5">
        <f t="shared" si="27"/>
        <v>0.97007034088887301</v>
      </c>
      <c r="AB605" s="5">
        <f t="shared" si="28"/>
        <v>0.93804086752303995</v>
      </c>
      <c r="AC605" s="5">
        <f t="shared" si="29"/>
        <v>1.6007632637085E-2</v>
      </c>
    </row>
    <row r="606" spans="1:29" ht="15" customHeight="1" x14ac:dyDescent="0.3">
      <c r="A606" s="3">
        <v>719</v>
      </c>
      <c r="B606" s="3">
        <v>144</v>
      </c>
      <c r="C606" s="3" t="s">
        <v>756</v>
      </c>
      <c r="D606" s="4" t="s">
        <v>757</v>
      </c>
      <c r="E606" s="3" t="s">
        <v>31</v>
      </c>
      <c r="F606" s="3">
        <v>2024</v>
      </c>
      <c r="G606" s="3">
        <v>1</v>
      </c>
      <c r="H606" s="3">
        <v>0</v>
      </c>
      <c r="I606" s="3">
        <v>0</v>
      </c>
      <c r="J606" s="3">
        <v>0</v>
      </c>
      <c r="K606" s="3">
        <v>21430000000</v>
      </c>
      <c r="L606" s="3">
        <v>9.0998999999999999</v>
      </c>
      <c r="M606" s="3">
        <v>195010857</v>
      </c>
      <c r="N606" s="3">
        <v>3336807000</v>
      </c>
      <c r="O606" s="3">
        <v>3593228000</v>
      </c>
      <c r="P606" s="3">
        <v>86280000</v>
      </c>
      <c r="Q606" s="3">
        <v>0.98290947777318904</v>
      </c>
      <c r="R606" s="3">
        <v>22.002316799785898</v>
      </c>
      <c r="S606" s="3">
        <v>0.92863770403659296</v>
      </c>
      <c r="T606" s="3">
        <v>2.4011835597407102E-2</v>
      </c>
      <c r="U606" s="3">
        <v>1945</v>
      </c>
      <c r="V606" s="3">
        <v>79</v>
      </c>
      <c r="W606" s="3">
        <v>1</v>
      </c>
      <c r="X606" s="3" t="s">
        <v>57</v>
      </c>
      <c r="Y606" s="4" t="s">
        <v>761</v>
      </c>
      <c r="Z606" s="3" t="s">
        <v>34</v>
      </c>
      <c r="AA606" s="5">
        <f t="shared" si="27"/>
        <v>0.98290947777318904</v>
      </c>
      <c r="AB606" s="5">
        <f t="shared" si="28"/>
        <v>0.92863770403659296</v>
      </c>
      <c r="AC606" s="5">
        <f t="shared" si="29"/>
        <v>2.4011835597407102E-2</v>
      </c>
    </row>
    <row r="607" spans="1:29" ht="15" customHeight="1" x14ac:dyDescent="0.3">
      <c r="A607" s="3">
        <v>720</v>
      </c>
      <c r="B607" s="3">
        <v>144</v>
      </c>
      <c r="C607" s="3" t="s">
        <v>756</v>
      </c>
      <c r="D607" s="4" t="s">
        <v>757</v>
      </c>
      <c r="E607" s="3" t="s">
        <v>31</v>
      </c>
      <c r="F607" s="3">
        <v>2025</v>
      </c>
      <c r="G607" s="3">
        <v>1</v>
      </c>
      <c r="H607" s="3">
        <v>1</v>
      </c>
      <c r="I607" s="3">
        <v>60</v>
      </c>
      <c r="J607" s="3">
        <v>13.3333333333333</v>
      </c>
      <c r="K607" s="3">
        <v>40119000000</v>
      </c>
      <c r="L607" s="3">
        <v>20.400099999999998</v>
      </c>
      <c r="M607" s="3">
        <v>818431611.89999998</v>
      </c>
      <c r="N607" s="3">
        <v>4451847000</v>
      </c>
      <c r="O607" s="3">
        <v>5072310000</v>
      </c>
      <c r="P607" s="3">
        <v>194476000</v>
      </c>
      <c r="Q607" s="3">
        <v>1.03902928091934</v>
      </c>
      <c r="R607" s="3">
        <v>22.347062172087401</v>
      </c>
      <c r="S607" s="3">
        <v>0.87767644327732297</v>
      </c>
      <c r="T607" s="3">
        <v>3.8340716557150503E-2</v>
      </c>
      <c r="U607" s="3">
        <v>1945</v>
      </c>
      <c r="V607" s="3">
        <v>80</v>
      </c>
      <c r="W607" s="3">
        <v>1</v>
      </c>
      <c r="X607" s="3" t="s">
        <v>57</v>
      </c>
      <c r="Y607" s="4" t="s">
        <v>762</v>
      </c>
      <c r="Z607" s="3" t="s">
        <v>34</v>
      </c>
      <c r="AA607" s="5">
        <f t="shared" si="27"/>
        <v>1.03902928091934</v>
      </c>
      <c r="AB607" s="5">
        <f t="shared" si="28"/>
        <v>0.87767644327732297</v>
      </c>
      <c r="AC607" s="5">
        <f t="shared" si="29"/>
        <v>3.8340716557150503E-2</v>
      </c>
    </row>
    <row r="608" spans="1:29" ht="15" customHeight="1" x14ac:dyDescent="0.3">
      <c r="A608" s="3">
        <v>721</v>
      </c>
      <c r="B608" s="3">
        <v>145</v>
      </c>
      <c r="C608" s="3" t="s">
        <v>763</v>
      </c>
      <c r="D608" s="4" t="s">
        <v>764</v>
      </c>
      <c r="E608" s="3" t="s">
        <v>31</v>
      </c>
      <c r="F608" s="3">
        <v>2021</v>
      </c>
      <c r="G608" s="3">
        <v>0</v>
      </c>
      <c r="H608" s="3">
        <v>0</v>
      </c>
      <c r="I608" s="3">
        <v>0</v>
      </c>
      <c r="J608" s="3">
        <v>0</v>
      </c>
      <c r="K608" s="3">
        <v>31396000000</v>
      </c>
      <c r="L608" s="3">
        <v>25.150300000000001</v>
      </c>
      <c r="M608" s="3">
        <v>789618818.79999995</v>
      </c>
      <c r="N608" s="3">
        <v>8168181000</v>
      </c>
      <c r="O608" s="3">
        <v>9447843000</v>
      </c>
      <c r="P608" s="3">
        <v>244402000</v>
      </c>
      <c r="Q608" s="3">
        <v>0.94813173957272601</v>
      </c>
      <c r="R608" s="3">
        <v>22.969052298429901</v>
      </c>
      <c r="S608" s="3">
        <v>0.864555115913759</v>
      </c>
      <c r="T608" s="3">
        <v>2.5868550101859199E-2</v>
      </c>
      <c r="U608" s="3">
        <v>1990</v>
      </c>
      <c r="V608" s="3">
        <v>31</v>
      </c>
      <c r="W608" s="3">
        <v>0</v>
      </c>
      <c r="X608" s="3" t="s">
        <v>668</v>
      </c>
      <c r="Y608" s="4" t="s">
        <v>765</v>
      </c>
      <c r="Z608" s="3" t="s">
        <v>34</v>
      </c>
      <c r="AA608" s="5">
        <f t="shared" si="27"/>
        <v>0.94813173957272601</v>
      </c>
      <c r="AB608" s="5">
        <f t="shared" si="28"/>
        <v>0.864555115913759</v>
      </c>
      <c r="AC608" s="5">
        <f t="shared" si="29"/>
        <v>2.5868550101859199E-2</v>
      </c>
    </row>
    <row r="609" spans="1:29" ht="15" customHeight="1" x14ac:dyDescent="0.3">
      <c r="A609" s="3">
        <v>722</v>
      </c>
      <c r="B609" s="3">
        <v>145</v>
      </c>
      <c r="C609" s="3" t="s">
        <v>763</v>
      </c>
      <c r="D609" s="4" t="s">
        <v>764</v>
      </c>
      <c r="E609" s="3" t="s">
        <v>31</v>
      </c>
      <c r="F609" s="3">
        <v>2022</v>
      </c>
      <c r="G609" s="3">
        <v>0</v>
      </c>
      <c r="H609" s="3">
        <v>0</v>
      </c>
      <c r="I609" s="3">
        <v>0</v>
      </c>
      <c r="J609" s="3">
        <v>0</v>
      </c>
      <c r="K609" s="3">
        <v>31396000000</v>
      </c>
      <c r="L609" s="3">
        <v>24.000499999999999</v>
      </c>
      <c r="M609" s="3">
        <v>753519698</v>
      </c>
      <c r="N609" s="3">
        <v>10906689000</v>
      </c>
      <c r="O609" s="3">
        <v>12285629000</v>
      </c>
      <c r="P609" s="3">
        <v>224050000</v>
      </c>
      <c r="Q609" s="3">
        <v>0.94909334296192704</v>
      </c>
      <c r="R609" s="3">
        <v>23.231696042260001</v>
      </c>
      <c r="S609" s="3">
        <v>0.88775991851943403</v>
      </c>
      <c r="T609" s="3">
        <v>1.8236754503981802E-2</v>
      </c>
      <c r="U609" s="3">
        <v>1990</v>
      </c>
      <c r="V609" s="3">
        <v>32</v>
      </c>
      <c r="W609" s="3">
        <v>0</v>
      </c>
      <c r="X609" s="3" t="s">
        <v>668</v>
      </c>
      <c r="Y609" s="4" t="s">
        <v>766</v>
      </c>
      <c r="Z609" s="3" t="s">
        <v>34</v>
      </c>
      <c r="AA609" s="5">
        <f t="shared" si="27"/>
        <v>0.94909334296192704</v>
      </c>
      <c r="AB609" s="5">
        <f t="shared" si="28"/>
        <v>0.88775991851943403</v>
      </c>
      <c r="AC609" s="5">
        <f t="shared" si="29"/>
        <v>1.8236754503981802E-2</v>
      </c>
    </row>
    <row r="610" spans="1:29" ht="15" customHeight="1" x14ac:dyDescent="0.3">
      <c r="A610" s="3">
        <v>723</v>
      </c>
      <c r="B610" s="3">
        <v>145</v>
      </c>
      <c r="C610" s="3" t="s">
        <v>763</v>
      </c>
      <c r="D610" s="4" t="s">
        <v>764</v>
      </c>
      <c r="E610" s="3" t="s">
        <v>31</v>
      </c>
      <c r="F610" s="3">
        <v>2023</v>
      </c>
      <c r="G610" s="3">
        <v>1</v>
      </c>
      <c r="H610" s="3">
        <v>0</v>
      </c>
      <c r="I610" s="3">
        <v>0</v>
      </c>
      <c r="J610" s="3">
        <v>0</v>
      </c>
      <c r="K610" s="3">
        <v>31396000000</v>
      </c>
      <c r="L610" s="3">
        <v>38.539900000000003</v>
      </c>
      <c r="M610" s="3">
        <v>1209998700.4000001</v>
      </c>
      <c r="N610" s="3">
        <v>18045075000</v>
      </c>
      <c r="O610" s="3">
        <v>20368455000</v>
      </c>
      <c r="P610" s="3">
        <v>676569000</v>
      </c>
      <c r="Q610" s="3">
        <v>0.94533796011528604</v>
      </c>
      <c r="R610" s="3">
        <v>23.737253217475001</v>
      </c>
      <c r="S610" s="3">
        <v>0.88593243817461897</v>
      </c>
      <c r="T610" s="3">
        <v>3.3216510530622002E-2</v>
      </c>
      <c r="U610" s="3">
        <v>1990</v>
      </c>
      <c r="V610" s="3">
        <v>33</v>
      </c>
      <c r="W610" s="3">
        <v>0</v>
      </c>
      <c r="X610" s="3" t="s">
        <v>668</v>
      </c>
      <c r="Y610" s="4" t="s">
        <v>767</v>
      </c>
      <c r="Z610" s="3" t="s">
        <v>34</v>
      </c>
      <c r="AA610" s="5">
        <f t="shared" si="27"/>
        <v>0.94533796011528604</v>
      </c>
      <c r="AB610" s="5">
        <f t="shared" si="28"/>
        <v>0.88593243817461897</v>
      </c>
      <c r="AC610" s="5">
        <f t="shared" si="29"/>
        <v>3.3216510530622002E-2</v>
      </c>
    </row>
    <row r="611" spans="1:29" ht="15" customHeight="1" x14ac:dyDescent="0.3">
      <c r="A611" s="3">
        <v>724</v>
      </c>
      <c r="B611" s="3">
        <v>145</v>
      </c>
      <c r="C611" s="3" t="s">
        <v>763</v>
      </c>
      <c r="D611" s="4" t="s">
        <v>764</v>
      </c>
      <c r="E611" s="3" t="s">
        <v>31</v>
      </c>
      <c r="F611" s="3">
        <v>2024</v>
      </c>
      <c r="G611" s="3">
        <v>1</v>
      </c>
      <c r="H611" s="3">
        <v>0</v>
      </c>
      <c r="I611" s="3">
        <v>5</v>
      </c>
      <c r="J611" s="3">
        <v>0</v>
      </c>
      <c r="K611" s="3">
        <v>31396000000</v>
      </c>
      <c r="L611" s="3">
        <v>45.547199999999997</v>
      </c>
      <c r="M611" s="3">
        <v>1429999891.2</v>
      </c>
      <c r="N611" s="3">
        <v>25928252000</v>
      </c>
      <c r="O611" s="3">
        <v>29957525000</v>
      </c>
      <c r="P611" s="3">
        <v>1032711000</v>
      </c>
      <c r="Q611" s="3">
        <v>0.913234717861372</v>
      </c>
      <c r="R611" s="3">
        <v>24.1230463820362</v>
      </c>
      <c r="S611" s="3">
        <v>0.86550047108364303</v>
      </c>
      <c r="T611" s="3">
        <v>3.4472507324954299E-2</v>
      </c>
      <c r="U611" s="3">
        <v>1990</v>
      </c>
      <c r="V611" s="3">
        <v>34</v>
      </c>
      <c r="W611" s="3">
        <v>0</v>
      </c>
      <c r="X611" s="3" t="s">
        <v>668</v>
      </c>
      <c r="Y611" s="4" t="s">
        <v>768</v>
      </c>
      <c r="Z611" s="3" t="s">
        <v>34</v>
      </c>
      <c r="AA611" s="5">
        <f t="shared" si="27"/>
        <v>0.913234717861372</v>
      </c>
      <c r="AB611" s="5">
        <f t="shared" si="28"/>
        <v>0.86550047108364303</v>
      </c>
      <c r="AC611" s="5">
        <f t="shared" si="29"/>
        <v>3.4472507324954299E-2</v>
      </c>
    </row>
    <row r="612" spans="1:29" ht="15" customHeight="1" x14ac:dyDescent="0.3">
      <c r="A612" s="3">
        <v>725</v>
      </c>
      <c r="B612" s="3">
        <v>145</v>
      </c>
      <c r="C612" s="3" t="s">
        <v>763</v>
      </c>
      <c r="D612" s="4" t="s">
        <v>764</v>
      </c>
      <c r="E612" s="3" t="s">
        <v>31</v>
      </c>
      <c r="F612" s="3">
        <v>2025</v>
      </c>
      <c r="G612" s="3">
        <v>1</v>
      </c>
      <c r="H612" s="3">
        <v>1</v>
      </c>
      <c r="I612" s="3">
        <v>85</v>
      </c>
      <c r="J612" s="3">
        <v>66.6666666666667</v>
      </c>
      <c r="K612" s="3">
        <v>41070000000</v>
      </c>
      <c r="L612" s="3">
        <v>61.845599999999997</v>
      </c>
      <c r="M612" s="3">
        <v>2539998792</v>
      </c>
      <c r="N612" s="3">
        <v>26533845000</v>
      </c>
      <c r="O612" s="3">
        <v>31458051000</v>
      </c>
      <c r="P612" s="3">
        <v>1039747000</v>
      </c>
      <c r="Q612" s="3">
        <v>0.92420995159553898</v>
      </c>
      <c r="R612" s="3">
        <v>24.171920780972801</v>
      </c>
      <c r="S612" s="3">
        <v>0.84346754349149</v>
      </c>
      <c r="T612" s="3">
        <v>3.3051856899844197E-2</v>
      </c>
      <c r="U612" s="3">
        <v>1990</v>
      </c>
      <c r="V612" s="3">
        <v>35</v>
      </c>
      <c r="W612" s="3">
        <v>0</v>
      </c>
      <c r="X612" s="3" t="s">
        <v>668</v>
      </c>
      <c r="Y612" s="4" t="s">
        <v>769</v>
      </c>
      <c r="Z612" s="3" t="s">
        <v>34</v>
      </c>
      <c r="AA612" s="5">
        <f t="shared" si="27"/>
        <v>0.92420995159553898</v>
      </c>
      <c r="AB612" s="5">
        <f t="shared" si="28"/>
        <v>0.84346754349149</v>
      </c>
      <c r="AC612" s="5">
        <f t="shared" si="29"/>
        <v>3.3051856899844197E-2</v>
      </c>
    </row>
  </sheetData>
  <autoFilter ref="A1:AC612" xr:uid="{00000000-0001-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7"/>
  <sheetViews>
    <sheetView zoomScaleNormal="100" workbookViewId="0">
      <selection activeCell="B16" sqref="B16"/>
    </sheetView>
  </sheetViews>
  <sheetFormatPr defaultColWidth="8.6640625" defaultRowHeight="14.4" x14ac:dyDescent="0.3"/>
  <cols>
    <col min="1" max="1" width="28" customWidth="1"/>
    <col min="2" max="3" width="16" customWidth="1"/>
    <col min="4" max="4" width="45" customWidth="1"/>
  </cols>
  <sheetData>
    <row r="1" spans="1:3" ht="15.75" customHeight="1" x14ac:dyDescent="0.3">
      <c r="A1" s="6" t="s">
        <v>770</v>
      </c>
    </row>
    <row r="2" spans="1:3" ht="15" customHeight="1" x14ac:dyDescent="0.3">
      <c r="A2" s="7" t="s">
        <v>771</v>
      </c>
    </row>
    <row r="4" spans="1:3" ht="15" customHeight="1" x14ac:dyDescent="0.3">
      <c r="A4" s="8" t="s">
        <v>772</v>
      </c>
      <c r="B4" s="9">
        <f>COUNTA('Final Sample'!C2:C612)</f>
        <v>611</v>
      </c>
    </row>
    <row r="5" spans="1:3" ht="15" customHeight="1" x14ac:dyDescent="0.3">
      <c r="A5" s="10" t="s">
        <v>773</v>
      </c>
      <c r="B5" s="11">
        <f>SUMPRODUCT(1/COUNTIF('Final Sample'!C2:C612,'Final Sample'!C2:C612))</f>
        <v>128.00000000000111</v>
      </c>
    </row>
    <row r="6" spans="1:3" ht="15" customHeight="1" x14ac:dyDescent="0.3">
      <c r="A6" s="10" t="s">
        <v>774</v>
      </c>
      <c r="B6" s="12" t="s">
        <v>775</v>
      </c>
    </row>
    <row r="7" spans="1:3" ht="15" customHeight="1" x14ac:dyDescent="0.3">
      <c r="A7" s="10" t="s">
        <v>776</v>
      </c>
      <c r="B7" s="12">
        <v>730</v>
      </c>
    </row>
    <row r="8" spans="1:3" ht="15" customHeight="1" x14ac:dyDescent="0.3">
      <c r="A8" s="10" t="s">
        <v>777</v>
      </c>
      <c r="B8" s="13">
        <f>B4/730</f>
        <v>0.83698630136986296</v>
      </c>
    </row>
    <row r="9" spans="1:3" ht="15" customHeight="1" x14ac:dyDescent="0.3">
      <c r="A9" s="14"/>
      <c r="B9" s="15"/>
    </row>
    <row r="10" spans="1:3" ht="15" customHeight="1" x14ac:dyDescent="0.3">
      <c r="A10" s="45" t="s">
        <v>778</v>
      </c>
      <c r="B10" s="45"/>
      <c r="C10" s="45"/>
    </row>
    <row r="11" spans="1:3" ht="15" customHeight="1" x14ac:dyDescent="0.3">
      <c r="A11" s="2" t="s">
        <v>5</v>
      </c>
      <c r="B11" s="2" t="s">
        <v>779</v>
      </c>
      <c r="C11" s="2" t="s">
        <v>780</v>
      </c>
    </row>
    <row r="12" spans="1:3" ht="15" customHeight="1" x14ac:dyDescent="0.3">
      <c r="A12" s="3">
        <v>2021</v>
      </c>
      <c r="B12" s="5">
        <f>COUNTIF('Final Sample'!$F$2:$F$612,A12)</f>
        <v>118</v>
      </c>
      <c r="C12" s="16">
        <f>B12/$B$4</f>
        <v>0.19312602291325695</v>
      </c>
    </row>
    <row r="13" spans="1:3" ht="15" customHeight="1" x14ac:dyDescent="0.3">
      <c r="A13" s="3">
        <v>2022</v>
      </c>
      <c r="B13" s="5">
        <f>COUNTIF('Final Sample'!$F$2:$F$612,A13)</f>
        <v>122</v>
      </c>
      <c r="C13" s="16">
        <f>B13/$B$4</f>
        <v>0.19967266775777415</v>
      </c>
    </row>
    <row r="14" spans="1:3" ht="15" customHeight="1" x14ac:dyDescent="0.3">
      <c r="A14" s="3">
        <v>2023</v>
      </c>
      <c r="B14" s="5">
        <f>COUNTIF('Final Sample'!$F$2:$F$612,A14)</f>
        <v>122</v>
      </c>
      <c r="C14" s="16">
        <f>B14/$B$4</f>
        <v>0.19967266775777415</v>
      </c>
    </row>
    <row r="15" spans="1:3" ht="15" customHeight="1" x14ac:dyDescent="0.3">
      <c r="A15" s="3">
        <v>2024</v>
      </c>
      <c r="B15" s="5">
        <f>COUNTIF('Final Sample'!$F$2:$F$612,A15)</f>
        <v>125</v>
      </c>
      <c r="C15" s="16">
        <f>B15/$B$4</f>
        <v>0.20458265139116202</v>
      </c>
    </row>
    <row r="16" spans="1:3" ht="15" customHeight="1" x14ac:dyDescent="0.3">
      <c r="A16" s="3">
        <v>2025</v>
      </c>
      <c r="B16" s="5">
        <f>COUNTIF('Final Sample'!$F$2:$F$612,A16)</f>
        <v>124</v>
      </c>
      <c r="C16" s="16">
        <f>B16/$B$4</f>
        <v>0.20294599018003273</v>
      </c>
    </row>
    <row r="17" spans="1:3" ht="15" customHeight="1" x14ac:dyDescent="0.3">
      <c r="A17" s="17" t="s">
        <v>781</v>
      </c>
      <c r="B17" s="17">
        <f>SUM(B12:B16)</f>
        <v>611</v>
      </c>
      <c r="C17" s="18">
        <f>SUM(C12:C16)</f>
        <v>1</v>
      </c>
    </row>
    <row r="19" spans="1:3" ht="15" customHeight="1" x14ac:dyDescent="0.3">
      <c r="A19" s="45" t="s">
        <v>782</v>
      </c>
      <c r="B19" s="45"/>
      <c r="C19" s="45"/>
    </row>
    <row r="20" spans="1:3" ht="15" customHeight="1" x14ac:dyDescent="0.3">
      <c r="A20" s="2" t="s">
        <v>4</v>
      </c>
      <c r="B20" s="2" t="s">
        <v>779</v>
      </c>
      <c r="C20" s="2" t="s">
        <v>780</v>
      </c>
    </row>
    <row r="21" spans="1:3" ht="15" customHeight="1" x14ac:dyDescent="0.3">
      <c r="A21" s="19" t="s">
        <v>99</v>
      </c>
      <c r="B21" s="5">
        <f>COUNTIF('Final Sample'!$E$2:$E$612,A21)</f>
        <v>32</v>
      </c>
      <c r="C21" s="16">
        <f t="shared" ref="C21:C33" si="0">B21/$B$4</f>
        <v>5.2373158756137482E-2</v>
      </c>
    </row>
    <row r="22" spans="1:3" ht="15" customHeight="1" x14ac:dyDescent="0.3">
      <c r="A22" s="19" t="s">
        <v>31</v>
      </c>
      <c r="B22" s="5">
        <f>COUNTIF('Final Sample'!$E$2:$E$612,A22)</f>
        <v>196</v>
      </c>
      <c r="C22" s="16">
        <f t="shared" si="0"/>
        <v>0.32078559738134205</v>
      </c>
    </row>
    <row r="23" spans="1:3" ht="15" customHeight="1" x14ac:dyDescent="0.3">
      <c r="A23" s="19" t="s">
        <v>283</v>
      </c>
      <c r="B23" s="5">
        <f>COUNTIF('Final Sample'!$E$2:$E$612,A23)</f>
        <v>23</v>
      </c>
      <c r="C23" s="16">
        <f t="shared" si="0"/>
        <v>3.7643207855973811E-2</v>
      </c>
    </row>
    <row r="24" spans="1:3" ht="15" customHeight="1" x14ac:dyDescent="0.3">
      <c r="A24" s="19" t="s">
        <v>143</v>
      </c>
      <c r="B24" s="5">
        <f>COUNTIF('Final Sample'!$E$2:$E$612,A24)</f>
        <v>79</v>
      </c>
      <c r="C24" s="16">
        <f t="shared" si="0"/>
        <v>0.12929623567921442</v>
      </c>
    </row>
    <row r="25" spans="1:3" ht="15" customHeight="1" x14ac:dyDescent="0.3">
      <c r="A25" s="19" t="s">
        <v>90</v>
      </c>
      <c r="B25" s="5">
        <f>COUNTIF('Final Sample'!$E$2:$E$612,A25)</f>
        <v>41</v>
      </c>
      <c r="C25" s="16">
        <f t="shared" si="0"/>
        <v>6.7103109656301146E-2</v>
      </c>
    </row>
    <row r="26" spans="1:3" ht="15" customHeight="1" x14ac:dyDescent="0.3">
      <c r="A26" s="19" t="s">
        <v>105</v>
      </c>
      <c r="B26" s="5">
        <f>COUNTIF('Final Sample'!$E$2:$E$612,A26)</f>
        <v>59</v>
      </c>
      <c r="C26" s="16">
        <f t="shared" si="0"/>
        <v>9.6563011456628475E-2</v>
      </c>
    </row>
    <row r="27" spans="1:3" ht="15" customHeight="1" x14ac:dyDescent="0.3">
      <c r="A27" s="19" t="s">
        <v>248</v>
      </c>
      <c r="B27" s="5">
        <f>COUNTIF('Final Sample'!$E$2:$E$612,A27)</f>
        <v>25</v>
      </c>
      <c r="C27" s="16">
        <f t="shared" si="0"/>
        <v>4.0916530278232409E-2</v>
      </c>
    </row>
    <row r="28" spans="1:3" ht="15" customHeight="1" x14ac:dyDescent="0.3">
      <c r="A28" s="19" t="s">
        <v>321</v>
      </c>
      <c r="B28" s="5">
        <f>COUNTIF('Final Sample'!$E$2:$E$612,A28)</f>
        <v>17</v>
      </c>
      <c r="C28" s="16">
        <f t="shared" si="0"/>
        <v>2.7823240589198037E-2</v>
      </c>
    </row>
    <row r="29" spans="1:3" ht="15" customHeight="1" x14ac:dyDescent="0.3">
      <c r="A29" s="19" t="s">
        <v>297</v>
      </c>
      <c r="B29" s="5">
        <f>COUNTIF('Final Sample'!$E$2:$E$612,A29)</f>
        <v>6</v>
      </c>
      <c r="C29" s="16">
        <f t="shared" si="0"/>
        <v>9.8199672667757774E-3</v>
      </c>
    </row>
    <row r="30" spans="1:3" ht="15" customHeight="1" x14ac:dyDescent="0.3">
      <c r="A30" s="19" t="s">
        <v>738</v>
      </c>
      <c r="B30" s="5">
        <f>COUNTIF('Final Sample'!$E$2:$E$612,A30)</f>
        <v>3</v>
      </c>
      <c r="C30" s="16">
        <f t="shared" si="0"/>
        <v>4.9099836333878887E-3</v>
      </c>
    </row>
    <row r="31" spans="1:3" ht="15" customHeight="1" x14ac:dyDescent="0.3">
      <c r="A31" s="19" t="s">
        <v>41</v>
      </c>
      <c r="B31" s="5">
        <f>COUNTIF('Final Sample'!$E$2:$E$612,A31)</f>
        <v>95</v>
      </c>
      <c r="C31" s="16">
        <f t="shared" si="0"/>
        <v>0.15548281505728315</v>
      </c>
    </row>
    <row r="32" spans="1:3" ht="15" customHeight="1" x14ac:dyDescent="0.3">
      <c r="A32" s="19" t="s">
        <v>225</v>
      </c>
      <c r="B32" s="5">
        <f>COUNTIF('Final Sample'!$E$2:$E$612,A32)</f>
        <v>25</v>
      </c>
      <c r="C32" s="16">
        <f t="shared" si="0"/>
        <v>4.0916530278232409E-2</v>
      </c>
    </row>
    <row r="33" spans="1:3" ht="15" customHeight="1" x14ac:dyDescent="0.3">
      <c r="A33" s="19" t="s">
        <v>339</v>
      </c>
      <c r="B33" s="5">
        <f>COUNTIF('Final Sample'!$E$2:$E$612,A33)</f>
        <v>10</v>
      </c>
      <c r="C33" s="16">
        <f t="shared" si="0"/>
        <v>1.6366612111292964E-2</v>
      </c>
    </row>
    <row r="34" spans="1:3" ht="15" customHeight="1" x14ac:dyDescent="0.3">
      <c r="A34" s="17" t="s">
        <v>781</v>
      </c>
      <c r="B34" s="17">
        <f>SUM(B21:B33)</f>
        <v>611</v>
      </c>
      <c r="C34" s="18">
        <f>SUM(C21:C33)</f>
        <v>1</v>
      </c>
    </row>
    <row r="36" spans="1:3" ht="15" customHeight="1" x14ac:dyDescent="0.3">
      <c r="A36" s="20" t="s">
        <v>783</v>
      </c>
    </row>
    <row r="37" spans="1:3" ht="15" customHeight="1" x14ac:dyDescent="0.3">
      <c r="A37" s="20" t="s">
        <v>784</v>
      </c>
    </row>
  </sheetData>
  <mergeCells count="2">
    <mergeCell ref="A10:C10"/>
    <mergeCell ref="A19:C19"/>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1"/>
  <sheetViews>
    <sheetView zoomScaleNormal="100" workbookViewId="0"/>
  </sheetViews>
  <sheetFormatPr defaultColWidth="8.6640625" defaultRowHeight="14.4" x14ac:dyDescent="0.3"/>
  <cols>
    <col min="1" max="1" width="26" customWidth="1"/>
    <col min="2" max="3" width="18" customWidth="1"/>
    <col min="4" max="4" width="55" customWidth="1"/>
  </cols>
  <sheetData>
    <row r="1" spans="1:3" ht="15.75" customHeight="1" x14ac:dyDescent="0.3">
      <c r="A1" s="6" t="s">
        <v>785</v>
      </c>
    </row>
    <row r="2" spans="1:3" ht="15" customHeight="1" x14ac:dyDescent="0.3">
      <c r="A2" s="7" t="s">
        <v>786</v>
      </c>
    </row>
    <row r="4" spans="1:3" ht="15" customHeight="1" x14ac:dyDescent="0.3">
      <c r="A4" s="2" t="s">
        <v>787</v>
      </c>
      <c r="B4" s="2" t="s">
        <v>8</v>
      </c>
      <c r="C4" s="2" t="s">
        <v>9</v>
      </c>
    </row>
    <row r="5" spans="1:3" ht="15" customHeight="1" x14ac:dyDescent="0.3">
      <c r="A5" s="19" t="s">
        <v>788</v>
      </c>
      <c r="B5" s="5">
        <f>COUNT('Final Sample'!$I$2:$I$612)</f>
        <v>611</v>
      </c>
      <c r="C5" s="5">
        <f>COUNT('Final Sample'!$J$2:$J$612)</f>
        <v>611</v>
      </c>
    </row>
    <row r="6" spans="1:3" ht="15" customHeight="1" x14ac:dyDescent="0.3">
      <c r="A6" s="19" t="s">
        <v>789</v>
      </c>
      <c r="B6" s="21">
        <f>AVERAGE('Final Sample'!$I$2:$I$612)</f>
        <v>13.151254991816696</v>
      </c>
      <c r="C6" s="21">
        <f>AVERAGE('Final Sample'!$J$2:$J$612)</f>
        <v>6.3702492089470795</v>
      </c>
    </row>
    <row r="7" spans="1:3" ht="15" customHeight="1" x14ac:dyDescent="0.3">
      <c r="A7" s="19" t="s">
        <v>790</v>
      </c>
      <c r="B7" s="21">
        <f>MEDIAN('Final Sample'!$I$2:$I$612)</f>
        <v>0</v>
      </c>
      <c r="C7" s="21">
        <f>MEDIAN('Final Sample'!$J$2:$J$612)</f>
        <v>0</v>
      </c>
    </row>
    <row r="8" spans="1:3" ht="15" customHeight="1" x14ac:dyDescent="0.3">
      <c r="A8" s="19" t="s">
        <v>791</v>
      </c>
      <c r="B8" s="21">
        <f>STDEV('Final Sample'!$I$2:$I$612)</f>
        <v>22.154889581813492</v>
      </c>
      <c r="C8" s="21">
        <f>STDEV('Final Sample'!$J$2:$J$612)</f>
        <v>18.035558134824203</v>
      </c>
    </row>
    <row r="9" spans="1:3" ht="15" customHeight="1" x14ac:dyDescent="0.3">
      <c r="A9" s="19" t="s">
        <v>792</v>
      </c>
      <c r="B9" s="21">
        <f>MIN('Final Sample'!$I$2:$I$612)</f>
        <v>0</v>
      </c>
      <c r="C9" s="21">
        <f>MIN('Final Sample'!$J$2:$J$612)</f>
        <v>0</v>
      </c>
    </row>
    <row r="10" spans="1:3" ht="15" customHeight="1" x14ac:dyDescent="0.3">
      <c r="A10" s="19" t="s">
        <v>793</v>
      </c>
      <c r="B10" s="21">
        <f>MAX('Final Sample'!$I$2:$I$612)</f>
        <v>95</v>
      </c>
      <c r="C10" s="21">
        <f>MAX('Final Sample'!$J$2:$J$612)</f>
        <v>93.3333333333333</v>
      </c>
    </row>
    <row r="11" spans="1:3" ht="15" customHeight="1" x14ac:dyDescent="0.3">
      <c r="A11" s="19" t="s">
        <v>794</v>
      </c>
      <c r="B11" s="22">
        <f>SKEW('Final Sample'!$I$2:$I$612)</f>
        <v>1.8657522172427776</v>
      </c>
      <c r="C11" s="22">
        <f>SKEW('Final Sample'!$J$2:$J$612)</f>
        <v>3.2480117080328359</v>
      </c>
    </row>
    <row r="12" spans="1:3" ht="15" customHeight="1" x14ac:dyDescent="0.3">
      <c r="A12" s="19" t="s">
        <v>795</v>
      </c>
      <c r="B12" s="22">
        <f>KURT('Final Sample'!$I$2:$I$612)</f>
        <v>2.7133721999541227</v>
      </c>
      <c r="C12" s="22">
        <f>KURT('Final Sample'!$J$2:$J$612)</f>
        <v>10.057377566423565</v>
      </c>
    </row>
    <row r="13" spans="1:3" ht="15" customHeight="1" x14ac:dyDescent="0.3">
      <c r="A13" s="19" t="s">
        <v>796</v>
      </c>
      <c r="B13" s="23">
        <v>0.65959999999999996</v>
      </c>
      <c r="C13" s="23">
        <v>0.40670000000000001</v>
      </c>
    </row>
    <row r="14" spans="1:3" ht="15" customHeight="1" x14ac:dyDescent="0.3">
      <c r="A14" s="19" t="s">
        <v>797</v>
      </c>
      <c r="B14" s="24">
        <v>3.8216812934092201E-33</v>
      </c>
      <c r="C14" s="24">
        <v>1.4295344811036101E-40</v>
      </c>
    </row>
    <row r="16" spans="1:3" ht="15" customHeight="1" x14ac:dyDescent="0.3">
      <c r="A16" s="8" t="s">
        <v>798</v>
      </c>
    </row>
    <row r="17" spans="1:4" ht="90" customHeight="1" x14ac:dyDescent="0.3">
      <c r="A17" s="46" t="s">
        <v>799</v>
      </c>
      <c r="B17" s="46"/>
      <c r="C17" s="46"/>
      <c r="D17" s="46"/>
    </row>
    <row r="19" spans="1:4" ht="60" customHeight="1" x14ac:dyDescent="0.3">
      <c r="A19" s="47" t="s">
        <v>800</v>
      </c>
      <c r="B19" s="47"/>
      <c r="C19" s="47"/>
      <c r="D19" s="47"/>
    </row>
    <row r="20" spans="1:4" ht="15" customHeight="1" x14ac:dyDescent="0.3">
      <c r="A20" s="47"/>
      <c r="B20" s="47"/>
      <c r="C20" s="47"/>
      <c r="D20" s="47"/>
    </row>
    <row r="21" spans="1:4" ht="15" customHeight="1" x14ac:dyDescent="0.3">
      <c r="A21" s="47"/>
      <c r="B21" s="47"/>
      <c r="C21" s="47"/>
      <c r="D21" s="47"/>
    </row>
  </sheetData>
  <mergeCells count="2">
    <mergeCell ref="A17:D17"/>
    <mergeCell ref="A19:D2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
  <sheetViews>
    <sheetView zoomScaleNormal="100" workbookViewId="0">
      <selection activeCell="B5" sqref="B5:B9"/>
    </sheetView>
  </sheetViews>
  <sheetFormatPr defaultColWidth="8.6640625" defaultRowHeight="14.4" x14ac:dyDescent="0.3"/>
  <cols>
    <col min="1" max="1" width="10" customWidth="1"/>
    <col min="2" max="5" width="16" customWidth="1"/>
    <col min="6" max="6" width="55" customWidth="1"/>
  </cols>
  <sheetData>
    <row r="1" spans="1:6" ht="15.75" customHeight="1" x14ac:dyDescent="0.3">
      <c r="A1" s="6" t="s">
        <v>801</v>
      </c>
    </row>
    <row r="2" spans="1:6" ht="15" customHeight="1" x14ac:dyDescent="0.3">
      <c r="A2" s="7" t="s">
        <v>802</v>
      </c>
    </row>
    <row r="4" spans="1:6" ht="15" customHeight="1" x14ac:dyDescent="0.3">
      <c r="A4" s="2" t="s">
        <v>5</v>
      </c>
      <c r="B4" s="2" t="s">
        <v>788</v>
      </c>
      <c r="C4" s="2" t="s">
        <v>803</v>
      </c>
      <c r="D4" s="2" t="s">
        <v>804</v>
      </c>
      <c r="E4" s="2" t="s">
        <v>805</v>
      </c>
      <c r="F4" s="2" t="s">
        <v>806</v>
      </c>
    </row>
    <row r="5" spans="1:6" ht="15" customHeight="1" x14ac:dyDescent="0.3">
      <c r="A5" s="3">
        <v>2021</v>
      </c>
      <c r="B5" s="5">
        <f>COUNTIF('Final Sample'!$F$2:$F$612,A5)</f>
        <v>118</v>
      </c>
      <c r="C5" s="21">
        <f>AVERAGEIF('Final Sample'!$F$2:$F$612,A5,'Final Sample'!$I$2:$I$612)</f>
        <v>9.6186440677966107</v>
      </c>
      <c r="D5" s="21">
        <f>SQRT(SUMPRODUCT(('Final Sample'!$F$2:$F$612=A5)*('Final Sample'!$I$2:$I$612-AVERAGEIF('Final Sample'!$F$2:$F$612,A5,'Final Sample'!$I$2:$I$612))^2)/(COUNTIF('Final Sample'!$F$2:$F$612,A5)-1))</f>
        <v>16.655852641205822</v>
      </c>
      <c r="E5" s="21">
        <f>AVERAGEIF('Final Sample'!$F$2:$F$612,A5,'Final Sample'!$J$2:$J$612)</f>
        <v>3.333333333333333</v>
      </c>
      <c r="F5" s="21">
        <f>SQRT(SUMPRODUCT(('Final Sample'!$F$2:$F$612=A5)*('Final Sample'!$J$2:$J$612-AVERAGEIF('Final Sample'!$F$2:$F$612,A5,'Final Sample'!$J$2:$J$612))^2)/(COUNTIF('Final Sample'!$F$2:$F$612,A5)-1))</f>
        <v>12.038242324052609</v>
      </c>
    </row>
    <row r="6" spans="1:6" ht="15" customHeight="1" x14ac:dyDescent="0.3">
      <c r="A6" s="3">
        <v>2022</v>
      </c>
      <c r="B6" s="5">
        <f>COUNTIF('Final Sample'!$F$2:$F$612,A6)</f>
        <v>122</v>
      </c>
      <c r="C6" s="21">
        <f>AVERAGEIF('Final Sample'!$F$2:$F$612,A6,'Final Sample'!$I$2:$I$612)</f>
        <v>12.377049180327869</v>
      </c>
      <c r="D6" s="21">
        <f>SQRT(SUMPRODUCT(('Final Sample'!$F$2:$F$612=A6)*('Final Sample'!$I$2:$I$612-AVERAGEIF('Final Sample'!$F$2:$F$612,A6,'Final Sample'!$I$2:$I$612))^2)/(COUNTIF('Final Sample'!$F$2:$F$612,A6)-1))</f>
        <v>20.970395452532085</v>
      </c>
      <c r="E6" s="21">
        <f>AVERAGEIF('Final Sample'!$F$2:$F$612,A6,'Final Sample'!$J$2:$J$612)</f>
        <v>5.3551912568306017</v>
      </c>
      <c r="F6" s="21">
        <f>SQRT(SUMPRODUCT(('Final Sample'!$F$2:$F$612=A6)*('Final Sample'!$J$2:$J$612-AVERAGEIF('Final Sample'!$F$2:$F$612,A6,'Final Sample'!$J$2:$J$612))^2)/(COUNTIF('Final Sample'!$F$2:$F$612,A6)-1))</f>
        <v>16.049495167829473</v>
      </c>
    </row>
    <row r="7" spans="1:6" ht="15" customHeight="1" x14ac:dyDescent="0.3">
      <c r="A7" s="3">
        <v>2023</v>
      </c>
      <c r="B7" s="5">
        <f>COUNTIF('Final Sample'!$F$2:$F$612,A7)</f>
        <v>122</v>
      </c>
      <c r="C7" s="21">
        <f>AVERAGEIF('Final Sample'!$F$2:$F$612,A7,'Final Sample'!$I$2:$I$612)</f>
        <v>12.868852459016393</v>
      </c>
      <c r="D7" s="21">
        <f>SQRT(SUMPRODUCT(('Final Sample'!$F$2:$F$612=A7)*('Final Sample'!$I$2:$I$612-AVERAGEIF('Final Sample'!$F$2:$F$612,A7,'Final Sample'!$I$2:$I$612))^2)/(COUNTIF('Final Sample'!$F$2:$F$612,A7)-1))</f>
        <v>22.424510947493378</v>
      </c>
      <c r="E7" s="21">
        <f>AVERAGEIF('Final Sample'!$F$2:$F$612,A7,'Final Sample'!$J$2:$J$612)</f>
        <v>7.1584699453551899</v>
      </c>
      <c r="F7" s="21">
        <f>SQRT(SUMPRODUCT(('Final Sample'!$F$2:$F$612=A7)*('Final Sample'!$J$2:$J$612-AVERAGEIF('Final Sample'!$F$2:$F$612,A7,'Final Sample'!$J$2:$J$612))^2)/(COUNTIF('Final Sample'!$F$2:$F$612,A7)-1))</f>
        <v>19.86488857735046</v>
      </c>
    </row>
    <row r="8" spans="1:6" ht="15" customHeight="1" x14ac:dyDescent="0.3">
      <c r="A8" s="3">
        <v>2024</v>
      </c>
      <c r="B8" s="5">
        <f>COUNTIF('Final Sample'!$F$2:$F$612,A8)</f>
        <v>125</v>
      </c>
      <c r="C8" s="21">
        <f>AVERAGEIF('Final Sample'!$F$2:$F$612,A8,'Final Sample'!$I$2:$I$612)</f>
        <v>15.826667199999999</v>
      </c>
      <c r="D8" s="21">
        <f>SQRT(SUMPRODUCT(('Final Sample'!$F$2:$F$612=A8)*('Final Sample'!$I$2:$I$612-AVERAGEIF('Final Sample'!$F$2:$F$612,A8,'Final Sample'!$I$2:$I$612))^2)/(COUNTIF('Final Sample'!$F$2:$F$612,A8)-1))</f>
        <v>24.727570065280393</v>
      </c>
      <c r="E8" s="21">
        <f>AVERAGEIF('Final Sample'!$F$2:$F$612,A8,'Final Sample'!$J$2:$J$612)</f>
        <v>7.928889066666664</v>
      </c>
      <c r="F8" s="21">
        <f>SQRT(SUMPRODUCT(('Final Sample'!$F$2:$F$612=A8)*('Final Sample'!$J$2:$J$612-AVERAGEIF('Final Sample'!$F$2:$F$612,A8,'Final Sample'!$J$2:$J$612))^2)/(COUNTIF('Final Sample'!$F$2:$F$612,A8)-1))</f>
        <v>20.848844757053627</v>
      </c>
    </row>
    <row r="9" spans="1:6" ht="15" customHeight="1" x14ac:dyDescent="0.3">
      <c r="A9" s="3">
        <v>2025</v>
      </c>
      <c r="B9" s="5">
        <f>COUNTIF('Final Sample'!$F$2:$F$612,A9)</f>
        <v>124</v>
      </c>
      <c r="C9" s="21">
        <f>AVERAGEIF('Final Sample'!$F$2:$F$612,A9,'Final Sample'!$I$2:$I$612)</f>
        <v>14.85551129032258</v>
      </c>
      <c r="D9" s="21">
        <f>SQRT(SUMPRODUCT(('Final Sample'!$F$2:$F$612=A9)*('Final Sample'!$I$2:$I$612-AVERAGEIF('Final Sample'!$F$2:$F$612,A9,'Final Sample'!$I$2:$I$612))^2)/(COUNTIF('Final Sample'!$F$2:$F$612,A9)-1))</f>
        <v>24.5722815501572</v>
      </c>
      <c r="E9" s="21">
        <f>AVERAGEIF('Final Sample'!$F$2:$F$612,A9,'Final Sample'!$J$2:$J$612)</f>
        <v>7.9121865591397826</v>
      </c>
      <c r="F9" s="21">
        <f>SQRT(SUMPRODUCT(('Final Sample'!$F$2:$F$612=A9)*('Final Sample'!$J$2:$J$612-AVERAGEIF('Final Sample'!$F$2:$F$612,A9,'Final Sample'!$J$2:$J$612))^2)/(COUNTIF('Final Sample'!$F$2:$F$612,A9)-1))</f>
        <v>19.498167353674663</v>
      </c>
    </row>
    <row r="11" spans="1:6" ht="15" customHeight="1" x14ac:dyDescent="0.3">
      <c r="A11" s="45" t="s">
        <v>807</v>
      </c>
      <c r="B11" s="45"/>
      <c r="C11" s="45"/>
      <c r="D11" s="45"/>
      <c r="E11" s="45"/>
      <c r="F11" s="45"/>
    </row>
    <row r="12" spans="1:6" ht="15" customHeight="1" x14ac:dyDescent="0.3">
      <c r="A12" s="47" t="s">
        <v>808</v>
      </c>
      <c r="B12" s="47"/>
      <c r="C12" s="47"/>
      <c r="D12" s="47"/>
      <c r="E12" s="47"/>
      <c r="F12" s="47"/>
    </row>
    <row r="13" spans="1:6" ht="15" customHeight="1" x14ac:dyDescent="0.3">
      <c r="A13" s="25"/>
      <c r="B13" s="25"/>
      <c r="C13" s="25"/>
      <c r="D13" s="25"/>
      <c r="E13" s="25"/>
      <c r="F13" s="25"/>
    </row>
    <row r="14" spans="1:6" ht="23.25" customHeight="1" x14ac:dyDescent="0.3">
      <c r="A14" s="2" t="s">
        <v>809</v>
      </c>
      <c r="B14" s="2" t="s">
        <v>810</v>
      </c>
      <c r="C14" s="2" t="s">
        <v>811</v>
      </c>
      <c r="D14" s="2" t="s">
        <v>812</v>
      </c>
      <c r="E14" s="2" t="s">
        <v>813</v>
      </c>
      <c r="F14" s="2" t="s">
        <v>814</v>
      </c>
    </row>
    <row r="15" spans="1:6" ht="105" customHeight="1" x14ac:dyDescent="0.3">
      <c r="A15" s="19" t="s">
        <v>815</v>
      </c>
      <c r="B15" s="23">
        <v>1.4790000000000001</v>
      </c>
      <c r="C15" s="23">
        <v>0.5343</v>
      </c>
      <c r="D15" s="23">
        <v>2.7679999999999998</v>
      </c>
      <c r="E15" s="23">
        <v>5.5999999999999999E-3</v>
      </c>
      <c r="F15" s="23">
        <v>3.7999999999999999E-2</v>
      </c>
    </row>
    <row r="16" spans="1:6" ht="15" customHeight="1" x14ac:dyDescent="0.3">
      <c r="A16" s="19" t="s">
        <v>816</v>
      </c>
      <c r="B16" s="23">
        <v>1.2863</v>
      </c>
      <c r="C16" s="23">
        <v>0.38679999999999998</v>
      </c>
      <c r="D16" s="23">
        <v>3.3250000000000002</v>
      </c>
      <c r="E16" s="23">
        <v>8.9999999999999998E-4</v>
      </c>
      <c r="F16" s="23">
        <v>4.5999999999999999E-2</v>
      </c>
    </row>
    <row r="17" spans="1:6" ht="49.5" customHeight="1" x14ac:dyDescent="0.3">
      <c r="A17" s="1"/>
      <c r="B17" s="25"/>
      <c r="C17" s="25"/>
      <c r="D17" s="25"/>
      <c r="E17" s="25"/>
      <c r="F17" s="25"/>
    </row>
    <row r="18" spans="1:6" ht="15" customHeight="1" x14ac:dyDescent="0.3">
      <c r="A18" s="25" t="s">
        <v>817</v>
      </c>
      <c r="B18" s="25"/>
      <c r="C18" s="25"/>
      <c r="D18" s="25"/>
      <c r="E18" s="25"/>
      <c r="F18" s="25"/>
    </row>
    <row r="19" spans="1:6" ht="15" customHeight="1" x14ac:dyDescent="0.3">
      <c r="A19" s="25"/>
      <c r="B19" s="25"/>
      <c r="C19" s="25"/>
      <c r="D19" s="25"/>
      <c r="E19" s="25"/>
      <c r="F19" s="25"/>
    </row>
    <row r="20" spans="1:6" ht="139.5" customHeight="1" x14ac:dyDescent="0.3">
      <c r="A20" s="46" t="s">
        <v>818</v>
      </c>
      <c r="B20" s="46"/>
      <c r="C20" s="46"/>
      <c r="D20" s="46"/>
      <c r="E20" s="46"/>
      <c r="F20" s="46"/>
    </row>
    <row r="21" spans="1:6" ht="15" customHeight="1" x14ac:dyDescent="0.3">
      <c r="A21" s="25"/>
      <c r="B21" s="25"/>
      <c r="C21" s="25"/>
      <c r="D21" s="25"/>
      <c r="E21" s="25"/>
      <c r="F21" s="25"/>
    </row>
    <row r="22" spans="1:6" ht="30" customHeight="1" x14ac:dyDescent="0.3">
      <c r="A22" s="47" t="s">
        <v>819</v>
      </c>
      <c r="B22" s="47"/>
      <c r="C22" s="47"/>
      <c r="D22" s="47"/>
      <c r="E22" s="47"/>
      <c r="F22" s="47"/>
    </row>
    <row r="23" spans="1:6" ht="15" customHeight="1" x14ac:dyDescent="0.3">
      <c r="A23" s="47"/>
      <c r="B23" s="47"/>
      <c r="C23" s="47"/>
      <c r="D23" s="47"/>
      <c r="E23" s="47"/>
      <c r="F23" s="47"/>
    </row>
    <row r="24" spans="1:6" ht="15" customHeight="1" x14ac:dyDescent="0.3">
      <c r="A24" s="47"/>
      <c r="B24" s="47"/>
      <c r="C24" s="47"/>
      <c r="D24" s="47"/>
      <c r="E24" s="47"/>
      <c r="F24" s="47"/>
    </row>
    <row r="25" spans="1:6" ht="15" customHeight="1" x14ac:dyDescent="0.3">
      <c r="A25" s="47"/>
      <c r="B25" s="47"/>
      <c r="C25" s="47"/>
      <c r="D25" s="47"/>
      <c r="E25" s="47"/>
      <c r="F25" s="47"/>
    </row>
  </sheetData>
  <mergeCells count="4">
    <mergeCell ref="A11:F11"/>
    <mergeCell ref="A12:F12"/>
    <mergeCell ref="A20:F20"/>
    <mergeCell ref="A22:F25"/>
  </mergeCells>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4"/>
  <sheetViews>
    <sheetView zoomScaleNormal="100" workbookViewId="0"/>
  </sheetViews>
  <sheetFormatPr defaultColWidth="8.6640625" defaultRowHeight="14.4" x14ac:dyDescent="0.3"/>
  <cols>
    <col min="1" max="1" width="26" customWidth="1"/>
    <col min="2" max="5" width="15" customWidth="1"/>
    <col min="6" max="6" width="55" customWidth="1"/>
  </cols>
  <sheetData>
    <row r="1" spans="1:6" ht="15.75" customHeight="1" x14ac:dyDescent="0.3">
      <c r="A1" s="6" t="s">
        <v>820</v>
      </c>
    </row>
    <row r="2" spans="1:6" ht="15" customHeight="1" x14ac:dyDescent="0.3">
      <c r="A2" s="7" t="s">
        <v>821</v>
      </c>
    </row>
    <row r="4" spans="1:6" ht="15" customHeight="1" x14ac:dyDescent="0.3">
      <c r="A4" s="2" t="s">
        <v>4</v>
      </c>
      <c r="B4" s="2" t="s">
        <v>788</v>
      </c>
      <c r="C4" s="2" t="s">
        <v>803</v>
      </c>
      <c r="D4" s="2" t="s">
        <v>804</v>
      </c>
      <c r="E4" s="2" t="s">
        <v>805</v>
      </c>
      <c r="F4" s="2" t="s">
        <v>806</v>
      </c>
    </row>
    <row r="5" spans="1:6" ht="15" customHeight="1" x14ac:dyDescent="0.3">
      <c r="A5" s="19" t="s">
        <v>99</v>
      </c>
      <c r="B5" s="5">
        <f>COUNTIF('Final Sample'!$E$2:$E$612,A5)</f>
        <v>32</v>
      </c>
      <c r="C5" s="21">
        <f>AVERAGEIF('Final Sample'!$E$2:$E$612,A5,'Final Sample'!$I$2:$I$612)</f>
        <v>23.59375</v>
      </c>
      <c r="D5" s="21">
        <f>IFERROR(SQRT(SUMPRODUCT(('Final Sample'!$E$2:$E$612=A5)*('Final Sample'!$I$2:$I$612-AVERAGEIF('Final Sample'!$E$2:$E$612,A5,'Final Sample'!$I$2:$I$612))^2)/(COUNTIF('Final Sample'!$E$2:$E$612,A5)-1)),0)</f>
        <v>26.947810222844669</v>
      </c>
      <c r="E5" s="21">
        <f>AVERAGEIF('Final Sample'!$E$2:$E$612,A5,'Final Sample'!$J$2:$J$612)</f>
        <v>13.95833333333333</v>
      </c>
      <c r="F5" s="21">
        <f>IFERROR(SQRT(SUMPRODUCT(('Final Sample'!$E$2:$E$612=A5)*('Final Sample'!$J$2:$J$612-AVERAGEIF('Final Sample'!$E$2:$E$612,A5,'Final Sample'!$J$2:$J$612))^2)/(COUNTIF('Final Sample'!$E$2:$E$612,A5)-1)),0)</f>
        <v>26.524317644819764</v>
      </c>
    </row>
    <row r="6" spans="1:6" ht="15" customHeight="1" x14ac:dyDescent="0.3">
      <c r="A6" s="19" t="s">
        <v>31</v>
      </c>
      <c r="B6" s="5">
        <f>COUNTIF('Final Sample'!$E$2:$E$612,A6)</f>
        <v>196</v>
      </c>
      <c r="C6" s="21">
        <f>AVERAGEIF('Final Sample'!$E$2:$E$612,A6,'Final Sample'!$I$2:$I$612)</f>
        <v>17.357568367346939</v>
      </c>
      <c r="D6" s="21">
        <f>IFERROR(SQRT(SUMPRODUCT(('Final Sample'!$E$2:$E$612=A6)*('Final Sample'!$I$2:$I$612-AVERAGEIF('Final Sample'!$E$2:$E$612,A6,'Final Sample'!$I$2:$I$612))^2)/(COUNTIF('Final Sample'!$E$2:$E$612,A6)-1)),0)</f>
        <v>25.573446672718553</v>
      </c>
      <c r="E6" s="21">
        <f>AVERAGEIF('Final Sample'!$E$2:$E$612,A6,'Final Sample'!$J$2:$J$612)</f>
        <v>8.7131517006802692</v>
      </c>
      <c r="F6" s="21">
        <f>IFERROR(SQRT(SUMPRODUCT(('Final Sample'!$E$2:$E$612=A6)*('Final Sample'!$J$2:$J$612-AVERAGEIF('Final Sample'!$E$2:$E$612,A6,'Final Sample'!$J$2:$J$612))^2)/(COUNTIF('Final Sample'!$E$2:$E$612,A6)-1)),0)</f>
        <v>21.687599788608257</v>
      </c>
    </row>
    <row r="7" spans="1:6" ht="15" customHeight="1" x14ac:dyDescent="0.3">
      <c r="A7" s="19" t="s">
        <v>283</v>
      </c>
      <c r="B7" s="5">
        <f>COUNTIF('Final Sample'!$E$2:$E$612,A7)</f>
        <v>23</v>
      </c>
      <c r="C7" s="21">
        <f>AVERAGEIF('Final Sample'!$E$2:$E$612,A7,'Final Sample'!$I$2:$I$612)</f>
        <v>17.173913043478262</v>
      </c>
      <c r="D7" s="21">
        <f>IFERROR(SQRT(SUMPRODUCT(('Final Sample'!$E$2:$E$612=A7)*('Final Sample'!$I$2:$I$612-AVERAGEIF('Final Sample'!$E$2:$E$612,A7,'Final Sample'!$I$2:$I$612))^2)/(COUNTIF('Final Sample'!$E$2:$E$612,A7)-1)),0)</f>
        <v>19.058885243354801</v>
      </c>
      <c r="E7" s="21">
        <f>AVERAGEIF('Final Sample'!$E$2:$E$612,A7,'Final Sample'!$J$2:$J$612)</f>
        <v>3.7681159420289894</v>
      </c>
      <c r="F7" s="21">
        <f>IFERROR(SQRT(SUMPRODUCT(('Final Sample'!$E$2:$E$612=A7)*('Final Sample'!$J$2:$J$612-AVERAGEIF('Final Sample'!$E$2:$E$612,A7,'Final Sample'!$J$2:$J$612))^2)/(COUNTIF('Final Sample'!$E$2:$E$612,A7)-1)),0)</f>
        <v>7.739727491489103</v>
      </c>
    </row>
    <row r="8" spans="1:6" ht="15" customHeight="1" x14ac:dyDescent="0.3">
      <c r="A8" s="19" t="s">
        <v>143</v>
      </c>
      <c r="B8" s="5">
        <f>COUNTIF('Final Sample'!$E$2:$E$612,A8)</f>
        <v>79</v>
      </c>
      <c r="C8" s="21">
        <f>AVERAGEIF('Final Sample'!$E$2:$E$612,A8,'Final Sample'!$I$2:$I$612)</f>
        <v>16.518987341772153</v>
      </c>
      <c r="D8" s="21">
        <f>IFERROR(SQRT(SUMPRODUCT(('Final Sample'!$E$2:$E$612=A8)*('Final Sample'!$I$2:$I$612-AVERAGEIF('Final Sample'!$E$2:$E$612,A8,'Final Sample'!$I$2:$I$612))^2)/(COUNTIF('Final Sample'!$E$2:$E$612,A8)-1)),0)</f>
        <v>20.370831811807928</v>
      </c>
      <c r="E8" s="21">
        <f>AVERAGEIF('Final Sample'!$E$2:$E$612,A8,'Final Sample'!$J$2:$J$612)</f>
        <v>6.0759493670886089</v>
      </c>
      <c r="F8" s="21">
        <f>IFERROR(SQRT(SUMPRODUCT(('Final Sample'!$E$2:$E$612=A8)*('Final Sample'!$J$2:$J$612-AVERAGEIF('Final Sample'!$E$2:$E$612,A8,'Final Sample'!$J$2:$J$612))^2)/(COUNTIF('Final Sample'!$E$2:$E$612,A8)-1)),0)</f>
        <v>13.761910083160869</v>
      </c>
    </row>
    <row r="9" spans="1:6" ht="15" customHeight="1" x14ac:dyDescent="0.3">
      <c r="A9" s="19" t="s">
        <v>90</v>
      </c>
      <c r="B9" s="5">
        <f>COUNTIF('Final Sample'!$E$2:$E$612,A9)</f>
        <v>41</v>
      </c>
      <c r="C9" s="21">
        <f>AVERAGEIF('Final Sample'!$E$2:$E$612,A9,'Final Sample'!$I$2:$I$612)</f>
        <v>15.609756097560975</v>
      </c>
      <c r="D9" s="21">
        <f>IFERROR(SQRT(SUMPRODUCT(('Final Sample'!$E$2:$E$612=A9)*('Final Sample'!$I$2:$I$612-AVERAGEIF('Final Sample'!$E$2:$E$612,A9,'Final Sample'!$I$2:$I$612))^2)/(COUNTIF('Final Sample'!$E$2:$E$612,A9)-1)),0)</f>
        <v>31.428393252583309</v>
      </c>
      <c r="E9" s="21">
        <f>AVERAGEIF('Final Sample'!$E$2:$E$612,A9,'Final Sample'!$J$2:$J$612)</f>
        <v>15.284552845528458</v>
      </c>
      <c r="F9" s="21">
        <f>IFERROR(SQRT(SUMPRODUCT(('Final Sample'!$E$2:$E$612=A9)*('Final Sample'!$J$2:$J$612-AVERAGEIF('Final Sample'!$E$2:$E$612,A9,'Final Sample'!$J$2:$J$612))^2)/(COUNTIF('Final Sample'!$E$2:$E$612,A9)-1)),0)</f>
        <v>30.740631904118345</v>
      </c>
    </row>
    <row r="10" spans="1:6" ht="15" customHeight="1" x14ac:dyDescent="0.3">
      <c r="A10" s="19" t="s">
        <v>105</v>
      </c>
      <c r="B10" s="5">
        <f>COUNTIF('Final Sample'!$E$2:$E$612,A10)</f>
        <v>59</v>
      </c>
      <c r="C10" s="21">
        <f>AVERAGEIF('Final Sample'!$E$2:$E$612,A10,'Final Sample'!$I$2:$I$612)</f>
        <v>13.954803389830507</v>
      </c>
      <c r="D10" s="21">
        <f>IFERROR(SQRT(SUMPRODUCT(('Final Sample'!$E$2:$E$612=A10)*('Final Sample'!$I$2:$I$612-AVERAGEIF('Final Sample'!$E$2:$E$612,A10,'Final Sample'!$I$2:$I$612))^2)/(COUNTIF('Final Sample'!$E$2:$E$612,A10)-1)),0)</f>
        <v>21.542302432135109</v>
      </c>
      <c r="E10" s="21">
        <f>AVERAGEIF('Final Sample'!$E$2:$E$612,A10,'Final Sample'!$J$2:$J$612)</f>
        <v>7.645952542372882</v>
      </c>
      <c r="F10" s="21">
        <f>IFERROR(SQRT(SUMPRODUCT(('Final Sample'!$E$2:$E$612=A10)*('Final Sample'!$J$2:$J$612-AVERAGEIF('Final Sample'!$E$2:$E$612,A10,'Final Sample'!$J$2:$J$612))^2)/(COUNTIF('Final Sample'!$E$2:$E$612,A10)-1)),0)</f>
        <v>17.070567925025795</v>
      </c>
    </row>
    <row r="11" spans="1:6" ht="15" customHeight="1" x14ac:dyDescent="0.3">
      <c r="A11" s="19" t="s">
        <v>248</v>
      </c>
      <c r="B11" s="5">
        <f>COUNTIF('Final Sample'!$E$2:$E$612,A11)</f>
        <v>25</v>
      </c>
      <c r="C11" s="21">
        <f>AVERAGEIF('Final Sample'!$E$2:$E$612,A11,'Final Sample'!$I$2:$I$612)</f>
        <v>10.4</v>
      </c>
      <c r="D11" s="21">
        <f>IFERROR(SQRT(SUMPRODUCT(('Final Sample'!$E$2:$E$612=A11)*('Final Sample'!$I$2:$I$612-AVERAGEIF('Final Sample'!$E$2:$E$612,A11,'Final Sample'!$I$2:$I$612))^2)/(COUNTIF('Final Sample'!$E$2:$E$612,A11)-1)),0)</f>
        <v>17.907168024751055</v>
      </c>
      <c r="E11" s="21">
        <f>AVERAGEIF('Final Sample'!$E$2:$E$612,A11,'Final Sample'!$J$2:$J$612)</f>
        <v>0</v>
      </c>
      <c r="F11" s="21">
        <f>IFERROR(SQRT(SUMPRODUCT(('Final Sample'!$E$2:$E$612=A11)*('Final Sample'!$J$2:$J$612-AVERAGEIF('Final Sample'!$E$2:$E$612,A11,'Final Sample'!$J$2:$J$612))^2)/(COUNTIF('Final Sample'!$E$2:$E$612,A11)-1)),0)</f>
        <v>0</v>
      </c>
    </row>
    <row r="12" spans="1:6" ht="15" customHeight="1" x14ac:dyDescent="0.3">
      <c r="A12" s="19" t="s">
        <v>321</v>
      </c>
      <c r="B12" s="5">
        <f>COUNTIF('Final Sample'!$E$2:$E$612,A12)</f>
        <v>17</v>
      </c>
      <c r="C12" s="21">
        <f>AVERAGEIF('Final Sample'!$E$2:$E$612,A12,'Final Sample'!$I$2:$I$612)</f>
        <v>10</v>
      </c>
      <c r="D12" s="21">
        <f>IFERROR(SQRT(SUMPRODUCT(('Final Sample'!$E$2:$E$612=A12)*('Final Sample'!$I$2:$I$612-AVERAGEIF('Final Sample'!$E$2:$E$612,A12,'Final Sample'!$I$2:$I$612))^2)/(COUNTIF('Final Sample'!$E$2:$E$612,A12)-1)),0)</f>
        <v>18.624580532189174</v>
      </c>
      <c r="E12" s="21">
        <f>AVERAGEIF('Final Sample'!$E$2:$E$612,A12,'Final Sample'!$J$2:$J$612)</f>
        <v>4.7058823529411704</v>
      </c>
      <c r="F12" s="21">
        <f>IFERROR(SQRT(SUMPRODUCT(('Final Sample'!$E$2:$E$612=A12)*('Final Sample'!$J$2:$J$612-AVERAGEIF('Final Sample'!$E$2:$E$612,A12,'Final Sample'!$J$2:$J$612))^2)/(COUNTIF('Final Sample'!$E$2:$E$612,A12)-1)),0)</f>
        <v>7.7332995266333331</v>
      </c>
    </row>
    <row r="13" spans="1:6" ht="15" customHeight="1" x14ac:dyDescent="0.3">
      <c r="A13" s="19" t="s">
        <v>297</v>
      </c>
      <c r="B13" s="5">
        <f>COUNTIF('Final Sample'!$E$2:$E$612,A13)</f>
        <v>6</v>
      </c>
      <c r="C13" s="21">
        <f>AVERAGEIF('Final Sample'!$E$2:$E$612,A13,'Final Sample'!$I$2:$I$612)</f>
        <v>8.3333333333333339</v>
      </c>
      <c r="D13" s="21">
        <f>IFERROR(SQRT(SUMPRODUCT(('Final Sample'!$E$2:$E$612=A13)*('Final Sample'!$I$2:$I$612-AVERAGEIF('Final Sample'!$E$2:$E$612,A13,'Final Sample'!$I$2:$I$612))^2)/(COUNTIF('Final Sample'!$E$2:$E$612,A13)-1)),0)</f>
        <v>15.705625319186327</v>
      </c>
      <c r="E13" s="21">
        <f>AVERAGEIF('Final Sample'!$E$2:$E$612,A13,'Final Sample'!$J$2:$J$612)</f>
        <v>0</v>
      </c>
      <c r="F13" s="21">
        <f>IFERROR(SQRT(SUMPRODUCT(('Final Sample'!$E$2:$E$612=A13)*('Final Sample'!$J$2:$J$612-AVERAGEIF('Final Sample'!$E$2:$E$612,A13,'Final Sample'!$J$2:$J$612))^2)/(COUNTIF('Final Sample'!$E$2:$E$612,A13)-1)),0)</f>
        <v>0</v>
      </c>
    </row>
    <row r="14" spans="1:6" ht="15" customHeight="1" x14ac:dyDescent="0.3">
      <c r="A14" s="19" t="s">
        <v>738</v>
      </c>
      <c r="B14" s="5">
        <f>COUNTIF('Final Sample'!$E$2:$E$612,A14)</f>
        <v>3</v>
      </c>
      <c r="C14" s="21">
        <f>AVERAGEIF('Final Sample'!$E$2:$E$612,A14,'Final Sample'!$I$2:$I$612)</f>
        <v>3.3333333333333335</v>
      </c>
      <c r="D14" s="21">
        <f>IFERROR(SQRT(SUMPRODUCT(('Final Sample'!$E$2:$E$612=A14)*('Final Sample'!$I$2:$I$612-AVERAGEIF('Final Sample'!$E$2:$E$612,A14,'Final Sample'!$I$2:$I$612))^2)/(COUNTIF('Final Sample'!$E$2:$E$612,A14)-1)),0)</f>
        <v>2.8867513459481291</v>
      </c>
      <c r="E14" s="21">
        <f>AVERAGEIF('Final Sample'!$E$2:$E$612,A14,'Final Sample'!$J$2:$J$612)</f>
        <v>0</v>
      </c>
      <c r="F14" s="21">
        <f>IFERROR(SQRT(SUMPRODUCT(('Final Sample'!$E$2:$E$612=A14)*('Final Sample'!$J$2:$J$612-AVERAGEIF('Final Sample'!$E$2:$E$612,A14,'Final Sample'!$J$2:$J$612))^2)/(COUNTIF('Final Sample'!$E$2:$E$612,A14)-1)),0)</f>
        <v>0</v>
      </c>
    </row>
    <row r="15" spans="1:6" ht="15" customHeight="1" x14ac:dyDescent="0.3">
      <c r="A15" s="19" t="s">
        <v>41</v>
      </c>
      <c r="B15" s="5">
        <f>COUNTIF('Final Sample'!$E$2:$E$612,A15)</f>
        <v>95</v>
      </c>
      <c r="C15" s="21">
        <f>AVERAGEIF('Final Sample'!$E$2:$E$612,A15,'Final Sample'!$I$2:$I$612)</f>
        <v>2.0526315789473686</v>
      </c>
      <c r="D15" s="21">
        <f>IFERROR(SQRT(SUMPRODUCT(('Final Sample'!$E$2:$E$612=A15)*('Final Sample'!$I$2:$I$612-AVERAGEIF('Final Sample'!$E$2:$E$612,A15,'Final Sample'!$I$2:$I$612))^2)/(COUNTIF('Final Sample'!$E$2:$E$612,A15)-1)),0)</f>
        <v>4.0929841921102632</v>
      </c>
      <c r="E15" s="21">
        <f>AVERAGEIF('Final Sample'!$E$2:$E$612,A15,'Final Sample'!$J$2:$J$612)</f>
        <v>0.14035087719298212</v>
      </c>
      <c r="F15" s="21">
        <f>IFERROR(SQRT(SUMPRODUCT(('Final Sample'!$E$2:$E$612=A15)*('Final Sample'!$J$2:$J$612-AVERAGEIF('Final Sample'!$E$2:$E$612,A15,'Final Sample'!$J$2:$J$612))^2)/(COUNTIF('Final Sample'!$E$2:$E$612,A15)-1)),0)</f>
        <v>1.3679711361135358</v>
      </c>
    </row>
    <row r="16" spans="1:6" ht="15" customHeight="1" x14ac:dyDescent="0.3">
      <c r="A16" s="19" t="s">
        <v>225</v>
      </c>
      <c r="B16" s="5">
        <f>COUNTIF('Final Sample'!$E$2:$E$612,A16)</f>
        <v>25</v>
      </c>
      <c r="C16" s="21">
        <f>AVERAGEIF('Final Sample'!$E$2:$E$612,A16,'Final Sample'!$I$2:$I$612)</f>
        <v>1.2</v>
      </c>
      <c r="D16" s="21">
        <f>IFERROR(SQRT(SUMPRODUCT(('Final Sample'!$E$2:$E$612=A16)*('Final Sample'!$I$2:$I$612-AVERAGEIF('Final Sample'!$E$2:$E$612,A16,'Final Sample'!$I$2:$I$612))^2)/(COUNTIF('Final Sample'!$E$2:$E$612,A16)-1)),0)</f>
        <v>2.9860788111948193</v>
      </c>
      <c r="E16" s="21">
        <f>AVERAGEIF('Final Sample'!$E$2:$E$612,A16,'Final Sample'!$J$2:$J$612)</f>
        <v>0</v>
      </c>
      <c r="F16" s="21">
        <f>IFERROR(SQRT(SUMPRODUCT(('Final Sample'!$E$2:$E$612=A16)*('Final Sample'!$J$2:$J$612-AVERAGEIF('Final Sample'!$E$2:$E$612,A16,'Final Sample'!$J$2:$J$612))^2)/(COUNTIF('Final Sample'!$E$2:$E$612,A16)-1)),0)</f>
        <v>0</v>
      </c>
    </row>
    <row r="17" spans="1:7" ht="15" customHeight="1" x14ac:dyDescent="0.3">
      <c r="A17" s="19" t="s">
        <v>339</v>
      </c>
      <c r="B17" s="5">
        <f>COUNTIF('Final Sample'!$E$2:$E$612,A17)</f>
        <v>10</v>
      </c>
      <c r="C17" s="21">
        <f>AVERAGEIF('Final Sample'!$E$2:$E$612,A17,'Final Sample'!$I$2:$I$612)</f>
        <v>0</v>
      </c>
      <c r="D17" s="21">
        <f>IFERROR(SQRT(SUMPRODUCT(('Final Sample'!$E$2:$E$612=A17)*('Final Sample'!$I$2:$I$612-AVERAGEIF('Final Sample'!$E$2:$E$612,A17,'Final Sample'!$I$2:$I$612))^2)/(COUNTIF('Final Sample'!$E$2:$E$612,A17)-1)),0)</f>
        <v>0</v>
      </c>
      <c r="E17" s="21">
        <f>AVERAGEIF('Final Sample'!$E$2:$E$612,A17,'Final Sample'!$J$2:$J$612)</f>
        <v>0</v>
      </c>
      <c r="F17" s="21">
        <f>IFERROR(SQRT(SUMPRODUCT(('Final Sample'!$E$2:$E$612=A17)*('Final Sample'!$J$2:$J$612-AVERAGEIF('Final Sample'!$E$2:$E$612,A17,'Final Sample'!$J$2:$J$612))^2)/(COUNTIF('Final Sample'!$E$2:$E$612,A17)-1)),0)</f>
        <v>0</v>
      </c>
    </row>
    <row r="19" spans="1:7" ht="15" customHeight="1" x14ac:dyDescent="0.3">
      <c r="A19" s="45" t="s">
        <v>822</v>
      </c>
      <c r="B19" s="45"/>
      <c r="C19" s="25"/>
      <c r="D19" s="25"/>
      <c r="E19" s="25"/>
      <c r="F19" s="25"/>
      <c r="G19" s="25"/>
    </row>
    <row r="20" spans="1:7" ht="15" customHeight="1" x14ac:dyDescent="0.3">
      <c r="A20" s="2" t="s">
        <v>4</v>
      </c>
      <c r="B20" s="2" t="s">
        <v>823</v>
      </c>
      <c r="C20" s="25"/>
      <c r="D20" s="26"/>
      <c r="E20" s="25"/>
      <c r="F20" s="25"/>
      <c r="G20" s="25"/>
    </row>
    <row r="21" spans="1:7" ht="15" customHeight="1" x14ac:dyDescent="0.3">
      <c r="A21" s="19" t="s">
        <v>99</v>
      </c>
      <c r="B21" s="5">
        <f>SUMPRODUCT(('Final Sample'!$E$2:$E$612=A21)/COUNTIFS('Final Sample'!$C$2:$C$612,'Final Sample'!$C$2:$C$612,'Final Sample'!$E$2:$E$612,'Final Sample'!$E$2:$E$612))</f>
        <v>7.0000000000000036</v>
      </c>
      <c r="C21" s="25"/>
      <c r="D21" s="26"/>
      <c r="E21" s="25"/>
      <c r="F21" s="25"/>
      <c r="G21" s="25"/>
    </row>
    <row r="22" spans="1:7" ht="15" customHeight="1" x14ac:dyDescent="0.3">
      <c r="A22" s="19" t="s">
        <v>31</v>
      </c>
      <c r="B22" s="5">
        <f>SUMPRODUCT(('Final Sample'!$E$2:$E$612=A22)/COUNTIFS('Final Sample'!$C$2:$C$612,'Final Sample'!$C$2:$C$612,'Final Sample'!$E$2:$E$612,'Final Sample'!$E$2:$E$612))</f>
        <v>40.000000000000014</v>
      </c>
      <c r="C22" s="25"/>
      <c r="D22" s="25"/>
      <c r="E22" s="25"/>
      <c r="F22" s="25"/>
      <c r="G22" s="25"/>
    </row>
    <row r="23" spans="1:7" ht="135" customHeight="1" x14ac:dyDescent="0.3">
      <c r="A23" s="19" t="s">
        <v>283</v>
      </c>
      <c r="B23" s="5">
        <f>SUMPRODUCT(('Final Sample'!$E$2:$E$612=A23)/COUNTIFS('Final Sample'!$C$2:$C$612,'Final Sample'!$C$2:$C$612,'Final Sample'!$E$2:$E$612,'Final Sample'!$E$2:$E$612))</f>
        <v>5.0000000000000018</v>
      </c>
      <c r="C23" s="25"/>
      <c r="D23" s="25"/>
      <c r="E23" s="25"/>
      <c r="F23" s="25"/>
      <c r="G23" s="25"/>
    </row>
    <row r="24" spans="1:7" ht="15" customHeight="1" x14ac:dyDescent="0.3">
      <c r="A24" s="19" t="s">
        <v>143</v>
      </c>
      <c r="B24" s="5">
        <f>SUMPRODUCT(('Final Sample'!$E$2:$E$612=A24)/COUNTIFS('Final Sample'!$C$2:$C$612,'Final Sample'!$C$2:$C$612,'Final Sample'!$E$2:$E$612,'Final Sample'!$E$2:$E$612))</f>
        <v>15.999999999999975</v>
      </c>
      <c r="C24" s="25"/>
      <c r="D24" s="25"/>
      <c r="E24" s="25"/>
      <c r="F24" s="25"/>
      <c r="G24" s="25"/>
    </row>
    <row r="25" spans="1:7" ht="15" customHeight="1" x14ac:dyDescent="0.3">
      <c r="A25" s="19" t="s">
        <v>90</v>
      </c>
      <c r="B25" s="5">
        <f>SUMPRODUCT(('Final Sample'!$E$2:$E$612=A25)/COUNTIFS('Final Sample'!$C$2:$C$612,'Final Sample'!$C$2:$C$612,'Final Sample'!$E$2:$E$612,'Final Sample'!$E$2:$E$612))</f>
        <v>9</v>
      </c>
      <c r="C25" s="25"/>
      <c r="D25" s="25"/>
      <c r="E25" s="25"/>
      <c r="F25" s="25"/>
      <c r="G25" s="25"/>
    </row>
    <row r="26" spans="1:7" ht="15" customHeight="1" x14ac:dyDescent="0.3">
      <c r="A26" s="19" t="s">
        <v>105</v>
      </c>
      <c r="B26" s="5">
        <f>SUMPRODUCT(('Final Sample'!$E$2:$E$612=A26)/COUNTIFS('Final Sample'!$C$2:$C$612,'Final Sample'!$C$2:$C$612,'Final Sample'!$E$2:$E$612,'Final Sample'!$E$2:$E$612))</f>
        <v>11.999999999999993</v>
      </c>
      <c r="C26" s="25"/>
      <c r="D26" s="25"/>
      <c r="E26" s="25"/>
      <c r="F26" s="25"/>
      <c r="G26" s="25"/>
    </row>
    <row r="27" spans="1:7" ht="15" customHeight="1" x14ac:dyDescent="0.3">
      <c r="A27" s="19" t="s">
        <v>248</v>
      </c>
      <c r="B27" s="5">
        <f>SUMPRODUCT(('Final Sample'!$E$2:$E$612=A27)/COUNTIFS('Final Sample'!$C$2:$C$612,'Final Sample'!$C$2:$C$612,'Final Sample'!$E$2:$E$612,'Final Sample'!$E$2:$E$612))</f>
        <v>5.0000000000000018</v>
      </c>
      <c r="C27" s="25"/>
      <c r="D27" s="25"/>
      <c r="E27" s="25"/>
      <c r="F27" s="25"/>
      <c r="G27" s="25"/>
    </row>
    <row r="28" spans="1:7" ht="15" customHeight="1" x14ac:dyDescent="0.3">
      <c r="A28" s="19" t="s">
        <v>321</v>
      </c>
      <c r="B28" s="5">
        <f>SUMPRODUCT(('Final Sample'!$E$2:$E$612=A28)/COUNTIFS('Final Sample'!$C$2:$C$612,'Final Sample'!$C$2:$C$612,'Final Sample'!$E$2:$E$612,'Final Sample'!$E$2:$E$612))</f>
        <v>4.0000000000000009</v>
      </c>
      <c r="C28" s="25"/>
      <c r="D28" s="25"/>
      <c r="E28" s="25"/>
      <c r="F28" s="25"/>
      <c r="G28" s="25"/>
    </row>
    <row r="29" spans="1:7" ht="15" customHeight="1" x14ac:dyDescent="0.3">
      <c r="A29" s="19" t="s">
        <v>297</v>
      </c>
      <c r="B29" s="5">
        <f>SUMPRODUCT(('Final Sample'!$E$2:$E$612=A29)/COUNTIFS('Final Sample'!$C$2:$C$612,'Final Sample'!$C$2:$C$612,'Final Sample'!$E$2:$E$612,'Final Sample'!$E$2:$E$612))</f>
        <v>2</v>
      </c>
      <c r="C29" s="25"/>
      <c r="D29" s="25"/>
      <c r="E29" s="25"/>
      <c r="F29" s="25"/>
      <c r="G29" s="25"/>
    </row>
    <row r="30" spans="1:7" ht="15" customHeight="1" x14ac:dyDescent="0.3">
      <c r="A30" s="19" t="s">
        <v>738</v>
      </c>
      <c r="B30" s="5">
        <f>SUMPRODUCT(('Final Sample'!$E$2:$E$612=A30)/COUNTIFS('Final Sample'!$C$2:$C$612,'Final Sample'!$C$2:$C$612,'Final Sample'!$E$2:$E$612,'Final Sample'!$E$2:$E$612))</f>
        <v>1</v>
      </c>
      <c r="C30" s="25"/>
      <c r="D30" s="25"/>
      <c r="E30" s="25"/>
      <c r="F30" s="25"/>
      <c r="G30" s="25"/>
    </row>
    <row r="31" spans="1:7" ht="15" customHeight="1" x14ac:dyDescent="0.3">
      <c r="A31" s="19" t="s">
        <v>41</v>
      </c>
      <c r="B31" s="5">
        <f>SUMPRODUCT(('Final Sample'!$E$2:$E$612=A31)/COUNTIFS('Final Sample'!$C$2:$C$612,'Final Sample'!$C$2:$C$612,'Final Sample'!$E$2:$E$612,'Final Sample'!$E$2:$E$612))</f>
        <v>19.999999999999961</v>
      </c>
      <c r="C31" s="25"/>
      <c r="D31" s="25"/>
      <c r="E31" s="25"/>
      <c r="F31" s="25"/>
      <c r="G31" s="25"/>
    </row>
    <row r="32" spans="1:7" ht="15" customHeight="1" x14ac:dyDescent="0.3">
      <c r="A32" s="19" t="s">
        <v>225</v>
      </c>
      <c r="B32" s="5">
        <f>SUMPRODUCT(('Final Sample'!$E$2:$E$612=A32)/COUNTIFS('Final Sample'!$C$2:$C$612,'Final Sample'!$C$2:$C$612,'Final Sample'!$E$2:$E$612,'Final Sample'!$E$2:$E$612))</f>
        <v>5.0000000000000018</v>
      </c>
      <c r="C32" s="25"/>
      <c r="D32" s="25"/>
      <c r="E32" s="25"/>
      <c r="F32" s="25"/>
      <c r="G32" s="25"/>
    </row>
    <row r="33" spans="1:7" ht="15" customHeight="1" x14ac:dyDescent="0.3">
      <c r="A33" s="19" t="s">
        <v>339</v>
      </c>
      <c r="B33" s="5">
        <f>SUMPRODUCT(('Final Sample'!$E$2:$E$612=A33)/COUNTIFS('Final Sample'!$C$2:$C$612,'Final Sample'!$C$2:$C$612,'Final Sample'!$E$2:$E$612,'Final Sample'!$E$2:$E$612))</f>
        <v>1.9999999999999998</v>
      </c>
      <c r="C33" s="25"/>
      <c r="D33" s="25"/>
      <c r="E33" s="25"/>
      <c r="F33" s="25"/>
      <c r="G33" s="25"/>
    </row>
    <row r="34" spans="1:7" ht="15" customHeight="1" x14ac:dyDescent="0.3">
      <c r="A34" s="25"/>
      <c r="B34" s="25"/>
      <c r="C34" s="25"/>
      <c r="D34" s="25"/>
      <c r="E34" s="25"/>
      <c r="F34" s="25"/>
      <c r="G34" s="25"/>
    </row>
    <row r="35" spans="1:7" ht="15" customHeight="1" x14ac:dyDescent="0.3">
      <c r="A35" s="45" t="s">
        <v>824</v>
      </c>
      <c r="B35" s="45"/>
      <c r="C35" s="45"/>
      <c r="D35" s="45"/>
      <c r="E35" s="25"/>
      <c r="F35" s="25"/>
      <c r="G35" s="25"/>
    </row>
    <row r="36" spans="1:7" ht="54.75" customHeight="1" x14ac:dyDescent="0.3">
      <c r="A36" s="47" t="s">
        <v>825</v>
      </c>
      <c r="B36" s="47"/>
      <c r="C36" s="47"/>
      <c r="D36" s="47"/>
      <c r="E36" s="47"/>
      <c r="F36" s="47"/>
      <c r="G36" s="25"/>
    </row>
    <row r="37" spans="1:7" ht="15" customHeight="1" x14ac:dyDescent="0.3">
      <c r="A37" s="25"/>
      <c r="B37" s="25"/>
      <c r="C37" s="25"/>
      <c r="D37" s="25"/>
      <c r="E37" s="25"/>
      <c r="F37" s="25"/>
      <c r="G37" s="25"/>
    </row>
    <row r="38" spans="1:7" ht="15" customHeight="1" x14ac:dyDescent="0.3">
      <c r="A38" s="2" t="s">
        <v>826</v>
      </c>
      <c r="B38" s="2" t="s">
        <v>827</v>
      </c>
      <c r="C38" s="2" t="s">
        <v>828</v>
      </c>
      <c r="D38" s="2" t="s">
        <v>829</v>
      </c>
      <c r="E38" s="27"/>
      <c r="F38" s="27"/>
      <c r="G38" s="25"/>
    </row>
    <row r="39" spans="1:7" ht="15" customHeight="1" x14ac:dyDescent="0.3">
      <c r="A39" s="19" t="s">
        <v>815</v>
      </c>
      <c r="B39" s="23">
        <v>128</v>
      </c>
      <c r="C39" s="23">
        <v>23.84</v>
      </c>
      <c r="D39" s="28">
        <v>2.1399999999999999E-2</v>
      </c>
      <c r="E39" s="29"/>
      <c r="F39" s="30"/>
      <c r="G39" s="25"/>
    </row>
    <row r="40" spans="1:7" ht="15" customHeight="1" x14ac:dyDescent="0.3">
      <c r="A40" s="19" t="s">
        <v>816</v>
      </c>
      <c r="B40" s="23">
        <v>128</v>
      </c>
      <c r="C40" s="23">
        <v>17.87</v>
      </c>
      <c r="D40" s="28">
        <v>0.12</v>
      </c>
      <c r="E40" s="29"/>
      <c r="F40" s="31"/>
      <c r="G40" s="25"/>
    </row>
    <row r="41" spans="1:7" ht="15" customHeight="1" x14ac:dyDescent="0.3">
      <c r="A41" s="25"/>
      <c r="B41" s="25"/>
      <c r="C41" s="25"/>
      <c r="D41" s="25"/>
      <c r="E41" s="25"/>
      <c r="F41" s="25"/>
      <c r="G41" s="25"/>
    </row>
    <row r="42" spans="1:7" ht="109.5" customHeight="1" x14ac:dyDescent="0.3">
      <c r="A42" s="46" t="s">
        <v>830</v>
      </c>
      <c r="B42" s="46"/>
      <c r="C42" s="46"/>
      <c r="D42" s="46"/>
      <c r="E42" s="46"/>
      <c r="F42" s="46"/>
      <c r="G42" s="25"/>
    </row>
    <row r="43" spans="1:7" ht="15" customHeight="1" x14ac:dyDescent="0.3">
      <c r="A43" s="25"/>
      <c r="B43" s="25"/>
      <c r="C43" s="25"/>
      <c r="D43" s="25"/>
      <c r="E43" s="25"/>
      <c r="F43" s="25"/>
      <c r="G43" s="25"/>
    </row>
    <row r="44" spans="1:7" ht="24.75" customHeight="1" x14ac:dyDescent="0.3">
      <c r="A44" s="47" t="s">
        <v>831</v>
      </c>
      <c r="B44" s="47"/>
      <c r="C44" s="47"/>
      <c r="D44" s="47"/>
      <c r="E44" s="47"/>
      <c r="F44" s="47"/>
      <c r="G44" s="25"/>
    </row>
    <row r="45" spans="1:7" ht="15" customHeight="1" x14ac:dyDescent="0.3">
      <c r="A45" s="47"/>
      <c r="B45" s="47"/>
      <c r="C45" s="47"/>
      <c r="D45" s="47"/>
      <c r="E45" s="47"/>
      <c r="F45" s="47"/>
      <c r="G45" s="25"/>
    </row>
    <row r="46" spans="1:7" ht="15" customHeight="1" x14ac:dyDescent="0.3">
      <c r="A46" s="47"/>
      <c r="B46" s="47"/>
      <c r="C46" s="47"/>
      <c r="D46" s="47"/>
      <c r="E46" s="47"/>
      <c r="F46" s="47"/>
      <c r="G46" s="25"/>
    </row>
    <row r="47" spans="1:7" ht="15" customHeight="1" x14ac:dyDescent="0.3">
      <c r="A47" s="47"/>
      <c r="B47" s="47"/>
      <c r="C47" s="47"/>
      <c r="D47" s="47"/>
      <c r="E47" s="47"/>
      <c r="F47" s="47"/>
      <c r="G47" s="25"/>
    </row>
    <row r="48" spans="1:7" ht="15" customHeight="1" x14ac:dyDescent="0.3">
      <c r="A48" s="25"/>
      <c r="B48" s="25"/>
      <c r="C48" s="25"/>
      <c r="D48" s="25"/>
      <c r="E48" s="25"/>
      <c r="F48" s="25"/>
      <c r="G48" s="25"/>
    </row>
    <row r="49" spans="1:7" x14ac:dyDescent="0.3">
      <c r="A49" s="25"/>
      <c r="B49" s="25"/>
      <c r="C49" s="25"/>
      <c r="D49" s="25"/>
      <c r="E49" s="25"/>
      <c r="F49" s="25"/>
      <c r="G49" s="25"/>
    </row>
    <row r="50" spans="1:7" x14ac:dyDescent="0.3">
      <c r="A50" s="25"/>
      <c r="B50" s="25"/>
      <c r="C50" s="25"/>
      <c r="D50" s="25"/>
      <c r="E50" s="25"/>
      <c r="F50" s="25"/>
      <c r="G50" s="25"/>
    </row>
    <row r="51" spans="1:7" x14ac:dyDescent="0.3">
      <c r="A51" s="25"/>
      <c r="B51" s="25"/>
      <c r="C51" s="25"/>
      <c r="D51" s="25"/>
      <c r="E51" s="25"/>
      <c r="F51" s="25"/>
      <c r="G51" s="25"/>
    </row>
    <row r="52" spans="1:7" x14ac:dyDescent="0.3">
      <c r="A52" s="25"/>
      <c r="B52" s="25"/>
      <c r="C52" s="25"/>
      <c r="D52" s="25"/>
      <c r="E52" s="25"/>
      <c r="F52" s="25"/>
      <c r="G52" s="25"/>
    </row>
    <row r="53" spans="1:7" x14ac:dyDescent="0.3">
      <c r="A53" s="25"/>
      <c r="B53" s="25"/>
      <c r="C53" s="25"/>
      <c r="D53" s="25"/>
      <c r="E53" s="25"/>
      <c r="F53" s="25"/>
      <c r="G53" s="25"/>
    </row>
    <row r="54" spans="1:7" x14ac:dyDescent="0.3">
      <c r="A54" s="25"/>
      <c r="B54" s="25"/>
      <c r="C54" s="25"/>
      <c r="D54" s="25"/>
      <c r="E54" s="25"/>
      <c r="F54" s="25"/>
      <c r="G54" s="25"/>
    </row>
  </sheetData>
  <mergeCells count="5">
    <mergeCell ref="A19:B19"/>
    <mergeCell ref="A35:D35"/>
    <mergeCell ref="A36:F36"/>
    <mergeCell ref="A42:F42"/>
    <mergeCell ref="A44:F47"/>
  </mergeCells>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zoomScaleNormal="100" workbookViewId="0"/>
  </sheetViews>
  <sheetFormatPr defaultColWidth="8.6640625" defaultRowHeight="14.4" x14ac:dyDescent="0.3"/>
  <cols>
    <col min="1" max="1" width="24" customWidth="1"/>
    <col min="2" max="7" width="12" customWidth="1"/>
    <col min="8" max="9" width="13" customWidth="1"/>
  </cols>
  <sheetData>
    <row r="1" spans="1:6" ht="15.75" customHeight="1" x14ac:dyDescent="0.3">
      <c r="A1" s="6" t="s">
        <v>832</v>
      </c>
    </row>
    <row r="2" spans="1:6" ht="15" customHeight="1" x14ac:dyDescent="0.3">
      <c r="A2" s="7" t="s">
        <v>833</v>
      </c>
    </row>
    <row r="4" spans="1:6" ht="15" customHeight="1" x14ac:dyDescent="0.3">
      <c r="A4" s="45" t="s">
        <v>834</v>
      </c>
      <c r="B4" s="45"/>
      <c r="C4" s="45"/>
      <c r="D4" s="45"/>
      <c r="E4" s="45"/>
      <c r="F4" s="45"/>
    </row>
    <row r="5" spans="1:6" ht="15" customHeight="1" x14ac:dyDescent="0.3">
      <c r="A5" s="2" t="s">
        <v>809</v>
      </c>
      <c r="B5" s="2" t="s">
        <v>788</v>
      </c>
      <c r="C5" s="2" t="s">
        <v>789</v>
      </c>
      <c r="D5" s="2" t="s">
        <v>790</v>
      </c>
      <c r="E5" s="2" t="s">
        <v>835</v>
      </c>
      <c r="F5" s="2" t="s">
        <v>836</v>
      </c>
    </row>
    <row r="6" spans="1:6" ht="15" customHeight="1" x14ac:dyDescent="0.3">
      <c r="A6" s="19" t="s">
        <v>837</v>
      </c>
      <c r="B6" s="5">
        <f>COUNT('Final Sample'!$Q$2:$Q$612)</f>
        <v>611</v>
      </c>
      <c r="C6" s="22">
        <f>AVERAGE('Final Sample'!$Q$2:$Q$612)</f>
        <v>1.6221256967835793</v>
      </c>
      <c r="D6" s="22">
        <f>MEDIAN('Final Sample'!$Q$2:$Q$612)</f>
        <v>1.13139730386332</v>
      </c>
      <c r="E6" s="22">
        <f>STDEV('Final Sample'!$Q$2:$Q$612)</f>
        <v>1.6640356470468562</v>
      </c>
      <c r="F6" s="5" t="str">
        <f>TEXT(MIN('Final Sample'!$Q$2:$Q$612),"0.00")&amp;" / "&amp;TEXT(MAX('Final Sample'!$Q$2:$Q$612),"0.00")</f>
        <v>0.41 / 16.50</v>
      </c>
    </row>
    <row r="7" spans="1:6" ht="15" customHeight="1" x14ac:dyDescent="0.3">
      <c r="A7" s="19" t="s">
        <v>838</v>
      </c>
      <c r="B7" s="5">
        <f>COUNT('Final Sample'!$AA$2:$AA$612)</f>
        <v>611</v>
      </c>
      <c r="C7" s="22">
        <f>AVERAGE('Final Sample'!$AA$2:$AA$612)</f>
        <v>1.6078360953164055</v>
      </c>
      <c r="D7" s="22">
        <f>MEDIAN('Final Sample'!$AA$2:$AA$612)</f>
        <v>1.13139730386332</v>
      </c>
      <c r="E7" s="22">
        <f>STDEV('Final Sample'!$AA$2:$AA$612)</f>
        <v>1.5604574305007992</v>
      </c>
      <c r="F7" s="5" t="str">
        <f>TEXT(MIN('Final Sample'!$AA$2:$AA$612),"0.00")&amp;" / "&amp;TEXT(MAX('Final Sample'!$AA$2:$AA$612),"0.00")</f>
        <v>0.43 / 11.33</v>
      </c>
    </row>
    <row r="8" spans="1:6" ht="15" customHeight="1" x14ac:dyDescent="0.3">
      <c r="A8" s="19" t="s">
        <v>17</v>
      </c>
      <c r="B8" s="5">
        <f>COUNT('Final Sample'!$R$2:$R$612)</f>
        <v>611</v>
      </c>
      <c r="C8" s="22">
        <f>AVERAGE('Final Sample'!$R$2:$R$612)</f>
        <v>17.951428550019862</v>
      </c>
      <c r="D8" s="22">
        <f>MEDIAN('Final Sample'!$R$2:$R$612)</f>
        <v>17.490215019896901</v>
      </c>
      <c r="E8" s="22">
        <f>STDEV('Final Sample'!$R$2:$R$612)</f>
        <v>2.5986385467558231</v>
      </c>
      <c r="F8" s="5" t="str">
        <f>TEXT(MIN('Final Sample'!$R$2:$R$612),"0.00")&amp;" / "&amp;TEXT(MAX('Final Sample'!$R$2:$R$612),"0.00")</f>
        <v>10.98 / 24.67</v>
      </c>
    </row>
    <row r="9" spans="1:6" ht="15" customHeight="1" x14ac:dyDescent="0.3">
      <c r="A9" s="19" t="s">
        <v>839</v>
      </c>
      <c r="B9" s="5">
        <f>COUNT('Final Sample'!$S$2:$S$612)</f>
        <v>611</v>
      </c>
      <c r="C9" s="22">
        <f>AVERAGE('Final Sample'!$S$2:$S$612)</f>
        <v>0.75538039664058865</v>
      </c>
      <c r="D9" s="22">
        <f>MEDIAN('Final Sample'!$S$2:$S$612)</f>
        <v>0.66466466466466501</v>
      </c>
      <c r="E9" s="22">
        <f>STDEV('Final Sample'!$S$2:$S$612)</f>
        <v>0.70005206226610917</v>
      </c>
      <c r="F9" s="5" t="str">
        <f>TEXT(MIN('Final Sample'!$S$2:$S$612),"0.00")&amp;" / "&amp;TEXT(MAX('Final Sample'!$S$2:$S$612),"0.00")</f>
        <v>0.03 / 13.79</v>
      </c>
    </row>
    <row r="10" spans="1:6" ht="15" customHeight="1" x14ac:dyDescent="0.3">
      <c r="A10" s="19" t="s">
        <v>840</v>
      </c>
      <c r="B10" s="5">
        <f>COUNT('Final Sample'!$AB$2:$AB$612)</f>
        <v>611</v>
      </c>
      <c r="C10" s="22">
        <f>AVERAGE('Final Sample'!$AB$2:$AB$612)</f>
        <v>0.73387764011002066</v>
      </c>
      <c r="D10" s="22">
        <f>MEDIAN('Final Sample'!$AB$2:$AB$612)</f>
        <v>0.66466466466466501</v>
      </c>
      <c r="E10" s="22">
        <f>STDEV('Final Sample'!$AB$2:$AB$612)</f>
        <v>0.43612475132877915</v>
      </c>
      <c r="F10" s="5" t="str">
        <f>TEXT(MIN('Final Sample'!$AB$2:$AB$612),"0.00")&amp;" / "&amp;TEXT(MAX('Final Sample'!$AB$2:$AB$612),"0.00")</f>
        <v>0.04 / 3.35</v>
      </c>
    </row>
    <row r="11" spans="1:6" ht="15" customHeight="1" x14ac:dyDescent="0.3">
      <c r="A11" s="19" t="s">
        <v>841</v>
      </c>
      <c r="B11" s="5">
        <f>COUNT('Final Sample'!$T$2:$T$612)</f>
        <v>611</v>
      </c>
      <c r="C11" s="22">
        <f>AVERAGE('Final Sample'!$T$2:$T$612)</f>
        <v>3.4764510215772669E-2</v>
      </c>
      <c r="D11" s="22">
        <f>MEDIAN('Final Sample'!$T$2:$T$612)</f>
        <v>3.1480575127667602E-2</v>
      </c>
      <c r="E11" s="22">
        <f>STDEV('Final Sample'!$T$2:$T$612)</f>
        <v>0.14687063911152032</v>
      </c>
      <c r="F11" s="5" t="str">
        <f>TEXT(MIN('Final Sample'!$T$2:$T$612),"0.00")&amp;" / "&amp;TEXT(MAX('Final Sample'!$T$2:$T$612),"0.00")</f>
        <v>-1.15 / 0.58</v>
      </c>
    </row>
    <row r="12" spans="1:6" ht="15" customHeight="1" x14ac:dyDescent="0.3">
      <c r="A12" s="19" t="s">
        <v>842</v>
      </c>
      <c r="B12" s="5">
        <f>COUNT('Final Sample'!$AC$2:$AC$612)</f>
        <v>611</v>
      </c>
      <c r="C12" s="22">
        <f>AVERAGE('Final Sample'!$AC$2:$AC$612)</f>
        <v>3.6084478845664028E-2</v>
      </c>
      <c r="D12" s="22">
        <f>MEDIAN('Final Sample'!$AC$2:$AC$612)</f>
        <v>3.1480575127667602E-2</v>
      </c>
      <c r="E12" s="22">
        <f>STDEV('Final Sample'!$AC$2:$AC$612)</f>
        <v>0.13679811092846506</v>
      </c>
      <c r="F12" s="5" t="str">
        <f>TEXT(MIN('Final Sample'!$AC$2:$AC$612),"0.00")&amp;" / "&amp;TEXT(MAX('Final Sample'!$AC$2:$AC$612),"0.00")</f>
        <v>-0.70 / 0.52</v>
      </c>
    </row>
    <row r="13" spans="1:6" ht="15" customHeight="1" x14ac:dyDescent="0.3">
      <c r="A13" s="19" t="s">
        <v>21</v>
      </c>
      <c r="B13" s="5">
        <f>COUNT('Final Sample'!$V$2:$V$612)</f>
        <v>611</v>
      </c>
      <c r="C13" s="22">
        <f>AVERAGE('Final Sample'!$V$2:$V$612)</f>
        <v>41.625204582651392</v>
      </c>
      <c r="D13" s="22">
        <f>MEDIAN('Final Sample'!$V$2:$V$612)</f>
        <v>40</v>
      </c>
      <c r="E13" s="22">
        <f>STDEV('Final Sample'!$V$2:$V$612)</f>
        <v>20.900983263772634</v>
      </c>
      <c r="F13" s="5" t="str">
        <f>TEXT(MIN('Final Sample'!$V$2:$V$612),"0.00")&amp;" / "&amp;TEXT(MAX('Final Sample'!$V$2:$V$612),"0.00")</f>
        <v>0.00 / 102.00</v>
      </c>
    </row>
    <row r="15" spans="1:6" ht="15" customHeight="1" x14ac:dyDescent="0.3">
      <c r="A15" s="47" t="s">
        <v>843</v>
      </c>
      <c r="B15" s="47"/>
      <c r="C15" s="47"/>
      <c r="D15" s="47"/>
      <c r="E15" s="47"/>
      <c r="F15" s="47"/>
    </row>
    <row r="16" spans="1:6" ht="15" customHeight="1" x14ac:dyDescent="0.3">
      <c r="A16" s="47"/>
      <c r="B16" s="47"/>
      <c r="C16" s="47"/>
      <c r="D16" s="47"/>
      <c r="E16" s="47"/>
      <c r="F16" s="47"/>
    </row>
    <row r="18" spans="1:7" ht="15" customHeight="1" x14ac:dyDescent="0.3">
      <c r="A18" s="45" t="s">
        <v>844</v>
      </c>
      <c r="B18" s="45"/>
      <c r="C18" s="45"/>
      <c r="D18" s="45"/>
      <c r="E18" s="45"/>
      <c r="F18" s="45"/>
      <c r="G18" s="45"/>
    </row>
    <row r="19" spans="1:7" ht="15" customHeight="1" x14ac:dyDescent="0.3">
      <c r="A19" s="2"/>
      <c r="B19" s="2" t="s">
        <v>845</v>
      </c>
      <c r="C19" s="2" t="s">
        <v>846</v>
      </c>
      <c r="D19" s="2" t="s">
        <v>847</v>
      </c>
      <c r="E19" s="2" t="s">
        <v>848</v>
      </c>
      <c r="F19" s="2" t="s">
        <v>849</v>
      </c>
      <c r="G19" s="2" t="s">
        <v>850</v>
      </c>
    </row>
    <row r="20" spans="1:7" ht="15" customHeight="1" x14ac:dyDescent="0.3">
      <c r="A20" s="32" t="s">
        <v>845</v>
      </c>
      <c r="B20" s="33">
        <v>1</v>
      </c>
      <c r="C20" s="22">
        <f>CORREL('Final Sample'!$I$2:$I$612,'Final Sample'!$J$2:$J$612)</f>
        <v>0.82803314895516111</v>
      </c>
      <c r="D20" s="22">
        <f>CORREL('Final Sample'!$I$2:$I$612,'Final Sample'!$AA$2:$AA$612)</f>
        <v>-4.4343292708182915E-2</v>
      </c>
      <c r="E20" s="22">
        <f>CORREL('Final Sample'!$I$2:$I$612,'Final Sample'!$R$2:$R$612)</f>
        <v>0.53510907509293726</v>
      </c>
      <c r="F20" s="22">
        <f>CORREL('Final Sample'!$I$2:$I$612,'Final Sample'!$AB$2:$AB$612)</f>
        <v>-4.2264723757582043E-2</v>
      </c>
      <c r="G20" s="22">
        <f>CORREL('Final Sample'!$I$2:$I$612,'Final Sample'!$V$2:$V$612)</f>
        <v>-1.7404858042756668E-2</v>
      </c>
    </row>
    <row r="21" spans="1:7" ht="15" customHeight="1" x14ac:dyDescent="0.3">
      <c r="A21" s="32" t="s">
        <v>846</v>
      </c>
      <c r="B21" s="22">
        <f>C20</f>
        <v>0.82803314895516111</v>
      </c>
      <c r="C21" s="33">
        <v>1</v>
      </c>
      <c r="D21" s="22">
        <f>CORREL('Final Sample'!$J$2:$J$612,'Final Sample'!$AA$2:$AA$612)</f>
        <v>-5.0046790193021093E-2</v>
      </c>
      <c r="E21" s="22">
        <f>CORREL('Final Sample'!$J$2:$J$612,'Final Sample'!$R$2:$R$612)</f>
        <v>0.50801779151429549</v>
      </c>
      <c r="F21" s="22">
        <f>CORREL('Final Sample'!$J$2:$J$612,'Final Sample'!$AB$2:$AB$612)</f>
        <v>4.3731641662095285E-3</v>
      </c>
      <c r="G21" s="22">
        <f>CORREL('Final Sample'!$J$2:$J$612,'Final Sample'!$V$2:$V$612)</f>
        <v>-4.1749331913617946E-2</v>
      </c>
    </row>
    <row r="22" spans="1:7" ht="15" customHeight="1" x14ac:dyDescent="0.3">
      <c r="A22" s="32" t="s">
        <v>847</v>
      </c>
      <c r="B22" s="22">
        <f>D20</f>
        <v>-4.4343292708182915E-2</v>
      </c>
      <c r="C22" s="22">
        <f>D21</f>
        <v>-5.0046790193021093E-2</v>
      </c>
      <c r="D22" s="33">
        <v>1</v>
      </c>
      <c r="E22" s="22">
        <f>CORREL('Final Sample'!$AA$2:$AA$612,'Final Sample'!$R$2:$R$612)</f>
        <v>-0.16054541349452628</v>
      </c>
      <c r="F22" s="22">
        <f>CORREL('Final Sample'!$AA$2:$AA$612,'Final Sample'!$AB$2:$AB$612)</f>
        <v>0.34264225189416436</v>
      </c>
      <c r="G22" s="22">
        <f>CORREL('Final Sample'!$AA$2:$AA$612,'Final Sample'!$V$2:$V$612)</f>
        <v>-4.3550929097672518E-2</v>
      </c>
    </row>
    <row r="23" spans="1:7" ht="15" customHeight="1" x14ac:dyDescent="0.3">
      <c r="A23" s="32" t="s">
        <v>848</v>
      </c>
      <c r="B23" s="22">
        <f>E20</f>
        <v>0.53510907509293726</v>
      </c>
      <c r="C23" s="22">
        <f>E21</f>
        <v>0.50801779151429549</v>
      </c>
      <c r="D23" s="22">
        <f>E22</f>
        <v>-0.16054541349452628</v>
      </c>
      <c r="E23" s="33">
        <v>1</v>
      </c>
      <c r="F23" s="22">
        <f>CORREL('Final Sample'!$R$2:$R$612,'Final Sample'!$AB$2:$AB$612)</f>
        <v>-2.7802224088631936E-2</v>
      </c>
      <c r="G23" s="22">
        <f>CORREL('Final Sample'!$R$2:$R$612,'Final Sample'!$V$2:$V$612)</f>
        <v>-0.22772718013635476</v>
      </c>
    </row>
    <row r="24" spans="1:7" ht="15" customHeight="1" x14ac:dyDescent="0.3">
      <c r="A24" s="32" t="s">
        <v>849</v>
      </c>
      <c r="B24" s="22">
        <f>F20</f>
        <v>-4.2264723757582043E-2</v>
      </c>
      <c r="C24" s="22">
        <f>F21</f>
        <v>4.3731641662095285E-3</v>
      </c>
      <c r="D24" s="22">
        <f>F22</f>
        <v>0.34264225189416436</v>
      </c>
      <c r="E24" s="22">
        <f>F23</f>
        <v>-2.7802224088631936E-2</v>
      </c>
      <c r="F24" s="33">
        <v>1</v>
      </c>
      <c r="G24" s="22">
        <f>CORREL('Final Sample'!$AB$2:$AB$612,'Final Sample'!$V$2:$V$612)</f>
        <v>-1.5514638436902744E-3</v>
      </c>
    </row>
    <row r="25" spans="1:7" ht="15" customHeight="1" x14ac:dyDescent="0.3">
      <c r="A25" s="32" t="s">
        <v>850</v>
      </c>
      <c r="B25" s="22">
        <f>G20</f>
        <v>-1.7404858042756668E-2</v>
      </c>
      <c r="C25" s="22">
        <f>G21</f>
        <v>-4.1749331913617946E-2</v>
      </c>
      <c r="D25" s="22">
        <f>G22</f>
        <v>-4.3550929097672518E-2</v>
      </c>
      <c r="E25" s="22">
        <f>G23</f>
        <v>-0.22772718013635476</v>
      </c>
      <c r="F25" s="22">
        <f>G24</f>
        <v>-1.5514638436902744E-3</v>
      </c>
      <c r="G25" s="33">
        <v>1</v>
      </c>
    </row>
    <row r="28" spans="1:7" ht="15" customHeight="1" x14ac:dyDescent="0.3">
      <c r="A28" s="45" t="s">
        <v>851</v>
      </c>
      <c r="B28" s="45"/>
      <c r="C28" s="45"/>
      <c r="D28" s="45"/>
      <c r="E28" s="45"/>
      <c r="F28" s="45"/>
      <c r="G28" s="45"/>
    </row>
    <row r="29" spans="1:7" ht="15" customHeight="1" x14ac:dyDescent="0.3">
      <c r="A29" s="2"/>
      <c r="B29" s="2" t="s">
        <v>845</v>
      </c>
      <c r="C29" s="2" t="s">
        <v>846</v>
      </c>
      <c r="D29" s="2" t="s">
        <v>847</v>
      </c>
      <c r="E29" s="2" t="s">
        <v>848</v>
      </c>
      <c r="F29" s="2" t="s">
        <v>849</v>
      </c>
      <c r="G29" s="2" t="s">
        <v>850</v>
      </c>
    </row>
    <row r="30" spans="1:7" ht="15" customHeight="1" x14ac:dyDescent="0.3">
      <c r="A30" s="32" t="s">
        <v>845</v>
      </c>
      <c r="B30" s="33">
        <v>1</v>
      </c>
      <c r="C30" s="22">
        <f>CORREL('Rank Helper'!$A$2:$A$612,'Rank Helper'!$B$2:$B$612)</f>
        <v>0.67800600740409867</v>
      </c>
      <c r="D30" s="22">
        <f>CORREL('Rank Helper'!$A$2:$A$612,'Rank Helper'!$C$2:$C$612)</f>
        <v>2.9694624645564705E-2</v>
      </c>
      <c r="E30" s="22">
        <f>CORREL('Rank Helper'!$A$2:$A$612,'Rank Helper'!$D$2:$D$612)</f>
        <v>0.50503762629958571</v>
      </c>
      <c r="F30" s="22">
        <f>CORREL('Rank Helper'!$A$2:$A$612,'Rank Helper'!$E$2:$E$612)</f>
        <v>2.3651620072409795E-2</v>
      </c>
      <c r="G30" s="22">
        <f>CORREL('Rank Helper'!$A$2:$A$612,'Rank Helper'!$F$2:$F$612)</f>
        <v>3.0483300329923024E-2</v>
      </c>
    </row>
    <row r="31" spans="1:7" ht="15" customHeight="1" x14ac:dyDescent="0.3">
      <c r="A31" s="32" t="s">
        <v>846</v>
      </c>
      <c r="B31" s="22">
        <f>C30</f>
        <v>0.67800600740409867</v>
      </c>
      <c r="C31" s="33">
        <v>1</v>
      </c>
      <c r="D31" s="22">
        <f>CORREL('Rank Helper'!$B$2:$B$612,'Rank Helper'!$C$2:$C$612)</f>
        <v>4.3646451930885587E-2</v>
      </c>
      <c r="E31" s="22">
        <f>CORREL('Rank Helper'!$B$2:$B$612,'Rank Helper'!$D$2:$D$612)</f>
        <v>0.40813391136666921</v>
      </c>
      <c r="F31" s="22">
        <f>CORREL('Rank Helper'!$B$2:$B$612,'Rank Helper'!$E$2:$E$612)</f>
        <v>8.3295676509497832E-2</v>
      </c>
      <c r="G31" s="22">
        <f>CORREL('Rank Helper'!$B$2:$B$612,'Rank Helper'!$F$2:$F$612)</f>
        <v>4.9328883635449808E-2</v>
      </c>
    </row>
    <row r="32" spans="1:7" ht="15" customHeight="1" x14ac:dyDescent="0.3">
      <c r="A32" s="32" t="s">
        <v>847</v>
      </c>
      <c r="B32" s="22">
        <f>D30</f>
        <v>2.9694624645564705E-2</v>
      </c>
      <c r="C32" s="22">
        <f>D31</f>
        <v>4.3646451930885587E-2</v>
      </c>
      <c r="D32" s="33">
        <v>1</v>
      </c>
      <c r="E32" s="22">
        <f>CORREL('Rank Helper'!$C$2:$C$612,'Rank Helper'!$D$2:$D$612)</f>
        <v>-5.9759984168943049E-2</v>
      </c>
      <c r="F32" s="22">
        <f>CORREL('Rank Helper'!$C$2:$C$612,'Rank Helper'!$E$2:$E$612)</f>
        <v>0.25227632021969471</v>
      </c>
      <c r="G32" s="22">
        <f>CORREL('Rank Helper'!$C$2:$C$612,'Rank Helper'!$F$2:$F$612)</f>
        <v>2.9847271155629861E-2</v>
      </c>
    </row>
    <row r="33" spans="1:7" ht="15" customHeight="1" x14ac:dyDescent="0.3">
      <c r="A33" s="32" t="s">
        <v>848</v>
      </c>
      <c r="B33" s="22">
        <f>E30</f>
        <v>0.50503762629958571</v>
      </c>
      <c r="C33" s="22">
        <f>E31</f>
        <v>0.40813391136666921</v>
      </c>
      <c r="D33" s="22">
        <f>E32</f>
        <v>-5.9759984168943049E-2</v>
      </c>
      <c r="E33" s="33">
        <v>1</v>
      </c>
      <c r="F33" s="22">
        <f>CORREL('Rank Helper'!$D$2:$D$612,'Rank Helper'!$E$2:$E$612)</f>
        <v>0.24315826358034659</v>
      </c>
      <c r="G33" s="22">
        <f>CORREL('Rank Helper'!$D$2:$D$612,'Rank Helper'!$F$2:$F$612)</f>
        <v>-0.21336821630652089</v>
      </c>
    </row>
    <row r="34" spans="1:7" ht="15" customHeight="1" x14ac:dyDescent="0.3">
      <c r="A34" s="32" t="s">
        <v>849</v>
      </c>
      <c r="B34" s="22">
        <f>F30</f>
        <v>2.3651620072409795E-2</v>
      </c>
      <c r="C34" s="22">
        <f>F31</f>
        <v>8.3295676509497832E-2</v>
      </c>
      <c r="D34" s="22">
        <f>F32</f>
        <v>0.25227632021969471</v>
      </c>
      <c r="E34" s="22">
        <f>F33</f>
        <v>0.24315826358034659</v>
      </c>
      <c r="F34" s="33">
        <v>1</v>
      </c>
      <c r="G34" s="22">
        <f>CORREL('Rank Helper'!$E$2:$E$612,'Rank Helper'!$F$2:$F$612)</f>
        <v>-0.10732177997993932</v>
      </c>
    </row>
    <row r="35" spans="1:7" ht="15" customHeight="1" x14ac:dyDescent="0.3">
      <c r="A35" s="32" t="s">
        <v>850</v>
      </c>
      <c r="B35" s="22">
        <f>G30</f>
        <v>3.0483300329923024E-2</v>
      </c>
      <c r="C35" s="22">
        <f>G31</f>
        <v>4.9328883635449808E-2</v>
      </c>
      <c r="D35" s="22">
        <f>G32</f>
        <v>2.9847271155629861E-2</v>
      </c>
      <c r="E35" s="22">
        <f>G33</f>
        <v>-0.21336821630652089</v>
      </c>
      <c r="F35" s="22">
        <f>G34</f>
        <v>-0.10732177997993932</v>
      </c>
      <c r="G35" s="33">
        <v>1</v>
      </c>
    </row>
    <row r="38" spans="1:7" ht="15" customHeight="1" x14ac:dyDescent="0.3">
      <c r="A38" s="47" t="s">
        <v>852</v>
      </c>
      <c r="B38" s="47"/>
      <c r="C38" s="47"/>
      <c r="D38" s="47"/>
      <c r="E38" s="47"/>
      <c r="F38" s="47"/>
      <c r="G38" s="47"/>
    </row>
    <row r="39" spans="1:7" ht="15" customHeight="1" x14ac:dyDescent="0.3">
      <c r="A39" s="47"/>
      <c r="B39" s="47"/>
      <c r="C39" s="47"/>
      <c r="D39" s="47"/>
      <c r="E39" s="47"/>
      <c r="F39" s="47"/>
      <c r="G39" s="47"/>
    </row>
    <row r="40" spans="1:7" ht="15" customHeight="1" x14ac:dyDescent="0.3">
      <c r="A40" s="47"/>
      <c r="B40" s="47"/>
      <c r="C40" s="47"/>
      <c r="D40" s="47"/>
      <c r="E40" s="47"/>
      <c r="F40" s="47"/>
      <c r="G40" s="47"/>
    </row>
    <row r="42" spans="1:7" ht="15" customHeight="1" x14ac:dyDescent="0.3">
      <c r="A42" s="47" t="s">
        <v>853</v>
      </c>
      <c r="B42" s="47"/>
      <c r="C42" s="47"/>
      <c r="D42" s="47"/>
      <c r="E42" s="47"/>
      <c r="F42" s="47"/>
      <c r="G42" s="47"/>
    </row>
    <row r="43" spans="1:7" ht="15" customHeight="1" x14ac:dyDescent="0.3">
      <c r="A43" s="47"/>
      <c r="B43" s="47"/>
      <c r="C43" s="47"/>
      <c r="D43" s="47"/>
      <c r="E43" s="47"/>
      <c r="F43" s="47"/>
      <c r="G43" s="47"/>
    </row>
  </sheetData>
  <mergeCells count="6">
    <mergeCell ref="A42:G43"/>
    <mergeCell ref="A4:F4"/>
    <mergeCell ref="A15:F16"/>
    <mergeCell ref="A18:G18"/>
    <mergeCell ref="A28:G28"/>
    <mergeCell ref="A38:G40"/>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12"/>
  <sheetViews>
    <sheetView zoomScaleNormal="100" workbookViewId="0"/>
  </sheetViews>
  <sheetFormatPr defaultColWidth="8.6640625" defaultRowHeight="14.4" x14ac:dyDescent="0.3"/>
  <sheetData>
    <row r="1" spans="1:8" ht="34.5" customHeight="1" x14ac:dyDescent="0.3">
      <c r="A1" s="2" t="s">
        <v>854</v>
      </c>
      <c r="B1" s="2" t="s">
        <v>855</v>
      </c>
      <c r="C1" s="2" t="s">
        <v>856</v>
      </c>
      <c r="D1" s="2" t="s">
        <v>857</v>
      </c>
      <c r="E1" s="2" t="s">
        <v>858</v>
      </c>
      <c r="F1" s="2" t="s">
        <v>859</v>
      </c>
      <c r="H1" s="20" t="s">
        <v>860</v>
      </c>
    </row>
    <row r="2" spans="1:8" ht="15" customHeight="1" x14ac:dyDescent="0.3">
      <c r="A2" s="25">
        <f>RANK('Final Sample'!I2,'Final Sample'!$I$2:$I$612,0)+(COUNTIF('Final Sample'!$I$2:$I$612,'Final Sample'!I2)-1)/2</f>
        <v>236</v>
      </c>
      <c r="B2" s="25">
        <f>RANK('Final Sample'!J2,'Final Sample'!$J$2:$J$612,0)+(COUNTIF('Final Sample'!$J$2:$J$612,'Final Sample'!J2)-1)/2</f>
        <v>359</v>
      </c>
      <c r="C2" s="25">
        <f>RANK('Final Sample'!AA2,'Final Sample'!$AA$2:$AA$612,0)+(COUNTIF('Final Sample'!$AA$2:$AA$612,'Final Sample'!AA2)-1)/2</f>
        <v>375</v>
      </c>
      <c r="D2" s="25">
        <f>RANK('Final Sample'!R2,'Final Sample'!$R$2:$R$612,0)+(COUNTIF('Final Sample'!$R$2:$R$612,'Final Sample'!R2)-1)/2</f>
        <v>317</v>
      </c>
      <c r="E2" s="25">
        <f>RANK('Final Sample'!AB2,'Final Sample'!$AB$2:$AB$612,0)+(COUNTIF('Final Sample'!$AB$2:$AB$612,'Final Sample'!AB2)-1)/2</f>
        <v>219</v>
      </c>
      <c r="F2" s="25">
        <f>RANK('Final Sample'!V2,'Final Sample'!$V$2:$V$612,0)+(COUNTIF('Final Sample'!$V$2:$V$612,'Final Sample'!V2)-1)/2</f>
        <v>425.5</v>
      </c>
    </row>
    <row r="3" spans="1:8" ht="15" customHeight="1" x14ac:dyDescent="0.3">
      <c r="A3" s="25">
        <f>RANK('Final Sample'!I3,'Final Sample'!$I$2:$I$612,0)+(COUNTIF('Final Sample'!$I$2:$I$612,'Final Sample'!I3)-1)/2</f>
        <v>441.5</v>
      </c>
      <c r="B3" s="25">
        <f>RANK('Final Sample'!J3,'Final Sample'!$J$2:$J$612,0)+(COUNTIF('Final Sample'!$J$2:$J$612,'Final Sample'!J3)-1)/2</f>
        <v>359</v>
      </c>
      <c r="C3" s="25">
        <f>RANK('Final Sample'!AA3,'Final Sample'!$AA$2:$AA$612,0)+(COUNTIF('Final Sample'!$AA$2:$AA$612,'Final Sample'!AA3)-1)/2</f>
        <v>258</v>
      </c>
      <c r="D3" s="25">
        <f>RANK('Final Sample'!R3,'Final Sample'!$R$2:$R$612,0)+(COUNTIF('Final Sample'!$R$2:$R$612,'Final Sample'!R3)-1)/2</f>
        <v>303</v>
      </c>
      <c r="E3" s="25">
        <f>RANK('Final Sample'!AB3,'Final Sample'!$AB$2:$AB$612,0)+(COUNTIF('Final Sample'!$AB$2:$AB$612,'Final Sample'!AB3)-1)/2</f>
        <v>215</v>
      </c>
      <c r="F3" s="25">
        <f>RANK('Final Sample'!V3,'Final Sample'!$V$2:$V$612,0)+(COUNTIF('Final Sample'!$V$2:$V$612,'Final Sample'!V3)-1)/2</f>
        <v>408</v>
      </c>
    </row>
    <row r="4" spans="1:8" ht="15" customHeight="1" x14ac:dyDescent="0.3">
      <c r="A4" s="25">
        <f>RANK('Final Sample'!I4,'Final Sample'!$I$2:$I$612,0)+(COUNTIF('Final Sample'!$I$2:$I$612,'Final Sample'!I4)-1)/2</f>
        <v>186.5</v>
      </c>
      <c r="B4" s="25">
        <f>RANK('Final Sample'!J4,'Final Sample'!$J$2:$J$612,0)+(COUNTIF('Final Sample'!$J$2:$J$612,'Final Sample'!J4)-1)/2</f>
        <v>359</v>
      </c>
      <c r="C4" s="25">
        <f>RANK('Final Sample'!AA4,'Final Sample'!$AA$2:$AA$612,0)+(COUNTIF('Final Sample'!$AA$2:$AA$612,'Final Sample'!AA4)-1)/2</f>
        <v>257</v>
      </c>
      <c r="D4" s="25">
        <f>RANK('Final Sample'!R4,'Final Sample'!$R$2:$R$612,0)+(COUNTIF('Final Sample'!$R$2:$R$612,'Final Sample'!R4)-1)/2</f>
        <v>273</v>
      </c>
      <c r="E4" s="25">
        <f>RANK('Final Sample'!AB4,'Final Sample'!$AB$2:$AB$612,0)+(COUNTIF('Final Sample'!$AB$2:$AB$612,'Final Sample'!AB4)-1)/2</f>
        <v>180</v>
      </c>
      <c r="F4" s="25">
        <f>RANK('Final Sample'!V4,'Final Sample'!$V$2:$V$612,0)+(COUNTIF('Final Sample'!$V$2:$V$612,'Final Sample'!V4)-1)/2</f>
        <v>390.5</v>
      </c>
    </row>
    <row r="5" spans="1:8" ht="15" customHeight="1" x14ac:dyDescent="0.3">
      <c r="A5" s="25">
        <f>RANK('Final Sample'!I5,'Final Sample'!$I$2:$I$612,0)+(COUNTIF('Final Sample'!$I$2:$I$612,'Final Sample'!I5)-1)/2</f>
        <v>186.5</v>
      </c>
      <c r="B5" s="25">
        <f>RANK('Final Sample'!J5,'Final Sample'!$J$2:$J$612,0)+(COUNTIF('Final Sample'!$J$2:$J$612,'Final Sample'!J5)-1)/2</f>
        <v>359</v>
      </c>
      <c r="C5" s="25">
        <f>RANK('Final Sample'!AA5,'Final Sample'!$AA$2:$AA$612,0)+(COUNTIF('Final Sample'!$AA$2:$AA$612,'Final Sample'!AA5)-1)/2</f>
        <v>252</v>
      </c>
      <c r="D5" s="25">
        <f>RANK('Final Sample'!R5,'Final Sample'!$R$2:$R$612,0)+(COUNTIF('Final Sample'!$R$2:$R$612,'Final Sample'!R5)-1)/2</f>
        <v>232</v>
      </c>
      <c r="E5" s="25">
        <f>RANK('Final Sample'!AB5,'Final Sample'!$AB$2:$AB$612,0)+(COUNTIF('Final Sample'!$AB$2:$AB$612,'Final Sample'!AB5)-1)/2</f>
        <v>147</v>
      </c>
      <c r="F5" s="25">
        <f>RANK('Final Sample'!V5,'Final Sample'!$V$2:$V$612,0)+(COUNTIF('Final Sample'!$V$2:$V$612,'Final Sample'!V5)-1)/2</f>
        <v>373</v>
      </c>
    </row>
    <row r="6" spans="1:8" ht="15" customHeight="1" x14ac:dyDescent="0.3">
      <c r="A6" s="25">
        <f>RANK('Final Sample'!I6,'Final Sample'!$I$2:$I$612,0)+(COUNTIF('Final Sample'!$I$2:$I$612,'Final Sample'!I6)-1)/2</f>
        <v>441.5</v>
      </c>
      <c r="B6" s="25">
        <f>RANK('Final Sample'!J6,'Final Sample'!$J$2:$J$612,0)+(COUNTIF('Final Sample'!$J$2:$J$612,'Final Sample'!J6)-1)/2</f>
        <v>359</v>
      </c>
      <c r="C6" s="25">
        <f>RANK('Final Sample'!AA6,'Final Sample'!$AA$2:$AA$612,0)+(COUNTIF('Final Sample'!$AA$2:$AA$612,'Final Sample'!AA6)-1)/2</f>
        <v>228</v>
      </c>
      <c r="D6" s="25">
        <f>RANK('Final Sample'!R6,'Final Sample'!$R$2:$R$612,0)+(COUNTIF('Final Sample'!$R$2:$R$612,'Final Sample'!R6)-1)/2</f>
        <v>186</v>
      </c>
      <c r="E6" s="25">
        <f>RANK('Final Sample'!AB6,'Final Sample'!$AB$2:$AB$612,0)+(COUNTIF('Final Sample'!$AB$2:$AB$612,'Final Sample'!AB6)-1)/2</f>
        <v>93</v>
      </c>
      <c r="F6" s="25">
        <f>RANK('Final Sample'!V6,'Final Sample'!$V$2:$V$612,0)+(COUNTIF('Final Sample'!$V$2:$V$612,'Final Sample'!V6)-1)/2</f>
        <v>356.5</v>
      </c>
    </row>
    <row r="7" spans="1:8" ht="15" customHeight="1" x14ac:dyDescent="0.3">
      <c r="A7" s="25">
        <f>RANK('Final Sample'!I7,'Final Sample'!$I$2:$I$612,0)+(COUNTIF('Final Sample'!$I$2:$I$612,'Final Sample'!I7)-1)/2</f>
        <v>236</v>
      </c>
      <c r="B7" s="25">
        <f>RANK('Final Sample'!J7,'Final Sample'!$J$2:$J$612,0)+(COUNTIF('Final Sample'!$J$2:$J$612,'Final Sample'!J7)-1)/2</f>
        <v>359</v>
      </c>
      <c r="C7" s="25">
        <f>RANK('Final Sample'!AA7,'Final Sample'!$AA$2:$AA$612,0)+(COUNTIF('Final Sample'!$AA$2:$AA$612,'Final Sample'!AA7)-1)/2</f>
        <v>479</v>
      </c>
      <c r="D7" s="25">
        <f>RANK('Final Sample'!R7,'Final Sample'!$R$2:$R$612,0)+(COUNTIF('Final Sample'!$R$2:$R$612,'Final Sample'!R7)-1)/2</f>
        <v>511</v>
      </c>
      <c r="E7" s="25">
        <f>RANK('Final Sample'!AB7,'Final Sample'!$AB$2:$AB$612,0)+(COUNTIF('Final Sample'!$AB$2:$AB$612,'Final Sample'!AB7)-1)/2</f>
        <v>204</v>
      </c>
      <c r="F7" s="25">
        <f>RANK('Final Sample'!V7,'Final Sample'!$V$2:$V$612,0)+(COUNTIF('Final Sample'!$V$2:$V$612,'Final Sample'!V7)-1)/2</f>
        <v>451</v>
      </c>
    </row>
    <row r="8" spans="1:8" ht="15" customHeight="1" x14ac:dyDescent="0.3">
      <c r="A8" s="25">
        <f>RANK('Final Sample'!I8,'Final Sample'!$I$2:$I$612,0)+(COUNTIF('Final Sample'!$I$2:$I$612,'Final Sample'!I8)-1)/2</f>
        <v>441.5</v>
      </c>
      <c r="B8" s="25">
        <f>RANK('Final Sample'!J8,'Final Sample'!$J$2:$J$612,0)+(COUNTIF('Final Sample'!$J$2:$J$612,'Final Sample'!J8)-1)/2</f>
        <v>359</v>
      </c>
      <c r="C8" s="25">
        <f>RANK('Final Sample'!AA8,'Final Sample'!$AA$2:$AA$612,0)+(COUNTIF('Final Sample'!$AA$2:$AA$612,'Final Sample'!AA8)-1)/2</f>
        <v>487</v>
      </c>
      <c r="D8" s="25">
        <f>RANK('Final Sample'!R8,'Final Sample'!$R$2:$R$612,0)+(COUNTIF('Final Sample'!$R$2:$R$612,'Final Sample'!R8)-1)/2</f>
        <v>504</v>
      </c>
      <c r="E8" s="25">
        <f>RANK('Final Sample'!AB8,'Final Sample'!$AB$2:$AB$612,0)+(COUNTIF('Final Sample'!$AB$2:$AB$612,'Final Sample'!AB8)-1)/2</f>
        <v>212</v>
      </c>
      <c r="F8" s="25">
        <f>RANK('Final Sample'!V8,'Final Sample'!$V$2:$V$612,0)+(COUNTIF('Final Sample'!$V$2:$V$612,'Final Sample'!V8)-1)/2</f>
        <v>440</v>
      </c>
    </row>
    <row r="9" spans="1:8" ht="15" customHeight="1" x14ac:dyDescent="0.3">
      <c r="A9" s="25">
        <f>RANK('Final Sample'!I9,'Final Sample'!$I$2:$I$612,0)+(COUNTIF('Final Sample'!$I$2:$I$612,'Final Sample'!I9)-1)/2</f>
        <v>236</v>
      </c>
      <c r="B9" s="25">
        <f>RANK('Final Sample'!J9,'Final Sample'!$J$2:$J$612,0)+(COUNTIF('Final Sample'!$J$2:$J$612,'Final Sample'!J9)-1)/2</f>
        <v>359</v>
      </c>
      <c r="C9" s="25">
        <f>RANK('Final Sample'!AA9,'Final Sample'!$AA$2:$AA$612,0)+(COUNTIF('Final Sample'!$AA$2:$AA$612,'Final Sample'!AA9)-1)/2</f>
        <v>273</v>
      </c>
      <c r="D9" s="25">
        <f>RANK('Final Sample'!R9,'Final Sample'!$R$2:$R$612,0)+(COUNTIF('Final Sample'!$R$2:$R$612,'Final Sample'!R9)-1)/2</f>
        <v>501</v>
      </c>
      <c r="E9" s="25">
        <f>RANK('Final Sample'!AB9,'Final Sample'!$AB$2:$AB$612,0)+(COUNTIF('Final Sample'!$AB$2:$AB$612,'Final Sample'!AB9)-1)/2</f>
        <v>120</v>
      </c>
      <c r="F9" s="25">
        <f>RANK('Final Sample'!V9,'Final Sample'!$V$2:$V$612,0)+(COUNTIF('Final Sample'!$V$2:$V$612,'Final Sample'!V9)-1)/2</f>
        <v>425.5</v>
      </c>
    </row>
    <row r="10" spans="1:8" ht="15" customHeight="1" x14ac:dyDescent="0.3">
      <c r="A10" s="25">
        <f>RANK('Final Sample'!I10,'Final Sample'!$I$2:$I$612,0)+(COUNTIF('Final Sample'!$I$2:$I$612,'Final Sample'!I10)-1)/2</f>
        <v>441.5</v>
      </c>
      <c r="B10" s="25">
        <f>RANK('Final Sample'!J10,'Final Sample'!$J$2:$J$612,0)+(COUNTIF('Final Sample'!$J$2:$J$612,'Final Sample'!J10)-1)/2</f>
        <v>359</v>
      </c>
      <c r="C10" s="25">
        <f>RANK('Final Sample'!AA10,'Final Sample'!$AA$2:$AA$612,0)+(COUNTIF('Final Sample'!$AA$2:$AA$612,'Final Sample'!AA10)-1)/2</f>
        <v>300</v>
      </c>
      <c r="D10" s="25">
        <f>RANK('Final Sample'!R10,'Final Sample'!$R$2:$R$612,0)+(COUNTIF('Final Sample'!$R$2:$R$612,'Final Sample'!R10)-1)/2</f>
        <v>455</v>
      </c>
      <c r="E10" s="25">
        <f>RANK('Final Sample'!AB10,'Final Sample'!$AB$2:$AB$612,0)+(COUNTIF('Final Sample'!$AB$2:$AB$612,'Final Sample'!AB10)-1)/2</f>
        <v>144</v>
      </c>
      <c r="F10" s="25">
        <f>RANK('Final Sample'!V10,'Final Sample'!$V$2:$V$612,0)+(COUNTIF('Final Sample'!$V$2:$V$612,'Final Sample'!V10)-1)/2</f>
        <v>408</v>
      </c>
    </row>
    <row r="11" spans="1:8" ht="15" customHeight="1" x14ac:dyDescent="0.3">
      <c r="A11" s="25">
        <f>RANK('Final Sample'!I11,'Final Sample'!$I$2:$I$612,0)+(COUNTIF('Final Sample'!$I$2:$I$612,'Final Sample'!I11)-1)/2</f>
        <v>441.5</v>
      </c>
      <c r="B11" s="25">
        <f>RANK('Final Sample'!J11,'Final Sample'!$J$2:$J$612,0)+(COUNTIF('Final Sample'!$J$2:$J$612,'Final Sample'!J11)-1)/2</f>
        <v>359</v>
      </c>
      <c r="C11" s="25">
        <f>RANK('Final Sample'!AA11,'Final Sample'!$AA$2:$AA$612,0)+(COUNTIF('Final Sample'!$AA$2:$AA$612,'Final Sample'!AA11)-1)/2</f>
        <v>190</v>
      </c>
      <c r="D11" s="25">
        <f>RANK('Final Sample'!R11,'Final Sample'!$R$2:$R$612,0)+(COUNTIF('Final Sample'!$R$2:$R$612,'Final Sample'!R11)-1)/2</f>
        <v>430</v>
      </c>
      <c r="E11" s="25">
        <f>RANK('Final Sample'!AB11,'Final Sample'!$AB$2:$AB$612,0)+(COUNTIF('Final Sample'!$AB$2:$AB$612,'Final Sample'!AB11)-1)/2</f>
        <v>191</v>
      </c>
      <c r="F11" s="25">
        <f>RANK('Final Sample'!V11,'Final Sample'!$V$2:$V$612,0)+(COUNTIF('Final Sample'!$V$2:$V$612,'Final Sample'!V11)-1)/2</f>
        <v>390.5</v>
      </c>
    </row>
    <row r="12" spans="1:8" ht="15" customHeight="1" x14ac:dyDescent="0.3">
      <c r="A12" s="25">
        <f>RANK('Final Sample'!I12,'Final Sample'!$I$2:$I$612,0)+(COUNTIF('Final Sample'!$I$2:$I$612,'Final Sample'!I12)-1)/2</f>
        <v>441.5</v>
      </c>
      <c r="B12" s="25">
        <f>RANK('Final Sample'!J12,'Final Sample'!$J$2:$J$612,0)+(COUNTIF('Final Sample'!$J$2:$J$612,'Final Sample'!J12)-1)/2</f>
        <v>359</v>
      </c>
      <c r="C12" s="25">
        <f>RANK('Final Sample'!AA12,'Final Sample'!$AA$2:$AA$612,0)+(COUNTIF('Final Sample'!$AA$2:$AA$612,'Final Sample'!AA12)-1)/2</f>
        <v>308</v>
      </c>
      <c r="D12" s="25">
        <f>RANK('Final Sample'!R12,'Final Sample'!$R$2:$R$612,0)+(COUNTIF('Final Sample'!$R$2:$R$612,'Final Sample'!R12)-1)/2</f>
        <v>568</v>
      </c>
      <c r="E12" s="25">
        <f>RANK('Final Sample'!AB12,'Final Sample'!$AB$2:$AB$612,0)+(COUNTIF('Final Sample'!$AB$2:$AB$612,'Final Sample'!AB12)-1)/2</f>
        <v>68</v>
      </c>
      <c r="F12" s="25">
        <f>RANK('Final Sample'!V12,'Final Sample'!$V$2:$V$612,0)+(COUNTIF('Final Sample'!$V$2:$V$612,'Final Sample'!V12)-1)/2</f>
        <v>170</v>
      </c>
    </row>
    <row r="13" spans="1:8" ht="15" customHeight="1" x14ac:dyDescent="0.3">
      <c r="A13" s="25">
        <f>RANK('Final Sample'!I13,'Final Sample'!$I$2:$I$612,0)+(COUNTIF('Final Sample'!$I$2:$I$612,'Final Sample'!I13)-1)/2</f>
        <v>441.5</v>
      </c>
      <c r="B13" s="25">
        <f>RANK('Final Sample'!J13,'Final Sample'!$J$2:$J$612,0)+(COUNTIF('Final Sample'!$J$2:$J$612,'Final Sample'!J13)-1)/2</f>
        <v>359</v>
      </c>
      <c r="C13" s="25">
        <f>RANK('Final Sample'!AA13,'Final Sample'!$AA$2:$AA$612,0)+(COUNTIF('Final Sample'!$AA$2:$AA$612,'Final Sample'!AA13)-1)/2</f>
        <v>236</v>
      </c>
      <c r="D13" s="25">
        <f>RANK('Final Sample'!R13,'Final Sample'!$R$2:$R$612,0)+(COUNTIF('Final Sample'!$R$2:$R$612,'Final Sample'!R13)-1)/2</f>
        <v>567</v>
      </c>
      <c r="E13" s="25">
        <f>RANK('Final Sample'!AB13,'Final Sample'!$AB$2:$AB$612,0)+(COUNTIF('Final Sample'!$AB$2:$AB$612,'Final Sample'!AB13)-1)/2</f>
        <v>145</v>
      </c>
      <c r="F13" s="25">
        <f>RANK('Final Sample'!V13,'Final Sample'!$V$2:$V$612,0)+(COUNTIF('Final Sample'!$V$2:$V$612,'Final Sample'!V13)-1)/2</f>
        <v>166.5</v>
      </c>
    </row>
    <row r="14" spans="1:8" ht="15" customHeight="1" x14ac:dyDescent="0.3">
      <c r="A14" s="25">
        <f>RANK('Final Sample'!I14,'Final Sample'!$I$2:$I$612,0)+(COUNTIF('Final Sample'!$I$2:$I$612,'Final Sample'!I14)-1)/2</f>
        <v>236</v>
      </c>
      <c r="B14" s="25">
        <f>RANK('Final Sample'!J14,'Final Sample'!$J$2:$J$612,0)+(COUNTIF('Final Sample'!$J$2:$J$612,'Final Sample'!J14)-1)/2</f>
        <v>359</v>
      </c>
      <c r="C14" s="25">
        <f>RANK('Final Sample'!AA14,'Final Sample'!$AA$2:$AA$612,0)+(COUNTIF('Final Sample'!$AA$2:$AA$612,'Final Sample'!AA14)-1)/2</f>
        <v>195</v>
      </c>
      <c r="D14" s="25">
        <f>RANK('Final Sample'!R14,'Final Sample'!$R$2:$R$612,0)+(COUNTIF('Final Sample'!$R$2:$R$612,'Final Sample'!R14)-1)/2</f>
        <v>561</v>
      </c>
      <c r="E14" s="25">
        <f>RANK('Final Sample'!AB14,'Final Sample'!$AB$2:$AB$612,0)+(COUNTIF('Final Sample'!$AB$2:$AB$612,'Final Sample'!AB14)-1)/2</f>
        <v>79</v>
      </c>
      <c r="F14" s="25">
        <f>RANK('Final Sample'!V14,'Final Sample'!$V$2:$V$612,0)+(COUNTIF('Final Sample'!$V$2:$V$612,'Final Sample'!V14)-1)/2</f>
        <v>162</v>
      </c>
    </row>
    <row r="15" spans="1:8" ht="15" customHeight="1" x14ac:dyDescent="0.3">
      <c r="A15" s="25">
        <f>RANK('Final Sample'!I15,'Final Sample'!$I$2:$I$612,0)+(COUNTIF('Final Sample'!$I$2:$I$612,'Final Sample'!I15)-1)/2</f>
        <v>441.5</v>
      </c>
      <c r="B15" s="25">
        <f>RANK('Final Sample'!J15,'Final Sample'!$J$2:$J$612,0)+(COUNTIF('Final Sample'!$J$2:$J$612,'Final Sample'!J15)-1)/2</f>
        <v>359</v>
      </c>
      <c r="C15" s="25">
        <f>RANK('Final Sample'!AA15,'Final Sample'!$AA$2:$AA$612,0)+(COUNTIF('Final Sample'!$AA$2:$AA$612,'Final Sample'!AA15)-1)/2</f>
        <v>158</v>
      </c>
      <c r="D15" s="25">
        <f>RANK('Final Sample'!R15,'Final Sample'!$R$2:$R$612,0)+(COUNTIF('Final Sample'!$R$2:$R$612,'Final Sample'!R15)-1)/2</f>
        <v>555</v>
      </c>
      <c r="E15" s="25">
        <f>RANK('Final Sample'!AB15,'Final Sample'!$AB$2:$AB$612,0)+(COUNTIF('Final Sample'!$AB$2:$AB$612,'Final Sample'!AB15)-1)/2</f>
        <v>78</v>
      </c>
      <c r="F15" s="25">
        <f>RANK('Final Sample'!V15,'Final Sample'!$V$2:$V$612,0)+(COUNTIF('Final Sample'!$V$2:$V$612,'Final Sample'!V15)-1)/2</f>
        <v>154.5</v>
      </c>
    </row>
    <row r="16" spans="1:8" ht="15" customHeight="1" x14ac:dyDescent="0.3">
      <c r="A16" s="25">
        <f>RANK('Final Sample'!I16,'Final Sample'!$I$2:$I$612,0)+(COUNTIF('Final Sample'!$I$2:$I$612,'Final Sample'!I16)-1)/2</f>
        <v>236</v>
      </c>
      <c r="B16" s="25">
        <f>RANK('Final Sample'!J16,'Final Sample'!$J$2:$J$612,0)+(COUNTIF('Final Sample'!$J$2:$J$612,'Final Sample'!J16)-1)/2</f>
        <v>359</v>
      </c>
      <c r="C16" s="25">
        <f>RANK('Final Sample'!AA16,'Final Sample'!$AA$2:$AA$612,0)+(COUNTIF('Final Sample'!$AA$2:$AA$612,'Final Sample'!AA16)-1)/2</f>
        <v>449</v>
      </c>
      <c r="D16" s="25">
        <f>RANK('Final Sample'!R16,'Final Sample'!$R$2:$R$612,0)+(COUNTIF('Final Sample'!$R$2:$R$612,'Final Sample'!R16)-1)/2</f>
        <v>23</v>
      </c>
      <c r="E16" s="25">
        <f>RANK('Final Sample'!AB16,'Final Sample'!$AB$2:$AB$612,0)+(COUNTIF('Final Sample'!$AB$2:$AB$612,'Final Sample'!AB16)-1)/2</f>
        <v>122</v>
      </c>
      <c r="F16" s="25">
        <f>RANK('Final Sample'!V16,'Final Sample'!$V$2:$V$612,0)+(COUNTIF('Final Sample'!$V$2:$V$612,'Final Sample'!V16)-1)/2</f>
        <v>610.5</v>
      </c>
    </row>
    <row r="17" spans="1:6" ht="15" customHeight="1" x14ac:dyDescent="0.3">
      <c r="A17" s="25">
        <f>RANK('Final Sample'!I17,'Final Sample'!$I$2:$I$612,0)+(COUNTIF('Final Sample'!$I$2:$I$612,'Final Sample'!I17)-1)/2</f>
        <v>12.5</v>
      </c>
      <c r="B17" s="25">
        <f>RANK('Final Sample'!J17,'Final Sample'!$J$2:$J$612,0)+(COUNTIF('Final Sample'!$J$2:$J$612,'Final Sample'!J17)-1)/2</f>
        <v>13</v>
      </c>
      <c r="C17" s="25">
        <f>RANK('Final Sample'!AA17,'Final Sample'!$AA$2:$AA$612,0)+(COUNTIF('Final Sample'!$AA$2:$AA$612,'Final Sample'!AA17)-1)/2</f>
        <v>451</v>
      </c>
      <c r="D17" s="25">
        <f>RANK('Final Sample'!R17,'Final Sample'!$R$2:$R$612,0)+(COUNTIF('Final Sample'!$R$2:$R$612,'Final Sample'!R17)-1)/2</f>
        <v>18</v>
      </c>
      <c r="E17" s="25">
        <f>RANK('Final Sample'!AB17,'Final Sample'!$AB$2:$AB$612,0)+(COUNTIF('Final Sample'!$AB$2:$AB$612,'Final Sample'!AB17)-1)/2</f>
        <v>109</v>
      </c>
      <c r="F17" s="25">
        <f>RANK('Final Sample'!V17,'Final Sample'!$V$2:$V$612,0)+(COUNTIF('Final Sample'!$V$2:$V$612,'Final Sample'!V17)-1)/2</f>
        <v>608</v>
      </c>
    </row>
    <row r="18" spans="1:6" ht="15" customHeight="1" x14ac:dyDescent="0.3">
      <c r="A18" s="25">
        <f>RANK('Final Sample'!I18,'Final Sample'!$I$2:$I$612,0)+(COUNTIF('Final Sample'!$I$2:$I$612,'Final Sample'!I18)-1)/2</f>
        <v>3</v>
      </c>
      <c r="B18" s="25">
        <f>RANK('Final Sample'!J18,'Final Sample'!$J$2:$J$612,0)+(COUNTIF('Final Sample'!$J$2:$J$612,'Final Sample'!J18)-1)/2</f>
        <v>7</v>
      </c>
      <c r="C18" s="25">
        <f>RANK('Final Sample'!AA18,'Final Sample'!$AA$2:$AA$612,0)+(COUNTIF('Final Sample'!$AA$2:$AA$612,'Final Sample'!AA18)-1)/2</f>
        <v>426</v>
      </c>
      <c r="D18" s="25">
        <f>RANK('Final Sample'!R18,'Final Sample'!$R$2:$R$612,0)+(COUNTIF('Final Sample'!$R$2:$R$612,'Final Sample'!R18)-1)/2</f>
        <v>10</v>
      </c>
      <c r="E18" s="25">
        <f>RANK('Final Sample'!AB18,'Final Sample'!$AB$2:$AB$612,0)+(COUNTIF('Final Sample'!$AB$2:$AB$612,'Final Sample'!AB18)-1)/2</f>
        <v>108</v>
      </c>
      <c r="F18" s="25">
        <f>RANK('Final Sample'!V18,'Final Sample'!$V$2:$V$612,0)+(COUNTIF('Final Sample'!$V$2:$V$612,'Final Sample'!V18)-1)/2</f>
        <v>605</v>
      </c>
    </row>
    <row r="19" spans="1:6" ht="15" customHeight="1" x14ac:dyDescent="0.3">
      <c r="A19" s="25">
        <f>RANK('Final Sample'!I19,'Final Sample'!$I$2:$I$612,0)+(COUNTIF('Final Sample'!$I$2:$I$612,'Final Sample'!I19)-1)/2</f>
        <v>3</v>
      </c>
      <c r="B19" s="25">
        <f>RANK('Final Sample'!J19,'Final Sample'!$J$2:$J$612,0)+(COUNTIF('Final Sample'!$J$2:$J$612,'Final Sample'!J19)-1)/2</f>
        <v>7</v>
      </c>
      <c r="C19" s="25">
        <f>RANK('Final Sample'!AA19,'Final Sample'!$AA$2:$AA$612,0)+(COUNTIF('Final Sample'!$AA$2:$AA$612,'Final Sample'!AA19)-1)/2</f>
        <v>442</v>
      </c>
      <c r="D19" s="25">
        <f>RANK('Final Sample'!R19,'Final Sample'!$R$2:$R$612,0)+(COUNTIF('Final Sample'!$R$2:$R$612,'Final Sample'!R19)-1)/2</f>
        <v>4</v>
      </c>
      <c r="E19" s="25">
        <f>RANK('Final Sample'!AB19,'Final Sample'!$AB$2:$AB$612,0)+(COUNTIF('Final Sample'!$AB$2:$AB$612,'Final Sample'!AB19)-1)/2</f>
        <v>123</v>
      </c>
      <c r="F19" s="25">
        <f>RANK('Final Sample'!V19,'Final Sample'!$V$2:$V$612,0)+(COUNTIF('Final Sample'!$V$2:$V$612,'Final Sample'!V19)-1)/2</f>
        <v>602</v>
      </c>
    </row>
    <row r="20" spans="1:6" ht="15" customHeight="1" x14ac:dyDescent="0.3">
      <c r="A20" s="25">
        <f>RANK('Final Sample'!I20,'Final Sample'!$I$2:$I$612,0)+(COUNTIF('Final Sample'!$I$2:$I$612,'Final Sample'!I20)-1)/2</f>
        <v>8</v>
      </c>
      <c r="B20" s="25">
        <f>RANK('Final Sample'!J20,'Final Sample'!$J$2:$J$612,0)+(COUNTIF('Final Sample'!$J$2:$J$612,'Final Sample'!J20)-1)/2</f>
        <v>24</v>
      </c>
      <c r="C20" s="25">
        <f>RANK('Final Sample'!AA20,'Final Sample'!$AA$2:$AA$612,0)+(COUNTIF('Final Sample'!$AA$2:$AA$612,'Final Sample'!AA20)-1)/2</f>
        <v>438</v>
      </c>
      <c r="D20" s="25">
        <f>RANK('Final Sample'!R20,'Final Sample'!$R$2:$R$612,0)+(COUNTIF('Final Sample'!$R$2:$R$612,'Final Sample'!R20)-1)/2</f>
        <v>1</v>
      </c>
      <c r="E20" s="25">
        <f>RANK('Final Sample'!AB20,'Final Sample'!$AB$2:$AB$612,0)+(COUNTIF('Final Sample'!$AB$2:$AB$612,'Final Sample'!AB20)-1)/2</f>
        <v>106</v>
      </c>
      <c r="F20" s="25">
        <f>RANK('Final Sample'!V20,'Final Sample'!$V$2:$V$612,0)+(COUNTIF('Final Sample'!$V$2:$V$612,'Final Sample'!V20)-1)/2</f>
        <v>598.5</v>
      </c>
    </row>
    <row r="21" spans="1:6" ht="15" customHeight="1" x14ac:dyDescent="0.3">
      <c r="A21" s="25">
        <f>RANK('Final Sample'!I21,'Final Sample'!$I$2:$I$612,0)+(COUNTIF('Final Sample'!$I$2:$I$612,'Final Sample'!I21)-1)/2</f>
        <v>441.5</v>
      </c>
      <c r="B21" s="25">
        <f>RANK('Final Sample'!J21,'Final Sample'!$J$2:$J$612,0)+(COUNTIF('Final Sample'!$J$2:$J$612,'Final Sample'!J21)-1)/2</f>
        <v>359</v>
      </c>
      <c r="C21" s="25">
        <f>RANK('Final Sample'!AA21,'Final Sample'!$AA$2:$AA$612,0)+(COUNTIF('Final Sample'!$AA$2:$AA$612,'Final Sample'!AA21)-1)/2</f>
        <v>259</v>
      </c>
      <c r="D21" s="25">
        <f>RANK('Final Sample'!R21,'Final Sample'!$R$2:$R$612,0)+(COUNTIF('Final Sample'!$R$2:$R$612,'Final Sample'!R21)-1)/2</f>
        <v>299</v>
      </c>
      <c r="E21" s="25">
        <f>RANK('Final Sample'!AB21,'Final Sample'!$AB$2:$AB$612,0)+(COUNTIF('Final Sample'!$AB$2:$AB$612,'Final Sample'!AB21)-1)/2</f>
        <v>48</v>
      </c>
      <c r="F21" s="25">
        <f>RANK('Final Sample'!V21,'Final Sample'!$V$2:$V$612,0)+(COUNTIF('Final Sample'!$V$2:$V$612,'Final Sample'!V21)-1)/2</f>
        <v>143.5</v>
      </c>
    </row>
    <row r="22" spans="1:6" ht="15" customHeight="1" x14ac:dyDescent="0.3">
      <c r="A22" s="25">
        <f>RANK('Final Sample'!I22,'Final Sample'!$I$2:$I$612,0)+(COUNTIF('Final Sample'!$I$2:$I$612,'Final Sample'!I22)-1)/2</f>
        <v>441.5</v>
      </c>
      <c r="B22" s="25">
        <f>RANK('Final Sample'!J22,'Final Sample'!$J$2:$J$612,0)+(COUNTIF('Final Sample'!$J$2:$J$612,'Final Sample'!J22)-1)/2</f>
        <v>359</v>
      </c>
      <c r="C22" s="25">
        <f>RANK('Final Sample'!AA22,'Final Sample'!$AA$2:$AA$612,0)+(COUNTIF('Final Sample'!$AA$2:$AA$612,'Final Sample'!AA22)-1)/2</f>
        <v>386</v>
      </c>
      <c r="D22" s="25">
        <f>RANK('Final Sample'!R22,'Final Sample'!$R$2:$R$612,0)+(COUNTIF('Final Sample'!$R$2:$R$612,'Final Sample'!R22)-1)/2</f>
        <v>281</v>
      </c>
      <c r="E22" s="25">
        <f>RANK('Final Sample'!AB22,'Final Sample'!$AB$2:$AB$612,0)+(COUNTIF('Final Sample'!$AB$2:$AB$612,'Final Sample'!AB22)-1)/2</f>
        <v>127</v>
      </c>
      <c r="F22" s="25">
        <f>RANK('Final Sample'!V22,'Final Sample'!$V$2:$V$612,0)+(COUNTIF('Final Sample'!$V$2:$V$612,'Final Sample'!V22)-1)/2</f>
        <v>129.5</v>
      </c>
    </row>
    <row r="23" spans="1:6" ht="15" customHeight="1" x14ac:dyDescent="0.3">
      <c r="A23" s="25">
        <f>RANK('Final Sample'!I23,'Final Sample'!$I$2:$I$612,0)+(COUNTIF('Final Sample'!$I$2:$I$612,'Final Sample'!I23)-1)/2</f>
        <v>441.5</v>
      </c>
      <c r="B23" s="25">
        <f>RANK('Final Sample'!J23,'Final Sample'!$J$2:$J$612,0)+(COUNTIF('Final Sample'!$J$2:$J$612,'Final Sample'!J23)-1)/2</f>
        <v>359</v>
      </c>
      <c r="C23" s="25">
        <f>RANK('Final Sample'!AA23,'Final Sample'!$AA$2:$AA$612,0)+(COUNTIF('Final Sample'!$AA$2:$AA$612,'Final Sample'!AA23)-1)/2</f>
        <v>254</v>
      </c>
      <c r="D23" s="25">
        <f>RANK('Final Sample'!R23,'Final Sample'!$R$2:$R$612,0)+(COUNTIF('Final Sample'!$R$2:$R$612,'Final Sample'!R23)-1)/2</f>
        <v>418</v>
      </c>
      <c r="E23" s="25">
        <f>RANK('Final Sample'!AB23,'Final Sample'!$AB$2:$AB$612,0)+(COUNTIF('Final Sample'!$AB$2:$AB$612,'Final Sample'!AB23)-1)/2</f>
        <v>493</v>
      </c>
      <c r="F23" s="25">
        <f>RANK('Final Sample'!V23,'Final Sample'!$V$2:$V$612,0)+(COUNTIF('Final Sample'!$V$2:$V$612,'Final Sample'!V23)-1)/2</f>
        <v>546.5</v>
      </c>
    </row>
    <row r="24" spans="1:6" ht="15" customHeight="1" x14ac:dyDescent="0.3">
      <c r="A24" s="25">
        <f>RANK('Final Sample'!I24,'Final Sample'!$I$2:$I$612,0)+(COUNTIF('Final Sample'!$I$2:$I$612,'Final Sample'!I24)-1)/2</f>
        <v>441.5</v>
      </c>
      <c r="B24" s="25">
        <f>RANK('Final Sample'!J24,'Final Sample'!$J$2:$J$612,0)+(COUNTIF('Final Sample'!$J$2:$J$612,'Final Sample'!J24)-1)/2</f>
        <v>359</v>
      </c>
      <c r="C24" s="25">
        <f>RANK('Final Sample'!AA24,'Final Sample'!$AA$2:$AA$612,0)+(COUNTIF('Final Sample'!$AA$2:$AA$612,'Final Sample'!AA24)-1)/2</f>
        <v>304</v>
      </c>
      <c r="D24" s="25">
        <f>RANK('Final Sample'!R24,'Final Sample'!$R$2:$R$612,0)+(COUNTIF('Final Sample'!$R$2:$R$612,'Final Sample'!R24)-1)/2</f>
        <v>391</v>
      </c>
      <c r="E24" s="25">
        <f>RANK('Final Sample'!AB24,'Final Sample'!$AB$2:$AB$612,0)+(COUNTIF('Final Sample'!$AB$2:$AB$612,'Final Sample'!AB24)-1)/2</f>
        <v>422</v>
      </c>
      <c r="F24" s="25">
        <f>RANK('Final Sample'!V24,'Final Sample'!$V$2:$V$612,0)+(COUNTIF('Final Sample'!$V$2:$V$612,'Final Sample'!V24)-1)/2</f>
        <v>538.5</v>
      </c>
    </row>
    <row r="25" spans="1:6" ht="15" customHeight="1" x14ac:dyDescent="0.3">
      <c r="A25" s="25">
        <f>RANK('Final Sample'!I25,'Final Sample'!$I$2:$I$612,0)+(COUNTIF('Final Sample'!$I$2:$I$612,'Final Sample'!I25)-1)/2</f>
        <v>441.5</v>
      </c>
      <c r="B25" s="25">
        <f>RANK('Final Sample'!J25,'Final Sample'!$J$2:$J$612,0)+(COUNTIF('Final Sample'!$J$2:$J$612,'Final Sample'!J25)-1)/2</f>
        <v>359</v>
      </c>
      <c r="C25" s="25">
        <f>RANK('Final Sample'!AA25,'Final Sample'!$AA$2:$AA$612,0)+(COUNTIF('Final Sample'!$AA$2:$AA$612,'Final Sample'!AA25)-1)/2</f>
        <v>262</v>
      </c>
      <c r="D25" s="25">
        <f>RANK('Final Sample'!R25,'Final Sample'!$R$2:$R$612,0)+(COUNTIF('Final Sample'!$R$2:$R$612,'Final Sample'!R25)-1)/2</f>
        <v>365</v>
      </c>
      <c r="E25" s="25">
        <f>RANK('Final Sample'!AB25,'Final Sample'!$AB$2:$AB$612,0)+(COUNTIF('Final Sample'!$AB$2:$AB$612,'Final Sample'!AB25)-1)/2</f>
        <v>379</v>
      </c>
      <c r="F25" s="25">
        <f>RANK('Final Sample'!V25,'Final Sample'!$V$2:$V$612,0)+(COUNTIF('Final Sample'!$V$2:$V$612,'Final Sample'!V25)-1)/2</f>
        <v>530</v>
      </c>
    </row>
    <row r="26" spans="1:6" ht="15" customHeight="1" x14ac:dyDescent="0.3">
      <c r="A26" s="25">
        <f>RANK('Final Sample'!I26,'Final Sample'!$I$2:$I$612,0)+(COUNTIF('Final Sample'!$I$2:$I$612,'Final Sample'!I26)-1)/2</f>
        <v>441.5</v>
      </c>
      <c r="B26" s="25">
        <f>RANK('Final Sample'!J26,'Final Sample'!$J$2:$J$612,0)+(COUNTIF('Final Sample'!$J$2:$J$612,'Final Sample'!J26)-1)/2</f>
        <v>359</v>
      </c>
      <c r="C26" s="25">
        <f>RANK('Final Sample'!AA26,'Final Sample'!$AA$2:$AA$612,0)+(COUNTIF('Final Sample'!$AA$2:$AA$612,'Final Sample'!AA26)-1)/2</f>
        <v>122</v>
      </c>
      <c r="D26" s="25">
        <f>RANK('Final Sample'!R26,'Final Sample'!$R$2:$R$612,0)+(COUNTIF('Final Sample'!$R$2:$R$612,'Final Sample'!R26)-1)/2</f>
        <v>314</v>
      </c>
      <c r="E26" s="25">
        <f>RANK('Final Sample'!AB26,'Final Sample'!$AB$2:$AB$612,0)+(COUNTIF('Final Sample'!$AB$2:$AB$612,'Final Sample'!AB26)-1)/2</f>
        <v>291</v>
      </c>
      <c r="F26" s="25">
        <f>RANK('Final Sample'!V26,'Final Sample'!$V$2:$V$612,0)+(COUNTIF('Final Sample'!$V$2:$V$612,'Final Sample'!V26)-1)/2</f>
        <v>520.5</v>
      </c>
    </row>
    <row r="27" spans="1:6" ht="15" customHeight="1" x14ac:dyDescent="0.3">
      <c r="A27" s="25">
        <f>RANK('Final Sample'!I27,'Final Sample'!$I$2:$I$612,0)+(COUNTIF('Final Sample'!$I$2:$I$612,'Final Sample'!I27)-1)/2</f>
        <v>441.5</v>
      </c>
      <c r="B27" s="25">
        <f>RANK('Final Sample'!J27,'Final Sample'!$J$2:$J$612,0)+(COUNTIF('Final Sample'!$J$2:$J$612,'Final Sample'!J27)-1)/2</f>
        <v>359</v>
      </c>
      <c r="C27" s="25">
        <f>RANK('Final Sample'!AA27,'Final Sample'!$AA$2:$AA$612,0)+(COUNTIF('Final Sample'!$AA$2:$AA$612,'Final Sample'!AA27)-1)/2</f>
        <v>98</v>
      </c>
      <c r="D27" s="25">
        <f>RANK('Final Sample'!R27,'Final Sample'!$R$2:$R$612,0)+(COUNTIF('Final Sample'!$R$2:$R$612,'Final Sample'!R27)-1)/2</f>
        <v>296</v>
      </c>
      <c r="E27" s="25">
        <f>RANK('Final Sample'!AB27,'Final Sample'!$AB$2:$AB$612,0)+(COUNTIF('Final Sample'!$AB$2:$AB$612,'Final Sample'!AB27)-1)/2</f>
        <v>282</v>
      </c>
      <c r="F27" s="25">
        <f>RANK('Final Sample'!V27,'Final Sample'!$V$2:$V$612,0)+(COUNTIF('Final Sample'!$V$2:$V$612,'Final Sample'!V27)-1)/2</f>
        <v>509.5</v>
      </c>
    </row>
    <row r="28" spans="1:6" ht="15" customHeight="1" x14ac:dyDescent="0.3">
      <c r="A28" s="25">
        <f>RANK('Final Sample'!I28,'Final Sample'!$I$2:$I$612,0)+(COUNTIF('Final Sample'!$I$2:$I$612,'Final Sample'!I28)-1)/2</f>
        <v>441.5</v>
      </c>
      <c r="B28" s="25">
        <f>RANK('Final Sample'!J28,'Final Sample'!$J$2:$J$612,0)+(COUNTIF('Final Sample'!$J$2:$J$612,'Final Sample'!J28)-1)/2</f>
        <v>359</v>
      </c>
      <c r="C28" s="25">
        <f>RANK('Final Sample'!AA28,'Final Sample'!$AA$2:$AA$612,0)+(COUNTIF('Final Sample'!$AA$2:$AA$612,'Final Sample'!AA28)-1)/2</f>
        <v>39</v>
      </c>
      <c r="D28" s="25">
        <f>RANK('Final Sample'!R28,'Final Sample'!$R$2:$R$612,0)+(COUNTIF('Final Sample'!$R$2:$R$612,'Final Sample'!R28)-1)/2</f>
        <v>577</v>
      </c>
      <c r="E28" s="25">
        <f>RANK('Final Sample'!AB28,'Final Sample'!$AB$2:$AB$612,0)+(COUNTIF('Final Sample'!$AB$2:$AB$612,'Final Sample'!AB28)-1)/2</f>
        <v>6</v>
      </c>
      <c r="F28" s="25">
        <f>RANK('Final Sample'!V28,'Final Sample'!$V$2:$V$612,0)+(COUNTIF('Final Sample'!$V$2:$V$612,'Final Sample'!V28)-1)/2</f>
        <v>129.5</v>
      </c>
    </row>
    <row r="29" spans="1:6" ht="15" customHeight="1" x14ac:dyDescent="0.3">
      <c r="A29" s="25">
        <f>RANK('Final Sample'!I29,'Final Sample'!$I$2:$I$612,0)+(COUNTIF('Final Sample'!$I$2:$I$612,'Final Sample'!I29)-1)/2</f>
        <v>441.5</v>
      </c>
      <c r="B29" s="25">
        <f>RANK('Final Sample'!J29,'Final Sample'!$J$2:$J$612,0)+(COUNTIF('Final Sample'!$J$2:$J$612,'Final Sample'!J29)-1)/2</f>
        <v>359</v>
      </c>
      <c r="C29" s="25">
        <f>RANK('Final Sample'!AA29,'Final Sample'!$AA$2:$AA$612,0)+(COUNTIF('Final Sample'!$AA$2:$AA$612,'Final Sample'!AA29)-1)/2</f>
        <v>34</v>
      </c>
      <c r="D29" s="25">
        <f>RANK('Final Sample'!R29,'Final Sample'!$R$2:$R$612,0)+(COUNTIF('Final Sample'!$R$2:$R$612,'Final Sample'!R29)-1)/2</f>
        <v>578</v>
      </c>
      <c r="E29" s="25">
        <f>RANK('Final Sample'!AB29,'Final Sample'!$AB$2:$AB$612,0)+(COUNTIF('Final Sample'!$AB$2:$AB$612,'Final Sample'!AB29)-1)/2</f>
        <v>5</v>
      </c>
      <c r="F29" s="25">
        <f>RANK('Final Sample'!V29,'Final Sample'!$V$2:$V$612,0)+(COUNTIF('Final Sample'!$V$2:$V$612,'Final Sample'!V29)-1)/2</f>
        <v>113.5</v>
      </c>
    </row>
    <row r="30" spans="1:6" ht="15" customHeight="1" x14ac:dyDescent="0.3">
      <c r="A30" s="25">
        <f>RANK('Final Sample'!I30,'Final Sample'!$I$2:$I$612,0)+(COUNTIF('Final Sample'!$I$2:$I$612,'Final Sample'!I30)-1)/2</f>
        <v>132</v>
      </c>
      <c r="B30" s="25">
        <f>RANK('Final Sample'!J30,'Final Sample'!$J$2:$J$612,0)+(COUNTIF('Final Sample'!$J$2:$J$612,'Final Sample'!J30)-1)/2</f>
        <v>359</v>
      </c>
      <c r="C30" s="25">
        <f>RANK('Final Sample'!AA30,'Final Sample'!$AA$2:$AA$612,0)+(COUNTIF('Final Sample'!$AA$2:$AA$612,'Final Sample'!AA30)-1)/2</f>
        <v>432</v>
      </c>
      <c r="D30" s="25">
        <f>RANK('Final Sample'!R30,'Final Sample'!$R$2:$R$612,0)+(COUNTIF('Final Sample'!$R$2:$R$612,'Final Sample'!R30)-1)/2</f>
        <v>168</v>
      </c>
      <c r="E30" s="25">
        <f>RANK('Final Sample'!AB30,'Final Sample'!$AB$2:$AB$612,0)+(COUNTIF('Final Sample'!$AB$2:$AB$612,'Final Sample'!AB30)-1)/2</f>
        <v>202</v>
      </c>
      <c r="F30" s="25">
        <f>RANK('Final Sample'!V30,'Final Sample'!$V$2:$V$612,0)+(COUNTIF('Final Sample'!$V$2:$V$612,'Final Sample'!V30)-1)/2</f>
        <v>218</v>
      </c>
    </row>
    <row r="31" spans="1:6" ht="15" customHeight="1" x14ac:dyDescent="0.3">
      <c r="A31" s="25">
        <f>RANK('Final Sample'!I31,'Final Sample'!$I$2:$I$612,0)+(COUNTIF('Final Sample'!$I$2:$I$612,'Final Sample'!I31)-1)/2</f>
        <v>132</v>
      </c>
      <c r="B31" s="25">
        <f>RANK('Final Sample'!J31,'Final Sample'!$J$2:$J$612,0)+(COUNTIF('Final Sample'!$J$2:$J$612,'Final Sample'!J31)-1)/2</f>
        <v>359</v>
      </c>
      <c r="C31" s="25">
        <f>RANK('Final Sample'!AA31,'Final Sample'!$AA$2:$AA$612,0)+(COUNTIF('Final Sample'!$AA$2:$AA$612,'Final Sample'!AA31)-1)/2</f>
        <v>473</v>
      </c>
      <c r="D31" s="25">
        <f>RANK('Final Sample'!R31,'Final Sample'!$R$2:$R$612,0)+(COUNTIF('Final Sample'!$R$2:$R$612,'Final Sample'!R31)-1)/2</f>
        <v>162</v>
      </c>
      <c r="E31" s="25">
        <f>RANK('Final Sample'!AB31,'Final Sample'!$AB$2:$AB$612,0)+(COUNTIF('Final Sample'!$AB$2:$AB$612,'Final Sample'!AB31)-1)/2</f>
        <v>200</v>
      </c>
      <c r="F31" s="25">
        <f>RANK('Final Sample'!V31,'Final Sample'!$V$2:$V$612,0)+(COUNTIF('Final Sample'!$V$2:$V$612,'Final Sample'!V31)-1)/2</f>
        <v>206.5</v>
      </c>
    </row>
    <row r="32" spans="1:6" ht="15" customHeight="1" x14ac:dyDescent="0.3">
      <c r="A32" s="25">
        <f>RANK('Final Sample'!I32,'Final Sample'!$I$2:$I$612,0)+(COUNTIF('Final Sample'!$I$2:$I$612,'Final Sample'!I32)-1)/2</f>
        <v>132</v>
      </c>
      <c r="B32" s="25">
        <f>RANK('Final Sample'!J32,'Final Sample'!$J$2:$J$612,0)+(COUNTIF('Final Sample'!$J$2:$J$612,'Final Sample'!J32)-1)/2</f>
        <v>359</v>
      </c>
      <c r="C32" s="25">
        <f>RANK('Final Sample'!AA32,'Final Sample'!$AA$2:$AA$612,0)+(COUNTIF('Final Sample'!$AA$2:$AA$612,'Final Sample'!AA32)-1)/2</f>
        <v>464</v>
      </c>
      <c r="D32" s="25">
        <f>RANK('Final Sample'!R32,'Final Sample'!$R$2:$R$612,0)+(COUNTIF('Final Sample'!$R$2:$R$612,'Final Sample'!R32)-1)/2</f>
        <v>155</v>
      </c>
      <c r="E32" s="25">
        <f>RANK('Final Sample'!AB32,'Final Sample'!$AB$2:$AB$612,0)+(COUNTIF('Final Sample'!$AB$2:$AB$612,'Final Sample'!AB32)-1)/2</f>
        <v>195</v>
      </c>
      <c r="F32" s="25">
        <f>RANK('Final Sample'!V32,'Final Sample'!$V$2:$V$612,0)+(COUNTIF('Final Sample'!$V$2:$V$612,'Final Sample'!V32)-1)/2</f>
        <v>195.5</v>
      </c>
    </row>
    <row r="33" spans="1:6" ht="15" customHeight="1" x14ac:dyDescent="0.3">
      <c r="A33" s="25">
        <f>RANK('Final Sample'!I33,'Final Sample'!$I$2:$I$612,0)+(COUNTIF('Final Sample'!$I$2:$I$612,'Final Sample'!I33)-1)/2</f>
        <v>132</v>
      </c>
      <c r="B33" s="25">
        <f>RANK('Final Sample'!J33,'Final Sample'!$J$2:$J$612,0)+(COUNTIF('Final Sample'!$J$2:$J$612,'Final Sample'!J33)-1)/2</f>
        <v>359</v>
      </c>
      <c r="C33" s="25">
        <f>RANK('Final Sample'!AA33,'Final Sample'!$AA$2:$AA$612,0)+(COUNTIF('Final Sample'!$AA$2:$AA$612,'Final Sample'!AA33)-1)/2</f>
        <v>407</v>
      </c>
      <c r="D33" s="25">
        <f>RANK('Final Sample'!R33,'Final Sample'!$R$2:$R$612,0)+(COUNTIF('Final Sample'!$R$2:$R$612,'Final Sample'!R33)-1)/2</f>
        <v>145</v>
      </c>
      <c r="E33" s="25">
        <f>RANK('Final Sample'!AB33,'Final Sample'!$AB$2:$AB$612,0)+(COUNTIF('Final Sample'!$AB$2:$AB$612,'Final Sample'!AB33)-1)/2</f>
        <v>194</v>
      </c>
      <c r="F33" s="25">
        <f>RANK('Final Sample'!V33,'Final Sample'!$V$2:$V$612,0)+(COUNTIF('Final Sample'!$V$2:$V$612,'Final Sample'!V33)-1)/2</f>
        <v>186.5</v>
      </c>
    </row>
    <row r="34" spans="1:6" ht="15" customHeight="1" x14ac:dyDescent="0.3">
      <c r="A34" s="25">
        <f>RANK('Final Sample'!I34,'Final Sample'!$I$2:$I$612,0)+(COUNTIF('Final Sample'!$I$2:$I$612,'Final Sample'!I34)-1)/2</f>
        <v>58.5</v>
      </c>
      <c r="B34" s="25">
        <f>RANK('Final Sample'!J34,'Final Sample'!$J$2:$J$612,0)+(COUNTIF('Final Sample'!$J$2:$J$612,'Final Sample'!J34)-1)/2</f>
        <v>98</v>
      </c>
      <c r="C34" s="25">
        <f>RANK('Final Sample'!AA34,'Final Sample'!$AA$2:$AA$612,0)+(COUNTIF('Final Sample'!$AA$2:$AA$612,'Final Sample'!AA34)-1)/2</f>
        <v>325</v>
      </c>
      <c r="D34" s="25">
        <f>RANK('Final Sample'!R34,'Final Sample'!$R$2:$R$612,0)+(COUNTIF('Final Sample'!$R$2:$R$612,'Final Sample'!R34)-1)/2</f>
        <v>127</v>
      </c>
      <c r="E34" s="25">
        <f>RANK('Final Sample'!AB34,'Final Sample'!$AB$2:$AB$612,0)+(COUNTIF('Final Sample'!$AB$2:$AB$612,'Final Sample'!AB34)-1)/2</f>
        <v>199</v>
      </c>
      <c r="F34" s="25">
        <f>RANK('Final Sample'!V34,'Final Sample'!$V$2:$V$612,0)+(COUNTIF('Final Sample'!$V$2:$V$612,'Final Sample'!V34)-1)/2</f>
        <v>179.5</v>
      </c>
    </row>
    <row r="35" spans="1:6" ht="15" customHeight="1" x14ac:dyDescent="0.3">
      <c r="A35" s="25">
        <f>RANK('Final Sample'!I35,'Final Sample'!$I$2:$I$612,0)+(COUNTIF('Final Sample'!$I$2:$I$612,'Final Sample'!I35)-1)/2</f>
        <v>236</v>
      </c>
      <c r="B35" s="25">
        <f>RANK('Final Sample'!J35,'Final Sample'!$J$2:$J$612,0)+(COUNTIF('Final Sample'!$J$2:$J$612,'Final Sample'!J35)-1)/2</f>
        <v>359</v>
      </c>
      <c r="C35" s="25">
        <f>RANK('Final Sample'!AA35,'Final Sample'!$AA$2:$AA$612,0)+(COUNTIF('Final Sample'!$AA$2:$AA$612,'Final Sample'!AA35)-1)/2</f>
        <v>220</v>
      </c>
      <c r="D35" s="25">
        <f>RANK('Final Sample'!R35,'Final Sample'!$R$2:$R$612,0)+(COUNTIF('Final Sample'!$R$2:$R$612,'Final Sample'!R35)-1)/2</f>
        <v>54</v>
      </c>
      <c r="E35" s="25">
        <f>RANK('Final Sample'!AB35,'Final Sample'!$AB$2:$AB$612,0)+(COUNTIF('Final Sample'!$AB$2:$AB$612,'Final Sample'!AB35)-1)/2</f>
        <v>306</v>
      </c>
      <c r="F35" s="25">
        <f>RANK('Final Sample'!V35,'Final Sample'!$V$2:$V$612,0)+(COUNTIF('Final Sample'!$V$2:$V$612,'Final Sample'!V35)-1)/2</f>
        <v>576.5</v>
      </c>
    </row>
    <row r="36" spans="1:6" ht="15" customHeight="1" x14ac:dyDescent="0.3">
      <c r="A36" s="25">
        <f>RANK('Final Sample'!I36,'Final Sample'!$I$2:$I$612,0)+(COUNTIF('Final Sample'!$I$2:$I$612,'Final Sample'!I36)-1)/2</f>
        <v>40</v>
      </c>
      <c r="B36" s="25">
        <f>RANK('Final Sample'!J36,'Final Sample'!$J$2:$J$612,0)+(COUNTIF('Final Sample'!$J$2:$J$612,'Final Sample'!J36)-1)/2</f>
        <v>24</v>
      </c>
      <c r="C36" s="25">
        <f>RANK('Final Sample'!AA36,'Final Sample'!$AA$2:$AA$612,0)+(COUNTIF('Final Sample'!$AA$2:$AA$612,'Final Sample'!AA36)-1)/2</f>
        <v>303</v>
      </c>
      <c r="D36" s="25">
        <f>RANK('Final Sample'!R36,'Final Sample'!$R$2:$R$612,0)+(COUNTIF('Final Sample'!$R$2:$R$612,'Final Sample'!R36)-1)/2</f>
        <v>51</v>
      </c>
      <c r="E36" s="25">
        <f>RANK('Final Sample'!AB36,'Final Sample'!$AB$2:$AB$612,0)+(COUNTIF('Final Sample'!$AB$2:$AB$612,'Final Sample'!AB36)-1)/2</f>
        <v>326</v>
      </c>
      <c r="F36" s="25">
        <f>RANK('Final Sample'!V36,'Final Sample'!$V$2:$V$612,0)+(COUNTIF('Final Sample'!$V$2:$V$612,'Final Sample'!V36)-1)/2</f>
        <v>569.5</v>
      </c>
    </row>
    <row r="37" spans="1:6" ht="15" customHeight="1" x14ac:dyDescent="0.3">
      <c r="A37" s="25">
        <f>RANK('Final Sample'!I37,'Final Sample'!$I$2:$I$612,0)+(COUNTIF('Final Sample'!$I$2:$I$612,'Final Sample'!I37)-1)/2</f>
        <v>49.5</v>
      </c>
      <c r="B37" s="25">
        <f>RANK('Final Sample'!J37,'Final Sample'!$J$2:$J$612,0)+(COUNTIF('Final Sample'!$J$2:$J$612,'Final Sample'!J37)-1)/2</f>
        <v>29</v>
      </c>
      <c r="C37" s="25">
        <f>RANK('Final Sample'!AA37,'Final Sample'!$AA$2:$AA$612,0)+(COUNTIF('Final Sample'!$AA$2:$AA$612,'Final Sample'!AA37)-1)/2</f>
        <v>147</v>
      </c>
      <c r="D37" s="25">
        <f>RANK('Final Sample'!R37,'Final Sample'!$R$2:$R$612,0)+(COUNTIF('Final Sample'!$R$2:$R$612,'Final Sample'!R37)-1)/2</f>
        <v>48</v>
      </c>
      <c r="E37" s="25">
        <f>RANK('Final Sample'!AB37,'Final Sample'!$AB$2:$AB$612,0)+(COUNTIF('Final Sample'!$AB$2:$AB$612,'Final Sample'!AB37)-1)/2</f>
        <v>313</v>
      </c>
      <c r="F37" s="25">
        <f>RANK('Final Sample'!V37,'Final Sample'!$V$2:$V$612,0)+(COUNTIF('Final Sample'!$V$2:$V$612,'Final Sample'!V37)-1)/2</f>
        <v>561</v>
      </c>
    </row>
    <row r="38" spans="1:6" ht="15" customHeight="1" x14ac:dyDescent="0.3">
      <c r="A38" s="25">
        <f>RANK('Final Sample'!I38,'Final Sample'!$I$2:$I$612,0)+(COUNTIF('Final Sample'!$I$2:$I$612,'Final Sample'!I38)-1)/2</f>
        <v>12.5</v>
      </c>
      <c r="B38" s="25">
        <f>RANK('Final Sample'!J38,'Final Sample'!$J$2:$J$612,0)+(COUNTIF('Final Sample'!$J$2:$J$612,'Final Sample'!J38)-1)/2</f>
        <v>7</v>
      </c>
      <c r="C38" s="25">
        <f>RANK('Final Sample'!AA38,'Final Sample'!$AA$2:$AA$612,0)+(COUNTIF('Final Sample'!$AA$2:$AA$612,'Final Sample'!AA38)-1)/2</f>
        <v>217</v>
      </c>
      <c r="D38" s="25">
        <f>RANK('Final Sample'!R38,'Final Sample'!$R$2:$R$612,0)+(COUNTIF('Final Sample'!$R$2:$R$612,'Final Sample'!R38)-1)/2</f>
        <v>21</v>
      </c>
      <c r="E38" s="25">
        <f>RANK('Final Sample'!AB38,'Final Sample'!$AB$2:$AB$612,0)+(COUNTIF('Final Sample'!$AB$2:$AB$612,'Final Sample'!AB38)-1)/2</f>
        <v>241</v>
      </c>
      <c r="F38" s="25">
        <f>RANK('Final Sample'!V38,'Final Sample'!$V$2:$V$612,0)+(COUNTIF('Final Sample'!$V$2:$V$612,'Final Sample'!V38)-1)/2</f>
        <v>553.5</v>
      </c>
    </row>
    <row r="39" spans="1:6" ht="15" customHeight="1" x14ac:dyDescent="0.3">
      <c r="A39" s="25">
        <f>RANK('Final Sample'!I39,'Final Sample'!$I$2:$I$612,0)+(COUNTIF('Final Sample'!$I$2:$I$612,'Final Sample'!I39)-1)/2</f>
        <v>8</v>
      </c>
      <c r="B39" s="25">
        <f>RANK('Final Sample'!J39,'Final Sample'!$J$2:$J$612,0)+(COUNTIF('Final Sample'!$J$2:$J$612,'Final Sample'!J39)-1)/2</f>
        <v>2</v>
      </c>
      <c r="C39" s="25">
        <f>RANK('Final Sample'!AA39,'Final Sample'!$AA$2:$AA$612,0)+(COUNTIF('Final Sample'!$AA$2:$AA$612,'Final Sample'!AA39)-1)/2</f>
        <v>92</v>
      </c>
      <c r="D39" s="25">
        <f>RANK('Final Sample'!R39,'Final Sample'!$R$2:$R$612,0)+(COUNTIF('Final Sample'!$R$2:$R$612,'Final Sample'!R39)-1)/2</f>
        <v>16</v>
      </c>
      <c r="E39" s="25">
        <f>RANK('Final Sample'!AB39,'Final Sample'!$AB$2:$AB$612,0)+(COUNTIF('Final Sample'!$AB$2:$AB$612,'Final Sample'!AB39)-1)/2</f>
        <v>240</v>
      </c>
      <c r="F39" s="25">
        <f>RANK('Final Sample'!V39,'Final Sample'!$V$2:$V$612,0)+(COUNTIF('Final Sample'!$V$2:$V$612,'Final Sample'!V39)-1)/2</f>
        <v>546.5</v>
      </c>
    </row>
    <row r="40" spans="1:6" ht="15" customHeight="1" x14ac:dyDescent="0.3">
      <c r="A40" s="25">
        <f>RANK('Final Sample'!I40,'Final Sample'!$I$2:$I$612,0)+(COUNTIF('Final Sample'!$I$2:$I$612,'Final Sample'!I40)-1)/2</f>
        <v>95</v>
      </c>
      <c r="B40" s="25">
        <f>RANK('Final Sample'!J40,'Final Sample'!$J$2:$J$612,0)+(COUNTIF('Final Sample'!$J$2:$J$612,'Final Sample'!J40)-1)/2</f>
        <v>359</v>
      </c>
      <c r="C40" s="25">
        <f>RANK('Final Sample'!AA40,'Final Sample'!$AA$2:$AA$612,0)+(COUNTIF('Final Sample'!$AA$2:$AA$612,'Final Sample'!AA40)-1)/2</f>
        <v>97</v>
      </c>
      <c r="D40" s="25">
        <f>RANK('Final Sample'!R40,'Final Sample'!$R$2:$R$612,0)+(COUNTIF('Final Sample'!$R$2:$R$612,'Final Sample'!R40)-1)/2</f>
        <v>77</v>
      </c>
      <c r="E40" s="25">
        <f>RANK('Final Sample'!AB40,'Final Sample'!$AB$2:$AB$612,0)+(COUNTIF('Final Sample'!$AB$2:$AB$612,'Final Sample'!AB40)-1)/2</f>
        <v>596</v>
      </c>
      <c r="F40" s="25">
        <f>RANK('Final Sample'!V40,'Final Sample'!$V$2:$V$612,0)+(COUNTIF('Final Sample'!$V$2:$V$612,'Final Sample'!V40)-1)/2</f>
        <v>390.5</v>
      </c>
    </row>
    <row r="41" spans="1:6" ht="15" customHeight="1" x14ac:dyDescent="0.3">
      <c r="A41" s="25">
        <f>RANK('Final Sample'!I41,'Final Sample'!$I$2:$I$612,0)+(COUNTIF('Final Sample'!$I$2:$I$612,'Final Sample'!I41)-1)/2</f>
        <v>112</v>
      </c>
      <c r="B41" s="25">
        <f>RANK('Final Sample'!J41,'Final Sample'!$J$2:$J$612,0)+(COUNTIF('Final Sample'!$J$2:$J$612,'Final Sample'!J41)-1)/2</f>
        <v>359</v>
      </c>
      <c r="C41" s="25">
        <f>RANK('Final Sample'!AA41,'Final Sample'!$AA$2:$AA$612,0)+(COUNTIF('Final Sample'!$AA$2:$AA$612,'Final Sample'!AA41)-1)/2</f>
        <v>323</v>
      </c>
      <c r="D41" s="25">
        <f>RANK('Final Sample'!R41,'Final Sample'!$R$2:$R$612,0)+(COUNTIF('Final Sample'!$R$2:$R$612,'Final Sample'!R41)-1)/2</f>
        <v>29</v>
      </c>
      <c r="E41" s="25">
        <f>RANK('Final Sample'!AB41,'Final Sample'!$AB$2:$AB$612,0)+(COUNTIF('Final Sample'!$AB$2:$AB$612,'Final Sample'!AB41)-1)/2</f>
        <v>233</v>
      </c>
      <c r="F41" s="25">
        <f>RANK('Final Sample'!V41,'Final Sample'!$V$2:$V$612,0)+(COUNTIF('Final Sample'!$V$2:$V$612,'Final Sample'!V41)-1)/2</f>
        <v>373</v>
      </c>
    </row>
    <row r="42" spans="1:6" ht="15" customHeight="1" x14ac:dyDescent="0.3">
      <c r="A42" s="25">
        <f>RANK('Final Sample'!I42,'Final Sample'!$I$2:$I$612,0)+(COUNTIF('Final Sample'!$I$2:$I$612,'Final Sample'!I42)-1)/2</f>
        <v>441.5</v>
      </c>
      <c r="B42" s="25">
        <f>RANK('Final Sample'!J42,'Final Sample'!$J$2:$J$612,0)+(COUNTIF('Final Sample'!$J$2:$J$612,'Final Sample'!J42)-1)/2</f>
        <v>359</v>
      </c>
      <c r="C42" s="25">
        <f>RANK('Final Sample'!AA42,'Final Sample'!$AA$2:$AA$612,0)+(COUNTIF('Final Sample'!$AA$2:$AA$612,'Final Sample'!AA42)-1)/2</f>
        <v>164</v>
      </c>
      <c r="D42" s="25">
        <f>RANK('Final Sample'!R42,'Final Sample'!$R$2:$R$612,0)+(COUNTIF('Final Sample'!$R$2:$R$612,'Final Sample'!R42)-1)/2</f>
        <v>586</v>
      </c>
      <c r="E42" s="25">
        <f>RANK('Final Sample'!AB42,'Final Sample'!$AB$2:$AB$612,0)+(COUNTIF('Final Sample'!$AB$2:$AB$612,'Final Sample'!AB42)-1)/2</f>
        <v>609.5</v>
      </c>
      <c r="F42" s="25">
        <f>RANK('Final Sample'!V42,'Final Sample'!$V$2:$V$612,0)+(COUNTIF('Final Sample'!$V$2:$V$612,'Final Sample'!V42)-1)/2</f>
        <v>311.5</v>
      </c>
    </row>
    <row r="43" spans="1:6" ht="15" customHeight="1" x14ac:dyDescent="0.3">
      <c r="A43" s="25">
        <f>RANK('Final Sample'!I43,'Final Sample'!$I$2:$I$612,0)+(COUNTIF('Final Sample'!$I$2:$I$612,'Final Sample'!I43)-1)/2</f>
        <v>441.5</v>
      </c>
      <c r="B43" s="25">
        <f>RANK('Final Sample'!J43,'Final Sample'!$J$2:$J$612,0)+(COUNTIF('Final Sample'!$J$2:$J$612,'Final Sample'!J43)-1)/2</f>
        <v>359</v>
      </c>
      <c r="C43" s="25">
        <f>RANK('Final Sample'!AA43,'Final Sample'!$AA$2:$AA$612,0)+(COUNTIF('Final Sample'!$AA$2:$AA$612,'Final Sample'!AA43)-1)/2</f>
        <v>150</v>
      </c>
      <c r="D43" s="25">
        <f>RANK('Final Sample'!R43,'Final Sample'!$R$2:$R$612,0)+(COUNTIF('Final Sample'!$R$2:$R$612,'Final Sample'!R43)-1)/2</f>
        <v>588</v>
      </c>
      <c r="E43" s="25">
        <f>RANK('Final Sample'!AB43,'Final Sample'!$AB$2:$AB$612,0)+(COUNTIF('Final Sample'!$AB$2:$AB$612,'Final Sample'!AB43)-1)/2</f>
        <v>607</v>
      </c>
      <c r="F43" s="25">
        <f>RANK('Final Sample'!V43,'Final Sample'!$V$2:$V$612,0)+(COUNTIF('Final Sample'!$V$2:$V$612,'Final Sample'!V43)-1)/2</f>
        <v>303</v>
      </c>
    </row>
    <row r="44" spans="1:6" ht="15" customHeight="1" x14ac:dyDescent="0.3">
      <c r="A44" s="25">
        <f>RANK('Final Sample'!I44,'Final Sample'!$I$2:$I$612,0)+(COUNTIF('Final Sample'!$I$2:$I$612,'Final Sample'!I44)-1)/2</f>
        <v>441.5</v>
      </c>
      <c r="B44" s="25">
        <f>RANK('Final Sample'!J44,'Final Sample'!$J$2:$J$612,0)+(COUNTIF('Final Sample'!$J$2:$J$612,'Final Sample'!J44)-1)/2</f>
        <v>359</v>
      </c>
      <c r="C44" s="25">
        <f>RANK('Final Sample'!AA44,'Final Sample'!$AA$2:$AA$612,0)+(COUNTIF('Final Sample'!$AA$2:$AA$612,'Final Sample'!AA44)-1)/2</f>
        <v>149</v>
      </c>
      <c r="D44" s="25">
        <f>RANK('Final Sample'!R44,'Final Sample'!$R$2:$R$612,0)+(COUNTIF('Final Sample'!$R$2:$R$612,'Final Sample'!R44)-1)/2</f>
        <v>589</v>
      </c>
      <c r="E44" s="25">
        <f>RANK('Final Sample'!AB44,'Final Sample'!$AB$2:$AB$612,0)+(COUNTIF('Final Sample'!$AB$2:$AB$612,'Final Sample'!AB44)-1)/2</f>
        <v>609.5</v>
      </c>
      <c r="F44" s="25">
        <f>RANK('Final Sample'!V44,'Final Sample'!$V$2:$V$612,0)+(COUNTIF('Final Sample'!$V$2:$V$612,'Final Sample'!V44)-1)/2</f>
        <v>293.5</v>
      </c>
    </row>
    <row r="45" spans="1:6" ht="15" customHeight="1" x14ac:dyDescent="0.3">
      <c r="A45" s="25">
        <f>RANK('Final Sample'!I45,'Final Sample'!$I$2:$I$612,0)+(COUNTIF('Final Sample'!$I$2:$I$612,'Final Sample'!I45)-1)/2</f>
        <v>441.5</v>
      </c>
      <c r="B45" s="25">
        <f>RANK('Final Sample'!J45,'Final Sample'!$J$2:$J$612,0)+(COUNTIF('Final Sample'!$J$2:$J$612,'Final Sample'!J45)-1)/2</f>
        <v>359</v>
      </c>
      <c r="C45" s="25">
        <f>RANK('Final Sample'!AA45,'Final Sample'!$AA$2:$AA$612,0)+(COUNTIF('Final Sample'!$AA$2:$AA$612,'Final Sample'!AA45)-1)/2</f>
        <v>210</v>
      </c>
      <c r="D45" s="25">
        <f>RANK('Final Sample'!R45,'Final Sample'!$R$2:$R$612,0)+(COUNTIF('Final Sample'!$R$2:$R$612,'Final Sample'!R45)-1)/2</f>
        <v>584</v>
      </c>
      <c r="E45" s="25">
        <f>RANK('Final Sample'!AB45,'Final Sample'!$AB$2:$AB$612,0)+(COUNTIF('Final Sample'!$AB$2:$AB$612,'Final Sample'!AB45)-1)/2</f>
        <v>609.5</v>
      </c>
      <c r="F45" s="25">
        <f>RANK('Final Sample'!V45,'Final Sample'!$V$2:$V$612,0)+(COUNTIF('Final Sample'!$V$2:$V$612,'Final Sample'!V45)-1)/2</f>
        <v>282.5</v>
      </c>
    </row>
    <row r="46" spans="1:6" ht="15" customHeight="1" x14ac:dyDescent="0.3">
      <c r="A46" s="25">
        <f>RANK('Final Sample'!I46,'Final Sample'!$I$2:$I$612,0)+(COUNTIF('Final Sample'!$I$2:$I$612,'Final Sample'!I46)-1)/2</f>
        <v>441.5</v>
      </c>
      <c r="B46" s="25">
        <f>RANK('Final Sample'!J46,'Final Sample'!$J$2:$J$612,0)+(COUNTIF('Final Sample'!$J$2:$J$612,'Final Sample'!J46)-1)/2</f>
        <v>359</v>
      </c>
      <c r="C46" s="25">
        <f>RANK('Final Sample'!AA46,'Final Sample'!$AA$2:$AA$612,0)+(COUNTIF('Final Sample'!$AA$2:$AA$612,'Final Sample'!AA46)-1)/2</f>
        <v>41</v>
      </c>
      <c r="D46" s="25">
        <f>RANK('Final Sample'!R46,'Final Sample'!$R$2:$R$612,0)+(COUNTIF('Final Sample'!$R$2:$R$612,'Final Sample'!R46)-1)/2</f>
        <v>585</v>
      </c>
      <c r="E46" s="25">
        <f>RANK('Final Sample'!AB46,'Final Sample'!$AB$2:$AB$612,0)+(COUNTIF('Final Sample'!$AB$2:$AB$612,'Final Sample'!AB46)-1)/2</f>
        <v>609.5</v>
      </c>
      <c r="F46" s="25">
        <f>RANK('Final Sample'!V46,'Final Sample'!$V$2:$V$612,0)+(COUNTIF('Final Sample'!$V$2:$V$612,'Final Sample'!V46)-1)/2</f>
        <v>270.5</v>
      </c>
    </row>
    <row r="47" spans="1:6" ht="15" customHeight="1" x14ac:dyDescent="0.3">
      <c r="A47" s="25">
        <f>RANK('Final Sample'!I47,'Final Sample'!$I$2:$I$612,0)+(COUNTIF('Final Sample'!$I$2:$I$612,'Final Sample'!I47)-1)/2</f>
        <v>441.5</v>
      </c>
      <c r="B47" s="25">
        <f>RANK('Final Sample'!J47,'Final Sample'!$J$2:$J$612,0)+(COUNTIF('Final Sample'!$J$2:$J$612,'Final Sample'!J47)-1)/2</f>
        <v>359</v>
      </c>
      <c r="C47" s="25">
        <f>RANK('Final Sample'!AA47,'Final Sample'!$AA$2:$AA$612,0)+(COUNTIF('Final Sample'!$AA$2:$AA$612,'Final Sample'!AA47)-1)/2</f>
        <v>393</v>
      </c>
      <c r="D47" s="25">
        <f>RANK('Final Sample'!R47,'Final Sample'!$R$2:$R$612,0)+(COUNTIF('Final Sample'!$R$2:$R$612,'Final Sample'!R47)-1)/2</f>
        <v>110</v>
      </c>
      <c r="E47" s="25">
        <f>RANK('Final Sample'!AB47,'Final Sample'!$AB$2:$AB$612,0)+(COUNTIF('Final Sample'!$AB$2:$AB$612,'Final Sample'!AB47)-1)/2</f>
        <v>73</v>
      </c>
      <c r="F47" s="25">
        <f>RANK('Final Sample'!V47,'Final Sample'!$V$2:$V$612,0)+(COUNTIF('Final Sample'!$V$2:$V$612,'Final Sample'!V47)-1)/2</f>
        <v>595</v>
      </c>
    </row>
    <row r="48" spans="1:6" ht="15" customHeight="1" x14ac:dyDescent="0.3">
      <c r="A48" s="25">
        <f>RANK('Final Sample'!I48,'Final Sample'!$I$2:$I$612,0)+(COUNTIF('Final Sample'!$I$2:$I$612,'Final Sample'!I48)-1)/2</f>
        <v>441.5</v>
      </c>
      <c r="B48" s="25">
        <f>RANK('Final Sample'!J48,'Final Sample'!$J$2:$J$612,0)+(COUNTIF('Final Sample'!$J$2:$J$612,'Final Sample'!J48)-1)/2</f>
        <v>359</v>
      </c>
      <c r="C48" s="25">
        <f>RANK('Final Sample'!AA48,'Final Sample'!$AA$2:$AA$612,0)+(COUNTIF('Final Sample'!$AA$2:$AA$612,'Final Sample'!AA48)-1)/2</f>
        <v>400</v>
      </c>
      <c r="D48" s="25">
        <f>RANK('Final Sample'!R48,'Final Sample'!$R$2:$R$612,0)+(COUNTIF('Final Sample'!$R$2:$R$612,'Final Sample'!R48)-1)/2</f>
        <v>109</v>
      </c>
      <c r="E48" s="25">
        <f>RANK('Final Sample'!AB48,'Final Sample'!$AB$2:$AB$612,0)+(COUNTIF('Final Sample'!$AB$2:$AB$612,'Final Sample'!AB48)-1)/2</f>
        <v>75</v>
      </c>
      <c r="F48" s="25">
        <f>RANK('Final Sample'!V48,'Final Sample'!$V$2:$V$612,0)+(COUNTIF('Final Sample'!$V$2:$V$612,'Final Sample'!V48)-1)/2</f>
        <v>593.5</v>
      </c>
    </row>
    <row r="49" spans="1:6" ht="15" customHeight="1" x14ac:dyDescent="0.3">
      <c r="A49" s="25">
        <f>RANK('Final Sample'!I49,'Final Sample'!$I$2:$I$612,0)+(COUNTIF('Final Sample'!$I$2:$I$612,'Final Sample'!I49)-1)/2</f>
        <v>441.5</v>
      </c>
      <c r="B49" s="25">
        <f>RANK('Final Sample'!J49,'Final Sample'!$J$2:$J$612,0)+(COUNTIF('Final Sample'!$J$2:$J$612,'Final Sample'!J49)-1)/2</f>
        <v>359</v>
      </c>
      <c r="C49" s="25">
        <f>RANK('Final Sample'!AA49,'Final Sample'!$AA$2:$AA$612,0)+(COUNTIF('Final Sample'!$AA$2:$AA$612,'Final Sample'!AA49)-1)/2</f>
        <v>403</v>
      </c>
      <c r="D49" s="25">
        <f>RANK('Final Sample'!R49,'Final Sample'!$R$2:$R$612,0)+(COUNTIF('Final Sample'!$R$2:$R$612,'Final Sample'!R49)-1)/2</f>
        <v>111</v>
      </c>
      <c r="E49" s="25">
        <f>RANK('Final Sample'!AB49,'Final Sample'!$AB$2:$AB$612,0)+(COUNTIF('Final Sample'!$AB$2:$AB$612,'Final Sample'!AB49)-1)/2</f>
        <v>77</v>
      </c>
      <c r="F49" s="25">
        <f>RANK('Final Sample'!V49,'Final Sample'!$V$2:$V$612,0)+(COUNTIF('Final Sample'!$V$2:$V$612,'Final Sample'!V49)-1)/2</f>
        <v>591</v>
      </c>
    </row>
    <row r="50" spans="1:6" ht="15" customHeight="1" x14ac:dyDescent="0.3">
      <c r="A50" s="25">
        <f>RANK('Final Sample'!I50,'Final Sample'!$I$2:$I$612,0)+(COUNTIF('Final Sample'!$I$2:$I$612,'Final Sample'!I50)-1)/2</f>
        <v>441.5</v>
      </c>
      <c r="B50" s="25">
        <f>RANK('Final Sample'!J50,'Final Sample'!$J$2:$J$612,0)+(COUNTIF('Final Sample'!$J$2:$J$612,'Final Sample'!J50)-1)/2</f>
        <v>359</v>
      </c>
      <c r="C50" s="25">
        <f>RANK('Final Sample'!AA50,'Final Sample'!$AA$2:$AA$612,0)+(COUNTIF('Final Sample'!$AA$2:$AA$612,'Final Sample'!AA50)-1)/2</f>
        <v>371</v>
      </c>
      <c r="D50" s="25">
        <f>RANK('Final Sample'!R50,'Final Sample'!$R$2:$R$612,0)+(COUNTIF('Final Sample'!$R$2:$R$612,'Final Sample'!R50)-1)/2</f>
        <v>485</v>
      </c>
      <c r="E50" s="25">
        <f>RANK('Final Sample'!AB50,'Final Sample'!$AB$2:$AB$612,0)+(COUNTIF('Final Sample'!$AB$2:$AB$612,'Final Sample'!AB50)-1)/2</f>
        <v>69</v>
      </c>
      <c r="F50" s="25">
        <f>RANK('Final Sample'!V50,'Final Sample'!$V$2:$V$612,0)+(COUNTIF('Final Sample'!$V$2:$V$612,'Final Sample'!V50)-1)/2</f>
        <v>587</v>
      </c>
    </row>
    <row r="51" spans="1:6" ht="15" customHeight="1" x14ac:dyDescent="0.3">
      <c r="A51" s="25">
        <f>RANK('Final Sample'!I51,'Final Sample'!$I$2:$I$612,0)+(COUNTIF('Final Sample'!$I$2:$I$612,'Final Sample'!I51)-1)/2</f>
        <v>441.5</v>
      </c>
      <c r="B51" s="25">
        <f>RANK('Final Sample'!J51,'Final Sample'!$J$2:$J$612,0)+(COUNTIF('Final Sample'!$J$2:$J$612,'Final Sample'!J51)-1)/2</f>
        <v>359</v>
      </c>
      <c r="C51" s="25">
        <f>RANK('Final Sample'!AA51,'Final Sample'!$AA$2:$AA$612,0)+(COUNTIF('Final Sample'!$AA$2:$AA$612,'Final Sample'!AA51)-1)/2</f>
        <v>373</v>
      </c>
      <c r="D51" s="25">
        <f>RANK('Final Sample'!R51,'Final Sample'!$R$2:$R$612,0)+(COUNTIF('Final Sample'!$R$2:$R$612,'Final Sample'!R51)-1)/2</f>
        <v>487</v>
      </c>
      <c r="E51" s="25">
        <f>RANK('Final Sample'!AB51,'Final Sample'!$AB$2:$AB$612,0)+(COUNTIF('Final Sample'!$AB$2:$AB$612,'Final Sample'!AB51)-1)/2</f>
        <v>71</v>
      </c>
      <c r="F51" s="25">
        <f>RANK('Final Sample'!V51,'Final Sample'!$V$2:$V$612,0)+(COUNTIF('Final Sample'!$V$2:$V$612,'Final Sample'!V51)-1)/2</f>
        <v>582</v>
      </c>
    </row>
    <row r="52" spans="1:6" ht="15" customHeight="1" x14ac:dyDescent="0.3">
      <c r="A52" s="25">
        <f>RANK('Final Sample'!I52,'Final Sample'!$I$2:$I$612,0)+(COUNTIF('Final Sample'!$I$2:$I$612,'Final Sample'!I52)-1)/2</f>
        <v>162.5</v>
      </c>
      <c r="B52" s="25">
        <f>RANK('Final Sample'!J52,'Final Sample'!$J$2:$J$612,0)+(COUNTIF('Final Sample'!$J$2:$J$612,'Final Sample'!J52)-1)/2</f>
        <v>359</v>
      </c>
      <c r="C52" s="25">
        <f>RANK('Final Sample'!AA52,'Final Sample'!$AA$2:$AA$612,0)+(COUNTIF('Final Sample'!$AA$2:$AA$612,'Final Sample'!AA52)-1)/2</f>
        <v>536</v>
      </c>
      <c r="D52" s="25">
        <f>RANK('Final Sample'!R52,'Final Sample'!$R$2:$R$612,0)+(COUNTIF('Final Sample'!$R$2:$R$612,'Final Sample'!R52)-1)/2</f>
        <v>525</v>
      </c>
      <c r="E52" s="25">
        <f>RANK('Final Sample'!AB52,'Final Sample'!$AB$2:$AB$612,0)+(COUNTIF('Final Sample'!$AB$2:$AB$612,'Final Sample'!AB52)-1)/2</f>
        <v>543</v>
      </c>
      <c r="F52" s="25">
        <f>RANK('Final Sample'!V52,'Final Sample'!$V$2:$V$612,0)+(COUNTIF('Final Sample'!$V$2:$V$612,'Final Sample'!V52)-1)/2</f>
        <v>129.5</v>
      </c>
    </row>
    <row r="53" spans="1:6" ht="15" customHeight="1" x14ac:dyDescent="0.3">
      <c r="A53" s="25">
        <f>RANK('Final Sample'!I53,'Final Sample'!$I$2:$I$612,0)+(COUNTIF('Final Sample'!$I$2:$I$612,'Final Sample'!I53)-1)/2</f>
        <v>162.5</v>
      </c>
      <c r="B53" s="25">
        <f>RANK('Final Sample'!J53,'Final Sample'!$J$2:$J$612,0)+(COUNTIF('Final Sample'!$J$2:$J$612,'Final Sample'!J53)-1)/2</f>
        <v>359</v>
      </c>
      <c r="C53" s="25">
        <f>RANK('Final Sample'!AA53,'Final Sample'!$AA$2:$AA$612,0)+(COUNTIF('Final Sample'!$AA$2:$AA$612,'Final Sample'!AA53)-1)/2</f>
        <v>559</v>
      </c>
      <c r="D53" s="25">
        <f>RANK('Final Sample'!R53,'Final Sample'!$R$2:$R$612,0)+(COUNTIF('Final Sample'!$R$2:$R$612,'Final Sample'!R53)-1)/2</f>
        <v>516</v>
      </c>
      <c r="E53" s="25">
        <f>RANK('Final Sample'!AB53,'Final Sample'!$AB$2:$AB$612,0)+(COUNTIF('Final Sample'!$AB$2:$AB$612,'Final Sample'!AB53)-1)/2</f>
        <v>527</v>
      </c>
      <c r="F53" s="25">
        <f>RANK('Final Sample'!V53,'Final Sample'!$V$2:$V$612,0)+(COUNTIF('Final Sample'!$V$2:$V$612,'Final Sample'!V53)-1)/2</f>
        <v>113.5</v>
      </c>
    </row>
    <row r="54" spans="1:6" ht="15" customHeight="1" x14ac:dyDescent="0.3">
      <c r="A54" s="25">
        <f>RANK('Final Sample'!I54,'Final Sample'!$I$2:$I$612,0)+(COUNTIF('Final Sample'!$I$2:$I$612,'Final Sample'!I54)-1)/2</f>
        <v>162.5</v>
      </c>
      <c r="B54" s="25">
        <f>RANK('Final Sample'!J54,'Final Sample'!$J$2:$J$612,0)+(COUNTIF('Final Sample'!$J$2:$J$612,'Final Sample'!J54)-1)/2</f>
        <v>359</v>
      </c>
      <c r="C54" s="25">
        <f>RANK('Final Sample'!AA54,'Final Sample'!$AA$2:$AA$612,0)+(COUNTIF('Final Sample'!$AA$2:$AA$612,'Final Sample'!AA54)-1)/2</f>
        <v>348</v>
      </c>
      <c r="D54" s="25">
        <f>RANK('Final Sample'!R54,'Final Sample'!$R$2:$R$612,0)+(COUNTIF('Final Sample'!$R$2:$R$612,'Final Sample'!R54)-1)/2</f>
        <v>505</v>
      </c>
      <c r="E54" s="25">
        <f>RANK('Final Sample'!AB54,'Final Sample'!$AB$2:$AB$612,0)+(COUNTIF('Final Sample'!$AB$2:$AB$612,'Final Sample'!AB54)-1)/2</f>
        <v>469</v>
      </c>
      <c r="F54" s="25">
        <f>RANK('Final Sample'!V54,'Final Sample'!$V$2:$V$612,0)+(COUNTIF('Final Sample'!$V$2:$V$612,'Final Sample'!V54)-1)/2</f>
        <v>97.5</v>
      </c>
    </row>
    <row r="55" spans="1:6" ht="15" customHeight="1" x14ac:dyDescent="0.3">
      <c r="A55" s="25">
        <f>RANK('Final Sample'!I55,'Final Sample'!$I$2:$I$612,0)+(COUNTIF('Final Sample'!$I$2:$I$612,'Final Sample'!I55)-1)/2</f>
        <v>146.5</v>
      </c>
      <c r="B55" s="25">
        <f>RANK('Final Sample'!J55,'Final Sample'!$J$2:$J$612,0)+(COUNTIF('Final Sample'!$J$2:$J$612,'Final Sample'!J55)-1)/2</f>
        <v>98</v>
      </c>
      <c r="C55" s="25">
        <f>RANK('Final Sample'!AA55,'Final Sample'!$AA$2:$AA$612,0)+(COUNTIF('Final Sample'!$AA$2:$AA$612,'Final Sample'!AA55)-1)/2</f>
        <v>249</v>
      </c>
      <c r="D55" s="25">
        <f>RANK('Final Sample'!R55,'Final Sample'!$R$2:$R$612,0)+(COUNTIF('Final Sample'!$R$2:$R$612,'Final Sample'!R55)-1)/2</f>
        <v>493</v>
      </c>
      <c r="E55" s="25">
        <f>RANK('Final Sample'!AB55,'Final Sample'!$AB$2:$AB$612,0)+(COUNTIF('Final Sample'!$AB$2:$AB$612,'Final Sample'!AB55)-1)/2</f>
        <v>440</v>
      </c>
      <c r="F55" s="25">
        <f>RANK('Final Sample'!V55,'Final Sample'!$V$2:$V$612,0)+(COUNTIF('Final Sample'!$V$2:$V$612,'Final Sample'!V55)-1)/2</f>
        <v>83</v>
      </c>
    </row>
    <row r="56" spans="1:6" ht="15" customHeight="1" x14ac:dyDescent="0.3">
      <c r="A56" s="25">
        <f>RANK('Final Sample'!I56,'Final Sample'!$I$2:$I$612,0)+(COUNTIF('Final Sample'!$I$2:$I$612,'Final Sample'!I56)-1)/2</f>
        <v>162.5</v>
      </c>
      <c r="B56" s="25">
        <f>RANK('Final Sample'!J56,'Final Sample'!$J$2:$J$612,0)+(COUNTIF('Final Sample'!$J$2:$J$612,'Final Sample'!J56)-1)/2</f>
        <v>359</v>
      </c>
      <c r="C56" s="25">
        <f>RANK('Final Sample'!AA56,'Final Sample'!$AA$2:$AA$612,0)+(COUNTIF('Final Sample'!$AA$2:$AA$612,'Final Sample'!AA56)-1)/2</f>
        <v>110</v>
      </c>
      <c r="D56" s="25">
        <f>RANK('Final Sample'!R56,'Final Sample'!$R$2:$R$612,0)+(COUNTIF('Final Sample'!$R$2:$R$612,'Final Sample'!R56)-1)/2</f>
        <v>474</v>
      </c>
      <c r="E56" s="25">
        <f>RANK('Final Sample'!AB56,'Final Sample'!$AB$2:$AB$612,0)+(COUNTIF('Final Sample'!$AB$2:$AB$612,'Final Sample'!AB56)-1)/2</f>
        <v>465</v>
      </c>
      <c r="F56" s="25">
        <f>RANK('Final Sample'!V56,'Final Sample'!$V$2:$V$612,0)+(COUNTIF('Final Sample'!$V$2:$V$612,'Final Sample'!V56)-1)/2</f>
        <v>71.5</v>
      </c>
    </row>
    <row r="57" spans="1:6" ht="15" customHeight="1" x14ac:dyDescent="0.3">
      <c r="A57" s="25">
        <f>RANK('Final Sample'!I57,'Final Sample'!$I$2:$I$612,0)+(COUNTIF('Final Sample'!$I$2:$I$612,'Final Sample'!I57)-1)/2</f>
        <v>441.5</v>
      </c>
      <c r="B57" s="25">
        <f>RANK('Final Sample'!J57,'Final Sample'!$J$2:$J$612,0)+(COUNTIF('Final Sample'!$J$2:$J$612,'Final Sample'!J57)-1)/2</f>
        <v>359</v>
      </c>
      <c r="C57" s="25">
        <f>RANK('Final Sample'!AA57,'Final Sample'!$AA$2:$AA$612,0)+(COUNTIF('Final Sample'!$AA$2:$AA$612,'Final Sample'!AA57)-1)/2</f>
        <v>550</v>
      </c>
      <c r="D57" s="25">
        <f>RANK('Final Sample'!R57,'Final Sample'!$R$2:$R$612,0)+(COUNTIF('Final Sample'!$R$2:$R$612,'Final Sample'!R57)-1)/2</f>
        <v>264</v>
      </c>
      <c r="E57" s="25">
        <f>RANK('Final Sample'!AB57,'Final Sample'!$AB$2:$AB$612,0)+(COUNTIF('Final Sample'!$AB$2:$AB$612,'Final Sample'!AB57)-1)/2</f>
        <v>554</v>
      </c>
      <c r="F57" s="25">
        <f>RANK('Final Sample'!V57,'Final Sample'!$V$2:$V$612,0)+(COUNTIF('Final Sample'!$V$2:$V$612,'Final Sample'!V57)-1)/2</f>
        <v>243</v>
      </c>
    </row>
    <row r="58" spans="1:6" ht="15" customHeight="1" x14ac:dyDescent="0.3">
      <c r="A58" s="25">
        <f>RANK('Final Sample'!I58,'Final Sample'!$I$2:$I$612,0)+(COUNTIF('Final Sample'!$I$2:$I$612,'Final Sample'!I58)-1)/2</f>
        <v>236</v>
      </c>
      <c r="B58" s="25">
        <f>RANK('Final Sample'!J58,'Final Sample'!$J$2:$J$612,0)+(COUNTIF('Final Sample'!$J$2:$J$612,'Final Sample'!J58)-1)/2</f>
        <v>359</v>
      </c>
      <c r="C58" s="25">
        <f>RANK('Final Sample'!AA58,'Final Sample'!$AA$2:$AA$612,0)+(COUNTIF('Final Sample'!$AA$2:$AA$612,'Final Sample'!AA58)-1)/2</f>
        <v>562</v>
      </c>
      <c r="D58" s="25">
        <f>RANK('Final Sample'!R58,'Final Sample'!$R$2:$R$612,0)+(COUNTIF('Final Sample'!$R$2:$R$612,'Final Sample'!R58)-1)/2</f>
        <v>247</v>
      </c>
      <c r="E58" s="25">
        <f>RANK('Final Sample'!AB58,'Final Sample'!$AB$2:$AB$612,0)+(COUNTIF('Final Sample'!$AB$2:$AB$612,'Final Sample'!AB58)-1)/2</f>
        <v>532</v>
      </c>
      <c r="F58" s="25">
        <f>RANK('Final Sample'!V58,'Final Sample'!$V$2:$V$612,0)+(COUNTIF('Final Sample'!$V$2:$V$612,'Final Sample'!V58)-1)/2</f>
        <v>239.5</v>
      </c>
    </row>
    <row r="59" spans="1:6" ht="15" customHeight="1" x14ac:dyDescent="0.3">
      <c r="A59" s="25">
        <f>RANK('Final Sample'!I59,'Final Sample'!$I$2:$I$612,0)+(COUNTIF('Final Sample'!$I$2:$I$612,'Final Sample'!I59)-1)/2</f>
        <v>236</v>
      </c>
      <c r="B59" s="25">
        <f>RANK('Final Sample'!J59,'Final Sample'!$J$2:$J$612,0)+(COUNTIF('Final Sample'!$J$2:$J$612,'Final Sample'!J59)-1)/2</f>
        <v>359</v>
      </c>
      <c r="C59" s="25">
        <f>RANK('Final Sample'!AA59,'Final Sample'!$AA$2:$AA$612,0)+(COUNTIF('Final Sample'!$AA$2:$AA$612,'Final Sample'!AA59)-1)/2</f>
        <v>513</v>
      </c>
      <c r="D59" s="25">
        <f>RANK('Final Sample'!R59,'Final Sample'!$R$2:$R$612,0)+(COUNTIF('Final Sample'!$R$2:$R$612,'Final Sample'!R59)-1)/2</f>
        <v>221</v>
      </c>
      <c r="E59" s="25">
        <f>RANK('Final Sample'!AB59,'Final Sample'!$AB$2:$AB$612,0)+(COUNTIF('Final Sample'!$AB$2:$AB$612,'Final Sample'!AB59)-1)/2</f>
        <v>421</v>
      </c>
      <c r="F59" s="25">
        <f>RANK('Final Sample'!V59,'Final Sample'!$V$2:$V$612,0)+(COUNTIF('Final Sample'!$V$2:$V$612,'Final Sample'!V59)-1)/2</f>
        <v>234.5</v>
      </c>
    </row>
    <row r="60" spans="1:6" ht="15" customHeight="1" x14ac:dyDescent="0.3">
      <c r="A60" s="25">
        <f>RANK('Final Sample'!I60,'Final Sample'!$I$2:$I$612,0)+(COUNTIF('Final Sample'!$I$2:$I$612,'Final Sample'!I60)-1)/2</f>
        <v>236</v>
      </c>
      <c r="B60" s="25">
        <f>RANK('Final Sample'!J60,'Final Sample'!$J$2:$J$612,0)+(COUNTIF('Final Sample'!$J$2:$J$612,'Final Sample'!J60)-1)/2</f>
        <v>359</v>
      </c>
      <c r="C60" s="25">
        <f>RANK('Final Sample'!AA60,'Final Sample'!$AA$2:$AA$612,0)+(COUNTIF('Final Sample'!$AA$2:$AA$612,'Final Sample'!AA60)-1)/2</f>
        <v>531</v>
      </c>
      <c r="D60" s="25">
        <f>RANK('Final Sample'!R60,'Final Sample'!$R$2:$R$612,0)+(COUNTIF('Final Sample'!$R$2:$R$612,'Final Sample'!R60)-1)/2</f>
        <v>204</v>
      </c>
      <c r="E60" s="25">
        <f>RANK('Final Sample'!AB60,'Final Sample'!$AB$2:$AB$612,0)+(COUNTIF('Final Sample'!$AB$2:$AB$612,'Final Sample'!AB60)-1)/2</f>
        <v>418</v>
      </c>
      <c r="F60" s="25">
        <f>RANK('Final Sample'!V60,'Final Sample'!$V$2:$V$612,0)+(COUNTIF('Final Sample'!$V$2:$V$612,'Final Sample'!V60)-1)/2</f>
        <v>227.5</v>
      </c>
    </row>
    <row r="61" spans="1:6" ht="15" customHeight="1" x14ac:dyDescent="0.3">
      <c r="A61" s="25">
        <f>RANK('Final Sample'!I61,'Final Sample'!$I$2:$I$612,0)+(COUNTIF('Final Sample'!$I$2:$I$612,'Final Sample'!I61)-1)/2</f>
        <v>236</v>
      </c>
      <c r="B61" s="25">
        <f>RANK('Final Sample'!J61,'Final Sample'!$J$2:$J$612,0)+(COUNTIF('Final Sample'!$J$2:$J$612,'Final Sample'!J61)-1)/2</f>
        <v>359</v>
      </c>
      <c r="C61" s="25">
        <f>RANK('Final Sample'!AA61,'Final Sample'!$AA$2:$AA$612,0)+(COUNTIF('Final Sample'!$AA$2:$AA$612,'Final Sample'!AA61)-1)/2</f>
        <v>159</v>
      </c>
      <c r="D61" s="25">
        <f>RANK('Final Sample'!R61,'Final Sample'!$R$2:$R$612,0)+(COUNTIF('Final Sample'!$R$2:$R$612,'Final Sample'!R61)-1)/2</f>
        <v>177</v>
      </c>
      <c r="E61" s="25">
        <f>RANK('Final Sample'!AB61,'Final Sample'!$AB$2:$AB$612,0)+(COUNTIF('Final Sample'!$AB$2:$AB$612,'Final Sample'!AB61)-1)/2</f>
        <v>455</v>
      </c>
      <c r="F61" s="25">
        <f>RANK('Final Sample'!V61,'Final Sample'!$V$2:$V$612,0)+(COUNTIF('Final Sample'!$V$2:$V$612,'Final Sample'!V61)-1)/2</f>
        <v>218</v>
      </c>
    </row>
    <row r="62" spans="1:6" ht="15" customHeight="1" x14ac:dyDescent="0.3">
      <c r="A62" s="25">
        <f>RANK('Final Sample'!I62,'Final Sample'!$I$2:$I$612,0)+(COUNTIF('Final Sample'!$I$2:$I$612,'Final Sample'!I62)-1)/2</f>
        <v>132</v>
      </c>
      <c r="B62" s="25">
        <f>RANK('Final Sample'!J62,'Final Sample'!$J$2:$J$612,0)+(COUNTIF('Final Sample'!$J$2:$J$612,'Final Sample'!J62)-1)/2</f>
        <v>359</v>
      </c>
      <c r="C62" s="25">
        <f>RANK('Final Sample'!AA62,'Final Sample'!$AA$2:$AA$612,0)+(COUNTIF('Final Sample'!$AA$2:$AA$612,'Final Sample'!AA62)-1)/2</f>
        <v>33</v>
      </c>
      <c r="D62" s="25">
        <f>RANK('Final Sample'!R62,'Final Sample'!$R$2:$R$612,0)+(COUNTIF('Final Sample'!$R$2:$R$612,'Final Sample'!R62)-1)/2</f>
        <v>114</v>
      </c>
      <c r="E62" s="25">
        <f>RANK('Final Sample'!AB62,'Final Sample'!$AB$2:$AB$612,0)+(COUNTIF('Final Sample'!$AB$2:$AB$612,'Final Sample'!AB62)-1)/2</f>
        <v>486</v>
      </c>
      <c r="F62" s="25">
        <f>RANK('Final Sample'!V62,'Final Sample'!$V$2:$V$612,0)+(COUNTIF('Final Sample'!$V$2:$V$612,'Final Sample'!V62)-1)/2</f>
        <v>593.5</v>
      </c>
    </row>
    <row r="63" spans="1:6" ht="15" customHeight="1" x14ac:dyDescent="0.3">
      <c r="A63" s="25">
        <f>RANK('Final Sample'!I63,'Final Sample'!$I$2:$I$612,0)+(COUNTIF('Final Sample'!$I$2:$I$612,'Final Sample'!I63)-1)/2</f>
        <v>132</v>
      </c>
      <c r="B63" s="25">
        <f>RANK('Final Sample'!J63,'Final Sample'!$J$2:$J$612,0)+(COUNTIF('Final Sample'!$J$2:$J$612,'Final Sample'!J63)-1)/2</f>
        <v>359</v>
      </c>
      <c r="C63" s="25">
        <f>RANK('Final Sample'!AA63,'Final Sample'!$AA$2:$AA$612,0)+(COUNTIF('Final Sample'!$AA$2:$AA$612,'Final Sample'!AA63)-1)/2</f>
        <v>23</v>
      </c>
      <c r="D63" s="25">
        <f>RANK('Final Sample'!R63,'Final Sample'!$R$2:$R$612,0)+(COUNTIF('Final Sample'!$R$2:$R$612,'Final Sample'!R63)-1)/2</f>
        <v>105</v>
      </c>
      <c r="E63" s="25">
        <f>RANK('Final Sample'!AB63,'Final Sample'!$AB$2:$AB$612,0)+(COUNTIF('Final Sample'!$AB$2:$AB$612,'Final Sample'!AB63)-1)/2</f>
        <v>406</v>
      </c>
      <c r="F63" s="25">
        <f>RANK('Final Sample'!V63,'Final Sample'!$V$2:$V$612,0)+(COUNTIF('Final Sample'!$V$2:$V$612,'Final Sample'!V63)-1)/2</f>
        <v>591</v>
      </c>
    </row>
    <row r="64" spans="1:6" ht="15" customHeight="1" x14ac:dyDescent="0.3">
      <c r="A64" s="25">
        <f>RANK('Final Sample'!I64,'Final Sample'!$I$2:$I$612,0)+(COUNTIF('Final Sample'!$I$2:$I$612,'Final Sample'!I64)-1)/2</f>
        <v>112</v>
      </c>
      <c r="B64" s="25">
        <f>RANK('Final Sample'!J64,'Final Sample'!$J$2:$J$612,0)+(COUNTIF('Final Sample'!$J$2:$J$612,'Final Sample'!J64)-1)/2</f>
        <v>359</v>
      </c>
      <c r="C64" s="25">
        <f>RANK('Final Sample'!AA64,'Final Sample'!$AA$2:$AA$612,0)+(COUNTIF('Final Sample'!$AA$2:$AA$612,'Final Sample'!AA64)-1)/2</f>
        <v>38</v>
      </c>
      <c r="D64" s="25">
        <f>RANK('Final Sample'!R64,'Final Sample'!$R$2:$R$612,0)+(COUNTIF('Final Sample'!$R$2:$R$612,'Final Sample'!R64)-1)/2</f>
        <v>87</v>
      </c>
      <c r="E64" s="25">
        <f>RANK('Final Sample'!AB64,'Final Sample'!$AB$2:$AB$612,0)+(COUNTIF('Final Sample'!$AB$2:$AB$612,'Final Sample'!AB64)-1)/2</f>
        <v>297</v>
      </c>
      <c r="F64" s="25">
        <f>RANK('Final Sample'!V64,'Final Sample'!$V$2:$V$612,0)+(COUNTIF('Final Sample'!$V$2:$V$612,'Final Sample'!V64)-1)/2</f>
        <v>587</v>
      </c>
    </row>
    <row r="65" spans="1:6" ht="15" customHeight="1" x14ac:dyDescent="0.3">
      <c r="A65" s="25">
        <f>RANK('Final Sample'!I65,'Final Sample'!$I$2:$I$612,0)+(COUNTIF('Final Sample'!$I$2:$I$612,'Final Sample'!I65)-1)/2</f>
        <v>112</v>
      </c>
      <c r="B65" s="25">
        <f>RANK('Final Sample'!J65,'Final Sample'!$J$2:$J$612,0)+(COUNTIF('Final Sample'!$J$2:$J$612,'Final Sample'!J65)-1)/2</f>
        <v>359</v>
      </c>
      <c r="C65" s="25">
        <f>RANK('Final Sample'!AA65,'Final Sample'!$AA$2:$AA$612,0)+(COUNTIF('Final Sample'!$AA$2:$AA$612,'Final Sample'!AA65)-1)/2</f>
        <v>56</v>
      </c>
      <c r="D65" s="25">
        <f>RANK('Final Sample'!R65,'Final Sample'!$R$2:$R$612,0)+(COUNTIF('Final Sample'!$R$2:$R$612,'Final Sample'!R65)-1)/2</f>
        <v>80</v>
      </c>
      <c r="E65" s="25">
        <f>RANK('Final Sample'!AB65,'Final Sample'!$AB$2:$AB$612,0)+(COUNTIF('Final Sample'!$AB$2:$AB$612,'Final Sample'!AB65)-1)/2</f>
        <v>253</v>
      </c>
      <c r="F65" s="25">
        <f>RANK('Final Sample'!V65,'Final Sample'!$V$2:$V$612,0)+(COUNTIF('Final Sample'!$V$2:$V$612,'Final Sample'!V65)-1)/2</f>
        <v>582</v>
      </c>
    </row>
    <row r="66" spans="1:6" ht="15" customHeight="1" x14ac:dyDescent="0.3">
      <c r="A66" s="25">
        <f>RANK('Final Sample'!I66,'Final Sample'!$I$2:$I$612,0)+(COUNTIF('Final Sample'!$I$2:$I$612,'Final Sample'!I66)-1)/2</f>
        <v>441.5</v>
      </c>
      <c r="B66" s="25">
        <f>RANK('Final Sample'!J66,'Final Sample'!$J$2:$J$612,0)+(COUNTIF('Final Sample'!$J$2:$J$612,'Final Sample'!J66)-1)/2</f>
        <v>359</v>
      </c>
      <c r="C66" s="25">
        <f>RANK('Final Sample'!AA66,'Final Sample'!$AA$2:$AA$612,0)+(COUNTIF('Final Sample'!$AA$2:$AA$612,'Final Sample'!AA66)-1)/2</f>
        <v>29</v>
      </c>
      <c r="D66" s="25">
        <f>RANK('Final Sample'!R66,'Final Sample'!$R$2:$R$612,0)+(COUNTIF('Final Sample'!$R$2:$R$612,'Final Sample'!R66)-1)/2</f>
        <v>74</v>
      </c>
      <c r="E66" s="25">
        <f>RANK('Final Sample'!AB66,'Final Sample'!$AB$2:$AB$612,0)+(COUNTIF('Final Sample'!$AB$2:$AB$612,'Final Sample'!AB66)-1)/2</f>
        <v>337</v>
      </c>
      <c r="F66" s="25">
        <f>RANK('Final Sample'!V66,'Final Sample'!$V$2:$V$612,0)+(COUNTIF('Final Sample'!$V$2:$V$612,'Final Sample'!V66)-1)/2</f>
        <v>576.5</v>
      </c>
    </row>
    <row r="67" spans="1:6" ht="15" customHeight="1" x14ac:dyDescent="0.3">
      <c r="A67" s="25">
        <f>RANK('Final Sample'!I67,'Final Sample'!$I$2:$I$612,0)+(COUNTIF('Final Sample'!$I$2:$I$612,'Final Sample'!I67)-1)/2</f>
        <v>236</v>
      </c>
      <c r="B67" s="25">
        <f>RANK('Final Sample'!J67,'Final Sample'!$J$2:$J$612,0)+(COUNTIF('Final Sample'!$J$2:$J$612,'Final Sample'!J67)-1)/2</f>
        <v>359</v>
      </c>
      <c r="C67" s="25">
        <f>RANK('Final Sample'!AA67,'Final Sample'!$AA$2:$AA$612,0)+(COUNTIF('Final Sample'!$AA$2:$AA$612,'Final Sample'!AA67)-1)/2</f>
        <v>73</v>
      </c>
      <c r="D67" s="25">
        <f>RANK('Final Sample'!R67,'Final Sample'!$R$2:$R$612,0)+(COUNTIF('Final Sample'!$R$2:$R$612,'Final Sample'!R67)-1)/2</f>
        <v>120</v>
      </c>
      <c r="E67" s="25">
        <f>RANK('Final Sample'!AB67,'Final Sample'!$AB$2:$AB$612,0)+(COUNTIF('Final Sample'!$AB$2:$AB$612,'Final Sample'!AB67)-1)/2</f>
        <v>346</v>
      </c>
      <c r="F67" s="25">
        <f>RANK('Final Sample'!V67,'Final Sample'!$V$2:$V$612,0)+(COUNTIF('Final Sample'!$V$2:$V$612,'Final Sample'!V67)-1)/2</f>
        <v>530</v>
      </c>
    </row>
    <row r="68" spans="1:6" ht="15" customHeight="1" x14ac:dyDescent="0.3">
      <c r="A68" s="25">
        <f>RANK('Final Sample'!I68,'Final Sample'!$I$2:$I$612,0)+(COUNTIF('Final Sample'!$I$2:$I$612,'Final Sample'!I68)-1)/2</f>
        <v>236</v>
      </c>
      <c r="B68" s="25">
        <f>RANK('Final Sample'!J68,'Final Sample'!$J$2:$J$612,0)+(COUNTIF('Final Sample'!$J$2:$J$612,'Final Sample'!J68)-1)/2</f>
        <v>359</v>
      </c>
      <c r="C68" s="25">
        <f>RANK('Final Sample'!AA68,'Final Sample'!$AA$2:$AA$612,0)+(COUNTIF('Final Sample'!$AA$2:$AA$612,'Final Sample'!AA68)-1)/2</f>
        <v>26</v>
      </c>
      <c r="D68" s="25">
        <f>RANK('Final Sample'!R68,'Final Sample'!$R$2:$R$612,0)+(COUNTIF('Final Sample'!$R$2:$R$612,'Final Sample'!R68)-1)/2</f>
        <v>94</v>
      </c>
      <c r="E68" s="25">
        <f>RANK('Final Sample'!AB68,'Final Sample'!$AB$2:$AB$612,0)+(COUNTIF('Final Sample'!$AB$2:$AB$612,'Final Sample'!AB68)-1)/2</f>
        <v>249</v>
      </c>
      <c r="F68" s="25">
        <f>RANK('Final Sample'!V68,'Final Sample'!$V$2:$V$612,0)+(COUNTIF('Final Sample'!$V$2:$V$612,'Final Sample'!V68)-1)/2</f>
        <v>520.5</v>
      </c>
    </row>
    <row r="69" spans="1:6" ht="15" customHeight="1" x14ac:dyDescent="0.3">
      <c r="A69" s="25">
        <f>RANK('Final Sample'!I69,'Final Sample'!$I$2:$I$612,0)+(COUNTIF('Final Sample'!$I$2:$I$612,'Final Sample'!I69)-1)/2</f>
        <v>236</v>
      </c>
      <c r="B69" s="25">
        <f>RANK('Final Sample'!J69,'Final Sample'!$J$2:$J$612,0)+(COUNTIF('Final Sample'!$J$2:$J$612,'Final Sample'!J69)-1)/2</f>
        <v>359</v>
      </c>
      <c r="C69" s="25">
        <f>RANK('Final Sample'!AA69,'Final Sample'!$AA$2:$AA$612,0)+(COUNTIF('Final Sample'!$AA$2:$AA$612,'Final Sample'!AA69)-1)/2</f>
        <v>16</v>
      </c>
      <c r="D69" s="25">
        <f>RANK('Final Sample'!R69,'Final Sample'!$R$2:$R$612,0)+(COUNTIF('Final Sample'!$R$2:$R$612,'Final Sample'!R69)-1)/2</f>
        <v>91</v>
      </c>
      <c r="E69" s="25">
        <f>RANK('Final Sample'!AB69,'Final Sample'!$AB$2:$AB$612,0)+(COUNTIF('Final Sample'!$AB$2:$AB$612,'Final Sample'!AB69)-1)/2</f>
        <v>349</v>
      </c>
      <c r="F69" s="25">
        <f>RANK('Final Sample'!V69,'Final Sample'!$V$2:$V$612,0)+(COUNTIF('Final Sample'!$V$2:$V$612,'Final Sample'!V69)-1)/2</f>
        <v>509.5</v>
      </c>
    </row>
    <row r="70" spans="1:6" ht="15" customHeight="1" x14ac:dyDescent="0.3">
      <c r="A70" s="25">
        <f>RANK('Final Sample'!I70,'Final Sample'!$I$2:$I$612,0)+(COUNTIF('Final Sample'!$I$2:$I$612,'Final Sample'!I70)-1)/2</f>
        <v>441.5</v>
      </c>
      <c r="B70" s="25">
        <f>RANK('Final Sample'!J70,'Final Sample'!$J$2:$J$612,0)+(COUNTIF('Final Sample'!$J$2:$J$612,'Final Sample'!J70)-1)/2</f>
        <v>359</v>
      </c>
      <c r="C70" s="25">
        <f>RANK('Final Sample'!AA70,'Final Sample'!$AA$2:$AA$612,0)+(COUNTIF('Final Sample'!$AA$2:$AA$612,'Final Sample'!AA70)-1)/2</f>
        <v>6</v>
      </c>
      <c r="D70" s="25">
        <f>RANK('Final Sample'!R70,'Final Sample'!$R$2:$R$612,0)+(COUNTIF('Final Sample'!$R$2:$R$612,'Final Sample'!R70)-1)/2</f>
        <v>83</v>
      </c>
      <c r="E70" s="25">
        <f>RANK('Final Sample'!AB70,'Final Sample'!$AB$2:$AB$612,0)+(COUNTIF('Final Sample'!$AB$2:$AB$612,'Final Sample'!AB70)-1)/2</f>
        <v>436</v>
      </c>
      <c r="F70" s="25">
        <f>RANK('Final Sample'!V70,'Final Sample'!$V$2:$V$612,0)+(COUNTIF('Final Sample'!$V$2:$V$612,'Final Sample'!V70)-1)/2</f>
        <v>499</v>
      </c>
    </row>
    <row r="71" spans="1:6" ht="15" customHeight="1" x14ac:dyDescent="0.3">
      <c r="A71" s="25">
        <f>RANK('Final Sample'!I71,'Final Sample'!$I$2:$I$612,0)+(COUNTIF('Final Sample'!$I$2:$I$612,'Final Sample'!I71)-1)/2</f>
        <v>186.5</v>
      </c>
      <c r="B71" s="25">
        <f>RANK('Final Sample'!J71,'Final Sample'!$J$2:$J$612,0)+(COUNTIF('Final Sample'!$J$2:$J$612,'Final Sample'!J71)-1)/2</f>
        <v>359</v>
      </c>
      <c r="C71" s="25">
        <f>RANK('Final Sample'!AA71,'Final Sample'!$AA$2:$AA$612,0)+(COUNTIF('Final Sample'!$AA$2:$AA$612,'Final Sample'!AA71)-1)/2</f>
        <v>328</v>
      </c>
      <c r="D71" s="25">
        <f>RANK('Final Sample'!R71,'Final Sample'!$R$2:$R$612,0)+(COUNTIF('Final Sample'!$R$2:$R$612,'Final Sample'!R71)-1)/2</f>
        <v>294</v>
      </c>
      <c r="E71" s="25">
        <f>RANK('Final Sample'!AB71,'Final Sample'!$AB$2:$AB$612,0)+(COUNTIF('Final Sample'!$AB$2:$AB$612,'Final Sample'!AB71)-1)/2</f>
        <v>294</v>
      </c>
      <c r="F71" s="25">
        <f>RANK('Final Sample'!V71,'Final Sample'!$V$2:$V$612,0)+(COUNTIF('Final Sample'!$V$2:$V$612,'Final Sample'!V71)-1)/2</f>
        <v>174</v>
      </c>
    </row>
    <row r="72" spans="1:6" ht="15" customHeight="1" x14ac:dyDescent="0.3">
      <c r="A72" s="25">
        <f>RANK('Final Sample'!I72,'Final Sample'!$I$2:$I$612,0)+(COUNTIF('Final Sample'!$I$2:$I$612,'Final Sample'!I72)-1)/2</f>
        <v>441.5</v>
      </c>
      <c r="B72" s="25">
        <f>RANK('Final Sample'!J72,'Final Sample'!$J$2:$J$612,0)+(COUNTIF('Final Sample'!$J$2:$J$612,'Final Sample'!J72)-1)/2</f>
        <v>359</v>
      </c>
      <c r="C72" s="25">
        <f>RANK('Final Sample'!AA72,'Final Sample'!$AA$2:$AA$612,0)+(COUNTIF('Final Sample'!$AA$2:$AA$612,'Final Sample'!AA72)-1)/2</f>
        <v>294</v>
      </c>
      <c r="D72" s="25">
        <f>RANK('Final Sample'!R72,'Final Sample'!$R$2:$R$612,0)+(COUNTIF('Final Sample'!$R$2:$R$612,'Final Sample'!R72)-1)/2</f>
        <v>269</v>
      </c>
      <c r="E72" s="25">
        <f>RANK('Final Sample'!AB72,'Final Sample'!$AB$2:$AB$612,0)+(COUNTIF('Final Sample'!$AB$2:$AB$612,'Final Sample'!AB72)-1)/2</f>
        <v>231</v>
      </c>
      <c r="F72" s="25">
        <f>RANK('Final Sample'!V72,'Final Sample'!$V$2:$V$612,0)+(COUNTIF('Final Sample'!$V$2:$V$612,'Final Sample'!V72)-1)/2</f>
        <v>170</v>
      </c>
    </row>
    <row r="73" spans="1:6" ht="15" customHeight="1" x14ac:dyDescent="0.3">
      <c r="A73" s="25">
        <f>RANK('Final Sample'!I73,'Final Sample'!$I$2:$I$612,0)+(COUNTIF('Final Sample'!$I$2:$I$612,'Final Sample'!I73)-1)/2</f>
        <v>146.5</v>
      </c>
      <c r="B73" s="25">
        <f>RANK('Final Sample'!J73,'Final Sample'!$J$2:$J$612,0)+(COUNTIF('Final Sample'!$J$2:$J$612,'Final Sample'!J73)-1)/2</f>
        <v>359</v>
      </c>
      <c r="C73" s="25">
        <f>RANK('Final Sample'!AA73,'Final Sample'!$AA$2:$AA$612,0)+(COUNTIF('Final Sample'!$AA$2:$AA$612,'Final Sample'!AA73)-1)/2</f>
        <v>154</v>
      </c>
      <c r="D73" s="25">
        <f>RANK('Final Sample'!R73,'Final Sample'!$R$2:$R$612,0)+(COUNTIF('Final Sample'!$R$2:$R$612,'Final Sample'!R73)-1)/2</f>
        <v>263</v>
      </c>
      <c r="E73" s="25">
        <f>RANK('Final Sample'!AB73,'Final Sample'!$AB$2:$AB$612,0)+(COUNTIF('Final Sample'!$AB$2:$AB$612,'Final Sample'!AB73)-1)/2</f>
        <v>46</v>
      </c>
      <c r="F73" s="25">
        <f>RANK('Final Sample'!V73,'Final Sample'!$V$2:$V$612,0)+(COUNTIF('Final Sample'!$V$2:$V$612,'Final Sample'!V73)-1)/2</f>
        <v>166.5</v>
      </c>
    </row>
    <row r="74" spans="1:6" ht="15" customHeight="1" x14ac:dyDescent="0.3">
      <c r="A74" s="25">
        <f>RANK('Final Sample'!I74,'Final Sample'!$I$2:$I$612,0)+(COUNTIF('Final Sample'!$I$2:$I$612,'Final Sample'!I74)-1)/2</f>
        <v>186.5</v>
      </c>
      <c r="B74" s="25">
        <f>RANK('Final Sample'!J74,'Final Sample'!$J$2:$J$612,0)+(COUNTIF('Final Sample'!$J$2:$J$612,'Final Sample'!J74)-1)/2</f>
        <v>359</v>
      </c>
      <c r="C74" s="25">
        <f>RANK('Final Sample'!AA74,'Final Sample'!$AA$2:$AA$612,0)+(COUNTIF('Final Sample'!$AA$2:$AA$612,'Final Sample'!AA74)-1)/2</f>
        <v>172</v>
      </c>
      <c r="D74" s="25">
        <f>RANK('Final Sample'!R74,'Final Sample'!$R$2:$R$612,0)+(COUNTIF('Final Sample'!$R$2:$R$612,'Final Sample'!R74)-1)/2</f>
        <v>254</v>
      </c>
      <c r="E74" s="25">
        <f>RANK('Final Sample'!AB74,'Final Sample'!$AB$2:$AB$612,0)+(COUNTIF('Final Sample'!$AB$2:$AB$612,'Final Sample'!AB74)-1)/2</f>
        <v>84</v>
      </c>
      <c r="F74" s="25">
        <f>RANK('Final Sample'!V74,'Final Sample'!$V$2:$V$612,0)+(COUNTIF('Final Sample'!$V$2:$V$612,'Final Sample'!V74)-1)/2</f>
        <v>162</v>
      </c>
    </row>
    <row r="75" spans="1:6" ht="15" customHeight="1" x14ac:dyDescent="0.3">
      <c r="A75" s="25">
        <f>RANK('Final Sample'!I75,'Final Sample'!$I$2:$I$612,0)+(COUNTIF('Final Sample'!$I$2:$I$612,'Final Sample'!I75)-1)/2</f>
        <v>58.5</v>
      </c>
      <c r="B75" s="25">
        <f>RANK('Final Sample'!J75,'Final Sample'!$J$2:$J$612,0)+(COUNTIF('Final Sample'!$J$2:$J$612,'Final Sample'!J75)-1)/2</f>
        <v>64.5</v>
      </c>
      <c r="C75" s="25">
        <f>RANK('Final Sample'!AA75,'Final Sample'!$AA$2:$AA$612,0)+(COUNTIF('Final Sample'!$AA$2:$AA$612,'Final Sample'!AA75)-1)/2</f>
        <v>67</v>
      </c>
      <c r="D75" s="25">
        <f>RANK('Final Sample'!R75,'Final Sample'!$R$2:$R$612,0)+(COUNTIF('Final Sample'!$R$2:$R$612,'Final Sample'!R75)-1)/2</f>
        <v>249</v>
      </c>
      <c r="E75" s="25">
        <f>RANK('Final Sample'!AB75,'Final Sample'!$AB$2:$AB$612,0)+(COUNTIF('Final Sample'!$AB$2:$AB$612,'Final Sample'!AB75)-1)/2</f>
        <v>206</v>
      </c>
      <c r="F75" s="25">
        <f>RANK('Final Sample'!V75,'Final Sample'!$V$2:$V$612,0)+(COUNTIF('Final Sample'!$V$2:$V$612,'Final Sample'!V75)-1)/2</f>
        <v>154.5</v>
      </c>
    </row>
    <row r="76" spans="1:6" ht="15" customHeight="1" x14ac:dyDescent="0.3">
      <c r="A76" s="25">
        <f>RANK('Final Sample'!I76,'Final Sample'!$I$2:$I$612,0)+(COUNTIF('Final Sample'!$I$2:$I$612,'Final Sample'!I76)-1)/2</f>
        <v>441.5</v>
      </c>
      <c r="B76" s="25">
        <f>RANK('Final Sample'!J76,'Final Sample'!$J$2:$J$612,0)+(COUNTIF('Final Sample'!$J$2:$J$612,'Final Sample'!J76)-1)/2</f>
        <v>359</v>
      </c>
      <c r="C76" s="25">
        <f>RANK('Final Sample'!AA76,'Final Sample'!$AA$2:$AA$612,0)+(COUNTIF('Final Sample'!$AA$2:$AA$612,'Final Sample'!AA76)-1)/2</f>
        <v>117</v>
      </c>
      <c r="D76" s="25">
        <f>RANK('Final Sample'!R76,'Final Sample'!$R$2:$R$612,0)+(COUNTIF('Final Sample'!$R$2:$R$612,'Final Sample'!R76)-1)/2</f>
        <v>452</v>
      </c>
      <c r="E76" s="25">
        <f>RANK('Final Sample'!AB76,'Final Sample'!$AB$2:$AB$612,0)+(COUNTIF('Final Sample'!$AB$2:$AB$612,'Final Sample'!AB76)-1)/2</f>
        <v>335</v>
      </c>
      <c r="F76" s="25">
        <f>RANK('Final Sample'!V76,'Final Sample'!$V$2:$V$612,0)+(COUNTIF('Final Sample'!$V$2:$V$612,'Final Sample'!V76)-1)/2</f>
        <v>174</v>
      </c>
    </row>
    <row r="77" spans="1:6" ht="15" customHeight="1" x14ac:dyDescent="0.3">
      <c r="A77" s="25">
        <f>RANK('Final Sample'!I77,'Final Sample'!$I$2:$I$612,0)+(COUNTIF('Final Sample'!$I$2:$I$612,'Final Sample'!I77)-1)/2</f>
        <v>441.5</v>
      </c>
      <c r="B77" s="25">
        <f>RANK('Final Sample'!J77,'Final Sample'!$J$2:$J$612,0)+(COUNTIF('Final Sample'!$J$2:$J$612,'Final Sample'!J77)-1)/2</f>
        <v>359</v>
      </c>
      <c r="C77" s="25">
        <f>RANK('Final Sample'!AA77,'Final Sample'!$AA$2:$AA$612,0)+(COUNTIF('Final Sample'!$AA$2:$AA$612,'Final Sample'!AA77)-1)/2</f>
        <v>176</v>
      </c>
      <c r="D77" s="25">
        <f>RANK('Final Sample'!R77,'Final Sample'!$R$2:$R$612,0)+(COUNTIF('Final Sample'!$R$2:$R$612,'Final Sample'!R77)-1)/2</f>
        <v>438</v>
      </c>
      <c r="E77" s="25">
        <f>RANK('Final Sample'!AB77,'Final Sample'!$AB$2:$AB$612,0)+(COUNTIF('Final Sample'!$AB$2:$AB$612,'Final Sample'!AB77)-1)/2</f>
        <v>427</v>
      </c>
      <c r="F77" s="25">
        <f>RANK('Final Sample'!V77,'Final Sample'!$V$2:$V$612,0)+(COUNTIF('Final Sample'!$V$2:$V$612,'Final Sample'!V77)-1)/2</f>
        <v>170</v>
      </c>
    </row>
    <row r="78" spans="1:6" ht="15" customHeight="1" x14ac:dyDescent="0.3">
      <c r="A78" s="25">
        <f>RANK('Final Sample'!I78,'Final Sample'!$I$2:$I$612,0)+(COUNTIF('Final Sample'!$I$2:$I$612,'Final Sample'!I78)-1)/2</f>
        <v>441.5</v>
      </c>
      <c r="B78" s="25">
        <f>RANK('Final Sample'!J78,'Final Sample'!$J$2:$J$612,0)+(COUNTIF('Final Sample'!$J$2:$J$612,'Final Sample'!J78)-1)/2</f>
        <v>359</v>
      </c>
      <c r="C78" s="25">
        <f>RANK('Final Sample'!AA78,'Final Sample'!$AA$2:$AA$612,0)+(COUNTIF('Final Sample'!$AA$2:$AA$612,'Final Sample'!AA78)-1)/2</f>
        <v>177</v>
      </c>
      <c r="D78" s="25">
        <f>RANK('Final Sample'!R78,'Final Sample'!$R$2:$R$612,0)+(COUNTIF('Final Sample'!$R$2:$R$612,'Final Sample'!R78)-1)/2</f>
        <v>423</v>
      </c>
      <c r="E78" s="25">
        <f>RANK('Final Sample'!AB78,'Final Sample'!$AB$2:$AB$612,0)+(COUNTIF('Final Sample'!$AB$2:$AB$612,'Final Sample'!AB78)-1)/2</f>
        <v>449</v>
      </c>
      <c r="F78" s="25">
        <f>RANK('Final Sample'!V78,'Final Sample'!$V$2:$V$612,0)+(COUNTIF('Final Sample'!$V$2:$V$612,'Final Sample'!V78)-1)/2</f>
        <v>166.5</v>
      </c>
    </row>
    <row r="79" spans="1:6" ht="15" customHeight="1" x14ac:dyDescent="0.3">
      <c r="A79" s="25">
        <f>RANK('Final Sample'!I79,'Final Sample'!$I$2:$I$612,0)+(COUNTIF('Final Sample'!$I$2:$I$612,'Final Sample'!I79)-1)/2</f>
        <v>441.5</v>
      </c>
      <c r="B79" s="25">
        <f>RANK('Final Sample'!J79,'Final Sample'!$J$2:$J$612,0)+(COUNTIF('Final Sample'!$J$2:$J$612,'Final Sample'!J79)-1)/2</f>
        <v>359</v>
      </c>
      <c r="C79" s="25">
        <f>RANK('Final Sample'!AA79,'Final Sample'!$AA$2:$AA$612,0)+(COUNTIF('Final Sample'!$AA$2:$AA$612,'Final Sample'!AA79)-1)/2</f>
        <v>103</v>
      </c>
      <c r="D79" s="25">
        <f>RANK('Final Sample'!R79,'Final Sample'!$R$2:$R$612,0)+(COUNTIF('Final Sample'!$R$2:$R$612,'Final Sample'!R79)-1)/2</f>
        <v>386</v>
      </c>
      <c r="E79" s="25">
        <f>RANK('Final Sample'!AB79,'Final Sample'!$AB$2:$AB$612,0)+(COUNTIF('Final Sample'!$AB$2:$AB$612,'Final Sample'!AB79)-1)/2</f>
        <v>475</v>
      </c>
      <c r="F79" s="25">
        <f>RANK('Final Sample'!V79,'Final Sample'!$V$2:$V$612,0)+(COUNTIF('Final Sample'!$V$2:$V$612,'Final Sample'!V79)-1)/2</f>
        <v>162</v>
      </c>
    </row>
    <row r="80" spans="1:6" ht="15" customHeight="1" x14ac:dyDescent="0.3">
      <c r="A80" s="25">
        <f>RANK('Final Sample'!I80,'Final Sample'!$I$2:$I$612,0)+(COUNTIF('Final Sample'!$I$2:$I$612,'Final Sample'!I80)-1)/2</f>
        <v>441.5</v>
      </c>
      <c r="B80" s="25">
        <f>RANK('Final Sample'!J80,'Final Sample'!$J$2:$J$612,0)+(COUNTIF('Final Sample'!$J$2:$J$612,'Final Sample'!J80)-1)/2</f>
        <v>359</v>
      </c>
      <c r="C80" s="25">
        <f>RANK('Final Sample'!AA80,'Final Sample'!$AA$2:$AA$612,0)+(COUNTIF('Final Sample'!$AA$2:$AA$612,'Final Sample'!AA80)-1)/2</f>
        <v>59</v>
      </c>
      <c r="D80" s="25">
        <f>RANK('Final Sample'!R80,'Final Sample'!$R$2:$R$612,0)+(COUNTIF('Final Sample'!$R$2:$R$612,'Final Sample'!R80)-1)/2</f>
        <v>353</v>
      </c>
      <c r="E80" s="25">
        <f>RANK('Final Sample'!AB80,'Final Sample'!$AB$2:$AB$612,0)+(COUNTIF('Final Sample'!$AB$2:$AB$612,'Final Sample'!AB80)-1)/2</f>
        <v>512</v>
      </c>
      <c r="F80" s="25">
        <f>RANK('Final Sample'!V80,'Final Sample'!$V$2:$V$612,0)+(COUNTIF('Final Sample'!$V$2:$V$612,'Final Sample'!V80)-1)/2</f>
        <v>154.5</v>
      </c>
    </row>
    <row r="81" spans="1:6" ht="15" customHeight="1" x14ac:dyDescent="0.3">
      <c r="A81" s="25">
        <f>RANK('Final Sample'!I81,'Final Sample'!$I$2:$I$612,0)+(COUNTIF('Final Sample'!$I$2:$I$612,'Final Sample'!I81)-1)/2</f>
        <v>186.5</v>
      </c>
      <c r="B81" s="25">
        <f>RANK('Final Sample'!J81,'Final Sample'!$J$2:$J$612,0)+(COUNTIF('Final Sample'!$J$2:$J$612,'Final Sample'!J81)-1)/2</f>
        <v>359</v>
      </c>
      <c r="C81" s="25">
        <f>RANK('Final Sample'!AA81,'Final Sample'!$AA$2:$AA$612,0)+(COUNTIF('Final Sample'!$AA$2:$AA$612,'Final Sample'!AA81)-1)/2</f>
        <v>509</v>
      </c>
      <c r="D81" s="25">
        <f>RANK('Final Sample'!R81,'Final Sample'!$R$2:$R$612,0)+(COUNTIF('Final Sample'!$R$2:$R$612,'Final Sample'!R81)-1)/2</f>
        <v>240</v>
      </c>
      <c r="E81" s="25">
        <f>RANK('Final Sample'!AB81,'Final Sample'!$AB$2:$AB$612,0)+(COUNTIF('Final Sample'!$AB$2:$AB$612,'Final Sample'!AB81)-1)/2</f>
        <v>232</v>
      </c>
      <c r="F81" s="25">
        <f>RANK('Final Sample'!V81,'Final Sample'!$V$2:$V$612,0)+(COUNTIF('Final Sample'!$V$2:$V$612,'Final Sample'!V81)-1)/2</f>
        <v>561</v>
      </c>
    </row>
    <row r="82" spans="1:6" ht="15" customHeight="1" x14ac:dyDescent="0.3">
      <c r="A82" s="25">
        <f>RANK('Final Sample'!I82,'Final Sample'!$I$2:$I$612,0)+(COUNTIF('Final Sample'!$I$2:$I$612,'Final Sample'!I82)-1)/2</f>
        <v>186.5</v>
      </c>
      <c r="B82" s="25">
        <f>RANK('Final Sample'!J82,'Final Sample'!$J$2:$J$612,0)+(COUNTIF('Final Sample'!$J$2:$J$612,'Final Sample'!J82)-1)/2</f>
        <v>359</v>
      </c>
      <c r="C82" s="25">
        <f>RANK('Final Sample'!AA82,'Final Sample'!$AA$2:$AA$612,0)+(COUNTIF('Final Sample'!$AA$2:$AA$612,'Final Sample'!AA82)-1)/2</f>
        <v>496</v>
      </c>
      <c r="D82" s="25">
        <f>RANK('Final Sample'!R82,'Final Sample'!$R$2:$R$612,0)+(COUNTIF('Final Sample'!$R$2:$R$612,'Final Sample'!R82)-1)/2</f>
        <v>251</v>
      </c>
      <c r="E82" s="25">
        <f>RANK('Final Sample'!AB82,'Final Sample'!$AB$2:$AB$612,0)+(COUNTIF('Final Sample'!$AB$2:$AB$612,'Final Sample'!AB82)-1)/2</f>
        <v>196</v>
      </c>
      <c r="F82" s="25">
        <f>RANK('Final Sample'!V82,'Final Sample'!$V$2:$V$612,0)+(COUNTIF('Final Sample'!$V$2:$V$612,'Final Sample'!V82)-1)/2</f>
        <v>553.5</v>
      </c>
    </row>
    <row r="83" spans="1:6" ht="15" customHeight="1" x14ac:dyDescent="0.3">
      <c r="A83" s="25">
        <f>RANK('Final Sample'!I83,'Final Sample'!$I$2:$I$612,0)+(COUNTIF('Final Sample'!$I$2:$I$612,'Final Sample'!I83)-1)/2</f>
        <v>186.5</v>
      </c>
      <c r="B83" s="25">
        <f>RANK('Final Sample'!J83,'Final Sample'!$J$2:$J$612,0)+(COUNTIF('Final Sample'!$J$2:$J$612,'Final Sample'!J83)-1)/2</f>
        <v>359</v>
      </c>
      <c r="C83" s="25">
        <f>RANK('Final Sample'!AA83,'Final Sample'!$AA$2:$AA$612,0)+(COUNTIF('Final Sample'!$AA$2:$AA$612,'Final Sample'!AA83)-1)/2</f>
        <v>319</v>
      </c>
      <c r="D83" s="25">
        <f>RANK('Final Sample'!R83,'Final Sample'!$R$2:$R$612,0)+(COUNTIF('Final Sample'!$R$2:$R$612,'Final Sample'!R83)-1)/2</f>
        <v>241</v>
      </c>
      <c r="E83" s="25">
        <f>RANK('Final Sample'!AB83,'Final Sample'!$AB$2:$AB$612,0)+(COUNTIF('Final Sample'!$AB$2:$AB$612,'Final Sample'!AB83)-1)/2</f>
        <v>66</v>
      </c>
      <c r="F83" s="25">
        <f>RANK('Final Sample'!V83,'Final Sample'!$V$2:$V$612,0)+(COUNTIF('Final Sample'!$V$2:$V$612,'Final Sample'!V83)-1)/2</f>
        <v>546.5</v>
      </c>
    </row>
    <row r="84" spans="1:6" ht="15" customHeight="1" x14ac:dyDescent="0.3">
      <c r="A84" s="25">
        <f>RANK('Final Sample'!I84,'Final Sample'!$I$2:$I$612,0)+(COUNTIF('Final Sample'!$I$2:$I$612,'Final Sample'!I84)-1)/2</f>
        <v>441.5</v>
      </c>
      <c r="B84" s="25">
        <f>RANK('Final Sample'!J84,'Final Sample'!$J$2:$J$612,0)+(COUNTIF('Final Sample'!$J$2:$J$612,'Final Sample'!J84)-1)/2</f>
        <v>359</v>
      </c>
      <c r="C84" s="25">
        <f>RANK('Final Sample'!AA84,'Final Sample'!$AA$2:$AA$612,0)+(COUNTIF('Final Sample'!$AA$2:$AA$612,'Final Sample'!AA84)-1)/2</f>
        <v>132</v>
      </c>
      <c r="D84" s="25">
        <f>RANK('Final Sample'!R84,'Final Sample'!$R$2:$R$612,0)+(COUNTIF('Final Sample'!$R$2:$R$612,'Final Sample'!R84)-1)/2</f>
        <v>246</v>
      </c>
      <c r="E84" s="25">
        <f>RANK('Final Sample'!AB84,'Final Sample'!$AB$2:$AB$612,0)+(COUNTIF('Final Sample'!$AB$2:$AB$612,'Final Sample'!AB84)-1)/2</f>
        <v>24</v>
      </c>
      <c r="F84" s="25">
        <f>RANK('Final Sample'!V84,'Final Sample'!$V$2:$V$612,0)+(COUNTIF('Final Sample'!$V$2:$V$612,'Final Sample'!V84)-1)/2</f>
        <v>538.5</v>
      </c>
    </row>
    <row r="85" spans="1:6" ht="15" customHeight="1" x14ac:dyDescent="0.3">
      <c r="A85" s="25">
        <f>RANK('Final Sample'!I85,'Final Sample'!$I$2:$I$612,0)+(COUNTIF('Final Sample'!$I$2:$I$612,'Final Sample'!I85)-1)/2</f>
        <v>186.5</v>
      </c>
      <c r="B85" s="25">
        <f>RANK('Final Sample'!J85,'Final Sample'!$J$2:$J$612,0)+(COUNTIF('Final Sample'!$J$2:$J$612,'Final Sample'!J85)-1)/2</f>
        <v>359</v>
      </c>
      <c r="C85" s="25">
        <f>RANK('Final Sample'!AA85,'Final Sample'!$AA$2:$AA$612,0)+(COUNTIF('Final Sample'!$AA$2:$AA$612,'Final Sample'!AA85)-1)/2</f>
        <v>261</v>
      </c>
      <c r="D85" s="25">
        <f>RANK('Final Sample'!R85,'Final Sample'!$R$2:$R$612,0)+(COUNTIF('Final Sample'!$R$2:$R$612,'Final Sample'!R85)-1)/2</f>
        <v>211</v>
      </c>
      <c r="E85" s="25">
        <f>RANK('Final Sample'!AB85,'Final Sample'!$AB$2:$AB$612,0)+(COUNTIF('Final Sample'!$AB$2:$AB$612,'Final Sample'!AB85)-1)/2</f>
        <v>59</v>
      </c>
      <c r="F85" s="25">
        <f>RANK('Final Sample'!V85,'Final Sample'!$V$2:$V$612,0)+(COUNTIF('Final Sample'!$V$2:$V$612,'Final Sample'!V85)-1)/2</f>
        <v>530</v>
      </c>
    </row>
    <row r="86" spans="1:6" ht="15" customHeight="1" x14ac:dyDescent="0.3">
      <c r="A86" s="25">
        <f>RANK('Final Sample'!I86,'Final Sample'!$I$2:$I$612,0)+(COUNTIF('Final Sample'!$I$2:$I$612,'Final Sample'!I86)-1)/2</f>
        <v>441.5</v>
      </c>
      <c r="B86" s="25">
        <f>RANK('Final Sample'!J86,'Final Sample'!$J$2:$J$612,0)+(COUNTIF('Final Sample'!$J$2:$J$612,'Final Sample'!J86)-1)/2</f>
        <v>359</v>
      </c>
      <c r="C86" s="25">
        <f>RANK('Final Sample'!AA86,'Final Sample'!$AA$2:$AA$612,0)+(COUNTIF('Final Sample'!$AA$2:$AA$612,'Final Sample'!AA86)-1)/2</f>
        <v>165</v>
      </c>
      <c r="D86" s="25">
        <f>RANK('Final Sample'!R86,'Final Sample'!$R$2:$R$612,0)+(COUNTIF('Final Sample'!$R$2:$R$612,'Final Sample'!R86)-1)/2</f>
        <v>437</v>
      </c>
      <c r="E86" s="25">
        <f>RANK('Final Sample'!AB86,'Final Sample'!$AB$2:$AB$612,0)+(COUNTIF('Final Sample'!$AB$2:$AB$612,'Final Sample'!AB86)-1)/2</f>
        <v>569</v>
      </c>
      <c r="F86" s="25">
        <f>RANK('Final Sample'!V86,'Final Sample'!$V$2:$V$612,0)+(COUNTIF('Final Sample'!$V$2:$V$612,'Final Sample'!V86)-1)/2</f>
        <v>243</v>
      </c>
    </row>
    <row r="87" spans="1:6" ht="15" customHeight="1" x14ac:dyDescent="0.3">
      <c r="A87" s="25">
        <f>RANK('Final Sample'!I87,'Final Sample'!$I$2:$I$612,0)+(COUNTIF('Final Sample'!$I$2:$I$612,'Final Sample'!I87)-1)/2</f>
        <v>441.5</v>
      </c>
      <c r="B87" s="25">
        <f>RANK('Final Sample'!J87,'Final Sample'!$J$2:$J$612,0)+(COUNTIF('Final Sample'!$J$2:$J$612,'Final Sample'!J87)-1)/2</f>
        <v>359</v>
      </c>
      <c r="C87" s="25">
        <f>RANK('Final Sample'!AA87,'Final Sample'!$AA$2:$AA$612,0)+(COUNTIF('Final Sample'!$AA$2:$AA$612,'Final Sample'!AA87)-1)/2</f>
        <v>46</v>
      </c>
      <c r="D87" s="25">
        <f>RANK('Final Sample'!R87,'Final Sample'!$R$2:$R$612,0)+(COUNTIF('Final Sample'!$R$2:$R$612,'Final Sample'!R87)-1)/2</f>
        <v>422</v>
      </c>
      <c r="E87" s="25">
        <f>RANK('Final Sample'!AB87,'Final Sample'!$AB$2:$AB$612,0)+(COUNTIF('Final Sample'!$AB$2:$AB$612,'Final Sample'!AB87)-1)/2</f>
        <v>567</v>
      </c>
      <c r="F87" s="25">
        <f>RANK('Final Sample'!V87,'Final Sample'!$V$2:$V$612,0)+(COUNTIF('Final Sample'!$V$2:$V$612,'Final Sample'!V87)-1)/2</f>
        <v>239.5</v>
      </c>
    </row>
    <row r="88" spans="1:6" ht="15" customHeight="1" x14ac:dyDescent="0.3">
      <c r="A88" s="25">
        <f>RANK('Final Sample'!I88,'Final Sample'!$I$2:$I$612,0)+(COUNTIF('Final Sample'!$I$2:$I$612,'Final Sample'!I88)-1)/2</f>
        <v>186.5</v>
      </c>
      <c r="B88" s="25">
        <f>RANK('Final Sample'!J88,'Final Sample'!$J$2:$J$612,0)+(COUNTIF('Final Sample'!$J$2:$J$612,'Final Sample'!J88)-1)/2</f>
        <v>98</v>
      </c>
      <c r="C88" s="25">
        <f>RANK('Final Sample'!AA88,'Final Sample'!$AA$2:$AA$612,0)+(COUNTIF('Final Sample'!$AA$2:$AA$612,'Final Sample'!AA88)-1)/2</f>
        <v>102</v>
      </c>
      <c r="D88" s="25">
        <f>RANK('Final Sample'!R88,'Final Sample'!$R$2:$R$612,0)+(COUNTIF('Final Sample'!$R$2:$R$612,'Final Sample'!R88)-1)/2</f>
        <v>381</v>
      </c>
      <c r="E88" s="25">
        <f>RANK('Final Sample'!AB88,'Final Sample'!$AB$2:$AB$612,0)+(COUNTIF('Final Sample'!$AB$2:$AB$612,'Final Sample'!AB88)-1)/2</f>
        <v>484</v>
      </c>
      <c r="F88" s="25">
        <f>RANK('Final Sample'!V88,'Final Sample'!$V$2:$V$612,0)+(COUNTIF('Final Sample'!$V$2:$V$612,'Final Sample'!V88)-1)/2</f>
        <v>234.5</v>
      </c>
    </row>
    <row r="89" spans="1:6" ht="15" customHeight="1" x14ac:dyDescent="0.3">
      <c r="A89" s="25">
        <f>RANK('Final Sample'!I89,'Final Sample'!$I$2:$I$612,0)+(COUNTIF('Final Sample'!$I$2:$I$612,'Final Sample'!I89)-1)/2</f>
        <v>95</v>
      </c>
      <c r="B89" s="25">
        <f>RANK('Final Sample'!J89,'Final Sample'!$J$2:$J$612,0)+(COUNTIF('Final Sample'!$J$2:$J$612,'Final Sample'!J89)-1)/2</f>
        <v>64.5</v>
      </c>
      <c r="C89" s="25">
        <f>RANK('Final Sample'!AA89,'Final Sample'!$AA$2:$AA$612,0)+(COUNTIF('Final Sample'!$AA$2:$AA$612,'Final Sample'!AA89)-1)/2</f>
        <v>104</v>
      </c>
      <c r="D89" s="25">
        <f>RANK('Final Sample'!R89,'Final Sample'!$R$2:$R$612,0)+(COUNTIF('Final Sample'!$R$2:$R$612,'Final Sample'!R89)-1)/2</f>
        <v>377</v>
      </c>
      <c r="E89" s="25">
        <f>RANK('Final Sample'!AB89,'Final Sample'!$AB$2:$AB$612,0)+(COUNTIF('Final Sample'!$AB$2:$AB$612,'Final Sample'!AB89)-1)/2</f>
        <v>498</v>
      </c>
      <c r="F89" s="25">
        <f>RANK('Final Sample'!V89,'Final Sample'!$V$2:$V$612,0)+(COUNTIF('Final Sample'!$V$2:$V$612,'Final Sample'!V89)-1)/2</f>
        <v>227.5</v>
      </c>
    </row>
    <row r="90" spans="1:6" ht="15" customHeight="1" x14ac:dyDescent="0.3">
      <c r="A90" s="25">
        <f>RANK('Final Sample'!I90,'Final Sample'!$I$2:$I$612,0)+(COUNTIF('Final Sample'!$I$2:$I$612,'Final Sample'!I90)-1)/2</f>
        <v>441.5</v>
      </c>
      <c r="B90" s="25">
        <f>RANK('Final Sample'!J90,'Final Sample'!$J$2:$J$612,0)+(COUNTIF('Final Sample'!$J$2:$J$612,'Final Sample'!J90)-1)/2</f>
        <v>359</v>
      </c>
      <c r="C90" s="25">
        <f>RANK('Final Sample'!AA90,'Final Sample'!$AA$2:$AA$612,0)+(COUNTIF('Final Sample'!$AA$2:$AA$612,'Final Sample'!AA90)-1)/2</f>
        <v>82</v>
      </c>
      <c r="D90" s="25">
        <f>RANK('Final Sample'!R90,'Final Sample'!$R$2:$R$612,0)+(COUNTIF('Final Sample'!$R$2:$R$612,'Final Sample'!R90)-1)/2</f>
        <v>237</v>
      </c>
      <c r="E90" s="25">
        <f>RANK('Final Sample'!AB90,'Final Sample'!$AB$2:$AB$612,0)+(COUNTIF('Final Sample'!$AB$2:$AB$612,'Final Sample'!AB90)-1)/2</f>
        <v>188</v>
      </c>
      <c r="F90" s="25">
        <f>RANK('Final Sample'!V90,'Final Sample'!$V$2:$V$612,0)+(COUNTIF('Final Sample'!$V$2:$V$612,'Final Sample'!V90)-1)/2</f>
        <v>218</v>
      </c>
    </row>
    <row r="91" spans="1:6" ht="15" customHeight="1" x14ac:dyDescent="0.3">
      <c r="A91" s="25">
        <f>RANK('Final Sample'!I91,'Final Sample'!$I$2:$I$612,0)+(COUNTIF('Final Sample'!$I$2:$I$612,'Final Sample'!I91)-1)/2</f>
        <v>441.5</v>
      </c>
      <c r="B91" s="25">
        <f>RANK('Final Sample'!J91,'Final Sample'!$J$2:$J$612,0)+(COUNTIF('Final Sample'!$J$2:$J$612,'Final Sample'!J91)-1)/2</f>
        <v>359</v>
      </c>
      <c r="C91" s="25">
        <f>RANK('Final Sample'!AA91,'Final Sample'!$AA$2:$AA$612,0)+(COUNTIF('Final Sample'!$AA$2:$AA$612,'Final Sample'!AA91)-1)/2</f>
        <v>565</v>
      </c>
      <c r="D91" s="25">
        <f>RANK('Final Sample'!R91,'Final Sample'!$R$2:$R$612,0)+(COUNTIF('Final Sample'!$R$2:$R$612,'Final Sample'!R91)-1)/2</f>
        <v>459</v>
      </c>
      <c r="E91" s="25">
        <f>RANK('Final Sample'!AB91,'Final Sample'!$AB$2:$AB$612,0)+(COUNTIF('Final Sample'!$AB$2:$AB$612,'Final Sample'!AB91)-1)/2</f>
        <v>360</v>
      </c>
      <c r="F91" s="25">
        <f>RANK('Final Sample'!V91,'Final Sample'!$V$2:$V$612,0)+(COUNTIF('Final Sample'!$V$2:$V$612,'Final Sample'!V91)-1)/2</f>
        <v>335</v>
      </c>
    </row>
    <row r="92" spans="1:6" ht="15" customHeight="1" x14ac:dyDescent="0.3">
      <c r="A92" s="25">
        <f>RANK('Final Sample'!I92,'Final Sample'!$I$2:$I$612,0)+(COUNTIF('Final Sample'!$I$2:$I$612,'Final Sample'!I92)-1)/2</f>
        <v>441.5</v>
      </c>
      <c r="B92" s="25">
        <f>RANK('Final Sample'!J92,'Final Sample'!$J$2:$J$612,0)+(COUNTIF('Final Sample'!$J$2:$J$612,'Final Sample'!J92)-1)/2</f>
        <v>359</v>
      </c>
      <c r="C92" s="25">
        <f>RANK('Final Sample'!AA92,'Final Sample'!$AA$2:$AA$612,0)+(COUNTIF('Final Sample'!$AA$2:$AA$612,'Final Sample'!AA92)-1)/2</f>
        <v>601</v>
      </c>
      <c r="D92" s="25">
        <f>RANK('Final Sample'!R92,'Final Sample'!$R$2:$R$612,0)+(COUNTIF('Final Sample'!$R$2:$R$612,'Final Sample'!R92)-1)/2</f>
        <v>416</v>
      </c>
      <c r="E92" s="25">
        <f>RANK('Final Sample'!AB92,'Final Sample'!$AB$2:$AB$612,0)+(COUNTIF('Final Sample'!$AB$2:$AB$612,'Final Sample'!AB92)-1)/2</f>
        <v>510</v>
      </c>
      <c r="F92" s="25">
        <f>RANK('Final Sample'!V92,'Final Sample'!$V$2:$V$612,0)+(COUNTIF('Final Sample'!$V$2:$V$612,'Final Sample'!V92)-1)/2</f>
        <v>326</v>
      </c>
    </row>
    <row r="93" spans="1:6" ht="15" customHeight="1" x14ac:dyDescent="0.3">
      <c r="A93" s="25">
        <f>RANK('Final Sample'!I93,'Final Sample'!$I$2:$I$612,0)+(COUNTIF('Final Sample'!$I$2:$I$612,'Final Sample'!I93)-1)/2</f>
        <v>441.5</v>
      </c>
      <c r="B93" s="25">
        <f>RANK('Final Sample'!J93,'Final Sample'!$J$2:$J$612,0)+(COUNTIF('Final Sample'!$J$2:$J$612,'Final Sample'!J93)-1)/2</f>
        <v>359</v>
      </c>
      <c r="C93" s="25">
        <f>RANK('Final Sample'!AA93,'Final Sample'!$AA$2:$AA$612,0)+(COUNTIF('Final Sample'!$AA$2:$AA$612,'Final Sample'!AA93)-1)/2</f>
        <v>391</v>
      </c>
      <c r="D93" s="25">
        <f>RANK('Final Sample'!R93,'Final Sample'!$R$2:$R$612,0)+(COUNTIF('Final Sample'!$R$2:$R$612,'Final Sample'!R93)-1)/2</f>
        <v>392</v>
      </c>
      <c r="E93" s="25">
        <f>RANK('Final Sample'!AB93,'Final Sample'!$AB$2:$AB$612,0)+(COUNTIF('Final Sample'!$AB$2:$AB$612,'Final Sample'!AB93)-1)/2</f>
        <v>439</v>
      </c>
      <c r="F93" s="25">
        <f>RANK('Final Sample'!V93,'Final Sample'!$V$2:$V$612,0)+(COUNTIF('Final Sample'!$V$2:$V$612,'Final Sample'!V93)-1)/2</f>
        <v>318.5</v>
      </c>
    </row>
    <row r="94" spans="1:6" ht="15" customHeight="1" x14ac:dyDescent="0.3">
      <c r="A94" s="25">
        <f>RANK('Final Sample'!I94,'Final Sample'!$I$2:$I$612,0)+(COUNTIF('Final Sample'!$I$2:$I$612,'Final Sample'!I94)-1)/2</f>
        <v>441.5</v>
      </c>
      <c r="B94" s="25">
        <f>RANK('Final Sample'!J94,'Final Sample'!$J$2:$J$612,0)+(COUNTIF('Final Sample'!$J$2:$J$612,'Final Sample'!J94)-1)/2</f>
        <v>359</v>
      </c>
      <c r="C94" s="25">
        <f>RANK('Final Sample'!AA94,'Final Sample'!$AA$2:$AA$612,0)+(COUNTIF('Final Sample'!$AA$2:$AA$612,'Final Sample'!AA94)-1)/2</f>
        <v>402</v>
      </c>
      <c r="D94" s="25">
        <f>RANK('Final Sample'!R94,'Final Sample'!$R$2:$R$612,0)+(COUNTIF('Final Sample'!$R$2:$R$612,'Final Sample'!R94)-1)/2</f>
        <v>382</v>
      </c>
      <c r="E94" s="25">
        <f>RANK('Final Sample'!AB94,'Final Sample'!$AB$2:$AB$612,0)+(COUNTIF('Final Sample'!$AB$2:$AB$612,'Final Sample'!AB94)-1)/2</f>
        <v>424</v>
      </c>
      <c r="F94" s="25">
        <f>RANK('Final Sample'!V94,'Final Sample'!$V$2:$V$612,0)+(COUNTIF('Final Sample'!$V$2:$V$612,'Final Sample'!V94)-1)/2</f>
        <v>311.5</v>
      </c>
    </row>
    <row r="95" spans="1:6" ht="15" customHeight="1" x14ac:dyDescent="0.3">
      <c r="A95" s="25">
        <f>RANK('Final Sample'!I95,'Final Sample'!$I$2:$I$612,0)+(COUNTIF('Final Sample'!$I$2:$I$612,'Final Sample'!I95)-1)/2</f>
        <v>441.5</v>
      </c>
      <c r="B95" s="25">
        <f>RANK('Final Sample'!J95,'Final Sample'!$J$2:$J$612,0)+(COUNTIF('Final Sample'!$J$2:$J$612,'Final Sample'!J95)-1)/2</f>
        <v>359</v>
      </c>
      <c r="C95" s="25">
        <f>RANK('Final Sample'!AA95,'Final Sample'!$AA$2:$AA$612,0)+(COUNTIF('Final Sample'!$AA$2:$AA$612,'Final Sample'!AA95)-1)/2</f>
        <v>201</v>
      </c>
      <c r="D95" s="25">
        <f>RANK('Final Sample'!R95,'Final Sample'!$R$2:$R$612,0)+(COUNTIF('Final Sample'!$R$2:$R$612,'Final Sample'!R95)-1)/2</f>
        <v>318</v>
      </c>
      <c r="E95" s="25">
        <f>RANK('Final Sample'!AB95,'Final Sample'!$AB$2:$AB$612,0)+(COUNTIF('Final Sample'!$AB$2:$AB$612,'Final Sample'!AB95)-1)/2</f>
        <v>503</v>
      </c>
      <c r="F95" s="25">
        <f>RANK('Final Sample'!V95,'Final Sample'!$V$2:$V$612,0)+(COUNTIF('Final Sample'!$V$2:$V$612,'Final Sample'!V95)-1)/2</f>
        <v>303</v>
      </c>
    </row>
    <row r="96" spans="1:6" ht="15" customHeight="1" x14ac:dyDescent="0.3">
      <c r="A96" s="25">
        <f>RANK('Final Sample'!I96,'Final Sample'!$I$2:$I$612,0)+(COUNTIF('Final Sample'!$I$2:$I$612,'Final Sample'!I96)-1)/2</f>
        <v>441.5</v>
      </c>
      <c r="B96" s="25">
        <f>RANK('Final Sample'!J96,'Final Sample'!$J$2:$J$612,0)+(COUNTIF('Final Sample'!$J$2:$J$612,'Final Sample'!J96)-1)/2</f>
        <v>359</v>
      </c>
      <c r="C96" s="25">
        <f>RANK('Final Sample'!AA96,'Final Sample'!$AA$2:$AA$612,0)+(COUNTIF('Final Sample'!$AA$2:$AA$612,'Final Sample'!AA96)-1)/2</f>
        <v>85</v>
      </c>
      <c r="D96" s="25">
        <f>RANK('Final Sample'!R96,'Final Sample'!$R$2:$R$612,0)+(COUNTIF('Final Sample'!$R$2:$R$612,'Final Sample'!R96)-1)/2</f>
        <v>506</v>
      </c>
      <c r="E96" s="25">
        <f>RANK('Final Sample'!AB96,'Final Sample'!$AB$2:$AB$612,0)+(COUNTIF('Final Sample'!$AB$2:$AB$612,'Final Sample'!AB96)-1)/2</f>
        <v>16</v>
      </c>
      <c r="F96" s="25">
        <f>RANK('Final Sample'!V96,'Final Sample'!$V$2:$V$612,0)+(COUNTIF('Final Sample'!$V$2:$V$612,'Final Sample'!V96)-1)/2</f>
        <v>41</v>
      </c>
    </row>
    <row r="97" spans="1:6" ht="15" customHeight="1" x14ac:dyDescent="0.3">
      <c r="A97" s="25">
        <f>RANK('Final Sample'!I97,'Final Sample'!$I$2:$I$612,0)+(COUNTIF('Final Sample'!$I$2:$I$612,'Final Sample'!I97)-1)/2</f>
        <v>441.5</v>
      </c>
      <c r="B97" s="25">
        <f>RANK('Final Sample'!J97,'Final Sample'!$J$2:$J$612,0)+(COUNTIF('Final Sample'!$J$2:$J$612,'Final Sample'!J97)-1)/2</f>
        <v>359</v>
      </c>
      <c r="C97" s="25">
        <f>RANK('Final Sample'!AA97,'Final Sample'!$AA$2:$AA$612,0)+(COUNTIF('Final Sample'!$AA$2:$AA$612,'Final Sample'!AA97)-1)/2</f>
        <v>196</v>
      </c>
      <c r="D97" s="25">
        <f>RANK('Final Sample'!R97,'Final Sample'!$R$2:$R$612,0)+(COUNTIF('Final Sample'!$R$2:$R$612,'Final Sample'!R97)-1)/2</f>
        <v>462</v>
      </c>
      <c r="E97" s="25">
        <f>RANK('Final Sample'!AB97,'Final Sample'!$AB$2:$AB$612,0)+(COUNTIF('Final Sample'!$AB$2:$AB$612,'Final Sample'!AB97)-1)/2</f>
        <v>37</v>
      </c>
      <c r="F97" s="25">
        <f>RANK('Final Sample'!V97,'Final Sample'!$V$2:$V$612,0)+(COUNTIF('Final Sample'!$V$2:$V$612,'Final Sample'!V97)-1)/2</f>
        <v>35.5</v>
      </c>
    </row>
    <row r="98" spans="1:6" ht="15" customHeight="1" x14ac:dyDescent="0.3">
      <c r="A98" s="25">
        <f>RANK('Final Sample'!I98,'Final Sample'!$I$2:$I$612,0)+(COUNTIF('Final Sample'!$I$2:$I$612,'Final Sample'!I98)-1)/2</f>
        <v>441.5</v>
      </c>
      <c r="B98" s="25">
        <f>RANK('Final Sample'!J98,'Final Sample'!$J$2:$J$612,0)+(COUNTIF('Final Sample'!$J$2:$J$612,'Final Sample'!J98)-1)/2</f>
        <v>359</v>
      </c>
      <c r="C98" s="25">
        <f>RANK('Final Sample'!AA98,'Final Sample'!$AA$2:$AA$612,0)+(COUNTIF('Final Sample'!$AA$2:$AA$612,'Final Sample'!AA98)-1)/2</f>
        <v>255</v>
      </c>
      <c r="D98" s="25">
        <f>RANK('Final Sample'!R98,'Final Sample'!$R$2:$R$612,0)+(COUNTIF('Final Sample'!$R$2:$R$612,'Final Sample'!R98)-1)/2</f>
        <v>451</v>
      </c>
      <c r="E98" s="25">
        <f>RANK('Final Sample'!AB98,'Final Sample'!$AB$2:$AB$612,0)+(COUNTIF('Final Sample'!$AB$2:$AB$612,'Final Sample'!AB98)-1)/2</f>
        <v>67</v>
      </c>
      <c r="F98" s="25">
        <f>RANK('Final Sample'!V98,'Final Sample'!$V$2:$V$612,0)+(COUNTIF('Final Sample'!$V$2:$V$612,'Final Sample'!V98)-1)/2</f>
        <v>29.5</v>
      </c>
    </row>
    <row r="99" spans="1:6" ht="15" customHeight="1" x14ac:dyDescent="0.3">
      <c r="A99" s="25">
        <f>RANK('Final Sample'!I99,'Final Sample'!$I$2:$I$612,0)+(COUNTIF('Final Sample'!$I$2:$I$612,'Final Sample'!I99)-1)/2</f>
        <v>441.5</v>
      </c>
      <c r="B99" s="25">
        <f>RANK('Final Sample'!J99,'Final Sample'!$J$2:$J$612,0)+(COUNTIF('Final Sample'!$J$2:$J$612,'Final Sample'!J99)-1)/2</f>
        <v>359</v>
      </c>
      <c r="C99" s="25">
        <f>RANK('Final Sample'!AA99,'Final Sample'!$AA$2:$AA$612,0)+(COUNTIF('Final Sample'!$AA$2:$AA$612,'Final Sample'!AA99)-1)/2</f>
        <v>232</v>
      </c>
      <c r="D99" s="25">
        <f>RANK('Final Sample'!R99,'Final Sample'!$R$2:$R$612,0)+(COUNTIF('Final Sample'!$R$2:$R$612,'Final Sample'!R99)-1)/2</f>
        <v>427</v>
      </c>
      <c r="E99" s="25">
        <f>RANK('Final Sample'!AB99,'Final Sample'!$AB$2:$AB$612,0)+(COUNTIF('Final Sample'!$AB$2:$AB$612,'Final Sample'!AB99)-1)/2</f>
        <v>50</v>
      </c>
      <c r="F99" s="25">
        <f>RANK('Final Sample'!V99,'Final Sample'!$V$2:$V$612,0)+(COUNTIF('Final Sample'!$V$2:$V$612,'Final Sample'!V99)-1)/2</f>
        <v>23.5</v>
      </c>
    </row>
    <row r="100" spans="1:6" ht="15" customHeight="1" x14ac:dyDescent="0.3">
      <c r="A100" s="25">
        <f>RANK('Final Sample'!I100,'Final Sample'!$I$2:$I$612,0)+(COUNTIF('Final Sample'!$I$2:$I$612,'Final Sample'!I100)-1)/2</f>
        <v>441.5</v>
      </c>
      <c r="B100" s="25">
        <f>RANK('Final Sample'!J100,'Final Sample'!$J$2:$J$612,0)+(COUNTIF('Final Sample'!$J$2:$J$612,'Final Sample'!J100)-1)/2</f>
        <v>359</v>
      </c>
      <c r="C100" s="25">
        <f>RANK('Final Sample'!AA100,'Final Sample'!$AA$2:$AA$612,0)+(COUNTIF('Final Sample'!$AA$2:$AA$612,'Final Sample'!AA100)-1)/2</f>
        <v>234</v>
      </c>
      <c r="D100" s="25">
        <f>RANK('Final Sample'!R100,'Final Sample'!$R$2:$R$612,0)+(COUNTIF('Final Sample'!$R$2:$R$612,'Final Sample'!R100)-1)/2</f>
        <v>363</v>
      </c>
      <c r="E100" s="25">
        <f>RANK('Final Sample'!AB100,'Final Sample'!$AB$2:$AB$612,0)+(COUNTIF('Final Sample'!$AB$2:$AB$612,'Final Sample'!AB100)-1)/2</f>
        <v>134</v>
      </c>
      <c r="F100" s="25">
        <f>RANK('Final Sample'!V100,'Final Sample'!$V$2:$V$612,0)+(COUNTIF('Final Sample'!$V$2:$V$612,'Final Sample'!V100)-1)/2</f>
        <v>18.5</v>
      </c>
    </row>
    <row r="101" spans="1:6" ht="15" customHeight="1" x14ac:dyDescent="0.3">
      <c r="A101" s="25">
        <f>RANK('Final Sample'!I101,'Final Sample'!$I$2:$I$612,0)+(COUNTIF('Final Sample'!$I$2:$I$612,'Final Sample'!I101)-1)/2</f>
        <v>441.5</v>
      </c>
      <c r="B101" s="25">
        <f>RANK('Final Sample'!J101,'Final Sample'!$J$2:$J$612,0)+(COUNTIF('Final Sample'!$J$2:$J$612,'Final Sample'!J101)-1)/2</f>
        <v>359</v>
      </c>
      <c r="C101" s="25">
        <f>RANK('Final Sample'!AA101,'Final Sample'!$AA$2:$AA$612,0)+(COUNTIF('Final Sample'!$AA$2:$AA$612,'Final Sample'!AA101)-1)/2</f>
        <v>527</v>
      </c>
      <c r="D101" s="25">
        <f>RANK('Final Sample'!R101,'Final Sample'!$R$2:$R$612,0)+(COUNTIF('Final Sample'!$R$2:$R$612,'Final Sample'!R101)-1)/2</f>
        <v>271</v>
      </c>
      <c r="E101" s="25">
        <f>RANK('Final Sample'!AB101,'Final Sample'!$AB$2:$AB$612,0)+(COUNTIF('Final Sample'!$AB$2:$AB$612,'Final Sample'!AB101)-1)/2</f>
        <v>244</v>
      </c>
      <c r="F101" s="25">
        <f>RANK('Final Sample'!V101,'Final Sample'!$V$2:$V$612,0)+(COUNTIF('Final Sample'!$V$2:$V$612,'Final Sample'!V101)-1)/2</f>
        <v>408</v>
      </c>
    </row>
    <row r="102" spans="1:6" ht="15" customHeight="1" x14ac:dyDescent="0.3">
      <c r="A102" s="25">
        <f>RANK('Final Sample'!I102,'Final Sample'!$I$2:$I$612,0)+(COUNTIF('Final Sample'!$I$2:$I$612,'Final Sample'!I102)-1)/2</f>
        <v>441.5</v>
      </c>
      <c r="B102" s="25">
        <f>RANK('Final Sample'!J102,'Final Sample'!$J$2:$J$612,0)+(COUNTIF('Final Sample'!$J$2:$J$612,'Final Sample'!J102)-1)/2</f>
        <v>359</v>
      </c>
      <c r="C102" s="25">
        <f>RANK('Final Sample'!AA102,'Final Sample'!$AA$2:$AA$612,0)+(COUNTIF('Final Sample'!$AA$2:$AA$612,'Final Sample'!AA102)-1)/2</f>
        <v>549</v>
      </c>
      <c r="D102" s="25">
        <f>RANK('Final Sample'!R102,'Final Sample'!$R$2:$R$612,0)+(COUNTIF('Final Sample'!$R$2:$R$612,'Final Sample'!R102)-1)/2</f>
        <v>272</v>
      </c>
      <c r="E102" s="25">
        <f>RANK('Final Sample'!AB102,'Final Sample'!$AB$2:$AB$612,0)+(COUNTIF('Final Sample'!$AB$2:$AB$612,'Final Sample'!AB102)-1)/2</f>
        <v>274</v>
      </c>
      <c r="F102" s="25">
        <f>RANK('Final Sample'!V102,'Final Sample'!$V$2:$V$612,0)+(COUNTIF('Final Sample'!$V$2:$V$612,'Final Sample'!V102)-1)/2</f>
        <v>390.5</v>
      </c>
    </row>
    <row r="103" spans="1:6" ht="15" customHeight="1" x14ac:dyDescent="0.3">
      <c r="A103" s="25">
        <f>RANK('Final Sample'!I103,'Final Sample'!$I$2:$I$612,0)+(COUNTIF('Final Sample'!$I$2:$I$612,'Final Sample'!I103)-1)/2</f>
        <v>441.5</v>
      </c>
      <c r="B103" s="25">
        <f>RANK('Final Sample'!J103,'Final Sample'!$J$2:$J$612,0)+(COUNTIF('Final Sample'!$J$2:$J$612,'Final Sample'!J103)-1)/2</f>
        <v>359</v>
      </c>
      <c r="C103" s="25">
        <f>RANK('Final Sample'!AA103,'Final Sample'!$AA$2:$AA$612,0)+(COUNTIF('Final Sample'!$AA$2:$AA$612,'Final Sample'!AA103)-1)/2</f>
        <v>557</v>
      </c>
      <c r="D103" s="25">
        <f>RANK('Final Sample'!R103,'Final Sample'!$R$2:$R$612,0)+(COUNTIF('Final Sample'!$R$2:$R$612,'Final Sample'!R103)-1)/2</f>
        <v>242</v>
      </c>
      <c r="E103" s="25">
        <f>RANK('Final Sample'!AB103,'Final Sample'!$AB$2:$AB$612,0)+(COUNTIF('Final Sample'!$AB$2:$AB$612,'Final Sample'!AB103)-1)/2</f>
        <v>307</v>
      </c>
      <c r="F103" s="25">
        <f>RANK('Final Sample'!V103,'Final Sample'!$V$2:$V$612,0)+(COUNTIF('Final Sample'!$V$2:$V$612,'Final Sample'!V103)-1)/2</f>
        <v>373</v>
      </c>
    </row>
    <row r="104" spans="1:6" ht="15" customHeight="1" x14ac:dyDescent="0.3">
      <c r="A104" s="25">
        <f>RANK('Final Sample'!I104,'Final Sample'!$I$2:$I$612,0)+(COUNTIF('Final Sample'!$I$2:$I$612,'Final Sample'!I104)-1)/2</f>
        <v>441.5</v>
      </c>
      <c r="B104" s="25">
        <f>RANK('Final Sample'!J104,'Final Sample'!$J$2:$J$612,0)+(COUNTIF('Final Sample'!$J$2:$J$612,'Final Sample'!J104)-1)/2</f>
        <v>359</v>
      </c>
      <c r="C104" s="25">
        <f>RANK('Final Sample'!AA104,'Final Sample'!$AA$2:$AA$612,0)+(COUNTIF('Final Sample'!$AA$2:$AA$612,'Final Sample'!AA104)-1)/2</f>
        <v>566</v>
      </c>
      <c r="D104" s="25">
        <f>RANK('Final Sample'!R104,'Final Sample'!$R$2:$R$612,0)+(COUNTIF('Final Sample'!$R$2:$R$612,'Final Sample'!R104)-1)/2</f>
        <v>214</v>
      </c>
      <c r="E104" s="25">
        <f>RANK('Final Sample'!AB104,'Final Sample'!$AB$2:$AB$612,0)+(COUNTIF('Final Sample'!$AB$2:$AB$612,'Final Sample'!AB104)-1)/2</f>
        <v>372</v>
      </c>
      <c r="F104" s="25">
        <f>RANK('Final Sample'!V104,'Final Sample'!$V$2:$V$612,0)+(COUNTIF('Final Sample'!$V$2:$V$612,'Final Sample'!V104)-1)/2</f>
        <v>356.5</v>
      </c>
    </row>
    <row r="105" spans="1:6" ht="15" customHeight="1" x14ac:dyDescent="0.3">
      <c r="A105" s="25">
        <f>RANK('Final Sample'!I105,'Final Sample'!$I$2:$I$612,0)+(COUNTIF('Final Sample'!$I$2:$I$612,'Final Sample'!I105)-1)/2</f>
        <v>441.5</v>
      </c>
      <c r="B105" s="25">
        <f>RANK('Final Sample'!J105,'Final Sample'!$J$2:$J$612,0)+(COUNTIF('Final Sample'!$J$2:$J$612,'Final Sample'!J105)-1)/2</f>
        <v>359</v>
      </c>
      <c r="C105" s="25">
        <f>RANK('Final Sample'!AA105,'Final Sample'!$AA$2:$AA$612,0)+(COUNTIF('Final Sample'!$AA$2:$AA$612,'Final Sample'!AA105)-1)/2</f>
        <v>529</v>
      </c>
      <c r="D105" s="25">
        <f>RANK('Final Sample'!R105,'Final Sample'!$R$2:$R$612,0)+(COUNTIF('Final Sample'!$R$2:$R$612,'Final Sample'!R105)-1)/2</f>
        <v>202</v>
      </c>
      <c r="E105" s="25">
        <f>RANK('Final Sample'!AB105,'Final Sample'!$AB$2:$AB$612,0)+(COUNTIF('Final Sample'!$AB$2:$AB$612,'Final Sample'!AB105)-1)/2</f>
        <v>308</v>
      </c>
      <c r="F105" s="25">
        <f>RANK('Final Sample'!V105,'Final Sample'!$V$2:$V$612,0)+(COUNTIF('Final Sample'!$V$2:$V$612,'Final Sample'!V105)-1)/2</f>
        <v>344</v>
      </c>
    </row>
    <row r="106" spans="1:6" ht="15" customHeight="1" x14ac:dyDescent="0.3">
      <c r="A106" s="25">
        <f>RANK('Final Sample'!I106,'Final Sample'!$I$2:$I$612,0)+(COUNTIF('Final Sample'!$I$2:$I$612,'Final Sample'!I106)-1)/2</f>
        <v>162.5</v>
      </c>
      <c r="B106" s="25">
        <f>RANK('Final Sample'!J106,'Final Sample'!$J$2:$J$612,0)+(COUNTIF('Final Sample'!$J$2:$J$612,'Final Sample'!J106)-1)/2</f>
        <v>359</v>
      </c>
      <c r="C106" s="25">
        <f>RANK('Final Sample'!AA106,'Final Sample'!$AA$2:$AA$612,0)+(COUNTIF('Final Sample'!$AA$2:$AA$612,'Final Sample'!AA106)-1)/2</f>
        <v>398</v>
      </c>
      <c r="D106" s="25">
        <f>RANK('Final Sample'!R106,'Final Sample'!$R$2:$R$612,0)+(COUNTIF('Final Sample'!$R$2:$R$612,'Final Sample'!R106)-1)/2</f>
        <v>419</v>
      </c>
      <c r="E106" s="25">
        <f>RANK('Final Sample'!AB106,'Final Sample'!$AB$2:$AB$612,0)+(COUNTIF('Final Sample'!$AB$2:$AB$612,'Final Sample'!AB106)-1)/2</f>
        <v>508</v>
      </c>
      <c r="F106" s="25">
        <f>RANK('Final Sample'!V106,'Final Sample'!$V$2:$V$612,0)+(COUNTIF('Final Sample'!$V$2:$V$612,'Final Sample'!V106)-1)/2</f>
        <v>425.5</v>
      </c>
    </row>
    <row r="107" spans="1:6" ht="15" customHeight="1" x14ac:dyDescent="0.3">
      <c r="A107" s="25">
        <f>RANK('Final Sample'!I107,'Final Sample'!$I$2:$I$612,0)+(COUNTIF('Final Sample'!$I$2:$I$612,'Final Sample'!I107)-1)/2</f>
        <v>162.5</v>
      </c>
      <c r="B107" s="25">
        <f>RANK('Final Sample'!J107,'Final Sample'!$J$2:$J$612,0)+(COUNTIF('Final Sample'!$J$2:$J$612,'Final Sample'!J107)-1)/2</f>
        <v>359</v>
      </c>
      <c r="C107" s="25">
        <f>RANK('Final Sample'!AA107,'Final Sample'!$AA$2:$AA$612,0)+(COUNTIF('Final Sample'!$AA$2:$AA$612,'Final Sample'!AA107)-1)/2</f>
        <v>505</v>
      </c>
      <c r="D107" s="25">
        <f>RANK('Final Sample'!R107,'Final Sample'!$R$2:$R$612,0)+(COUNTIF('Final Sample'!$R$2:$R$612,'Final Sample'!R107)-1)/2</f>
        <v>397</v>
      </c>
      <c r="E107" s="25">
        <f>RANK('Final Sample'!AB107,'Final Sample'!$AB$2:$AB$612,0)+(COUNTIF('Final Sample'!$AB$2:$AB$612,'Final Sample'!AB107)-1)/2</f>
        <v>463</v>
      </c>
      <c r="F107" s="25">
        <f>RANK('Final Sample'!V107,'Final Sample'!$V$2:$V$612,0)+(COUNTIF('Final Sample'!$V$2:$V$612,'Final Sample'!V107)-1)/2</f>
        <v>408</v>
      </c>
    </row>
    <row r="108" spans="1:6" ht="15" customHeight="1" x14ac:dyDescent="0.3">
      <c r="A108" s="25">
        <f>RANK('Final Sample'!I108,'Final Sample'!$I$2:$I$612,0)+(COUNTIF('Final Sample'!$I$2:$I$612,'Final Sample'!I108)-1)/2</f>
        <v>441.5</v>
      </c>
      <c r="B108" s="25">
        <f>RANK('Final Sample'!J108,'Final Sample'!$J$2:$J$612,0)+(COUNTIF('Final Sample'!$J$2:$J$612,'Final Sample'!J108)-1)/2</f>
        <v>359</v>
      </c>
      <c r="C108" s="25">
        <f>RANK('Final Sample'!AA108,'Final Sample'!$AA$2:$AA$612,0)+(COUNTIF('Final Sample'!$AA$2:$AA$612,'Final Sample'!AA108)-1)/2</f>
        <v>311</v>
      </c>
      <c r="D108" s="25">
        <f>RANK('Final Sample'!R108,'Final Sample'!$R$2:$R$612,0)+(COUNTIF('Final Sample'!$R$2:$R$612,'Final Sample'!R108)-1)/2</f>
        <v>345</v>
      </c>
      <c r="E108" s="25">
        <f>RANK('Final Sample'!AB108,'Final Sample'!$AB$2:$AB$612,0)+(COUNTIF('Final Sample'!$AB$2:$AB$612,'Final Sample'!AB108)-1)/2</f>
        <v>428</v>
      </c>
      <c r="F108" s="25">
        <f>RANK('Final Sample'!V108,'Final Sample'!$V$2:$V$612,0)+(COUNTIF('Final Sample'!$V$2:$V$612,'Final Sample'!V108)-1)/2</f>
        <v>390.5</v>
      </c>
    </row>
    <row r="109" spans="1:6" ht="15" customHeight="1" x14ac:dyDescent="0.3">
      <c r="A109" s="25">
        <f>RANK('Final Sample'!I109,'Final Sample'!$I$2:$I$612,0)+(COUNTIF('Final Sample'!$I$2:$I$612,'Final Sample'!I109)-1)/2</f>
        <v>441.5</v>
      </c>
      <c r="B109" s="25">
        <f>RANK('Final Sample'!J109,'Final Sample'!$J$2:$J$612,0)+(COUNTIF('Final Sample'!$J$2:$J$612,'Final Sample'!J109)-1)/2</f>
        <v>359</v>
      </c>
      <c r="C109" s="25">
        <f>RANK('Final Sample'!AA109,'Final Sample'!$AA$2:$AA$612,0)+(COUNTIF('Final Sample'!$AA$2:$AA$612,'Final Sample'!AA109)-1)/2</f>
        <v>344</v>
      </c>
      <c r="D109" s="25">
        <f>RANK('Final Sample'!R109,'Final Sample'!$R$2:$R$612,0)+(COUNTIF('Final Sample'!$R$2:$R$612,'Final Sample'!R109)-1)/2</f>
        <v>275</v>
      </c>
      <c r="E109" s="25">
        <f>RANK('Final Sample'!AB109,'Final Sample'!$AB$2:$AB$612,0)+(COUNTIF('Final Sample'!$AB$2:$AB$612,'Final Sample'!AB109)-1)/2</f>
        <v>536</v>
      </c>
      <c r="F109" s="25">
        <f>RANK('Final Sample'!V109,'Final Sample'!$V$2:$V$612,0)+(COUNTIF('Final Sample'!$V$2:$V$612,'Final Sample'!V109)-1)/2</f>
        <v>373</v>
      </c>
    </row>
    <row r="110" spans="1:6" ht="15" customHeight="1" x14ac:dyDescent="0.3">
      <c r="A110" s="25">
        <f>RANK('Final Sample'!I110,'Final Sample'!$I$2:$I$612,0)+(COUNTIF('Final Sample'!$I$2:$I$612,'Final Sample'!I110)-1)/2</f>
        <v>441.5</v>
      </c>
      <c r="B110" s="25">
        <f>RANK('Final Sample'!J110,'Final Sample'!$J$2:$J$612,0)+(COUNTIF('Final Sample'!$J$2:$J$612,'Final Sample'!J110)-1)/2</f>
        <v>359</v>
      </c>
      <c r="C110" s="25">
        <f>RANK('Final Sample'!AA110,'Final Sample'!$AA$2:$AA$612,0)+(COUNTIF('Final Sample'!$AA$2:$AA$612,'Final Sample'!AA110)-1)/2</f>
        <v>330</v>
      </c>
      <c r="D110" s="25">
        <f>RANK('Final Sample'!R110,'Final Sample'!$R$2:$R$612,0)+(COUNTIF('Final Sample'!$R$2:$R$612,'Final Sample'!R110)-1)/2</f>
        <v>248</v>
      </c>
      <c r="E110" s="25">
        <f>RANK('Final Sample'!AB110,'Final Sample'!$AB$2:$AB$612,0)+(COUNTIF('Final Sample'!$AB$2:$AB$612,'Final Sample'!AB110)-1)/2</f>
        <v>491</v>
      </c>
      <c r="F110" s="25">
        <f>RANK('Final Sample'!V110,'Final Sample'!$V$2:$V$612,0)+(COUNTIF('Final Sample'!$V$2:$V$612,'Final Sample'!V110)-1)/2</f>
        <v>356.5</v>
      </c>
    </row>
    <row r="111" spans="1:6" ht="15" customHeight="1" x14ac:dyDescent="0.3">
      <c r="A111" s="25">
        <f>RANK('Final Sample'!I111,'Final Sample'!$I$2:$I$612,0)+(COUNTIF('Final Sample'!$I$2:$I$612,'Final Sample'!I111)-1)/2</f>
        <v>236</v>
      </c>
      <c r="B111" s="25">
        <f>RANK('Final Sample'!J111,'Final Sample'!$J$2:$J$612,0)+(COUNTIF('Final Sample'!$J$2:$J$612,'Final Sample'!J111)-1)/2</f>
        <v>359</v>
      </c>
      <c r="C111" s="25">
        <f>RANK('Final Sample'!AA111,'Final Sample'!$AA$2:$AA$612,0)+(COUNTIF('Final Sample'!$AA$2:$AA$612,'Final Sample'!AA111)-1)/2</f>
        <v>497</v>
      </c>
      <c r="D111" s="25">
        <f>RANK('Final Sample'!R111,'Final Sample'!$R$2:$R$612,0)+(COUNTIF('Final Sample'!$R$2:$R$612,'Final Sample'!R111)-1)/2</f>
        <v>280</v>
      </c>
      <c r="E111" s="25">
        <f>RANK('Final Sample'!AB111,'Final Sample'!$AB$2:$AB$612,0)+(COUNTIF('Final Sample'!$AB$2:$AB$612,'Final Sample'!AB111)-1)/2</f>
        <v>361</v>
      </c>
      <c r="F111" s="25">
        <f>RANK('Final Sample'!V111,'Final Sample'!$V$2:$V$612,0)+(COUNTIF('Final Sample'!$V$2:$V$612,'Final Sample'!V111)-1)/2</f>
        <v>143.5</v>
      </c>
    </row>
    <row r="112" spans="1:6" ht="15" customHeight="1" x14ac:dyDescent="0.3">
      <c r="A112" s="25">
        <f>RANK('Final Sample'!I112,'Final Sample'!$I$2:$I$612,0)+(COUNTIF('Final Sample'!$I$2:$I$612,'Final Sample'!I112)-1)/2</f>
        <v>236</v>
      </c>
      <c r="B112" s="25">
        <f>RANK('Final Sample'!J112,'Final Sample'!$J$2:$J$612,0)+(COUNTIF('Final Sample'!$J$2:$J$612,'Final Sample'!J112)-1)/2</f>
        <v>359</v>
      </c>
      <c r="C112" s="25">
        <f>RANK('Final Sample'!AA112,'Final Sample'!$AA$2:$AA$612,0)+(COUNTIF('Final Sample'!$AA$2:$AA$612,'Final Sample'!AA112)-1)/2</f>
        <v>502</v>
      </c>
      <c r="D112" s="25">
        <f>RANK('Final Sample'!R112,'Final Sample'!$R$2:$R$612,0)+(COUNTIF('Final Sample'!$R$2:$R$612,'Final Sample'!R112)-1)/2</f>
        <v>266</v>
      </c>
      <c r="E112" s="25">
        <f>RANK('Final Sample'!AB112,'Final Sample'!$AB$2:$AB$612,0)+(COUNTIF('Final Sample'!$AB$2:$AB$612,'Final Sample'!AB112)-1)/2</f>
        <v>386</v>
      </c>
      <c r="F112" s="25">
        <f>RANK('Final Sample'!V112,'Final Sample'!$V$2:$V$612,0)+(COUNTIF('Final Sample'!$V$2:$V$612,'Final Sample'!V112)-1)/2</f>
        <v>129.5</v>
      </c>
    </row>
    <row r="113" spans="1:6" ht="15" customHeight="1" x14ac:dyDescent="0.3">
      <c r="A113" s="25">
        <f>RANK('Final Sample'!I113,'Final Sample'!$I$2:$I$612,0)+(COUNTIF('Final Sample'!$I$2:$I$612,'Final Sample'!I113)-1)/2</f>
        <v>236</v>
      </c>
      <c r="B113" s="25">
        <f>RANK('Final Sample'!J113,'Final Sample'!$J$2:$J$612,0)+(COUNTIF('Final Sample'!$J$2:$J$612,'Final Sample'!J113)-1)/2</f>
        <v>359</v>
      </c>
      <c r="C113" s="25">
        <f>RANK('Final Sample'!AA113,'Final Sample'!$AA$2:$AA$612,0)+(COUNTIF('Final Sample'!$AA$2:$AA$612,'Final Sample'!AA113)-1)/2</f>
        <v>251</v>
      </c>
      <c r="D113" s="25">
        <f>RANK('Final Sample'!R113,'Final Sample'!$R$2:$R$612,0)+(COUNTIF('Final Sample'!$R$2:$R$612,'Final Sample'!R113)-1)/2</f>
        <v>226</v>
      </c>
      <c r="E113" s="25">
        <f>RANK('Final Sample'!AB113,'Final Sample'!$AB$2:$AB$612,0)+(COUNTIF('Final Sample'!$AB$2:$AB$612,'Final Sample'!AB113)-1)/2</f>
        <v>312</v>
      </c>
      <c r="F113" s="25">
        <f>RANK('Final Sample'!V113,'Final Sample'!$V$2:$V$612,0)+(COUNTIF('Final Sample'!$V$2:$V$612,'Final Sample'!V113)-1)/2</f>
        <v>113.5</v>
      </c>
    </row>
    <row r="114" spans="1:6" ht="15" customHeight="1" x14ac:dyDescent="0.3">
      <c r="A114" s="25">
        <f>RANK('Final Sample'!I114,'Final Sample'!$I$2:$I$612,0)+(COUNTIF('Final Sample'!$I$2:$I$612,'Final Sample'!I114)-1)/2</f>
        <v>236</v>
      </c>
      <c r="B114" s="25">
        <f>RANK('Final Sample'!J114,'Final Sample'!$J$2:$J$612,0)+(COUNTIF('Final Sample'!$J$2:$J$612,'Final Sample'!J114)-1)/2</f>
        <v>359</v>
      </c>
      <c r="C114" s="25">
        <f>RANK('Final Sample'!AA114,'Final Sample'!$AA$2:$AA$612,0)+(COUNTIF('Final Sample'!$AA$2:$AA$612,'Final Sample'!AA114)-1)/2</f>
        <v>49</v>
      </c>
      <c r="D114" s="25">
        <f>RANK('Final Sample'!R114,'Final Sample'!$R$2:$R$612,0)+(COUNTIF('Final Sample'!$R$2:$R$612,'Final Sample'!R114)-1)/2</f>
        <v>216</v>
      </c>
      <c r="E114" s="25">
        <f>RANK('Final Sample'!AB114,'Final Sample'!$AB$2:$AB$612,0)+(COUNTIF('Final Sample'!$AB$2:$AB$612,'Final Sample'!AB114)-1)/2</f>
        <v>316</v>
      </c>
      <c r="F114" s="25">
        <f>RANK('Final Sample'!V114,'Final Sample'!$V$2:$V$612,0)+(COUNTIF('Final Sample'!$V$2:$V$612,'Final Sample'!V114)-1)/2</f>
        <v>97.5</v>
      </c>
    </row>
    <row r="115" spans="1:6" ht="15" customHeight="1" x14ac:dyDescent="0.3">
      <c r="A115" s="25">
        <f>RANK('Final Sample'!I115,'Final Sample'!$I$2:$I$612,0)+(COUNTIF('Final Sample'!$I$2:$I$612,'Final Sample'!I115)-1)/2</f>
        <v>236</v>
      </c>
      <c r="B115" s="25">
        <f>RANK('Final Sample'!J115,'Final Sample'!$J$2:$J$612,0)+(COUNTIF('Final Sample'!$J$2:$J$612,'Final Sample'!J115)-1)/2</f>
        <v>359</v>
      </c>
      <c r="C115" s="25">
        <f>RANK('Final Sample'!AA115,'Final Sample'!$AA$2:$AA$612,0)+(COUNTIF('Final Sample'!$AA$2:$AA$612,'Final Sample'!AA115)-1)/2</f>
        <v>166</v>
      </c>
      <c r="D115" s="25">
        <f>RANK('Final Sample'!R115,'Final Sample'!$R$2:$R$612,0)+(COUNTIF('Final Sample'!$R$2:$R$612,'Final Sample'!R115)-1)/2</f>
        <v>199</v>
      </c>
      <c r="E115" s="25">
        <f>RANK('Final Sample'!AB115,'Final Sample'!$AB$2:$AB$612,0)+(COUNTIF('Final Sample'!$AB$2:$AB$612,'Final Sample'!AB115)-1)/2</f>
        <v>270</v>
      </c>
      <c r="F115" s="25">
        <f>RANK('Final Sample'!V115,'Final Sample'!$V$2:$V$612,0)+(COUNTIF('Final Sample'!$V$2:$V$612,'Final Sample'!V115)-1)/2</f>
        <v>83</v>
      </c>
    </row>
    <row r="116" spans="1:6" ht="15" customHeight="1" x14ac:dyDescent="0.3">
      <c r="A116" s="25">
        <f>RANK('Final Sample'!I116,'Final Sample'!$I$2:$I$612,0)+(COUNTIF('Final Sample'!$I$2:$I$612,'Final Sample'!I116)-1)/2</f>
        <v>58.5</v>
      </c>
      <c r="B116" s="25">
        <f>RANK('Final Sample'!J116,'Final Sample'!$J$2:$J$612,0)+(COUNTIF('Final Sample'!$J$2:$J$612,'Final Sample'!J116)-1)/2</f>
        <v>359</v>
      </c>
      <c r="C116" s="25">
        <f>RANK('Final Sample'!AA116,'Final Sample'!$AA$2:$AA$612,0)+(COUNTIF('Final Sample'!$AA$2:$AA$612,'Final Sample'!AA116)-1)/2</f>
        <v>542</v>
      </c>
      <c r="D116" s="25">
        <f>RANK('Final Sample'!R116,'Final Sample'!$R$2:$R$612,0)+(COUNTIF('Final Sample'!$R$2:$R$612,'Final Sample'!R116)-1)/2</f>
        <v>285</v>
      </c>
      <c r="E116" s="25">
        <f>RANK('Final Sample'!AB116,'Final Sample'!$AB$2:$AB$612,0)+(COUNTIF('Final Sample'!$AB$2:$AB$612,'Final Sample'!AB116)-1)/2</f>
        <v>356</v>
      </c>
      <c r="F116" s="25">
        <f>RANK('Final Sample'!V116,'Final Sample'!$V$2:$V$612,0)+(COUNTIF('Final Sample'!$V$2:$V$612,'Final Sample'!V116)-1)/2</f>
        <v>425.5</v>
      </c>
    </row>
    <row r="117" spans="1:6" ht="15" customHeight="1" x14ac:dyDescent="0.3">
      <c r="A117" s="25">
        <f>RANK('Final Sample'!I117,'Final Sample'!$I$2:$I$612,0)+(COUNTIF('Final Sample'!$I$2:$I$612,'Final Sample'!I117)-1)/2</f>
        <v>49.5</v>
      </c>
      <c r="B117" s="25">
        <f>RANK('Final Sample'!J117,'Final Sample'!$J$2:$J$612,0)+(COUNTIF('Final Sample'!$J$2:$J$612,'Final Sample'!J117)-1)/2</f>
        <v>359</v>
      </c>
      <c r="C117" s="25">
        <f>RANK('Final Sample'!AA117,'Final Sample'!$AA$2:$AA$612,0)+(COUNTIF('Final Sample'!$AA$2:$AA$612,'Final Sample'!AA117)-1)/2</f>
        <v>512</v>
      </c>
      <c r="D117" s="25">
        <f>RANK('Final Sample'!R117,'Final Sample'!$R$2:$R$612,0)+(COUNTIF('Final Sample'!$R$2:$R$612,'Final Sample'!R117)-1)/2</f>
        <v>284</v>
      </c>
      <c r="E117" s="25">
        <f>RANK('Final Sample'!AB117,'Final Sample'!$AB$2:$AB$612,0)+(COUNTIF('Final Sample'!$AB$2:$AB$612,'Final Sample'!AB117)-1)/2</f>
        <v>339</v>
      </c>
      <c r="F117" s="25">
        <f>RANK('Final Sample'!V117,'Final Sample'!$V$2:$V$612,0)+(COUNTIF('Final Sample'!$V$2:$V$612,'Final Sample'!V117)-1)/2</f>
        <v>408</v>
      </c>
    </row>
    <row r="118" spans="1:6" ht="15" customHeight="1" x14ac:dyDescent="0.3">
      <c r="A118" s="25">
        <f>RANK('Final Sample'!I118,'Final Sample'!$I$2:$I$612,0)+(COUNTIF('Final Sample'!$I$2:$I$612,'Final Sample'!I118)-1)/2</f>
        <v>58.5</v>
      </c>
      <c r="B118" s="25">
        <f>RANK('Final Sample'!J118,'Final Sample'!$J$2:$J$612,0)+(COUNTIF('Final Sample'!$J$2:$J$612,'Final Sample'!J118)-1)/2</f>
        <v>359</v>
      </c>
      <c r="C118" s="25">
        <f>RANK('Final Sample'!AA118,'Final Sample'!$AA$2:$AA$612,0)+(COUNTIF('Final Sample'!$AA$2:$AA$612,'Final Sample'!AA118)-1)/2</f>
        <v>489</v>
      </c>
      <c r="D118" s="25">
        <f>RANK('Final Sample'!R118,'Final Sample'!$R$2:$R$612,0)+(COUNTIF('Final Sample'!$R$2:$R$612,'Final Sample'!R118)-1)/2</f>
        <v>236</v>
      </c>
      <c r="E118" s="25">
        <f>RANK('Final Sample'!AB118,'Final Sample'!$AB$2:$AB$612,0)+(COUNTIF('Final Sample'!$AB$2:$AB$612,'Final Sample'!AB118)-1)/2</f>
        <v>367</v>
      </c>
      <c r="F118" s="25">
        <f>RANK('Final Sample'!V118,'Final Sample'!$V$2:$V$612,0)+(COUNTIF('Final Sample'!$V$2:$V$612,'Final Sample'!V118)-1)/2</f>
        <v>390.5</v>
      </c>
    </row>
    <row r="119" spans="1:6" ht="15" customHeight="1" x14ac:dyDescent="0.3">
      <c r="A119" s="25">
        <f>RANK('Final Sample'!I119,'Final Sample'!$I$2:$I$612,0)+(COUNTIF('Final Sample'!$I$2:$I$612,'Final Sample'!I119)-1)/2</f>
        <v>40</v>
      </c>
      <c r="B119" s="25">
        <f>RANK('Final Sample'!J119,'Final Sample'!$J$2:$J$612,0)+(COUNTIF('Final Sample'!$J$2:$J$612,'Final Sample'!J119)-1)/2</f>
        <v>359</v>
      </c>
      <c r="C119" s="25">
        <f>RANK('Final Sample'!AA119,'Final Sample'!$AA$2:$AA$612,0)+(COUNTIF('Final Sample'!$AA$2:$AA$612,'Final Sample'!AA119)-1)/2</f>
        <v>347</v>
      </c>
      <c r="D119" s="25">
        <f>RANK('Final Sample'!R119,'Final Sample'!$R$2:$R$612,0)+(COUNTIF('Final Sample'!$R$2:$R$612,'Final Sample'!R119)-1)/2</f>
        <v>209</v>
      </c>
      <c r="E119" s="25">
        <f>RANK('Final Sample'!AB119,'Final Sample'!$AB$2:$AB$612,0)+(COUNTIF('Final Sample'!$AB$2:$AB$612,'Final Sample'!AB119)-1)/2</f>
        <v>430</v>
      </c>
      <c r="F119" s="25">
        <f>RANK('Final Sample'!V119,'Final Sample'!$V$2:$V$612,0)+(COUNTIF('Final Sample'!$V$2:$V$612,'Final Sample'!V119)-1)/2</f>
        <v>373</v>
      </c>
    </row>
    <row r="120" spans="1:6" ht="15" customHeight="1" x14ac:dyDescent="0.3">
      <c r="A120" s="25">
        <f>RANK('Final Sample'!I120,'Final Sample'!$I$2:$I$612,0)+(COUNTIF('Final Sample'!$I$2:$I$612,'Final Sample'!I120)-1)/2</f>
        <v>95</v>
      </c>
      <c r="B120" s="25">
        <f>RANK('Final Sample'!J120,'Final Sample'!$J$2:$J$612,0)+(COUNTIF('Final Sample'!$J$2:$J$612,'Final Sample'!J120)-1)/2</f>
        <v>79.5</v>
      </c>
      <c r="C120" s="25">
        <f>RANK('Final Sample'!AA120,'Final Sample'!$AA$2:$AA$612,0)+(COUNTIF('Final Sample'!$AA$2:$AA$612,'Final Sample'!AA120)-1)/2</f>
        <v>243</v>
      </c>
      <c r="D120" s="25">
        <f>RANK('Final Sample'!R120,'Final Sample'!$R$2:$R$612,0)+(COUNTIF('Final Sample'!$R$2:$R$612,'Final Sample'!R120)-1)/2</f>
        <v>201</v>
      </c>
      <c r="E120" s="25">
        <f>RANK('Final Sample'!AB120,'Final Sample'!$AB$2:$AB$612,0)+(COUNTIF('Final Sample'!$AB$2:$AB$612,'Final Sample'!AB120)-1)/2</f>
        <v>437</v>
      </c>
      <c r="F120" s="25">
        <f>RANK('Final Sample'!V120,'Final Sample'!$V$2:$V$612,0)+(COUNTIF('Final Sample'!$V$2:$V$612,'Final Sample'!V120)-1)/2</f>
        <v>356.5</v>
      </c>
    </row>
    <row r="121" spans="1:6" ht="15" customHeight="1" x14ac:dyDescent="0.3">
      <c r="A121" s="25">
        <f>RANK('Final Sample'!I121,'Final Sample'!$I$2:$I$612,0)+(COUNTIF('Final Sample'!$I$2:$I$612,'Final Sample'!I121)-1)/2</f>
        <v>441.5</v>
      </c>
      <c r="B121" s="25">
        <f>RANK('Final Sample'!J121,'Final Sample'!$J$2:$J$612,0)+(COUNTIF('Final Sample'!$J$2:$J$612,'Final Sample'!J121)-1)/2</f>
        <v>359</v>
      </c>
      <c r="C121" s="25">
        <f>RANK('Final Sample'!AA121,'Final Sample'!$AA$2:$AA$612,0)+(COUNTIF('Final Sample'!$AA$2:$AA$612,'Final Sample'!AA121)-1)/2</f>
        <v>484</v>
      </c>
      <c r="D121" s="25">
        <f>RANK('Final Sample'!R121,'Final Sample'!$R$2:$R$612,0)+(COUNTIF('Final Sample'!$R$2:$R$612,'Final Sample'!R121)-1)/2</f>
        <v>176</v>
      </c>
      <c r="E121" s="25">
        <f>RANK('Final Sample'!AB121,'Final Sample'!$AB$2:$AB$612,0)+(COUNTIF('Final Sample'!$AB$2:$AB$612,'Final Sample'!AB121)-1)/2</f>
        <v>319</v>
      </c>
      <c r="F121" s="25">
        <f>RANK('Final Sample'!V121,'Final Sample'!$V$2:$V$612,0)+(COUNTIF('Final Sample'!$V$2:$V$612,'Final Sample'!V121)-1)/2</f>
        <v>425.5</v>
      </c>
    </row>
    <row r="122" spans="1:6" ht="15" customHeight="1" x14ac:dyDescent="0.3">
      <c r="A122" s="25">
        <f>RANK('Final Sample'!I122,'Final Sample'!$I$2:$I$612,0)+(COUNTIF('Final Sample'!$I$2:$I$612,'Final Sample'!I122)-1)/2</f>
        <v>441.5</v>
      </c>
      <c r="B122" s="25">
        <f>RANK('Final Sample'!J122,'Final Sample'!$J$2:$J$612,0)+(COUNTIF('Final Sample'!$J$2:$J$612,'Final Sample'!J122)-1)/2</f>
        <v>359</v>
      </c>
      <c r="C122" s="25">
        <f>RANK('Final Sample'!AA122,'Final Sample'!$AA$2:$AA$612,0)+(COUNTIF('Final Sample'!$AA$2:$AA$612,'Final Sample'!AA122)-1)/2</f>
        <v>507</v>
      </c>
      <c r="D122" s="25">
        <f>RANK('Final Sample'!R122,'Final Sample'!$R$2:$R$612,0)+(COUNTIF('Final Sample'!$R$2:$R$612,'Final Sample'!R122)-1)/2</f>
        <v>171</v>
      </c>
      <c r="E122" s="25">
        <f>RANK('Final Sample'!AB122,'Final Sample'!$AB$2:$AB$612,0)+(COUNTIF('Final Sample'!$AB$2:$AB$612,'Final Sample'!AB122)-1)/2</f>
        <v>285</v>
      </c>
      <c r="F122" s="25">
        <f>RANK('Final Sample'!V122,'Final Sample'!$V$2:$V$612,0)+(COUNTIF('Final Sample'!$V$2:$V$612,'Final Sample'!V122)-1)/2</f>
        <v>408</v>
      </c>
    </row>
    <row r="123" spans="1:6" ht="15" customHeight="1" x14ac:dyDescent="0.3">
      <c r="A123" s="25">
        <f>RANK('Final Sample'!I123,'Final Sample'!$I$2:$I$612,0)+(COUNTIF('Final Sample'!$I$2:$I$612,'Final Sample'!I123)-1)/2</f>
        <v>441.5</v>
      </c>
      <c r="B123" s="25">
        <f>RANK('Final Sample'!J123,'Final Sample'!$J$2:$J$612,0)+(COUNTIF('Final Sample'!$J$2:$J$612,'Final Sample'!J123)-1)/2</f>
        <v>359</v>
      </c>
      <c r="C123" s="25">
        <f>RANK('Final Sample'!AA123,'Final Sample'!$AA$2:$AA$612,0)+(COUNTIF('Final Sample'!$AA$2:$AA$612,'Final Sample'!AA123)-1)/2</f>
        <v>490</v>
      </c>
      <c r="D123" s="25">
        <f>RANK('Final Sample'!R123,'Final Sample'!$R$2:$R$612,0)+(COUNTIF('Final Sample'!$R$2:$R$612,'Final Sample'!R123)-1)/2</f>
        <v>163</v>
      </c>
      <c r="E123" s="25">
        <f>RANK('Final Sample'!AB123,'Final Sample'!$AB$2:$AB$612,0)+(COUNTIF('Final Sample'!$AB$2:$AB$612,'Final Sample'!AB123)-1)/2</f>
        <v>280</v>
      </c>
      <c r="F123" s="25">
        <f>RANK('Final Sample'!V123,'Final Sample'!$V$2:$V$612,0)+(COUNTIF('Final Sample'!$V$2:$V$612,'Final Sample'!V123)-1)/2</f>
        <v>390.5</v>
      </c>
    </row>
    <row r="124" spans="1:6" ht="15" customHeight="1" x14ac:dyDescent="0.3">
      <c r="A124" s="25">
        <f>RANK('Final Sample'!I124,'Final Sample'!$I$2:$I$612,0)+(COUNTIF('Final Sample'!$I$2:$I$612,'Final Sample'!I124)-1)/2</f>
        <v>441.5</v>
      </c>
      <c r="B124" s="25">
        <f>RANK('Final Sample'!J124,'Final Sample'!$J$2:$J$612,0)+(COUNTIF('Final Sample'!$J$2:$J$612,'Final Sample'!J124)-1)/2</f>
        <v>359</v>
      </c>
      <c r="C124" s="25">
        <f>RANK('Final Sample'!AA124,'Final Sample'!$AA$2:$AA$612,0)+(COUNTIF('Final Sample'!$AA$2:$AA$612,'Final Sample'!AA124)-1)/2</f>
        <v>486</v>
      </c>
      <c r="D124" s="25">
        <f>RANK('Final Sample'!R124,'Final Sample'!$R$2:$R$612,0)+(COUNTIF('Final Sample'!$R$2:$R$612,'Final Sample'!R124)-1)/2</f>
        <v>146</v>
      </c>
      <c r="E124" s="25">
        <f>RANK('Final Sample'!AB124,'Final Sample'!$AB$2:$AB$612,0)+(COUNTIF('Final Sample'!$AB$2:$AB$612,'Final Sample'!AB124)-1)/2</f>
        <v>310</v>
      </c>
      <c r="F124" s="25">
        <f>RANK('Final Sample'!V124,'Final Sample'!$V$2:$V$612,0)+(COUNTIF('Final Sample'!$V$2:$V$612,'Final Sample'!V124)-1)/2</f>
        <v>373</v>
      </c>
    </row>
    <row r="125" spans="1:6" ht="15" customHeight="1" x14ac:dyDescent="0.3">
      <c r="A125" s="25">
        <f>RANK('Final Sample'!I125,'Final Sample'!$I$2:$I$612,0)+(COUNTIF('Final Sample'!$I$2:$I$612,'Final Sample'!I125)-1)/2</f>
        <v>441.5</v>
      </c>
      <c r="B125" s="25">
        <f>RANK('Final Sample'!J125,'Final Sample'!$J$2:$J$612,0)+(COUNTIF('Final Sample'!$J$2:$J$612,'Final Sample'!J125)-1)/2</f>
        <v>359</v>
      </c>
      <c r="C125" s="25">
        <f>RANK('Final Sample'!AA125,'Final Sample'!$AA$2:$AA$612,0)+(COUNTIF('Final Sample'!$AA$2:$AA$612,'Final Sample'!AA125)-1)/2</f>
        <v>350</v>
      </c>
      <c r="D125" s="25">
        <f>RANK('Final Sample'!R125,'Final Sample'!$R$2:$R$612,0)+(COUNTIF('Final Sample'!$R$2:$R$612,'Final Sample'!R125)-1)/2</f>
        <v>96</v>
      </c>
      <c r="E125" s="25">
        <f>RANK('Final Sample'!AB125,'Final Sample'!$AB$2:$AB$612,0)+(COUNTIF('Final Sample'!$AB$2:$AB$612,'Final Sample'!AB125)-1)/2</f>
        <v>223</v>
      </c>
      <c r="F125" s="25">
        <f>RANK('Final Sample'!V125,'Final Sample'!$V$2:$V$612,0)+(COUNTIF('Final Sample'!$V$2:$V$612,'Final Sample'!V125)-1)/2</f>
        <v>356.5</v>
      </c>
    </row>
    <row r="126" spans="1:6" ht="15" customHeight="1" x14ac:dyDescent="0.3">
      <c r="A126" s="25">
        <f>RANK('Final Sample'!I126,'Final Sample'!$I$2:$I$612,0)+(COUNTIF('Final Sample'!$I$2:$I$612,'Final Sample'!I126)-1)/2</f>
        <v>441.5</v>
      </c>
      <c r="B126" s="25">
        <f>RANK('Final Sample'!J126,'Final Sample'!$J$2:$J$612,0)+(COUNTIF('Final Sample'!$J$2:$J$612,'Final Sample'!J126)-1)/2</f>
        <v>359</v>
      </c>
      <c r="C126" s="25">
        <f>RANK('Final Sample'!AA126,'Final Sample'!$AA$2:$AA$612,0)+(COUNTIF('Final Sample'!$AA$2:$AA$612,'Final Sample'!AA126)-1)/2</f>
        <v>76</v>
      </c>
      <c r="D126" s="25">
        <f>RANK('Final Sample'!R126,'Final Sample'!$R$2:$R$612,0)+(COUNTIF('Final Sample'!$R$2:$R$612,'Final Sample'!R126)-1)/2</f>
        <v>530</v>
      </c>
      <c r="E126" s="25">
        <f>RANK('Final Sample'!AB126,'Final Sample'!$AB$2:$AB$612,0)+(COUNTIF('Final Sample'!$AB$2:$AB$612,'Final Sample'!AB126)-1)/2</f>
        <v>394</v>
      </c>
      <c r="F126" s="25">
        <f>RANK('Final Sample'!V126,'Final Sample'!$V$2:$V$612,0)+(COUNTIF('Final Sample'!$V$2:$V$612,'Final Sample'!V126)-1)/2</f>
        <v>311.5</v>
      </c>
    </row>
    <row r="127" spans="1:6" ht="15" customHeight="1" x14ac:dyDescent="0.3">
      <c r="A127" s="25">
        <f>RANK('Final Sample'!I127,'Final Sample'!$I$2:$I$612,0)+(COUNTIF('Final Sample'!$I$2:$I$612,'Final Sample'!I127)-1)/2</f>
        <v>146.5</v>
      </c>
      <c r="B127" s="25">
        <f>RANK('Final Sample'!J127,'Final Sample'!$J$2:$J$612,0)+(COUNTIF('Final Sample'!$J$2:$J$612,'Final Sample'!J127)-1)/2</f>
        <v>79.5</v>
      </c>
      <c r="C127" s="25">
        <f>RANK('Final Sample'!AA127,'Final Sample'!$AA$2:$AA$612,0)+(COUNTIF('Final Sample'!$AA$2:$AA$612,'Final Sample'!AA127)-1)/2</f>
        <v>271</v>
      </c>
      <c r="D127" s="25">
        <f>RANK('Final Sample'!R127,'Final Sample'!$R$2:$R$612,0)+(COUNTIF('Final Sample'!$R$2:$R$612,'Final Sample'!R127)-1)/2</f>
        <v>523</v>
      </c>
      <c r="E127" s="25">
        <f>RANK('Final Sample'!AB127,'Final Sample'!$AB$2:$AB$612,0)+(COUNTIF('Final Sample'!$AB$2:$AB$612,'Final Sample'!AB127)-1)/2</f>
        <v>461</v>
      </c>
      <c r="F127" s="25">
        <f>RANK('Final Sample'!V127,'Final Sample'!$V$2:$V$612,0)+(COUNTIF('Final Sample'!$V$2:$V$612,'Final Sample'!V127)-1)/2</f>
        <v>303</v>
      </c>
    </row>
    <row r="128" spans="1:6" ht="15" customHeight="1" x14ac:dyDescent="0.3">
      <c r="A128" s="25">
        <f>RANK('Final Sample'!I128,'Final Sample'!$I$2:$I$612,0)+(COUNTIF('Final Sample'!$I$2:$I$612,'Final Sample'!I128)-1)/2</f>
        <v>186.5</v>
      </c>
      <c r="B128" s="25">
        <f>RANK('Final Sample'!J128,'Final Sample'!$J$2:$J$612,0)+(COUNTIF('Final Sample'!$J$2:$J$612,'Final Sample'!J128)-1)/2</f>
        <v>359</v>
      </c>
      <c r="C128" s="25">
        <f>RANK('Final Sample'!AA128,'Final Sample'!$AA$2:$AA$612,0)+(COUNTIF('Final Sample'!$AA$2:$AA$612,'Final Sample'!AA128)-1)/2</f>
        <v>326</v>
      </c>
      <c r="D128" s="25">
        <f>RANK('Final Sample'!R128,'Final Sample'!$R$2:$R$612,0)+(COUNTIF('Final Sample'!$R$2:$R$612,'Final Sample'!R128)-1)/2</f>
        <v>513</v>
      </c>
      <c r="E128" s="25">
        <f>RANK('Final Sample'!AB128,'Final Sample'!$AB$2:$AB$612,0)+(COUNTIF('Final Sample'!$AB$2:$AB$612,'Final Sample'!AB128)-1)/2</f>
        <v>480</v>
      </c>
      <c r="F128" s="25">
        <f>RANK('Final Sample'!V128,'Final Sample'!$V$2:$V$612,0)+(COUNTIF('Final Sample'!$V$2:$V$612,'Final Sample'!V128)-1)/2</f>
        <v>293.5</v>
      </c>
    </row>
    <row r="129" spans="1:6" ht="15" customHeight="1" x14ac:dyDescent="0.3">
      <c r="A129" s="25">
        <f>RANK('Final Sample'!I129,'Final Sample'!$I$2:$I$612,0)+(COUNTIF('Final Sample'!$I$2:$I$612,'Final Sample'!I129)-1)/2</f>
        <v>186.5</v>
      </c>
      <c r="B129" s="25">
        <f>RANK('Final Sample'!J129,'Final Sample'!$J$2:$J$612,0)+(COUNTIF('Final Sample'!$J$2:$J$612,'Final Sample'!J129)-1)/2</f>
        <v>359</v>
      </c>
      <c r="C129" s="25">
        <f>RANK('Final Sample'!AA129,'Final Sample'!$AA$2:$AA$612,0)+(COUNTIF('Final Sample'!$AA$2:$AA$612,'Final Sample'!AA129)-1)/2</f>
        <v>274</v>
      </c>
      <c r="D129" s="25">
        <f>RANK('Final Sample'!R129,'Final Sample'!$R$2:$R$612,0)+(COUNTIF('Final Sample'!$R$2:$R$612,'Final Sample'!R129)-1)/2</f>
        <v>499</v>
      </c>
      <c r="E129" s="25">
        <f>RANK('Final Sample'!AB129,'Final Sample'!$AB$2:$AB$612,0)+(COUNTIF('Final Sample'!$AB$2:$AB$612,'Final Sample'!AB129)-1)/2</f>
        <v>453</v>
      </c>
      <c r="F129" s="25">
        <f>RANK('Final Sample'!V129,'Final Sample'!$V$2:$V$612,0)+(COUNTIF('Final Sample'!$V$2:$V$612,'Final Sample'!V129)-1)/2</f>
        <v>282.5</v>
      </c>
    </row>
    <row r="130" spans="1:6" ht="15" customHeight="1" x14ac:dyDescent="0.3">
      <c r="A130" s="25">
        <f>RANK('Final Sample'!I130,'Final Sample'!$I$2:$I$612,0)+(COUNTIF('Final Sample'!$I$2:$I$612,'Final Sample'!I130)-1)/2</f>
        <v>146.5</v>
      </c>
      <c r="B130" s="25">
        <f>RANK('Final Sample'!J130,'Final Sample'!$J$2:$J$612,0)+(COUNTIF('Final Sample'!$J$2:$J$612,'Final Sample'!J130)-1)/2</f>
        <v>98</v>
      </c>
      <c r="C130" s="25">
        <f>RANK('Final Sample'!AA130,'Final Sample'!$AA$2:$AA$612,0)+(COUNTIF('Final Sample'!$AA$2:$AA$612,'Final Sample'!AA130)-1)/2</f>
        <v>79</v>
      </c>
      <c r="D130" s="25">
        <f>RANK('Final Sample'!R130,'Final Sample'!$R$2:$R$612,0)+(COUNTIF('Final Sample'!$R$2:$R$612,'Final Sample'!R130)-1)/2</f>
        <v>482</v>
      </c>
      <c r="E130" s="25">
        <f>RANK('Final Sample'!AB130,'Final Sample'!$AB$2:$AB$612,0)+(COUNTIF('Final Sample'!$AB$2:$AB$612,'Final Sample'!AB130)-1)/2</f>
        <v>423</v>
      </c>
      <c r="F130" s="25">
        <f>RANK('Final Sample'!V130,'Final Sample'!$V$2:$V$612,0)+(COUNTIF('Final Sample'!$V$2:$V$612,'Final Sample'!V130)-1)/2</f>
        <v>270.5</v>
      </c>
    </row>
    <row r="131" spans="1:6" ht="15" customHeight="1" x14ac:dyDescent="0.3">
      <c r="A131" s="25">
        <f>RANK('Final Sample'!I131,'Final Sample'!$I$2:$I$612,0)+(COUNTIF('Final Sample'!$I$2:$I$612,'Final Sample'!I131)-1)/2</f>
        <v>441.5</v>
      </c>
      <c r="B131" s="25">
        <f>RANK('Final Sample'!J131,'Final Sample'!$J$2:$J$612,0)+(COUNTIF('Final Sample'!$J$2:$J$612,'Final Sample'!J131)-1)/2</f>
        <v>359</v>
      </c>
      <c r="C131" s="25">
        <f>RANK('Final Sample'!AA131,'Final Sample'!$AA$2:$AA$612,0)+(COUNTIF('Final Sample'!$AA$2:$AA$612,'Final Sample'!AA131)-1)/2</f>
        <v>290</v>
      </c>
      <c r="D131" s="25">
        <f>RANK('Final Sample'!R131,'Final Sample'!$R$2:$R$612,0)+(COUNTIF('Final Sample'!$R$2:$R$612,'Final Sample'!R131)-1)/2</f>
        <v>484</v>
      </c>
      <c r="E131" s="25">
        <f>RANK('Final Sample'!AB131,'Final Sample'!$AB$2:$AB$612,0)+(COUNTIF('Final Sample'!$AB$2:$AB$612,'Final Sample'!AB131)-1)/2</f>
        <v>161</v>
      </c>
      <c r="F131" s="25">
        <f>RANK('Final Sample'!V131,'Final Sample'!$V$2:$V$612,0)+(COUNTIF('Final Sample'!$V$2:$V$612,'Final Sample'!V131)-1)/2</f>
        <v>538.5</v>
      </c>
    </row>
    <row r="132" spans="1:6" ht="15" customHeight="1" x14ac:dyDescent="0.3">
      <c r="A132" s="25">
        <f>RANK('Final Sample'!I132,'Final Sample'!$I$2:$I$612,0)+(COUNTIF('Final Sample'!$I$2:$I$612,'Final Sample'!I132)-1)/2</f>
        <v>441.5</v>
      </c>
      <c r="B132" s="25">
        <f>RANK('Final Sample'!J132,'Final Sample'!$J$2:$J$612,0)+(COUNTIF('Final Sample'!$J$2:$J$612,'Final Sample'!J132)-1)/2</f>
        <v>359</v>
      </c>
      <c r="C132" s="25">
        <f>RANK('Final Sample'!AA132,'Final Sample'!$AA$2:$AA$612,0)+(COUNTIF('Final Sample'!$AA$2:$AA$612,'Final Sample'!AA132)-1)/2</f>
        <v>337</v>
      </c>
      <c r="D132" s="25">
        <f>RANK('Final Sample'!R132,'Final Sample'!$R$2:$R$612,0)+(COUNTIF('Final Sample'!$R$2:$R$612,'Final Sample'!R132)-1)/2</f>
        <v>428</v>
      </c>
      <c r="E132" s="25">
        <f>RANK('Final Sample'!AB132,'Final Sample'!$AB$2:$AB$612,0)+(COUNTIF('Final Sample'!$AB$2:$AB$612,'Final Sample'!AB132)-1)/2</f>
        <v>136</v>
      </c>
      <c r="F132" s="25">
        <f>RANK('Final Sample'!V132,'Final Sample'!$V$2:$V$612,0)+(COUNTIF('Final Sample'!$V$2:$V$612,'Final Sample'!V132)-1)/2</f>
        <v>530</v>
      </c>
    </row>
    <row r="133" spans="1:6" ht="15" customHeight="1" x14ac:dyDescent="0.3">
      <c r="A133" s="25">
        <f>RANK('Final Sample'!I133,'Final Sample'!$I$2:$I$612,0)+(COUNTIF('Final Sample'!$I$2:$I$612,'Final Sample'!I133)-1)/2</f>
        <v>441.5</v>
      </c>
      <c r="B133" s="25">
        <f>RANK('Final Sample'!J133,'Final Sample'!$J$2:$J$612,0)+(COUNTIF('Final Sample'!$J$2:$J$612,'Final Sample'!J133)-1)/2</f>
        <v>359</v>
      </c>
      <c r="C133" s="25">
        <f>RANK('Final Sample'!AA133,'Final Sample'!$AA$2:$AA$612,0)+(COUNTIF('Final Sample'!$AA$2:$AA$612,'Final Sample'!AA133)-1)/2</f>
        <v>112</v>
      </c>
      <c r="D133" s="25">
        <f>RANK('Final Sample'!R133,'Final Sample'!$R$2:$R$612,0)+(COUNTIF('Final Sample'!$R$2:$R$612,'Final Sample'!R133)-1)/2</f>
        <v>402</v>
      </c>
      <c r="E133" s="25">
        <f>RANK('Final Sample'!AB133,'Final Sample'!$AB$2:$AB$612,0)+(COUNTIF('Final Sample'!$AB$2:$AB$612,'Final Sample'!AB133)-1)/2</f>
        <v>162</v>
      </c>
      <c r="F133" s="25">
        <f>RANK('Final Sample'!V133,'Final Sample'!$V$2:$V$612,0)+(COUNTIF('Final Sample'!$V$2:$V$612,'Final Sample'!V133)-1)/2</f>
        <v>520.5</v>
      </c>
    </row>
    <row r="134" spans="1:6" ht="15" customHeight="1" x14ac:dyDescent="0.3">
      <c r="A134" s="25">
        <f>RANK('Final Sample'!I134,'Final Sample'!$I$2:$I$612,0)+(COUNTIF('Final Sample'!$I$2:$I$612,'Final Sample'!I134)-1)/2</f>
        <v>236</v>
      </c>
      <c r="B134" s="25">
        <f>RANK('Final Sample'!J134,'Final Sample'!$J$2:$J$612,0)+(COUNTIF('Final Sample'!$J$2:$J$612,'Final Sample'!J134)-1)/2</f>
        <v>359</v>
      </c>
      <c r="C134" s="25">
        <f>RANK('Final Sample'!AA134,'Final Sample'!$AA$2:$AA$612,0)+(COUNTIF('Final Sample'!$AA$2:$AA$612,'Final Sample'!AA134)-1)/2</f>
        <v>216</v>
      </c>
      <c r="D134" s="25">
        <f>RANK('Final Sample'!R134,'Final Sample'!$R$2:$R$612,0)+(COUNTIF('Final Sample'!$R$2:$R$612,'Final Sample'!R134)-1)/2</f>
        <v>332</v>
      </c>
      <c r="E134" s="25">
        <f>RANK('Final Sample'!AB134,'Final Sample'!$AB$2:$AB$612,0)+(COUNTIF('Final Sample'!$AB$2:$AB$612,'Final Sample'!AB134)-1)/2</f>
        <v>235</v>
      </c>
      <c r="F134" s="25">
        <f>RANK('Final Sample'!V134,'Final Sample'!$V$2:$V$612,0)+(COUNTIF('Final Sample'!$V$2:$V$612,'Final Sample'!V134)-1)/2</f>
        <v>509.5</v>
      </c>
    </row>
    <row r="135" spans="1:6" ht="15" customHeight="1" x14ac:dyDescent="0.3">
      <c r="A135" s="25">
        <f>RANK('Final Sample'!I135,'Final Sample'!$I$2:$I$612,0)+(COUNTIF('Final Sample'!$I$2:$I$612,'Final Sample'!I135)-1)/2</f>
        <v>441.5</v>
      </c>
      <c r="B135" s="25">
        <f>RANK('Final Sample'!J135,'Final Sample'!$J$2:$J$612,0)+(COUNTIF('Final Sample'!$J$2:$J$612,'Final Sample'!J135)-1)/2</f>
        <v>359</v>
      </c>
      <c r="C135" s="25">
        <f>RANK('Final Sample'!AA135,'Final Sample'!$AA$2:$AA$612,0)+(COUNTIF('Final Sample'!$AA$2:$AA$612,'Final Sample'!AA135)-1)/2</f>
        <v>121</v>
      </c>
      <c r="D135" s="25">
        <f>RANK('Final Sample'!R135,'Final Sample'!$R$2:$R$612,0)+(COUNTIF('Final Sample'!$R$2:$R$612,'Final Sample'!R135)-1)/2</f>
        <v>302</v>
      </c>
      <c r="E135" s="25">
        <f>RANK('Final Sample'!AB135,'Final Sample'!$AB$2:$AB$612,0)+(COUNTIF('Final Sample'!$AB$2:$AB$612,'Final Sample'!AB135)-1)/2</f>
        <v>236</v>
      </c>
      <c r="F135" s="25">
        <f>RANK('Final Sample'!V135,'Final Sample'!$V$2:$V$612,0)+(COUNTIF('Final Sample'!$V$2:$V$612,'Final Sample'!V135)-1)/2</f>
        <v>499</v>
      </c>
    </row>
    <row r="136" spans="1:6" ht="15" customHeight="1" x14ac:dyDescent="0.3">
      <c r="A136" s="25">
        <f>RANK('Final Sample'!I136,'Final Sample'!$I$2:$I$612,0)+(COUNTIF('Final Sample'!$I$2:$I$612,'Final Sample'!I136)-1)/2</f>
        <v>441.5</v>
      </c>
      <c r="B136" s="25">
        <f>RANK('Final Sample'!J136,'Final Sample'!$J$2:$J$612,0)+(COUNTIF('Final Sample'!$J$2:$J$612,'Final Sample'!J136)-1)/2</f>
        <v>359</v>
      </c>
      <c r="C136" s="25">
        <f>RANK('Final Sample'!AA136,'Final Sample'!$AA$2:$AA$612,0)+(COUNTIF('Final Sample'!$AA$2:$AA$612,'Final Sample'!AA136)-1)/2</f>
        <v>485</v>
      </c>
      <c r="D136" s="25">
        <f>RANK('Final Sample'!R136,'Final Sample'!$R$2:$R$612,0)+(COUNTIF('Final Sample'!$R$2:$R$612,'Final Sample'!R136)-1)/2</f>
        <v>433</v>
      </c>
      <c r="E136" s="25">
        <f>RANK('Final Sample'!AB136,'Final Sample'!$AB$2:$AB$612,0)+(COUNTIF('Final Sample'!$AB$2:$AB$612,'Final Sample'!AB136)-1)/2</f>
        <v>226</v>
      </c>
      <c r="F136" s="25">
        <f>RANK('Final Sample'!V136,'Final Sample'!$V$2:$V$612,0)+(COUNTIF('Final Sample'!$V$2:$V$612,'Final Sample'!V136)-1)/2</f>
        <v>373</v>
      </c>
    </row>
    <row r="137" spans="1:6" ht="15" customHeight="1" x14ac:dyDescent="0.3">
      <c r="A137" s="25">
        <f>RANK('Final Sample'!I137,'Final Sample'!$I$2:$I$612,0)+(COUNTIF('Final Sample'!$I$2:$I$612,'Final Sample'!I137)-1)/2</f>
        <v>441.5</v>
      </c>
      <c r="B137" s="25">
        <f>RANK('Final Sample'!J137,'Final Sample'!$J$2:$J$612,0)+(COUNTIF('Final Sample'!$J$2:$J$612,'Final Sample'!J137)-1)/2</f>
        <v>359</v>
      </c>
      <c r="C137" s="25">
        <f>RANK('Final Sample'!AA137,'Final Sample'!$AA$2:$AA$612,0)+(COUNTIF('Final Sample'!$AA$2:$AA$612,'Final Sample'!AA137)-1)/2</f>
        <v>420</v>
      </c>
      <c r="D137" s="25">
        <f>RANK('Final Sample'!R137,'Final Sample'!$R$2:$R$612,0)+(COUNTIF('Final Sample'!$R$2:$R$612,'Final Sample'!R137)-1)/2</f>
        <v>448</v>
      </c>
      <c r="E137" s="25">
        <f>RANK('Final Sample'!AB137,'Final Sample'!$AB$2:$AB$612,0)+(COUNTIF('Final Sample'!$AB$2:$AB$612,'Final Sample'!AB137)-1)/2</f>
        <v>205</v>
      </c>
      <c r="F137" s="25">
        <f>RANK('Final Sample'!V137,'Final Sample'!$V$2:$V$612,0)+(COUNTIF('Final Sample'!$V$2:$V$612,'Final Sample'!V137)-1)/2</f>
        <v>356.5</v>
      </c>
    </row>
    <row r="138" spans="1:6" ht="15" customHeight="1" x14ac:dyDescent="0.3">
      <c r="A138" s="25">
        <f>RANK('Final Sample'!I138,'Final Sample'!$I$2:$I$612,0)+(COUNTIF('Final Sample'!$I$2:$I$612,'Final Sample'!I138)-1)/2</f>
        <v>441.5</v>
      </c>
      <c r="B138" s="25">
        <f>RANK('Final Sample'!J138,'Final Sample'!$J$2:$J$612,0)+(COUNTIF('Final Sample'!$J$2:$J$612,'Final Sample'!J138)-1)/2</f>
        <v>359</v>
      </c>
      <c r="C138" s="25">
        <f>RANK('Final Sample'!AA138,'Final Sample'!$AA$2:$AA$612,0)+(COUNTIF('Final Sample'!$AA$2:$AA$612,'Final Sample'!AA138)-1)/2</f>
        <v>570</v>
      </c>
      <c r="D138" s="25">
        <f>RANK('Final Sample'!R138,'Final Sample'!$R$2:$R$612,0)+(COUNTIF('Final Sample'!$R$2:$R$612,'Final Sample'!R138)-1)/2</f>
        <v>329</v>
      </c>
      <c r="E138" s="25">
        <f>RANK('Final Sample'!AB138,'Final Sample'!$AB$2:$AB$612,0)+(COUNTIF('Final Sample'!$AB$2:$AB$612,'Final Sample'!AB138)-1)/2</f>
        <v>509</v>
      </c>
      <c r="F138" s="25">
        <f>RANK('Final Sample'!V138,'Final Sample'!$V$2:$V$612,0)+(COUNTIF('Final Sample'!$V$2:$V$612,'Final Sample'!V138)-1)/2</f>
        <v>344</v>
      </c>
    </row>
    <row r="139" spans="1:6" ht="15" customHeight="1" x14ac:dyDescent="0.3">
      <c r="A139" s="25">
        <f>RANK('Final Sample'!I139,'Final Sample'!$I$2:$I$612,0)+(COUNTIF('Final Sample'!$I$2:$I$612,'Final Sample'!I139)-1)/2</f>
        <v>441.5</v>
      </c>
      <c r="B139" s="25">
        <f>RANK('Final Sample'!J139,'Final Sample'!$J$2:$J$612,0)+(COUNTIF('Final Sample'!$J$2:$J$612,'Final Sample'!J139)-1)/2</f>
        <v>359</v>
      </c>
      <c r="C139" s="25">
        <f>RANK('Final Sample'!AA139,'Final Sample'!$AA$2:$AA$612,0)+(COUNTIF('Final Sample'!$AA$2:$AA$612,'Final Sample'!AA139)-1)/2</f>
        <v>585</v>
      </c>
      <c r="D139" s="25">
        <f>RANK('Final Sample'!R139,'Final Sample'!$R$2:$R$612,0)+(COUNTIF('Final Sample'!$R$2:$R$612,'Final Sample'!R139)-1)/2</f>
        <v>341</v>
      </c>
      <c r="E139" s="25">
        <f>RANK('Final Sample'!AB139,'Final Sample'!$AB$2:$AB$612,0)+(COUNTIF('Final Sample'!$AB$2:$AB$612,'Final Sample'!AB139)-1)/2</f>
        <v>515</v>
      </c>
      <c r="F139" s="25">
        <f>RANK('Final Sample'!V139,'Final Sample'!$V$2:$V$612,0)+(COUNTIF('Final Sample'!$V$2:$V$612,'Final Sample'!V139)-1)/2</f>
        <v>335</v>
      </c>
    </row>
    <row r="140" spans="1:6" ht="15" customHeight="1" x14ac:dyDescent="0.3">
      <c r="A140" s="25">
        <f>RANK('Final Sample'!I140,'Final Sample'!$I$2:$I$612,0)+(COUNTIF('Final Sample'!$I$2:$I$612,'Final Sample'!I140)-1)/2</f>
        <v>441.5</v>
      </c>
      <c r="B140" s="25">
        <f>RANK('Final Sample'!J140,'Final Sample'!$J$2:$J$612,0)+(COUNTIF('Final Sample'!$J$2:$J$612,'Final Sample'!J140)-1)/2</f>
        <v>359</v>
      </c>
      <c r="C140" s="25">
        <f>RANK('Final Sample'!AA140,'Final Sample'!$AA$2:$AA$612,0)+(COUNTIF('Final Sample'!$AA$2:$AA$612,'Final Sample'!AA140)-1)/2</f>
        <v>572</v>
      </c>
      <c r="D140" s="25">
        <f>RANK('Final Sample'!R140,'Final Sample'!$R$2:$R$612,0)+(COUNTIF('Final Sample'!$R$2:$R$612,'Final Sample'!R140)-1)/2</f>
        <v>343</v>
      </c>
      <c r="E140" s="25">
        <f>RANK('Final Sample'!AB140,'Final Sample'!$AB$2:$AB$612,0)+(COUNTIF('Final Sample'!$AB$2:$AB$612,'Final Sample'!AB140)-1)/2</f>
        <v>539</v>
      </c>
      <c r="F140" s="25">
        <f>RANK('Final Sample'!V140,'Final Sample'!$V$2:$V$612,0)+(COUNTIF('Final Sample'!$V$2:$V$612,'Final Sample'!V140)-1)/2</f>
        <v>326</v>
      </c>
    </row>
    <row r="141" spans="1:6" ht="15" customHeight="1" x14ac:dyDescent="0.3">
      <c r="A141" s="25">
        <f>RANK('Final Sample'!I141,'Final Sample'!$I$2:$I$612,0)+(COUNTIF('Final Sample'!$I$2:$I$612,'Final Sample'!I141)-1)/2</f>
        <v>58.5</v>
      </c>
      <c r="B141" s="25">
        <f>RANK('Final Sample'!J141,'Final Sample'!$J$2:$J$612,0)+(COUNTIF('Final Sample'!$J$2:$J$612,'Final Sample'!J141)-1)/2</f>
        <v>53</v>
      </c>
      <c r="C141" s="25">
        <f>RANK('Final Sample'!AA141,'Final Sample'!$AA$2:$AA$612,0)+(COUNTIF('Final Sample'!$AA$2:$AA$612,'Final Sample'!AA141)-1)/2</f>
        <v>105</v>
      </c>
      <c r="D141" s="25">
        <f>RANK('Final Sample'!R141,'Final Sample'!$R$2:$R$612,0)+(COUNTIF('Final Sample'!$R$2:$R$612,'Final Sample'!R141)-1)/2</f>
        <v>71</v>
      </c>
      <c r="E141" s="25">
        <f>RANK('Final Sample'!AB141,'Final Sample'!$AB$2:$AB$612,0)+(COUNTIF('Final Sample'!$AB$2:$AB$612,'Final Sample'!AB141)-1)/2</f>
        <v>368</v>
      </c>
      <c r="F141" s="25">
        <f>RANK('Final Sample'!V141,'Final Sample'!$V$2:$V$612,0)+(COUNTIF('Final Sample'!$V$2:$V$612,'Final Sample'!V141)-1)/2</f>
        <v>440</v>
      </c>
    </row>
    <row r="142" spans="1:6" ht="15" customHeight="1" x14ac:dyDescent="0.3">
      <c r="A142" s="25">
        <f>RANK('Final Sample'!I142,'Final Sample'!$I$2:$I$612,0)+(COUNTIF('Final Sample'!$I$2:$I$612,'Final Sample'!I142)-1)/2</f>
        <v>21</v>
      </c>
      <c r="B142" s="25">
        <f>RANK('Final Sample'!J142,'Final Sample'!$J$2:$J$612,0)+(COUNTIF('Final Sample'!$J$2:$J$612,'Final Sample'!J142)-1)/2</f>
        <v>29</v>
      </c>
      <c r="C142" s="25">
        <f>RANK('Final Sample'!AA142,'Final Sample'!$AA$2:$AA$612,0)+(COUNTIF('Final Sample'!$AA$2:$AA$612,'Final Sample'!AA142)-1)/2</f>
        <v>107</v>
      </c>
      <c r="D142" s="25">
        <f>RANK('Final Sample'!R142,'Final Sample'!$R$2:$R$612,0)+(COUNTIF('Final Sample'!$R$2:$R$612,'Final Sample'!R142)-1)/2</f>
        <v>67</v>
      </c>
      <c r="E142" s="25">
        <f>RANK('Final Sample'!AB142,'Final Sample'!$AB$2:$AB$612,0)+(COUNTIF('Final Sample'!$AB$2:$AB$612,'Final Sample'!AB142)-1)/2</f>
        <v>369</v>
      </c>
      <c r="F142" s="25">
        <f>RANK('Final Sample'!V142,'Final Sample'!$V$2:$V$612,0)+(COUNTIF('Final Sample'!$V$2:$V$612,'Final Sample'!V142)-1)/2</f>
        <v>425.5</v>
      </c>
    </row>
    <row r="143" spans="1:6" ht="15" customHeight="1" x14ac:dyDescent="0.3">
      <c r="A143" s="25">
        <f>RANK('Final Sample'!I143,'Final Sample'!$I$2:$I$612,0)+(COUNTIF('Final Sample'!$I$2:$I$612,'Final Sample'!I143)-1)/2</f>
        <v>49.5</v>
      </c>
      <c r="B143" s="25">
        <f>RANK('Final Sample'!J143,'Final Sample'!$J$2:$J$612,0)+(COUNTIF('Final Sample'!$J$2:$J$612,'Final Sample'!J143)-1)/2</f>
        <v>37</v>
      </c>
      <c r="C143" s="25">
        <f>RANK('Final Sample'!AA143,'Final Sample'!$AA$2:$AA$612,0)+(COUNTIF('Final Sample'!$AA$2:$AA$612,'Final Sample'!AA143)-1)/2</f>
        <v>136</v>
      </c>
      <c r="D143" s="25">
        <f>RANK('Final Sample'!R143,'Final Sample'!$R$2:$R$612,0)+(COUNTIF('Final Sample'!$R$2:$R$612,'Final Sample'!R143)-1)/2</f>
        <v>56</v>
      </c>
      <c r="E143" s="25">
        <f>RANK('Final Sample'!AB143,'Final Sample'!$AB$2:$AB$612,0)+(COUNTIF('Final Sample'!$AB$2:$AB$612,'Final Sample'!AB143)-1)/2</f>
        <v>387</v>
      </c>
      <c r="F143" s="25">
        <f>RANK('Final Sample'!V143,'Final Sample'!$V$2:$V$612,0)+(COUNTIF('Final Sample'!$V$2:$V$612,'Final Sample'!V143)-1)/2</f>
        <v>408</v>
      </c>
    </row>
    <row r="144" spans="1:6" ht="15" customHeight="1" x14ac:dyDescent="0.3">
      <c r="A144" s="25">
        <f>RANK('Final Sample'!I144,'Final Sample'!$I$2:$I$612,0)+(COUNTIF('Final Sample'!$I$2:$I$612,'Final Sample'!I144)-1)/2</f>
        <v>16.5</v>
      </c>
      <c r="B144" s="25">
        <f>RANK('Final Sample'!J144,'Final Sample'!$J$2:$J$612,0)+(COUNTIF('Final Sample'!$J$2:$J$612,'Final Sample'!J144)-1)/2</f>
        <v>18.5</v>
      </c>
      <c r="C144" s="25">
        <f>RANK('Final Sample'!AA144,'Final Sample'!$AA$2:$AA$612,0)+(COUNTIF('Final Sample'!$AA$2:$AA$612,'Final Sample'!AA144)-1)/2</f>
        <v>131</v>
      </c>
      <c r="D144" s="25">
        <f>RANK('Final Sample'!R144,'Final Sample'!$R$2:$R$612,0)+(COUNTIF('Final Sample'!$R$2:$R$612,'Final Sample'!R144)-1)/2</f>
        <v>43</v>
      </c>
      <c r="E144" s="25">
        <f>RANK('Final Sample'!AB144,'Final Sample'!$AB$2:$AB$612,0)+(COUNTIF('Final Sample'!$AB$2:$AB$612,'Final Sample'!AB144)-1)/2</f>
        <v>311</v>
      </c>
      <c r="F144" s="25">
        <f>RANK('Final Sample'!V144,'Final Sample'!$V$2:$V$612,0)+(COUNTIF('Final Sample'!$V$2:$V$612,'Final Sample'!V144)-1)/2</f>
        <v>390.5</v>
      </c>
    </row>
    <row r="145" spans="1:6" ht="15" customHeight="1" x14ac:dyDescent="0.3">
      <c r="A145" s="25">
        <f>RANK('Final Sample'!I145,'Final Sample'!$I$2:$I$612,0)+(COUNTIF('Final Sample'!$I$2:$I$612,'Final Sample'!I145)-1)/2</f>
        <v>21</v>
      </c>
      <c r="B145" s="25">
        <f>RANK('Final Sample'!J145,'Final Sample'!$J$2:$J$612,0)+(COUNTIF('Final Sample'!$J$2:$J$612,'Final Sample'!J145)-1)/2</f>
        <v>37</v>
      </c>
      <c r="C145" s="25">
        <f>RANK('Final Sample'!AA145,'Final Sample'!$AA$2:$AA$612,0)+(COUNTIF('Final Sample'!$AA$2:$AA$612,'Final Sample'!AA145)-1)/2</f>
        <v>88</v>
      </c>
      <c r="D145" s="25">
        <f>RANK('Final Sample'!R145,'Final Sample'!$R$2:$R$612,0)+(COUNTIF('Final Sample'!$R$2:$R$612,'Final Sample'!R145)-1)/2</f>
        <v>45</v>
      </c>
      <c r="E145" s="25">
        <f>RANK('Final Sample'!AB145,'Final Sample'!$AB$2:$AB$612,0)+(COUNTIF('Final Sample'!$AB$2:$AB$612,'Final Sample'!AB145)-1)/2</f>
        <v>385</v>
      </c>
      <c r="F145" s="25">
        <f>RANK('Final Sample'!V145,'Final Sample'!$V$2:$V$612,0)+(COUNTIF('Final Sample'!$V$2:$V$612,'Final Sample'!V145)-1)/2</f>
        <v>373</v>
      </c>
    </row>
    <row r="146" spans="1:6" ht="15" customHeight="1" x14ac:dyDescent="0.3">
      <c r="A146" s="25">
        <f>RANK('Final Sample'!I146,'Final Sample'!$I$2:$I$612,0)+(COUNTIF('Final Sample'!$I$2:$I$612,'Final Sample'!I146)-1)/2</f>
        <v>236</v>
      </c>
      <c r="B146" s="25">
        <f>RANK('Final Sample'!J146,'Final Sample'!$J$2:$J$612,0)+(COUNTIF('Final Sample'!$J$2:$J$612,'Final Sample'!J146)-1)/2</f>
        <v>359</v>
      </c>
      <c r="C146" s="25">
        <f>RANK('Final Sample'!AA146,'Final Sample'!$AA$2:$AA$612,0)+(COUNTIF('Final Sample'!$AA$2:$AA$612,'Final Sample'!AA146)-1)/2</f>
        <v>305</v>
      </c>
      <c r="D146" s="25">
        <f>RANK('Final Sample'!R146,'Final Sample'!$R$2:$R$612,0)+(COUNTIF('Final Sample'!$R$2:$R$612,'Final Sample'!R146)-1)/2</f>
        <v>154</v>
      </c>
      <c r="E146" s="25">
        <f>RANK('Final Sample'!AB146,'Final Sample'!$AB$2:$AB$612,0)+(COUNTIF('Final Sample'!$AB$2:$AB$612,'Final Sample'!AB146)-1)/2</f>
        <v>332</v>
      </c>
      <c r="F146" s="25">
        <f>RANK('Final Sample'!V146,'Final Sample'!$V$2:$V$612,0)+(COUNTIF('Final Sample'!$V$2:$V$612,'Final Sample'!V146)-1)/2</f>
        <v>546.5</v>
      </c>
    </row>
    <row r="147" spans="1:6" ht="15" customHeight="1" x14ac:dyDescent="0.3">
      <c r="A147" s="25">
        <f>RANK('Final Sample'!I147,'Final Sample'!$I$2:$I$612,0)+(COUNTIF('Final Sample'!$I$2:$I$612,'Final Sample'!I147)-1)/2</f>
        <v>236</v>
      </c>
      <c r="B147" s="25">
        <f>RANK('Final Sample'!J147,'Final Sample'!$J$2:$J$612,0)+(COUNTIF('Final Sample'!$J$2:$J$612,'Final Sample'!J147)-1)/2</f>
        <v>359</v>
      </c>
      <c r="C147" s="25">
        <f>RANK('Final Sample'!AA147,'Final Sample'!$AA$2:$AA$612,0)+(COUNTIF('Final Sample'!$AA$2:$AA$612,'Final Sample'!AA147)-1)/2</f>
        <v>369</v>
      </c>
      <c r="D147" s="25">
        <f>RANK('Final Sample'!R147,'Final Sample'!$R$2:$R$612,0)+(COUNTIF('Final Sample'!$R$2:$R$612,'Final Sample'!R147)-1)/2</f>
        <v>134</v>
      </c>
      <c r="E147" s="25">
        <f>RANK('Final Sample'!AB147,'Final Sample'!$AB$2:$AB$612,0)+(COUNTIF('Final Sample'!$AB$2:$AB$612,'Final Sample'!AB147)-1)/2</f>
        <v>318</v>
      </c>
      <c r="F147" s="25">
        <f>RANK('Final Sample'!V147,'Final Sample'!$V$2:$V$612,0)+(COUNTIF('Final Sample'!$V$2:$V$612,'Final Sample'!V147)-1)/2</f>
        <v>538.5</v>
      </c>
    </row>
    <row r="148" spans="1:6" ht="15" customHeight="1" x14ac:dyDescent="0.3">
      <c r="A148" s="25">
        <f>RANK('Final Sample'!I148,'Final Sample'!$I$2:$I$612,0)+(COUNTIF('Final Sample'!$I$2:$I$612,'Final Sample'!I148)-1)/2</f>
        <v>112</v>
      </c>
      <c r="B148" s="25">
        <f>RANK('Final Sample'!J148,'Final Sample'!$J$2:$J$612,0)+(COUNTIF('Final Sample'!$J$2:$J$612,'Final Sample'!J148)-1)/2</f>
        <v>53</v>
      </c>
      <c r="C148" s="25">
        <f>RANK('Final Sample'!AA148,'Final Sample'!$AA$2:$AA$612,0)+(COUNTIF('Final Sample'!$AA$2:$AA$612,'Final Sample'!AA148)-1)/2</f>
        <v>109</v>
      </c>
      <c r="D148" s="25">
        <f>RANK('Final Sample'!R148,'Final Sample'!$R$2:$R$612,0)+(COUNTIF('Final Sample'!$R$2:$R$612,'Final Sample'!R148)-1)/2</f>
        <v>122</v>
      </c>
      <c r="E148" s="25">
        <f>RANK('Final Sample'!AB148,'Final Sample'!$AB$2:$AB$612,0)+(COUNTIF('Final Sample'!$AB$2:$AB$612,'Final Sample'!AB148)-1)/2</f>
        <v>167</v>
      </c>
      <c r="F148" s="25">
        <f>RANK('Final Sample'!V148,'Final Sample'!$V$2:$V$612,0)+(COUNTIF('Final Sample'!$V$2:$V$612,'Final Sample'!V148)-1)/2</f>
        <v>530</v>
      </c>
    </row>
    <row r="149" spans="1:6" ht="15" customHeight="1" x14ac:dyDescent="0.3">
      <c r="A149" s="25">
        <f>RANK('Final Sample'!I149,'Final Sample'!$I$2:$I$612,0)+(COUNTIF('Final Sample'!$I$2:$I$612,'Final Sample'!I149)-1)/2</f>
        <v>132</v>
      </c>
      <c r="B149" s="25">
        <f>RANK('Final Sample'!J149,'Final Sample'!$J$2:$J$612,0)+(COUNTIF('Final Sample'!$J$2:$J$612,'Final Sample'!J149)-1)/2</f>
        <v>359</v>
      </c>
      <c r="C149" s="25">
        <f>RANK('Final Sample'!AA149,'Final Sample'!$AA$2:$AA$612,0)+(COUNTIF('Final Sample'!$AA$2:$AA$612,'Final Sample'!AA149)-1)/2</f>
        <v>293</v>
      </c>
      <c r="D149" s="25">
        <f>RANK('Final Sample'!R149,'Final Sample'!$R$2:$R$612,0)+(COUNTIF('Final Sample'!$R$2:$R$612,'Final Sample'!R149)-1)/2</f>
        <v>97</v>
      </c>
      <c r="E149" s="25">
        <f>RANK('Final Sample'!AB149,'Final Sample'!$AB$2:$AB$612,0)+(COUNTIF('Final Sample'!$AB$2:$AB$612,'Final Sample'!AB149)-1)/2</f>
        <v>220</v>
      </c>
      <c r="F149" s="25">
        <f>RANK('Final Sample'!V149,'Final Sample'!$V$2:$V$612,0)+(COUNTIF('Final Sample'!$V$2:$V$612,'Final Sample'!V149)-1)/2</f>
        <v>520.5</v>
      </c>
    </row>
    <row r="150" spans="1:6" ht="15" customHeight="1" x14ac:dyDescent="0.3">
      <c r="A150" s="25">
        <f>RANK('Final Sample'!I150,'Final Sample'!$I$2:$I$612,0)+(COUNTIF('Final Sample'!$I$2:$I$612,'Final Sample'!I150)-1)/2</f>
        <v>236</v>
      </c>
      <c r="B150" s="25">
        <f>RANK('Final Sample'!J150,'Final Sample'!$J$2:$J$612,0)+(COUNTIF('Final Sample'!$J$2:$J$612,'Final Sample'!J150)-1)/2</f>
        <v>359</v>
      </c>
      <c r="C150" s="25">
        <f>RANK('Final Sample'!AA150,'Final Sample'!$AA$2:$AA$612,0)+(COUNTIF('Final Sample'!$AA$2:$AA$612,'Final Sample'!AA150)-1)/2</f>
        <v>175</v>
      </c>
      <c r="D150" s="25">
        <f>RANK('Final Sample'!R150,'Final Sample'!$R$2:$R$612,0)+(COUNTIF('Final Sample'!$R$2:$R$612,'Final Sample'!R150)-1)/2</f>
        <v>102</v>
      </c>
      <c r="E150" s="25">
        <f>RANK('Final Sample'!AB150,'Final Sample'!$AB$2:$AB$612,0)+(COUNTIF('Final Sample'!$AB$2:$AB$612,'Final Sample'!AB150)-1)/2</f>
        <v>169</v>
      </c>
      <c r="F150" s="25">
        <f>RANK('Final Sample'!V150,'Final Sample'!$V$2:$V$612,0)+(COUNTIF('Final Sample'!$V$2:$V$612,'Final Sample'!V150)-1)/2</f>
        <v>509.5</v>
      </c>
    </row>
    <row r="151" spans="1:6" ht="15" customHeight="1" x14ac:dyDescent="0.3">
      <c r="A151" s="25">
        <f>RANK('Final Sample'!I151,'Final Sample'!$I$2:$I$612,0)+(COUNTIF('Final Sample'!$I$2:$I$612,'Final Sample'!I151)-1)/2</f>
        <v>441.5</v>
      </c>
      <c r="B151" s="25">
        <f>RANK('Final Sample'!J151,'Final Sample'!$J$2:$J$612,0)+(COUNTIF('Final Sample'!$J$2:$J$612,'Final Sample'!J151)-1)/2</f>
        <v>359</v>
      </c>
      <c r="C151" s="25">
        <f>RANK('Final Sample'!AA151,'Final Sample'!$AA$2:$AA$612,0)+(COUNTIF('Final Sample'!$AA$2:$AA$612,'Final Sample'!AA151)-1)/2</f>
        <v>302</v>
      </c>
      <c r="D151" s="25">
        <f>RANK('Final Sample'!R151,'Final Sample'!$R$2:$R$612,0)+(COUNTIF('Final Sample'!$R$2:$R$612,'Final Sample'!R151)-1)/2</f>
        <v>471</v>
      </c>
      <c r="E151" s="25">
        <f>RANK('Final Sample'!AB151,'Final Sample'!$AB$2:$AB$612,0)+(COUNTIF('Final Sample'!$AB$2:$AB$612,'Final Sample'!AB151)-1)/2</f>
        <v>568</v>
      </c>
      <c r="F151" s="25">
        <f>RANK('Final Sample'!V151,'Final Sample'!$V$2:$V$612,0)+(COUNTIF('Final Sample'!$V$2:$V$612,'Final Sample'!V151)-1)/2</f>
        <v>293.5</v>
      </c>
    </row>
    <row r="152" spans="1:6" ht="15" customHeight="1" x14ac:dyDescent="0.3">
      <c r="A152" s="25">
        <f>RANK('Final Sample'!I152,'Final Sample'!$I$2:$I$612,0)+(COUNTIF('Final Sample'!$I$2:$I$612,'Final Sample'!I152)-1)/2</f>
        <v>441.5</v>
      </c>
      <c r="B152" s="25">
        <f>RANK('Final Sample'!J152,'Final Sample'!$J$2:$J$612,0)+(COUNTIF('Final Sample'!$J$2:$J$612,'Final Sample'!J152)-1)/2</f>
        <v>359</v>
      </c>
      <c r="C152" s="25">
        <f>RANK('Final Sample'!AA152,'Final Sample'!$AA$2:$AA$612,0)+(COUNTIF('Final Sample'!$AA$2:$AA$612,'Final Sample'!AA152)-1)/2</f>
        <v>609.5</v>
      </c>
      <c r="D152" s="25">
        <f>RANK('Final Sample'!R152,'Final Sample'!$R$2:$R$612,0)+(COUNTIF('Final Sample'!$R$2:$R$612,'Final Sample'!R152)-1)/2</f>
        <v>361</v>
      </c>
      <c r="E152" s="25">
        <f>RANK('Final Sample'!AB152,'Final Sample'!$AB$2:$AB$612,0)+(COUNTIF('Final Sample'!$AB$2:$AB$612,'Final Sample'!AB152)-1)/2</f>
        <v>600</v>
      </c>
      <c r="F152" s="25">
        <f>RANK('Final Sample'!V152,'Final Sample'!$V$2:$V$612,0)+(COUNTIF('Final Sample'!$V$2:$V$612,'Final Sample'!V152)-1)/2</f>
        <v>282.5</v>
      </c>
    </row>
    <row r="153" spans="1:6" ht="15" customHeight="1" x14ac:dyDescent="0.3">
      <c r="A153" s="25">
        <f>RANK('Final Sample'!I153,'Final Sample'!$I$2:$I$612,0)+(COUNTIF('Final Sample'!$I$2:$I$612,'Final Sample'!I153)-1)/2</f>
        <v>441.5</v>
      </c>
      <c r="B153" s="25">
        <f>RANK('Final Sample'!J153,'Final Sample'!$J$2:$J$612,0)+(COUNTIF('Final Sample'!$J$2:$J$612,'Final Sample'!J153)-1)/2</f>
        <v>359</v>
      </c>
      <c r="C153" s="25">
        <f>RANK('Final Sample'!AA153,'Final Sample'!$AA$2:$AA$612,0)+(COUNTIF('Final Sample'!$AA$2:$AA$612,'Final Sample'!AA153)-1)/2</f>
        <v>600</v>
      </c>
      <c r="D153" s="25">
        <f>RANK('Final Sample'!R153,'Final Sample'!$R$2:$R$612,0)+(COUNTIF('Final Sample'!$R$2:$R$612,'Final Sample'!R153)-1)/2</f>
        <v>360</v>
      </c>
      <c r="E153" s="25">
        <f>RANK('Final Sample'!AB153,'Final Sample'!$AB$2:$AB$612,0)+(COUNTIF('Final Sample'!$AB$2:$AB$612,'Final Sample'!AB153)-1)/2</f>
        <v>601</v>
      </c>
      <c r="F153" s="25">
        <f>RANK('Final Sample'!V153,'Final Sample'!$V$2:$V$612,0)+(COUNTIF('Final Sample'!$V$2:$V$612,'Final Sample'!V153)-1)/2</f>
        <v>270.5</v>
      </c>
    </row>
    <row r="154" spans="1:6" ht="15" customHeight="1" x14ac:dyDescent="0.3">
      <c r="A154" s="25">
        <f>RANK('Final Sample'!I154,'Final Sample'!$I$2:$I$612,0)+(COUNTIF('Final Sample'!$I$2:$I$612,'Final Sample'!I154)-1)/2</f>
        <v>441.5</v>
      </c>
      <c r="B154" s="25">
        <f>RANK('Final Sample'!J154,'Final Sample'!$J$2:$J$612,0)+(COUNTIF('Final Sample'!$J$2:$J$612,'Final Sample'!J154)-1)/2</f>
        <v>359</v>
      </c>
      <c r="C154" s="25">
        <f>RANK('Final Sample'!AA154,'Final Sample'!$AA$2:$AA$612,0)+(COUNTIF('Final Sample'!$AA$2:$AA$612,'Final Sample'!AA154)-1)/2</f>
        <v>606</v>
      </c>
      <c r="D154" s="25">
        <f>RANK('Final Sample'!R154,'Final Sample'!$R$2:$R$612,0)+(COUNTIF('Final Sample'!$R$2:$R$612,'Final Sample'!R154)-1)/2</f>
        <v>352</v>
      </c>
      <c r="E154" s="25">
        <f>RANK('Final Sample'!AB154,'Final Sample'!$AB$2:$AB$612,0)+(COUNTIF('Final Sample'!$AB$2:$AB$612,'Final Sample'!AB154)-1)/2</f>
        <v>603</v>
      </c>
      <c r="F154" s="25">
        <f>RANK('Final Sample'!V154,'Final Sample'!$V$2:$V$612,0)+(COUNTIF('Final Sample'!$V$2:$V$612,'Final Sample'!V154)-1)/2</f>
        <v>260</v>
      </c>
    </row>
    <row r="155" spans="1:6" ht="15" customHeight="1" x14ac:dyDescent="0.3">
      <c r="A155" s="25">
        <f>RANK('Final Sample'!I155,'Final Sample'!$I$2:$I$612,0)+(COUNTIF('Final Sample'!$I$2:$I$612,'Final Sample'!I155)-1)/2</f>
        <v>441.5</v>
      </c>
      <c r="B155" s="25">
        <f>RANK('Final Sample'!J155,'Final Sample'!$J$2:$J$612,0)+(COUNTIF('Final Sample'!$J$2:$J$612,'Final Sample'!J155)-1)/2</f>
        <v>359</v>
      </c>
      <c r="C155" s="25">
        <f>RANK('Final Sample'!AA155,'Final Sample'!$AA$2:$AA$612,0)+(COUNTIF('Final Sample'!$AA$2:$AA$612,'Final Sample'!AA155)-1)/2</f>
        <v>208</v>
      </c>
      <c r="D155" s="25">
        <f>RANK('Final Sample'!R155,'Final Sample'!$R$2:$R$612,0)+(COUNTIF('Final Sample'!$R$2:$R$612,'Final Sample'!R155)-1)/2</f>
        <v>327</v>
      </c>
      <c r="E155" s="25">
        <f>RANK('Final Sample'!AB155,'Final Sample'!$AB$2:$AB$612,0)+(COUNTIF('Final Sample'!$AB$2:$AB$612,'Final Sample'!AB155)-1)/2</f>
        <v>577</v>
      </c>
      <c r="F155" s="25">
        <f>RANK('Final Sample'!V155,'Final Sample'!$V$2:$V$612,0)+(COUNTIF('Final Sample'!$V$2:$V$612,'Final Sample'!V155)-1)/2</f>
        <v>252</v>
      </c>
    </row>
    <row r="156" spans="1:6" ht="15" customHeight="1" x14ac:dyDescent="0.3">
      <c r="A156" s="25">
        <f>RANK('Final Sample'!I156,'Final Sample'!$I$2:$I$612,0)+(COUNTIF('Final Sample'!$I$2:$I$612,'Final Sample'!I156)-1)/2</f>
        <v>441.5</v>
      </c>
      <c r="B156" s="25">
        <f>RANK('Final Sample'!J156,'Final Sample'!$J$2:$J$612,0)+(COUNTIF('Final Sample'!$J$2:$J$612,'Final Sample'!J156)-1)/2</f>
        <v>359</v>
      </c>
      <c r="C156" s="25">
        <f>RANK('Final Sample'!AA156,'Final Sample'!$AA$2:$AA$612,0)+(COUNTIF('Final Sample'!$AA$2:$AA$612,'Final Sample'!AA156)-1)/2</f>
        <v>202</v>
      </c>
      <c r="D156" s="25">
        <f>RANK('Final Sample'!R156,'Final Sample'!$R$2:$R$612,0)+(COUNTIF('Final Sample'!$R$2:$R$612,'Final Sample'!R156)-1)/2</f>
        <v>583</v>
      </c>
      <c r="E156" s="25">
        <f>RANK('Final Sample'!AB156,'Final Sample'!$AB$2:$AB$612,0)+(COUNTIF('Final Sample'!$AB$2:$AB$612,'Final Sample'!AB156)-1)/2</f>
        <v>340</v>
      </c>
      <c r="F156" s="25">
        <f>RANK('Final Sample'!V156,'Final Sample'!$V$2:$V$612,0)+(COUNTIF('Final Sample'!$V$2:$V$612,'Final Sample'!V156)-1)/2</f>
        <v>143.5</v>
      </c>
    </row>
    <row r="157" spans="1:6" ht="15" customHeight="1" x14ac:dyDescent="0.3">
      <c r="A157" s="25">
        <f>RANK('Final Sample'!I157,'Final Sample'!$I$2:$I$612,0)+(COUNTIF('Final Sample'!$I$2:$I$612,'Final Sample'!I157)-1)/2</f>
        <v>441.5</v>
      </c>
      <c r="B157" s="25">
        <f>RANK('Final Sample'!J157,'Final Sample'!$J$2:$J$612,0)+(COUNTIF('Final Sample'!$J$2:$J$612,'Final Sample'!J157)-1)/2</f>
        <v>359</v>
      </c>
      <c r="C157" s="25">
        <f>RANK('Final Sample'!AA157,'Final Sample'!$AA$2:$AA$612,0)+(COUNTIF('Final Sample'!$AA$2:$AA$612,'Final Sample'!AA157)-1)/2</f>
        <v>256</v>
      </c>
      <c r="D157" s="25">
        <f>RANK('Final Sample'!R157,'Final Sample'!$R$2:$R$612,0)+(COUNTIF('Final Sample'!$R$2:$R$612,'Final Sample'!R157)-1)/2</f>
        <v>537</v>
      </c>
      <c r="E157" s="25">
        <f>RANK('Final Sample'!AB157,'Final Sample'!$AB$2:$AB$612,0)+(COUNTIF('Final Sample'!$AB$2:$AB$612,'Final Sample'!AB157)-1)/2</f>
        <v>76</v>
      </c>
      <c r="F157" s="25">
        <f>RANK('Final Sample'!V157,'Final Sample'!$V$2:$V$612,0)+(COUNTIF('Final Sample'!$V$2:$V$612,'Final Sample'!V157)-1)/2</f>
        <v>129.5</v>
      </c>
    </row>
    <row r="158" spans="1:6" ht="15" customHeight="1" x14ac:dyDescent="0.3">
      <c r="A158" s="25">
        <f>RANK('Final Sample'!I158,'Final Sample'!$I$2:$I$612,0)+(COUNTIF('Final Sample'!$I$2:$I$612,'Final Sample'!I158)-1)/2</f>
        <v>441.5</v>
      </c>
      <c r="B158" s="25">
        <f>RANK('Final Sample'!J158,'Final Sample'!$J$2:$J$612,0)+(COUNTIF('Final Sample'!$J$2:$J$612,'Final Sample'!J158)-1)/2</f>
        <v>359</v>
      </c>
      <c r="C158" s="25">
        <f>RANK('Final Sample'!AA158,'Final Sample'!$AA$2:$AA$612,0)+(COUNTIF('Final Sample'!$AA$2:$AA$612,'Final Sample'!AA158)-1)/2</f>
        <v>475</v>
      </c>
      <c r="D158" s="25">
        <f>RANK('Final Sample'!R158,'Final Sample'!$R$2:$R$612,0)+(COUNTIF('Final Sample'!$R$2:$R$612,'Final Sample'!R158)-1)/2</f>
        <v>517</v>
      </c>
      <c r="E158" s="25">
        <f>RANK('Final Sample'!AB158,'Final Sample'!$AB$2:$AB$612,0)+(COUNTIF('Final Sample'!$AB$2:$AB$612,'Final Sample'!AB158)-1)/2</f>
        <v>305</v>
      </c>
      <c r="F158" s="25">
        <f>RANK('Final Sample'!V158,'Final Sample'!$V$2:$V$612,0)+(COUNTIF('Final Sample'!$V$2:$V$612,'Final Sample'!V158)-1)/2</f>
        <v>113.5</v>
      </c>
    </row>
    <row r="159" spans="1:6" ht="15" customHeight="1" x14ac:dyDescent="0.3">
      <c r="A159" s="25">
        <f>RANK('Final Sample'!I159,'Final Sample'!$I$2:$I$612,0)+(COUNTIF('Final Sample'!$I$2:$I$612,'Final Sample'!I159)-1)/2</f>
        <v>441.5</v>
      </c>
      <c r="B159" s="25">
        <f>RANK('Final Sample'!J159,'Final Sample'!$J$2:$J$612,0)+(COUNTIF('Final Sample'!$J$2:$J$612,'Final Sample'!J159)-1)/2</f>
        <v>359</v>
      </c>
      <c r="C159" s="25">
        <f>RANK('Final Sample'!AA159,'Final Sample'!$AA$2:$AA$612,0)+(COUNTIF('Final Sample'!$AA$2:$AA$612,'Final Sample'!AA159)-1)/2</f>
        <v>119</v>
      </c>
      <c r="D159" s="25">
        <f>RANK('Final Sample'!R159,'Final Sample'!$R$2:$R$612,0)+(COUNTIF('Final Sample'!$R$2:$R$612,'Final Sample'!R159)-1)/2</f>
        <v>564</v>
      </c>
      <c r="E159" s="25">
        <f>RANK('Final Sample'!AB159,'Final Sample'!$AB$2:$AB$612,0)+(COUNTIF('Final Sample'!$AB$2:$AB$612,'Final Sample'!AB159)-1)/2</f>
        <v>38</v>
      </c>
      <c r="F159" s="25">
        <f>RANK('Final Sample'!V159,'Final Sample'!$V$2:$V$612,0)+(COUNTIF('Final Sample'!$V$2:$V$612,'Final Sample'!V159)-1)/2</f>
        <v>97.5</v>
      </c>
    </row>
    <row r="160" spans="1:6" ht="15" customHeight="1" x14ac:dyDescent="0.3">
      <c r="A160" s="25">
        <f>RANK('Final Sample'!I160,'Final Sample'!$I$2:$I$612,0)+(COUNTIF('Final Sample'!$I$2:$I$612,'Final Sample'!I160)-1)/2</f>
        <v>441.5</v>
      </c>
      <c r="B160" s="25">
        <f>RANK('Final Sample'!J160,'Final Sample'!$J$2:$J$612,0)+(COUNTIF('Final Sample'!$J$2:$J$612,'Final Sample'!J160)-1)/2</f>
        <v>359</v>
      </c>
      <c r="C160" s="25">
        <f>RANK('Final Sample'!AA160,'Final Sample'!$AA$2:$AA$612,0)+(COUNTIF('Final Sample'!$AA$2:$AA$612,'Final Sample'!AA160)-1)/2</f>
        <v>108</v>
      </c>
      <c r="D160" s="25">
        <f>RANK('Final Sample'!R160,'Final Sample'!$R$2:$R$612,0)+(COUNTIF('Final Sample'!$R$2:$R$612,'Final Sample'!R160)-1)/2</f>
        <v>560</v>
      </c>
      <c r="E160" s="25">
        <f>RANK('Final Sample'!AB160,'Final Sample'!$AB$2:$AB$612,0)+(COUNTIF('Final Sample'!$AB$2:$AB$612,'Final Sample'!AB160)-1)/2</f>
        <v>40</v>
      </c>
      <c r="F160" s="25">
        <f>RANK('Final Sample'!V160,'Final Sample'!$V$2:$V$612,0)+(COUNTIF('Final Sample'!$V$2:$V$612,'Final Sample'!V160)-1)/2</f>
        <v>83</v>
      </c>
    </row>
    <row r="161" spans="1:6" ht="15" customHeight="1" x14ac:dyDescent="0.3">
      <c r="A161" s="25">
        <f>RANK('Final Sample'!I161,'Final Sample'!$I$2:$I$612,0)+(COUNTIF('Final Sample'!$I$2:$I$612,'Final Sample'!I161)-1)/2</f>
        <v>112</v>
      </c>
      <c r="B161" s="25">
        <f>RANK('Final Sample'!J161,'Final Sample'!$J$2:$J$612,0)+(COUNTIF('Final Sample'!$J$2:$J$612,'Final Sample'!J161)-1)/2</f>
        <v>359</v>
      </c>
      <c r="C161" s="25">
        <f>RANK('Final Sample'!AA161,'Final Sample'!$AA$2:$AA$612,0)+(COUNTIF('Final Sample'!$AA$2:$AA$612,'Final Sample'!AA161)-1)/2</f>
        <v>510</v>
      </c>
      <c r="D161" s="25">
        <f>RANK('Final Sample'!R161,'Final Sample'!$R$2:$R$612,0)+(COUNTIF('Final Sample'!$R$2:$R$612,'Final Sample'!R161)-1)/2</f>
        <v>289</v>
      </c>
      <c r="E161" s="25">
        <f>RANK('Final Sample'!AB161,'Final Sample'!$AB$2:$AB$612,0)+(COUNTIF('Final Sample'!$AB$2:$AB$612,'Final Sample'!AB161)-1)/2</f>
        <v>261</v>
      </c>
      <c r="F161" s="25">
        <f>RANK('Final Sample'!V161,'Final Sample'!$V$2:$V$612,0)+(COUNTIF('Final Sample'!$V$2:$V$612,'Final Sample'!V161)-1)/2</f>
        <v>390.5</v>
      </c>
    </row>
    <row r="162" spans="1:6" ht="15" customHeight="1" x14ac:dyDescent="0.3">
      <c r="A162" s="25">
        <f>RANK('Final Sample'!I162,'Final Sample'!$I$2:$I$612,0)+(COUNTIF('Final Sample'!$I$2:$I$612,'Final Sample'!I162)-1)/2</f>
        <v>112</v>
      </c>
      <c r="B162" s="25">
        <f>RANK('Final Sample'!J162,'Final Sample'!$J$2:$J$612,0)+(COUNTIF('Final Sample'!$J$2:$J$612,'Final Sample'!J162)-1)/2</f>
        <v>359</v>
      </c>
      <c r="C162" s="25">
        <f>RANK('Final Sample'!AA162,'Final Sample'!$AA$2:$AA$612,0)+(COUNTIF('Final Sample'!$AA$2:$AA$612,'Final Sample'!AA162)-1)/2</f>
        <v>493</v>
      </c>
      <c r="D162" s="25">
        <f>RANK('Final Sample'!R162,'Final Sample'!$R$2:$R$612,0)+(COUNTIF('Final Sample'!$R$2:$R$612,'Final Sample'!R162)-1)/2</f>
        <v>279</v>
      </c>
      <c r="E162" s="25">
        <f>RANK('Final Sample'!AB162,'Final Sample'!$AB$2:$AB$612,0)+(COUNTIF('Final Sample'!$AB$2:$AB$612,'Final Sample'!AB162)-1)/2</f>
        <v>247</v>
      </c>
      <c r="F162" s="25">
        <f>RANK('Final Sample'!V162,'Final Sample'!$V$2:$V$612,0)+(COUNTIF('Final Sample'!$V$2:$V$612,'Final Sample'!V162)-1)/2</f>
        <v>373</v>
      </c>
    </row>
    <row r="163" spans="1:6" ht="15" customHeight="1" x14ac:dyDescent="0.3">
      <c r="A163" s="25">
        <f>RANK('Final Sample'!I163,'Final Sample'!$I$2:$I$612,0)+(COUNTIF('Final Sample'!$I$2:$I$612,'Final Sample'!I163)-1)/2</f>
        <v>441.5</v>
      </c>
      <c r="B163" s="25">
        <f>RANK('Final Sample'!J163,'Final Sample'!$J$2:$J$612,0)+(COUNTIF('Final Sample'!$J$2:$J$612,'Final Sample'!J163)-1)/2</f>
        <v>359</v>
      </c>
      <c r="C163" s="25">
        <f>RANK('Final Sample'!AA163,'Final Sample'!$AA$2:$AA$612,0)+(COUNTIF('Final Sample'!$AA$2:$AA$612,'Final Sample'!AA163)-1)/2</f>
        <v>272</v>
      </c>
      <c r="D163" s="25">
        <f>RANK('Final Sample'!R163,'Final Sample'!$R$2:$R$612,0)+(COUNTIF('Final Sample'!$R$2:$R$612,'Final Sample'!R163)-1)/2</f>
        <v>270</v>
      </c>
      <c r="E163" s="25">
        <f>RANK('Final Sample'!AB163,'Final Sample'!$AB$2:$AB$612,0)+(COUNTIF('Final Sample'!$AB$2:$AB$612,'Final Sample'!AB163)-1)/2</f>
        <v>82</v>
      </c>
      <c r="F163" s="25">
        <f>RANK('Final Sample'!V163,'Final Sample'!$V$2:$V$612,0)+(COUNTIF('Final Sample'!$V$2:$V$612,'Final Sample'!V163)-1)/2</f>
        <v>356.5</v>
      </c>
    </row>
    <row r="164" spans="1:6" ht="15" customHeight="1" x14ac:dyDescent="0.3">
      <c r="A164" s="25">
        <f>RANK('Final Sample'!I164,'Final Sample'!$I$2:$I$612,0)+(COUNTIF('Final Sample'!$I$2:$I$612,'Final Sample'!I164)-1)/2</f>
        <v>73.5</v>
      </c>
      <c r="B164" s="25">
        <f>RANK('Final Sample'!J164,'Final Sample'!$J$2:$J$612,0)+(COUNTIF('Final Sample'!$J$2:$J$612,'Final Sample'!J164)-1)/2</f>
        <v>98</v>
      </c>
      <c r="C164" s="25">
        <f>RANK('Final Sample'!AA164,'Final Sample'!$AA$2:$AA$612,0)+(COUNTIF('Final Sample'!$AA$2:$AA$612,'Final Sample'!AA164)-1)/2</f>
        <v>230</v>
      </c>
      <c r="D164" s="25">
        <f>RANK('Final Sample'!R164,'Final Sample'!$R$2:$R$612,0)+(COUNTIF('Final Sample'!$R$2:$R$612,'Final Sample'!R164)-1)/2</f>
        <v>259</v>
      </c>
      <c r="E164" s="25">
        <f>RANK('Final Sample'!AB164,'Final Sample'!$AB$2:$AB$612,0)+(COUNTIF('Final Sample'!$AB$2:$AB$612,'Final Sample'!AB164)-1)/2</f>
        <v>97</v>
      </c>
      <c r="F164" s="25">
        <f>RANK('Final Sample'!V164,'Final Sample'!$V$2:$V$612,0)+(COUNTIF('Final Sample'!$V$2:$V$612,'Final Sample'!V164)-1)/2</f>
        <v>344</v>
      </c>
    </row>
    <row r="165" spans="1:6" ht="15" customHeight="1" x14ac:dyDescent="0.3">
      <c r="A165" s="25">
        <f>RANK('Final Sample'!I165,'Final Sample'!$I$2:$I$612,0)+(COUNTIF('Final Sample'!$I$2:$I$612,'Final Sample'!I165)-1)/2</f>
        <v>441.5</v>
      </c>
      <c r="B165" s="25">
        <f>RANK('Final Sample'!J165,'Final Sample'!$J$2:$J$612,0)+(COUNTIF('Final Sample'!$J$2:$J$612,'Final Sample'!J165)-1)/2</f>
        <v>359</v>
      </c>
      <c r="C165" s="25">
        <f>RANK('Final Sample'!AA165,'Final Sample'!$AA$2:$AA$612,0)+(COUNTIF('Final Sample'!$AA$2:$AA$612,'Final Sample'!AA165)-1)/2</f>
        <v>233</v>
      </c>
      <c r="D165" s="25">
        <f>RANK('Final Sample'!R165,'Final Sample'!$R$2:$R$612,0)+(COUNTIF('Final Sample'!$R$2:$R$612,'Final Sample'!R165)-1)/2</f>
        <v>229</v>
      </c>
      <c r="E165" s="25">
        <f>RANK('Final Sample'!AB165,'Final Sample'!$AB$2:$AB$612,0)+(COUNTIF('Final Sample'!$AB$2:$AB$612,'Final Sample'!AB165)-1)/2</f>
        <v>112</v>
      </c>
      <c r="F165" s="25">
        <f>RANK('Final Sample'!V165,'Final Sample'!$V$2:$V$612,0)+(COUNTIF('Final Sample'!$V$2:$V$612,'Final Sample'!V165)-1)/2</f>
        <v>335</v>
      </c>
    </row>
    <row r="166" spans="1:6" ht="15" customHeight="1" x14ac:dyDescent="0.3">
      <c r="A166" s="25">
        <f>RANK('Final Sample'!I166,'Final Sample'!$I$2:$I$612,0)+(COUNTIF('Final Sample'!$I$2:$I$612,'Final Sample'!I166)-1)/2</f>
        <v>146.5</v>
      </c>
      <c r="B166" s="25">
        <f>RANK('Final Sample'!J166,'Final Sample'!$J$2:$J$612,0)+(COUNTIF('Final Sample'!$J$2:$J$612,'Final Sample'!J166)-1)/2</f>
        <v>98</v>
      </c>
      <c r="C166" s="25">
        <f>RANK('Final Sample'!AA166,'Final Sample'!$AA$2:$AA$612,0)+(COUNTIF('Final Sample'!$AA$2:$AA$612,'Final Sample'!AA166)-1)/2</f>
        <v>448</v>
      </c>
      <c r="D166" s="25">
        <f>RANK('Final Sample'!R166,'Final Sample'!$R$2:$R$612,0)+(COUNTIF('Final Sample'!$R$2:$R$612,'Final Sample'!R166)-1)/2</f>
        <v>24</v>
      </c>
      <c r="E166" s="25">
        <f>RANK('Final Sample'!AB166,'Final Sample'!$AB$2:$AB$612,0)+(COUNTIF('Final Sample'!$AB$2:$AB$612,'Final Sample'!AB166)-1)/2</f>
        <v>103</v>
      </c>
      <c r="F166" s="25">
        <f>RANK('Final Sample'!V166,'Final Sample'!$V$2:$V$612,0)+(COUNTIF('Final Sample'!$V$2:$V$612,'Final Sample'!V166)-1)/2</f>
        <v>335</v>
      </c>
    </row>
    <row r="167" spans="1:6" ht="15" customHeight="1" x14ac:dyDescent="0.3">
      <c r="A167" s="25">
        <f>RANK('Final Sample'!I167,'Final Sample'!$I$2:$I$612,0)+(COUNTIF('Final Sample'!$I$2:$I$612,'Final Sample'!I167)-1)/2</f>
        <v>132</v>
      </c>
      <c r="B167" s="25">
        <f>RANK('Final Sample'!J167,'Final Sample'!$J$2:$J$612,0)+(COUNTIF('Final Sample'!$J$2:$J$612,'Final Sample'!J167)-1)/2</f>
        <v>79.5</v>
      </c>
      <c r="C167" s="25">
        <f>RANK('Final Sample'!AA167,'Final Sample'!$AA$2:$AA$612,0)+(COUNTIF('Final Sample'!$AA$2:$AA$612,'Final Sample'!AA167)-1)/2</f>
        <v>423</v>
      </c>
      <c r="D167" s="25">
        <f>RANK('Final Sample'!R167,'Final Sample'!$R$2:$R$612,0)+(COUNTIF('Final Sample'!$R$2:$R$612,'Final Sample'!R167)-1)/2</f>
        <v>20</v>
      </c>
      <c r="E167" s="25">
        <f>RANK('Final Sample'!AB167,'Final Sample'!$AB$2:$AB$612,0)+(COUNTIF('Final Sample'!$AB$2:$AB$612,'Final Sample'!AB167)-1)/2</f>
        <v>94</v>
      </c>
      <c r="F167" s="25">
        <f>RANK('Final Sample'!V167,'Final Sample'!$V$2:$V$612,0)+(COUNTIF('Final Sample'!$V$2:$V$612,'Final Sample'!V167)-1)/2</f>
        <v>326</v>
      </c>
    </row>
    <row r="168" spans="1:6" ht="15" customHeight="1" x14ac:dyDescent="0.3">
      <c r="A168" s="25">
        <f>RANK('Final Sample'!I168,'Final Sample'!$I$2:$I$612,0)+(COUNTIF('Final Sample'!$I$2:$I$612,'Final Sample'!I168)-1)/2</f>
        <v>112</v>
      </c>
      <c r="B168" s="25">
        <f>RANK('Final Sample'!J168,'Final Sample'!$J$2:$J$612,0)+(COUNTIF('Final Sample'!$J$2:$J$612,'Final Sample'!J168)-1)/2</f>
        <v>53</v>
      </c>
      <c r="C168" s="25">
        <f>RANK('Final Sample'!AA168,'Final Sample'!$AA$2:$AA$612,0)+(COUNTIF('Final Sample'!$AA$2:$AA$612,'Final Sample'!AA168)-1)/2</f>
        <v>415</v>
      </c>
      <c r="D168" s="25">
        <f>RANK('Final Sample'!R168,'Final Sample'!$R$2:$R$612,0)+(COUNTIF('Final Sample'!$R$2:$R$612,'Final Sample'!R168)-1)/2</f>
        <v>12</v>
      </c>
      <c r="E168" s="25">
        <f>RANK('Final Sample'!AB168,'Final Sample'!$AB$2:$AB$612,0)+(COUNTIF('Final Sample'!$AB$2:$AB$612,'Final Sample'!AB168)-1)/2</f>
        <v>86</v>
      </c>
      <c r="F168" s="25">
        <f>RANK('Final Sample'!V168,'Final Sample'!$V$2:$V$612,0)+(COUNTIF('Final Sample'!$V$2:$V$612,'Final Sample'!V168)-1)/2</f>
        <v>318.5</v>
      </c>
    </row>
    <row r="169" spans="1:6" ht="15" customHeight="1" x14ac:dyDescent="0.3">
      <c r="A169" s="25">
        <f>RANK('Final Sample'!I169,'Final Sample'!$I$2:$I$612,0)+(COUNTIF('Final Sample'!$I$2:$I$612,'Final Sample'!I169)-1)/2</f>
        <v>441.5</v>
      </c>
      <c r="B169" s="25">
        <f>RANK('Final Sample'!J169,'Final Sample'!$J$2:$J$612,0)+(COUNTIF('Final Sample'!$J$2:$J$612,'Final Sample'!J169)-1)/2</f>
        <v>359</v>
      </c>
      <c r="C169" s="25">
        <f>RANK('Final Sample'!AA169,'Final Sample'!$AA$2:$AA$612,0)+(COUNTIF('Final Sample'!$AA$2:$AA$612,'Final Sample'!AA169)-1)/2</f>
        <v>418</v>
      </c>
      <c r="D169" s="25">
        <f>RANK('Final Sample'!R169,'Final Sample'!$R$2:$R$612,0)+(COUNTIF('Final Sample'!$R$2:$R$612,'Final Sample'!R169)-1)/2</f>
        <v>3</v>
      </c>
      <c r="E169" s="25">
        <f>RANK('Final Sample'!AB169,'Final Sample'!$AB$2:$AB$612,0)+(COUNTIF('Final Sample'!$AB$2:$AB$612,'Final Sample'!AB169)-1)/2</f>
        <v>87</v>
      </c>
      <c r="F169" s="25">
        <f>RANK('Final Sample'!V169,'Final Sample'!$V$2:$V$612,0)+(COUNTIF('Final Sample'!$V$2:$V$612,'Final Sample'!V169)-1)/2</f>
        <v>311.5</v>
      </c>
    </row>
    <row r="170" spans="1:6" ht="15" customHeight="1" x14ac:dyDescent="0.3">
      <c r="A170" s="25">
        <f>RANK('Final Sample'!I170,'Final Sample'!$I$2:$I$612,0)+(COUNTIF('Final Sample'!$I$2:$I$612,'Final Sample'!I170)-1)/2</f>
        <v>441.5</v>
      </c>
      <c r="B170" s="25">
        <f>RANK('Final Sample'!J170,'Final Sample'!$J$2:$J$612,0)+(COUNTIF('Final Sample'!$J$2:$J$612,'Final Sample'!J170)-1)/2</f>
        <v>359</v>
      </c>
      <c r="C170" s="25">
        <f>RANK('Final Sample'!AA170,'Final Sample'!$AA$2:$AA$612,0)+(COUNTIF('Final Sample'!$AA$2:$AA$612,'Final Sample'!AA170)-1)/2</f>
        <v>450</v>
      </c>
      <c r="D170" s="25">
        <f>RANK('Final Sample'!R170,'Final Sample'!$R$2:$R$612,0)+(COUNTIF('Final Sample'!$R$2:$R$612,'Final Sample'!R170)-1)/2</f>
        <v>2</v>
      </c>
      <c r="E170" s="25">
        <f>RANK('Final Sample'!AB170,'Final Sample'!$AB$2:$AB$612,0)+(COUNTIF('Final Sample'!$AB$2:$AB$612,'Final Sample'!AB170)-1)/2</f>
        <v>111</v>
      </c>
      <c r="F170" s="25">
        <f>RANK('Final Sample'!V170,'Final Sample'!$V$2:$V$612,0)+(COUNTIF('Final Sample'!$V$2:$V$612,'Final Sample'!V170)-1)/2</f>
        <v>303</v>
      </c>
    </row>
    <row r="171" spans="1:6" ht="15" customHeight="1" x14ac:dyDescent="0.3">
      <c r="A171" s="25">
        <f>RANK('Final Sample'!I171,'Final Sample'!$I$2:$I$612,0)+(COUNTIF('Final Sample'!$I$2:$I$612,'Final Sample'!I171)-1)/2</f>
        <v>441.5</v>
      </c>
      <c r="B171" s="25">
        <f>RANK('Final Sample'!J171,'Final Sample'!$J$2:$J$612,0)+(COUNTIF('Final Sample'!$J$2:$J$612,'Final Sample'!J171)-1)/2</f>
        <v>359</v>
      </c>
      <c r="C171" s="25">
        <f>RANK('Final Sample'!AA171,'Final Sample'!$AA$2:$AA$612,0)+(COUNTIF('Final Sample'!$AA$2:$AA$612,'Final Sample'!AA171)-1)/2</f>
        <v>115</v>
      </c>
      <c r="D171" s="25">
        <f>RANK('Final Sample'!R171,'Final Sample'!$R$2:$R$612,0)+(COUNTIF('Final Sample'!$R$2:$R$612,'Final Sample'!R171)-1)/2</f>
        <v>464</v>
      </c>
      <c r="E171" s="25">
        <f>RANK('Final Sample'!AB171,'Final Sample'!$AB$2:$AB$612,0)+(COUNTIF('Final Sample'!$AB$2:$AB$612,'Final Sample'!AB171)-1)/2</f>
        <v>234</v>
      </c>
      <c r="F171" s="25">
        <f>RANK('Final Sample'!V171,'Final Sample'!$V$2:$V$612,0)+(COUNTIF('Final Sample'!$V$2:$V$612,'Final Sample'!V171)-1)/2</f>
        <v>520.5</v>
      </c>
    </row>
    <row r="172" spans="1:6" ht="15" customHeight="1" x14ac:dyDescent="0.3">
      <c r="A172" s="25">
        <f>RANK('Final Sample'!I172,'Final Sample'!$I$2:$I$612,0)+(COUNTIF('Final Sample'!$I$2:$I$612,'Final Sample'!I172)-1)/2</f>
        <v>441.5</v>
      </c>
      <c r="B172" s="25">
        <f>RANK('Final Sample'!J172,'Final Sample'!$J$2:$J$612,0)+(COUNTIF('Final Sample'!$J$2:$J$612,'Final Sample'!J172)-1)/2</f>
        <v>359</v>
      </c>
      <c r="C172" s="25">
        <f>RANK('Final Sample'!AA172,'Final Sample'!$AA$2:$AA$612,0)+(COUNTIF('Final Sample'!$AA$2:$AA$612,'Final Sample'!AA172)-1)/2</f>
        <v>95</v>
      </c>
      <c r="D172" s="25">
        <f>RANK('Final Sample'!R172,'Final Sample'!$R$2:$R$612,0)+(COUNTIF('Final Sample'!$R$2:$R$612,'Final Sample'!R172)-1)/2</f>
        <v>385</v>
      </c>
      <c r="E172" s="25">
        <f>RANK('Final Sample'!AB172,'Final Sample'!$AB$2:$AB$612,0)+(COUNTIF('Final Sample'!$AB$2:$AB$612,'Final Sample'!AB172)-1)/2</f>
        <v>403</v>
      </c>
      <c r="F172" s="25">
        <f>RANK('Final Sample'!V172,'Final Sample'!$V$2:$V$612,0)+(COUNTIF('Final Sample'!$V$2:$V$612,'Final Sample'!V172)-1)/2</f>
        <v>509.5</v>
      </c>
    </row>
    <row r="173" spans="1:6" ht="15" customHeight="1" x14ac:dyDescent="0.3">
      <c r="A173" s="25">
        <f>RANK('Final Sample'!I173,'Final Sample'!$I$2:$I$612,0)+(COUNTIF('Final Sample'!$I$2:$I$612,'Final Sample'!I173)-1)/2</f>
        <v>441.5</v>
      </c>
      <c r="B173" s="25">
        <f>RANK('Final Sample'!J173,'Final Sample'!$J$2:$J$612,0)+(COUNTIF('Final Sample'!$J$2:$J$612,'Final Sample'!J173)-1)/2</f>
        <v>359</v>
      </c>
      <c r="C173" s="25">
        <f>RANK('Final Sample'!AA173,'Final Sample'!$AA$2:$AA$612,0)+(COUNTIF('Final Sample'!$AA$2:$AA$612,'Final Sample'!AA173)-1)/2</f>
        <v>75</v>
      </c>
      <c r="D173" s="25">
        <f>RANK('Final Sample'!R173,'Final Sample'!$R$2:$R$612,0)+(COUNTIF('Final Sample'!$R$2:$R$612,'Final Sample'!R173)-1)/2</f>
        <v>338</v>
      </c>
      <c r="E173" s="25">
        <f>RANK('Final Sample'!AB173,'Final Sample'!$AB$2:$AB$612,0)+(COUNTIF('Final Sample'!$AB$2:$AB$612,'Final Sample'!AB173)-1)/2</f>
        <v>363</v>
      </c>
      <c r="F173" s="25">
        <f>RANK('Final Sample'!V173,'Final Sample'!$V$2:$V$612,0)+(COUNTIF('Final Sample'!$V$2:$V$612,'Final Sample'!V173)-1)/2</f>
        <v>499</v>
      </c>
    </row>
    <row r="174" spans="1:6" ht="15" customHeight="1" x14ac:dyDescent="0.3">
      <c r="A174" s="25">
        <f>RANK('Final Sample'!I174,'Final Sample'!$I$2:$I$612,0)+(COUNTIF('Final Sample'!$I$2:$I$612,'Final Sample'!I174)-1)/2</f>
        <v>441.5</v>
      </c>
      <c r="B174" s="25">
        <f>RANK('Final Sample'!J174,'Final Sample'!$J$2:$J$612,0)+(COUNTIF('Final Sample'!$J$2:$J$612,'Final Sample'!J174)-1)/2</f>
        <v>359</v>
      </c>
      <c r="C174" s="25">
        <f>RANK('Final Sample'!AA174,'Final Sample'!$AA$2:$AA$612,0)+(COUNTIF('Final Sample'!$AA$2:$AA$612,'Final Sample'!AA174)-1)/2</f>
        <v>54</v>
      </c>
      <c r="D174" s="25">
        <f>RANK('Final Sample'!R174,'Final Sample'!$R$2:$R$612,0)+(COUNTIF('Final Sample'!$R$2:$R$612,'Final Sample'!R174)-1)/2</f>
        <v>356</v>
      </c>
      <c r="E174" s="25">
        <f>RANK('Final Sample'!AB174,'Final Sample'!$AB$2:$AB$612,0)+(COUNTIF('Final Sample'!$AB$2:$AB$612,'Final Sample'!AB174)-1)/2</f>
        <v>540</v>
      </c>
      <c r="F174" s="25">
        <f>RANK('Final Sample'!V174,'Final Sample'!$V$2:$V$612,0)+(COUNTIF('Final Sample'!$V$2:$V$612,'Final Sample'!V174)-1)/2</f>
        <v>490.5</v>
      </c>
    </row>
    <row r="175" spans="1:6" ht="15" customHeight="1" x14ac:dyDescent="0.3">
      <c r="A175" s="25">
        <f>RANK('Final Sample'!I175,'Final Sample'!$I$2:$I$612,0)+(COUNTIF('Final Sample'!$I$2:$I$612,'Final Sample'!I175)-1)/2</f>
        <v>441.5</v>
      </c>
      <c r="B175" s="25">
        <f>RANK('Final Sample'!J175,'Final Sample'!$J$2:$J$612,0)+(COUNTIF('Final Sample'!$J$2:$J$612,'Final Sample'!J175)-1)/2</f>
        <v>359</v>
      </c>
      <c r="C175" s="25">
        <f>RANK('Final Sample'!AA175,'Final Sample'!$AA$2:$AA$612,0)+(COUNTIF('Final Sample'!$AA$2:$AA$612,'Final Sample'!AA175)-1)/2</f>
        <v>50</v>
      </c>
      <c r="D175" s="25">
        <f>RANK('Final Sample'!R175,'Final Sample'!$R$2:$R$612,0)+(COUNTIF('Final Sample'!$R$2:$R$612,'Final Sample'!R175)-1)/2</f>
        <v>288</v>
      </c>
      <c r="E175" s="25">
        <f>RANK('Final Sample'!AB175,'Final Sample'!$AB$2:$AB$612,0)+(COUNTIF('Final Sample'!$AB$2:$AB$612,'Final Sample'!AB175)-1)/2</f>
        <v>323</v>
      </c>
      <c r="F175" s="25">
        <f>RANK('Final Sample'!V175,'Final Sample'!$V$2:$V$612,0)+(COUNTIF('Final Sample'!$V$2:$V$612,'Final Sample'!V175)-1)/2</f>
        <v>483.5</v>
      </c>
    </row>
    <row r="176" spans="1:6" ht="15" customHeight="1" x14ac:dyDescent="0.3">
      <c r="A176" s="25">
        <f>RANK('Final Sample'!I176,'Final Sample'!$I$2:$I$612,0)+(COUNTIF('Final Sample'!$I$2:$I$612,'Final Sample'!I176)-1)/2</f>
        <v>441.5</v>
      </c>
      <c r="B176" s="25">
        <f>RANK('Final Sample'!J176,'Final Sample'!$J$2:$J$612,0)+(COUNTIF('Final Sample'!$J$2:$J$612,'Final Sample'!J176)-1)/2</f>
        <v>359</v>
      </c>
      <c r="C176" s="25">
        <f>RANK('Final Sample'!AA176,'Final Sample'!$AA$2:$AA$612,0)+(COUNTIF('Final Sample'!$AA$2:$AA$612,'Final Sample'!AA176)-1)/2</f>
        <v>130</v>
      </c>
      <c r="D176" s="25">
        <f>RANK('Final Sample'!R176,'Final Sample'!$R$2:$R$612,0)+(COUNTIF('Final Sample'!$R$2:$R$612,'Final Sample'!R176)-1)/2</f>
        <v>600</v>
      </c>
      <c r="E176" s="25">
        <f>RANK('Final Sample'!AB176,'Final Sample'!$AB$2:$AB$612,0)+(COUNTIF('Final Sample'!$AB$2:$AB$612,'Final Sample'!AB176)-1)/2</f>
        <v>290</v>
      </c>
      <c r="F176" s="25">
        <f>RANK('Final Sample'!V176,'Final Sample'!$V$2:$V$612,0)+(COUNTIF('Final Sample'!$V$2:$V$612,'Final Sample'!V176)-1)/2</f>
        <v>293.5</v>
      </c>
    </row>
    <row r="177" spans="1:6" ht="15" customHeight="1" x14ac:dyDescent="0.3">
      <c r="A177" s="25">
        <f>RANK('Final Sample'!I177,'Final Sample'!$I$2:$I$612,0)+(COUNTIF('Final Sample'!$I$2:$I$612,'Final Sample'!I177)-1)/2</f>
        <v>441.5</v>
      </c>
      <c r="B177" s="25">
        <f>RANK('Final Sample'!J177,'Final Sample'!$J$2:$J$612,0)+(COUNTIF('Final Sample'!$J$2:$J$612,'Final Sample'!J177)-1)/2</f>
        <v>359</v>
      </c>
      <c r="C177" s="25">
        <f>RANK('Final Sample'!AA177,'Final Sample'!$AA$2:$AA$612,0)+(COUNTIF('Final Sample'!$AA$2:$AA$612,'Final Sample'!AA177)-1)/2</f>
        <v>140</v>
      </c>
      <c r="D177" s="25">
        <f>RANK('Final Sample'!R177,'Final Sample'!$R$2:$R$612,0)+(COUNTIF('Final Sample'!$R$2:$R$612,'Final Sample'!R177)-1)/2</f>
        <v>598</v>
      </c>
      <c r="E177" s="25">
        <f>RANK('Final Sample'!AB177,'Final Sample'!$AB$2:$AB$612,0)+(COUNTIF('Final Sample'!$AB$2:$AB$612,'Final Sample'!AB177)-1)/2</f>
        <v>289</v>
      </c>
      <c r="F177" s="25">
        <f>RANK('Final Sample'!V177,'Final Sample'!$V$2:$V$612,0)+(COUNTIF('Final Sample'!$V$2:$V$612,'Final Sample'!V177)-1)/2</f>
        <v>282.5</v>
      </c>
    </row>
    <row r="178" spans="1:6" ht="15" customHeight="1" x14ac:dyDescent="0.3">
      <c r="A178" s="25">
        <f>RANK('Final Sample'!I178,'Final Sample'!$I$2:$I$612,0)+(COUNTIF('Final Sample'!$I$2:$I$612,'Final Sample'!I178)-1)/2</f>
        <v>441.5</v>
      </c>
      <c r="B178" s="25">
        <f>RANK('Final Sample'!J178,'Final Sample'!$J$2:$J$612,0)+(COUNTIF('Final Sample'!$J$2:$J$612,'Final Sample'!J178)-1)/2</f>
        <v>359</v>
      </c>
      <c r="C178" s="25">
        <f>RANK('Final Sample'!AA178,'Final Sample'!$AA$2:$AA$612,0)+(COUNTIF('Final Sample'!$AA$2:$AA$612,'Final Sample'!AA178)-1)/2</f>
        <v>189</v>
      </c>
      <c r="D178" s="25">
        <f>RANK('Final Sample'!R178,'Final Sample'!$R$2:$R$612,0)+(COUNTIF('Final Sample'!$R$2:$R$612,'Final Sample'!R178)-1)/2</f>
        <v>592</v>
      </c>
      <c r="E178" s="25">
        <f>RANK('Final Sample'!AB178,'Final Sample'!$AB$2:$AB$612,0)+(COUNTIF('Final Sample'!$AB$2:$AB$612,'Final Sample'!AB178)-1)/2</f>
        <v>304</v>
      </c>
      <c r="F178" s="25">
        <f>RANK('Final Sample'!V178,'Final Sample'!$V$2:$V$612,0)+(COUNTIF('Final Sample'!$V$2:$V$612,'Final Sample'!V178)-1)/2</f>
        <v>270.5</v>
      </c>
    </row>
    <row r="179" spans="1:6" ht="15" customHeight="1" x14ac:dyDescent="0.3">
      <c r="A179" s="25">
        <f>RANK('Final Sample'!I179,'Final Sample'!$I$2:$I$612,0)+(COUNTIF('Final Sample'!$I$2:$I$612,'Final Sample'!I179)-1)/2</f>
        <v>441.5</v>
      </c>
      <c r="B179" s="25">
        <f>RANK('Final Sample'!J179,'Final Sample'!$J$2:$J$612,0)+(COUNTIF('Final Sample'!$J$2:$J$612,'Final Sample'!J179)-1)/2</f>
        <v>359</v>
      </c>
      <c r="C179" s="25">
        <f>RANK('Final Sample'!AA179,'Final Sample'!$AA$2:$AA$612,0)+(COUNTIF('Final Sample'!$AA$2:$AA$612,'Final Sample'!AA179)-1)/2</f>
        <v>30</v>
      </c>
      <c r="D179" s="25">
        <f>RANK('Final Sample'!R179,'Final Sample'!$R$2:$R$612,0)+(COUNTIF('Final Sample'!$R$2:$R$612,'Final Sample'!R179)-1)/2</f>
        <v>591</v>
      </c>
      <c r="E179" s="25">
        <f>RANK('Final Sample'!AB179,'Final Sample'!$AB$2:$AB$612,0)+(COUNTIF('Final Sample'!$AB$2:$AB$612,'Final Sample'!AB179)-1)/2</f>
        <v>454</v>
      </c>
      <c r="F179" s="25">
        <f>RANK('Final Sample'!V179,'Final Sample'!$V$2:$V$612,0)+(COUNTIF('Final Sample'!$V$2:$V$612,'Final Sample'!V179)-1)/2</f>
        <v>260</v>
      </c>
    </row>
    <row r="180" spans="1:6" ht="15" customHeight="1" x14ac:dyDescent="0.3">
      <c r="A180" s="25">
        <f>RANK('Final Sample'!I180,'Final Sample'!$I$2:$I$612,0)+(COUNTIF('Final Sample'!$I$2:$I$612,'Final Sample'!I180)-1)/2</f>
        <v>441.5</v>
      </c>
      <c r="B180" s="25">
        <f>RANK('Final Sample'!J180,'Final Sample'!$J$2:$J$612,0)+(COUNTIF('Final Sample'!$J$2:$J$612,'Final Sample'!J180)-1)/2</f>
        <v>359</v>
      </c>
      <c r="C180" s="25">
        <f>RANK('Final Sample'!AA180,'Final Sample'!$AA$2:$AA$612,0)+(COUNTIF('Final Sample'!$AA$2:$AA$612,'Final Sample'!AA180)-1)/2</f>
        <v>470</v>
      </c>
      <c r="D180" s="25">
        <f>RANK('Final Sample'!R180,'Final Sample'!$R$2:$R$612,0)+(COUNTIF('Final Sample'!$R$2:$R$612,'Final Sample'!R180)-1)/2</f>
        <v>70</v>
      </c>
      <c r="E180" s="25">
        <f>RANK('Final Sample'!AB180,'Final Sample'!$AB$2:$AB$612,0)+(COUNTIF('Final Sample'!$AB$2:$AB$612,'Final Sample'!AB180)-1)/2</f>
        <v>131</v>
      </c>
      <c r="F180" s="25">
        <f>RANK('Final Sample'!V180,'Final Sample'!$V$2:$V$612,0)+(COUNTIF('Final Sample'!$V$2:$V$612,'Final Sample'!V180)-1)/2</f>
        <v>591</v>
      </c>
    </row>
    <row r="181" spans="1:6" ht="15" customHeight="1" x14ac:dyDescent="0.3">
      <c r="A181" s="25">
        <f>RANK('Final Sample'!I181,'Final Sample'!$I$2:$I$612,0)+(COUNTIF('Final Sample'!$I$2:$I$612,'Final Sample'!I181)-1)/2</f>
        <v>84</v>
      </c>
      <c r="B181" s="25">
        <f>RANK('Final Sample'!J181,'Final Sample'!$J$2:$J$612,0)+(COUNTIF('Final Sample'!$J$2:$J$612,'Final Sample'!J181)-1)/2</f>
        <v>43</v>
      </c>
      <c r="C181" s="25">
        <f>RANK('Final Sample'!AA181,'Final Sample'!$AA$2:$AA$612,0)+(COUNTIF('Final Sample'!$AA$2:$AA$612,'Final Sample'!AA181)-1)/2</f>
        <v>458</v>
      </c>
      <c r="D181" s="25">
        <f>RANK('Final Sample'!R181,'Final Sample'!$R$2:$R$612,0)+(COUNTIF('Final Sample'!$R$2:$R$612,'Final Sample'!R181)-1)/2</f>
        <v>64</v>
      </c>
      <c r="E181" s="25">
        <f>RANK('Final Sample'!AB181,'Final Sample'!$AB$2:$AB$612,0)+(COUNTIF('Final Sample'!$AB$2:$AB$612,'Final Sample'!AB181)-1)/2</f>
        <v>124</v>
      </c>
      <c r="F181" s="25">
        <f>RANK('Final Sample'!V181,'Final Sample'!$V$2:$V$612,0)+(COUNTIF('Final Sample'!$V$2:$V$612,'Final Sample'!V181)-1)/2</f>
        <v>587</v>
      </c>
    </row>
    <row r="182" spans="1:6" ht="15" customHeight="1" x14ac:dyDescent="0.3">
      <c r="A182" s="25">
        <f>RANK('Final Sample'!I182,'Final Sample'!$I$2:$I$612,0)+(COUNTIF('Final Sample'!$I$2:$I$612,'Final Sample'!I182)-1)/2</f>
        <v>441.5</v>
      </c>
      <c r="B182" s="25">
        <f>RANK('Final Sample'!J182,'Final Sample'!$J$2:$J$612,0)+(COUNTIF('Final Sample'!$J$2:$J$612,'Final Sample'!J182)-1)/2</f>
        <v>359</v>
      </c>
      <c r="C182" s="25">
        <f>RANK('Final Sample'!AA182,'Final Sample'!$AA$2:$AA$612,0)+(COUNTIF('Final Sample'!$AA$2:$AA$612,'Final Sample'!AA182)-1)/2</f>
        <v>463</v>
      </c>
      <c r="D182" s="25">
        <f>RANK('Final Sample'!R182,'Final Sample'!$R$2:$R$612,0)+(COUNTIF('Final Sample'!$R$2:$R$612,'Final Sample'!R182)-1)/2</f>
        <v>52</v>
      </c>
      <c r="E182" s="25">
        <f>RANK('Final Sample'!AB182,'Final Sample'!$AB$2:$AB$612,0)+(COUNTIF('Final Sample'!$AB$2:$AB$612,'Final Sample'!AB182)-1)/2</f>
        <v>142</v>
      </c>
      <c r="F182" s="25">
        <f>RANK('Final Sample'!V182,'Final Sample'!$V$2:$V$612,0)+(COUNTIF('Final Sample'!$V$2:$V$612,'Final Sample'!V182)-1)/2</f>
        <v>582</v>
      </c>
    </row>
    <row r="183" spans="1:6" ht="15" customHeight="1" x14ac:dyDescent="0.3">
      <c r="A183" s="25">
        <f>RANK('Final Sample'!I183,'Final Sample'!$I$2:$I$612,0)+(COUNTIF('Final Sample'!$I$2:$I$612,'Final Sample'!I183)-1)/2</f>
        <v>49.5</v>
      </c>
      <c r="B183" s="25">
        <f>RANK('Final Sample'!J183,'Final Sample'!$J$2:$J$612,0)+(COUNTIF('Final Sample'!$J$2:$J$612,'Final Sample'!J183)-1)/2</f>
        <v>43</v>
      </c>
      <c r="C183" s="25">
        <f>RANK('Final Sample'!AA183,'Final Sample'!$AA$2:$AA$612,0)+(COUNTIF('Final Sample'!$AA$2:$AA$612,'Final Sample'!AA183)-1)/2</f>
        <v>417</v>
      </c>
      <c r="D183" s="25">
        <f>RANK('Final Sample'!R183,'Final Sample'!$R$2:$R$612,0)+(COUNTIF('Final Sample'!$R$2:$R$612,'Final Sample'!R183)-1)/2</f>
        <v>38</v>
      </c>
      <c r="E183" s="25">
        <f>RANK('Final Sample'!AB183,'Final Sample'!$AB$2:$AB$612,0)+(COUNTIF('Final Sample'!$AB$2:$AB$612,'Final Sample'!AB183)-1)/2</f>
        <v>130</v>
      </c>
      <c r="F183" s="25">
        <f>RANK('Final Sample'!V183,'Final Sample'!$V$2:$V$612,0)+(COUNTIF('Final Sample'!$V$2:$V$612,'Final Sample'!V183)-1)/2</f>
        <v>576.5</v>
      </c>
    </row>
    <row r="184" spans="1:6" ht="15" customHeight="1" x14ac:dyDescent="0.3">
      <c r="A184" s="25">
        <f>RANK('Final Sample'!I184,'Final Sample'!$I$2:$I$612,0)+(COUNTIF('Final Sample'!$I$2:$I$612,'Final Sample'!I184)-1)/2</f>
        <v>29.5</v>
      </c>
      <c r="B184" s="25">
        <f>RANK('Final Sample'!J184,'Final Sample'!$J$2:$J$612,0)+(COUNTIF('Final Sample'!$J$2:$J$612,'Final Sample'!J184)-1)/2</f>
        <v>24</v>
      </c>
      <c r="C184" s="25">
        <f>RANK('Final Sample'!AA184,'Final Sample'!$AA$2:$AA$612,0)+(COUNTIF('Final Sample'!$AA$2:$AA$612,'Final Sample'!AA184)-1)/2</f>
        <v>413</v>
      </c>
      <c r="D184" s="25">
        <f>RANK('Final Sample'!R184,'Final Sample'!$R$2:$R$612,0)+(COUNTIF('Final Sample'!$R$2:$R$612,'Final Sample'!R184)-1)/2</f>
        <v>37</v>
      </c>
      <c r="E184" s="25">
        <f>RANK('Final Sample'!AB184,'Final Sample'!$AB$2:$AB$612,0)+(COUNTIF('Final Sample'!$AB$2:$AB$612,'Final Sample'!AB184)-1)/2</f>
        <v>146</v>
      </c>
      <c r="F184" s="25">
        <f>RANK('Final Sample'!V184,'Final Sample'!$V$2:$V$612,0)+(COUNTIF('Final Sample'!$V$2:$V$612,'Final Sample'!V184)-1)/2</f>
        <v>569.5</v>
      </c>
    </row>
    <row r="185" spans="1:6" ht="15" customHeight="1" x14ac:dyDescent="0.3">
      <c r="A185" s="25">
        <f>RANK('Final Sample'!I185,'Final Sample'!$I$2:$I$612,0)+(COUNTIF('Final Sample'!$I$2:$I$612,'Final Sample'!I185)-1)/2</f>
        <v>73.5</v>
      </c>
      <c r="B185" s="25">
        <f>RANK('Final Sample'!J185,'Final Sample'!$J$2:$J$612,0)+(COUNTIF('Final Sample'!$J$2:$J$612,'Final Sample'!J185)-1)/2</f>
        <v>64.5</v>
      </c>
      <c r="C185" s="25">
        <f>RANK('Final Sample'!AA185,'Final Sample'!$AA$2:$AA$612,0)+(COUNTIF('Final Sample'!$AA$2:$AA$612,'Final Sample'!AA185)-1)/2</f>
        <v>459</v>
      </c>
      <c r="D185" s="25">
        <f>RANK('Final Sample'!R185,'Final Sample'!$R$2:$R$612,0)+(COUNTIF('Final Sample'!$R$2:$R$612,'Final Sample'!R185)-1)/2</f>
        <v>60</v>
      </c>
      <c r="E185" s="25">
        <f>RANK('Final Sample'!AB185,'Final Sample'!$AB$2:$AB$612,0)+(COUNTIF('Final Sample'!$AB$2:$AB$612,'Final Sample'!AB185)-1)/2</f>
        <v>118</v>
      </c>
      <c r="F185" s="25">
        <f>RANK('Final Sample'!V185,'Final Sample'!$V$2:$V$612,0)+(COUNTIF('Final Sample'!$V$2:$V$612,'Final Sample'!V185)-1)/2</f>
        <v>356.5</v>
      </c>
    </row>
    <row r="186" spans="1:6" ht="15" customHeight="1" x14ac:dyDescent="0.3">
      <c r="A186" s="25">
        <f>RANK('Final Sample'!I186,'Final Sample'!$I$2:$I$612,0)+(COUNTIF('Final Sample'!$I$2:$I$612,'Final Sample'!I186)-1)/2</f>
        <v>73.5</v>
      </c>
      <c r="B186" s="25">
        <f>RANK('Final Sample'!J186,'Final Sample'!$J$2:$J$612,0)+(COUNTIF('Final Sample'!$J$2:$J$612,'Final Sample'!J186)-1)/2</f>
        <v>64.5</v>
      </c>
      <c r="C186" s="25">
        <f>RANK('Final Sample'!AA186,'Final Sample'!$AA$2:$AA$612,0)+(COUNTIF('Final Sample'!$AA$2:$AA$612,'Final Sample'!AA186)-1)/2</f>
        <v>433</v>
      </c>
      <c r="D186" s="25">
        <f>RANK('Final Sample'!R186,'Final Sample'!$R$2:$R$612,0)+(COUNTIF('Final Sample'!$R$2:$R$612,'Final Sample'!R186)-1)/2</f>
        <v>55</v>
      </c>
      <c r="E186" s="25">
        <f>RANK('Final Sample'!AB186,'Final Sample'!$AB$2:$AB$612,0)+(COUNTIF('Final Sample'!$AB$2:$AB$612,'Final Sample'!AB186)-1)/2</f>
        <v>104</v>
      </c>
      <c r="F186" s="25">
        <f>RANK('Final Sample'!V186,'Final Sample'!$V$2:$V$612,0)+(COUNTIF('Final Sample'!$V$2:$V$612,'Final Sample'!V186)-1)/2</f>
        <v>344</v>
      </c>
    </row>
    <row r="187" spans="1:6" ht="15" customHeight="1" x14ac:dyDescent="0.3">
      <c r="A187" s="25">
        <f>RANK('Final Sample'!I187,'Final Sample'!$I$2:$I$612,0)+(COUNTIF('Final Sample'!$I$2:$I$612,'Final Sample'!I187)-1)/2</f>
        <v>15</v>
      </c>
      <c r="B187" s="25">
        <f>RANK('Final Sample'!J187,'Final Sample'!$J$2:$J$612,0)+(COUNTIF('Final Sample'!$J$2:$J$612,'Final Sample'!J187)-1)/2</f>
        <v>7</v>
      </c>
      <c r="C187" s="25">
        <f>RANK('Final Sample'!AA187,'Final Sample'!$AA$2:$AA$612,0)+(COUNTIF('Final Sample'!$AA$2:$AA$612,'Final Sample'!AA187)-1)/2</f>
        <v>396</v>
      </c>
      <c r="D187" s="25">
        <f>RANK('Final Sample'!R187,'Final Sample'!$R$2:$R$612,0)+(COUNTIF('Final Sample'!$R$2:$R$612,'Final Sample'!R187)-1)/2</f>
        <v>44</v>
      </c>
      <c r="E187" s="25">
        <f>RANK('Final Sample'!AB187,'Final Sample'!$AB$2:$AB$612,0)+(COUNTIF('Final Sample'!$AB$2:$AB$612,'Final Sample'!AB187)-1)/2</f>
        <v>95</v>
      </c>
      <c r="F187" s="25">
        <f>RANK('Final Sample'!V187,'Final Sample'!$V$2:$V$612,0)+(COUNTIF('Final Sample'!$V$2:$V$612,'Final Sample'!V187)-1)/2</f>
        <v>335</v>
      </c>
    </row>
    <row r="188" spans="1:6" ht="15" customHeight="1" x14ac:dyDescent="0.3">
      <c r="A188" s="25">
        <f>RANK('Final Sample'!I188,'Final Sample'!$I$2:$I$612,0)+(COUNTIF('Final Sample'!$I$2:$I$612,'Final Sample'!I188)-1)/2</f>
        <v>3</v>
      </c>
      <c r="B188" s="25">
        <f>RANK('Final Sample'!J188,'Final Sample'!$J$2:$J$612,0)+(COUNTIF('Final Sample'!$J$2:$J$612,'Final Sample'!J188)-1)/2</f>
        <v>13</v>
      </c>
      <c r="C188" s="25">
        <f>RANK('Final Sample'!AA188,'Final Sample'!$AA$2:$AA$612,0)+(COUNTIF('Final Sample'!$AA$2:$AA$612,'Final Sample'!AA188)-1)/2</f>
        <v>380</v>
      </c>
      <c r="D188" s="25">
        <f>RANK('Final Sample'!R188,'Final Sample'!$R$2:$R$612,0)+(COUNTIF('Final Sample'!$R$2:$R$612,'Final Sample'!R188)-1)/2</f>
        <v>33</v>
      </c>
      <c r="E188" s="25">
        <f>RANK('Final Sample'!AB188,'Final Sample'!$AB$2:$AB$612,0)+(COUNTIF('Final Sample'!$AB$2:$AB$612,'Final Sample'!AB188)-1)/2</f>
        <v>138</v>
      </c>
      <c r="F188" s="25">
        <f>RANK('Final Sample'!V188,'Final Sample'!$V$2:$V$612,0)+(COUNTIF('Final Sample'!$V$2:$V$612,'Final Sample'!V188)-1)/2</f>
        <v>326</v>
      </c>
    </row>
    <row r="189" spans="1:6" ht="15" customHeight="1" x14ac:dyDescent="0.3">
      <c r="A189" s="25">
        <f>RANK('Final Sample'!I189,'Final Sample'!$I$2:$I$612,0)+(COUNTIF('Final Sample'!$I$2:$I$612,'Final Sample'!I189)-1)/2</f>
        <v>236</v>
      </c>
      <c r="B189" s="25">
        <f>RANK('Final Sample'!J189,'Final Sample'!$J$2:$J$612,0)+(COUNTIF('Final Sample'!$J$2:$J$612,'Final Sample'!J189)-1)/2</f>
        <v>359</v>
      </c>
      <c r="C189" s="25">
        <f>RANK('Final Sample'!AA189,'Final Sample'!$AA$2:$AA$612,0)+(COUNTIF('Final Sample'!$AA$2:$AA$612,'Final Sample'!AA189)-1)/2</f>
        <v>381</v>
      </c>
      <c r="D189" s="25">
        <f>RANK('Final Sample'!R189,'Final Sample'!$R$2:$R$612,0)+(COUNTIF('Final Sample'!$R$2:$R$612,'Final Sample'!R189)-1)/2</f>
        <v>28</v>
      </c>
      <c r="E189" s="25">
        <f>RANK('Final Sample'!AB189,'Final Sample'!$AB$2:$AB$612,0)+(COUNTIF('Final Sample'!$AB$2:$AB$612,'Final Sample'!AB189)-1)/2</f>
        <v>141</v>
      </c>
      <c r="F189" s="25">
        <f>RANK('Final Sample'!V189,'Final Sample'!$V$2:$V$612,0)+(COUNTIF('Final Sample'!$V$2:$V$612,'Final Sample'!V189)-1)/2</f>
        <v>318.5</v>
      </c>
    </row>
    <row r="190" spans="1:6" ht="15" customHeight="1" x14ac:dyDescent="0.3">
      <c r="A190" s="25">
        <f>RANK('Final Sample'!I190,'Final Sample'!$I$2:$I$612,0)+(COUNTIF('Final Sample'!$I$2:$I$612,'Final Sample'!I190)-1)/2</f>
        <v>441.5</v>
      </c>
      <c r="B190" s="25">
        <f>RANK('Final Sample'!J190,'Final Sample'!$J$2:$J$612,0)+(COUNTIF('Final Sample'!$J$2:$J$612,'Final Sample'!J190)-1)/2</f>
        <v>359</v>
      </c>
      <c r="C190" s="25">
        <f>RANK('Final Sample'!AA190,'Final Sample'!$AA$2:$AA$612,0)+(COUNTIF('Final Sample'!$AA$2:$AA$612,'Final Sample'!AA190)-1)/2</f>
        <v>478</v>
      </c>
      <c r="D190" s="25">
        <f>RANK('Final Sample'!R190,'Final Sample'!$R$2:$R$612,0)+(COUNTIF('Final Sample'!$R$2:$R$612,'Final Sample'!R190)-1)/2</f>
        <v>322</v>
      </c>
      <c r="E190" s="25">
        <f>RANK('Final Sample'!AB190,'Final Sample'!$AB$2:$AB$612,0)+(COUNTIF('Final Sample'!$AB$2:$AB$612,'Final Sample'!AB190)-1)/2</f>
        <v>373</v>
      </c>
      <c r="F190" s="25">
        <f>RANK('Final Sample'!V190,'Final Sample'!$V$2:$V$612,0)+(COUNTIF('Final Sample'!$V$2:$V$612,'Final Sample'!V190)-1)/2</f>
        <v>466</v>
      </c>
    </row>
    <row r="191" spans="1:6" ht="15" customHeight="1" x14ac:dyDescent="0.3">
      <c r="A191" s="25">
        <f>RANK('Final Sample'!I191,'Final Sample'!$I$2:$I$612,0)+(COUNTIF('Final Sample'!$I$2:$I$612,'Final Sample'!I191)-1)/2</f>
        <v>95</v>
      </c>
      <c r="B191" s="25">
        <f>RANK('Final Sample'!J191,'Final Sample'!$J$2:$J$612,0)+(COUNTIF('Final Sample'!$J$2:$J$612,'Final Sample'!J191)-1)/2</f>
        <v>359</v>
      </c>
      <c r="C191" s="25">
        <f>RANK('Final Sample'!AA191,'Final Sample'!$AA$2:$AA$612,0)+(COUNTIF('Final Sample'!$AA$2:$AA$612,'Final Sample'!AA191)-1)/2</f>
        <v>356</v>
      </c>
      <c r="D191" s="25">
        <f>RANK('Final Sample'!R191,'Final Sample'!$R$2:$R$612,0)+(COUNTIF('Final Sample'!$R$2:$R$612,'Final Sample'!R191)-1)/2</f>
        <v>295</v>
      </c>
      <c r="E191" s="25">
        <f>RANK('Final Sample'!AB191,'Final Sample'!$AB$2:$AB$612,0)+(COUNTIF('Final Sample'!$AB$2:$AB$612,'Final Sample'!AB191)-1)/2</f>
        <v>352</v>
      </c>
      <c r="F191" s="25">
        <f>RANK('Final Sample'!V191,'Final Sample'!$V$2:$V$612,0)+(COUNTIF('Final Sample'!$V$2:$V$612,'Final Sample'!V191)-1)/2</f>
        <v>460</v>
      </c>
    </row>
    <row r="192" spans="1:6" ht="15" customHeight="1" x14ac:dyDescent="0.3">
      <c r="A192" s="25">
        <f>RANK('Final Sample'!I192,'Final Sample'!$I$2:$I$612,0)+(COUNTIF('Final Sample'!$I$2:$I$612,'Final Sample'!I192)-1)/2</f>
        <v>84</v>
      </c>
      <c r="B192" s="25">
        <f>RANK('Final Sample'!J192,'Final Sample'!$J$2:$J$612,0)+(COUNTIF('Final Sample'!$J$2:$J$612,'Final Sample'!J192)-1)/2</f>
        <v>359</v>
      </c>
      <c r="C192" s="25">
        <f>RANK('Final Sample'!AA192,'Final Sample'!$AA$2:$AA$612,0)+(COUNTIF('Final Sample'!$AA$2:$AA$612,'Final Sample'!AA192)-1)/2</f>
        <v>244</v>
      </c>
      <c r="D192" s="25">
        <f>RANK('Final Sample'!R192,'Final Sample'!$R$2:$R$612,0)+(COUNTIF('Final Sample'!$R$2:$R$612,'Final Sample'!R192)-1)/2</f>
        <v>265</v>
      </c>
      <c r="E192" s="25">
        <f>RANK('Final Sample'!AB192,'Final Sample'!$AB$2:$AB$612,0)+(COUNTIF('Final Sample'!$AB$2:$AB$612,'Final Sample'!AB192)-1)/2</f>
        <v>292</v>
      </c>
      <c r="F192" s="25">
        <f>RANK('Final Sample'!V192,'Final Sample'!$V$2:$V$612,0)+(COUNTIF('Final Sample'!$V$2:$V$612,'Final Sample'!V192)-1)/2</f>
        <v>451</v>
      </c>
    </row>
    <row r="193" spans="1:6" ht="15" customHeight="1" x14ac:dyDescent="0.3">
      <c r="A193" s="25">
        <f>RANK('Final Sample'!I193,'Final Sample'!$I$2:$I$612,0)+(COUNTIF('Final Sample'!$I$2:$I$612,'Final Sample'!I193)-1)/2</f>
        <v>95</v>
      </c>
      <c r="B193" s="25">
        <f>RANK('Final Sample'!J193,'Final Sample'!$J$2:$J$612,0)+(COUNTIF('Final Sample'!$J$2:$J$612,'Final Sample'!J193)-1)/2</f>
        <v>359</v>
      </c>
      <c r="C193" s="25">
        <f>RANK('Final Sample'!AA193,'Final Sample'!$AA$2:$AA$612,0)+(COUNTIF('Final Sample'!$AA$2:$AA$612,'Final Sample'!AA193)-1)/2</f>
        <v>297</v>
      </c>
      <c r="D193" s="25">
        <f>RANK('Final Sample'!R193,'Final Sample'!$R$2:$R$612,0)+(COUNTIF('Final Sample'!$R$2:$R$612,'Final Sample'!R193)-1)/2</f>
        <v>252</v>
      </c>
      <c r="E193" s="25">
        <f>RANK('Final Sample'!AB193,'Final Sample'!$AB$2:$AB$612,0)+(COUNTIF('Final Sample'!$AB$2:$AB$612,'Final Sample'!AB193)-1)/2</f>
        <v>283</v>
      </c>
      <c r="F193" s="25">
        <f>RANK('Final Sample'!V193,'Final Sample'!$V$2:$V$612,0)+(COUNTIF('Final Sample'!$V$2:$V$612,'Final Sample'!V193)-1)/2</f>
        <v>440</v>
      </c>
    </row>
    <row r="194" spans="1:6" ht="15" customHeight="1" x14ac:dyDescent="0.3">
      <c r="A194" s="25">
        <f>RANK('Final Sample'!I194,'Final Sample'!$I$2:$I$612,0)+(COUNTIF('Final Sample'!$I$2:$I$612,'Final Sample'!I194)-1)/2</f>
        <v>95</v>
      </c>
      <c r="B194" s="25">
        <f>RANK('Final Sample'!J194,'Final Sample'!$J$2:$J$612,0)+(COUNTIF('Final Sample'!$J$2:$J$612,'Final Sample'!J194)-1)/2</f>
        <v>359</v>
      </c>
      <c r="C194" s="25">
        <f>RANK('Final Sample'!AA194,'Final Sample'!$AA$2:$AA$612,0)+(COUNTIF('Final Sample'!$AA$2:$AA$612,'Final Sample'!AA194)-1)/2</f>
        <v>100</v>
      </c>
      <c r="D194" s="25">
        <f>RANK('Final Sample'!R194,'Final Sample'!$R$2:$R$612,0)+(COUNTIF('Final Sample'!$R$2:$R$612,'Final Sample'!R194)-1)/2</f>
        <v>239</v>
      </c>
      <c r="E194" s="25">
        <f>RANK('Final Sample'!AB194,'Final Sample'!$AB$2:$AB$612,0)+(COUNTIF('Final Sample'!$AB$2:$AB$612,'Final Sample'!AB194)-1)/2</f>
        <v>344</v>
      </c>
      <c r="F194" s="25">
        <f>RANK('Final Sample'!V194,'Final Sample'!$V$2:$V$612,0)+(COUNTIF('Final Sample'!$V$2:$V$612,'Final Sample'!V194)-1)/2</f>
        <v>425.5</v>
      </c>
    </row>
    <row r="195" spans="1:6" ht="15" customHeight="1" x14ac:dyDescent="0.3">
      <c r="A195" s="25">
        <f>RANK('Final Sample'!I195,'Final Sample'!$I$2:$I$612,0)+(COUNTIF('Final Sample'!$I$2:$I$612,'Final Sample'!I195)-1)/2</f>
        <v>95</v>
      </c>
      <c r="B195" s="25">
        <f>RANK('Final Sample'!J195,'Final Sample'!$J$2:$J$612,0)+(COUNTIF('Final Sample'!$J$2:$J$612,'Final Sample'!J195)-1)/2</f>
        <v>359</v>
      </c>
      <c r="C195" s="25">
        <f>RANK('Final Sample'!AA195,'Final Sample'!$AA$2:$AA$612,0)+(COUNTIF('Final Sample'!$AA$2:$AA$612,'Final Sample'!AA195)-1)/2</f>
        <v>434</v>
      </c>
      <c r="D195" s="25">
        <f>RANK('Final Sample'!R195,'Final Sample'!$R$2:$R$612,0)+(COUNTIF('Final Sample'!$R$2:$R$612,'Final Sample'!R195)-1)/2</f>
        <v>32</v>
      </c>
      <c r="E195" s="25">
        <f>RANK('Final Sample'!AB195,'Final Sample'!$AB$2:$AB$612,0)+(COUNTIF('Final Sample'!$AB$2:$AB$612,'Final Sample'!AB195)-1)/2</f>
        <v>133</v>
      </c>
      <c r="F195" s="25">
        <f>RANK('Final Sample'!V195,'Final Sample'!$V$2:$V$612,0)+(COUNTIF('Final Sample'!$V$2:$V$612,'Final Sample'!V195)-1)/2</f>
        <v>576.5</v>
      </c>
    </row>
    <row r="196" spans="1:6" ht="15" customHeight="1" x14ac:dyDescent="0.3">
      <c r="A196" s="25">
        <f>RANK('Final Sample'!I196,'Final Sample'!$I$2:$I$612,0)+(COUNTIF('Final Sample'!$I$2:$I$612,'Final Sample'!I196)-1)/2</f>
        <v>58.5</v>
      </c>
      <c r="B196" s="25">
        <f>RANK('Final Sample'!J196,'Final Sample'!$J$2:$J$612,0)+(COUNTIF('Final Sample'!$J$2:$J$612,'Final Sample'!J196)-1)/2</f>
        <v>359</v>
      </c>
      <c r="C196" s="25">
        <f>RANK('Final Sample'!AA196,'Final Sample'!$AA$2:$AA$612,0)+(COUNTIF('Final Sample'!$AA$2:$AA$612,'Final Sample'!AA196)-1)/2</f>
        <v>439</v>
      </c>
      <c r="D196" s="25">
        <f>RANK('Final Sample'!R196,'Final Sample'!$R$2:$R$612,0)+(COUNTIF('Final Sample'!$R$2:$R$612,'Final Sample'!R196)-1)/2</f>
        <v>26</v>
      </c>
      <c r="E196" s="25">
        <f>RANK('Final Sample'!AB196,'Final Sample'!$AB$2:$AB$612,0)+(COUNTIF('Final Sample'!$AB$2:$AB$612,'Final Sample'!AB196)-1)/2</f>
        <v>125</v>
      </c>
      <c r="F196" s="25">
        <f>RANK('Final Sample'!V196,'Final Sample'!$V$2:$V$612,0)+(COUNTIF('Final Sample'!$V$2:$V$612,'Final Sample'!V196)-1)/2</f>
        <v>569.5</v>
      </c>
    </row>
    <row r="197" spans="1:6" ht="15" customHeight="1" x14ac:dyDescent="0.3">
      <c r="A197" s="25">
        <f>RANK('Final Sample'!I197,'Final Sample'!$I$2:$I$612,0)+(COUNTIF('Final Sample'!$I$2:$I$612,'Final Sample'!I197)-1)/2</f>
        <v>29.5</v>
      </c>
      <c r="B197" s="25">
        <f>RANK('Final Sample'!J197,'Final Sample'!$J$2:$J$612,0)+(COUNTIF('Final Sample'!$J$2:$J$612,'Final Sample'!J197)-1)/2</f>
        <v>29</v>
      </c>
      <c r="C197" s="25">
        <f>RANK('Final Sample'!AA197,'Final Sample'!$AA$2:$AA$612,0)+(COUNTIF('Final Sample'!$AA$2:$AA$612,'Final Sample'!AA197)-1)/2</f>
        <v>430</v>
      </c>
      <c r="D197" s="25">
        <f>RANK('Final Sample'!R197,'Final Sample'!$R$2:$R$612,0)+(COUNTIF('Final Sample'!$R$2:$R$612,'Final Sample'!R197)-1)/2</f>
        <v>17</v>
      </c>
      <c r="E197" s="25">
        <f>RANK('Final Sample'!AB197,'Final Sample'!$AB$2:$AB$612,0)+(COUNTIF('Final Sample'!$AB$2:$AB$612,'Final Sample'!AB197)-1)/2</f>
        <v>139</v>
      </c>
      <c r="F197" s="25">
        <f>RANK('Final Sample'!V197,'Final Sample'!$V$2:$V$612,0)+(COUNTIF('Final Sample'!$V$2:$V$612,'Final Sample'!V197)-1)/2</f>
        <v>561</v>
      </c>
    </row>
    <row r="198" spans="1:6" ht="15" customHeight="1" x14ac:dyDescent="0.3">
      <c r="A198" s="25">
        <f>RANK('Final Sample'!I198,'Final Sample'!$I$2:$I$612,0)+(COUNTIF('Final Sample'!$I$2:$I$612,'Final Sample'!I198)-1)/2</f>
        <v>186.5</v>
      </c>
      <c r="B198" s="25">
        <f>RANK('Final Sample'!J198,'Final Sample'!$J$2:$J$612,0)+(COUNTIF('Final Sample'!$J$2:$J$612,'Final Sample'!J198)-1)/2</f>
        <v>359</v>
      </c>
      <c r="C198" s="25">
        <f>RANK('Final Sample'!AA198,'Final Sample'!$AA$2:$AA$612,0)+(COUNTIF('Final Sample'!$AA$2:$AA$612,'Final Sample'!AA198)-1)/2</f>
        <v>454</v>
      </c>
      <c r="D198" s="25">
        <f>RANK('Final Sample'!R198,'Final Sample'!$R$2:$R$612,0)+(COUNTIF('Final Sample'!$R$2:$R$612,'Final Sample'!R198)-1)/2</f>
        <v>11</v>
      </c>
      <c r="E198" s="25">
        <f>RANK('Final Sample'!AB198,'Final Sample'!$AB$2:$AB$612,0)+(COUNTIF('Final Sample'!$AB$2:$AB$612,'Final Sample'!AB198)-1)/2</f>
        <v>143</v>
      </c>
      <c r="F198" s="25">
        <f>RANK('Final Sample'!V198,'Final Sample'!$V$2:$V$612,0)+(COUNTIF('Final Sample'!$V$2:$V$612,'Final Sample'!V198)-1)/2</f>
        <v>553.5</v>
      </c>
    </row>
    <row r="199" spans="1:6" ht="15" customHeight="1" x14ac:dyDescent="0.3">
      <c r="A199" s="25">
        <f>RANK('Final Sample'!I199,'Final Sample'!$I$2:$I$612,0)+(COUNTIF('Final Sample'!$I$2:$I$612,'Final Sample'!I199)-1)/2</f>
        <v>146.5</v>
      </c>
      <c r="B199" s="25">
        <f>RANK('Final Sample'!J199,'Final Sample'!$J$2:$J$612,0)+(COUNTIF('Final Sample'!$J$2:$J$612,'Final Sample'!J199)-1)/2</f>
        <v>79.5</v>
      </c>
      <c r="C199" s="25">
        <f>RANK('Final Sample'!AA199,'Final Sample'!$AA$2:$AA$612,0)+(COUNTIF('Final Sample'!$AA$2:$AA$612,'Final Sample'!AA199)-1)/2</f>
        <v>414</v>
      </c>
      <c r="D199" s="25">
        <f>RANK('Final Sample'!R199,'Final Sample'!$R$2:$R$612,0)+(COUNTIF('Final Sample'!$R$2:$R$612,'Final Sample'!R199)-1)/2</f>
        <v>9</v>
      </c>
      <c r="E199" s="25">
        <f>RANK('Final Sample'!AB199,'Final Sample'!$AB$2:$AB$612,0)+(COUNTIF('Final Sample'!$AB$2:$AB$612,'Final Sample'!AB199)-1)/2</f>
        <v>157</v>
      </c>
      <c r="F199" s="25">
        <f>RANK('Final Sample'!V199,'Final Sample'!$V$2:$V$612,0)+(COUNTIF('Final Sample'!$V$2:$V$612,'Final Sample'!V199)-1)/2</f>
        <v>546.5</v>
      </c>
    </row>
    <row r="200" spans="1:6" ht="15" customHeight="1" x14ac:dyDescent="0.3">
      <c r="A200" s="25">
        <f>RANK('Final Sample'!I200,'Final Sample'!$I$2:$I$612,0)+(COUNTIF('Final Sample'!$I$2:$I$612,'Final Sample'!I200)-1)/2</f>
        <v>441.5</v>
      </c>
      <c r="B200" s="25">
        <f>RANK('Final Sample'!J200,'Final Sample'!$J$2:$J$612,0)+(COUNTIF('Final Sample'!$J$2:$J$612,'Final Sample'!J200)-1)/2</f>
        <v>359</v>
      </c>
      <c r="C200" s="25">
        <f>RANK('Final Sample'!AA200,'Final Sample'!$AA$2:$AA$612,0)+(COUNTIF('Final Sample'!$AA$2:$AA$612,'Final Sample'!AA200)-1)/2</f>
        <v>145</v>
      </c>
      <c r="D200" s="25">
        <f>RANK('Final Sample'!R200,'Final Sample'!$R$2:$R$612,0)+(COUNTIF('Final Sample'!$R$2:$R$612,'Final Sample'!R200)-1)/2</f>
        <v>490</v>
      </c>
      <c r="E200" s="25">
        <f>RANK('Final Sample'!AB200,'Final Sample'!$AB$2:$AB$612,0)+(COUNTIF('Final Sample'!$AB$2:$AB$612,'Final Sample'!AB200)-1)/2</f>
        <v>36</v>
      </c>
      <c r="F200" s="25">
        <f>RANK('Final Sample'!V200,'Final Sample'!$V$2:$V$612,0)+(COUNTIF('Final Sample'!$V$2:$V$612,'Final Sample'!V200)-1)/2</f>
        <v>303</v>
      </c>
    </row>
    <row r="201" spans="1:6" ht="15" customHeight="1" x14ac:dyDescent="0.3">
      <c r="A201" s="25">
        <f>RANK('Final Sample'!I201,'Final Sample'!$I$2:$I$612,0)+(COUNTIF('Final Sample'!$I$2:$I$612,'Final Sample'!I201)-1)/2</f>
        <v>441.5</v>
      </c>
      <c r="B201" s="25">
        <f>RANK('Final Sample'!J201,'Final Sample'!$J$2:$J$612,0)+(COUNTIF('Final Sample'!$J$2:$J$612,'Final Sample'!J201)-1)/2</f>
        <v>359</v>
      </c>
      <c r="C201" s="25">
        <f>RANK('Final Sample'!AA201,'Final Sample'!$AA$2:$AA$612,0)+(COUNTIF('Final Sample'!$AA$2:$AA$612,'Final Sample'!AA201)-1)/2</f>
        <v>94</v>
      </c>
      <c r="D201" s="25">
        <f>RANK('Final Sample'!R201,'Final Sample'!$R$2:$R$612,0)+(COUNTIF('Final Sample'!$R$2:$R$612,'Final Sample'!R201)-1)/2</f>
        <v>510</v>
      </c>
      <c r="E201" s="25">
        <f>RANK('Final Sample'!AB201,'Final Sample'!$AB$2:$AB$612,0)+(COUNTIF('Final Sample'!$AB$2:$AB$612,'Final Sample'!AB201)-1)/2</f>
        <v>25</v>
      </c>
      <c r="F201" s="25">
        <f>RANK('Final Sample'!V201,'Final Sample'!$V$2:$V$612,0)+(COUNTIF('Final Sample'!$V$2:$V$612,'Final Sample'!V201)-1)/2</f>
        <v>293.5</v>
      </c>
    </row>
    <row r="202" spans="1:6" ht="15" customHeight="1" x14ac:dyDescent="0.3">
      <c r="A202" s="25">
        <f>RANK('Final Sample'!I202,'Final Sample'!$I$2:$I$612,0)+(COUNTIF('Final Sample'!$I$2:$I$612,'Final Sample'!I202)-1)/2</f>
        <v>441.5</v>
      </c>
      <c r="B202" s="25">
        <f>RANK('Final Sample'!J202,'Final Sample'!$J$2:$J$612,0)+(COUNTIF('Final Sample'!$J$2:$J$612,'Final Sample'!J202)-1)/2</f>
        <v>359</v>
      </c>
      <c r="C202" s="25">
        <f>RANK('Final Sample'!AA202,'Final Sample'!$AA$2:$AA$612,0)+(COUNTIF('Final Sample'!$AA$2:$AA$612,'Final Sample'!AA202)-1)/2</f>
        <v>106</v>
      </c>
      <c r="D202" s="25">
        <f>RANK('Final Sample'!R202,'Final Sample'!$R$2:$R$612,0)+(COUNTIF('Final Sample'!$R$2:$R$612,'Final Sample'!R202)-1)/2</f>
        <v>494</v>
      </c>
      <c r="E202" s="25">
        <f>RANK('Final Sample'!AB202,'Final Sample'!$AB$2:$AB$612,0)+(COUNTIF('Final Sample'!$AB$2:$AB$612,'Final Sample'!AB202)-1)/2</f>
        <v>28</v>
      </c>
      <c r="F202" s="25">
        <f>RANK('Final Sample'!V202,'Final Sample'!$V$2:$V$612,0)+(COUNTIF('Final Sample'!$V$2:$V$612,'Final Sample'!V202)-1)/2</f>
        <v>282.5</v>
      </c>
    </row>
    <row r="203" spans="1:6" ht="15" customHeight="1" x14ac:dyDescent="0.3">
      <c r="A203" s="25">
        <f>RANK('Final Sample'!I203,'Final Sample'!$I$2:$I$612,0)+(COUNTIF('Final Sample'!$I$2:$I$612,'Final Sample'!I203)-1)/2</f>
        <v>441.5</v>
      </c>
      <c r="B203" s="25">
        <f>RANK('Final Sample'!J203,'Final Sample'!$J$2:$J$612,0)+(COUNTIF('Final Sample'!$J$2:$J$612,'Final Sample'!J203)-1)/2</f>
        <v>359</v>
      </c>
      <c r="C203" s="25">
        <f>RANK('Final Sample'!AA203,'Final Sample'!$AA$2:$AA$612,0)+(COUNTIF('Final Sample'!$AA$2:$AA$612,'Final Sample'!AA203)-1)/2</f>
        <v>248</v>
      </c>
      <c r="D203" s="25">
        <f>RANK('Final Sample'!R203,'Final Sample'!$R$2:$R$612,0)+(COUNTIF('Final Sample'!$R$2:$R$612,'Final Sample'!R203)-1)/2</f>
        <v>435</v>
      </c>
      <c r="E203" s="25">
        <f>RANK('Final Sample'!AB203,'Final Sample'!$AB$2:$AB$612,0)+(COUNTIF('Final Sample'!$AB$2:$AB$612,'Final Sample'!AB203)-1)/2</f>
        <v>58</v>
      </c>
      <c r="F203" s="25">
        <f>RANK('Final Sample'!V203,'Final Sample'!$V$2:$V$612,0)+(COUNTIF('Final Sample'!$V$2:$V$612,'Final Sample'!V203)-1)/2</f>
        <v>270.5</v>
      </c>
    </row>
    <row r="204" spans="1:6" ht="15" customHeight="1" x14ac:dyDescent="0.3">
      <c r="A204" s="25">
        <f>RANK('Final Sample'!I204,'Final Sample'!$I$2:$I$612,0)+(COUNTIF('Final Sample'!$I$2:$I$612,'Final Sample'!I204)-1)/2</f>
        <v>441.5</v>
      </c>
      <c r="B204" s="25">
        <f>RANK('Final Sample'!J204,'Final Sample'!$J$2:$J$612,0)+(COUNTIF('Final Sample'!$J$2:$J$612,'Final Sample'!J204)-1)/2</f>
        <v>359</v>
      </c>
      <c r="C204" s="25">
        <f>RANK('Final Sample'!AA204,'Final Sample'!$AA$2:$AA$612,0)+(COUNTIF('Final Sample'!$AA$2:$AA$612,'Final Sample'!AA204)-1)/2</f>
        <v>554</v>
      </c>
      <c r="D204" s="25">
        <f>RANK('Final Sample'!R204,'Final Sample'!$R$2:$R$612,0)+(COUNTIF('Final Sample'!$R$2:$R$612,'Final Sample'!R204)-1)/2</f>
        <v>349</v>
      </c>
      <c r="E204" s="25">
        <f>RANK('Final Sample'!AB204,'Final Sample'!$AB$2:$AB$612,0)+(COUNTIF('Final Sample'!$AB$2:$AB$612,'Final Sample'!AB204)-1)/2</f>
        <v>343</v>
      </c>
      <c r="F204" s="25">
        <f>RANK('Final Sample'!V204,'Final Sample'!$V$2:$V$612,0)+(COUNTIF('Final Sample'!$V$2:$V$612,'Final Sample'!V204)-1)/2</f>
        <v>260</v>
      </c>
    </row>
    <row r="205" spans="1:6" ht="15" customHeight="1" x14ac:dyDescent="0.3">
      <c r="A205" s="25">
        <f>RANK('Final Sample'!I205,'Final Sample'!$I$2:$I$612,0)+(COUNTIF('Final Sample'!$I$2:$I$612,'Final Sample'!I205)-1)/2</f>
        <v>441.5</v>
      </c>
      <c r="B205" s="25">
        <f>RANK('Final Sample'!J205,'Final Sample'!$J$2:$J$612,0)+(COUNTIF('Final Sample'!$J$2:$J$612,'Final Sample'!J205)-1)/2</f>
        <v>359</v>
      </c>
      <c r="C205" s="25">
        <f>RANK('Final Sample'!AA205,'Final Sample'!$AA$2:$AA$612,0)+(COUNTIF('Final Sample'!$AA$2:$AA$612,'Final Sample'!AA205)-1)/2</f>
        <v>214</v>
      </c>
      <c r="D205" s="25">
        <f>RANK('Final Sample'!R205,'Final Sample'!$R$2:$R$612,0)+(COUNTIF('Final Sample'!$R$2:$R$612,'Final Sample'!R205)-1)/2</f>
        <v>495</v>
      </c>
      <c r="E205" s="25">
        <f>RANK('Final Sample'!AB205,'Final Sample'!$AB$2:$AB$612,0)+(COUNTIF('Final Sample'!$AB$2:$AB$612,'Final Sample'!AB205)-1)/2</f>
        <v>41</v>
      </c>
      <c r="F205" s="25">
        <f>RANK('Final Sample'!V205,'Final Sample'!$V$2:$V$612,0)+(COUNTIF('Final Sample'!$V$2:$V$612,'Final Sample'!V205)-1)/2</f>
        <v>425.5</v>
      </c>
    </row>
    <row r="206" spans="1:6" ht="15" customHeight="1" x14ac:dyDescent="0.3">
      <c r="A206" s="25">
        <f>RANK('Final Sample'!I206,'Final Sample'!$I$2:$I$612,0)+(COUNTIF('Final Sample'!$I$2:$I$612,'Final Sample'!I206)-1)/2</f>
        <v>441.5</v>
      </c>
      <c r="B206" s="25">
        <f>RANK('Final Sample'!J206,'Final Sample'!$J$2:$J$612,0)+(COUNTIF('Final Sample'!$J$2:$J$612,'Final Sample'!J206)-1)/2</f>
        <v>359</v>
      </c>
      <c r="C206" s="25">
        <f>RANK('Final Sample'!AA206,'Final Sample'!$AA$2:$AA$612,0)+(COUNTIF('Final Sample'!$AA$2:$AA$612,'Final Sample'!AA206)-1)/2</f>
        <v>219</v>
      </c>
      <c r="D206" s="25">
        <f>RANK('Final Sample'!R206,'Final Sample'!$R$2:$R$612,0)+(COUNTIF('Final Sample'!$R$2:$R$612,'Final Sample'!R206)-1)/2</f>
        <v>500</v>
      </c>
      <c r="E206" s="25">
        <f>RANK('Final Sample'!AB206,'Final Sample'!$AB$2:$AB$612,0)+(COUNTIF('Final Sample'!$AB$2:$AB$612,'Final Sample'!AB206)-1)/2</f>
        <v>42</v>
      </c>
      <c r="F206" s="25">
        <f>RANK('Final Sample'!V206,'Final Sample'!$V$2:$V$612,0)+(COUNTIF('Final Sample'!$V$2:$V$612,'Final Sample'!V206)-1)/2</f>
        <v>408</v>
      </c>
    </row>
    <row r="207" spans="1:6" ht="15" customHeight="1" x14ac:dyDescent="0.3">
      <c r="A207" s="25">
        <f>RANK('Final Sample'!I207,'Final Sample'!$I$2:$I$612,0)+(COUNTIF('Final Sample'!$I$2:$I$612,'Final Sample'!I207)-1)/2</f>
        <v>441.5</v>
      </c>
      <c r="B207" s="25">
        <f>RANK('Final Sample'!J207,'Final Sample'!$J$2:$J$612,0)+(COUNTIF('Final Sample'!$J$2:$J$612,'Final Sample'!J207)-1)/2</f>
        <v>359</v>
      </c>
      <c r="C207" s="25">
        <f>RANK('Final Sample'!AA207,'Final Sample'!$AA$2:$AA$612,0)+(COUNTIF('Final Sample'!$AA$2:$AA$612,'Final Sample'!AA207)-1)/2</f>
        <v>275</v>
      </c>
      <c r="D207" s="25">
        <f>RANK('Final Sample'!R207,'Final Sample'!$R$2:$R$612,0)+(COUNTIF('Final Sample'!$R$2:$R$612,'Final Sample'!R207)-1)/2</f>
        <v>441</v>
      </c>
      <c r="E207" s="25">
        <f>RANK('Final Sample'!AB207,'Final Sample'!$AB$2:$AB$612,0)+(COUNTIF('Final Sample'!$AB$2:$AB$612,'Final Sample'!AB207)-1)/2</f>
        <v>254</v>
      </c>
      <c r="F207" s="25">
        <f>RANK('Final Sample'!V207,'Final Sample'!$V$2:$V$612,0)+(COUNTIF('Final Sample'!$V$2:$V$612,'Final Sample'!V207)-1)/2</f>
        <v>390.5</v>
      </c>
    </row>
    <row r="208" spans="1:6" ht="15" customHeight="1" x14ac:dyDescent="0.3">
      <c r="A208" s="25">
        <f>RANK('Final Sample'!I208,'Final Sample'!$I$2:$I$612,0)+(COUNTIF('Final Sample'!$I$2:$I$612,'Final Sample'!I208)-1)/2</f>
        <v>441.5</v>
      </c>
      <c r="B208" s="25">
        <f>RANK('Final Sample'!J208,'Final Sample'!$J$2:$J$612,0)+(COUNTIF('Final Sample'!$J$2:$J$612,'Final Sample'!J208)-1)/2</f>
        <v>359</v>
      </c>
      <c r="C208" s="25">
        <f>RANK('Final Sample'!AA208,'Final Sample'!$AA$2:$AA$612,0)+(COUNTIF('Final Sample'!$AA$2:$AA$612,'Final Sample'!AA208)-1)/2</f>
        <v>285</v>
      </c>
      <c r="D208" s="25">
        <f>RANK('Final Sample'!R208,'Final Sample'!$R$2:$R$612,0)+(COUNTIF('Final Sample'!$R$2:$R$612,'Final Sample'!R208)-1)/2</f>
        <v>378</v>
      </c>
      <c r="E208" s="25">
        <f>RANK('Final Sample'!AB208,'Final Sample'!$AB$2:$AB$612,0)+(COUNTIF('Final Sample'!$AB$2:$AB$612,'Final Sample'!AB208)-1)/2</f>
        <v>197</v>
      </c>
      <c r="F208" s="25">
        <f>RANK('Final Sample'!V208,'Final Sample'!$V$2:$V$612,0)+(COUNTIF('Final Sample'!$V$2:$V$612,'Final Sample'!V208)-1)/2</f>
        <v>373</v>
      </c>
    </row>
    <row r="209" spans="1:6" ht="15" customHeight="1" x14ac:dyDescent="0.3">
      <c r="A209" s="25">
        <f>RANK('Final Sample'!I209,'Final Sample'!$I$2:$I$612,0)+(COUNTIF('Final Sample'!$I$2:$I$612,'Final Sample'!I209)-1)/2</f>
        <v>441.5</v>
      </c>
      <c r="B209" s="25">
        <f>RANK('Final Sample'!J209,'Final Sample'!$J$2:$J$612,0)+(COUNTIF('Final Sample'!$J$2:$J$612,'Final Sample'!J209)-1)/2</f>
        <v>359</v>
      </c>
      <c r="C209" s="25">
        <f>RANK('Final Sample'!AA209,'Final Sample'!$AA$2:$AA$612,0)+(COUNTIF('Final Sample'!$AA$2:$AA$612,'Final Sample'!AA209)-1)/2</f>
        <v>125</v>
      </c>
      <c r="D209" s="25">
        <f>RANK('Final Sample'!R209,'Final Sample'!$R$2:$R$612,0)+(COUNTIF('Final Sample'!$R$2:$R$612,'Final Sample'!R209)-1)/2</f>
        <v>370</v>
      </c>
      <c r="E209" s="25">
        <f>RANK('Final Sample'!AB209,'Final Sample'!$AB$2:$AB$612,0)+(COUNTIF('Final Sample'!$AB$2:$AB$612,'Final Sample'!AB209)-1)/2</f>
        <v>74</v>
      </c>
      <c r="F209" s="25">
        <f>RANK('Final Sample'!V209,'Final Sample'!$V$2:$V$612,0)+(COUNTIF('Final Sample'!$V$2:$V$612,'Final Sample'!V209)-1)/2</f>
        <v>356.5</v>
      </c>
    </row>
    <row r="210" spans="1:6" ht="15" customHeight="1" x14ac:dyDescent="0.3">
      <c r="A210" s="25">
        <f>RANK('Final Sample'!I210,'Final Sample'!$I$2:$I$612,0)+(COUNTIF('Final Sample'!$I$2:$I$612,'Final Sample'!I210)-1)/2</f>
        <v>84</v>
      </c>
      <c r="B210" s="25">
        <f>RANK('Final Sample'!J210,'Final Sample'!$J$2:$J$612,0)+(COUNTIF('Final Sample'!$J$2:$J$612,'Final Sample'!J210)-1)/2</f>
        <v>359</v>
      </c>
      <c r="C210" s="25">
        <f>RANK('Final Sample'!AA210,'Final Sample'!$AA$2:$AA$612,0)+(COUNTIF('Final Sample'!$AA$2:$AA$612,'Final Sample'!AA210)-1)/2</f>
        <v>52</v>
      </c>
      <c r="D210" s="25">
        <f>RANK('Final Sample'!R210,'Final Sample'!$R$2:$R$612,0)+(COUNTIF('Final Sample'!$R$2:$R$612,'Final Sample'!R210)-1)/2</f>
        <v>181</v>
      </c>
      <c r="E210" s="25">
        <f>RANK('Final Sample'!AB210,'Final Sample'!$AB$2:$AB$612,0)+(COUNTIF('Final Sample'!$AB$2:$AB$612,'Final Sample'!AB210)-1)/2</f>
        <v>271</v>
      </c>
      <c r="F210" s="25">
        <f>RANK('Final Sample'!V210,'Final Sample'!$V$2:$V$612,0)+(COUNTIF('Final Sample'!$V$2:$V$612,'Final Sample'!V210)-1)/2</f>
        <v>538.5</v>
      </c>
    </row>
    <row r="211" spans="1:6" ht="15" customHeight="1" x14ac:dyDescent="0.3">
      <c r="A211" s="25">
        <f>RANK('Final Sample'!I211,'Final Sample'!$I$2:$I$612,0)+(COUNTIF('Final Sample'!$I$2:$I$612,'Final Sample'!I211)-1)/2</f>
        <v>441.5</v>
      </c>
      <c r="B211" s="25">
        <f>RANK('Final Sample'!J211,'Final Sample'!$J$2:$J$612,0)+(COUNTIF('Final Sample'!$J$2:$J$612,'Final Sample'!J211)-1)/2</f>
        <v>359</v>
      </c>
      <c r="C211" s="25">
        <f>RANK('Final Sample'!AA211,'Final Sample'!$AA$2:$AA$612,0)+(COUNTIF('Final Sample'!$AA$2:$AA$612,'Final Sample'!AA211)-1)/2</f>
        <v>18</v>
      </c>
      <c r="D211" s="25">
        <f>RANK('Final Sample'!R211,'Final Sample'!$R$2:$R$612,0)+(COUNTIF('Final Sample'!$R$2:$R$612,'Final Sample'!R211)-1)/2</f>
        <v>178</v>
      </c>
      <c r="E211" s="25">
        <f>RANK('Final Sample'!AB211,'Final Sample'!$AB$2:$AB$612,0)+(COUNTIF('Final Sample'!$AB$2:$AB$612,'Final Sample'!AB211)-1)/2</f>
        <v>255</v>
      </c>
      <c r="F211" s="25">
        <f>RANK('Final Sample'!V211,'Final Sample'!$V$2:$V$612,0)+(COUNTIF('Final Sample'!$V$2:$V$612,'Final Sample'!V211)-1)/2</f>
        <v>530</v>
      </c>
    </row>
    <row r="212" spans="1:6" ht="15" customHeight="1" x14ac:dyDescent="0.3">
      <c r="A212" s="25">
        <f>RANK('Final Sample'!I212,'Final Sample'!$I$2:$I$612,0)+(COUNTIF('Final Sample'!$I$2:$I$612,'Final Sample'!I212)-1)/2</f>
        <v>441.5</v>
      </c>
      <c r="B212" s="25">
        <f>RANK('Final Sample'!J212,'Final Sample'!$J$2:$J$612,0)+(COUNTIF('Final Sample'!$J$2:$J$612,'Final Sample'!J212)-1)/2</f>
        <v>359</v>
      </c>
      <c r="C212" s="25">
        <f>RANK('Final Sample'!AA212,'Final Sample'!$AA$2:$AA$612,0)+(COUNTIF('Final Sample'!$AA$2:$AA$612,'Final Sample'!AA212)-1)/2</f>
        <v>2.5</v>
      </c>
      <c r="D212" s="25">
        <f>RANK('Final Sample'!R212,'Final Sample'!$R$2:$R$612,0)+(COUNTIF('Final Sample'!$R$2:$R$612,'Final Sample'!R212)-1)/2</f>
        <v>164</v>
      </c>
      <c r="E212" s="25">
        <f>RANK('Final Sample'!AB212,'Final Sample'!$AB$2:$AB$612,0)+(COUNTIF('Final Sample'!$AB$2:$AB$612,'Final Sample'!AB212)-1)/2</f>
        <v>230</v>
      </c>
      <c r="F212" s="25">
        <f>RANK('Final Sample'!V212,'Final Sample'!$V$2:$V$612,0)+(COUNTIF('Final Sample'!$V$2:$V$612,'Final Sample'!V212)-1)/2</f>
        <v>520.5</v>
      </c>
    </row>
    <row r="213" spans="1:6" ht="15" customHeight="1" x14ac:dyDescent="0.3">
      <c r="A213" s="25">
        <f>RANK('Final Sample'!I213,'Final Sample'!$I$2:$I$612,0)+(COUNTIF('Final Sample'!$I$2:$I$612,'Final Sample'!I213)-1)/2</f>
        <v>441.5</v>
      </c>
      <c r="B213" s="25">
        <f>RANK('Final Sample'!J213,'Final Sample'!$J$2:$J$612,0)+(COUNTIF('Final Sample'!$J$2:$J$612,'Final Sample'!J213)-1)/2</f>
        <v>359</v>
      </c>
      <c r="C213" s="25">
        <f>RANK('Final Sample'!AA213,'Final Sample'!$AA$2:$AA$612,0)+(COUNTIF('Final Sample'!$AA$2:$AA$612,'Final Sample'!AA213)-1)/2</f>
        <v>7</v>
      </c>
      <c r="D213" s="25">
        <f>RANK('Final Sample'!R213,'Final Sample'!$R$2:$R$612,0)+(COUNTIF('Final Sample'!$R$2:$R$612,'Final Sample'!R213)-1)/2</f>
        <v>158</v>
      </c>
      <c r="E213" s="25">
        <f>RANK('Final Sample'!AB213,'Final Sample'!$AB$2:$AB$612,0)+(COUNTIF('Final Sample'!$AB$2:$AB$612,'Final Sample'!AB213)-1)/2</f>
        <v>214</v>
      </c>
      <c r="F213" s="25">
        <f>RANK('Final Sample'!V213,'Final Sample'!$V$2:$V$612,0)+(COUNTIF('Final Sample'!$V$2:$V$612,'Final Sample'!V213)-1)/2</f>
        <v>509.5</v>
      </c>
    </row>
    <row r="214" spans="1:6" ht="15" customHeight="1" x14ac:dyDescent="0.3">
      <c r="A214" s="25">
        <f>RANK('Final Sample'!I214,'Final Sample'!$I$2:$I$612,0)+(COUNTIF('Final Sample'!$I$2:$I$612,'Final Sample'!I214)-1)/2</f>
        <v>112</v>
      </c>
      <c r="B214" s="25">
        <f>RANK('Final Sample'!J214,'Final Sample'!$J$2:$J$612,0)+(COUNTIF('Final Sample'!$J$2:$J$612,'Final Sample'!J214)-1)/2</f>
        <v>359</v>
      </c>
      <c r="C214" s="25">
        <f>RANK('Final Sample'!AA214,'Final Sample'!$AA$2:$AA$612,0)+(COUNTIF('Final Sample'!$AA$2:$AA$612,'Final Sample'!AA214)-1)/2</f>
        <v>390</v>
      </c>
      <c r="D214" s="25">
        <f>RANK('Final Sample'!R214,'Final Sample'!$R$2:$R$612,0)+(COUNTIF('Final Sample'!$R$2:$R$612,'Final Sample'!R214)-1)/2</f>
        <v>46</v>
      </c>
      <c r="E214" s="25">
        <f>RANK('Final Sample'!AB214,'Final Sample'!$AB$2:$AB$612,0)+(COUNTIF('Final Sample'!$AB$2:$AB$612,'Final Sample'!AB214)-1)/2</f>
        <v>193</v>
      </c>
      <c r="F214" s="25">
        <f>RANK('Final Sample'!V214,'Final Sample'!$V$2:$V$612,0)+(COUNTIF('Final Sample'!$V$2:$V$612,'Final Sample'!V214)-1)/2</f>
        <v>608</v>
      </c>
    </row>
    <row r="215" spans="1:6" ht="15" customHeight="1" x14ac:dyDescent="0.3">
      <c r="A215" s="25">
        <f>RANK('Final Sample'!I215,'Final Sample'!$I$2:$I$612,0)+(COUNTIF('Final Sample'!$I$2:$I$612,'Final Sample'!I215)-1)/2</f>
        <v>58.5</v>
      </c>
      <c r="B215" s="25">
        <f>RANK('Final Sample'!J215,'Final Sample'!$J$2:$J$612,0)+(COUNTIF('Final Sample'!$J$2:$J$612,'Final Sample'!J215)-1)/2</f>
        <v>79.5</v>
      </c>
      <c r="C215" s="25">
        <f>RANK('Final Sample'!AA215,'Final Sample'!$AA$2:$AA$612,0)+(COUNTIF('Final Sample'!$AA$2:$AA$612,'Final Sample'!AA215)-1)/2</f>
        <v>408</v>
      </c>
      <c r="D215" s="25">
        <f>RANK('Final Sample'!R215,'Final Sample'!$R$2:$R$612,0)+(COUNTIF('Final Sample'!$R$2:$R$612,'Final Sample'!R215)-1)/2</f>
        <v>41</v>
      </c>
      <c r="E215" s="25">
        <f>RANK('Final Sample'!AB215,'Final Sample'!$AB$2:$AB$612,0)+(COUNTIF('Final Sample'!$AB$2:$AB$612,'Final Sample'!AB215)-1)/2</f>
        <v>178</v>
      </c>
      <c r="F215" s="25">
        <f>RANK('Final Sample'!V215,'Final Sample'!$V$2:$V$612,0)+(COUNTIF('Final Sample'!$V$2:$V$612,'Final Sample'!V215)-1)/2</f>
        <v>605</v>
      </c>
    </row>
    <row r="216" spans="1:6" ht="15" customHeight="1" x14ac:dyDescent="0.3">
      <c r="A216" s="25">
        <f>RANK('Final Sample'!I216,'Final Sample'!$I$2:$I$612,0)+(COUNTIF('Final Sample'!$I$2:$I$612,'Final Sample'!I216)-1)/2</f>
        <v>40</v>
      </c>
      <c r="B216" s="25">
        <f>RANK('Final Sample'!J216,'Final Sample'!$J$2:$J$612,0)+(COUNTIF('Final Sample'!$J$2:$J$612,'Final Sample'!J216)-1)/2</f>
        <v>29</v>
      </c>
      <c r="C216" s="25">
        <f>RANK('Final Sample'!AA216,'Final Sample'!$AA$2:$AA$612,0)+(COUNTIF('Final Sample'!$AA$2:$AA$612,'Final Sample'!AA216)-1)/2</f>
        <v>399</v>
      </c>
      <c r="D216" s="25">
        <f>RANK('Final Sample'!R216,'Final Sample'!$R$2:$R$612,0)+(COUNTIF('Final Sample'!$R$2:$R$612,'Final Sample'!R216)-1)/2</f>
        <v>30</v>
      </c>
      <c r="E216" s="25">
        <f>RANK('Final Sample'!AB216,'Final Sample'!$AB$2:$AB$612,0)+(COUNTIF('Final Sample'!$AB$2:$AB$612,'Final Sample'!AB216)-1)/2</f>
        <v>182</v>
      </c>
      <c r="F216" s="25">
        <f>RANK('Final Sample'!V216,'Final Sample'!$V$2:$V$612,0)+(COUNTIF('Final Sample'!$V$2:$V$612,'Final Sample'!V216)-1)/2</f>
        <v>602</v>
      </c>
    </row>
    <row r="217" spans="1:6" ht="15" customHeight="1" x14ac:dyDescent="0.3">
      <c r="A217" s="25">
        <f>RANK('Final Sample'!I217,'Final Sample'!$I$2:$I$612,0)+(COUNTIF('Final Sample'!$I$2:$I$612,'Final Sample'!I217)-1)/2</f>
        <v>65.5</v>
      </c>
      <c r="B217" s="25">
        <f>RANK('Final Sample'!J217,'Final Sample'!$J$2:$J$612,0)+(COUNTIF('Final Sample'!$J$2:$J$612,'Final Sample'!J217)-1)/2</f>
        <v>57.5</v>
      </c>
      <c r="C217" s="25">
        <f>RANK('Final Sample'!AA217,'Final Sample'!$AA$2:$AA$612,0)+(COUNTIF('Final Sample'!$AA$2:$AA$612,'Final Sample'!AA217)-1)/2</f>
        <v>456</v>
      </c>
      <c r="D217" s="25">
        <f>RANK('Final Sample'!R217,'Final Sample'!$R$2:$R$612,0)+(COUNTIF('Final Sample'!$R$2:$R$612,'Final Sample'!R217)-1)/2</f>
        <v>19</v>
      </c>
      <c r="E217" s="25">
        <f>RANK('Final Sample'!AB217,'Final Sample'!$AB$2:$AB$612,0)+(COUNTIF('Final Sample'!$AB$2:$AB$612,'Final Sample'!AB217)-1)/2</f>
        <v>208</v>
      </c>
      <c r="F217" s="25">
        <f>RANK('Final Sample'!V217,'Final Sample'!$V$2:$V$612,0)+(COUNTIF('Final Sample'!$V$2:$V$612,'Final Sample'!V217)-1)/2</f>
        <v>598.5</v>
      </c>
    </row>
    <row r="218" spans="1:6" ht="15" customHeight="1" x14ac:dyDescent="0.3">
      <c r="A218" s="25">
        <f>RANK('Final Sample'!I218,'Final Sample'!$I$2:$I$612,0)+(COUNTIF('Final Sample'!$I$2:$I$612,'Final Sample'!I218)-1)/2</f>
        <v>65.5</v>
      </c>
      <c r="B218" s="25">
        <f>RANK('Final Sample'!J218,'Final Sample'!$J$2:$J$612,0)+(COUNTIF('Final Sample'!$J$2:$J$612,'Final Sample'!J218)-1)/2</f>
        <v>57.5</v>
      </c>
      <c r="C218" s="25">
        <f>RANK('Final Sample'!AA218,'Final Sample'!$AA$2:$AA$612,0)+(COUNTIF('Final Sample'!$AA$2:$AA$612,'Final Sample'!AA218)-1)/2</f>
        <v>376</v>
      </c>
      <c r="D218" s="25">
        <f>RANK('Final Sample'!R218,'Final Sample'!$R$2:$R$612,0)+(COUNTIF('Final Sample'!$R$2:$R$612,'Final Sample'!R218)-1)/2</f>
        <v>15</v>
      </c>
      <c r="E218" s="25">
        <f>RANK('Final Sample'!AB218,'Final Sample'!$AB$2:$AB$612,0)+(COUNTIF('Final Sample'!$AB$2:$AB$612,'Final Sample'!AB218)-1)/2</f>
        <v>213</v>
      </c>
      <c r="F218" s="25">
        <f>RANK('Final Sample'!V218,'Final Sample'!$V$2:$V$612,0)+(COUNTIF('Final Sample'!$V$2:$V$612,'Final Sample'!V218)-1)/2</f>
        <v>596</v>
      </c>
    </row>
    <row r="219" spans="1:6" ht="15" customHeight="1" x14ac:dyDescent="0.3">
      <c r="A219" s="25">
        <f>RANK('Final Sample'!I219,'Final Sample'!$I$2:$I$612,0)+(COUNTIF('Final Sample'!$I$2:$I$612,'Final Sample'!I219)-1)/2</f>
        <v>112</v>
      </c>
      <c r="B219" s="25">
        <f>RANK('Final Sample'!J219,'Final Sample'!$J$2:$J$612,0)+(COUNTIF('Final Sample'!$J$2:$J$612,'Final Sample'!J219)-1)/2</f>
        <v>359</v>
      </c>
      <c r="C219" s="25">
        <f>RANK('Final Sample'!AA219,'Final Sample'!$AA$2:$AA$612,0)+(COUNTIF('Final Sample'!$AA$2:$AA$612,'Final Sample'!AA219)-1)/2</f>
        <v>551</v>
      </c>
      <c r="D219" s="25">
        <f>RANK('Final Sample'!R219,'Final Sample'!$R$2:$R$612,0)+(COUNTIF('Final Sample'!$R$2:$R$612,'Final Sample'!R219)-1)/2</f>
        <v>549</v>
      </c>
      <c r="E219" s="25">
        <f>RANK('Final Sample'!AB219,'Final Sample'!$AB$2:$AB$612,0)+(COUNTIF('Final Sample'!$AB$2:$AB$612,'Final Sample'!AB219)-1)/2</f>
        <v>534</v>
      </c>
      <c r="F219" s="25">
        <f>RANK('Final Sample'!V219,'Final Sample'!$V$2:$V$612,0)+(COUNTIF('Final Sample'!$V$2:$V$612,'Final Sample'!V219)-1)/2</f>
        <v>113.5</v>
      </c>
    </row>
    <row r="220" spans="1:6" ht="15" customHeight="1" x14ac:dyDescent="0.3">
      <c r="A220" s="25">
        <f>RANK('Final Sample'!I220,'Final Sample'!$I$2:$I$612,0)+(COUNTIF('Final Sample'!$I$2:$I$612,'Final Sample'!I220)-1)/2</f>
        <v>146.5</v>
      </c>
      <c r="B220" s="25">
        <f>RANK('Final Sample'!J220,'Final Sample'!$J$2:$J$612,0)+(COUNTIF('Final Sample'!$J$2:$J$612,'Final Sample'!J220)-1)/2</f>
        <v>359</v>
      </c>
      <c r="C220" s="25">
        <f>RANK('Final Sample'!AA220,'Final Sample'!$AA$2:$AA$612,0)+(COUNTIF('Final Sample'!$AA$2:$AA$612,'Final Sample'!AA220)-1)/2</f>
        <v>535</v>
      </c>
      <c r="D220" s="25">
        <f>RANK('Final Sample'!R220,'Final Sample'!$R$2:$R$612,0)+(COUNTIF('Final Sample'!$R$2:$R$612,'Final Sample'!R220)-1)/2</f>
        <v>546</v>
      </c>
      <c r="E220" s="25">
        <f>RANK('Final Sample'!AB220,'Final Sample'!$AB$2:$AB$612,0)+(COUNTIF('Final Sample'!$AB$2:$AB$612,'Final Sample'!AB220)-1)/2</f>
        <v>431</v>
      </c>
      <c r="F220" s="25">
        <f>RANK('Final Sample'!V220,'Final Sample'!$V$2:$V$612,0)+(COUNTIF('Final Sample'!$V$2:$V$612,'Final Sample'!V220)-1)/2</f>
        <v>97.5</v>
      </c>
    </row>
    <row r="221" spans="1:6" ht="15" customHeight="1" x14ac:dyDescent="0.3">
      <c r="A221" s="25">
        <f>RANK('Final Sample'!I221,'Final Sample'!$I$2:$I$612,0)+(COUNTIF('Final Sample'!$I$2:$I$612,'Final Sample'!I221)-1)/2</f>
        <v>186.5</v>
      </c>
      <c r="B221" s="25">
        <f>RANK('Final Sample'!J221,'Final Sample'!$J$2:$J$612,0)+(COUNTIF('Final Sample'!$J$2:$J$612,'Final Sample'!J221)-1)/2</f>
        <v>359</v>
      </c>
      <c r="C221" s="25">
        <f>RANK('Final Sample'!AA221,'Final Sample'!$AA$2:$AA$612,0)+(COUNTIF('Final Sample'!$AA$2:$AA$612,'Final Sample'!AA221)-1)/2</f>
        <v>546</v>
      </c>
      <c r="D221" s="25">
        <f>RANK('Final Sample'!R221,'Final Sample'!$R$2:$R$612,0)+(COUNTIF('Final Sample'!$R$2:$R$612,'Final Sample'!R221)-1)/2</f>
        <v>526</v>
      </c>
      <c r="E221" s="25">
        <f>RANK('Final Sample'!AB221,'Final Sample'!$AB$2:$AB$612,0)+(COUNTIF('Final Sample'!$AB$2:$AB$612,'Final Sample'!AB221)-1)/2</f>
        <v>564</v>
      </c>
      <c r="F221" s="25">
        <f>RANK('Final Sample'!V221,'Final Sample'!$V$2:$V$612,0)+(COUNTIF('Final Sample'!$V$2:$V$612,'Final Sample'!V221)-1)/2</f>
        <v>83</v>
      </c>
    </row>
    <row r="222" spans="1:6" ht="15" customHeight="1" x14ac:dyDescent="0.3">
      <c r="A222" s="25">
        <f>RANK('Final Sample'!I222,'Final Sample'!$I$2:$I$612,0)+(COUNTIF('Final Sample'!$I$2:$I$612,'Final Sample'!I222)-1)/2</f>
        <v>49.5</v>
      </c>
      <c r="B222" s="25">
        <f>RANK('Final Sample'!J222,'Final Sample'!$J$2:$J$612,0)+(COUNTIF('Final Sample'!$J$2:$J$612,'Final Sample'!J222)-1)/2</f>
        <v>43</v>
      </c>
      <c r="C222" s="25">
        <f>RANK('Final Sample'!AA222,'Final Sample'!$AA$2:$AA$612,0)+(COUNTIF('Final Sample'!$AA$2:$AA$612,'Final Sample'!AA222)-1)/2</f>
        <v>283</v>
      </c>
      <c r="D222" s="25">
        <f>RANK('Final Sample'!R222,'Final Sample'!$R$2:$R$612,0)+(COUNTIF('Final Sample'!$R$2:$R$612,'Final Sample'!R222)-1)/2</f>
        <v>502</v>
      </c>
      <c r="E222" s="25">
        <f>RANK('Final Sample'!AB222,'Final Sample'!$AB$2:$AB$612,0)+(COUNTIF('Final Sample'!$AB$2:$AB$612,'Final Sample'!AB222)-1)/2</f>
        <v>582</v>
      </c>
      <c r="F222" s="25">
        <f>RANK('Final Sample'!V222,'Final Sample'!$V$2:$V$612,0)+(COUNTIF('Final Sample'!$V$2:$V$612,'Final Sample'!V222)-1)/2</f>
        <v>71.5</v>
      </c>
    </row>
    <row r="223" spans="1:6" ht="15" customHeight="1" x14ac:dyDescent="0.3">
      <c r="A223" s="25">
        <f>RANK('Final Sample'!I223,'Final Sample'!$I$2:$I$612,0)+(COUNTIF('Final Sample'!$I$2:$I$612,'Final Sample'!I223)-1)/2</f>
        <v>123</v>
      </c>
      <c r="B223" s="25">
        <f>RANK('Final Sample'!J223,'Final Sample'!$J$2:$J$612,0)+(COUNTIF('Final Sample'!$J$2:$J$612,'Final Sample'!J223)-1)/2</f>
        <v>89</v>
      </c>
      <c r="C223" s="25">
        <f>RANK('Final Sample'!AA223,'Final Sample'!$AA$2:$AA$612,0)+(COUNTIF('Final Sample'!$AA$2:$AA$612,'Final Sample'!AA223)-1)/2</f>
        <v>168</v>
      </c>
      <c r="D223" s="25">
        <f>RANK('Final Sample'!R223,'Final Sample'!$R$2:$R$612,0)+(COUNTIF('Final Sample'!$R$2:$R$612,'Final Sample'!R223)-1)/2</f>
        <v>496</v>
      </c>
      <c r="E223" s="25">
        <f>RANK('Final Sample'!AB223,'Final Sample'!$AB$2:$AB$612,0)+(COUNTIF('Final Sample'!$AB$2:$AB$612,'Final Sample'!AB223)-1)/2</f>
        <v>594</v>
      </c>
      <c r="F223" s="25">
        <f>RANK('Final Sample'!V223,'Final Sample'!$V$2:$V$612,0)+(COUNTIF('Final Sample'!$V$2:$V$612,'Final Sample'!V223)-1)/2</f>
        <v>63</v>
      </c>
    </row>
    <row r="224" spans="1:6" ht="15" customHeight="1" x14ac:dyDescent="0.3">
      <c r="A224" s="25">
        <f>RANK('Final Sample'!I224,'Final Sample'!$I$2:$I$612,0)+(COUNTIF('Final Sample'!$I$2:$I$612,'Final Sample'!I224)-1)/2</f>
        <v>58.5</v>
      </c>
      <c r="B224" s="25">
        <f>RANK('Final Sample'!J224,'Final Sample'!$J$2:$J$612,0)+(COUNTIF('Final Sample'!$J$2:$J$612,'Final Sample'!J224)-1)/2</f>
        <v>359</v>
      </c>
      <c r="C224" s="25">
        <f>RANK('Final Sample'!AA224,'Final Sample'!$AA$2:$AA$612,0)+(COUNTIF('Final Sample'!$AA$2:$AA$612,'Final Sample'!AA224)-1)/2</f>
        <v>329</v>
      </c>
      <c r="D224" s="25">
        <f>RANK('Final Sample'!R224,'Final Sample'!$R$2:$R$612,0)+(COUNTIF('Final Sample'!$R$2:$R$612,'Final Sample'!R224)-1)/2</f>
        <v>182</v>
      </c>
      <c r="E224" s="25">
        <f>RANK('Final Sample'!AB224,'Final Sample'!$AB$2:$AB$612,0)+(COUNTIF('Final Sample'!$AB$2:$AB$612,'Final Sample'!AB224)-1)/2</f>
        <v>388</v>
      </c>
      <c r="F224" s="25">
        <f>RANK('Final Sample'!V224,'Final Sample'!$V$2:$V$612,0)+(COUNTIF('Final Sample'!$V$2:$V$612,'Final Sample'!V224)-1)/2</f>
        <v>50</v>
      </c>
    </row>
    <row r="225" spans="1:6" ht="15" customHeight="1" x14ac:dyDescent="0.3">
      <c r="A225" s="25">
        <f>RANK('Final Sample'!I225,'Final Sample'!$I$2:$I$612,0)+(COUNTIF('Final Sample'!$I$2:$I$612,'Final Sample'!I225)-1)/2</f>
        <v>236</v>
      </c>
      <c r="B225" s="25">
        <f>RANK('Final Sample'!J225,'Final Sample'!$J$2:$J$612,0)+(COUNTIF('Final Sample'!$J$2:$J$612,'Final Sample'!J225)-1)/2</f>
        <v>359</v>
      </c>
      <c r="C225" s="25">
        <f>RANK('Final Sample'!AA225,'Final Sample'!$AA$2:$AA$612,0)+(COUNTIF('Final Sample'!$AA$2:$AA$612,'Final Sample'!AA225)-1)/2</f>
        <v>241</v>
      </c>
      <c r="D225" s="25">
        <f>RANK('Final Sample'!R225,'Final Sample'!$R$2:$R$612,0)+(COUNTIF('Final Sample'!$R$2:$R$612,'Final Sample'!R225)-1)/2</f>
        <v>170</v>
      </c>
      <c r="E225" s="25">
        <f>RANK('Final Sample'!AB225,'Final Sample'!$AB$2:$AB$612,0)+(COUNTIF('Final Sample'!$AB$2:$AB$612,'Final Sample'!AB225)-1)/2</f>
        <v>374</v>
      </c>
      <c r="F225" s="25">
        <f>RANK('Final Sample'!V225,'Final Sample'!$V$2:$V$612,0)+(COUNTIF('Final Sample'!$V$2:$V$612,'Final Sample'!V225)-1)/2</f>
        <v>48.5</v>
      </c>
    </row>
    <row r="226" spans="1:6" ht="15" customHeight="1" x14ac:dyDescent="0.3">
      <c r="A226" s="25">
        <f>RANK('Final Sample'!I226,'Final Sample'!$I$2:$I$612,0)+(COUNTIF('Final Sample'!$I$2:$I$612,'Final Sample'!I226)-1)/2</f>
        <v>186.5</v>
      </c>
      <c r="B226" s="25">
        <f>RANK('Final Sample'!J226,'Final Sample'!$J$2:$J$612,0)+(COUNTIF('Final Sample'!$J$2:$J$612,'Final Sample'!J226)-1)/2</f>
        <v>98</v>
      </c>
      <c r="C226" s="25">
        <f>RANK('Final Sample'!AA226,'Final Sample'!$AA$2:$AA$612,0)+(COUNTIF('Final Sample'!$AA$2:$AA$612,'Final Sample'!AA226)-1)/2</f>
        <v>221</v>
      </c>
      <c r="D226" s="25">
        <f>RANK('Final Sample'!R226,'Final Sample'!$R$2:$R$612,0)+(COUNTIF('Final Sample'!$R$2:$R$612,'Final Sample'!R226)-1)/2</f>
        <v>165</v>
      </c>
      <c r="E226" s="25">
        <f>RANK('Final Sample'!AB226,'Final Sample'!$AB$2:$AB$612,0)+(COUNTIF('Final Sample'!$AB$2:$AB$612,'Final Sample'!AB226)-1)/2</f>
        <v>242</v>
      </c>
      <c r="F226" s="25">
        <f>RANK('Final Sample'!V226,'Final Sample'!$V$2:$V$612,0)+(COUNTIF('Final Sample'!$V$2:$V$612,'Final Sample'!V226)-1)/2</f>
        <v>45.5</v>
      </c>
    </row>
    <row r="227" spans="1:6" ht="15" customHeight="1" x14ac:dyDescent="0.3">
      <c r="A227" s="25">
        <f>RANK('Final Sample'!I227,'Final Sample'!$I$2:$I$612,0)+(COUNTIF('Final Sample'!$I$2:$I$612,'Final Sample'!I227)-1)/2</f>
        <v>236</v>
      </c>
      <c r="B227" s="25">
        <f>RANK('Final Sample'!J227,'Final Sample'!$J$2:$J$612,0)+(COUNTIF('Final Sample'!$J$2:$J$612,'Final Sample'!J227)-1)/2</f>
        <v>359</v>
      </c>
      <c r="C227" s="25">
        <f>RANK('Final Sample'!AA227,'Final Sample'!$AA$2:$AA$612,0)+(COUNTIF('Final Sample'!$AA$2:$AA$612,'Final Sample'!AA227)-1)/2</f>
        <v>162</v>
      </c>
      <c r="D227" s="25">
        <f>RANK('Final Sample'!R227,'Final Sample'!$R$2:$R$612,0)+(COUNTIF('Final Sample'!$R$2:$R$612,'Final Sample'!R227)-1)/2</f>
        <v>167</v>
      </c>
      <c r="E227" s="25">
        <f>RANK('Final Sample'!AB227,'Final Sample'!$AB$2:$AB$612,0)+(COUNTIF('Final Sample'!$AB$2:$AB$612,'Final Sample'!AB227)-1)/2</f>
        <v>70</v>
      </c>
      <c r="F227" s="25">
        <f>RANK('Final Sample'!V227,'Final Sample'!$V$2:$V$612,0)+(COUNTIF('Final Sample'!$V$2:$V$612,'Final Sample'!V227)-1)/2</f>
        <v>41</v>
      </c>
    </row>
    <row r="228" spans="1:6" ht="15" customHeight="1" x14ac:dyDescent="0.3">
      <c r="A228" s="25">
        <f>RANK('Final Sample'!I228,'Final Sample'!$I$2:$I$612,0)+(COUNTIF('Final Sample'!$I$2:$I$612,'Final Sample'!I228)-1)/2</f>
        <v>236</v>
      </c>
      <c r="B228" s="25">
        <f>RANK('Final Sample'!J228,'Final Sample'!$J$2:$J$612,0)+(COUNTIF('Final Sample'!$J$2:$J$612,'Final Sample'!J228)-1)/2</f>
        <v>98</v>
      </c>
      <c r="C228" s="25">
        <f>RANK('Final Sample'!AA228,'Final Sample'!$AA$2:$AA$612,0)+(COUNTIF('Final Sample'!$AA$2:$AA$612,'Final Sample'!AA228)-1)/2</f>
        <v>31</v>
      </c>
      <c r="D228" s="25">
        <f>RANK('Final Sample'!R228,'Final Sample'!$R$2:$R$612,0)+(COUNTIF('Final Sample'!$R$2:$R$612,'Final Sample'!R228)-1)/2</f>
        <v>161</v>
      </c>
      <c r="E228" s="25">
        <f>RANK('Final Sample'!AB228,'Final Sample'!$AB$2:$AB$612,0)+(COUNTIF('Final Sample'!$AB$2:$AB$612,'Final Sample'!AB228)-1)/2</f>
        <v>89</v>
      </c>
      <c r="F228" s="25">
        <f>RANK('Final Sample'!V228,'Final Sample'!$V$2:$V$612,0)+(COUNTIF('Final Sample'!$V$2:$V$612,'Final Sample'!V228)-1)/2</f>
        <v>35.5</v>
      </c>
    </row>
    <row r="229" spans="1:6" ht="15" customHeight="1" x14ac:dyDescent="0.3">
      <c r="A229" s="25">
        <f>RANK('Final Sample'!I229,'Final Sample'!$I$2:$I$612,0)+(COUNTIF('Final Sample'!$I$2:$I$612,'Final Sample'!I229)-1)/2</f>
        <v>146.5</v>
      </c>
      <c r="B229" s="25">
        <f>RANK('Final Sample'!J229,'Final Sample'!$J$2:$J$612,0)+(COUNTIF('Final Sample'!$J$2:$J$612,'Final Sample'!J229)-1)/2</f>
        <v>53</v>
      </c>
      <c r="C229" s="25">
        <f>RANK('Final Sample'!AA229,'Final Sample'!$AA$2:$AA$612,0)+(COUNTIF('Final Sample'!$AA$2:$AA$612,'Final Sample'!AA229)-1)/2</f>
        <v>361</v>
      </c>
      <c r="D229" s="25">
        <f>RANK('Final Sample'!R229,'Final Sample'!$R$2:$R$612,0)+(COUNTIF('Final Sample'!$R$2:$R$612,'Final Sample'!R229)-1)/2</f>
        <v>131</v>
      </c>
      <c r="E229" s="25">
        <f>RANK('Final Sample'!AB229,'Final Sample'!$AB$2:$AB$612,0)+(COUNTIF('Final Sample'!$AB$2:$AB$612,'Final Sample'!AB229)-1)/2</f>
        <v>573</v>
      </c>
      <c r="F229" s="25">
        <f>RANK('Final Sample'!V229,'Final Sample'!$V$2:$V$612,0)+(COUNTIF('Final Sample'!$V$2:$V$612,'Final Sample'!V229)-1)/2</f>
        <v>129.5</v>
      </c>
    </row>
    <row r="230" spans="1:6" ht="15" customHeight="1" x14ac:dyDescent="0.3">
      <c r="A230" s="25">
        <f>RANK('Final Sample'!I230,'Final Sample'!$I$2:$I$612,0)+(COUNTIF('Final Sample'!$I$2:$I$612,'Final Sample'!I230)-1)/2</f>
        <v>49.5</v>
      </c>
      <c r="B230" s="25">
        <f>RANK('Final Sample'!J230,'Final Sample'!$J$2:$J$612,0)+(COUNTIF('Final Sample'!$J$2:$J$612,'Final Sample'!J230)-1)/2</f>
        <v>53</v>
      </c>
      <c r="C230" s="25">
        <f>RANK('Final Sample'!AA230,'Final Sample'!$AA$2:$AA$612,0)+(COUNTIF('Final Sample'!$AA$2:$AA$612,'Final Sample'!AA230)-1)/2</f>
        <v>419</v>
      </c>
      <c r="D230" s="25">
        <f>RANK('Final Sample'!R230,'Final Sample'!$R$2:$R$612,0)+(COUNTIF('Final Sample'!$R$2:$R$612,'Final Sample'!R230)-1)/2</f>
        <v>123</v>
      </c>
      <c r="E230" s="25">
        <f>RANK('Final Sample'!AB230,'Final Sample'!$AB$2:$AB$612,0)+(COUNTIF('Final Sample'!$AB$2:$AB$612,'Final Sample'!AB230)-1)/2</f>
        <v>563</v>
      </c>
      <c r="F230" s="25">
        <f>RANK('Final Sample'!V230,'Final Sample'!$V$2:$V$612,0)+(COUNTIF('Final Sample'!$V$2:$V$612,'Final Sample'!V230)-1)/2</f>
        <v>113.5</v>
      </c>
    </row>
    <row r="231" spans="1:6" ht="15" customHeight="1" x14ac:dyDescent="0.3">
      <c r="A231" s="25">
        <f>RANK('Final Sample'!I231,'Final Sample'!$I$2:$I$612,0)+(COUNTIF('Final Sample'!$I$2:$I$612,'Final Sample'!I231)-1)/2</f>
        <v>29.5</v>
      </c>
      <c r="B231" s="25">
        <f>RANK('Final Sample'!J231,'Final Sample'!$J$2:$J$612,0)+(COUNTIF('Final Sample'!$J$2:$J$612,'Final Sample'!J231)-1)/2</f>
        <v>29</v>
      </c>
      <c r="C231" s="25">
        <f>RANK('Final Sample'!AA231,'Final Sample'!$AA$2:$AA$612,0)+(COUNTIF('Final Sample'!$AA$2:$AA$612,'Final Sample'!AA231)-1)/2</f>
        <v>314</v>
      </c>
      <c r="D231" s="25">
        <f>RANK('Final Sample'!R231,'Final Sample'!$R$2:$R$612,0)+(COUNTIF('Final Sample'!$R$2:$R$612,'Final Sample'!R231)-1)/2</f>
        <v>118</v>
      </c>
      <c r="E231" s="25">
        <f>RANK('Final Sample'!AB231,'Final Sample'!$AB$2:$AB$612,0)+(COUNTIF('Final Sample'!$AB$2:$AB$612,'Final Sample'!AB231)-1)/2</f>
        <v>544</v>
      </c>
      <c r="F231" s="25">
        <f>RANK('Final Sample'!V231,'Final Sample'!$V$2:$V$612,0)+(COUNTIF('Final Sample'!$V$2:$V$612,'Final Sample'!V231)-1)/2</f>
        <v>97.5</v>
      </c>
    </row>
    <row r="232" spans="1:6" ht="15" customHeight="1" x14ac:dyDescent="0.3">
      <c r="A232" s="25">
        <f>RANK('Final Sample'!I232,'Final Sample'!$I$2:$I$612,0)+(COUNTIF('Final Sample'!$I$2:$I$612,'Final Sample'!I232)-1)/2</f>
        <v>65.5</v>
      </c>
      <c r="B232" s="25">
        <f>RANK('Final Sample'!J232,'Final Sample'!$J$2:$J$612,0)+(COUNTIF('Final Sample'!$J$2:$J$612,'Final Sample'!J232)-1)/2</f>
        <v>45.5</v>
      </c>
      <c r="C232" s="25">
        <f>RANK('Final Sample'!AA232,'Final Sample'!$AA$2:$AA$612,0)+(COUNTIF('Final Sample'!$AA$2:$AA$612,'Final Sample'!AA232)-1)/2</f>
        <v>170</v>
      </c>
      <c r="D232" s="25">
        <f>RANK('Final Sample'!R232,'Final Sample'!$R$2:$R$612,0)+(COUNTIF('Final Sample'!$R$2:$R$612,'Final Sample'!R232)-1)/2</f>
        <v>101</v>
      </c>
      <c r="E232" s="25">
        <f>RANK('Final Sample'!AB232,'Final Sample'!$AB$2:$AB$612,0)+(COUNTIF('Final Sample'!$AB$2:$AB$612,'Final Sample'!AB232)-1)/2</f>
        <v>441</v>
      </c>
      <c r="F232" s="25">
        <f>RANK('Final Sample'!V232,'Final Sample'!$V$2:$V$612,0)+(COUNTIF('Final Sample'!$V$2:$V$612,'Final Sample'!V232)-1)/2</f>
        <v>83</v>
      </c>
    </row>
    <row r="233" spans="1:6" ht="15" customHeight="1" x14ac:dyDescent="0.3">
      <c r="A233" s="25">
        <f>RANK('Final Sample'!I233,'Final Sample'!$I$2:$I$612,0)+(COUNTIF('Final Sample'!$I$2:$I$612,'Final Sample'!I233)-1)/2</f>
        <v>65.5</v>
      </c>
      <c r="B233" s="25">
        <f>RANK('Final Sample'!J233,'Final Sample'!$J$2:$J$612,0)+(COUNTIF('Final Sample'!$J$2:$J$612,'Final Sample'!J233)-1)/2</f>
        <v>45.5</v>
      </c>
      <c r="C233" s="25">
        <f>RANK('Final Sample'!AA233,'Final Sample'!$AA$2:$AA$612,0)+(COUNTIF('Final Sample'!$AA$2:$AA$612,'Final Sample'!AA233)-1)/2</f>
        <v>90</v>
      </c>
      <c r="D233" s="25">
        <f>RANK('Final Sample'!R233,'Final Sample'!$R$2:$R$612,0)+(COUNTIF('Final Sample'!$R$2:$R$612,'Final Sample'!R233)-1)/2</f>
        <v>88</v>
      </c>
      <c r="E233" s="25">
        <f>RANK('Final Sample'!AB233,'Final Sample'!$AB$2:$AB$612,0)+(COUNTIF('Final Sample'!$AB$2:$AB$612,'Final Sample'!AB233)-1)/2</f>
        <v>507</v>
      </c>
      <c r="F233" s="25">
        <f>RANK('Final Sample'!V233,'Final Sample'!$V$2:$V$612,0)+(COUNTIF('Final Sample'!$V$2:$V$612,'Final Sample'!V233)-1)/2</f>
        <v>71.5</v>
      </c>
    </row>
    <row r="234" spans="1:6" ht="15" customHeight="1" x14ac:dyDescent="0.3">
      <c r="A234" s="25">
        <f>RANK('Final Sample'!I234,'Final Sample'!$I$2:$I$612,0)+(COUNTIF('Final Sample'!$I$2:$I$612,'Final Sample'!I234)-1)/2</f>
        <v>441.5</v>
      </c>
      <c r="B234" s="25">
        <f>RANK('Final Sample'!J234,'Final Sample'!$J$2:$J$612,0)+(COUNTIF('Final Sample'!$J$2:$J$612,'Final Sample'!J234)-1)/2</f>
        <v>359</v>
      </c>
      <c r="C234" s="25">
        <f>RANK('Final Sample'!AA234,'Final Sample'!$AA$2:$AA$612,0)+(COUNTIF('Final Sample'!$AA$2:$AA$612,'Final Sample'!AA234)-1)/2</f>
        <v>469</v>
      </c>
      <c r="D234" s="25">
        <f>RANK('Final Sample'!R234,'Final Sample'!$R$2:$R$612,0)+(COUNTIF('Final Sample'!$R$2:$R$612,'Final Sample'!R234)-1)/2</f>
        <v>372</v>
      </c>
      <c r="E234" s="25">
        <f>RANK('Final Sample'!AB234,'Final Sample'!$AB$2:$AB$612,0)+(COUNTIF('Final Sample'!$AB$2:$AB$612,'Final Sample'!AB234)-1)/2</f>
        <v>586</v>
      </c>
      <c r="F234" s="25">
        <f>RANK('Final Sample'!V234,'Final Sample'!$V$2:$V$612,0)+(COUNTIF('Final Sample'!$V$2:$V$612,'Final Sample'!V234)-1)/2</f>
        <v>569.5</v>
      </c>
    </row>
    <row r="235" spans="1:6" ht="15" customHeight="1" x14ac:dyDescent="0.3">
      <c r="A235" s="25">
        <f>RANK('Final Sample'!I235,'Final Sample'!$I$2:$I$612,0)+(COUNTIF('Final Sample'!$I$2:$I$612,'Final Sample'!I235)-1)/2</f>
        <v>441.5</v>
      </c>
      <c r="B235" s="25">
        <f>RANK('Final Sample'!J235,'Final Sample'!$J$2:$J$612,0)+(COUNTIF('Final Sample'!$J$2:$J$612,'Final Sample'!J235)-1)/2</f>
        <v>359</v>
      </c>
      <c r="C235" s="25">
        <f>RANK('Final Sample'!AA235,'Final Sample'!$AA$2:$AA$612,0)+(COUNTIF('Final Sample'!$AA$2:$AA$612,'Final Sample'!AA235)-1)/2</f>
        <v>539</v>
      </c>
      <c r="D235" s="25">
        <f>RANK('Final Sample'!R235,'Final Sample'!$R$2:$R$612,0)+(COUNTIF('Final Sample'!$R$2:$R$612,'Final Sample'!R235)-1)/2</f>
        <v>374</v>
      </c>
      <c r="E235" s="25">
        <f>RANK('Final Sample'!AB235,'Final Sample'!$AB$2:$AB$612,0)+(COUNTIF('Final Sample'!$AB$2:$AB$612,'Final Sample'!AB235)-1)/2</f>
        <v>592</v>
      </c>
      <c r="F235" s="25">
        <f>RANK('Final Sample'!V235,'Final Sample'!$V$2:$V$612,0)+(COUNTIF('Final Sample'!$V$2:$V$612,'Final Sample'!V235)-1)/2</f>
        <v>561</v>
      </c>
    </row>
    <row r="236" spans="1:6" ht="15" customHeight="1" x14ac:dyDescent="0.3">
      <c r="A236" s="25">
        <f>RANK('Final Sample'!I236,'Final Sample'!$I$2:$I$612,0)+(COUNTIF('Final Sample'!$I$2:$I$612,'Final Sample'!I236)-1)/2</f>
        <v>441.5</v>
      </c>
      <c r="B236" s="25">
        <f>RANK('Final Sample'!J236,'Final Sample'!$J$2:$J$612,0)+(COUNTIF('Final Sample'!$J$2:$J$612,'Final Sample'!J236)-1)/2</f>
        <v>359</v>
      </c>
      <c r="C236" s="25">
        <f>RANK('Final Sample'!AA236,'Final Sample'!$AA$2:$AA$612,0)+(COUNTIF('Final Sample'!$AA$2:$AA$612,'Final Sample'!AA236)-1)/2</f>
        <v>537</v>
      </c>
      <c r="D236" s="25">
        <f>RANK('Final Sample'!R236,'Final Sample'!$R$2:$R$612,0)+(COUNTIF('Final Sample'!$R$2:$R$612,'Final Sample'!R236)-1)/2</f>
        <v>193</v>
      </c>
      <c r="E236" s="25">
        <f>RANK('Final Sample'!AB236,'Final Sample'!$AB$2:$AB$612,0)+(COUNTIF('Final Sample'!$AB$2:$AB$612,'Final Sample'!AB236)-1)/2</f>
        <v>351</v>
      </c>
      <c r="F236" s="25">
        <f>RANK('Final Sample'!V236,'Final Sample'!$V$2:$V$612,0)+(COUNTIF('Final Sample'!$V$2:$V$612,'Final Sample'!V236)-1)/2</f>
        <v>318.5</v>
      </c>
    </row>
    <row r="237" spans="1:6" ht="15" customHeight="1" x14ac:dyDescent="0.3">
      <c r="A237" s="25">
        <f>RANK('Final Sample'!I237,'Final Sample'!$I$2:$I$612,0)+(COUNTIF('Final Sample'!$I$2:$I$612,'Final Sample'!I237)-1)/2</f>
        <v>441.5</v>
      </c>
      <c r="B237" s="25">
        <f>RANK('Final Sample'!J237,'Final Sample'!$J$2:$J$612,0)+(COUNTIF('Final Sample'!$J$2:$J$612,'Final Sample'!J237)-1)/2</f>
        <v>359</v>
      </c>
      <c r="C237" s="25">
        <f>RANK('Final Sample'!AA237,'Final Sample'!$AA$2:$AA$612,0)+(COUNTIF('Final Sample'!$AA$2:$AA$612,'Final Sample'!AA237)-1)/2</f>
        <v>526</v>
      </c>
      <c r="D237" s="25">
        <f>RANK('Final Sample'!R237,'Final Sample'!$R$2:$R$612,0)+(COUNTIF('Final Sample'!$R$2:$R$612,'Final Sample'!R237)-1)/2</f>
        <v>192</v>
      </c>
      <c r="E237" s="25">
        <f>RANK('Final Sample'!AB237,'Final Sample'!$AB$2:$AB$612,0)+(COUNTIF('Final Sample'!$AB$2:$AB$612,'Final Sample'!AB237)-1)/2</f>
        <v>284</v>
      </c>
      <c r="F237" s="25">
        <f>RANK('Final Sample'!V237,'Final Sample'!$V$2:$V$612,0)+(COUNTIF('Final Sample'!$V$2:$V$612,'Final Sample'!V237)-1)/2</f>
        <v>311.5</v>
      </c>
    </row>
    <row r="238" spans="1:6" ht="15" customHeight="1" x14ac:dyDescent="0.3">
      <c r="A238" s="25">
        <f>RANK('Final Sample'!I238,'Final Sample'!$I$2:$I$612,0)+(COUNTIF('Final Sample'!$I$2:$I$612,'Final Sample'!I238)-1)/2</f>
        <v>441.5</v>
      </c>
      <c r="B238" s="25">
        <f>RANK('Final Sample'!J238,'Final Sample'!$J$2:$J$612,0)+(COUNTIF('Final Sample'!$J$2:$J$612,'Final Sample'!J238)-1)/2</f>
        <v>359</v>
      </c>
      <c r="C238" s="25">
        <f>RANK('Final Sample'!AA238,'Final Sample'!$AA$2:$AA$612,0)+(COUNTIF('Final Sample'!$AA$2:$AA$612,'Final Sample'!AA238)-1)/2</f>
        <v>410</v>
      </c>
      <c r="D238" s="25">
        <f>RANK('Final Sample'!R238,'Final Sample'!$R$2:$R$612,0)+(COUNTIF('Final Sample'!$R$2:$R$612,'Final Sample'!R238)-1)/2</f>
        <v>187</v>
      </c>
      <c r="E238" s="25">
        <f>RANK('Final Sample'!AB238,'Final Sample'!$AB$2:$AB$612,0)+(COUNTIF('Final Sample'!$AB$2:$AB$612,'Final Sample'!AB238)-1)/2</f>
        <v>218</v>
      </c>
      <c r="F238" s="25">
        <f>RANK('Final Sample'!V238,'Final Sample'!$V$2:$V$612,0)+(COUNTIF('Final Sample'!$V$2:$V$612,'Final Sample'!V238)-1)/2</f>
        <v>303</v>
      </c>
    </row>
    <row r="239" spans="1:6" ht="15" customHeight="1" x14ac:dyDescent="0.3">
      <c r="A239" s="25">
        <f>RANK('Final Sample'!I239,'Final Sample'!$I$2:$I$612,0)+(COUNTIF('Final Sample'!$I$2:$I$612,'Final Sample'!I239)-1)/2</f>
        <v>441.5</v>
      </c>
      <c r="B239" s="25">
        <f>RANK('Final Sample'!J239,'Final Sample'!$J$2:$J$612,0)+(COUNTIF('Final Sample'!$J$2:$J$612,'Final Sample'!J239)-1)/2</f>
        <v>359</v>
      </c>
      <c r="C239" s="25">
        <f>RANK('Final Sample'!AA239,'Final Sample'!$AA$2:$AA$612,0)+(COUNTIF('Final Sample'!$AA$2:$AA$612,'Final Sample'!AA239)-1)/2</f>
        <v>281</v>
      </c>
      <c r="D239" s="25">
        <f>RANK('Final Sample'!R239,'Final Sample'!$R$2:$R$612,0)+(COUNTIF('Final Sample'!$R$2:$R$612,'Final Sample'!R239)-1)/2</f>
        <v>191</v>
      </c>
      <c r="E239" s="25">
        <f>RANK('Final Sample'!AB239,'Final Sample'!$AB$2:$AB$612,0)+(COUNTIF('Final Sample'!$AB$2:$AB$612,'Final Sample'!AB239)-1)/2</f>
        <v>183</v>
      </c>
      <c r="F239" s="25">
        <f>RANK('Final Sample'!V239,'Final Sample'!$V$2:$V$612,0)+(COUNTIF('Final Sample'!$V$2:$V$612,'Final Sample'!V239)-1)/2</f>
        <v>293.5</v>
      </c>
    </row>
    <row r="240" spans="1:6" ht="15" customHeight="1" x14ac:dyDescent="0.3">
      <c r="A240" s="25">
        <f>RANK('Final Sample'!I240,'Final Sample'!$I$2:$I$612,0)+(COUNTIF('Final Sample'!$I$2:$I$612,'Final Sample'!I240)-1)/2</f>
        <v>441.5</v>
      </c>
      <c r="B240" s="25">
        <f>RANK('Final Sample'!J240,'Final Sample'!$J$2:$J$612,0)+(COUNTIF('Final Sample'!$J$2:$J$612,'Final Sample'!J240)-1)/2</f>
        <v>359</v>
      </c>
      <c r="C240" s="25">
        <f>RANK('Final Sample'!AA240,'Final Sample'!$AA$2:$AA$612,0)+(COUNTIF('Final Sample'!$AA$2:$AA$612,'Final Sample'!AA240)-1)/2</f>
        <v>133</v>
      </c>
      <c r="D240" s="25">
        <f>RANK('Final Sample'!R240,'Final Sample'!$R$2:$R$612,0)+(COUNTIF('Final Sample'!$R$2:$R$612,'Final Sample'!R240)-1)/2</f>
        <v>184</v>
      </c>
      <c r="E240" s="25">
        <f>RANK('Final Sample'!AB240,'Final Sample'!$AB$2:$AB$612,0)+(COUNTIF('Final Sample'!$AB$2:$AB$612,'Final Sample'!AB240)-1)/2</f>
        <v>237</v>
      </c>
      <c r="F240" s="25">
        <f>RANK('Final Sample'!V240,'Final Sample'!$V$2:$V$612,0)+(COUNTIF('Final Sample'!$V$2:$V$612,'Final Sample'!V240)-1)/2</f>
        <v>282.5</v>
      </c>
    </row>
    <row r="241" spans="1:6" ht="15" customHeight="1" x14ac:dyDescent="0.3">
      <c r="A241" s="25">
        <f>RANK('Final Sample'!I241,'Final Sample'!$I$2:$I$612,0)+(COUNTIF('Final Sample'!$I$2:$I$612,'Final Sample'!I241)-1)/2</f>
        <v>441.5</v>
      </c>
      <c r="B241" s="25">
        <f>RANK('Final Sample'!J241,'Final Sample'!$J$2:$J$612,0)+(COUNTIF('Final Sample'!$J$2:$J$612,'Final Sample'!J241)-1)/2</f>
        <v>359</v>
      </c>
      <c r="C241" s="25">
        <f>RANK('Final Sample'!AA241,'Final Sample'!$AA$2:$AA$612,0)+(COUNTIF('Final Sample'!$AA$2:$AA$612,'Final Sample'!AA241)-1)/2</f>
        <v>587</v>
      </c>
      <c r="D241" s="25">
        <f>RANK('Final Sample'!R241,'Final Sample'!$R$2:$R$612,0)+(COUNTIF('Final Sample'!$R$2:$R$612,'Final Sample'!R241)-1)/2</f>
        <v>293</v>
      </c>
      <c r="E241" s="25">
        <f>RANK('Final Sample'!AB241,'Final Sample'!$AB$2:$AB$612,0)+(COUNTIF('Final Sample'!$AB$2:$AB$612,'Final Sample'!AB241)-1)/2</f>
        <v>411</v>
      </c>
      <c r="F241" s="25">
        <f>RANK('Final Sample'!V241,'Final Sample'!$V$2:$V$612,0)+(COUNTIF('Final Sample'!$V$2:$V$612,'Final Sample'!V241)-1)/2</f>
        <v>234.5</v>
      </c>
    </row>
    <row r="242" spans="1:6" ht="15" customHeight="1" x14ac:dyDescent="0.3">
      <c r="A242" s="25">
        <f>RANK('Final Sample'!I242,'Final Sample'!$I$2:$I$612,0)+(COUNTIF('Final Sample'!$I$2:$I$612,'Final Sample'!I242)-1)/2</f>
        <v>441.5</v>
      </c>
      <c r="B242" s="25">
        <f>RANK('Final Sample'!J242,'Final Sample'!$J$2:$J$612,0)+(COUNTIF('Final Sample'!$J$2:$J$612,'Final Sample'!J242)-1)/2</f>
        <v>359</v>
      </c>
      <c r="C242" s="25">
        <f>RANK('Final Sample'!AA242,'Final Sample'!$AA$2:$AA$612,0)+(COUNTIF('Final Sample'!$AA$2:$AA$612,'Final Sample'!AA242)-1)/2</f>
        <v>530</v>
      </c>
      <c r="D242" s="25">
        <f>RANK('Final Sample'!R242,'Final Sample'!$R$2:$R$612,0)+(COUNTIF('Final Sample'!$R$2:$R$612,'Final Sample'!R242)-1)/2</f>
        <v>333</v>
      </c>
      <c r="E242" s="25">
        <f>RANK('Final Sample'!AB242,'Final Sample'!$AB$2:$AB$612,0)+(COUNTIF('Final Sample'!$AB$2:$AB$612,'Final Sample'!AB242)-1)/2</f>
        <v>260</v>
      </c>
      <c r="F242" s="25">
        <f>RANK('Final Sample'!V242,'Final Sample'!$V$2:$V$612,0)+(COUNTIF('Final Sample'!$V$2:$V$612,'Final Sample'!V242)-1)/2</f>
        <v>227.5</v>
      </c>
    </row>
    <row r="243" spans="1:6" ht="15" customHeight="1" x14ac:dyDescent="0.3">
      <c r="A243" s="25">
        <f>RANK('Final Sample'!I243,'Final Sample'!$I$2:$I$612,0)+(COUNTIF('Final Sample'!$I$2:$I$612,'Final Sample'!I243)-1)/2</f>
        <v>441.5</v>
      </c>
      <c r="B243" s="25">
        <f>RANK('Final Sample'!J243,'Final Sample'!$J$2:$J$612,0)+(COUNTIF('Final Sample'!$J$2:$J$612,'Final Sample'!J243)-1)/2</f>
        <v>359</v>
      </c>
      <c r="C243" s="25">
        <f>RANK('Final Sample'!AA243,'Final Sample'!$AA$2:$AA$612,0)+(COUNTIF('Final Sample'!$AA$2:$AA$612,'Final Sample'!AA243)-1)/2</f>
        <v>495</v>
      </c>
      <c r="D243" s="25">
        <f>RANK('Final Sample'!R243,'Final Sample'!$R$2:$R$612,0)+(COUNTIF('Final Sample'!$R$2:$R$612,'Final Sample'!R243)-1)/2</f>
        <v>268</v>
      </c>
      <c r="E243" s="25">
        <f>RANK('Final Sample'!AB243,'Final Sample'!$AB$2:$AB$612,0)+(COUNTIF('Final Sample'!$AB$2:$AB$612,'Final Sample'!AB243)-1)/2</f>
        <v>353</v>
      </c>
      <c r="F243" s="25">
        <f>RANK('Final Sample'!V243,'Final Sample'!$V$2:$V$612,0)+(COUNTIF('Final Sample'!$V$2:$V$612,'Final Sample'!V243)-1)/2</f>
        <v>218</v>
      </c>
    </row>
    <row r="244" spans="1:6" ht="15" customHeight="1" x14ac:dyDescent="0.3">
      <c r="A244" s="25">
        <f>RANK('Final Sample'!I244,'Final Sample'!$I$2:$I$612,0)+(COUNTIF('Final Sample'!$I$2:$I$612,'Final Sample'!I244)-1)/2</f>
        <v>441.5</v>
      </c>
      <c r="B244" s="25">
        <f>RANK('Final Sample'!J244,'Final Sample'!$J$2:$J$612,0)+(COUNTIF('Final Sample'!$J$2:$J$612,'Final Sample'!J244)-1)/2</f>
        <v>359</v>
      </c>
      <c r="C244" s="25">
        <f>RANK('Final Sample'!AA244,'Final Sample'!$AA$2:$AA$612,0)+(COUNTIF('Final Sample'!$AA$2:$AA$612,'Final Sample'!AA244)-1)/2</f>
        <v>461</v>
      </c>
      <c r="D244" s="25">
        <f>RANK('Final Sample'!R244,'Final Sample'!$R$2:$R$612,0)+(COUNTIF('Final Sample'!$R$2:$R$612,'Final Sample'!R244)-1)/2</f>
        <v>234</v>
      </c>
      <c r="E244" s="25">
        <f>RANK('Final Sample'!AB244,'Final Sample'!$AB$2:$AB$612,0)+(COUNTIF('Final Sample'!$AB$2:$AB$612,'Final Sample'!AB244)-1)/2</f>
        <v>336</v>
      </c>
      <c r="F244" s="25">
        <f>RANK('Final Sample'!V244,'Final Sample'!$V$2:$V$612,0)+(COUNTIF('Final Sample'!$V$2:$V$612,'Final Sample'!V244)-1)/2</f>
        <v>206.5</v>
      </c>
    </row>
    <row r="245" spans="1:6" ht="15" customHeight="1" x14ac:dyDescent="0.3">
      <c r="A245" s="25">
        <f>RANK('Final Sample'!I245,'Final Sample'!$I$2:$I$612,0)+(COUNTIF('Final Sample'!$I$2:$I$612,'Final Sample'!I245)-1)/2</f>
        <v>441.5</v>
      </c>
      <c r="B245" s="25">
        <f>RANK('Final Sample'!J245,'Final Sample'!$J$2:$J$612,0)+(COUNTIF('Final Sample'!$J$2:$J$612,'Final Sample'!J245)-1)/2</f>
        <v>359</v>
      </c>
      <c r="C245" s="25">
        <f>RANK('Final Sample'!AA245,'Final Sample'!$AA$2:$AA$612,0)+(COUNTIF('Final Sample'!$AA$2:$AA$612,'Final Sample'!AA245)-1)/2</f>
        <v>173</v>
      </c>
      <c r="D245" s="25">
        <f>RANK('Final Sample'!R245,'Final Sample'!$R$2:$R$612,0)+(COUNTIF('Final Sample'!$R$2:$R$612,'Final Sample'!R245)-1)/2</f>
        <v>244</v>
      </c>
      <c r="E245" s="25">
        <f>RANK('Final Sample'!AB245,'Final Sample'!$AB$2:$AB$612,0)+(COUNTIF('Final Sample'!$AB$2:$AB$612,'Final Sample'!AB245)-1)/2</f>
        <v>504</v>
      </c>
      <c r="F245" s="25">
        <f>RANK('Final Sample'!V245,'Final Sample'!$V$2:$V$612,0)+(COUNTIF('Final Sample'!$V$2:$V$612,'Final Sample'!V245)-1)/2</f>
        <v>195.5</v>
      </c>
    </row>
    <row r="246" spans="1:6" ht="15" customHeight="1" x14ac:dyDescent="0.3">
      <c r="A246" s="25">
        <f>RANK('Final Sample'!I246,'Final Sample'!$I$2:$I$612,0)+(COUNTIF('Final Sample'!$I$2:$I$612,'Final Sample'!I246)-1)/2</f>
        <v>441.5</v>
      </c>
      <c r="B246" s="25">
        <f>RANK('Final Sample'!J246,'Final Sample'!$J$2:$J$612,0)+(COUNTIF('Final Sample'!$J$2:$J$612,'Final Sample'!J246)-1)/2</f>
        <v>359</v>
      </c>
      <c r="C246" s="25">
        <f>RANK('Final Sample'!AA246,'Final Sample'!$AA$2:$AA$612,0)+(COUNTIF('Final Sample'!$AA$2:$AA$612,'Final Sample'!AA246)-1)/2</f>
        <v>295</v>
      </c>
      <c r="D246" s="25">
        <f>RANK('Final Sample'!R246,'Final Sample'!$R$2:$R$612,0)+(COUNTIF('Final Sample'!$R$2:$R$612,'Final Sample'!R246)-1)/2</f>
        <v>515</v>
      </c>
      <c r="E246" s="25">
        <f>RANK('Final Sample'!AB246,'Final Sample'!$AB$2:$AB$612,0)+(COUNTIF('Final Sample'!$AB$2:$AB$612,'Final Sample'!AB246)-1)/2</f>
        <v>485</v>
      </c>
      <c r="F246" s="25">
        <f>RANK('Final Sample'!V246,'Final Sample'!$V$2:$V$612,0)+(COUNTIF('Final Sample'!$V$2:$V$612,'Final Sample'!V246)-1)/2</f>
        <v>129.5</v>
      </c>
    </row>
    <row r="247" spans="1:6" ht="15" customHeight="1" x14ac:dyDescent="0.3">
      <c r="A247" s="25">
        <f>RANK('Final Sample'!I247,'Final Sample'!$I$2:$I$612,0)+(COUNTIF('Final Sample'!$I$2:$I$612,'Final Sample'!I247)-1)/2</f>
        <v>441.5</v>
      </c>
      <c r="B247" s="25">
        <f>RANK('Final Sample'!J247,'Final Sample'!$J$2:$J$612,0)+(COUNTIF('Final Sample'!$J$2:$J$612,'Final Sample'!J247)-1)/2</f>
        <v>359</v>
      </c>
      <c r="C247" s="25">
        <f>RANK('Final Sample'!AA247,'Final Sample'!$AA$2:$AA$612,0)+(COUNTIF('Final Sample'!$AA$2:$AA$612,'Final Sample'!AA247)-1)/2</f>
        <v>353</v>
      </c>
      <c r="D247" s="25">
        <f>RANK('Final Sample'!R247,'Final Sample'!$R$2:$R$612,0)+(COUNTIF('Final Sample'!$R$2:$R$612,'Final Sample'!R247)-1)/2</f>
        <v>503</v>
      </c>
      <c r="E247" s="25">
        <f>RANK('Final Sample'!AB247,'Final Sample'!$AB$2:$AB$612,0)+(COUNTIF('Final Sample'!$AB$2:$AB$612,'Final Sample'!AB247)-1)/2</f>
        <v>445</v>
      </c>
      <c r="F247" s="25">
        <f>RANK('Final Sample'!V247,'Final Sample'!$V$2:$V$612,0)+(COUNTIF('Final Sample'!$V$2:$V$612,'Final Sample'!V247)-1)/2</f>
        <v>113.5</v>
      </c>
    </row>
    <row r="248" spans="1:6" ht="15" customHeight="1" x14ac:dyDescent="0.3">
      <c r="A248" s="25">
        <f>RANK('Final Sample'!I248,'Final Sample'!$I$2:$I$612,0)+(COUNTIF('Final Sample'!$I$2:$I$612,'Final Sample'!I248)-1)/2</f>
        <v>441.5</v>
      </c>
      <c r="B248" s="25">
        <f>RANK('Final Sample'!J248,'Final Sample'!$J$2:$J$612,0)+(COUNTIF('Final Sample'!$J$2:$J$612,'Final Sample'!J248)-1)/2</f>
        <v>359</v>
      </c>
      <c r="C248" s="25">
        <f>RANK('Final Sample'!AA248,'Final Sample'!$AA$2:$AA$612,0)+(COUNTIF('Final Sample'!$AA$2:$AA$612,'Final Sample'!AA248)-1)/2</f>
        <v>223</v>
      </c>
      <c r="D248" s="25">
        <f>RANK('Final Sample'!R248,'Final Sample'!$R$2:$R$612,0)+(COUNTIF('Final Sample'!$R$2:$R$612,'Final Sample'!R248)-1)/2</f>
        <v>497</v>
      </c>
      <c r="E248" s="25">
        <f>RANK('Final Sample'!AB248,'Final Sample'!$AB$2:$AB$612,0)+(COUNTIF('Final Sample'!$AB$2:$AB$612,'Final Sample'!AB248)-1)/2</f>
        <v>500</v>
      </c>
      <c r="F248" s="25">
        <f>RANK('Final Sample'!V248,'Final Sample'!$V$2:$V$612,0)+(COUNTIF('Final Sample'!$V$2:$V$612,'Final Sample'!V248)-1)/2</f>
        <v>97.5</v>
      </c>
    </row>
    <row r="249" spans="1:6" ht="15" customHeight="1" x14ac:dyDescent="0.3">
      <c r="A249" s="25">
        <f>RANK('Final Sample'!I249,'Final Sample'!$I$2:$I$612,0)+(COUNTIF('Final Sample'!$I$2:$I$612,'Final Sample'!I249)-1)/2</f>
        <v>441.5</v>
      </c>
      <c r="B249" s="25">
        <f>RANK('Final Sample'!J249,'Final Sample'!$J$2:$J$612,0)+(COUNTIF('Final Sample'!$J$2:$J$612,'Final Sample'!J249)-1)/2</f>
        <v>359</v>
      </c>
      <c r="C249" s="25">
        <f>RANK('Final Sample'!AA249,'Final Sample'!$AA$2:$AA$612,0)+(COUNTIF('Final Sample'!$AA$2:$AA$612,'Final Sample'!AA249)-1)/2</f>
        <v>120</v>
      </c>
      <c r="D249" s="25">
        <f>RANK('Final Sample'!R249,'Final Sample'!$R$2:$R$612,0)+(COUNTIF('Final Sample'!$R$2:$R$612,'Final Sample'!R249)-1)/2</f>
        <v>424</v>
      </c>
      <c r="E249" s="25">
        <f>RANK('Final Sample'!AB249,'Final Sample'!$AB$2:$AB$612,0)+(COUNTIF('Final Sample'!$AB$2:$AB$612,'Final Sample'!AB249)-1)/2</f>
        <v>359</v>
      </c>
      <c r="F249" s="25">
        <f>RANK('Final Sample'!V249,'Final Sample'!$V$2:$V$612,0)+(COUNTIF('Final Sample'!$V$2:$V$612,'Final Sample'!V249)-1)/2</f>
        <v>83</v>
      </c>
    </row>
    <row r="250" spans="1:6" ht="15" customHeight="1" x14ac:dyDescent="0.3">
      <c r="A250" s="25">
        <f>RANK('Final Sample'!I250,'Final Sample'!$I$2:$I$612,0)+(COUNTIF('Final Sample'!$I$2:$I$612,'Final Sample'!I250)-1)/2</f>
        <v>441.5</v>
      </c>
      <c r="B250" s="25">
        <f>RANK('Final Sample'!J250,'Final Sample'!$J$2:$J$612,0)+(COUNTIF('Final Sample'!$J$2:$J$612,'Final Sample'!J250)-1)/2</f>
        <v>359</v>
      </c>
      <c r="C250" s="25">
        <f>RANK('Final Sample'!AA250,'Final Sample'!$AA$2:$AA$612,0)+(COUNTIF('Final Sample'!$AA$2:$AA$612,'Final Sample'!AA250)-1)/2</f>
        <v>137</v>
      </c>
      <c r="D250" s="25">
        <f>RANK('Final Sample'!R250,'Final Sample'!$R$2:$R$612,0)+(COUNTIF('Final Sample'!$R$2:$R$612,'Final Sample'!R250)-1)/2</f>
        <v>425</v>
      </c>
      <c r="E250" s="25">
        <f>RANK('Final Sample'!AB250,'Final Sample'!$AB$2:$AB$612,0)+(COUNTIF('Final Sample'!$AB$2:$AB$612,'Final Sample'!AB250)-1)/2</f>
        <v>595</v>
      </c>
      <c r="F250" s="25">
        <f>RANK('Final Sample'!V250,'Final Sample'!$V$2:$V$612,0)+(COUNTIF('Final Sample'!$V$2:$V$612,'Final Sample'!V250)-1)/2</f>
        <v>71.5</v>
      </c>
    </row>
    <row r="251" spans="1:6" ht="15" customHeight="1" x14ac:dyDescent="0.3">
      <c r="A251" s="25">
        <f>RANK('Final Sample'!I251,'Final Sample'!$I$2:$I$612,0)+(COUNTIF('Final Sample'!$I$2:$I$612,'Final Sample'!I251)-1)/2</f>
        <v>40</v>
      </c>
      <c r="B251" s="25">
        <f>RANK('Final Sample'!J251,'Final Sample'!$J$2:$J$612,0)+(COUNTIF('Final Sample'!$J$2:$J$612,'Final Sample'!J251)-1)/2</f>
        <v>79.5</v>
      </c>
      <c r="C251" s="25">
        <f>RANK('Final Sample'!AA251,'Final Sample'!$AA$2:$AA$612,0)+(COUNTIF('Final Sample'!$AA$2:$AA$612,'Final Sample'!AA251)-1)/2</f>
        <v>468</v>
      </c>
      <c r="D251" s="25">
        <f>RANK('Final Sample'!R251,'Final Sample'!$R$2:$R$612,0)+(COUNTIF('Final Sample'!$R$2:$R$612,'Final Sample'!R251)-1)/2</f>
        <v>417</v>
      </c>
      <c r="E251" s="25">
        <f>RANK('Final Sample'!AB251,'Final Sample'!$AB$2:$AB$612,0)+(COUNTIF('Final Sample'!$AB$2:$AB$612,'Final Sample'!AB251)-1)/2</f>
        <v>375</v>
      </c>
      <c r="F251" s="25">
        <f>RANK('Final Sample'!V251,'Final Sample'!$V$2:$V$612,0)+(COUNTIF('Final Sample'!$V$2:$V$612,'Final Sample'!V251)-1)/2</f>
        <v>509.5</v>
      </c>
    </row>
    <row r="252" spans="1:6" ht="15" customHeight="1" x14ac:dyDescent="0.3">
      <c r="A252" s="25">
        <f>RANK('Final Sample'!I252,'Final Sample'!$I$2:$I$612,0)+(COUNTIF('Final Sample'!$I$2:$I$612,'Final Sample'!I252)-1)/2</f>
        <v>40</v>
      </c>
      <c r="B252" s="25">
        <f>RANK('Final Sample'!J252,'Final Sample'!$J$2:$J$612,0)+(COUNTIF('Final Sample'!$J$2:$J$612,'Final Sample'!J252)-1)/2</f>
        <v>79.5</v>
      </c>
      <c r="C252" s="25">
        <f>RANK('Final Sample'!AA252,'Final Sample'!$AA$2:$AA$612,0)+(COUNTIF('Final Sample'!$AA$2:$AA$612,'Final Sample'!AA252)-1)/2</f>
        <v>492</v>
      </c>
      <c r="D252" s="25">
        <f>RANK('Final Sample'!R252,'Final Sample'!$R$2:$R$612,0)+(COUNTIF('Final Sample'!$R$2:$R$612,'Final Sample'!R252)-1)/2</f>
        <v>410</v>
      </c>
      <c r="E252" s="25">
        <f>RANK('Final Sample'!AB252,'Final Sample'!$AB$2:$AB$612,0)+(COUNTIF('Final Sample'!$AB$2:$AB$612,'Final Sample'!AB252)-1)/2</f>
        <v>380</v>
      </c>
      <c r="F252" s="25">
        <f>RANK('Final Sample'!V252,'Final Sample'!$V$2:$V$612,0)+(COUNTIF('Final Sample'!$V$2:$V$612,'Final Sample'!V252)-1)/2</f>
        <v>499</v>
      </c>
    </row>
    <row r="253" spans="1:6" ht="15" customHeight="1" x14ac:dyDescent="0.3">
      <c r="A253" s="25">
        <f>RANK('Final Sample'!I253,'Final Sample'!$I$2:$I$612,0)+(COUNTIF('Final Sample'!$I$2:$I$612,'Final Sample'!I253)-1)/2</f>
        <v>40</v>
      </c>
      <c r="B253" s="25">
        <f>RANK('Final Sample'!J253,'Final Sample'!$J$2:$J$612,0)+(COUNTIF('Final Sample'!$J$2:$J$612,'Final Sample'!J253)-1)/2</f>
        <v>79.5</v>
      </c>
      <c r="C253" s="25">
        <f>RANK('Final Sample'!AA253,'Final Sample'!$AA$2:$AA$612,0)+(COUNTIF('Final Sample'!$AA$2:$AA$612,'Final Sample'!AA253)-1)/2</f>
        <v>129</v>
      </c>
      <c r="D253" s="25">
        <f>RANK('Final Sample'!R253,'Final Sample'!$R$2:$R$612,0)+(COUNTIF('Final Sample'!$R$2:$R$612,'Final Sample'!R253)-1)/2</f>
        <v>380</v>
      </c>
      <c r="E253" s="25">
        <f>RANK('Final Sample'!AB253,'Final Sample'!$AB$2:$AB$612,0)+(COUNTIF('Final Sample'!$AB$2:$AB$612,'Final Sample'!AB253)-1)/2</f>
        <v>347</v>
      </c>
      <c r="F253" s="25">
        <f>RANK('Final Sample'!V253,'Final Sample'!$V$2:$V$612,0)+(COUNTIF('Final Sample'!$V$2:$V$612,'Final Sample'!V253)-1)/2</f>
        <v>490.5</v>
      </c>
    </row>
    <row r="254" spans="1:6" ht="15" customHeight="1" x14ac:dyDescent="0.3">
      <c r="A254" s="25">
        <f>RANK('Final Sample'!I254,'Final Sample'!$I$2:$I$612,0)+(COUNTIF('Final Sample'!$I$2:$I$612,'Final Sample'!I254)-1)/2</f>
        <v>40</v>
      </c>
      <c r="B254" s="25">
        <f>RANK('Final Sample'!J254,'Final Sample'!$J$2:$J$612,0)+(COUNTIF('Final Sample'!$J$2:$J$612,'Final Sample'!J254)-1)/2</f>
        <v>79.5</v>
      </c>
      <c r="C254" s="25">
        <f>RANK('Final Sample'!AA254,'Final Sample'!$AA$2:$AA$612,0)+(COUNTIF('Final Sample'!$AA$2:$AA$612,'Final Sample'!AA254)-1)/2</f>
        <v>135</v>
      </c>
      <c r="D254" s="25">
        <f>RANK('Final Sample'!R254,'Final Sample'!$R$2:$R$612,0)+(COUNTIF('Final Sample'!$R$2:$R$612,'Final Sample'!R254)-1)/2</f>
        <v>348</v>
      </c>
      <c r="E254" s="25">
        <f>RANK('Final Sample'!AB254,'Final Sample'!$AB$2:$AB$612,0)+(COUNTIF('Final Sample'!$AB$2:$AB$612,'Final Sample'!AB254)-1)/2</f>
        <v>338</v>
      </c>
      <c r="F254" s="25">
        <f>RANK('Final Sample'!V254,'Final Sample'!$V$2:$V$612,0)+(COUNTIF('Final Sample'!$V$2:$V$612,'Final Sample'!V254)-1)/2</f>
        <v>483.5</v>
      </c>
    </row>
    <row r="255" spans="1:6" ht="15" customHeight="1" x14ac:dyDescent="0.3">
      <c r="A255" s="25">
        <f>RANK('Final Sample'!I255,'Final Sample'!$I$2:$I$612,0)+(COUNTIF('Final Sample'!$I$2:$I$612,'Final Sample'!I255)-1)/2</f>
        <v>40</v>
      </c>
      <c r="B255" s="25">
        <f>RANK('Final Sample'!J255,'Final Sample'!$J$2:$J$612,0)+(COUNTIF('Final Sample'!$J$2:$J$612,'Final Sample'!J255)-1)/2</f>
        <v>79.5</v>
      </c>
      <c r="C255" s="25">
        <f>RANK('Final Sample'!AA255,'Final Sample'!$AA$2:$AA$612,0)+(COUNTIF('Final Sample'!$AA$2:$AA$612,'Final Sample'!AA255)-1)/2</f>
        <v>215</v>
      </c>
      <c r="D255" s="25">
        <f>RANK('Final Sample'!R255,'Final Sample'!$R$2:$R$612,0)+(COUNTIF('Final Sample'!$R$2:$R$612,'Final Sample'!R255)-1)/2</f>
        <v>291</v>
      </c>
      <c r="E255" s="25">
        <f>RANK('Final Sample'!AB255,'Final Sample'!$AB$2:$AB$612,0)+(COUNTIF('Final Sample'!$AB$2:$AB$612,'Final Sample'!AB255)-1)/2</f>
        <v>269</v>
      </c>
      <c r="F255" s="25">
        <f>RANK('Final Sample'!V255,'Final Sample'!$V$2:$V$612,0)+(COUNTIF('Final Sample'!$V$2:$V$612,'Final Sample'!V255)-1)/2</f>
        <v>478.5</v>
      </c>
    </row>
    <row r="256" spans="1:6" ht="15" customHeight="1" x14ac:dyDescent="0.3">
      <c r="A256" s="25">
        <f>RANK('Final Sample'!I256,'Final Sample'!$I$2:$I$612,0)+(COUNTIF('Final Sample'!$I$2:$I$612,'Final Sample'!I256)-1)/2</f>
        <v>162.5</v>
      </c>
      <c r="B256" s="25">
        <f>RANK('Final Sample'!J256,'Final Sample'!$J$2:$J$612,0)+(COUNTIF('Final Sample'!$J$2:$J$612,'Final Sample'!J256)-1)/2</f>
        <v>359</v>
      </c>
      <c r="C256" s="25">
        <f>RANK('Final Sample'!AA256,'Final Sample'!$AA$2:$AA$612,0)+(COUNTIF('Final Sample'!$AA$2:$AA$612,'Final Sample'!AA256)-1)/2</f>
        <v>374</v>
      </c>
      <c r="D256" s="25">
        <f>RANK('Final Sample'!R256,'Final Sample'!$R$2:$R$612,0)+(COUNTIF('Final Sample'!$R$2:$R$612,'Final Sample'!R256)-1)/2</f>
        <v>141</v>
      </c>
      <c r="E256" s="25">
        <f>RANK('Final Sample'!AB256,'Final Sample'!$AB$2:$AB$612,0)+(COUNTIF('Final Sample'!$AB$2:$AB$612,'Final Sample'!AB256)-1)/2</f>
        <v>273</v>
      </c>
      <c r="F256" s="25">
        <f>RANK('Final Sample'!V256,'Final Sample'!$V$2:$V$612,0)+(COUNTIF('Final Sample'!$V$2:$V$612,'Final Sample'!V256)-1)/2</f>
        <v>227.5</v>
      </c>
    </row>
    <row r="257" spans="1:6" ht="15" customHeight="1" x14ac:dyDescent="0.3">
      <c r="A257" s="25">
        <f>RANK('Final Sample'!I257,'Final Sample'!$I$2:$I$612,0)+(COUNTIF('Final Sample'!$I$2:$I$612,'Final Sample'!I257)-1)/2</f>
        <v>162.5</v>
      </c>
      <c r="B257" s="25">
        <f>RANK('Final Sample'!J257,'Final Sample'!$J$2:$J$612,0)+(COUNTIF('Final Sample'!$J$2:$J$612,'Final Sample'!J257)-1)/2</f>
        <v>359</v>
      </c>
      <c r="C257" s="25">
        <f>RANK('Final Sample'!AA257,'Final Sample'!$AA$2:$AA$612,0)+(COUNTIF('Final Sample'!$AA$2:$AA$612,'Final Sample'!AA257)-1)/2</f>
        <v>359</v>
      </c>
      <c r="D257" s="25">
        <f>RANK('Final Sample'!R257,'Final Sample'!$R$2:$R$612,0)+(COUNTIF('Final Sample'!$R$2:$R$612,'Final Sample'!R257)-1)/2</f>
        <v>136</v>
      </c>
      <c r="E257" s="25">
        <f>RANK('Final Sample'!AB257,'Final Sample'!$AB$2:$AB$612,0)+(COUNTIF('Final Sample'!$AB$2:$AB$612,'Final Sample'!AB257)-1)/2</f>
        <v>248</v>
      </c>
      <c r="F257" s="25">
        <f>RANK('Final Sample'!V257,'Final Sample'!$V$2:$V$612,0)+(COUNTIF('Final Sample'!$V$2:$V$612,'Final Sample'!V257)-1)/2</f>
        <v>218</v>
      </c>
    </row>
    <row r="258" spans="1:6" ht="15" customHeight="1" x14ac:dyDescent="0.3">
      <c r="A258" s="25">
        <f>RANK('Final Sample'!I258,'Final Sample'!$I$2:$I$612,0)+(COUNTIF('Final Sample'!$I$2:$I$612,'Final Sample'!I258)-1)/2</f>
        <v>162.5</v>
      </c>
      <c r="B258" s="25">
        <f>RANK('Final Sample'!J258,'Final Sample'!$J$2:$J$612,0)+(COUNTIF('Final Sample'!$J$2:$J$612,'Final Sample'!J258)-1)/2</f>
        <v>359</v>
      </c>
      <c r="C258" s="25">
        <f>RANK('Final Sample'!AA258,'Final Sample'!$AA$2:$AA$612,0)+(COUNTIF('Final Sample'!$AA$2:$AA$612,'Final Sample'!AA258)-1)/2</f>
        <v>357</v>
      </c>
      <c r="D258" s="25">
        <f>RANK('Final Sample'!R258,'Final Sample'!$R$2:$R$612,0)+(COUNTIF('Final Sample'!$R$2:$R$612,'Final Sample'!R258)-1)/2</f>
        <v>116</v>
      </c>
      <c r="E258" s="25">
        <f>RANK('Final Sample'!AB258,'Final Sample'!$AB$2:$AB$612,0)+(COUNTIF('Final Sample'!$AB$2:$AB$612,'Final Sample'!AB258)-1)/2</f>
        <v>189</v>
      </c>
      <c r="F258" s="25">
        <f>RANK('Final Sample'!V258,'Final Sample'!$V$2:$V$612,0)+(COUNTIF('Final Sample'!$V$2:$V$612,'Final Sample'!V258)-1)/2</f>
        <v>206.5</v>
      </c>
    </row>
    <row r="259" spans="1:6" ht="15" customHeight="1" x14ac:dyDescent="0.3">
      <c r="A259" s="25">
        <f>RANK('Final Sample'!I259,'Final Sample'!$I$2:$I$612,0)+(COUNTIF('Final Sample'!$I$2:$I$612,'Final Sample'!I259)-1)/2</f>
        <v>162.5</v>
      </c>
      <c r="B259" s="25">
        <f>RANK('Final Sample'!J259,'Final Sample'!$J$2:$J$612,0)+(COUNTIF('Final Sample'!$J$2:$J$612,'Final Sample'!J259)-1)/2</f>
        <v>359</v>
      </c>
      <c r="C259" s="25">
        <f>RANK('Final Sample'!AA259,'Final Sample'!$AA$2:$AA$612,0)+(COUNTIF('Final Sample'!$AA$2:$AA$612,'Final Sample'!AA259)-1)/2</f>
        <v>163</v>
      </c>
      <c r="D259" s="25">
        <f>RANK('Final Sample'!R259,'Final Sample'!$R$2:$R$612,0)+(COUNTIF('Final Sample'!$R$2:$R$612,'Final Sample'!R259)-1)/2</f>
        <v>115</v>
      </c>
      <c r="E259" s="25">
        <f>RANK('Final Sample'!AB259,'Final Sample'!$AB$2:$AB$612,0)+(COUNTIF('Final Sample'!$AB$2:$AB$612,'Final Sample'!AB259)-1)/2</f>
        <v>538</v>
      </c>
      <c r="F259" s="25">
        <f>RANK('Final Sample'!V259,'Final Sample'!$V$2:$V$612,0)+(COUNTIF('Final Sample'!$V$2:$V$612,'Final Sample'!V259)-1)/2</f>
        <v>195.5</v>
      </c>
    </row>
    <row r="260" spans="1:6" ht="15" customHeight="1" x14ac:dyDescent="0.3">
      <c r="A260" s="25">
        <f>RANK('Final Sample'!I260,'Final Sample'!$I$2:$I$612,0)+(COUNTIF('Final Sample'!$I$2:$I$612,'Final Sample'!I260)-1)/2</f>
        <v>162.5</v>
      </c>
      <c r="B260" s="25">
        <f>RANK('Final Sample'!J260,'Final Sample'!$J$2:$J$612,0)+(COUNTIF('Final Sample'!$J$2:$J$612,'Final Sample'!J260)-1)/2</f>
        <v>359</v>
      </c>
      <c r="C260" s="25">
        <f>RANK('Final Sample'!AA260,'Final Sample'!$AA$2:$AA$612,0)+(COUNTIF('Final Sample'!$AA$2:$AA$612,'Final Sample'!AA260)-1)/2</f>
        <v>35</v>
      </c>
      <c r="D260" s="25">
        <f>RANK('Final Sample'!R260,'Final Sample'!$R$2:$R$612,0)+(COUNTIF('Final Sample'!$R$2:$R$612,'Final Sample'!R260)-1)/2</f>
        <v>113</v>
      </c>
      <c r="E260" s="25">
        <f>RANK('Final Sample'!AB260,'Final Sample'!$AB$2:$AB$612,0)+(COUNTIF('Final Sample'!$AB$2:$AB$612,'Final Sample'!AB260)-1)/2</f>
        <v>559</v>
      </c>
      <c r="F260" s="25">
        <f>RANK('Final Sample'!V260,'Final Sample'!$V$2:$V$612,0)+(COUNTIF('Final Sample'!$V$2:$V$612,'Final Sample'!V260)-1)/2</f>
        <v>186.5</v>
      </c>
    </row>
    <row r="261" spans="1:6" ht="15" customHeight="1" x14ac:dyDescent="0.3">
      <c r="A261" s="25">
        <f>RANK('Final Sample'!I261,'Final Sample'!$I$2:$I$612,0)+(COUNTIF('Final Sample'!$I$2:$I$612,'Final Sample'!I261)-1)/2</f>
        <v>441.5</v>
      </c>
      <c r="B261" s="25">
        <f>RANK('Final Sample'!J261,'Final Sample'!$J$2:$J$612,0)+(COUNTIF('Final Sample'!$J$2:$J$612,'Final Sample'!J261)-1)/2</f>
        <v>359</v>
      </c>
      <c r="C261" s="25">
        <f>RANK('Final Sample'!AA261,'Final Sample'!$AA$2:$AA$612,0)+(COUNTIF('Final Sample'!$AA$2:$AA$612,'Final Sample'!AA261)-1)/2</f>
        <v>84</v>
      </c>
      <c r="D261" s="25">
        <f>RANK('Final Sample'!R261,'Final Sample'!$R$2:$R$612,0)+(COUNTIF('Final Sample'!$R$2:$R$612,'Final Sample'!R261)-1)/2</f>
        <v>479</v>
      </c>
      <c r="E261" s="25">
        <f>RANK('Final Sample'!AB261,'Final Sample'!$AB$2:$AB$612,0)+(COUNTIF('Final Sample'!$AB$2:$AB$612,'Final Sample'!AB261)-1)/2</f>
        <v>9</v>
      </c>
      <c r="F261" s="25">
        <f>RANK('Final Sample'!V261,'Final Sample'!$V$2:$V$612,0)+(COUNTIF('Final Sample'!$V$2:$V$612,'Final Sample'!V261)-1)/2</f>
        <v>206.5</v>
      </c>
    </row>
    <row r="262" spans="1:6" ht="15" customHeight="1" x14ac:dyDescent="0.3">
      <c r="A262" s="25">
        <f>RANK('Final Sample'!I262,'Final Sample'!$I$2:$I$612,0)+(COUNTIF('Final Sample'!$I$2:$I$612,'Final Sample'!I262)-1)/2</f>
        <v>441.5</v>
      </c>
      <c r="B262" s="25">
        <f>RANK('Final Sample'!J262,'Final Sample'!$J$2:$J$612,0)+(COUNTIF('Final Sample'!$J$2:$J$612,'Final Sample'!J262)-1)/2</f>
        <v>359</v>
      </c>
      <c r="C262" s="25">
        <f>RANK('Final Sample'!AA262,'Final Sample'!$AA$2:$AA$612,0)+(COUNTIF('Final Sample'!$AA$2:$AA$612,'Final Sample'!AA262)-1)/2</f>
        <v>127</v>
      </c>
      <c r="D262" s="25">
        <f>RANK('Final Sample'!R262,'Final Sample'!$R$2:$R$612,0)+(COUNTIF('Final Sample'!$R$2:$R$612,'Final Sample'!R262)-1)/2</f>
        <v>426</v>
      </c>
      <c r="E262" s="25">
        <f>RANK('Final Sample'!AB262,'Final Sample'!$AB$2:$AB$612,0)+(COUNTIF('Final Sample'!$AB$2:$AB$612,'Final Sample'!AB262)-1)/2</f>
        <v>23</v>
      </c>
      <c r="F262" s="25">
        <f>RANK('Final Sample'!V262,'Final Sample'!$V$2:$V$612,0)+(COUNTIF('Final Sample'!$V$2:$V$612,'Final Sample'!V262)-1)/2</f>
        <v>195.5</v>
      </c>
    </row>
    <row r="263" spans="1:6" ht="15" customHeight="1" x14ac:dyDescent="0.3">
      <c r="A263" s="25">
        <f>RANK('Final Sample'!I263,'Final Sample'!$I$2:$I$612,0)+(COUNTIF('Final Sample'!$I$2:$I$612,'Final Sample'!I263)-1)/2</f>
        <v>441.5</v>
      </c>
      <c r="B263" s="25">
        <f>RANK('Final Sample'!J263,'Final Sample'!$J$2:$J$612,0)+(COUNTIF('Final Sample'!$J$2:$J$612,'Final Sample'!J263)-1)/2</f>
        <v>359</v>
      </c>
      <c r="C263" s="25">
        <f>RANK('Final Sample'!AA263,'Final Sample'!$AA$2:$AA$612,0)+(COUNTIF('Final Sample'!$AA$2:$AA$612,'Final Sample'!AA263)-1)/2</f>
        <v>153</v>
      </c>
      <c r="D263" s="25">
        <f>RANK('Final Sample'!R263,'Final Sample'!$R$2:$R$612,0)+(COUNTIF('Final Sample'!$R$2:$R$612,'Final Sample'!R263)-1)/2</f>
        <v>405</v>
      </c>
      <c r="E263" s="25">
        <f>RANK('Final Sample'!AB263,'Final Sample'!$AB$2:$AB$612,0)+(COUNTIF('Final Sample'!$AB$2:$AB$612,'Final Sample'!AB263)-1)/2</f>
        <v>29</v>
      </c>
      <c r="F263" s="25">
        <f>RANK('Final Sample'!V263,'Final Sample'!$V$2:$V$612,0)+(COUNTIF('Final Sample'!$V$2:$V$612,'Final Sample'!V263)-1)/2</f>
        <v>186.5</v>
      </c>
    </row>
    <row r="264" spans="1:6" ht="15" customHeight="1" x14ac:dyDescent="0.3">
      <c r="A264" s="25">
        <f>RANK('Final Sample'!I264,'Final Sample'!$I$2:$I$612,0)+(COUNTIF('Final Sample'!$I$2:$I$612,'Final Sample'!I264)-1)/2</f>
        <v>441.5</v>
      </c>
      <c r="B264" s="25">
        <f>RANK('Final Sample'!J264,'Final Sample'!$J$2:$J$612,0)+(COUNTIF('Final Sample'!$J$2:$J$612,'Final Sample'!J264)-1)/2</f>
        <v>359</v>
      </c>
      <c r="C264" s="25">
        <f>RANK('Final Sample'!AA264,'Final Sample'!$AA$2:$AA$612,0)+(COUNTIF('Final Sample'!$AA$2:$AA$612,'Final Sample'!AA264)-1)/2</f>
        <v>179</v>
      </c>
      <c r="D264" s="25">
        <f>RANK('Final Sample'!R264,'Final Sample'!$R$2:$R$612,0)+(COUNTIF('Final Sample'!$R$2:$R$612,'Final Sample'!R264)-1)/2</f>
        <v>409</v>
      </c>
      <c r="E264" s="25">
        <f>RANK('Final Sample'!AB264,'Final Sample'!$AB$2:$AB$612,0)+(COUNTIF('Final Sample'!$AB$2:$AB$612,'Final Sample'!AB264)-1)/2</f>
        <v>34</v>
      </c>
      <c r="F264" s="25">
        <f>RANK('Final Sample'!V264,'Final Sample'!$V$2:$V$612,0)+(COUNTIF('Final Sample'!$V$2:$V$612,'Final Sample'!V264)-1)/2</f>
        <v>179.5</v>
      </c>
    </row>
    <row r="265" spans="1:6" ht="15" customHeight="1" x14ac:dyDescent="0.3">
      <c r="A265" s="25">
        <f>RANK('Final Sample'!I265,'Final Sample'!$I$2:$I$612,0)+(COUNTIF('Final Sample'!$I$2:$I$612,'Final Sample'!I265)-1)/2</f>
        <v>186.5</v>
      </c>
      <c r="B265" s="25">
        <f>RANK('Final Sample'!J265,'Final Sample'!$J$2:$J$612,0)+(COUNTIF('Final Sample'!$J$2:$J$612,'Final Sample'!J265)-1)/2</f>
        <v>359</v>
      </c>
      <c r="C265" s="25">
        <f>RANK('Final Sample'!AA265,'Final Sample'!$AA$2:$AA$612,0)+(COUNTIF('Final Sample'!$AA$2:$AA$612,'Final Sample'!AA265)-1)/2</f>
        <v>579</v>
      </c>
      <c r="D265" s="25">
        <f>RANK('Final Sample'!R265,'Final Sample'!$R$2:$R$612,0)+(COUNTIF('Final Sample'!$R$2:$R$612,'Final Sample'!R265)-1)/2</f>
        <v>421</v>
      </c>
      <c r="E265" s="25">
        <f>RANK('Final Sample'!AB265,'Final Sample'!$AB$2:$AB$612,0)+(COUNTIF('Final Sample'!$AB$2:$AB$612,'Final Sample'!AB265)-1)/2</f>
        <v>522</v>
      </c>
      <c r="F265" s="25">
        <f>RANK('Final Sample'!V265,'Final Sample'!$V$2:$V$612,0)+(COUNTIF('Final Sample'!$V$2:$V$612,'Final Sample'!V265)-1)/2</f>
        <v>174</v>
      </c>
    </row>
    <row r="266" spans="1:6" ht="15" customHeight="1" x14ac:dyDescent="0.3">
      <c r="A266" s="25">
        <f>RANK('Final Sample'!I266,'Final Sample'!$I$2:$I$612,0)+(COUNTIF('Final Sample'!$I$2:$I$612,'Final Sample'!I266)-1)/2</f>
        <v>441.5</v>
      </c>
      <c r="B266" s="25">
        <f>RANK('Final Sample'!J266,'Final Sample'!$J$2:$J$612,0)+(COUNTIF('Final Sample'!$J$2:$J$612,'Final Sample'!J266)-1)/2</f>
        <v>359</v>
      </c>
      <c r="C266" s="25">
        <f>RANK('Final Sample'!AA266,'Final Sample'!$AA$2:$AA$612,0)+(COUNTIF('Final Sample'!$AA$2:$AA$612,'Final Sample'!AA266)-1)/2</f>
        <v>385</v>
      </c>
      <c r="D266" s="25">
        <f>RANK('Final Sample'!R266,'Final Sample'!$R$2:$R$612,0)+(COUNTIF('Final Sample'!$R$2:$R$612,'Final Sample'!R266)-1)/2</f>
        <v>160</v>
      </c>
      <c r="E266" s="25">
        <f>RANK('Final Sample'!AB266,'Final Sample'!$AB$2:$AB$612,0)+(COUNTIF('Final Sample'!$AB$2:$AB$612,'Final Sample'!AB266)-1)/2</f>
        <v>119</v>
      </c>
      <c r="F266" s="25">
        <f>RANK('Final Sample'!V266,'Final Sample'!$V$2:$V$612,0)+(COUNTIF('Final Sample'!$V$2:$V$612,'Final Sample'!V266)-1)/2</f>
        <v>520.5</v>
      </c>
    </row>
    <row r="267" spans="1:6" ht="15" customHeight="1" x14ac:dyDescent="0.3">
      <c r="A267" s="25">
        <f>RANK('Final Sample'!I267,'Final Sample'!$I$2:$I$612,0)+(COUNTIF('Final Sample'!$I$2:$I$612,'Final Sample'!I267)-1)/2</f>
        <v>441.5</v>
      </c>
      <c r="B267" s="25">
        <f>RANK('Final Sample'!J267,'Final Sample'!$J$2:$J$612,0)+(COUNTIF('Final Sample'!$J$2:$J$612,'Final Sample'!J267)-1)/2</f>
        <v>359</v>
      </c>
      <c r="C267" s="25">
        <f>RANK('Final Sample'!AA267,'Final Sample'!$AA$2:$AA$612,0)+(COUNTIF('Final Sample'!$AA$2:$AA$612,'Final Sample'!AA267)-1)/2</f>
        <v>368</v>
      </c>
      <c r="D267" s="25">
        <f>RANK('Final Sample'!R267,'Final Sample'!$R$2:$R$612,0)+(COUNTIF('Final Sample'!$R$2:$R$612,'Final Sample'!R267)-1)/2</f>
        <v>152</v>
      </c>
      <c r="E267" s="25">
        <f>RANK('Final Sample'!AB267,'Final Sample'!$AB$2:$AB$612,0)+(COUNTIF('Final Sample'!$AB$2:$AB$612,'Final Sample'!AB267)-1)/2</f>
        <v>102</v>
      </c>
      <c r="F267" s="25">
        <f>RANK('Final Sample'!V267,'Final Sample'!$V$2:$V$612,0)+(COUNTIF('Final Sample'!$V$2:$V$612,'Final Sample'!V267)-1)/2</f>
        <v>509.5</v>
      </c>
    </row>
    <row r="268" spans="1:6" ht="15" customHeight="1" x14ac:dyDescent="0.3">
      <c r="A268" s="25">
        <f>RANK('Final Sample'!I268,'Final Sample'!$I$2:$I$612,0)+(COUNTIF('Final Sample'!$I$2:$I$612,'Final Sample'!I268)-1)/2</f>
        <v>441.5</v>
      </c>
      <c r="B268" s="25">
        <f>RANK('Final Sample'!J268,'Final Sample'!$J$2:$J$612,0)+(COUNTIF('Final Sample'!$J$2:$J$612,'Final Sample'!J268)-1)/2</f>
        <v>359</v>
      </c>
      <c r="C268" s="25">
        <f>RANK('Final Sample'!AA268,'Final Sample'!$AA$2:$AA$612,0)+(COUNTIF('Final Sample'!$AA$2:$AA$612,'Final Sample'!AA268)-1)/2</f>
        <v>339</v>
      </c>
      <c r="D268" s="25">
        <f>RANK('Final Sample'!R268,'Final Sample'!$R$2:$R$612,0)+(COUNTIF('Final Sample'!$R$2:$R$612,'Final Sample'!R268)-1)/2</f>
        <v>126</v>
      </c>
      <c r="E268" s="25">
        <f>RANK('Final Sample'!AB268,'Final Sample'!$AB$2:$AB$612,0)+(COUNTIF('Final Sample'!$AB$2:$AB$612,'Final Sample'!AB268)-1)/2</f>
        <v>91</v>
      </c>
      <c r="F268" s="25">
        <f>RANK('Final Sample'!V268,'Final Sample'!$V$2:$V$612,0)+(COUNTIF('Final Sample'!$V$2:$V$612,'Final Sample'!V268)-1)/2</f>
        <v>499</v>
      </c>
    </row>
    <row r="269" spans="1:6" ht="15" customHeight="1" x14ac:dyDescent="0.3">
      <c r="A269" s="25">
        <f>RANK('Final Sample'!I269,'Final Sample'!$I$2:$I$612,0)+(COUNTIF('Final Sample'!$I$2:$I$612,'Final Sample'!I269)-1)/2</f>
        <v>441.5</v>
      </c>
      <c r="B269" s="25">
        <f>RANK('Final Sample'!J269,'Final Sample'!$J$2:$J$612,0)+(COUNTIF('Final Sample'!$J$2:$J$612,'Final Sample'!J269)-1)/2</f>
        <v>359</v>
      </c>
      <c r="C269" s="25">
        <f>RANK('Final Sample'!AA269,'Final Sample'!$AA$2:$AA$612,0)+(COUNTIF('Final Sample'!$AA$2:$AA$612,'Final Sample'!AA269)-1)/2</f>
        <v>333</v>
      </c>
      <c r="D269" s="25">
        <f>RANK('Final Sample'!R269,'Final Sample'!$R$2:$R$612,0)+(COUNTIF('Final Sample'!$R$2:$R$612,'Final Sample'!R269)-1)/2</f>
        <v>92</v>
      </c>
      <c r="E269" s="25">
        <f>RANK('Final Sample'!AB269,'Final Sample'!$AB$2:$AB$612,0)+(COUNTIF('Final Sample'!$AB$2:$AB$612,'Final Sample'!AB269)-1)/2</f>
        <v>88</v>
      </c>
      <c r="F269" s="25">
        <f>RANK('Final Sample'!V269,'Final Sample'!$V$2:$V$612,0)+(COUNTIF('Final Sample'!$V$2:$V$612,'Final Sample'!V269)-1)/2</f>
        <v>490.5</v>
      </c>
    </row>
    <row r="270" spans="1:6" ht="15" customHeight="1" x14ac:dyDescent="0.3">
      <c r="A270" s="25">
        <f>RANK('Final Sample'!I270,'Final Sample'!$I$2:$I$612,0)+(COUNTIF('Final Sample'!$I$2:$I$612,'Final Sample'!I270)-1)/2</f>
        <v>441.5</v>
      </c>
      <c r="B270" s="25">
        <f>RANK('Final Sample'!J270,'Final Sample'!$J$2:$J$612,0)+(COUNTIF('Final Sample'!$J$2:$J$612,'Final Sample'!J270)-1)/2</f>
        <v>359</v>
      </c>
      <c r="C270" s="25">
        <f>RANK('Final Sample'!AA270,'Final Sample'!$AA$2:$AA$612,0)+(COUNTIF('Final Sample'!$AA$2:$AA$612,'Final Sample'!AA270)-1)/2</f>
        <v>322</v>
      </c>
      <c r="D270" s="25">
        <f>RANK('Final Sample'!R270,'Final Sample'!$R$2:$R$612,0)+(COUNTIF('Final Sample'!$R$2:$R$612,'Final Sample'!R270)-1)/2</f>
        <v>85</v>
      </c>
      <c r="E270" s="25">
        <f>RANK('Final Sample'!AB270,'Final Sample'!$AB$2:$AB$612,0)+(COUNTIF('Final Sample'!$AB$2:$AB$612,'Final Sample'!AB270)-1)/2</f>
        <v>100</v>
      </c>
      <c r="F270" s="25">
        <f>RANK('Final Sample'!V270,'Final Sample'!$V$2:$V$612,0)+(COUNTIF('Final Sample'!$V$2:$V$612,'Final Sample'!V270)-1)/2</f>
        <v>483.5</v>
      </c>
    </row>
    <row r="271" spans="1:6" ht="15" customHeight="1" x14ac:dyDescent="0.3">
      <c r="A271" s="25">
        <f>RANK('Final Sample'!I271,'Final Sample'!$I$2:$I$612,0)+(COUNTIF('Final Sample'!$I$2:$I$612,'Final Sample'!I271)-1)/2</f>
        <v>441.5</v>
      </c>
      <c r="B271" s="25">
        <f>RANK('Final Sample'!J271,'Final Sample'!$J$2:$J$612,0)+(COUNTIF('Final Sample'!$J$2:$J$612,'Final Sample'!J271)-1)/2</f>
        <v>359</v>
      </c>
      <c r="C271" s="25">
        <f>RANK('Final Sample'!AA271,'Final Sample'!$AA$2:$AA$612,0)+(COUNTIF('Final Sample'!$AA$2:$AA$612,'Final Sample'!AA271)-1)/2</f>
        <v>265</v>
      </c>
      <c r="D271" s="25">
        <f>RANK('Final Sample'!R271,'Final Sample'!$R$2:$R$612,0)+(COUNTIF('Final Sample'!$R$2:$R$612,'Final Sample'!R271)-1)/2</f>
        <v>444</v>
      </c>
      <c r="E271" s="25">
        <f>RANK('Final Sample'!AB271,'Final Sample'!$AB$2:$AB$612,0)+(COUNTIF('Final Sample'!$AB$2:$AB$612,'Final Sample'!AB271)-1)/2</f>
        <v>63</v>
      </c>
      <c r="F271" s="25">
        <f>RANK('Final Sample'!V271,'Final Sample'!$V$2:$V$612,0)+(COUNTIF('Final Sample'!$V$2:$V$612,'Final Sample'!V271)-1)/2</f>
        <v>460</v>
      </c>
    </row>
    <row r="272" spans="1:6" ht="15" customHeight="1" x14ac:dyDescent="0.3">
      <c r="A272" s="25">
        <f>RANK('Final Sample'!I272,'Final Sample'!$I$2:$I$612,0)+(COUNTIF('Final Sample'!$I$2:$I$612,'Final Sample'!I272)-1)/2</f>
        <v>441.5</v>
      </c>
      <c r="B272" s="25">
        <f>RANK('Final Sample'!J272,'Final Sample'!$J$2:$J$612,0)+(COUNTIF('Final Sample'!$J$2:$J$612,'Final Sample'!J272)-1)/2</f>
        <v>359</v>
      </c>
      <c r="C272" s="25">
        <f>RANK('Final Sample'!AA272,'Final Sample'!$AA$2:$AA$612,0)+(COUNTIF('Final Sample'!$AA$2:$AA$612,'Final Sample'!AA272)-1)/2</f>
        <v>299</v>
      </c>
      <c r="D272" s="25">
        <f>RANK('Final Sample'!R272,'Final Sample'!$R$2:$R$612,0)+(COUNTIF('Final Sample'!$R$2:$R$612,'Final Sample'!R272)-1)/2</f>
        <v>442</v>
      </c>
      <c r="E272" s="25">
        <f>RANK('Final Sample'!AB272,'Final Sample'!$AB$2:$AB$612,0)+(COUNTIF('Final Sample'!$AB$2:$AB$612,'Final Sample'!AB272)-1)/2</f>
        <v>65</v>
      </c>
      <c r="F272" s="25">
        <f>RANK('Final Sample'!V272,'Final Sample'!$V$2:$V$612,0)+(COUNTIF('Final Sample'!$V$2:$V$612,'Final Sample'!V272)-1)/2</f>
        <v>451</v>
      </c>
    </row>
    <row r="273" spans="1:6" ht="15" customHeight="1" x14ac:dyDescent="0.3">
      <c r="A273" s="25">
        <f>RANK('Final Sample'!I273,'Final Sample'!$I$2:$I$612,0)+(COUNTIF('Final Sample'!$I$2:$I$612,'Final Sample'!I273)-1)/2</f>
        <v>441.5</v>
      </c>
      <c r="B273" s="25">
        <f>RANK('Final Sample'!J273,'Final Sample'!$J$2:$J$612,0)+(COUNTIF('Final Sample'!$J$2:$J$612,'Final Sample'!J273)-1)/2</f>
        <v>359</v>
      </c>
      <c r="C273" s="25">
        <f>RANK('Final Sample'!AA273,'Final Sample'!$AA$2:$AA$612,0)+(COUNTIF('Final Sample'!$AA$2:$AA$612,'Final Sample'!AA273)-1)/2</f>
        <v>134</v>
      </c>
      <c r="D273" s="25">
        <f>RANK('Final Sample'!R273,'Final Sample'!$R$2:$R$612,0)+(COUNTIF('Final Sample'!$R$2:$R$612,'Final Sample'!R273)-1)/2</f>
        <v>431</v>
      </c>
      <c r="E273" s="25">
        <f>RANK('Final Sample'!AB273,'Final Sample'!$AB$2:$AB$612,0)+(COUNTIF('Final Sample'!$AB$2:$AB$612,'Final Sample'!AB273)-1)/2</f>
        <v>62</v>
      </c>
      <c r="F273" s="25">
        <f>RANK('Final Sample'!V273,'Final Sample'!$V$2:$V$612,0)+(COUNTIF('Final Sample'!$V$2:$V$612,'Final Sample'!V273)-1)/2</f>
        <v>440</v>
      </c>
    </row>
    <row r="274" spans="1:6" ht="15" customHeight="1" x14ac:dyDescent="0.3">
      <c r="A274" s="25">
        <f>RANK('Final Sample'!I274,'Final Sample'!$I$2:$I$612,0)+(COUNTIF('Final Sample'!$I$2:$I$612,'Final Sample'!I274)-1)/2</f>
        <v>162.5</v>
      </c>
      <c r="B274" s="25">
        <f>RANK('Final Sample'!J274,'Final Sample'!$J$2:$J$612,0)+(COUNTIF('Final Sample'!$J$2:$J$612,'Final Sample'!J274)-1)/2</f>
        <v>359</v>
      </c>
      <c r="C274" s="25">
        <f>RANK('Final Sample'!AA274,'Final Sample'!$AA$2:$AA$612,0)+(COUNTIF('Final Sample'!$AA$2:$AA$612,'Final Sample'!AA274)-1)/2</f>
        <v>229</v>
      </c>
      <c r="D274" s="25">
        <f>RANK('Final Sample'!R274,'Final Sample'!$R$2:$R$612,0)+(COUNTIF('Final Sample'!$R$2:$R$612,'Final Sample'!R274)-1)/2</f>
        <v>321</v>
      </c>
      <c r="E274" s="25">
        <f>RANK('Final Sample'!AB274,'Final Sample'!$AB$2:$AB$612,0)+(COUNTIF('Final Sample'!$AB$2:$AB$612,'Final Sample'!AB274)-1)/2</f>
        <v>489</v>
      </c>
      <c r="F274" s="25">
        <f>RANK('Final Sample'!V274,'Final Sample'!$V$2:$V$612,0)+(COUNTIF('Final Sample'!$V$2:$V$612,'Final Sample'!V274)-1)/2</f>
        <v>425.5</v>
      </c>
    </row>
    <row r="275" spans="1:6" ht="15" customHeight="1" x14ac:dyDescent="0.3">
      <c r="A275" s="25">
        <f>RANK('Final Sample'!I275,'Final Sample'!$I$2:$I$612,0)+(COUNTIF('Final Sample'!$I$2:$I$612,'Final Sample'!I275)-1)/2</f>
        <v>441.5</v>
      </c>
      <c r="B275" s="25">
        <f>RANK('Final Sample'!J275,'Final Sample'!$J$2:$J$612,0)+(COUNTIF('Final Sample'!$J$2:$J$612,'Final Sample'!J275)-1)/2</f>
        <v>359</v>
      </c>
      <c r="C275" s="25">
        <f>RANK('Final Sample'!AA275,'Final Sample'!$AA$2:$AA$612,0)+(COUNTIF('Final Sample'!$AA$2:$AA$612,'Final Sample'!AA275)-1)/2</f>
        <v>207</v>
      </c>
      <c r="D275" s="25">
        <f>RANK('Final Sample'!R275,'Final Sample'!$R$2:$R$612,0)+(COUNTIF('Final Sample'!$R$2:$R$612,'Final Sample'!R275)-1)/2</f>
        <v>320</v>
      </c>
      <c r="E275" s="25">
        <f>RANK('Final Sample'!AB275,'Final Sample'!$AB$2:$AB$612,0)+(COUNTIF('Final Sample'!$AB$2:$AB$612,'Final Sample'!AB275)-1)/2</f>
        <v>488</v>
      </c>
      <c r="F275" s="25">
        <f>RANK('Final Sample'!V275,'Final Sample'!$V$2:$V$612,0)+(COUNTIF('Final Sample'!$V$2:$V$612,'Final Sample'!V275)-1)/2</f>
        <v>408</v>
      </c>
    </row>
    <row r="276" spans="1:6" ht="15" customHeight="1" x14ac:dyDescent="0.3">
      <c r="A276" s="25">
        <f>RANK('Final Sample'!I276,'Final Sample'!$I$2:$I$612,0)+(COUNTIF('Final Sample'!$I$2:$I$612,'Final Sample'!I276)-1)/2</f>
        <v>146.5</v>
      </c>
      <c r="B276" s="25">
        <f>RANK('Final Sample'!J276,'Final Sample'!$J$2:$J$612,0)+(COUNTIF('Final Sample'!$J$2:$J$612,'Final Sample'!J276)-1)/2</f>
        <v>79.5</v>
      </c>
      <c r="C276" s="25">
        <f>RANK('Final Sample'!AA276,'Final Sample'!$AA$2:$AA$612,0)+(COUNTIF('Final Sample'!$AA$2:$AA$612,'Final Sample'!AA276)-1)/2</f>
        <v>406</v>
      </c>
      <c r="D276" s="25">
        <f>RANK('Final Sample'!R276,'Final Sample'!$R$2:$R$612,0)+(COUNTIF('Final Sample'!$R$2:$R$612,'Final Sample'!R276)-1)/2</f>
        <v>137</v>
      </c>
      <c r="E276" s="25">
        <f>RANK('Final Sample'!AB276,'Final Sample'!$AB$2:$AB$612,0)+(COUNTIF('Final Sample'!$AB$2:$AB$612,'Final Sample'!AB276)-1)/2</f>
        <v>149</v>
      </c>
      <c r="F276" s="25">
        <f>RANK('Final Sample'!V276,'Final Sample'!$V$2:$V$612,0)+(COUNTIF('Final Sample'!$V$2:$V$612,'Final Sample'!V276)-1)/2</f>
        <v>218</v>
      </c>
    </row>
    <row r="277" spans="1:6" ht="15" customHeight="1" x14ac:dyDescent="0.3">
      <c r="A277" s="25">
        <f>RANK('Final Sample'!I277,'Final Sample'!$I$2:$I$612,0)+(COUNTIF('Final Sample'!$I$2:$I$612,'Final Sample'!I277)-1)/2</f>
        <v>146.5</v>
      </c>
      <c r="B277" s="25">
        <f>RANK('Final Sample'!J277,'Final Sample'!$J$2:$J$612,0)+(COUNTIF('Final Sample'!$J$2:$J$612,'Final Sample'!J277)-1)/2</f>
        <v>79.5</v>
      </c>
      <c r="C277" s="25">
        <f>RANK('Final Sample'!AA277,'Final Sample'!$AA$2:$AA$612,0)+(COUNTIF('Final Sample'!$AA$2:$AA$612,'Final Sample'!AA277)-1)/2</f>
        <v>404</v>
      </c>
      <c r="D277" s="25">
        <f>RANK('Final Sample'!R277,'Final Sample'!$R$2:$R$612,0)+(COUNTIF('Final Sample'!$R$2:$R$612,'Final Sample'!R277)-1)/2</f>
        <v>133</v>
      </c>
      <c r="E277" s="25">
        <f>RANK('Final Sample'!AB277,'Final Sample'!$AB$2:$AB$612,0)+(COUNTIF('Final Sample'!$AB$2:$AB$612,'Final Sample'!AB277)-1)/2</f>
        <v>151</v>
      </c>
      <c r="F277" s="25">
        <f>RANK('Final Sample'!V277,'Final Sample'!$V$2:$V$612,0)+(COUNTIF('Final Sample'!$V$2:$V$612,'Final Sample'!V277)-1)/2</f>
        <v>206.5</v>
      </c>
    </row>
    <row r="278" spans="1:6" ht="15" customHeight="1" x14ac:dyDescent="0.3">
      <c r="A278" s="25">
        <f>RANK('Final Sample'!I278,'Final Sample'!$I$2:$I$612,0)+(COUNTIF('Final Sample'!$I$2:$I$612,'Final Sample'!I278)-1)/2</f>
        <v>146.5</v>
      </c>
      <c r="B278" s="25">
        <f>RANK('Final Sample'!J278,'Final Sample'!$J$2:$J$612,0)+(COUNTIF('Final Sample'!$J$2:$J$612,'Final Sample'!J278)-1)/2</f>
        <v>79.5</v>
      </c>
      <c r="C278" s="25">
        <f>RANK('Final Sample'!AA278,'Final Sample'!$AA$2:$AA$612,0)+(COUNTIF('Final Sample'!$AA$2:$AA$612,'Final Sample'!AA278)-1)/2</f>
        <v>429</v>
      </c>
      <c r="D278" s="25">
        <f>RANK('Final Sample'!R278,'Final Sample'!$R$2:$R$612,0)+(COUNTIF('Final Sample'!$R$2:$R$612,'Final Sample'!R278)-1)/2</f>
        <v>117</v>
      </c>
      <c r="E278" s="25">
        <f>RANK('Final Sample'!AB278,'Final Sample'!$AB$2:$AB$612,0)+(COUNTIF('Final Sample'!$AB$2:$AB$612,'Final Sample'!AB278)-1)/2</f>
        <v>185</v>
      </c>
      <c r="F278" s="25">
        <f>RANK('Final Sample'!V278,'Final Sample'!$V$2:$V$612,0)+(COUNTIF('Final Sample'!$V$2:$V$612,'Final Sample'!V278)-1)/2</f>
        <v>195.5</v>
      </c>
    </row>
    <row r="279" spans="1:6" ht="15" customHeight="1" x14ac:dyDescent="0.3">
      <c r="A279" s="25">
        <f>RANK('Final Sample'!I279,'Final Sample'!$I$2:$I$612,0)+(COUNTIF('Final Sample'!$I$2:$I$612,'Final Sample'!I279)-1)/2</f>
        <v>49.5</v>
      </c>
      <c r="B279" s="25">
        <f>RANK('Final Sample'!J279,'Final Sample'!$J$2:$J$612,0)+(COUNTIF('Final Sample'!$J$2:$J$612,'Final Sample'!J279)-1)/2</f>
        <v>64.5</v>
      </c>
      <c r="C279" s="25">
        <f>RANK('Final Sample'!AA279,'Final Sample'!$AA$2:$AA$612,0)+(COUNTIF('Final Sample'!$AA$2:$AA$612,'Final Sample'!AA279)-1)/2</f>
        <v>483</v>
      </c>
      <c r="D279" s="25">
        <f>RANK('Final Sample'!R279,'Final Sample'!$R$2:$R$612,0)+(COUNTIF('Final Sample'!$R$2:$R$612,'Final Sample'!R279)-1)/2</f>
        <v>98</v>
      </c>
      <c r="E279" s="25">
        <f>RANK('Final Sample'!AB279,'Final Sample'!$AB$2:$AB$612,0)+(COUNTIF('Final Sample'!$AB$2:$AB$612,'Final Sample'!AB279)-1)/2</f>
        <v>309</v>
      </c>
      <c r="F279" s="25">
        <f>RANK('Final Sample'!V279,'Final Sample'!$V$2:$V$612,0)+(COUNTIF('Final Sample'!$V$2:$V$612,'Final Sample'!V279)-1)/2</f>
        <v>186.5</v>
      </c>
    </row>
    <row r="280" spans="1:6" ht="15" customHeight="1" x14ac:dyDescent="0.3">
      <c r="A280" s="25">
        <f>RANK('Final Sample'!I280,'Final Sample'!$I$2:$I$612,0)+(COUNTIF('Final Sample'!$I$2:$I$612,'Final Sample'!I280)-1)/2</f>
        <v>49.5</v>
      </c>
      <c r="B280" s="25">
        <f>RANK('Final Sample'!J280,'Final Sample'!$J$2:$J$612,0)+(COUNTIF('Final Sample'!$J$2:$J$612,'Final Sample'!J280)-1)/2</f>
        <v>64.5</v>
      </c>
      <c r="C280" s="25">
        <f>RANK('Final Sample'!AA280,'Final Sample'!$AA$2:$AA$612,0)+(COUNTIF('Final Sample'!$AA$2:$AA$612,'Final Sample'!AA280)-1)/2</f>
        <v>411</v>
      </c>
      <c r="D280" s="25">
        <f>RANK('Final Sample'!R280,'Final Sample'!$R$2:$R$612,0)+(COUNTIF('Final Sample'!$R$2:$R$612,'Final Sample'!R280)-1)/2</f>
        <v>93</v>
      </c>
      <c r="E280" s="25">
        <f>RANK('Final Sample'!AB280,'Final Sample'!$AB$2:$AB$612,0)+(COUNTIF('Final Sample'!$AB$2:$AB$612,'Final Sample'!AB280)-1)/2</f>
        <v>263</v>
      </c>
      <c r="F280" s="25">
        <f>RANK('Final Sample'!V280,'Final Sample'!$V$2:$V$612,0)+(COUNTIF('Final Sample'!$V$2:$V$612,'Final Sample'!V280)-1)/2</f>
        <v>179.5</v>
      </c>
    </row>
    <row r="281" spans="1:6" ht="15" customHeight="1" x14ac:dyDescent="0.3">
      <c r="A281" s="25">
        <f>RANK('Final Sample'!I281,'Final Sample'!$I$2:$I$612,0)+(COUNTIF('Final Sample'!$I$2:$I$612,'Final Sample'!I281)-1)/2</f>
        <v>441.5</v>
      </c>
      <c r="B281" s="25">
        <f>RANK('Final Sample'!J281,'Final Sample'!$J$2:$J$612,0)+(COUNTIF('Final Sample'!$J$2:$J$612,'Final Sample'!J281)-1)/2</f>
        <v>359</v>
      </c>
      <c r="C281" s="25">
        <f>RANK('Final Sample'!AA281,'Final Sample'!$AA$2:$AA$612,0)+(COUNTIF('Final Sample'!$AA$2:$AA$612,'Final Sample'!AA281)-1)/2</f>
        <v>517</v>
      </c>
      <c r="D281" s="25">
        <f>RANK('Final Sample'!R281,'Final Sample'!$R$2:$R$612,0)+(COUNTIF('Final Sample'!$R$2:$R$612,'Final Sample'!R281)-1)/2</f>
        <v>463</v>
      </c>
      <c r="E281" s="25">
        <f>RANK('Final Sample'!AB281,'Final Sample'!$AB$2:$AB$612,0)+(COUNTIF('Final Sample'!$AB$2:$AB$612,'Final Sample'!AB281)-1)/2</f>
        <v>209</v>
      </c>
      <c r="F281" s="25">
        <f>RANK('Final Sample'!V281,'Final Sample'!$V$2:$V$612,0)+(COUNTIF('Final Sample'!$V$2:$V$612,'Final Sample'!V281)-1)/2</f>
        <v>154.5</v>
      </c>
    </row>
    <row r="282" spans="1:6" ht="15" customHeight="1" x14ac:dyDescent="0.3">
      <c r="A282" s="25">
        <f>RANK('Final Sample'!I282,'Final Sample'!$I$2:$I$612,0)+(COUNTIF('Final Sample'!$I$2:$I$612,'Final Sample'!I282)-1)/2</f>
        <v>441.5</v>
      </c>
      <c r="B282" s="25">
        <f>RANK('Final Sample'!J282,'Final Sample'!$J$2:$J$612,0)+(COUNTIF('Final Sample'!$J$2:$J$612,'Final Sample'!J282)-1)/2</f>
        <v>359</v>
      </c>
      <c r="C282" s="25">
        <f>RANK('Final Sample'!AA282,'Final Sample'!$AA$2:$AA$612,0)+(COUNTIF('Final Sample'!$AA$2:$AA$612,'Final Sample'!AA282)-1)/2</f>
        <v>540</v>
      </c>
      <c r="D282" s="25">
        <f>RANK('Final Sample'!R282,'Final Sample'!$R$2:$R$612,0)+(COUNTIF('Final Sample'!$R$2:$R$612,'Final Sample'!R282)-1)/2</f>
        <v>468</v>
      </c>
      <c r="E282" s="25">
        <f>RANK('Final Sample'!AB282,'Final Sample'!$AB$2:$AB$612,0)+(COUNTIF('Final Sample'!$AB$2:$AB$612,'Final Sample'!AB282)-1)/2</f>
        <v>252</v>
      </c>
      <c r="F282" s="25">
        <f>RANK('Final Sample'!V282,'Final Sample'!$V$2:$V$612,0)+(COUNTIF('Final Sample'!$V$2:$V$612,'Final Sample'!V282)-1)/2</f>
        <v>143.5</v>
      </c>
    </row>
    <row r="283" spans="1:6" ht="15" customHeight="1" x14ac:dyDescent="0.3">
      <c r="A283" s="25">
        <f>RANK('Final Sample'!I283,'Final Sample'!$I$2:$I$612,0)+(COUNTIF('Final Sample'!$I$2:$I$612,'Final Sample'!I283)-1)/2</f>
        <v>441.5</v>
      </c>
      <c r="B283" s="25">
        <f>RANK('Final Sample'!J283,'Final Sample'!$J$2:$J$612,0)+(COUNTIF('Final Sample'!$J$2:$J$612,'Final Sample'!J283)-1)/2</f>
        <v>359</v>
      </c>
      <c r="C283" s="25">
        <f>RANK('Final Sample'!AA283,'Final Sample'!$AA$2:$AA$612,0)+(COUNTIF('Final Sample'!$AA$2:$AA$612,'Final Sample'!AA283)-1)/2</f>
        <v>457</v>
      </c>
      <c r="D283" s="25">
        <f>RANK('Final Sample'!R283,'Final Sample'!$R$2:$R$612,0)+(COUNTIF('Final Sample'!$R$2:$R$612,'Final Sample'!R283)-1)/2</f>
        <v>429</v>
      </c>
      <c r="E283" s="25">
        <f>RANK('Final Sample'!AB283,'Final Sample'!$AB$2:$AB$612,0)+(COUNTIF('Final Sample'!$AB$2:$AB$612,'Final Sample'!AB283)-1)/2</f>
        <v>168</v>
      </c>
      <c r="F283" s="25">
        <f>RANK('Final Sample'!V283,'Final Sample'!$V$2:$V$612,0)+(COUNTIF('Final Sample'!$V$2:$V$612,'Final Sample'!V283)-1)/2</f>
        <v>129.5</v>
      </c>
    </row>
    <row r="284" spans="1:6" ht="15" customHeight="1" x14ac:dyDescent="0.3">
      <c r="A284" s="25">
        <f>RANK('Final Sample'!I284,'Final Sample'!$I$2:$I$612,0)+(COUNTIF('Final Sample'!$I$2:$I$612,'Final Sample'!I284)-1)/2</f>
        <v>441.5</v>
      </c>
      <c r="B284" s="25">
        <f>RANK('Final Sample'!J284,'Final Sample'!$J$2:$J$612,0)+(COUNTIF('Final Sample'!$J$2:$J$612,'Final Sample'!J284)-1)/2</f>
        <v>359</v>
      </c>
      <c r="C284" s="25">
        <f>RANK('Final Sample'!AA284,'Final Sample'!$AA$2:$AA$612,0)+(COUNTIF('Final Sample'!$AA$2:$AA$612,'Final Sample'!AA284)-1)/2</f>
        <v>533</v>
      </c>
      <c r="D284" s="25">
        <f>RANK('Final Sample'!R284,'Final Sample'!$R$2:$R$612,0)+(COUNTIF('Final Sample'!$R$2:$R$612,'Final Sample'!R284)-1)/2</f>
        <v>481</v>
      </c>
      <c r="E284" s="25">
        <f>RANK('Final Sample'!AB284,'Final Sample'!$AB$2:$AB$612,0)+(COUNTIF('Final Sample'!$AB$2:$AB$612,'Final Sample'!AB284)-1)/2</f>
        <v>476</v>
      </c>
      <c r="F284" s="25">
        <f>RANK('Final Sample'!V284,'Final Sample'!$V$2:$V$612,0)+(COUNTIF('Final Sample'!$V$2:$V$612,'Final Sample'!V284)-1)/2</f>
        <v>113.5</v>
      </c>
    </row>
    <row r="285" spans="1:6" ht="15" customHeight="1" x14ac:dyDescent="0.3">
      <c r="A285" s="25">
        <f>RANK('Final Sample'!I285,'Final Sample'!$I$2:$I$612,0)+(COUNTIF('Final Sample'!$I$2:$I$612,'Final Sample'!I285)-1)/2</f>
        <v>441.5</v>
      </c>
      <c r="B285" s="25">
        <f>RANK('Final Sample'!J285,'Final Sample'!$J$2:$J$612,0)+(COUNTIF('Final Sample'!$J$2:$J$612,'Final Sample'!J285)-1)/2</f>
        <v>359</v>
      </c>
      <c r="C285" s="25">
        <f>RANK('Final Sample'!AA285,'Final Sample'!$AA$2:$AA$612,0)+(COUNTIF('Final Sample'!$AA$2:$AA$612,'Final Sample'!AA285)-1)/2</f>
        <v>571</v>
      </c>
      <c r="D285" s="25">
        <f>RANK('Final Sample'!R285,'Final Sample'!$R$2:$R$612,0)+(COUNTIF('Final Sample'!$R$2:$R$612,'Final Sample'!R285)-1)/2</f>
        <v>473</v>
      </c>
      <c r="E285" s="25">
        <f>RANK('Final Sample'!AB285,'Final Sample'!$AB$2:$AB$612,0)+(COUNTIF('Final Sample'!$AB$2:$AB$612,'Final Sample'!AB285)-1)/2</f>
        <v>477</v>
      </c>
      <c r="F285" s="25">
        <f>RANK('Final Sample'!V285,'Final Sample'!$V$2:$V$612,0)+(COUNTIF('Final Sample'!$V$2:$V$612,'Final Sample'!V285)-1)/2</f>
        <v>97.5</v>
      </c>
    </row>
    <row r="286" spans="1:6" ht="15" customHeight="1" x14ac:dyDescent="0.3">
      <c r="A286" s="25">
        <f>RANK('Final Sample'!I286,'Final Sample'!$I$2:$I$612,0)+(COUNTIF('Final Sample'!$I$2:$I$612,'Final Sample'!I286)-1)/2</f>
        <v>441.5</v>
      </c>
      <c r="B286" s="25">
        <f>RANK('Final Sample'!J286,'Final Sample'!$J$2:$J$612,0)+(COUNTIF('Final Sample'!$J$2:$J$612,'Final Sample'!J286)-1)/2</f>
        <v>359</v>
      </c>
      <c r="C286" s="25">
        <f>RANK('Final Sample'!AA286,'Final Sample'!$AA$2:$AA$612,0)+(COUNTIF('Final Sample'!$AA$2:$AA$612,'Final Sample'!AA286)-1)/2</f>
        <v>43</v>
      </c>
      <c r="D286" s="25">
        <f>RANK('Final Sample'!R286,'Final Sample'!$R$2:$R$612,0)+(COUNTIF('Final Sample'!$R$2:$R$612,'Final Sample'!R286)-1)/2</f>
        <v>602</v>
      </c>
      <c r="E286" s="25">
        <f>RANK('Final Sample'!AB286,'Final Sample'!$AB$2:$AB$612,0)+(COUNTIF('Final Sample'!$AB$2:$AB$612,'Final Sample'!AB286)-1)/2</f>
        <v>7</v>
      </c>
      <c r="F286" s="25">
        <f>RANK('Final Sample'!V286,'Final Sample'!$V$2:$V$612,0)+(COUNTIF('Final Sample'!$V$2:$V$612,'Final Sample'!V286)-1)/2</f>
        <v>234.5</v>
      </c>
    </row>
    <row r="287" spans="1:6" ht="15" customHeight="1" x14ac:dyDescent="0.3">
      <c r="A287" s="25">
        <f>RANK('Final Sample'!I287,'Final Sample'!$I$2:$I$612,0)+(COUNTIF('Final Sample'!$I$2:$I$612,'Final Sample'!I287)-1)/2</f>
        <v>441.5</v>
      </c>
      <c r="B287" s="25">
        <f>RANK('Final Sample'!J287,'Final Sample'!$J$2:$J$612,0)+(COUNTIF('Final Sample'!$J$2:$J$612,'Final Sample'!J287)-1)/2</f>
        <v>359</v>
      </c>
      <c r="C287" s="25">
        <f>RANK('Final Sample'!AA287,'Final Sample'!$AA$2:$AA$612,0)+(COUNTIF('Final Sample'!$AA$2:$AA$612,'Final Sample'!AA287)-1)/2</f>
        <v>2.5</v>
      </c>
      <c r="D287" s="25">
        <f>RANK('Final Sample'!R287,'Final Sample'!$R$2:$R$612,0)+(COUNTIF('Final Sample'!$R$2:$R$612,'Final Sample'!R287)-1)/2</f>
        <v>611</v>
      </c>
      <c r="E287" s="25">
        <f>RANK('Final Sample'!AB287,'Final Sample'!$AB$2:$AB$612,0)+(COUNTIF('Final Sample'!$AB$2:$AB$612,'Final Sample'!AB287)-1)/2</f>
        <v>2.5</v>
      </c>
      <c r="F287" s="25">
        <f>RANK('Final Sample'!V287,'Final Sample'!$V$2:$V$612,0)+(COUNTIF('Final Sample'!$V$2:$V$612,'Final Sample'!V287)-1)/2</f>
        <v>227.5</v>
      </c>
    </row>
    <row r="288" spans="1:6" ht="15" customHeight="1" x14ac:dyDescent="0.3">
      <c r="A288" s="25">
        <f>RANK('Final Sample'!I288,'Final Sample'!$I$2:$I$612,0)+(COUNTIF('Final Sample'!$I$2:$I$612,'Final Sample'!I288)-1)/2</f>
        <v>441.5</v>
      </c>
      <c r="B288" s="25">
        <f>RANK('Final Sample'!J288,'Final Sample'!$J$2:$J$612,0)+(COUNTIF('Final Sample'!$J$2:$J$612,'Final Sample'!J288)-1)/2</f>
        <v>359</v>
      </c>
      <c r="C288" s="25">
        <f>RANK('Final Sample'!AA288,'Final Sample'!$AA$2:$AA$612,0)+(COUNTIF('Final Sample'!$AA$2:$AA$612,'Final Sample'!AA288)-1)/2</f>
        <v>17</v>
      </c>
      <c r="D288" s="25">
        <f>RANK('Final Sample'!R288,'Final Sample'!$R$2:$R$612,0)+(COUNTIF('Final Sample'!$R$2:$R$612,'Final Sample'!R288)-1)/2</f>
        <v>608</v>
      </c>
      <c r="E288" s="25">
        <f>RANK('Final Sample'!AB288,'Final Sample'!$AB$2:$AB$612,0)+(COUNTIF('Final Sample'!$AB$2:$AB$612,'Final Sample'!AB288)-1)/2</f>
        <v>2.5</v>
      </c>
      <c r="F288" s="25">
        <f>RANK('Final Sample'!V288,'Final Sample'!$V$2:$V$612,0)+(COUNTIF('Final Sample'!$V$2:$V$612,'Final Sample'!V288)-1)/2</f>
        <v>218</v>
      </c>
    </row>
    <row r="289" spans="1:6" ht="15" customHeight="1" x14ac:dyDescent="0.3">
      <c r="A289" s="25">
        <f>RANK('Final Sample'!I289,'Final Sample'!$I$2:$I$612,0)+(COUNTIF('Final Sample'!$I$2:$I$612,'Final Sample'!I289)-1)/2</f>
        <v>441.5</v>
      </c>
      <c r="B289" s="25">
        <f>RANK('Final Sample'!J289,'Final Sample'!$J$2:$J$612,0)+(COUNTIF('Final Sample'!$J$2:$J$612,'Final Sample'!J289)-1)/2</f>
        <v>359</v>
      </c>
      <c r="C289" s="25">
        <f>RANK('Final Sample'!AA289,'Final Sample'!$AA$2:$AA$612,0)+(COUNTIF('Final Sample'!$AA$2:$AA$612,'Final Sample'!AA289)-1)/2</f>
        <v>5</v>
      </c>
      <c r="D289" s="25">
        <f>RANK('Final Sample'!R289,'Final Sample'!$R$2:$R$612,0)+(COUNTIF('Final Sample'!$R$2:$R$612,'Final Sample'!R289)-1)/2</f>
        <v>603</v>
      </c>
      <c r="E289" s="25">
        <f>RANK('Final Sample'!AB289,'Final Sample'!$AB$2:$AB$612,0)+(COUNTIF('Final Sample'!$AB$2:$AB$612,'Final Sample'!AB289)-1)/2</f>
        <v>60</v>
      </c>
      <c r="F289" s="25">
        <f>RANK('Final Sample'!V289,'Final Sample'!$V$2:$V$612,0)+(COUNTIF('Final Sample'!$V$2:$V$612,'Final Sample'!V289)-1)/2</f>
        <v>206.5</v>
      </c>
    </row>
    <row r="290" spans="1:6" ht="15" customHeight="1" x14ac:dyDescent="0.3">
      <c r="A290" s="25">
        <f>RANK('Final Sample'!I290,'Final Sample'!$I$2:$I$612,0)+(COUNTIF('Final Sample'!$I$2:$I$612,'Final Sample'!I290)-1)/2</f>
        <v>441.5</v>
      </c>
      <c r="B290" s="25">
        <f>RANK('Final Sample'!J290,'Final Sample'!$J$2:$J$612,0)+(COUNTIF('Final Sample'!$J$2:$J$612,'Final Sample'!J290)-1)/2</f>
        <v>359</v>
      </c>
      <c r="C290" s="25">
        <f>RANK('Final Sample'!AA290,'Final Sample'!$AA$2:$AA$612,0)+(COUNTIF('Final Sample'!$AA$2:$AA$612,'Final Sample'!AA290)-1)/2</f>
        <v>2.5</v>
      </c>
      <c r="D290" s="25">
        <f>RANK('Final Sample'!R290,'Final Sample'!$R$2:$R$612,0)+(COUNTIF('Final Sample'!$R$2:$R$612,'Final Sample'!R290)-1)/2</f>
        <v>610</v>
      </c>
      <c r="E290" s="25">
        <f>RANK('Final Sample'!AB290,'Final Sample'!$AB$2:$AB$612,0)+(COUNTIF('Final Sample'!$AB$2:$AB$612,'Final Sample'!AB290)-1)/2</f>
        <v>43</v>
      </c>
      <c r="F290" s="25">
        <f>RANK('Final Sample'!V290,'Final Sample'!$V$2:$V$612,0)+(COUNTIF('Final Sample'!$V$2:$V$612,'Final Sample'!V290)-1)/2</f>
        <v>195.5</v>
      </c>
    </row>
    <row r="291" spans="1:6" ht="15" customHeight="1" x14ac:dyDescent="0.3">
      <c r="A291" s="25">
        <f>RANK('Final Sample'!I291,'Final Sample'!$I$2:$I$612,0)+(COUNTIF('Final Sample'!$I$2:$I$612,'Final Sample'!I291)-1)/2</f>
        <v>441.5</v>
      </c>
      <c r="B291" s="25">
        <f>RANK('Final Sample'!J291,'Final Sample'!$J$2:$J$612,0)+(COUNTIF('Final Sample'!$J$2:$J$612,'Final Sample'!J291)-1)/2</f>
        <v>359</v>
      </c>
      <c r="C291" s="25">
        <f>RANK('Final Sample'!AA291,'Final Sample'!$AA$2:$AA$612,0)+(COUNTIF('Final Sample'!$AA$2:$AA$612,'Final Sample'!AA291)-1)/2</f>
        <v>580</v>
      </c>
      <c r="D291" s="25">
        <f>RANK('Final Sample'!R291,'Final Sample'!$R$2:$R$612,0)+(COUNTIF('Final Sample'!$R$2:$R$612,'Final Sample'!R291)-1)/2</f>
        <v>357</v>
      </c>
      <c r="E291" s="25">
        <f>RANK('Final Sample'!AB291,'Final Sample'!$AB$2:$AB$612,0)+(COUNTIF('Final Sample'!$AB$2:$AB$612,'Final Sample'!AB291)-1)/2</f>
        <v>408</v>
      </c>
      <c r="F291" s="25">
        <f>RANK('Final Sample'!V291,'Final Sample'!$V$2:$V$612,0)+(COUNTIF('Final Sample'!$V$2:$V$612,'Final Sample'!V291)-1)/2</f>
        <v>282.5</v>
      </c>
    </row>
    <row r="292" spans="1:6" ht="15" customHeight="1" x14ac:dyDescent="0.3">
      <c r="A292" s="25">
        <f>RANK('Final Sample'!I292,'Final Sample'!$I$2:$I$612,0)+(COUNTIF('Final Sample'!$I$2:$I$612,'Final Sample'!I292)-1)/2</f>
        <v>441.5</v>
      </c>
      <c r="B292" s="25">
        <f>RANK('Final Sample'!J292,'Final Sample'!$J$2:$J$612,0)+(COUNTIF('Final Sample'!$J$2:$J$612,'Final Sample'!J292)-1)/2</f>
        <v>359</v>
      </c>
      <c r="C292" s="25">
        <f>RANK('Final Sample'!AA292,'Final Sample'!$AA$2:$AA$612,0)+(COUNTIF('Final Sample'!$AA$2:$AA$612,'Final Sample'!AA292)-1)/2</f>
        <v>588</v>
      </c>
      <c r="D292" s="25">
        <f>RANK('Final Sample'!R292,'Final Sample'!$R$2:$R$612,0)+(COUNTIF('Final Sample'!$R$2:$R$612,'Final Sample'!R292)-1)/2</f>
        <v>347</v>
      </c>
      <c r="E292" s="25">
        <f>RANK('Final Sample'!AB292,'Final Sample'!$AB$2:$AB$612,0)+(COUNTIF('Final Sample'!$AB$2:$AB$612,'Final Sample'!AB292)-1)/2</f>
        <v>416</v>
      </c>
      <c r="F292" s="25">
        <f>RANK('Final Sample'!V292,'Final Sample'!$V$2:$V$612,0)+(COUNTIF('Final Sample'!$V$2:$V$612,'Final Sample'!V292)-1)/2</f>
        <v>270.5</v>
      </c>
    </row>
    <row r="293" spans="1:6" ht="15" customHeight="1" x14ac:dyDescent="0.3">
      <c r="A293" s="25">
        <f>RANK('Final Sample'!I293,'Final Sample'!$I$2:$I$612,0)+(COUNTIF('Final Sample'!$I$2:$I$612,'Final Sample'!I293)-1)/2</f>
        <v>441.5</v>
      </c>
      <c r="B293" s="25">
        <f>RANK('Final Sample'!J293,'Final Sample'!$J$2:$J$612,0)+(COUNTIF('Final Sample'!$J$2:$J$612,'Final Sample'!J293)-1)/2</f>
        <v>359</v>
      </c>
      <c r="C293" s="25">
        <f>RANK('Final Sample'!AA293,'Final Sample'!$AA$2:$AA$612,0)+(COUNTIF('Final Sample'!$AA$2:$AA$612,'Final Sample'!AA293)-1)/2</f>
        <v>575</v>
      </c>
      <c r="D293" s="25">
        <f>RANK('Final Sample'!R293,'Final Sample'!$R$2:$R$612,0)+(COUNTIF('Final Sample'!$R$2:$R$612,'Final Sample'!R293)-1)/2</f>
        <v>344</v>
      </c>
      <c r="E293" s="25">
        <f>RANK('Final Sample'!AB293,'Final Sample'!$AB$2:$AB$612,0)+(COUNTIF('Final Sample'!$AB$2:$AB$612,'Final Sample'!AB293)-1)/2</f>
        <v>435</v>
      </c>
      <c r="F293" s="25">
        <f>RANK('Final Sample'!V293,'Final Sample'!$V$2:$V$612,0)+(COUNTIF('Final Sample'!$V$2:$V$612,'Final Sample'!V293)-1)/2</f>
        <v>260</v>
      </c>
    </row>
    <row r="294" spans="1:6" ht="15" customHeight="1" x14ac:dyDescent="0.3">
      <c r="A294" s="25">
        <f>RANK('Final Sample'!I294,'Final Sample'!$I$2:$I$612,0)+(COUNTIF('Final Sample'!$I$2:$I$612,'Final Sample'!I294)-1)/2</f>
        <v>441.5</v>
      </c>
      <c r="B294" s="25">
        <f>RANK('Final Sample'!J294,'Final Sample'!$J$2:$J$612,0)+(COUNTIF('Final Sample'!$J$2:$J$612,'Final Sample'!J294)-1)/2</f>
        <v>359</v>
      </c>
      <c r="C294" s="25">
        <f>RANK('Final Sample'!AA294,'Final Sample'!$AA$2:$AA$612,0)+(COUNTIF('Final Sample'!$AA$2:$AA$612,'Final Sample'!AA294)-1)/2</f>
        <v>538</v>
      </c>
      <c r="D294" s="25">
        <f>RANK('Final Sample'!R294,'Final Sample'!$R$2:$R$612,0)+(COUNTIF('Final Sample'!$R$2:$R$612,'Final Sample'!R294)-1)/2</f>
        <v>326</v>
      </c>
      <c r="E294" s="25">
        <f>RANK('Final Sample'!AB294,'Final Sample'!$AB$2:$AB$612,0)+(COUNTIF('Final Sample'!$AB$2:$AB$612,'Final Sample'!AB294)-1)/2</f>
        <v>350</v>
      </c>
      <c r="F294" s="25">
        <f>RANK('Final Sample'!V294,'Final Sample'!$V$2:$V$612,0)+(COUNTIF('Final Sample'!$V$2:$V$612,'Final Sample'!V294)-1)/2</f>
        <v>252</v>
      </c>
    </row>
    <row r="295" spans="1:6" ht="15" customHeight="1" x14ac:dyDescent="0.3">
      <c r="A295" s="25">
        <f>RANK('Final Sample'!I295,'Final Sample'!$I$2:$I$612,0)+(COUNTIF('Final Sample'!$I$2:$I$612,'Final Sample'!I295)-1)/2</f>
        <v>441.5</v>
      </c>
      <c r="B295" s="25">
        <f>RANK('Final Sample'!J295,'Final Sample'!$J$2:$J$612,0)+(COUNTIF('Final Sample'!$J$2:$J$612,'Final Sample'!J295)-1)/2</f>
        <v>359</v>
      </c>
      <c r="C295" s="25">
        <f>RANK('Final Sample'!AA295,'Final Sample'!$AA$2:$AA$612,0)+(COUNTIF('Final Sample'!$AA$2:$AA$612,'Final Sample'!AA295)-1)/2</f>
        <v>286</v>
      </c>
      <c r="D295" s="25">
        <f>RANK('Final Sample'!R295,'Final Sample'!$R$2:$R$612,0)+(COUNTIF('Final Sample'!$R$2:$R$612,'Final Sample'!R295)-1)/2</f>
        <v>305</v>
      </c>
      <c r="E295" s="25">
        <f>RANK('Final Sample'!AB295,'Final Sample'!$AB$2:$AB$612,0)+(COUNTIF('Final Sample'!$AB$2:$AB$612,'Final Sample'!AB295)-1)/2</f>
        <v>444</v>
      </c>
      <c r="F295" s="25">
        <f>RANK('Final Sample'!V295,'Final Sample'!$V$2:$V$612,0)+(COUNTIF('Final Sample'!$V$2:$V$612,'Final Sample'!V295)-1)/2</f>
        <v>246.5</v>
      </c>
    </row>
    <row r="296" spans="1:6" ht="15" customHeight="1" x14ac:dyDescent="0.3">
      <c r="A296" s="25">
        <f>RANK('Final Sample'!I296,'Final Sample'!$I$2:$I$612,0)+(COUNTIF('Final Sample'!$I$2:$I$612,'Final Sample'!I296)-1)/2</f>
        <v>441.5</v>
      </c>
      <c r="B296" s="25">
        <f>RANK('Final Sample'!J296,'Final Sample'!$J$2:$J$612,0)+(COUNTIF('Final Sample'!$J$2:$J$612,'Final Sample'!J296)-1)/2</f>
        <v>359</v>
      </c>
      <c r="C296" s="25">
        <f>RANK('Final Sample'!AA296,'Final Sample'!$AA$2:$AA$612,0)+(COUNTIF('Final Sample'!$AA$2:$AA$612,'Final Sample'!AA296)-1)/2</f>
        <v>602</v>
      </c>
      <c r="D296" s="25">
        <f>RANK('Final Sample'!R296,'Final Sample'!$R$2:$R$612,0)+(COUNTIF('Final Sample'!$R$2:$R$612,'Final Sample'!R296)-1)/2</f>
        <v>534</v>
      </c>
      <c r="E296" s="25">
        <f>RANK('Final Sample'!AB296,'Final Sample'!$AB$2:$AB$612,0)+(COUNTIF('Final Sample'!$AB$2:$AB$612,'Final Sample'!AB296)-1)/2</f>
        <v>575</v>
      </c>
      <c r="F296" s="25">
        <f>RANK('Final Sample'!V296,'Final Sample'!$V$2:$V$612,0)+(COUNTIF('Final Sample'!$V$2:$V$612,'Final Sample'!V296)-1)/2</f>
        <v>154.5</v>
      </c>
    </row>
    <row r="297" spans="1:6" ht="15" customHeight="1" x14ac:dyDescent="0.3">
      <c r="A297" s="25">
        <f>RANK('Final Sample'!I297,'Final Sample'!$I$2:$I$612,0)+(COUNTIF('Final Sample'!$I$2:$I$612,'Final Sample'!I297)-1)/2</f>
        <v>441.5</v>
      </c>
      <c r="B297" s="25">
        <f>RANK('Final Sample'!J297,'Final Sample'!$J$2:$J$612,0)+(COUNTIF('Final Sample'!$J$2:$J$612,'Final Sample'!J297)-1)/2</f>
        <v>359</v>
      </c>
      <c r="C297" s="25">
        <f>RANK('Final Sample'!AA297,'Final Sample'!$AA$2:$AA$612,0)+(COUNTIF('Final Sample'!$AA$2:$AA$612,'Final Sample'!AA297)-1)/2</f>
        <v>603</v>
      </c>
      <c r="D297" s="25">
        <f>RANK('Final Sample'!R297,'Final Sample'!$R$2:$R$612,0)+(COUNTIF('Final Sample'!$R$2:$R$612,'Final Sample'!R297)-1)/2</f>
        <v>527</v>
      </c>
      <c r="E297" s="25">
        <f>RANK('Final Sample'!AB297,'Final Sample'!$AB$2:$AB$612,0)+(COUNTIF('Final Sample'!$AB$2:$AB$612,'Final Sample'!AB297)-1)/2</f>
        <v>570</v>
      </c>
      <c r="F297" s="25">
        <f>RANK('Final Sample'!V297,'Final Sample'!$V$2:$V$612,0)+(COUNTIF('Final Sample'!$V$2:$V$612,'Final Sample'!V297)-1)/2</f>
        <v>143.5</v>
      </c>
    </row>
    <row r="298" spans="1:6" ht="15" customHeight="1" x14ac:dyDescent="0.3">
      <c r="A298" s="25">
        <f>RANK('Final Sample'!I298,'Final Sample'!$I$2:$I$612,0)+(COUNTIF('Final Sample'!$I$2:$I$612,'Final Sample'!I298)-1)/2</f>
        <v>441.5</v>
      </c>
      <c r="B298" s="25">
        <f>RANK('Final Sample'!J298,'Final Sample'!$J$2:$J$612,0)+(COUNTIF('Final Sample'!$J$2:$J$612,'Final Sample'!J298)-1)/2</f>
        <v>359</v>
      </c>
      <c r="C298" s="25">
        <f>RANK('Final Sample'!AA298,'Final Sample'!$AA$2:$AA$612,0)+(COUNTIF('Final Sample'!$AA$2:$AA$612,'Final Sample'!AA298)-1)/2</f>
        <v>584</v>
      </c>
      <c r="D298" s="25">
        <f>RANK('Final Sample'!R298,'Final Sample'!$R$2:$R$612,0)+(COUNTIF('Final Sample'!$R$2:$R$612,'Final Sample'!R298)-1)/2</f>
        <v>520</v>
      </c>
      <c r="E298" s="25">
        <f>RANK('Final Sample'!AB298,'Final Sample'!$AB$2:$AB$612,0)+(COUNTIF('Final Sample'!$AB$2:$AB$612,'Final Sample'!AB298)-1)/2</f>
        <v>578</v>
      </c>
      <c r="F298" s="25">
        <f>RANK('Final Sample'!V298,'Final Sample'!$V$2:$V$612,0)+(COUNTIF('Final Sample'!$V$2:$V$612,'Final Sample'!V298)-1)/2</f>
        <v>129.5</v>
      </c>
    </row>
    <row r="299" spans="1:6" ht="15" customHeight="1" x14ac:dyDescent="0.3">
      <c r="A299" s="25">
        <f>RANK('Final Sample'!I299,'Final Sample'!$I$2:$I$612,0)+(COUNTIF('Final Sample'!$I$2:$I$612,'Final Sample'!I299)-1)/2</f>
        <v>441.5</v>
      </c>
      <c r="B299" s="25">
        <f>RANK('Final Sample'!J299,'Final Sample'!$J$2:$J$612,0)+(COUNTIF('Final Sample'!$J$2:$J$612,'Final Sample'!J299)-1)/2</f>
        <v>359</v>
      </c>
      <c r="C299" s="25">
        <f>RANK('Final Sample'!AA299,'Final Sample'!$AA$2:$AA$612,0)+(COUNTIF('Final Sample'!$AA$2:$AA$612,'Final Sample'!AA299)-1)/2</f>
        <v>544</v>
      </c>
      <c r="D299" s="25">
        <f>RANK('Final Sample'!R299,'Final Sample'!$R$2:$R$612,0)+(COUNTIF('Final Sample'!$R$2:$R$612,'Final Sample'!R299)-1)/2</f>
        <v>528</v>
      </c>
      <c r="E299" s="25">
        <f>RANK('Final Sample'!AB299,'Final Sample'!$AB$2:$AB$612,0)+(COUNTIF('Final Sample'!$AB$2:$AB$612,'Final Sample'!AB299)-1)/2</f>
        <v>580</v>
      </c>
      <c r="F299" s="25">
        <f>RANK('Final Sample'!V299,'Final Sample'!$V$2:$V$612,0)+(COUNTIF('Final Sample'!$V$2:$V$612,'Final Sample'!V299)-1)/2</f>
        <v>113.5</v>
      </c>
    </row>
    <row r="300" spans="1:6" ht="15" customHeight="1" x14ac:dyDescent="0.3">
      <c r="A300" s="25">
        <f>RANK('Final Sample'!I300,'Final Sample'!$I$2:$I$612,0)+(COUNTIF('Final Sample'!$I$2:$I$612,'Final Sample'!I300)-1)/2</f>
        <v>441.5</v>
      </c>
      <c r="B300" s="25">
        <f>RANK('Final Sample'!J300,'Final Sample'!$J$2:$J$612,0)+(COUNTIF('Final Sample'!$J$2:$J$612,'Final Sample'!J300)-1)/2</f>
        <v>359</v>
      </c>
      <c r="C300" s="25">
        <f>RANK('Final Sample'!AA300,'Final Sample'!$AA$2:$AA$612,0)+(COUNTIF('Final Sample'!$AA$2:$AA$612,'Final Sample'!AA300)-1)/2</f>
        <v>397</v>
      </c>
      <c r="D300" s="25">
        <f>RANK('Final Sample'!R300,'Final Sample'!$R$2:$R$612,0)+(COUNTIF('Final Sample'!$R$2:$R$612,'Final Sample'!R300)-1)/2</f>
        <v>512</v>
      </c>
      <c r="E300" s="25">
        <f>RANK('Final Sample'!AB300,'Final Sample'!$AB$2:$AB$612,0)+(COUNTIF('Final Sample'!$AB$2:$AB$612,'Final Sample'!AB300)-1)/2</f>
        <v>562</v>
      </c>
      <c r="F300" s="25">
        <f>RANK('Final Sample'!V300,'Final Sample'!$V$2:$V$612,0)+(COUNTIF('Final Sample'!$V$2:$V$612,'Final Sample'!V300)-1)/2</f>
        <v>97.5</v>
      </c>
    </row>
    <row r="301" spans="1:6" ht="15" customHeight="1" x14ac:dyDescent="0.3">
      <c r="A301" s="25">
        <f>RANK('Final Sample'!I301,'Final Sample'!$I$2:$I$612,0)+(COUNTIF('Final Sample'!$I$2:$I$612,'Final Sample'!I301)-1)/2</f>
        <v>441.5</v>
      </c>
      <c r="B301" s="25">
        <f>RANK('Final Sample'!J301,'Final Sample'!$J$2:$J$612,0)+(COUNTIF('Final Sample'!$J$2:$J$612,'Final Sample'!J301)-1)/2</f>
        <v>359</v>
      </c>
      <c r="C301" s="25">
        <f>RANK('Final Sample'!AA301,'Final Sample'!$AA$2:$AA$612,0)+(COUNTIF('Final Sample'!$AA$2:$AA$612,'Final Sample'!AA301)-1)/2</f>
        <v>40</v>
      </c>
      <c r="D301" s="25">
        <f>RANK('Final Sample'!R301,'Final Sample'!$R$2:$R$612,0)+(COUNTIF('Final Sample'!$R$2:$R$612,'Final Sample'!R301)-1)/2</f>
        <v>552</v>
      </c>
      <c r="E301" s="25">
        <f>RANK('Final Sample'!AB301,'Final Sample'!$AB$2:$AB$612,0)+(COUNTIF('Final Sample'!$AB$2:$AB$612,'Final Sample'!AB301)-1)/2</f>
        <v>602</v>
      </c>
      <c r="F301" s="25">
        <f>RANK('Final Sample'!V301,'Final Sample'!$V$2:$V$612,0)+(COUNTIF('Final Sample'!$V$2:$V$612,'Final Sample'!V301)-1)/2</f>
        <v>598.5</v>
      </c>
    </row>
    <row r="302" spans="1:6" ht="15" customHeight="1" x14ac:dyDescent="0.3">
      <c r="A302" s="25">
        <f>RANK('Final Sample'!I302,'Final Sample'!$I$2:$I$612,0)+(COUNTIF('Final Sample'!$I$2:$I$612,'Final Sample'!I302)-1)/2</f>
        <v>441.5</v>
      </c>
      <c r="B302" s="25">
        <f>RANK('Final Sample'!J302,'Final Sample'!$J$2:$J$612,0)+(COUNTIF('Final Sample'!$J$2:$J$612,'Final Sample'!J302)-1)/2</f>
        <v>359</v>
      </c>
      <c r="C302" s="25">
        <f>RANK('Final Sample'!AA302,'Final Sample'!$AA$2:$AA$612,0)+(COUNTIF('Final Sample'!$AA$2:$AA$612,'Final Sample'!AA302)-1)/2</f>
        <v>467</v>
      </c>
      <c r="D302" s="25">
        <f>RANK('Final Sample'!R302,'Final Sample'!$R$2:$R$612,0)+(COUNTIF('Final Sample'!$R$2:$R$612,'Final Sample'!R302)-1)/2</f>
        <v>384</v>
      </c>
      <c r="E302" s="25">
        <f>RANK('Final Sample'!AB302,'Final Sample'!$AB$2:$AB$612,0)+(COUNTIF('Final Sample'!$AB$2:$AB$612,'Final Sample'!AB302)-1)/2</f>
        <v>322</v>
      </c>
      <c r="F302" s="25">
        <f>RANK('Final Sample'!V302,'Final Sample'!$V$2:$V$612,0)+(COUNTIF('Final Sample'!$V$2:$V$612,'Final Sample'!V302)-1)/2</f>
        <v>425.5</v>
      </c>
    </row>
    <row r="303" spans="1:6" ht="15" customHeight="1" x14ac:dyDescent="0.3">
      <c r="A303" s="25">
        <f>RANK('Final Sample'!I303,'Final Sample'!$I$2:$I$612,0)+(COUNTIF('Final Sample'!$I$2:$I$612,'Final Sample'!I303)-1)/2</f>
        <v>441.5</v>
      </c>
      <c r="B303" s="25">
        <f>RANK('Final Sample'!J303,'Final Sample'!$J$2:$J$612,0)+(COUNTIF('Final Sample'!$J$2:$J$612,'Final Sample'!J303)-1)/2</f>
        <v>359</v>
      </c>
      <c r="C303" s="25">
        <f>RANK('Final Sample'!AA303,'Final Sample'!$AA$2:$AA$612,0)+(COUNTIF('Final Sample'!$AA$2:$AA$612,'Final Sample'!AA303)-1)/2</f>
        <v>425</v>
      </c>
      <c r="D303" s="25">
        <f>RANK('Final Sample'!R303,'Final Sample'!$R$2:$R$612,0)+(COUNTIF('Final Sample'!$R$2:$R$612,'Final Sample'!R303)-1)/2</f>
        <v>358</v>
      </c>
      <c r="E303" s="25">
        <f>RANK('Final Sample'!AB303,'Final Sample'!$AB$2:$AB$612,0)+(COUNTIF('Final Sample'!$AB$2:$AB$612,'Final Sample'!AB303)-1)/2</f>
        <v>302</v>
      </c>
      <c r="F303" s="25">
        <f>RANK('Final Sample'!V303,'Final Sample'!$V$2:$V$612,0)+(COUNTIF('Final Sample'!$V$2:$V$612,'Final Sample'!V303)-1)/2</f>
        <v>408</v>
      </c>
    </row>
    <row r="304" spans="1:6" ht="15" customHeight="1" x14ac:dyDescent="0.3">
      <c r="A304" s="25">
        <f>RANK('Final Sample'!I304,'Final Sample'!$I$2:$I$612,0)+(COUNTIF('Final Sample'!$I$2:$I$612,'Final Sample'!I304)-1)/2</f>
        <v>441.5</v>
      </c>
      <c r="B304" s="25">
        <f>RANK('Final Sample'!J304,'Final Sample'!$J$2:$J$612,0)+(COUNTIF('Final Sample'!$J$2:$J$612,'Final Sample'!J304)-1)/2</f>
        <v>359</v>
      </c>
      <c r="C304" s="25">
        <f>RANK('Final Sample'!AA304,'Final Sample'!$AA$2:$AA$612,0)+(COUNTIF('Final Sample'!$AA$2:$AA$612,'Final Sample'!AA304)-1)/2</f>
        <v>388</v>
      </c>
      <c r="D304" s="25">
        <f>RANK('Final Sample'!R304,'Final Sample'!$R$2:$R$612,0)+(COUNTIF('Final Sample'!$R$2:$R$612,'Final Sample'!R304)-1)/2</f>
        <v>339</v>
      </c>
      <c r="E304" s="25">
        <f>RANK('Final Sample'!AB304,'Final Sample'!$AB$2:$AB$612,0)+(COUNTIF('Final Sample'!$AB$2:$AB$612,'Final Sample'!AB304)-1)/2</f>
        <v>296</v>
      </c>
      <c r="F304" s="25">
        <f>RANK('Final Sample'!V304,'Final Sample'!$V$2:$V$612,0)+(COUNTIF('Final Sample'!$V$2:$V$612,'Final Sample'!V304)-1)/2</f>
        <v>390.5</v>
      </c>
    </row>
    <row r="305" spans="1:6" ht="15" customHeight="1" x14ac:dyDescent="0.3">
      <c r="A305" s="25">
        <f>RANK('Final Sample'!I305,'Final Sample'!$I$2:$I$612,0)+(COUNTIF('Final Sample'!$I$2:$I$612,'Final Sample'!I305)-1)/2</f>
        <v>441.5</v>
      </c>
      <c r="B305" s="25">
        <f>RANK('Final Sample'!J305,'Final Sample'!$J$2:$J$612,0)+(COUNTIF('Final Sample'!$J$2:$J$612,'Final Sample'!J305)-1)/2</f>
        <v>359</v>
      </c>
      <c r="C305" s="25">
        <f>RANK('Final Sample'!AA305,'Final Sample'!$AA$2:$AA$612,0)+(COUNTIF('Final Sample'!$AA$2:$AA$612,'Final Sample'!AA305)-1)/2</f>
        <v>352</v>
      </c>
      <c r="D305" s="25">
        <f>RANK('Final Sample'!R305,'Final Sample'!$R$2:$R$612,0)+(COUNTIF('Final Sample'!$R$2:$R$612,'Final Sample'!R305)-1)/2</f>
        <v>315</v>
      </c>
      <c r="E305" s="25">
        <f>RANK('Final Sample'!AB305,'Final Sample'!$AB$2:$AB$612,0)+(COUNTIF('Final Sample'!$AB$2:$AB$612,'Final Sample'!AB305)-1)/2</f>
        <v>288</v>
      </c>
      <c r="F305" s="25">
        <f>RANK('Final Sample'!V305,'Final Sample'!$V$2:$V$612,0)+(COUNTIF('Final Sample'!$V$2:$V$612,'Final Sample'!V305)-1)/2</f>
        <v>373</v>
      </c>
    </row>
    <row r="306" spans="1:6" ht="15" customHeight="1" x14ac:dyDescent="0.3">
      <c r="A306" s="25">
        <f>RANK('Final Sample'!I306,'Final Sample'!$I$2:$I$612,0)+(COUNTIF('Final Sample'!$I$2:$I$612,'Final Sample'!I306)-1)/2</f>
        <v>441.5</v>
      </c>
      <c r="B306" s="25">
        <f>RANK('Final Sample'!J306,'Final Sample'!$J$2:$J$612,0)+(COUNTIF('Final Sample'!$J$2:$J$612,'Final Sample'!J306)-1)/2</f>
        <v>359</v>
      </c>
      <c r="C306" s="25">
        <f>RANK('Final Sample'!AA306,'Final Sample'!$AA$2:$AA$612,0)+(COUNTIF('Final Sample'!$AA$2:$AA$612,'Final Sample'!AA306)-1)/2</f>
        <v>342</v>
      </c>
      <c r="D306" s="25">
        <f>RANK('Final Sample'!R306,'Final Sample'!$R$2:$R$612,0)+(COUNTIF('Final Sample'!$R$2:$R$612,'Final Sample'!R306)-1)/2</f>
        <v>301</v>
      </c>
      <c r="E306" s="25">
        <f>RANK('Final Sample'!AB306,'Final Sample'!$AB$2:$AB$612,0)+(COUNTIF('Final Sample'!$AB$2:$AB$612,'Final Sample'!AB306)-1)/2</f>
        <v>293</v>
      </c>
      <c r="F306" s="25">
        <f>RANK('Final Sample'!V306,'Final Sample'!$V$2:$V$612,0)+(COUNTIF('Final Sample'!$V$2:$V$612,'Final Sample'!V306)-1)/2</f>
        <v>356.5</v>
      </c>
    </row>
    <row r="307" spans="1:6" ht="15" customHeight="1" x14ac:dyDescent="0.3">
      <c r="A307" s="25">
        <f>RANK('Final Sample'!I307,'Final Sample'!$I$2:$I$612,0)+(COUNTIF('Final Sample'!$I$2:$I$612,'Final Sample'!I307)-1)/2</f>
        <v>441.5</v>
      </c>
      <c r="B307" s="25">
        <f>RANK('Final Sample'!J307,'Final Sample'!$J$2:$J$612,0)+(COUNTIF('Final Sample'!$J$2:$J$612,'Final Sample'!J307)-1)/2</f>
        <v>359</v>
      </c>
      <c r="C307" s="25">
        <f>RANK('Final Sample'!AA307,'Final Sample'!$AA$2:$AA$612,0)+(COUNTIF('Final Sample'!$AA$2:$AA$612,'Final Sample'!AA307)-1)/2</f>
        <v>520</v>
      </c>
      <c r="D307" s="25">
        <f>RANK('Final Sample'!R307,'Final Sample'!$R$2:$R$612,0)+(COUNTIF('Final Sample'!$R$2:$R$612,'Final Sample'!R307)-1)/2</f>
        <v>480</v>
      </c>
      <c r="E307" s="25">
        <f>RANK('Final Sample'!AB307,'Final Sample'!$AB$2:$AB$612,0)+(COUNTIF('Final Sample'!$AB$2:$AB$612,'Final Sample'!AB307)-1)/2</f>
        <v>399</v>
      </c>
      <c r="F307" s="25">
        <f>RANK('Final Sample'!V307,'Final Sample'!$V$2:$V$612,0)+(COUNTIF('Final Sample'!$V$2:$V$612,'Final Sample'!V307)-1)/2</f>
        <v>166.5</v>
      </c>
    </row>
    <row r="308" spans="1:6" ht="15" customHeight="1" x14ac:dyDescent="0.3">
      <c r="A308" s="25">
        <f>RANK('Final Sample'!I308,'Final Sample'!$I$2:$I$612,0)+(COUNTIF('Final Sample'!$I$2:$I$612,'Final Sample'!I308)-1)/2</f>
        <v>441.5</v>
      </c>
      <c r="B308" s="25">
        <f>RANK('Final Sample'!J308,'Final Sample'!$J$2:$J$612,0)+(COUNTIF('Final Sample'!$J$2:$J$612,'Final Sample'!J308)-1)/2</f>
        <v>359</v>
      </c>
      <c r="C308" s="25">
        <f>RANK('Final Sample'!AA308,'Final Sample'!$AA$2:$AA$612,0)+(COUNTIF('Final Sample'!$AA$2:$AA$612,'Final Sample'!AA308)-1)/2</f>
        <v>516</v>
      </c>
      <c r="D308" s="25">
        <f>RANK('Final Sample'!R308,'Final Sample'!$R$2:$R$612,0)+(COUNTIF('Final Sample'!$R$2:$R$612,'Final Sample'!R308)-1)/2</f>
        <v>467</v>
      </c>
      <c r="E308" s="25">
        <f>RANK('Final Sample'!AB308,'Final Sample'!$AB$2:$AB$612,0)+(COUNTIF('Final Sample'!$AB$2:$AB$612,'Final Sample'!AB308)-1)/2</f>
        <v>402</v>
      </c>
      <c r="F308" s="25">
        <f>RANK('Final Sample'!V308,'Final Sample'!$V$2:$V$612,0)+(COUNTIF('Final Sample'!$V$2:$V$612,'Final Sample'!V308)-1)/2</f>
        <v>162</v>
      </c>
    </row>
    <row r="309" spans="1:6" ht="15" customHeight="1" x14ac:dyDescent="0.3">
      <c r="A309" s="25">
        <f>RANK('Final Sample'!I309,'Final Sample'!$I$2:$I$612,0)+(COUNTIF('Final Sample'!$I$2:$I$612,'Final Sample'!I309)-1)/2</f>
        <v>441.5</v>
      </c>
      <c r="B309" s="25">
        <f>RANK('Final Sample'!J309,'Final Sample'!$J$2:$J$612,0)+(COUNTIF('Final Sample'!$J$2:$J$612,'Final Sample'!J309)-1)/2</f>
        <v>359</v>
      </c>
      <c r="C309" s="25">
        <f>RANK('Final Sample'!AA309,'Final Sample'!$AA$2:$AA$612,0)+(COUNTIF('Final Sample'!$AA$2:$AA$612,'Final Sample'!AA309)-1)/2</f>
        <v>500</v>
      </c>
      <c r="D309" s="25">
        <f>RANK('Final Sample'!R309,'Final Sample'!$R$2:$R$612,0)+(COUNTIF('Final Sample'!$R$2:$R$612,'Final Sample'!R309)-1)/2</f>
        <v>443</v>
      </c>
      <c r="E309" s="25">
        <f>RANK('Final Sample'!AB309,'Final Sample'!$AB$2:$AB$612,0)+(COUNTIF('Final Sample'!$AB$2:$AB$612,'Final Sample'!AB309)-1)/2</f>
        <v>409</v>
      </c>
      <c r="F309" s="25">
        <f>RANK('Final Sample'!V309,'Final Sample'!$V$2:$V$612,0)+(COUNTIF('Final Sample'!$V$2:$V$612,'Final Sample'!V309)-1)/2</f>
        <v>154.5</v>
      </c>
    </row>
    <row r="310" spans="1:6" ht="15" customHeight="1" x14ac:dyDescent="0.3">
      <c r="A310" s="25">
        <f>RANK('Final Sample'!I310,'Final Sample'!$I$2:$I$612,0)+(COUNTIF('Final Sample'!$I$2:$I$612,'Final Sample'!I310)-1)/2</f>
        <v>236</v>
      </c>
      <c r="B310" s="25">
        <f>RANK('Final Sample'!J310,'Final Sample'!$J$2:$J$612,0)+(COUNTIF('Final Sample'!$J$2:$J$612,'Final Sample'!J310)-1)/2</f>
        <v>359</v>
      </c>
      <c r="C310" s="25">
        <f>RANK('Final Sample'!AA310,'Final Sample'!$AA$2:$AA$612,0)+(COUNTIF('Final Sample'!$AA$2:$AA$612,'Final Sample'!AA310)-1)/2</f>
        <v>477</v>
      </c>
      <c r="D310" s="25">
        <f>RANK('Final Sample'!R310,'Final Sample'!$R$2:$R$612,0)+(COUNTIF('Final Sample'!$R$2:$R$612,'Final Sample'!R310)-1)/2</f>
        <v>415</v>
      </c>
      <c r="E310" s="25">
        <f>RANK('Final Sample'!AB310,'Final Sample'!$AB$2:$AB$612,0)+(COUNTIF('Final Sample'!$AB$2:$AB$612,'Final Sample'!AB310)-1)/2</f>
        <v>400</v>
      </c>
      <c r="F310" s="25">
        <f>RANK('Final Sample'!V310,'Final Sample'!$V$2:$V$612,0)+(COUNTIF('Final Sample'!$V$2:$V$612,'Final Sample'!V310)-1)/2</f>
        <v>143.5</v>
      </c>
    </row>
    <row r="311" spans="1:6" ht="15" customHeight="1" x14ac:dyDescent="0.3">
      <c r="A311" s="25">
        <f>RANK('Final Sample'!I311,'Final Sample'!$I$2:$I$612,0)+(COUNTIF('Final Sample'!$I$2:$I$612,'Final Sample'!I311)-1)/2</f>
        <v>236</v>
      </c>
      <c r="B311" s="25">
        <f>RANK('Final Sample'!J311,'Final Sample'!$J$2:$J$612,0)+(COUNTIF('Final Sample'!$J$2:$J$612,'Final Sample'!J311)-1)/2</f>
        <v>359</v>
      </c>
      <c r="C311" s="25">
        <f>RANK('Final Sample'!AA311,'Final Sample'!$AA$2:$AA$612,0)+(COUNTIF('Final Sample'!$AA$2:$AA$612,'Final Sample'!AA311)-1)/2</f>
        <v>452</v>
      </c>
      <c r="D311" s="25">
        <f>RANK('Final Sample'!R311,'Final Sample'!$R$2:$R$612,0)+(COUNTIF('Final Sample'!$R$2:$R$612,'Final Sample'!R311)-1)/2</f>
        <v>393</v>
      </c>
      <c r="E311" s="25">
        <f>RANK('Final Sample'!AB311,'Final Sample'!$AB$2:$AB$612,0)+(COUNTIF('Final Sample'!$AB$2:$AB$612,'Final Sample'!AB311)-1)/2</f>
        <v>401</v>
      </c>
      <c r="F311" s="25">
        <f>RANK('Final Sample'!V311,'Final Sample'!$V$2:$V$612,0)+(COUNTIF('Final Sample'!$V$2:$V$612,'Final Sample'!V311)-1)/2</f>
        <v>129.5</v>
      </c>
    </row>
    <row r="312" spans="1:6" ht="15" customHeight="1" x14ac:dyDescent="0.3">
      <c r="A312" s="25">
        <f>RANK('Final Sample'!I312,'Final Sample'!$I$2:$I$612,0)+(COUNTIF('Final Sample'!$I$2:$I$612,'Final Sample'!I312)-1)/2</f>
        <v>441.5</v>
      </c>
      <c r="B312" s="25">
        <f>RANK('Final Sample'!J312,'Final Sample'!$J$2:$J$612,0)+(COUNTIF('Final Sample'!$J$2:$J$612,'Final Sample'!J312)-1)/2</f>
        <v>359</v>
      </c>
      <c r="C312" s="25">
        <f>RANK('Final Sample'!AA312,'Final Sample'!$AA$2:$AA$612,0)+(COUNTIF('Final Sample'!$AA$2:$AA$612,'Final Sample'!AA312)-1)/2</f>
        <v>284</v>
      </c>
      <c r="D312" s="25">
        <f>RANK('Final Sample'!R312,'Final Sample'!$R$2:$R$612,0)+(COUNTIF('Final Sample'!$R$2:$R$612,'Final Sample'!R312)-1)/2</f>
        <v>461</v>
      </c>
      <c r="E312" s="25">
        <f>RANK('Final Sample'!AB312,'Final Sample'!$AB$2:$AB$612,0)+(COUNTIF('Final Sample'!$AB$2:$AB$612,'Final Sample'!AB312)-1)/2</f>
        <v>272</v>
      </c>
      <c r="F312" s="25">
        <f>RANK('Final Sample'!V312,'Final Sample'!$V$2:$V$612,0)+(COUNTIF('Final Sample'!$V$2:$V$612,'Final Sample'!V312)-1)/2</f>
        <v>451</v>
      </c>
    </row>
    <row r="313" spans="1:6" ht="15" customHeight="1" x14ac:dyDescent="0.3">
      <c r="A313" s="25">
        <f>RANK('Final Sample'!I313,'Final Sample'!$I$2:$I$612,0)+(COUNTIF('Final Sample'!$I$2:$I$612,'Final Sample'!I313)-1)/2</f>
        <v>441.5</v>
      </c>
      <c r="B313" s="25">
        <f>RANK('Final Sample'!J313,'Final Sample'!$J$2:$J$612,0)+(COUNTIF('Final Sample'!$J$2:$J$612,'Final Sample'!J313)-1)/2</f>
        <v>359</v>
      </c>
      <c r="C313" s="25">
        <f>RANK('Final Sample'!AA313,'Final Sample'!$AA$2:$AA$612,0)+(COUNTIF('Final Sample'!$AA$2:$AA$612,'Final Sample'!AA313)-1)/2</f>
        <v>225</v>
      </c>
      <c r="D313" s="25">
        <f>RANK('Final Sample'!R313,'Final Sample'!$R$2:$R$612,0)+(COUNTIF('Final Sample'!$R$2:$R$612,'Final Sample'!R313)-1)/2</f>
        <v>446</v>
      </c>
      <c r="E313" s="25">
        <f>RANK('Final Sample'!AB313,'Final Sample'!$AB$2:$AB$612,0)+(COUNTIF('Final Sample'!$AB$2:$AB$612,'Final Sample'!AB313)-1)/2</f>
        <v>275</v>
      </c>
      <c r="F313" s="25">
        <f>RANK('Final Sample'!V313,'Final Sample'!$V$2:$V$612,0)+(COUNTIF('Final Sample'!$V$2:$V$612,'Final Sample'!V313)-1)/2</f>
        <v>440</v>
      </c>
    </row>
    <row r="314" spans="1:6" ht="15" customHeight="1" x14ac:dyDescent="0.3">
      <c r="A314" s="25">
        <f>RANK('Final Sample'!I314,'Final Sample'!$I$2:$I$612,0)+(COUNTIF('Final Sample'!$I$2:$I$612,'Final Sample'!I314)-1)/2</f>
        <v>441.5</v>
      </c>
      <c r="B314" s="25">
        <f>RANK('Final Sample'!J314,'Final Sample'!$J$2:$J$612,0)+(COUNTIF('Final Sample'!$J$2:$J$612,'Final Sample'!J314)-1)/2</f>
        <v>359</v>
      </c>
      <c r="C314" s="25">
        <f>RANK('Final Sample'!AA314,'Final Sample'!$AA$2:$AA$612,0)+(COUNTIF('Final Sample'!$AA$2:$AA$612,'Final Sample'!AA314)-1)/2</f>
        <v>174</v>
      </c>
      <c r="D314" s="25">
        <f>RANK('Final Sample'!R314,'Final Sample'!$R$2:$R$612,0)+(COUNTIF('Final Sample'!$R$2:$R$612,'Final Sample'!R314)-1)/2</f>
        <v>403</v>
      </c>
      <c r="E314" s="25">
        <f>RANK('Final Sample'!AB314,'Final Sample'!$AB$2:$AB$612,0)+(COUNTIF('Final Sample'!$AB$2:$AB$612,'Final Sample'!AB314)-1)/2</f>
        <v>245</v>
      </c>
      <c r="F314" s="25">
        <f>RANK('Final Sample'!V314,'Final Sample'!$V$2:$V$612,0)+(COUNTIF('Final Sample'!$V$2:$V$612,'Final Sample'!V314)-1)/2</f>
        <v>425.5</v>
      </c>
    </row>
    <row r="315" spans="1:6" ht="15" customHeight="1" x14ac:dyDescent="0.3">
      <c r="A315" s="25">
        <f>RANK('Final Sample'!I315,'Final Sample'!$I$2:$I$612,0)+(COUNTIF('Final Sample'!$I$2:$I$612,'Final Sample'!I315)-1)/2</f>
        <v>441.5</v>
      </c>
      <c r="B315" s="25">
        <f>RANK('Final Sample'!J315,'Final Sample'!$J$2:$J$612,0)+(COUNTIF('Final Sample'!$J$2:$J$612,'Final Sample'!J315)-1)/2</f>
        <v>359</v>
      </c>
      <c r="C315" s="25">
        <f>RANK('Final Sample'!AA315,'Final Sample'!$AA$2:$AA$612,0)+(COUNTIF('Final Sample'!$AA$2:$AA$612,'Final Sample'!AA315)-1)/2</f>
        <v>155</v>
      </c>
      <c r="D315" s="25">
        <f>RANK('Final Sample'!R315,'Final Sample'!$R$2:$R$612,0)+(COUNTIF('Final Sample'!$R$2:$R$612,'Final Sample'!R315)-1)/2</f>
        <v>355</v>
      </c>
      <c r="E315" s="25">
        <f>RANK('Final Sample'!AB315,'Final Sample'!$AB$2:$AB$612,0)+(COUNTIF('Final Sample'!$AB$2:$AB$612,'Final Sample'!AB315)-1)/2</f>
        <v>227</v>
      </c>
      <c r="F315" s="25">
        <f>RANK('Final Sample'!V315,'Final Sample'!$V$2:$V$612,0)+(COUNTIF('Final Sample'!$V$2:$V$612,'Final Sample'!V315)-1)/2</f>
        <v>408</v>
      </c>
    </row>
    <row r="316" spans="1:6" ht="15" customHeight="1" x14ac:dyDescent="0.3">
      <c r="A316" s="25">
        <f>RANK('Final Sample'!I316,'Final Sample'!$I$2:$I$612,0)+(COUNTIF('Final Sample'!$I$2:$I$612,'Final Sample'!I316)-1)/2</f>
        <v>441.5</v>
      </c>
      <c r="B316" s="25">
        <f>RANK('Final Sample'!J316,'Final Sample'!$J$2:$J$612,0)+(COUNTIF('Final Sample'!$J$2:$J$612,'Final Sample'!J316)-1)/2</f>
        <v>359</v>
      </c>
      <c r="C316" s="25">
        <f>RANK('Final Sample'!AA316,'Final Sample'!$AA$2:$AA$612,0)+(COUNTIF('Final Sample'!$AA$2:$AA$612,'Final Sample'!AA316)-1)/2</f>
        <v>218</v>
      </c>
      <c r="D316" s="25">
        <f>RANK('Final Sample'!R316,'Final Sample'!$R$2:$R$612,0)+(COUNTIF('Final Sample'!$R$2:$R$612,'Final Sample'!R316)-1)/2</f>
        <v>323</v>
      </c>
      <c r="E316" s="25">
        <f>RANK('Final Sample'!AB316,'Final Sample'!$AB$2:$AB$612,0)+(COUNTIF('Final Sample'!$AB$2:$AB$612,'Final Sample'!AB316)-1)/2</f>
        <v>184</v>
      </c>
      <c r="F316" s="25">
        <f>RANK('Final Sample'!V316,'Final Sample'!$V$2:$V$612,0)+(COUNTIF('Final Sample'!$V$2:$V$612,'Final Sample'!V316)-1)/2</f>
        <v>390.5</v>
      </c>
    </row>
    <row r="317" spans="1:6" ht="15" customHeight="1" x14ac:dyDescent="0.3">
      <c r="A317" s="25">
        <f>RANK('Final Sample'!I317,'Final Sample'!$I$2:$I$612,0)+(COUNTIF('Final Sample'!$I$2:$I$612,'Final Sample'!I317)-1)/2</f>
        <v>84</v>
      </c>
      <c r="B317" s="25">
        <f>RANK('Final Sample'!J317,'Final Sample'!$J$2:$J$612,0)+(COUNTIF('Final Sample'!$J$2:$J$612,'Final Sample'!J317)-1)/2</f>
        <v>359</v>
      </c>
      <c r="C317" s="25">
        <f>RANK('Final Sample'!AA317,'Final Sample'!$AA$2:$AA$612,0)+(COUNTIF('Final Sample'!$AA$2:$AA$612,'Final Sample'!AA317)-1)/2</f>
        <v>501</v>
      </c>
      <c r="D317" s="25">
        <f>RANK('Final Sample'!R317,'Final Sample'!$R$2:$R$612,0)+(COUNTIF('Final Sample'!$R$2:$R$612,'Final Sample'!R317)-1)/2</f>
        <v>223</v>
      </c>
      <c r="E317" s="25">
        <f>RANK('Final Sample'!AB317,'Final Sample'!$AB$2:$AB$612,0)+(COUNTIF('Final Sample'!$AB$2:$AB$612,'Final Sample'!AB317)-1)/2</f>
        <v>303</v>
      </c>
      <c r="F317" s="25">
        <f>RANK('Final Sample'!V317,'Final Sample'!$V$2:$V$612,0)+(COUNTIF('Final Sample'!$V$2:$V$612,'Final Sample'!V317)-1)/2</f>
        <v>390.5</v>
      </c>
    </row>
    <row r="318" spans="1:6" ht="15" customHeight="1" x14ac:dyDescent="0.3">
      <c r="A318" s="25">
        <f>RANK('Final Sample'!I318,'Final Sample'!$I$2:$I$612,0)+(COUNTIF('Final Sample'!$I$2:$I$612,'Final Sample'!I318)-1)/2</f>
        <v>84</v>
      </c>
      <c r="B318" s="25">
        <f>RANK('Final Sample'!J318,'Final Sample'!$J$2:$J$612,0)+(COUNTIF('Final Sample'!$J$2:$J$612,'Final Sample'!J318)-1)/2</f>
        <v>359</v>
      </c>
      <c r="C318" s="25">
        <f>RANK('Final Sample'!AA318,'Final Sample'!$AA$2:$AA$612,0)+(COUNTIF('Final Sample'!$AA$2:$AA$612,'Final Sample'!AA318)-1)/2</f>
        <v>508</v>
      </c>
      <c r="D318" s="25">
        <f>RANK('Final Sample'!R318,'Final Sample'!$R$2:$R$612,0)+(COUNTIF('Final Sample'!$R$2:$R$612,'Final Sample'!R318)-1)/2</f>
        <v>222</v>
      </c>
      <c r="E318" s="25">
        <f>RANK('Final Sample'!AB318,'Final Sample'!$AB$2:$AB$612,0)+(COUNTIF('Final Sample'!$AB$2:$AB$612,'Final Sample'!AB318)-1)/2</f>
        <v>295</v>
      </c>
      <c r="F318" s="25">
        <f>RANK('Final Sample'!V318,'Final Sample'!$V$2:$V$612,0)+(COUNTIF('Final Sample'!$V$2:$V$612,'Final Sample'!V318)-1)/2</f>
        <v>373</v>
      </c>
    </row>
    <row r="319" spans="1:6" ht="15" customHeight="1" x14ac:dyDescent="0.3">
      <c r="A319" s="25">
        <f>RANK('Final Sample'!I319,'Final Sample'!$I$2:$I$612,0)+(COUNTIF('Final Sample'!$I$2:$I$612,'Final Sample'!I319)-1)/2</f>
        <v>84</v>
      </c>
      <c r="B319" s="25">
        <f>RANK('Final Sample'!J319,'Final Sample'!$J$2:$J$612,0)+(COUNTIF('Final Sample'!$J$2:$J$612,'Final Sample'!J319)-1)/2</f>
        <v>359</v>
      </c>
      <c r="C319" s="25">
        <f>RANK('Final Sample'!AA319,'Final Sample'!$AA$2:$AA$612,0)+(COUNTIF('Final Sample'!$AA$2:$AA$612,'Final Sample'!AA319)-1)/2</f>
        <v>334</v>
      </c>
      <c r="D319" s="25">
        <f>RANK('Final Sample'!R319,'Final Sample'!$R$2:$R$612,0)+(COUNTIF('Final Sample'!$R$2:$R$612,'Final Sample'!R319)-1)/2</f>
        <v>196</v>
      </c>
      <c r="E319" s="25">
        <f>RANK('Final Sample'!AB319,'Final Sample'!$AB$2:$AB$612,0)+(COUNTIF('Final Sample'!$AB$2:$AB$612,'Final Sample'!AB319)-1)/2</f>
        <v>279</v>
      </c>
      <c r="F319" s="25">
        <f>RANK('Final Sample'!V319,'Final Sample'!$V$2:$V$612,0)+(COUNTIF('Final Sample'!$V$2:$V$612,'Final Sample'!V319)-1)/2</f>
        <v>356.5</v>
      </c>
    </row>
    <row r="320" spans="1:6" ht="15" customHeight="1" x14ac:dyDescent="0.3">
      <c r="A320" s="25">
        <f>RANK('Final Sample'!I320,'Final Sample'!$I$2:$I$612,0)+(COUNTIF('Final Sample'!$I$2:$I$612,'Final Sample'!I320)-1)/2</f>
        <v>84</v>
      </c>
      <c r="B320" s="25">
        <f>RANK('Final Sample'!J320,'Final Sample'!$J$2:$J$612,0)+(COUNTIF('Final Sample'!$J$2:$J$612,'Final Sample'!J320)-1)/2</f>
        <v>359</v>
      </c>
      <c r="C320" s="25">
        <f>RANK('Final Sample'!AA320,'Final Sample'!$AA$2:$AA$612,0)+(COUNTIF('Final Sample'!$AA$2:$AA$612,'Final Sample'!AA320)-1)/2</f>
        <v>316</v>
      </c>
      <c r="D320" s="25">
        <f>RANK('Final Sample'!R320,'Final Sample'!$R$2:$R$612,0)+(COUNTIF('Final Sample'!$R$2:$R$612,'Final Sample'!R320)-1)/2</f>
        <v>173</v>
      </c>
      <c r="E320" s="25">
        <f>RANK('Final Sample'!AB320,'Final Sample'!$AB$2:$AB$612,0)+(COUNTIF('Final Sample'!$AB$2:$AB$612,'Final Sample'!AB320)-1)/2</f>
        <v>267</v>
      </c>
      <c r="F320" s="25">
        <f>RANK('Final Sample'!V320,'Final Sample'!$V$2:$V$612,0)+(COUNTIF('Final Sample'!$V$2:$V$612,'Final Sample'!V320)-1)/2</f>
        <v>344</v>
      </c>
    </row>
    <row r="321" spans="1:6" ht="15" customHeight="1" x14ac:dyDescent="0.3">
      <c r="A321" s="25">
        <f>RANK('Final Sample'!I321,'Final Sample'!$I$2:$I$612,0)+(COUNTIF('Final Sample'!$I$2:$I$612,'Final Sample'!I321)-1)/2</f>
        <v>84</v>
      </c>
      <c r="B321" s="25">
        <f>RANK('Final Sample'!J321,'Final Sample'!$J$2:$J$612,0)+(COUNTIF('Final Sample'!$J$2:$J$612,'Final Sample'!J321)-1)/2</f>
        <v>359</v>
      </c>
      <c r="C321" s="25">
        <f>RANK('Final Sample'!AA321,'Final Sample'!$AA$2:$AA$612,0)+(COUNTIF('Final Sample'!$AA$2:$AA$612,'Final Sample'!AA321)-1)/2</f>
        <v>240</v>
      </c>
      <c r="D321" s="25">
        <f>RANK('Final Sample'!R321,'Final Sample'!$R$2:$R$612,0)+(COUNTIF('Final Sample'!$R$2:$R$612,'Final Sample'!R321)-1)/2</f>
        <v>166</v>
      </c>
      <c r="E321" s="25">
        <f>RANK('Final Sample'!AB321,'Final Sample'!$AB$2:$AB$612,0)+(COUNTIF('Final Sample'!$AB$2:$AB$612,'Final Sample'!AB321)-1)/2</f>
        <v>251</v>
      </c>
      <c r="F321" s="25">
        <f>RANK('Final Sample'!V321,'Final Sample'!$V$2:$V$612,0)+(COUNTIF('Final Sample'!$V$2:$V$612,'Final Sample'!V321)-1)/2</f>
        <v>335</v>
      </c>
    </row>
    <row r="322" spans="1:6" ht="15" customHeight="1" x14ac:dyDescent="0.3">
      <c r="A322" s="25">
        <f>RANK('Final Sample'!I322,'Final Sample'!$I$2:$I$612,0)+(COUNTIF('Final Sample'!$I$2:$I$612,'Final Sample'!I322)-1)/2</f>
        <v>58.5</v>
      </c>
      <c r="B322" s="25">
        <f>RANK('Final Sample'!J322,'Final Sample'!$J$2:$J$612,0)+(COUNTIF('Final Sample'!$J$2:$J$612,'Final Sample'!J322)-1)/2</f>
        <v>53</v>
      </c>
      <c r="C322" s="25">
        <f>RANK('Final Sample'!AA322,'Final Sample'!$AA$2:$AA$612,0)+(COUNTIF('Final Sample'!$AA$2:$AA$612,'Final Sample'!AA322)-1)/2</f>
        <v>387</v>
      </c>
      <c r="D322" s="25">
        <f>RANK('Final Sample'!R322,'Final Sample'!$R$2:$R$612,0)+(COUNTIF('Final Sample'!$R$2:$R$612,'Final Sample'!R322)-1)/2</f>
        <v>404</v>
      </c>
      <c r="E322" s="25">
        <f>RANK('Final Sample'!AB322,'Final Sample'!$AB$2:$AB$612,0)+(COUNTIF('Final Sample'!$AB$2:$AB$612,'Final Sample'!AB322)-1)/2</f>
        <v>370</v>
      </c>
      <c r="F322" s="25">
        <f>RANK('Final Sample'!V322,'Final Sample'!$V$2:$V$612,0)+(COUNTIF('Final Sample'!$V$2:$V$612,'Final Sample'!V322)-1)/2</f>
        <v>23.5</v>
      </c>
    </row>
    <row r="323" spans="1:6" ht="15" customHeight="1" x14ac:dyDescent="0.3">
      <c r="A323" s="25">
        <f>RANK('Final Sample'!I323,'Final Sample'!$I$2:$I$612,0)+(COUNTIF('Final Sample'!$I$2:$I$612,'Final Sample'!I323)-1)/2</f>
        <v>58.5</v>
      </c>
      <c r="B323" s="25">
        <f>RANK('Final Sample'!J323,'Final Sample'!$J$2:$J$612,0)+(COUNTIF('Final Sample'!$J$2:$J$612,'Final Sample'!J323)-1)/2</f>
        <v>53</v>
      </c>
      <c r="C323" s="25">
        <f>RANK('Final Sample'!AA323,'Final Sample'!$AA$2:$AA$612,0)+(COUNTIF('Final Sample'!$AA$2:$AA$612,'Final Sample'!AA323)-1)/2</f>
        <v>416</v>
      </c>
      <c r="D323" s="25">
        <f>RANK('Final Sample'!R323,'Final Sample'!$R$2:$R$612,0)+(COUNTIF('Final Sample'!$R$2:$R$612,'Final Sample'!R323)-1)/2</f>
        <v>398</v>
      </c>
      <c r="E323" s="25">
        <f>RANK('Final Sample'!AB323,'Final Sample'!$AB$2:$AB$612,0)+(COUNTIF('Final Sample'!$AB$2:$AB$612,'Final Sample'!AB323)-1)/2</f>
        <v>397</v>
      </c>
      <c r="F323" s="25">
        <f>RANK('Final Sample'!V323,'Final Sample'!$V$2:$V$612,0)+(COUNTIF('Final Sample'!$V$2:$V$612,'Final Sample'!V323)-1)/2</f>
        <v>18.5</v>
      </c>
    </row>
    <row r="324" spans="1:6" ht="15" customHeight="1" x14ac:dyDescent="0.3">
      <c r="A324" s="25">
        <f>RANK('Final Sample'!I324,'Final Sample'!$I$2:$I$612,0)+(COUNTIF('Final Sample'!$I$2:$I$612,'Final Sample'!I324)-1)/2</f>
        <v>441.5</v>
      </c>
      <c r="B324" s="25">
        <f>RANK('Final Sample'!J324,'Final Sample'!$J$2:$J$612,0)+(COUNTIF('Final Sample'!$J$2:$J$612,'Final Sample'!J324)-1)/2</f>
        <v>359</v>
      </c>
      <c r="C324" s="25">
        <f>RANK('Final Sample'!AA324,'Final Sample'!$AA$2:$AA$612,0)+(COUNTIF('Final Sample'!$AA$2:$AA$612,'Final Sample'!AA324)-1)/2</f>
        <v>362</v>
      </c>
      <c r="D324" s="25">
        <f>RANK('Final Sample'!R324,'Final Sample'!$R$2:$R$612,0)+(COUNTIF('Final Sample'!$R$2:$R$612,'Final Sample'!R324)-1)/2</f>
        <v>383</v>
      </c>
      <c r="E324" s="25">
        <f>RANK('Final Sample'!AB324,'Final Sample'!$AB$2:$AB$612,0)+(COUNTIF('Final Sample'!$AB$2:$AB$612,'Final Sample'!AB324)-1)/2</f>
        <v>384</v>
      </c>
      <c r="F324" s="25">
        <f>RANK('Final Sample'!V324,'Final Sample'!$V$2:$V$612,0)+(COUNTIF('Final Sample'!$V$2:$V$612,'Final Sample'!V324)-1)/2</f>
        <v>15</v>
      </c>
    </row>
    <row r="325" spans="1:6" ht="15" customHeight="1" x14ac:dyDescent="0.3">
      <c r="A325" s="25">
        <f>RANK('Final Sample'!I325,'Final Sample'!$I$2:$I$612,0)+(COUNTIF('Final Sample'!$I$2:$I$612,'Final Sample'!I325)-1)/2</f>
        <v>441.5</v>
      </c>
      <c r="B325" s="25">
        <f>RANK('Final Sample'!J325,'Final Sample'!$J$2:$J$612,0)+(COUNTIF('Final Sample'!$J$2:$J$612,'Final Sample'!J325)-1)/2</f>
        <v>359</v>
      </c>
      <c r="C325" s="25">
        <f>RANK('Final Sample'!AA325,'Final Sample'!$AA$2:$AA$612,0)+(COUNTIF('Final Sample'!$AA$2:$AA$612,'Final Sample'!AA325)-1)/2</f>
        <v>242</v>
      </c>
      <c r="D325" s="25">
        <f>RANK('Final Sample'!R325,'Final Sample'!$R$2:$R$612,0)+(COUNTIF('Final Sample'!$R$2:$R$612,'Final Sample'!R325)-1)/2</f>
        <v>367</v>
      </c>
      <c r="E325" s="25">
        <f>RANK('Final Sample'!AB325,'Final Sample'!$AB$2:$AB$612,0)+(COUNTIF('Final Sample'!$AB$2:$AB$612,'Final Sample'!AB325)-1)/2</f>
        <v>389</v>
      </c>
      <c r="F325" s="25">
        <f>RANK('Final Sample'!V325,'Final Sample'!$V$2:$V$612,0)+(COUNTIF('Final Sample'!$V$2:$V$612,'Final Sample'!V325)-1)/2</f>
        <v>12.5</v>
      </c>
    </row>
    <row r="326" spans="1:6" ht="15" customHeight="1" x14ac:dyDescent="0.3">
      <c r="A326" s="25">
        <f>RANK('Final Sample'!I326,'Final Sample'!$I$2:$I$612,0)+(COUNTIF('Final Sample'!$I$2:$I$612,'Final Sample'!I326)-1)/2</f>
        <v>441.5</v>
      </c>
      <c r="B326" s="25">
        <f>RANK('Final Sample'!J326,'Final Sample'!$J$2:$J$612,0)+(COUNTIF('Final Sample'!$J$2:$J$612,'Final Sample'!J326)-1)/2</f>
        <v>359</v>
      </c>
      <c r="C326" s="25">
        <f>RANK('Final Sample'!AA326,'Final Sample'!$AA$2:$AA$612,0)+(COUNTIF('Final Sample'!$AA$2:$AA$612,'Final Sample'!AA326)-1)/2</f>
        <v>144</v>
      </c>
      <c r="D326" s="25">
        <f>RANK('Final Sample'!R326,'Final Sample'!$R$2:$R$612,0)+(COUNTIF('Final Sample'!$R$2:$R$612,'Final Sample'!R326)-1)/2</f>
        <v>346</v>
      </c>
      <c r="E326" s="25">
        <f>RANK('Final Sample'!AB326,'Final Sample'!$AB$2:$AB$612,0)+(COUNTIF('Final Sample'!$AB$2:$AB$612,'Final Sample'!AB326)-1)/2</f>
        <v>467</v>
      </c>
      <c r="F326" s="25">
        <f>RANK('Final Sample'!V326,'Final Sample'!$V$2:$V$612,0)+(COUNTIF('Final Sample'!$V$2:$V$612,'Final Sample'!V326)-1)/2</f>
        <v>11</v>
      </c>
    </row>
    <row r="327" spans="1:6" ht="15" customHeight="1" x14ac:dyDescent="0.3">
      <c r="A327" s="25">
        <f>RANK('Final Sample'!I327,'Final Sample'!$I$2:$I$612,0)+(COUNTIF('Final Sample'!$I$2:$I$612,'Final Sample'!I327)-1)/2</f>
        <v>236</v>
      </c>
      <c r="B327" s="25">
        <f>RANK('Final Sample'!J327,'Final Sample'!$J$2:$J$612,0)+(COUNTIF('Final Sample'!$J$2:$J$612,'Final Sample'!J327)-1)/2</f>
        <v>359</v>
      </c>
      <c r="C327" s="25">
        <f>RANK('Final Sample'!AA327,'Final Sample'!$AA$2:$AA$612,0)+(COUNTIF('Final Sample'!$AA$2:$AA$612,'Final Sample'!AA327)-1)/2</f>
        <v>518</v>
      </c>
      <c r="D327" s="25">
        <f>RANK('Final Sample'!R327,'Final Sample'!$R$2:$R$612,0)+(COUNTIF('Final Sample'!$R$2:$R$612,'Final Sample'!R327)-1)/2</f>
        <v>233</v>
      </c>
      <c r="E327" s="25">
        <f>RANK('Final Sample'!AB327,'Final Sample'!$AB$2:$AB$612,0)+(COUNTIF('Final Sample'!$AB$2:$AB$612,'Final Sample'!AB327)-1)/2</f>
        <v>243</v>
      </c>
      <c r="F327" s="25">
        <f>RANK('Final Sample'!V327,'Final Sample'!$V$2:$V$612,0)+(COUNTIF('Final Sample'!$V$2:$V$612,'Final Sample'!V327)-1)/2</f>
        <v>466</v>
      </c>
    </row>
    <row r="328" spans="1:6" ht="15" customHeight="1" x14ac:dyDescent="0.3">
      <c r="A328" s="25">
        <f>RANK('Final Sample'!I328,'Final Sample'!$I$2:$I$612,0)+(COUNTIF('Final Sample'!$I$2:$I$612,'Final Sample'!I328)-1)/2</f>
        <v>236</v>
      </c>
      <c r="B328" s="25">
        <f>RANK('Final Sample'!J328,'Final Sample'!$J$2:$J$612,0)+(COUNTIF('Final Sample'!$J$2:$J$612,'Final Sample'!J328)-1)/2</f>
        <v>359</v>
      </c>
      <c r="C328" s="25">
        <f>RANK('Final Sample'!AA328,'Final Sample'!$AA$2:$AA$612,0)+(COUNTIF('Final Sample'!$AA$2:$AA$612,'Final Sample'!AA328)-1)/2</f>
        <v>511</v>
      </c>
      <c r="D328" s="25">
        <f>RANK('Final Sample'!R328,'Final Sample'!$R$2:$R$612,0)+(COUNTIF('Final Sample'!$R$2:$R$612,'Final Sample'!R328)-1)/2</f>
        <v>230</v>
      </c>
      <c r="E328" s="25">
        <f>RANK('Final Sample'!AB328,'Final Sample'!$AB$2:$AB$612,0)+(COUNTIF('Final Sample'!$AB$2:$AB$612,'Final Sample'!AB328)-1)/2</f>
        <v>225</v>
      </c>
      <c r="F328" s="25">
        <f>RANK('Final Sample'!V328,'Final Sample'!$V$2:$V$612,0)+(COUNTIF('Final Sample'!$V$2:$V$612,'Final Sample'!V328)-1)/2</f>
        <v>460</v>
      </c>
    </row>
    <row r="329" spans="1:6" ht="15" customHeight="1" x14ac:dyDescent="0.3">
      <c r="A329" s="25">
        <f>RANK('Final Sample'!I329,'Final Sample'!$I$2:$I$612,0)+(COUNTIF('Final Sample'!$I$2:$I$612,'Final Sample'!I329)-1)/2</f>
        <v>236</v>
      </c>
      <c r="B329" s="25">
        <f>RANK('Final Sample'!J329,'Final Sample'!$J$2:$J$612,0)+(COUNTIF('Final Sample'!$J$2:$J$612,'Final Sample'!J329)-1)/2</f>
        <v>359</v>
      </c>
      <c r="C329" s="25">
        <f>RANK('Final Sample'!AA329,'Final Sample'!$AA$2:$AA$612,0)+(COUNTIF('Final Sample'!$AA$2:$AA$612,'Final Sample'!AA329)-1)/2</f>
        <v>524</v>
      </c>
      <c r="D329" s="25">
        <f>RANK('Final Sample'!R329,'Final Sample'!$R$2:$R$612,0)+(COUNTIF('Final Sample'!$R$2:$R$612,'Final Sample'!R329)-1)/2</f>
        <v>218</v>
      </c>
      <c r="E329" s="25">
        <f>RANK('Final Sample'!AB329,'Final Sample'!$AB$2:$AB$612,0)+(COUNTIF('Final Sample'!$AB$2:$AB$612,'Final Sample'!AB329)-1)/2</f>
        <v>266</v>
      </c>
      <c r="F329" s="25">
        <f>RANK('Final Sample'!V329,'Final Sample'!$V$2:$V$612,0)+(COUNTIF('Final Sample'!$V$2:$V$612,'Final Sample'!V329)-1)/2</f>
        <v>451</v>
      </c>
    </row>
    <row r="330" spans="1:6" ht="15" customHeight="1" x14ac:dyDescent="0.3">
      <c r="A330" s="25">
        <f>RANK('Final Sample'!I330,'Final Sample'!$I$2:$I$612,0)+(COUNTIF('Final Sample'!$I$2:$I$612,'Final Sample'!I330)-1)/2</f>
        <v>236</v>
      </c>
      <c r="B330" s="25">
        <f>RANK('Final Sample'!J330,'Final Sample'!$J$2:$J$612,0)+(COUNTIF('Final Sample'!$J$2:$J$612,'Final Sample'!J330)-1)/2</f>
        <v>359</v>
      </c>
      <c r="C330" s="25">
        <f>RANK('Final Sample'!AA330,'Final Sample'!$AA$2:$AA$612,0)+(COUNTIF('Final Sample'!$AA$2:$AA$612,'Final Sample'!AA330)-1)/2</f>
        <v>561</v>
      </c>
      <c r="D330" s="25">
        <f>RANK('Final Sample'!R330,'Final Sample'!$R$2:$R$612,0)+(COUNTIF('Final Sample'!$R$2:$R$612,'Final Sample'!R330)-1)/2</f>
        <v>194</v>
      </c>
      <c r="E330" s="25">
        <f>RANK('Final Sample'!AB330,'Final Sample'!$AB$2:$AB$612,0)+(COUNTIF('Final Sample'!$AB$2:$AB$612,'Final Sample'!AB330)-1)/2</f>
        <v>342</v>
      </c>
      <c r="F330" s="25">
        <f>RANK('Final Sample'!V330,'Final Sample'!$V$2:$V$612,0)+(COUNTIF('Final Sample'!$V$2:$V$612,'Final Sample'!V330)-1)/2</f>
        <v>440</v>
      </c>
    </row>
    <row r="331" spans="1:6" ht="15" customHeight="1" x14ac:dyDescent="0.3">
      <c r="A331" s="25">
        <f>RANK('Final Sample'!I331,'Final Sample'!$I$2:$I$612,0)+(COUNTIF('Final Sample'!$I$2:$I$612,'Final Sample'!I331)-1)/2</f>
        <v>236</v>
      </c>
      <c r="B331" s="25">
        <f>RANK('Final Sample'!J331,'Final Sample'!$J$2:$J$612,0)+(COUNTIF('Final Sample'!$J$2:$J$612,'Final Sample'!J331)-1)/2</f>
        <v>359</v>
      </c>
      <c r="C331" s="25">
        <f>RANK('Final Sample'!AA331,'Final Sample'!$AA$2:$AA$612,0)+(COUNTIF('Final Sample'!$AA$2:$AA$612,'Final Sample'!AA331)-1)/2</f>
        <v>409</v>
      </c>
      <c r="D331" s="25">
        <f>RANK('Final Sample'!R331,'Final Sample'!$R$2:$R$612,0)+(COUNTIF('Final Sample'!$R$2:$R$612,'Final Sample'!R331)-1)/2</f>
        <v>180</v>
      </c>
      <c r="E331" s="25">
        <f>RANK('Final Sample'!AB331,'Final Sample'!$AB$2:$AB$612,0)+(COUNTIF('Final Sample'!$AB$2:$AB$612,'Final Sample'!AB331)-1)/2</f>
        <v>357</v>
      </c>
      <c r="F331" s="25">
        <f>RANK('Final Sample'!V331,'Final Sample'!$V$2:$V$612,0)+(COUNTIF('Final Sample'!$V$2:$V$612,'Final Sample'!V331)-1)/2</f>
        <v>425.5</v>
      </c>
    </row>
    <row r="332" spans="1:6" ht="15" customHeight="1" x14ac:dyDescent="0.3">
      <c r="A332" s="25">
        <f>RANK('Final Sample'!I332,'Final Sample'!$I$2:$I$612,0)+(COUNTIF('Final Sample'!$I$2:$I$612,'Final Sample'!I332)-1)/2</f>
        <v>441.5</v>
      </c>
      <c r="B332" s="25">
        <f>RANK('Final Sample'!J332,'Final Sample'!$J$2:$J$612,0)+(COUNTIF('Final Sample'!$J$2:$J$612,'Final Sample'!J332)-1)/2</f>
        <v>359</v>
      </c>
      <c r="C332" s="25">
        <f>RANK('Final Sample'!AA332,'Final Sample'!$AA$2:$AA$612,0)+(COUNTIF('Final Sample'!$AA$2:$AA$612,'Final Sample'!AA332)-1)/2</f>
        <v>515</v>
      </c>
      <c r="D332" s="25">
        <f>RANK('Final Sample'!R332,'Final Sample'!$R$2:$R$612,0)+(COUNTIF('Final Sample'!$R$2:$R$612,'Final Sample'!R332)-1)/2</f>
        <v>595</v>
      </c>
      <c r="E332" s="25">
        <f>RANK('Final Sample'!AB332,'Final Sample'!$AB$2:$AB$612,0)+(COUNTIF('Final Sample'!$AB$2:$AB$612,'Final Sample'!AB332)-1)/2</f>
        <v>450</v>
      </c>
      <c r="F332" s="25">
        <f>RANK('Final Sample'!V332,'Final Sample'!$V$2:$V$612,0)+(COUNTIF('Final Sample'!$V$2:$V$612,'Final Sample'!V332)-1)/2</f>
        <v>530</v>
      </c>
    </row>
    <row r="333" spans="1:6" ht="15" customHeight="1" x14ac:dyDescent="0.3">
      <c r="A333" s="25">
        <f>RANK('Final Sample'!I333,'Final Sample'!$I$2:$I$612,0)+(COUNTIF('Final Sample'!$I$2:$I$612,'Final Sample'!I333)-1)/2</f>
        <v>441.5</v>
      </c>
      <c r="B333" s="25">
        <f>RANK('Final Sample'!J333,'Final Sample'!$J$2:$J$612,0)+(COUNTIF('Final Sample'!$J$2:$J$612,'Final Sample'!J333)-1)/2</f>
        <v>359</v>
      </c>
      <c r="C333" s="25">
        <f>RANK('Final Sample'!AA333,'Final Sample'!$AA$2:$AA$612,0)+(COUNTIF('Final Sample'!$AA$2:$AA$612,'Final Sample'!AA333)-1)/2</f>
        <v>340</v>
      </c>
      <c r="D333" s="25">
        <f>RANK('Final Sample'!R333,'Final Sample'!$R$2:$R$612,0)+(COUNTIF('Final Sample'!$R$2:$R$612,'Final Sample'!R333)-1)/2</f>
        <v>596</v>
      </c>
      <c r="E333" s="25">
        <f>RANK('Final Sample'!AB333,'Final Sample'!$AB$2:$AB$612,0)+(COUNTIF('Final Sample'!$AB$2:$AB$612,'Final Sample'!AB333)-1)/2</f>
        <v>511</v>
      </c>
      <c r="F333" s="25">
        <f>RANK('Final Sample'!V333,'Final Sample'!$V$2:$V$612,0)+(COUNTIF('Final Sample'!$V$2:$V$612,'Final Sample'!V333)-1)/2</f>
        <v>520.5</v>
      </c>
    </row>
    <row r="334" spans="1:6" ht="15" customHeight="1" x14ac:dyDescent="0.3">
      <c r="A334" s="25">
        <f>RANK('Final Sample'!I334,'Final Sample'!$I$2:$I$612,0)+(COUNTIF('Final Sample'!$I$2:$I$612,'Final Sample'!I334)-1)/2</f>
        <v>441.5</v>
      </c>
      <c r="B334" s="25">
        <f>RANK('Final Sample'!J334,'Final Sample'!$J$2:$J$612,0)+(COUNTIF('Final Sample'!$J$2:$J$612,'Final Sample'!J334)-1)/2</f>
        <v>359</v>
      </c>
      <c r="C334" s="25">
        <f>RANK('Final Sample'!AA334,'Final Sample'!$AA$2:$AA$612,0)+(COUNTIF('Final Sample'!$AA$2:$AA$612,'Final Sample'!AA334)-1)/2</f>
        <v>227</v>
      </c>
      <c r="D334" s="25">
        <f>RANK('Final Sample'!R334,'Final Sample'!$R$2:$R$612,0)+(COUNTIF('Final Sample'!$R$2:$R$612,'Final Sample'!R334)-1)/2</f>
        <v>590</v>
      </c>
      <c r="E334" s="25">
        <f>RANK('Final Sample'!AB334,'Final Sample'!$AB$2:$AB$612,0)+(COUNTIF('Final Sample'!$AB$2:$AB$612,'Final Sample'!AB334)-1)/2</f>
        <v>490</v>
      </c>
      <c r="F334" s="25">
        <f>RANK('Final Sample'!V334,'Final Sample'!$V$2:$V$612,0)+(COUNTIF('Final Sample'!$V$2:$V$612,'Final Sample'!V334)-1)/2</f>
        <v>509.5</v>
      </c>
    </row>
    <row r="335" spans="1:6" ht="15" customHeight="1" x14ac:dyDescent="0.3">
      <c r="A335" s="25">
        <f>RANK('Final Sample'!I335,'Final Sample'!$I$2:$I$612,0)+(COUNTIF('Final Sample'!$I$2:$I$612,'Final Sample'!I335)-1)/2</f>
        <v>441.5</v>
      </c>
      <c r="B335" s="25">
        <f>RANK('Final Sample'!J335,'Final Sample'!$J$2:$J$612,0)+(COUNTIF('Final Sample'!$J$2:$J$612,'Final Sample'!J335)-1)/2</f>
        <v>359</v>
      </c>
      <c r="C335" s="25">
        <f>RANK('Final Sample'!AA335,'Final Sample'!$AA$2:$AA$612,0)+(COUNTIF('Final Sample'!$AA$2:$AA$612,'Final Sample'!AA335)-1)/2</f>
        <v>123</v>
      </c>
      <c r="D335" s="25">
        <f>RANK('Final Sample'!R335,'Final Sample'!$R$2:$R$612,0)+(COUNTIF('Final Sample'!$R$2:$R$612,'Final Sample'!R335)-1)/2</f>
        <v>587</v>
      </c>
      <c r="E335" s="25">
        <f>RANK('Final Sample'!AB335,'Final Sample'!$AB$2:$AB$612,0)+(COUNTIF('Final Sample'!$AB$2:$AB$612,'Final Sample'!AB335)-1)/2</f>
        <v>433</v>
      </c>
      <c r="F335" s="25">
        <f>RANK('Final Sample'!V335,'Final Sample'!$V$2:$V$612,0)+(COUNTIF('Final Sample'!$V$2:$V$612,'Final Sample'!V335)-1)/2</f>
        <v>499</v>
      </c>
    </row>
    <row r="336" spans="1:6" ht="15" customHeight="1" x14ac:dyDescent="0.3">
      <c r="A336" s="25">
        <f>RANK('Final Sample'!I336,'Final Sample'!$I$2:$I$612,0)+(COUNTIF('Final Sample'!$I$2:$I$612,'Final Sample'!I336)-1)/2</f>
        <v>441.5</v>
      </c>
      <c r="B336" s="25">
        <f>RANK('Final Sample'!J336,'Final Sample'!$J$2:$J$612,0)+(COUNTIF('Final Sample'!$J$2:$J$612,'Final Sample'!J336)-1)/2</f>
        <v>359</v>
      </c>
      <c r="C336" s="25">
        <f>RANK('Final Sample'!AA336,'Final Sample'!$AA$2:$AA$612,0)+(COUNTIF('Final Sample'!$AA$2:$AA$612,'Final Sample'!AA336)-1)/2</f>
        <v>78</v>
      </c>
      <c r="D336" s="25">
        <f>RANK('Final Sample'!R336,'Final Sample'!$R$2:$R$612,0)+(COUNTIF('Final Sample'!$R$2:$R$612,'Final Sample'!R336)-1)/2</f>
        <v>575</v>
      </c>
      <c r="E336" s="25">
        <f>RANK('Final Sample'!AB336,'Final Sample'!$AB$2:$AB$612,0)+(COUNTIF('Final Sample'!$AB$2:$AB$612,'Final Sample'!AB336)-1)/2</f>
        <v>426</v>
      </c>
      <c r="F336" s="25">
        <f>RANK('Final Sample'!V336,'Final Sample'!$V$2:$V$612,0)+(COUNTIF('Final Sample'!$V$2:$V$612,'Final Sample'!V336)-1)/2</f>
        <v>490.5</v>
      </c>
    </row>
    <row r="337" spans="1:6" ht="15" customHeight="1" x14ac:dyDescent="0.3">
      <c r="A337" s="25">
        <f>RANK('Final Sample'!I337,'Final Sample'!$I$2:$I$612,0)+(COUNTIF('Final Sample'!$I$2:$I$612,'Final Sample'!I337)-1)/2</f>
        <v>441.5</v>
      </c>
      <c r="B337" s="25">
        <f>RANK('Final Sample'!J337,'Final Sample'!$J$2:$J$612,0)+(COUNTIF('Final Sample'!$J$2:$J$612,'Final Sample'!J337)-1)/2</f>
        <v>359</v>
      </c>
      <c r="C337" s="25">
        <f>RANK('Final Sample'!AA337,'Final Sample'!$AA$2:$AA$612,0)+(COUNTIF('Final Sample'!$AA$2:$AA$612,'Final Sample'!AA337)-1)/2</f>
        <v>124</v>
      </c>
      <c r="D337" s="25">
        <f>RANK('Final Sample'!R337,'Final Sample'!$R$2:$R$612,0)+(COUNTIF('Final Sample'!$R$2:$R$612,'Final Sample'!R337)-1)/2</f>
        <v>298</v>
      </c>
      <c r="E337" s="25">
        <f>RANK('Final Sample'!AB337,'Final Sample'!$AB$2:$AB$612,0)+(COUNTIF('Final Sample'!$AB$2:$AB$612,'Final Sample'!AB337)-1)/2</f>
        <v>278</v>
      </c>
      <c r="F337" s="25">
        <f>RANK('Final Sample'!V337,'Final Sample'!$V$2:$V$612,0)+(COUNTIF('Final Sample'!$V$2:$V$612,'Final Sample'!V337)-1)/2</f>
        <v>520.5</v>
      </c>
    </row>
    <row r="338" spans="1:6" ht="15" customHeight="1" x14ac:dyDescent="0.3">
      <c r="A338" s="25">
        <f>RANK('Final Sample'!I338,'Final Sample'!$I$2:$I$612,0)+(COUNTIF('Final Sample'!$I$2:$I$612,'Final Sample'!I338)-1)/2</f>
        <v>441.5</v>
      </c>
      <c r="B338" s="25">
        <f>RANK('Final Sample'!J338,'Final Sample'!$J$2:$J$612,0)+(COUNTIF('Final Sample'!$J$2:$J$612,'Final Sample'!J338)-1)/2</f>
        <v>359</v>
      </c>
      <c r="C338" s="25">
        <f>RANK('Final Sample'!AA338,'Final Sample'!$AA$2:$AA$612,0)+(COUNTIF('Final Sample'!$AA$2:$AA$612,'Final Sample'!AA338)-1)/2</f>
        <v>142</v>
      </c>
      <c r="D338" s="25">
        <f>RANK('Final Sample'!R338,'Final Sample'!$R$2:$R$612,0)+(COUNTIF('Final Sample'!$R$2:$R$612,'Final Sample'!R338)-1)/2</f>
        <v>278</v>
      </c>
      <c r="E338" s="25">
        <f>RANK('Final Sample'!AB338,'Final Sample'!$AB$2:$AB$612,0)+(COUNTIF('Final Sample'!$AB$2:$AB$612,'Final Sample'!AB338)-1)/2</f>
        <v>257</v>
      </c>
      <c r="F338" s="25">
        <f>RANK('Final Sample'!V338,'Final Sample'!$V$2:$V$612,0)+(COUNTIF('Final Sample'!$V$2:$V$612,'Final Sample'!V338)-1)/2</f>
        <v>509.5</v>
      </c>
    </row>
    <row r="339" spans="1:6" ht="15" customHeight="1" x14ac:dyDescent="0.3">
      <c r="A339" s="25">
        <f>RANK('Final Sample'!I339,'Final Sample'!$I$2:$I$612,0)+(COUNTIF('Final Sample'!$I$2:$I$612,'Final Sample'!I339)-1)/2</f>
        <v>441.5</v>
      </c>
      <c r="B339" s="25">
        <f>RANK('Final Sample'!J339,'Final Sample'!$J$2:$J$612,0)+(COUNTIF('Final Sample'!$J$2:$J$612,'Final Sample'!J339)-1)/2</f>
        <v>359</v>
      </c>
      <c r="C339" s="25">
        <f>RANK('Final Sample'!AA339,'Final Sample'!$AA$2:$AA$612,0)+(COUNTIF('Final Sample'!$AA$2:$AA$612,'Final Sample'!AA339)-1)/2</f>
        <v>27</v>
      </c>
      <c r="D339" s="25">
        <f>RANK('Final Sample'!R339,'Final Sample'!$R$2:$R$612,0)+(COUNTIF('Final Sample'!$R$2:$R$612,'Final Sample'!R339)-1)/2</f>
        <v>238</v>
      </c>
      <c r="E339" s="25">
        <f>RANK('Final Sample'!AB339,'Final Sample'!$AB$2:$AB$612,0)+(COUNTIF('Final Sample'!$AB$2:$AB$612,'Final Sample'!AB339)-1)/2</f>
        <v>246</v>
      </c>
      <c r="F339" s="25">
        <f>RANK('Final Sample'!V339,'Final Sample'!$V$2:$V$612,0)+(COUNTIF('Final Sample'!$V$2:$V$612,'Final Sample'!V339)-1)/2</f>
        <v>499</v>
      </c>
    </row>
    <row r="340" spans="1:6" ht="15" customHeight="1" x14ac:dyDescent="0.3">
      <c r="A340" s="25">
        <f>RANK('Final Sample'!I340,'Final Sample'!$I$2:$I$612,0)+(COUNTIF('Final Sample'!$I$2:$I$612,'Final Sample'!I340)-1)/2</f>
        <v>441.5</v>
      </c>
      <c r="B340" s="25">
        <f>RANK('Final Sample'!J340,'Final Sample'!$J$2:$J$612,0)+(COUNTIF('Final Sample'!$J$2:$J$612,'Final Sample'!J340)-1)/2</f>
        <v>359</v>
      </c>
      <c r="C340" s="25">
        <f>RANK('Final Sample'!AA340,'Final Sample'!$AA$2:$AA$612,0)+(COUNTIF('Final Sample'!$AA$2:$AA$612,'Final Sample'!AA340)-1)/2</f>
        <v>586</v>
      </c>
      <c r="D340" s="25">
        <f>RANK('Final Sample'!R340,'Final Sample'!$R$2:$R$612,0)+(COUNTIF('Final Sample'!$R$2:$R$612,'Final Sample'!R340)-1)/2</f>
        <v>573</v>
      </c>
      <c r="E340" s="25">
        <f>RANK('Final Sample'!AB340,'Final Sample'!$AB$2:$AB$612,0)+(COUNTIF('Final Sample'!$AB$2:$AB$612,'Final Sample'!AB340)-1)/2</f>
        <v>452</v>
      </c>
      <c r="F340" s="25">
        <f>RANK('Final Sample'!V340,'Final Sample'!$V$2:$V$612,0)+(COUNTIF('Final Sample'!$V$2:$V$612,'Final Sample'!V340)-1)/2</f>
        <v>143.5</v>
      </c>
    </row>
    <row r="341" spans="1:6" ht="15" customHeight="1" x14ac:dyDescent="0.3">
      <c r="A341" s="25">
        <f>RANK('Final Sample'!I341,'Final Sample'!$I$2:$I$612,0)+(COUNTIF('Final Sample'!$I$2:$I$612,'Final Sample'!I341)-1)/2</f>
        <v>441.5</v>
      </c>
      <c r="B341" s="25">
        <f>RANK('Final Sample'!J341,'Final Sample'!$J$2:$J$612,0)+(COUNTIF('Final Sample'!$J$2:$J$612,'Final Sample'!J341)-1)/2</f>
        <v>359</v>
      </c>
      <c r="C341" s="25">
        <f>RANK('Final Sample'!AA341,'Final Sample'!$AA$2:$AA$612,0)+(COUNTIF('Final Sample'!$AA$2:$AA$612,'Final Sample'!AA341)-1)/2</f>
        <v>522</v>
      </c>
      <c r="D341" s="25">
        <f>RANK('Final Sample'!R341,'Final Sample'!$R$2:$R$612,0)+(COUNTIF('Final Sample'!$R$2:$R$612,'Final Sample'!R341)-1)/2</f>
        <v>574</v>
      </c>
      <c r="E341" s="25">
        <f>RANK('Final Sample'!AB341,'Final Sample'!$AB$2:$AB$612,0)+(COUNTIF('Final Sample'!$AB$2:$AB$612,'Final Sample'!AB341)-1)/2</f>
        <v>581</v>
      </c>
      <c r="F341" s="25">
        <f>RANK('Final Sample'!V341,'Final Sample'!$V$2:$V$612,0)+(COUNTIF('Final Sample'!$V$2:$V$612,'Final Sample'!V341)-1)/2</f>
        <v>129.5</v>
      </c>
    </row>
    <row r="342" spans="1:6" ht="15" customHeight="1" x14ac:dyDescent="0.3">
      <c r="A342" s="25">
        <f>RANK('Final Sample'!I342,'Final Sample'!$I$2:$I$612,0)+(COUNTIF('Final Sample'!$I$2:$I$612,'Final Sample'!I342)-1)/2</f>
        <v>441.5</v>
      </c>
      <c r="B342" s="25">
        <f>RANK('Final Sample'!J342,'Final Sample'!$J$2:$J$612,0)+(COUNTIF('Final Sample'!$J$2:$J$612,'Final Sample'!J342)-1)/2</f>
        <v>359</v>
      </c>
      <c r="C342" s="25">
        <f>RANK('Final Sample'!AA342,'Final Sample'!$AA$2:$AA$612,0)+(COUNTIF('Final Sample'!$AA$2:$AA$612,'Final Sample'!AA342)-1)/2</f>
        <v>341</v>
      </c>
      <c r="D342" s="25">
        <f>RANK('Final Sample'!R342,'Final Sample'!$R$2:$R$612,0)+(COUNTIF('Final Sample'!$R$2:$R$612,'Final Sample'!R342)-1)/2</f>
        <v>565</v>
      </c>
      <c r="E342" s="25">
        <f>RANK('Final Sample'!AB342,'Final Sample'!$AB$2:$AB$612,0)+(COUNTIF('Final Sample'!$AB$2:$AB$612,'Final Sample'!AB342)-1)/2</f>
        <v>561</v>
      </c>
      <c r="F342" s="25">
        <f>RANK('Final Sample'!V342,'Final Sample'!$V$2:$V$612,0)+(COUNTIF('Final Sample'!$V$2:$V$612,'Final Sample'!V342)-1)/2</f>
        <v>113.5</v>
      </c>
    </row>
    <row r="343" spans="1:6" ht="15" customHeight="1" x14ac:dyDescent="0.3">
      <c r="A343" s="25">
        <f>RANK('Final Sample'!I343,'Final Sample'!$I$2:$I$612,0)+(COUNTIF('Final Sample'!$I$2:$I$612,'Final Sample'!I343)-1)/2</f>
        <v>441.5</v>
      </c>
      <c r="B343" s="25">
        <f>RANK('Final Sample'!J343,'Final Sample'!$J$2:$J$612,0)+(COUNTIF('Final Sample'!$J$2:$J$612,'Final Sample'!J343)-1)/2</f>
        <v>359</v>
      </c>
      <c r="C343" s="25">
        <f>RANK('Final Sample'!AA343,'Final Sample'!$AA$2:$AA$612,0)+(COUNTIF('Final Sample'!$AA$2:$AA$612,'Final Sample'!AA343)-1)/2</f>
        <v>128</v>
      </c>
      <c r="D343" s="25">
        <f>RANK('Final Sample'!R343,'Final Sample'!$R$2:$R$612,0)+(COUNTIF('Final Sample'!$R$2:$R$612,'Final Sample'!R343)-1)/2</f>
        <v>559</v>
      </c>
      <c r="E343" s="25">
        <f>RANK('Final Sample'!AB343,'Final Sample'!$AB$2:$AB$612,0)+(COUNTIF('Final Sample'!$AB$2:$AB$612,'Final Sample'!AB343)-1)/2</f>
        <v>547</v>
      </c>
      <c r="F343" s="25">
        <f>RANK('Final Sample'!V343,'Final Sample'!$V$2:$V$612,0)+(COUNTIF('Final Sample'!$V$2:$V$612,'Final Sample'!V343)-1)/2</f>
        <v>97.5</v>
      </c>
    </row>
    <row r="344" spans="1:6" ht="15" customHeight="1" x14ac:dyDescent="0.3">
      <c r="A344" s="25">
        <f>RANK('Final Sample'!I344,'Final Sample'!$I$2:$I$612,0)+(COUNTIF('Final Sample'!$I$2:$I$612,'Final Sample'!I344)-1)/2</f>
        <v>441.5</v>
      </c>
      <c r="B344" s="25">
        <f>RANK('Final Sample'!J344,'Final Sample'!$J$2:$J$612,0)+(COUNTIF('Final Sample'!$J$2:$J$612,'Final Sample'!J344)-1)/2</f>
        <v>359</v>
      </c>
      <c r="C344" s="25">
        <f>RANK('Final Sample'!AA344,'Final Sample'!$AA$2:$AA$612,0)+(COUNTIF('Final Sample'!$AA$2:$AA$612,'Final Sample'!AA344)-1)/2</f>
        <v>87</v>
      </c>
      <c r="D344" s="25">
        <f>RANK('Final Sample'!R344,'Final Sample'!$R$2:$R$612,0)+(COUNTIF('Final Sample'!$R$2:$R$612,'Final Sample'!R344)-1)/2</f>
        <v>551</v>
      </c>
      <c r="E344" s="25">
        <f>RANK('Final Sample'!AB344,'Final Sample'!$AB$2:$AB$612,0)+(COUNTIF('Final Sample'!$AB$2:$AB$612,'Final Sample'!AB344)-1)/2</f>
        <v>542</v>
      </c>
      <c r="F344" s="25">
        <f>RANK('Final Sample'!V344,'Final Sample'!$V$2:$V$612,0)+(COUNTIF('Final Sample'!$V$2:$V$612,'Final Sample'!V344)-1)/2</f>
        <v>83</v>
      </c>
    </row>
    <row r="345" spans="1:6" ht="15" customHeight="1" x14ac:dyDescent="0.3">
      <c r="A345" s="25">
        <f>RANK('Final Sample'!I345,'Final Sample'!$I$2:$I$612,0)+(COUNTIF('Final Sample'!$I$2:$I$612,'Final Sample'!I345)-1)/2</f>
        <v>441.5</v>
      </c>
      <c r="B345" s="25">
        <f>RANK('Final Sample'!J345,'Final Sample'!$J$2:$J$612,0)+(COUNTIF('Final Sample'!$J$2:$J$612,'Final Sample'!J345)-1)/2</f>
        <v>359</v>
      </c>
      <c r="C345" s="25">
        <f>RANK('Final Sample'!AA345,'Final Sample'!$AA$2:$AA$612,0)+(COUNTIF('Final Sample'!$AA$2:$AA$612,'Final Sample'!AA345)-1)/2</f>
        <v>181</v>
      </c>
      <c r="D345" s="25">
        <f>RANK('Final Sample'!R345,'Final Sample'!$R$2:$R$612,0)+(COUNTIF('Final Sample'!$R$2:$R$612,'Final Sample'!R345)-1)/2</f>
        <v>579</v>
      </c>
      <c r="E345" s="25">
        <f>RANK('Final Sample'!AB345,'Final Sample'!$AB$2:$AB$612,0)+(COUNTIF('Final Sample'!$AB$2:$AB$612,'Final Sample'!AB345)-1)/2</f>
        <v>552</v>
      </c>
      <c r="F345" s="25">
        <f>RANK('Final Sample'!V345,'Final Sample'!$V$2:$V$612,0)+(COUNTIF('Final Sample'!$V$2:$V$612,'Final Sample'!V345)-1)/2</f>
        <v>71.5</v>
      </c>
    </row>
    <row r="346" spans="1:6" ht="15" customHeight="1" x14ac:dyDescent="0.3">
      <c r="A346" s="25">
        <f>RANK('Final Sample'!I346,'Final Sample'!$I$2:$I$612,0)+(COUNTIF('Final Sample'!$I$2:$I$612,'Final Sample'!I346)-1)/2</f>
        <v>441.5</v>
      </c>
      <c r="B346" s="25">
        <f>RANK('Final Sample'!J346,'Final Sample'!$J$2:$J$612,0)+(COUNTIF('Final Sample'!$J$2:$J$612,'Final Sample'!J346)-1)/2</f>
        <v>359</v>
      </c>
      <c r="C346" s="25">
        <f>RANK('Final Sample'!AA346,'Final Sample'!$AA$2:$AA$612,0)+(COUNTIF('Final Sample'!$AA$2:$AA$612,'Final Sample'!AA346)-1)/2</f>
        <v>141</v>
      </c>
      <c r="D346" s="25">
        <f>RANK('Final Sample'!R346,'Final Sample'!$R$2:$R$612,0)+(COUNTIF('Final Sample'!$R$2:$R$612,'Final Sample'!R346)-1)/2</f>
        <v>580</v>
      </c>
      <c r="E346" s="25">
        <f>RANK('Final Sample'!AB346,'Final Sample'!$AB$2:$AB$612,0)+(COUNTIF('Final Sample'!$AB$2:$AB$612,'Final Sample'!AB346)-1)/2</f>
        <v>535</v>
      </c>
      <c r="F346" s="25">
        <f>RANK('Final Sample'!V346,'Final Sample'!$V$2:$V$612,0)+(COUNTIF('Final Sample'!$V$2:$V$612,'Final Sample'!V346)-1)/2</f>
        <v>63</v>
      </c>
    </row>
    <row r="347" spans="1:6" ht="15" customHeight="1" x14ac:dyDescent="0.3">
      <c r="A347" s="25">
        <f>RANK('Final Sample'!I347,'Final Sample'!$I$2:$I$612,0)+(COUNTIF('Final Sample'!$I$2:$I$612,'Final Sample'!I347)-1)/2</f>
        <v>441.5</v>
      </c>
      <c r="B347" s="25">
        <f>RANK('Final Sample'!J347,'Final Sample'!$J$2:$J$612,0)+(COUNTIF('Final Sample'!$J$2:$J$612,'Final Sample'!J347)-1)/2</f>
        <v>359</v>
      </c>
      <c r="C347" s="25">
        <f>RANK('Final Sample'!AA347,'Final Sample'!$AA$2:$AA$612,0)+(COUNTIF('Final Sample'!$AA$2:$AA$612,'Final Sample'!AA347)-1)/2</f>
        <v>89</v>
      </c>
      <c r="D347" s="25">
        <f>RANK('Final Sample'!R347,'Final Sample'!$R$2:$R$612,0)+(COUNTIF('Final Sample'!$R$2:$R$612,'Final Sample'!R347)-1)/2</f>
        <v>582</v>
      </c>
      <c r="E347" s="25">
        <f>RANK('Final Sample'!AB347,'Final Sample'!$AB$2:$AB$612,0)+(COUNTIF('Final Sample'!$AB$2:$AB$612,'Final Sample'!AB347)-1)/2</f>
        <v>497</v>
      </c>
      <c r="F347" s="25">
        <f>RANK('Final Sample'!V347,'Final Sample'!$V$2:$V$612,0)+(COUNTIF('Final Sample'!$V$2:$V$612,'Final Sample'!V347)-1)/2</f>
        <v>57</v>
      </c>
    </row>
    <row r="348" spans="1:6" ht="15" customHeight="1" x14ac:dyDescent="0.3">
      <c r="A348" s="25">
        <f>RANK('Final Sample'!I348,'Final Sample'!$I$2:$I$612,0)+(COUNTIF('Final Sample'!$I$2:$I$612,'Final Sample'!I348)-1)/2</f>
        <v>441.5</v>
      </c>
      <c r="B348" s="25">
        <f>RANK('Final Sample'!J348,'Final Sample'!$J$2:$J$612,0)+(COUNTIF('Final Sample'!$J$2:$J$612,'Final Sample'!J348)-1)/2</f>
        <v>359</v>
      </c>
      <c r="C348" s="25">
        <f>RANK('Final Sample'!AA348,'Final Sample'!$AA$2:$AA$612,0)+(COUNTIF('Final Sample'!$AA$2:$AA$612,'Final Sample'!AA348)-1)/2</f>
        <v>47</v>
      </c>
      <c r="D348" s="25">
        <f>RANK('Final Sample'!R348,'Final Sample'!$R$2:$R$612,0)+(COUNTIF('Final Sample'!$R$2:$R$612,'Final Sample'!R348)-1)/2</f>
        <v>581</v>
      </c>
      <c r="E348" s="25">
        <f>RANK('Final Sample'!AB348,'Final Sample'!$AB$2:$AB$612,0)+(COUNTIF('Final Sample'!$AB$2:$AB$612,'Final Sample'!AB348)-1)/2</f>
        <v>432</v>
      </c>
      <c r="F348" s="25">
        <f>RANK('Final Sample'!V348,'Final Sample'!$V$2:$V$612,0)+(COUNTIF('Final Sample'!$V$2:$V$612,'Final Sample'!V348)-1)/2</f>
        <v>53</v>
      </c>
    </row>
    <row r="349" spans="1:6" ht="15" customHeight="1" x14ac:dyDescent="0.3">
      <c r="A349" s="25">
        <f>RANK('Final Sample'!I349,'Final Sample'!$I$2:$I$612,0)+(COUNTIF('Final Sample'!$I$2:$I$612,'Final Sample'!I349)-1)/2</f>
        <v>441.5</v>
      </c>
      <c r="B349" s="25">
        <f>RANK('Final Sample'!J349,'Final Sample'!$J$2:$J$612,0)+(COUNTIF('Final Sample'!$J$2:$J$612,'Final Sample'!J349)-1)/2</f>
        <v>359</v>
      </c>
      <c r="C349" s="25">
        <f>RANK('Final Sample'!AA349,'Final Sample'!$AA$2:$AA$612,0)+(COUNTIF('Final Sample'!$AA$2:$AA$612,'Final Sample'!AA349)-1)/2</f>
        <v>53</v>
      </c>
      <c r="D349" s="25">
        <f>RANK('Final Sample'!R349,'Final Sample'!$R$2:$R$612,0)+(COUNTIF('Final Sample'!$R$2:$R$612,'Final Sample'!R349)-1)/2</f>
        <v>571</v>
      </c>
      <c r="E349" s="25">
        <f>RANK('Final Sample'!AB349,'Final Sample'!$AB$2:$AB$612,0)+(COUNTIF('Final Sample'!$AB$2:$AB$612,'Final Sample'!AB349)-1)/2</f>
        <v>499</v>
      </c>
      <c r="F349" s="25">
        <f>RANK('Final Sample'!V349,'Final Sample'!$V$2:$V$612,0)+(COUNTIF('Final Sample'!$V$2:$V$612,'Final Sample'!V349)-1)/2</f>
        <v>51</v>
      </c>
    </row>
    <row r="350" spans="1:6" ht="15" customHeight="1" x14ac:dyDescent="0.3">
      <c r="A350" s="25">
        <f>RANK('Final Sample'!I350,'Final Sample'!$I$2:$I$612,0)+(COUNTIF('Final Sample'!$I$2:$I$612,'Final Sample'!I350)-1)/2</f>
        <v>132</v>
      </c>
      <c r="B350" s="25">
        <f>RANK('Final Sample'!J350,'Final Sample'!$J$2:$J$612,0)+(COUNTIF('Final Sample'!$J$2:$J$612,'Final Sample'!J350)-1)/2</f>
        <v>48</v>
      </c>
      <c r="C350" s="25">
        <f>RANK('Final Sample'!AA350,'Final Sample'!$AA$2:$AA$612,0)+(COUNTIF('Final Sample'!$AA$2:$AA$612,'Final Sample'!AA350)-1)/2</f>
        <v>66</v>
      </c>
      <c r="D350" s="25">
        <f>RANK('Final Sample'!R350,'Final Sample'!$R$2:$R$612,0)+(COUNTIF('Final Sample'!$R$2:$R$612,'Final Sample'!R350)-1)/2</f>
        <v>72</v>
      </c>
      <c r="E350" s="25">
        <f>RANK('Final Sample'!AB350,'Final Sample'!$AB$2:$AB$612,0)+(COUNTIF('Final Sample'!$AB$2:$AB$612,'Final Sample'!AB350)-1)/2</f>
        <v>155</v>
      </c>
      <c r="F350" s="25">
        <f>RANK('Final Sample'!V350,'Final Sample'!$V$2:$V$612,0)+(COUNTIF('Final Sample'!$V$2:$V$612,'Final Sample'!V350)-1)/2</f>
        <v>490.5</v>
      </c>
    </row>
    <row r="351" spans="1:6" ht="15" customHeight="1" x14ac:dyDescent="0.3">
      <c r="A351" s="25">
        <f>RANK('Final Sample'!I351,'Final Sample'!$I$2:$I$612,0)+(COUNTIF('Final Sample'!$I$2:$I$612,'Final Sample'!I351)-1)/2</f>
        <v>84</v>
      </c>
      <c r="B351" s="25">
        <f>RANK('Final Sample'!J351,'Final Sample'!$J$2:$J$612,0)+(COUNTIF('Final Sample'!$J$2:$J$612,'Final Sample'!J351)-1)/2</f>
        <v>37</v>
      </c>
      <c r="C351" s="25">
        <f>RANK('Final Sample'!AA351,'Final Sample'!$AA$2:$AA$612,0)+(COUNTIF('Final Sample'!$AA$2:$AA$612,'Final Sample'!AA351)-1)/2</f>
        <v>70</v>
      </c>
      <c r="D351" s="25">
        <f>RANK('Final Sample'!R351,'Final Sample'!$R$2:$R$612,0)+(COUNTIF('Final Sample'!$R$2:$R$612,'Final Sample'!R351)-1)/2</f>
        <v>68</v>
      </c>
      <c r="E351" s="25">
        <f>RANK('Final Sample'!AB351,'Final Sample'!$AB$2:$AB$612,0)+(COUNTIF('Final Sample'!$AB$2:$AB$612,'Final Sample'!AB351)-1)/2</f>
        <v>140</v>
      </c>
      <c r="F351" s="25">
        <f>RANK('Final Sample'!V351,'Final Sample'!$V$2:$V$612,0)+(COUNTIF('Final Sample'!$V$2:$V$612,'Final Sample'!V351)-1)/2</f>
        <v>483.5</v>
      </c>
    </row>
    <row r="352" spans="1:6" ht="15" customHeight="1" x14ac:dyDescent="0.3">
      <c r="A352" s="25">
        <f>RANK('Final Sample'!I352,'Final Sample'!$I$2:$I$612,0)+(COUNTIF('Final Sample'!$I$2:$I$612,'Final Sample'!I352)-1)/2</f>
        <v>12.5</v>
      </c>
      <c r="B352" s="25">
        <f>RANK('Final Sample'!J352,'Final Sample'!$J$2:$J$612,0)+(COUNTIF('Final Sample'!$J$2:$J$612,'Final Sample'!J352)-1)/2</f>
        <v>13</v>
      </c>
      <c r="C352" s="25">
        <f>RANK('Final Sample'!AA352,'Final Sample'!$AA$2:$AA$612,0)+(COUNTIF('Final Sample'!$AA$2:$AA$612,'Final Sample'!AA352)-1)/2</f>
        <v>57</v>
      </c>
      <c r="D352" s="25">
        <f>RANK('Final Sample'!R352,'Final Sample'!$R$2:$R$612,0)+(COUNTIF('Final Sample'!$R$2:$R$612,'Final Sample'!R352)-1)/2</f>
        <v>61</v>
      </c>
      <c r="E352" s="25">
        <f>RANK('Final Sample'!AB352,'Final Sample'!$AB$2:$AB$612,0)+(COUNTIF('Final Sample'!$AB$2:$AB$612,'Final Sample'!AB352)-1)/2</f>
        <v>64</v>
      </c>
      <c r="F352" s="25">
        <f>RANK('Final Sample'!V352,'Final Sample'!$V$2:$V$612,0)+(COUNTIF('Final Sample'!$V$2:$V$612,'Final Sample'!V352)-1)/2</f>
        <v>478.5</v>
      </c>
    </row>
    <row r="353" spans="1:6" ht="15" customHeight="1" x14ac:dyDescent="0.3">
      <c r="A353" s="25">
        <f>RANK('Final Sample'!I353,'Final Sample'!$I$2:$I$612,0)+(COUNTIF('Final Sample'!$I$2:$I$612,'Final Sample'!I353)-1)/2</f>
        <v>3</v>
      </c>
      <c r="B353" s="25">
        <f>RANK('Final Sample'!J353,'Final Sample'!$J$2:$J$612,0)+(COUNTIF('Final Sample'!$J$2:$J$612,'Final Sample'!J353)-1)/2</f>
        <v>7</v>
      </c>
      <c r="C353" s="25">
        <f>RANK('Final Sample'!AA353,'Final Sample'!$AA$2:$AA$612,0)+(COUNTIF('Final Sample'!$AA$2:$AA$612,'Final Sample'!AA353)-1)/2</f>
        <v>99</v>
      </c>
      <c r="D353" s="25">
        <f>RANK('Final Sample'!R353,'Final Sample'!$R$2:$R$612,0)+(COUNTIF('Final Sample'!$R$2:$R$612,'Final Sample'!R353)-1)/2</f>
        <v>53</v>
      </c>
      <c r="E353" s="25">
        <f>RANK('Final Sample'!AB353,'Final Sample'!$AB$2:$AB$612,0)+(COUNTIF('Final Sample'!$AB$2:$AB$612,'Final Sample'!AB353)-1)/2</f>
        <v>52</v>
      </c>
      <c r="F353" s="25">
        <f>RANK('Final Sample'!V353,'Final Sample'!$V$2:$V$612,0)+(COUNTIF('Final Sample'!$V$2:$V$612,'Final Sample'!V353)-1)/2</f>
        <v>474.5</v>
      </c>
    </row>
    <row r="354" spans="1:6" ht="15" customHeight="1" x14ac:dyDescent="0.3">
      <c r="A354" s="25">
        <f>RANK('Final Sample'!I354,'Final Sample'!$I$2:$I$612,0)+(COUNTIF('Final Sample'!$I$2:$I$612,'Final Sample'!I354)-1)/2</f>
        <v>3</v>
      </c>
      <c r="B354" s="25">
        <f>RANK('Final Sample'!J354,'Final Sample'!$J$2:$J$612,0)+(COUNTIF('Final Sample'!$J$2:$J$612,'Final Sample'!J354)-1)/2</f>
        <v>7</v>
      </c>
      <c r="C354" s="25">
        <f>RANK('Final Sample'!AA354,'Final Sample'!$AA$2:$AA$612,0)+(COUNTIF('Final Sample'!$AA$2:$AA$612,'Final Sample'!AA354)-1)/2</f>
        <v>51</v>
      </c>
      <c r="D354" s="25">
        <f>RANK('Final Sample'!R354,'Final Sample'!$R$2:$R$612,0)+(COUNTIF('Final Sample'!$R$2:$R$612,'Final Sample'!R354)-1)/2</f>
        <v>47</v>
      </c>
      <c r="E354" s="25">
        <f>RANK('Final Sample'!AB354,'Final Sample'!$AB$2:$AB$612,0)+(COUNTIF('Final Sample'!$AB$2:$AB$612,'Final Sample'!AB354)-1)/2</f>
        <v>137</v>
      </c>
      <c r="F354" s="25">
        <f>RANK('Final Sample'!V354,'Final Sample'!$V$2:$V$612,0)+(COUNTIF('Final Sample'!$V$2:$V$612,'Final Sample'!V354)-1)/2</f>
        <v>470.5</v>
      </c>
    </row>
    <row r="355" spans="1:6" ht="15" customHeight="1" x14ac:dyDescent="0.3">
      <c r="A355" s="25">
        <f>RANK('Final Sample'!I355,'Final Sample'!$I$2:$I$612,0)+(COUNTIF('Final Sample'!$I$2:$I$612,'Final Sample'!I355)-1)/2</f>
        <v>441.5</v>
      </c>
      <c r="B355" s="25">
        <f>RANK('Final Sample'!J355,'Final Sample'!$J$2:$J$612,0)+(COUNTIF('Final Sample'!$J$2:$J$612,'Final Sample'!J355)-1)/2</f>
        <v>359</v>
      </c>
      <c r="C355" s="25">
        <f>RANK('Final Sample'!AA355,'Final Sample'!$AA$2:$AA$612,0)+(COUNTIF('Final Sample'!$AA$2:$AA$612,'Final Sample'!AA355)-1)/2</f>
        <v>312</v>
      </c>
      <c r="D355" s="25">
        <f>RANK('Final Sample'!R355,'Final Sample'!$R$2:$R$612,0)+(COUNTIF('Final Sample'!$R$2:$R$612,'Final Sample'!R355)-1)/2</f>
        <v>540</v>
      </c>
      <c r="E355" s="25">
        <f>RANK('Final Sample'!AB355,'Final Sample'!$AB$2:$AB$612,0)+(COUNTIF('Final Sample'!$AB$2:$AB$612,'Final Sample'!AB355)-1)/2</f>
        <v>114</v>
      </c>
      <c r="F355" s="25">
        <f>RANK('Final Sample'!V355,'Final Sample'!$V$2:$V$612,0)+(COUNTIF('Final Sample'!$V$2:$V$612,'Final Sample'!V355)-1)/2</f>
        <v>509.5</v>
      </c>
    </row>
    <row r="356" spans="1:6" ht="15" customHeight="1" x14ac:dyDescent="0.3">
      <c r="A356" s="25">
        <f>RANK('Final Sample'!I356,'Final Sample'!$I$2:$I$612,0)+(COUNTIF('Final Sample'!$I$2:$I$612,'Final Sample'!I356)-1)/2</f>
        <v>441.5</v>
      </c>
      <c r="B356" s="25">
        <f>RANK('Final Sample'!J356,'Final Sample'!$J$2:$J$612,0)+(COUNTIF('Final Sample'!$J$2:$J$612,'Final Sample'!J356)-1)/2</f>
        <v>359</v>
      </c>
      <c r="C356" s="25">
        <f>RANK('Final Sample'!AA356,'Final Sample'!$AA$2:$AA$612,0)+(COUNTIF('Final Sample'!$AA$2:$AA$612,'Final Sample'!AA356)-1)/2</f>
        <v>247</v>
      </c>
      <c r="D356" s="25">
        <f>RANK('Final Sample'!R356,'Final Sample'!$R$2:$R$612,0)+(COUNTIF('Final Sample'!$R$2:$R$612,'Final Sample'!R356)-1)/2</f>
        <v>543</v>
      </c>
      <c r="E356" s="25">
        <f>RANK('Final Sample'!AB356,'Final Sample'!$AB$2:$AB$612,0)+(COUNTIF('Final Sample'!$AB$2:$AB$612,'Final Sample'!AB356)-1)/2</f>
        <v>166</v>
      </c>
      <c r="F356" s="25">
        <f>RANK('Final Sample'!V356,'Final Sample'!$V$2:$V$612,0)+(COUNTIF('Final Sample'!$V$2:$V$612,'Final Sample'!V356)-1)/2</f>
        <v>499</v>
      </c>
    </row>
    <row r="357" spans="1:6" ht="15" customHeight="1" x14ac:dyDescent="0.3">
      <c r="A357" s="25">
        <f>RANK('Final Sample'!I357,'Final Sample'!$I$2:$I$612,0)+(COUNTIF('Final Sample'!$I$2:$I$612,'Final Sample'!I357)-1)/2</f>
        <v>441.5</v>
      </c>
      <c r="B357" s="25">
        <f>RANK('Final Sample'!J357,'Final Sample'!$J$2:$J$612,0)+(COUNTIF('Final Sample'!$J$2:$J$612,'Final Sample'!J357)-1)/2</f>
        <v>359</v>
      </c>
      <c r="C357" s="25">
        <f>RANK('Final Sample'!AA357,'Final Sample'!$AA$2:$AA$612,0)+(COUNTIF('Final Sample'!$AA$2:$AA$612,'Final Sample'!AA357)-1)/2</f>
        <v>62</v>
      </c>
      <c r="D357" s="25">
        <f>RANK('Final Sample'!R357,'Final Sample'!$R$2:$R$612,0)+(COUNTIF('Final Sample'!$R$2:$R$612,'Final Sample'!R357)-1)/2</f>
        <v>545</v>
      </c>
      <c r="E357" s="25">
        <f>RANK('Final Sample'!AB357,'Final Sample'!$AB$2:$AB$612,0)+(COUNTIF('Final Sample'!$AB$2:$AB$612,'Final Sample'!AB357)-1)/2</f>
        <v>211</v>
      </c>
      <c r="F357" s="25">
        <f>RANK('Final Sample'!V357,'Final Sample'!$V$2:$V$612,0)+(COUNTIF('Final Sample'!$V$2:$V$612,'Final Sample'!V357)-1)/2</f>
        <v>490.5</v>
      </c>
    </row>
    <row r="358" spans="1:6" ht="15" customHeight="1" x14ac:dyDescent="0.3">
      <c r="A358" s="25">
        <f>RANK('Final Sample'!I358,'Final Sample'!$I$2:$I$612,0)+(COUNTIF('Final Sample'!$I$2:$I$612,'Final Sample'!I358)-1)/2</f>
        <v>441.5</v>
      </c>
      <c r="B358" s="25">
        <f>RANK('Final Sample'!J358,'Final Sample'!$J$2:$J$612,0)+(COUNTIF('Final Sample'!$J$2:$J$612,'Final Sample'!J358)-1)/2</f>
        <v>359</v>
      </c>
      <c r="C358" s="25">
        <f>RANK('Final Sample'!AA358,'Final Sample'!$AA$2:$AA$612,0)+(COUNTIF('Final Sample'!$AA$2:$AA$612,'Final Sample'!AA358)-1)/2</f>
        <v>204</v>
      </c>
      <c r="D358" s="25">
        <f>RANK('Final Sample'!R358,'Final Sample'!$R$2:$R$612,0)+(COUNTIF('Final Sample'!$R$2:$R$612,'Final Sample'!R358)-1)/2</f>
        <v>538</v>
      </c>
      <c r="E358" s="25">
        <f>RANK('Final Sample'!AB358,'Final Sample'!$AB$2:$AB$612,0)+(COUNTIF('Final Sample'!$AB$2:$AB$612,'Final Sample'!AB358)-1)/2</f>
        <v>262</v>
      </c>
      <c r="F358" s="25">
        <f>RANK('Final Sample'!V358,'Final Sample'!$V$2:$V$612,0)+(COUNTIF('Final Sample'!$V$2:$V$612,'Final Sample'!V358)-1)/2</f>
        <v>483.5</v>
      </c>
    </row>
    <row r="359" spans="1:6" ht="15" customHeight="1" x14ac:dyDescent="0.3">
      <c r="A359" s="25">
        <f>RANK('Final Sample'!I359,'Final Sample'!$I$2:$I$612,0)+(COUNTIF('Final Sample'!$I$2:$I$612,'Final Sample'!I359)-1)/2</f>
        <v>441.5</v>
      </c>
      <c r="B359" s="25">
        <f>RANK('Final Sample'!J359,'Final Sample'!$J$2:$J$612,0)+(COUNTIF('Final Sample'!$J$2:$J$612,'Final Sample'!J359)-1)/2</f>
        <v>359</v>
      </c>
      <c r="C359" s="25">
        <f>RANK('Final Sample'!AA359,'Final Sample'!$AA$2:$AA$612,0)+(COUNTIF('Final Sample'!$AA$2:$AA$612,'Final Sample'!AA359)-1)/2</f>
        <v>86</v>
      </c>
      <c r="D359" s="25">
        <f>RANK('Final Sample'!R359,'Final Sample'!$R$2:$R$612,0)+(COUNTIF('Final Sample'!$R$2:$R$612,'Final Sample'!R359)-1)/2</f>
        <v>554</v>
      </c>
      <c r="E359" s="25">
        <f>RANK('Final Sample'!AB359,'Final Sample'!$AB$2:$AB$612,0)+(COUNTIF('Final Sample'!$AB$2:$AB$612,'Final Sample'!AB359)-1)/2</f>
        <v>468</v>
      </c>
      <c r="F359" s="25">
        <f>RANK('Final Sample'!V359,'Final Sample'!$V$2:$V$612,0)+(COUNTIF('Final Sample'!$V$2:$V$612,'Final Sample'!V359)-1)/2</f>
        <v>478.5</v>
      </c>
    </row>
    <row r="360" spans="1:6" ht="15" customHeight="1" x14ac:dyDescent="0.3">
      <c r="A360" s="25">
        <f>RANK('Final Sample'!I360,'Final Sample'!$I$2:$I$612,0)+(COUNTIF('Final Sample'!$I$2:$I$612,'Final Sample'!I360)-1)/2</f>
        <v>162.5</v>
      </c>
      <c r="B360" s="25">
        <f>RANK('Final Sample'!J360,'Final Sample'!$J$2:$J$612,0)+(COUNTIF('Final Sample'!$J$2:$J$612,'Final Sample'!J360)-1)/2</f>
        <v>359</v>
      </c>
      <c r="C360" s="25">
        <f>RANK('Final Sample'!AA360,'Final Sample'!$AA$2:$AA$612,0)+(COUNTIF('Final Sample'!$AA$2:$AA$612,'Final Sample'!AA360)-1)/2</f>
        <v>436</v>
      </c>
      <c r="D360" s="25">
        <f>RANK('Final Sample'!R360,'Final Sample'!$R$2:$R$612,0)+(COUNTIF('Final Sample'!$R$2:$R$612,'Final Sample'!R360)-1)/2</f>
        <v>413</v>
      </c>
      <c r="E360" s="25">
        <f>RANK('Final Sample'!AB360,'Final Sample'!$AB$2:$AB$612,0)+(COUNTIF('Final Sample'!$AB$2:$AB$612,'Final Sample'!AB360)-1)/2</f>
        <v>381</v>
      </c>
      <c r="F360" s="25">
        <f>RANK('Final Sample'!V360,'Final Sample'!$V$2:$V$612,0)+(COUNTIF('Final Sample'!$V$2:$V$612,'Final Sample'!V360)-1)/2</f>
        <v>282.5</v>
      </c>
    </row>
    <row r="361" spans="1:6" ht="15" customHeight="1" x14ac:dyDescent="0.3">
      <c r="A361" s="25">
        <f>RANK('Final Sample'!I361,'Final Sample'!$I$2:$I$612,0)+(COUNTIF('Final Sample'!$I$2:$I$612,'Final Sample'!I361)-1)/2</f>
        <v>162.5</v>
      </c>
      <c r="B361" s="25">
        <f>RANK('Final Sample'!J361,'Final Sample'!$J$2:$J$612,0)+(COUNTIF('Final Sample'!$J$2:$J$612,'Final Sample'!J361)-1)/2</f>
        <v>359</v>
      </c>
      <c r="C361" s="25">
        <f>RANK('Final Sample'!AA361,'Final Sample'!$AA$2:$AA$612,0)+(COUNTIF('Final Sample'!$AA$2:$AA$612,'Final Sample'!AA361)-1)/2</f>
        <v>278</v>
      </c>
      <c r="D361" s="25">
        <f>RANK('Final Sample'!R361,'Final Sample'!$R$2:$R$612,0)+(COUNTIF('Final Sample'!$R$2:$R$612,'Final Sample'!R361)-1)/2</f>
        <v>395</v>
      </c>
      <c r="E361" s="25">
        <f>RANK('Final Sample'!AB361,'Final Sample'!$AB$2:$AB$612,0)+(COUNTIF('Final Sample'!$AB$2:$AB$612,'Final Sample'!AB361)-1)/2</f>
        <v>417</v>
      </c>
      <c r="F361" s="25">
        <f>RANK('Final Sample'!V361,'Final Sample'!$V$2:$V$612,0)+(COUNTIF('Final Sample'!$V$2:$V$612,'Final Sample'!V361)-1)/2</f>
        <v>270.5</v>
      </c>
    </row>
    <row r="362" spans="1:6" ht="15" customHeight="1" x14ac:dyDescent="0.3">
      <c r="A362" s="25">
        <f>RANK('Final Sample'!I362,'Final Sample'!$I$2:$I$612,0)+(COUNTIF('Final Sample'!$I$2:$I$612,'Final Sample'!I362)-1)/2</f>
        <v>162.5</v>
      </c>
      <c r="B362" s="25">
        <f>RANK('Final Sample'!J362,'Final Sample'!$J$2:$J$612,0)+(COUNTIF('Final Sample'!$J$2:$J$612,'Final Sample'!J362)-1)/2</f>
        <v>359</v>
      </c>
      <c r="C362" s="25">
        <f>RANK('Final Sample'!AA362,'Final Sample'!$AA$2:$AA$612,0)+(COUNTIF('Final Sample'!$AA$2:$AA$612,'Final Sample'!AA362)-1)/2</f>
        <v>81</v>
      </c>
      <c r="D362" s="25">
        <f>RANK('Final Sample'!R362,'Final Sample'!$R$2:$R$612,0)+(COUNTIF('Final Sample'!$R$2:$R$612,'Final Sample'!R362)-1)/2</f>
        <v>342</v>
      </c>
      <c r="E362" s="25">
        <f>RANK('Final Sample'!AB362,'Final Sample'!$AB$2:$AB$612,0)+(COUNTIF('Final Sample'!$AB$2:$AB$612,'Final Sample'!AB362)-1)/2</f>
        <v>390</v>
      </c>
      <c r="F362" s="25">
        <f>RANK('Final Sample'!V362,'Final Sample'!$V$2:$V$612,0)+(COUNTIF('Final Sample'!$V$2:$V$612,'Final Sample'!V362)-1)/2</f>
        <v>260</v>
      </c>
    </row>
    <row r="363" spans="1:6" ht="15" customHeight="1" x14ac:dyDescent="0.3">
      <c r="A363" s="25">
        <f>RANK('Final Sample'!I363,'Final Sample'!$I$2:$I$612,0)+(COUNTIF('Final Sample'!$I$2:$I$612,'Final Sample'!I363)-1)/2</f>
        <v>162.5</v>
      </c>
      <c r="B363" s="25">
        <f>RANK('Final Sample'!J363,'Final Sample'!$J$2:$J$612,0)+(COUNTIF('Final Sample'!$J$2:$J$612,'Final Sample'!J363)-1)/2</f>
        <v>359</v>
      </c>
      <c r="C363" s="25">
        <f>RANK('Final Sample'!AA363,'Final Sample'!$AA$2:$AA$612,0)+(COUNTIF('Final Sample'!$AA$2:$AA$612,'Final Sample'!AA363)-1)/2</f>
        <v>77</v>
      </c>
      <c r="D363" s="25">
        <f>RANK('Final Sample'!R363,'Final Sample'!$R$2:$R$612,0)+(COUNTIF('Final Sample'!$R$2:$R$612,'Final Sample'!R363)-1)/2</f>
        <v>287</v>
      </c>
      <c r="E363" s="25">
        <f>RANK('Final Sample'!AB363,'Final Sample'!$AB$2:$AB$612,0)+(COUNTIF('Final Sample'!$AB$2:$AB$612,'Final Sample'!AB363)-1)/2</f>
        <v>383</v>
      </c>
      <c r="F363" s="25">
        <f>RANK('Final Sample'!V363,'Final Sample'!$V$2:$V$612,0)+(COUNTIF('Final Sample'!$V$2:$V$612,'Final Sample'!V363)-1)/2</f>
        <v>252</v>
      </c>
    </row>
    <row r="364" spans="1:6" ht="15" customHeight="1" x14ac:dyDescent="0.3">
      <c r="A364" s="25">
        <f>RANK('Final Sample'!I364,'Final Sample'!$I$2:$I$612,0)+(COUNTIF('Final Sample'!$I$2:$I$612,'Final Sample'!I364)-1)/2</f>
        <v>162.5</v>
      </c>
      <c r="B364" s="25">
        <f>RANK('Final Sample'!J364,'Final Sample'!$J$2:$J$612,0)+(COUNTIF('Final Sample'!$J$2:$J$612,'Final Sample'!J364)-1)/2</f>
        <v>359</v>
      </c>
      <c r="C364" s="25">
        <f>RANK('Final Sample'!AA364,'Final Sample'!$AA$2:$AA$612,0)+(COUNTIF('Final Sample'!$AA$2:$AA$612,'Final Sample'!AA364)-1)/2</f>
        <v>22</v>
      </c>
      <c r="D364" s="25">
        <f>RANK('Final Sample'!R364,'Final Sample'!$R$2:$R$612,0)+(COUNTIF('Final Sample'!$R$2:$R$612,'Final Sample'!R364)-1)/2</f>
        <v>277</v>
      </c>
      <c r="E364" s="25">
        <f>RANK('Final Sample'!AB364,'Final Sample'!$AB$2:$AB$612,0)+(COUNTIF('Final Sample'!$AB$2:$AB$612,'Final Sample'!AB364)-1)/2</f>
        <v>407</v>
      </c>
      <c r="F364" s="25">
        <f>RANK('Final Sample'!V364,'Final Sample'!$V$2:$V$612,0)+(COUNTIF('Final Sample'!$V$2:$V$612,'Final Sample'!V364)-1)/2</f>
        <v>246.5</v>
      </c>
    </row>
    <row r="365" spans="1:6" ht="15" customHeight="1" x14ac:dyDescent="0.3">
      <c r="A365" s="25">
        <f>RANK('Final Sample'!I365,'Final Sample'!$I$2:$I$612,0)+(COUNTIF('Final Sample'!$I$2:$I$612,'Final Sample'!I365)-1)/2</f>
        <v>95</v>
      </c>
      <c r="B365" s="25">
        <f>RANK('Final Sample'!J365,'Final Sample'!$J$2:$J$612,0)+(COUNTIF('Final Sample'!$J$2:$J$612,'Final Sample'!J365)-1)/2</f>
        <v>359</v>
      </c>
      <c r="C365" s="25">
        <f>RANK('Final Sample'!AA365,'Final Sample'!$AA$2:$AA$612,0)+(COUNTIF('Final Sample'!$AA$2:$AA$612,'Final Sample'!AA365)-1)/2</f>
        <v>194</v>
      </c>
      <c r="D365" s="25">
        <f>RANK('Final Sample'!R365,'Final Sample'!$R$2:$R$612,0)+(COUNTIF('Final Sample'!$R$2:$R$612,'Final Sample'!R365)-1)/2</f>
        <v>300</v>
      </c>
      <c r="E365" s="25">
        <f>RANK('Final Sample'!AB365,'Final Sample'!$AB$2:$AB$612,0)+(COUNTIF('Final Sample'!$AB$2:$AB$612,'Final Sample'!AB365)-1)/2</f>
        <v>333</v>
      </c>
      <c r="F365" s="25">
        <f>RANK('Final Sample'!V365,'Final Sample'!$V$2:$V$612,0)+(COUNTIF('Final Sample'!$V$2:$V$612,'Final Sample'!V365)-1)/2</f>
        <v>239.5</v>
      </c>
    </row>
    <row r="366" spans="1:6" ht="15" customHeight="1" x14ac:dyDescent="0.3">
      <c r="A366" s="25">
        <f>RANK('Final Sample'!I366,'Final Sample'!$I$2:$I$612,0)+(COUNTIF('Final Sample'!$I$2:$I$612,'Final Sample'!I366)-1)/2</f>
        <v>95</v>
      </c>
      <c r="B366" s="25">
        <f>RANK('Final Sample'!J366,'Final Sample'!$J$2:$J$612,0)+(COUNTIF('Final Sample'!$J$2:$J$612,'Final Sample'!J366)-1)/2</f>
        <v>359</v>
      </c>
      <c r="C366" s="25">
        <f>RANK('Final Sample'!AA366,'Final Sample'!$AA$2:$AA$612,0)+(COUNTIF('Final Sample'!$AA$2:$AA$612,'Final Sample'!AA366)-1)/2</f>
        <v>276</v>
      </c>
      <c r="D366" s="25">
        <f>RANK('Final Sample'!R366,'Final Sample'!$R$2:$R$612,0)+(COUNTIF('Final Sample'!$R$2:$R$612,'Final Sample'!R366)-1)/2</f>
        <v>276</v>
      </c>
      <c r="E366" s="25">
        <f>RANK('Final Sample'!AB366,'Final Sample'!$AB$2:$AB$612,0)+(COUNTIF('Final Sample'!$AB$2:$AB$612,'Final Sample'!AB366)-1)/2</f>
        <v>315</v>
      </c>
      <c r="F366" s="25">
        <f>RANK('Final Sample'!V366,'Final Sample'!$V$2:$V$612,0)+(COUNTIF('Final Sample'!$V$2:$V$612,'Final Sample'!V366)-1)/2</f>
        <v>234.5</v>
      </c>
    </row>
    <row r="367" spans="1:6" ht="15" customHeight="1" x14ac:dyDescent="0.3">
      <c r="A367" s="25">
        <f>RANK('Final Sample'!I367,'Final Sample'!$I$2:$I$612,0)+(COUNTIF('Final Sample'!$I$2:$I$612,'Final Sample'!I367)-1)/2</f>
        <v>95</v>
      </c>
      <c r="B367" s="25">
        <f>RANK('Final Sample'!J367,'Final Sample'!$J$2:$J$612,0)+(COUNTIF('Final Sample'!$J$2:$J$612,'Final Sample'!J367)-1)/2</f>
        <v>359</v>
      </c>
      <c r="C367" s="25">
        <f>RANK('Final Sample'!AA367,'Final Sample'!$AA$2:$AA$612,0)+(COUNTIF('Final Sample'!$AA$2:$AA$612,'Final Sample'!AA367)-1)/2</f>
        <v>58</v>
      </c>
      <c r="D367" s="25">
        <f>RANK('Final Sample'!R367,'Final Sample'!$R$2:$R$612,0)+(COUNTIF('Final Sample'!$R$2:$R$612,'Final Sample'!R367)-1)/2</f>
        <v>261</v>
      </c>
      <c r="E367" s="25">
        <f>RANK('Final Sample'!AB367,'Final Sample'!$AB$2:$AB$612,0)+(COUNTIF('Final Sample'!$AB$2:$AB$612,'Final Sample'!AB367)-1)/2</f>
        <v>376</v>
      </c>
      <c r="F367" s="25">
        <f>RANK('Final Sample'!V367,'Final Sample'!$V$2:$V$612,0)+(COUNTIF('Final Sample'!$V$2:$V$612,'Final Sample'!V367)-1)/2</f>
        <v>227.5</v>
      </c>
    </row>
    <row r="368" spans="1:6" ht="15" customHeight="1" x14ac:dyDescent="0.3">
      <c r="A368" s="25">
        <f>RANK('Final Sample'!I368,'Final Sample'!$I$2:$I$612,0)+(COUNTIF('Final Sample'!$I$2:$I$612,'Final Sample'!I368)-1)/2</f>
        <v>95</v>
      </c>
      <c r="B368" s="25">
        <f>RANK('Final Sample'!J368,'Final Sample'!$J$2:$J$612,0)+(COUNTIF('Final Sample'!$J$2:$J$612,'Final Sample'!J368)-1)/2</f>
        <v>359</v>
      </c>
      <c r="C368" s="25">
        <f>RANK('Final Sample'!AA368,'Final Sample'!$AA$2:$AA$612,0)+(COUNTIF('Final Sample'!$AA$2:$AA$612,'Final Sample'!AA368)-1)/2</f>
        <v>185</v>
      </c>
      <c r="D368" s="25">
        <f>RANK('Final Sample'!R368,'Final Sample'!$R$2:$R$612,0)+(COUNTIF('Final Sample'!$R$2:$R$612,'Final Sample'!R368)-1)/2</f>
        <v>243</v>
      </c>
      <c r="E368" s="25">
        <f>RANK('Final Sample'!AB368,'Final Sample'!$AB$2:$AB$612,0)+(COUNTIF('Final Sample'!$AB$2:$AB$612,'Final Sample'!AB368)-1)/2</f>
        <v>487</v>
      </c>
      <c r="F368" s="25">
        <f>RANK('Final Sample'!V368,'Final Sample'!$V$2:$V$612,0)+(COUNTIF('Final Sample'!$V$2:$V$612,'Final Sample'!V368)-1)/2</f>
        <v>218</v>
      </c>
    </row>
    <row r="369" spans="1:6" ht="15" customHeight="1" x14ac:dyDescent="0.3">
      <c r="A369" s="25">
        <f>RANK('Final Sample'!I369,'Final Sample'!$I$2:$I$612,0)+(COUNTIF('Final Sample'!$I$2:$I$612,'Final Sample'!I369)-1)/2</f>
        <v>16.5</v>
      </c>
      <c r="B369" s="25">
        <f>RANK('Final Sample'!J369,'Final Sample'!$J$2:$J$612,0)+(COUNTIF('Final Sample'!$J$2:$J$612,'Final Sample'!J369)-1)/2</f>
        <v>37</v>
      </c>
      <c r="C369" s="25">
        <f>RANK('Final Sample'!AA369,'Final Sample'!$AA$2:$AA$612,0)+(COUNTIF('Final Sample'!$AA$2:$AA$612,'Final Sample'!AA369)-1)/2</f>
        <v>69</v>
      </c>
      <c r="D369" s="25">
        <f>RANK('Final Sample'!R369,'Final Sample'!$R$2:$R$612,0)+(COUNTIF('Final Sample'!$R$2:$R$612,'Final Sample'!R369)-1)/2</f>
        <v>203</v>
      </c>
      <c r="E369" s="25">
        <f>RANK('Final Sample'!AB369,'Final Sample'!$AB$2:$AB$612,0)+(COUNTIF('Final Sample'!$AB$2:$AB$612,'Final Sample'!AB369)-1)/2</f>
        <v>457</v>
      </c>
      <c r="F369" s="25">
        <f>RANK('Final Sample'!V369,'Final Sample'!$V$2:$V$612,0)+(COUNTIF('Final Sample'!$V$2:$V$612,'Final Sample'!V369)-1)/2</f>
        <v>206.5</v>
      </c>
    </row>
    <row r="370" spans="1:6" ht="15" customHeight="1" x14ac:dyDescent="0.3">
      <c r="A370" s="25">
        <f>RANK('Final Sample'!I370,'Final Sample'!$I$2:$I$612,0)+(COUNTIF('Final Sample'!$I$2:$I$612,'Final Sample'!I370)-1)/2</f>
        <v>132</v>
      </c>
      <c r="B370" s="25">
        <f>RANK('Final Sample'!J370,'Final Sample'!$J$2:$J$612,0)+(COUNTIF('Final Sample'!$J$2:$J$612,'Final Sample'!J370)-1)/2</f>
        <v>79.5</v>
      </c>
      <c r="C370" s="25">
        <f>RANK('Final Sample'!AA370,'Final Sample'!$AA$2:$AA$612,0)+(COUNTIF('Final Sample'!$AA$2:$AA$612,'Final Sample'!AA370)-1)/2</f>
        <v>199</v>
      </c>
      <c r="D370" s="25">
        <f>RANK('Final Sample'!R370,'Final Sample'!$R$2:$R$612,0)+(COUNTIF('Final Sample'!$R$2:$R$612,'Final Sample'!R370)-1)/2</f>
        <v>135</v>
      </c>
      <c r="E370" s="25">
        <f>RANK('Final Sample'!AB370,'Final Sample'!$AB$2:$AB$612,0)+(COUNTIF('Final Sample'!$AB$2:$AB$612,'Final Sample'!AB370)-1)/2</f>
        <v>331</v>
      </c>
      <c r="F370" s="25">
        <f>RANK('Final Sample'!V370,'Final Sample'!$V$2:$V$612,0)+(COUNTIF('Final Sample'!$V$2:$V$612,'Final Sample'!V370)-1)/2</f>
        <v>35.5</v>
      </c>
    </row>
    <row r="371" spans="1:6" ht="15" customHeight="1" x14ac:dyDescent="0.3">
      <c r="A371" s="25">
        <f>RANK('Final Sample'!I371,'Final Sample'!$I$2:$I$612,0)+(COUNTIF('Final Sample'!$I$2:$I$612,'Final Sample'!I371)-1)/2</f>
        <v>112</v>
      </c>
      <c r="B371" s="25">
        <f>RANK('Final Sample'!J371,'Final Sample'!$J$2:$J$612,0)+(COUNTIF('Final Sample'!$J$2:$J$612,'Final Sample'!J371)-1)/2</f>
        <v>79.5</v>
      </c>
      <c r="C371" s="25">
        <f>RANK('Final Sample'!AA371,'Final Sample'!$AA$2:$AA$612,0)+(COUNTIF('Final Sample'!$AA$2:$AA$612,'Final Sample'!AA371)-1)/2</f>
        <v>211</v>
      </c>
      <c r="D371" s="25">
        <f>RANK('Final Sample'!R371,'Final Sample'!$R$2:$R$612,0)+(COUNTIF('Final Sample'!$R$2:$R$612,'Final Sample'!R371)-1)/2</f>
        <v>119</v>
      </c>
      <c r="E371" s="25">
        <f>RANK('Final Sample'!AB371,'Final Sample'!$AB$2:$AB$612,0)+(COUNTIF('Final Sample'!$AB$2:$AB$612,'Final Sample'!AB371)-1)/2</f>
        <v>276</v>
      </c>
      <c r="F371" s="25">
        <f>RANK('Final Sample'!V371,'Final Sample'!$V$2:$V$612,0)+(COUNTIF('Final Sample'!$V$2:$V$612,'Final Sample'!V371)-1)/2</f>
        <v>29.5</v>
      </c>
    </row>
    <row r="372" spans="1:6" ht="15" customHeight="1" x14ac:dyDescent="0.3">
      <c r="A372" s="25">
        <f>RANK('Final Sample'!I372,'Final Sample'!$I$2:$I$612,0)+(COUNTIF('Final Sample'!$I$2:$I$612,'Final Sample'!I372)-1)/2</f>
        <v>95</v>
      </c>
      <c r="B372" s="25">
        <f>RANK('Final Sample'!J372,'Final Sample'!$J$2:$J$612,0)+(COUNTIF('Final Sample'!$J$2:$J$612,'Final Sample'!J372)-1)/2</f>
        <v>64.5</v>
      </c>
      <c r="C372" s="25">
        <f>RANK('Final Sample'!AA372,'Final Sample'!$AA$2:$AA$612,0)+(COUNTIF('Final Sample'!$AA$2:$AA$612,'Final Sample'!AA372)-1)/2</f>
        <v>212</v>
      </c>
      <c r="D372" s="25">
        <f>RANK('Final Sample'!R372,'Final Sample'!$R$2:$R$612,0)+(COUNTIF('Final Sample'!$R$2:$R$612,'Final Sample'!R372)-1)/2</f>
        <v>108</v>
      </c>
      <c r="E372" s="25">
        <f>RANK('Final Sample'!AB372,'Final Sample'!$AB$2:$AB$612,0)+(COUNTIF('Final Sample'!$AB$2:$AB$612,'Final Sample'!AB372)-1)/2</f>
        <v>105</v>
      </c>
      <c r="F372" s="25">
        <f>RANK('Final Sample'!V372,'Final Sample'!$V$2:$V$612,0)+(COUNTIF('Final Sample'!$V$2:$V$612,'Final Sample'!V372)-1)/2</f>
        <v>23.5</v>
      </c>
    </row>
    <row r="373" spans="1:6" ht="15" customHeight="1" x14ac:dyDescent="0.3">
      <c r="A373" s="25">
        <f>RANK('Final Sample'!I373,'Final Sample'!$I$2:$I$612,0)+(COUNTIF('Final Sample'!$I$2:$I$612,'Final Sample'!I373)-1)/2</f>
        <v>73.5</v>
      </c>
      <c r="B373" s="25">
        <f>RANK('Final Sample'!J373,'Final Sample'!$J$2:$J$612,0)+(COUNTIF('Final Sample'!$J$2:$J$612,'Final Sample'!J373)-1)/2</f>
        <v>48</v>
      </c>
      <c r="C373" s="25">
        <f>RANK('Final Sample'!AA373,'Final Sample'!$AA$2:$AA$612,0)+(COUNTIF('Final Sample'!$AA$2:$AA$612,'Final Sample'!AA373)-1)/2</f>
        <v>200</v>
      </c>
      <c r="D373" s="25">
        <f>RANK('Final Sample'!R373,'Final Sample'!$R$2:$R$612,0)+(COUNTIF('Final Sample'!$R$2:$R$612,'Final Sample'!R373)-1)/2</f>
        <v>90</v>
      </c>
      <c r="E373" s="25">
        <f>RANK('Final Sample'!AB373,'Final Sample'!$AB$2:$AB$612,0)+(COUNTIF('Final Sample'!$AB$2:$AB$612,'Final Sample'!AB373)-1)/2</f>
        <v>365</v>
      </c>
      <c r="F373" s="25">
        <f>RANK('Final Sample'!V373,'Final Sample'!$V$2:$V$612,0)+(COUNTIF('Final Sample'!$V$2:$V$612,'Final Sample'!V373)-1)/2</f>
        <v>18.5</v>
      </c>
    </row>
    <row r="374" spans="1:6" ht="15" customHeight="1" x14ac:dyDescent="0.3">
      <c r="A374" s="25">
        <f>RANK('Final Sample'!I374,'Final Sample'!$I$2:$I$612,0)+(COUNTIF('Final Sample'!$I$2:$I$612,'Final Sample'!I374)-1)/2</f>
        <v>73.5</v>
      </c>
      <c r="B374" s="25">
        <f>RANK('Final Sample'!J374,'Final Sample'!$J$2:$J$612,0)+(COUNTIF('Final Sample'!$J$2:$J$612,'Final Sample'!J374)-1)/2</f>
        <v>48</v>
      </c>
      <c r="C374" s="25">
        <f>RANK('Final Sample'!AA374,'Final Sample'!$AA$2:$AA$612,0)+(COUNTIF('Final Sample'!$AA$2:$AA$612,'Final Sample'!AA374)-1)/2</f>
        <v>65</v>
      </c>
      <c r="D374" s="25">
        <f>RANK('Final Sample'!R374,'Final Sample'!$R$2:$R$612,0)+(COUNTIF('Final Sample'!$R$2:$R$612,'Final Sample'!R374)-1)/2</f>
        <v>95</v>
      </c>
      <c r="E374" s="25">
        <f>RANK('Final Sample'!AB374,'Final Sample'!$AB$2:$AB$612,0)+(COUNTIF('Final Sample'!$AB$2:$AB$612,'Final Sample'!AB374)-1)/2</f>
        <v>456</v>
      </c>
      <c r="F374" s="25">
        <f>RANK('Final Sample'!V374,'Final Sample'!$V$2:$V$612,0)+(COUNTIF('Final Sample'!$V$2:$V$612,'Final Sample'!V374)-1)/2</f>
        <v>15</v>
      </c>
    </row>
    <row r="375" spans="1:6" ht="15" customHeight="1" x14ac:dyDescent="0.3">
      <c r="A375" s="25">
        <f>RANK('Final Sample'!I375,'Final Sample'!$I$2:$I$612,0)+(COUNTIF('Final Sample'!$I$2:$I$612,'Final Sample'!I375)-1)/2</f>
        <v>441.5</v>
      </c>
      <c r="B375" s="25">
        <f>RANK('Final Sample'!J375,'Final Sample'!$J$2:$J$612,0)+(COUNTIF('Final Sample'!$J$2:$J$612,'Final Sample'!J375)-1)/2</f>
        <v>359</v>
      </c>
      <c r="C375" s="25">
        <f>RANK('Final Sample'!AA375,'Final Sample'!$AA$2:$AA$612,0)+(COUNTIF('Final Sample'!$AA$2:$AA$612,'Final Sample'!AA375)-1)/2</f>
        <v>260</v>
      </c>
      <c r="D375" s="25">
        <f>RANK('Final Sample'!R375,'Final Sample'!$R$2:$R$612,0)+(COUNTIF('Final Sample'!$R$2:$R$612,'Final Sample'!R375)-1)/2</f>
        <v>521</v>
      </c>
      <c r="E375" s="25">
        <f>RANK('Final Sample'!AB375,'Final Sample'!$AB$2:$AB$612,0)+(COUNTIF('Final Sample'!$AB$2:$AB$612,'Final Sample'!AB375)-1)/2</f>
        <v>45</v>
      </c>
      <c r="F375" s="25">
        <f>RANK('Final Sample'!V375,'Final Sample'!$V$2:$V$612,0)+(COUNTIF('Final Sample'!$V$2:$V$612,'Final Sample'!V375)-1)/2</f>
        <v>48.5</v>
      </c>
    </row>
    <row r="376" spans="1:6" ht="15" customHeight="1" x14ac:dyDescent="0.3">
      <c r="A376" s="25">
        <f>RANK('Final Sample'!I376,'Final Sample'!$I$2:$I$612,0)+(COUNTIF('Final Sample'!$I$2:$I$612,'Final Sample'!I376)-1)/2</f>
        <v>441.5</v>
      </c>
      <c r="B376" s="25">
        <f>RANK('Final Sample'!J376,'Final Sample'!$J$2:$J$612,0)+(COUNTIF('Final Sample'!$J$2:$J$612,'Final Sample'!J376)-1)/2</f>
        <v>359</v>
      </c>
      <c r="C376" s="25">
        <f>RANK('Final Sample'!AA376,'Final Sample'!$AA$2:$AA$612,0)+(COUNTIF('Final Sample'!$AA$2:$AA$612,'Final Sample'!AA376)-1)/2</f>
        <v>191</v>
      </c>
      <c r="D376" s="25">
        <f>RANK('Final Sample'!R376,'Final Sample'!$R$2:$R$612,0)+(COUNTIF('Final Sample'!$R$2:$R$612,'Final Sample'!R376)-1)/2</f>
        <v>541</v>
      </c>
      <c r="E376" s="25">
        <f>RANK('Final Sample'!AB376,'Final Sample'!$AB$2:$AB$612,0)+(COUNTIF('Final Sample'!$AB$2:$AB$612,'Final Sample'!AB376)-1)/2</f>
        <v>35</v>
      </c>
      <c r="F376" s="25">
        <f>RANK('Final Sample'!V376,'Final Sample'!$V$2:$V$612,0)+(COUNTIF('Final Sample'!$V$2:$V$612,'Final Sample'!V376)-1)/2</f>
        <v>45.5</v>
      </c>
    </row>
    <row r="377" spans="1:6" ht="15" customHeight="1" x14ac:dyDescent="0.3">
      <c r="A377" s="25">
        <f>RANK('Final Sample'!I377,'Final Sample'!$I$2:$I$612,0)+(COUNTIF('Final Sample'!$I$2:$I$612,'Final Sample'!I377)-1)/2</f>
        <v>441.5</v>
      </c>
      <c r="B377" s="25">
        <f>RANK('Final Sample'!J377,'Final Sample'!$J$2:$J$612,0)+(COUNTIF('Final Sample'!$J$2:$J$612,'Final Sample'!J377)-1)/2</f>
        <v>359</v>
      </c>
      <c r="C377" s="25">
        <f>RANK('Final Sample'!AA377,'Final Sample'!$AA$2:$AA$612,0)+(COUNTIF('Final Sample'!$AA$2:$AA$612,'Final Sample'!AA377)-1)/2</f>
        <v>182</v>
      </c>
      <c r="D377" s="25">
        <f>RANK('Final Sample'!R377,'Final Sample'!$R$2:$R$612,0)+(COUNTIF('Final Sample'!$R$2:$R$612,'Final Sample'!R377)-1)/2</f>
        <v>519</v>
      </c>
      <c r="E377" s="25">
        <f>RANK('Final Sample'!AB377,'Final Sample'!$AB$2:$AB$612,0)+(COUNTIF('Final Sample'!$AB$2:$AB$612,'Final Sample'!AB377)-1)/2</f>
        <v>33</v>
      </c>
      <c r="F377" s="25">
        <f>RANK('Final Sample'!V377,'Final Sample'!$V$2:$V$612,0)+(COUNTIF('Final Sample'!$V$2:$V$612,'Final Sample'!V377)-1)/2</f>
        <v>41</v>
      </c>
    </row>
    <row r="378" spans="1:6" ht="15" customHeight="1" x14ac:dyDescent="0.3">
      <c r="A378" s="25">
        <f>RANK('Final Sample'!I378,'Final Sample'!$I$2:$I$612,0)+(COUNTIF('Final Sample'!$I$2:$I$612,'Final Sample'!I378)-1)/2</f>
        <v>441.5</v>
      </c>
      <c r="B378" s="25">
        <f>RANK('Final Sample'!J378,'Final Sample'!$J$2:$J$612,0)+(COUNTIF('Final Sample'!$J$2:$J$612,'Final Sample'!J378)-1)/2</f>
        <v>359</v>
      </c>
      <c r="C378" s="25">
        <f>RANK('Final Sample'!AA378,'Final Sample'!$AA$2:$AA$612,0)+(COUNTIF('Final Sample'!$AA$2:$AA$612,'Final Sample'!AA378)-1)/2</f>
        <v>93</v>
      </c>
      <c r="D378" s="25">
        <f>RANK('Final Sample'!R378,'Final Sample'!$R$2:$R$612,0)+(COUNTIF('Final Sample'!$R$2:$R$612,'Final Sample'!R378)-1)/2</f>
        <v>536</v>
      </c>
      <c r="E378" s="25">
        <f>RANK('Final Sample'!AB378,'Final Sample'!$AB$2:$AB$612,0)+(COUNTIF('Final Sample'!$AB$2:$AB$612,'Final Sample'!AB378)-1)/2</f>
        <v>14</v>
      </c>
      <c r="F378" s="25">
        <f>RANK('Final Sample'!V378,'Final Sample'!$V$2:$V$612,0)+(COUNTIF('Final Sample'!$V$2:$V$612,'Final Sample'!V378)-1)/2</f>
        <v>35.5</v>
      </c>
    </row>
    <row r="379" spans="1:6" ht="15" customHeight="1" x14ac:dyDescent="0.3">
      <c r="A379" s="25">
        <f>RANK('Final Sample'!I379,'Final Sample'!$I$2:$I$612,0)+(COUNTIF('Final Sample'!$I$2:$I$612,'Final Sample'!I379)-1)/2</f>
        <v>441.5</v>
      </c>
      <c r="B379" s="25">
        <f>RANK('Final Sample'!J379,'Final Sample'!$J$2:$J$612,0)+(COUNTIF('Final Sample'!$J$2:$J$612,'Final Sample'!J379)-1)/2</f>
        <v>359</v>
      </c>
      <c r="C379" s="25">
        <f>RANK('Final Sample'!AA379,'Final Sample'!$AA$2:$AA$612,0)+(COUNTIF('Final Sample'!$AA$2:$AA$612,'Final Sample'!AA379)-1)/2</f>
        <v>71</v>
      </c>
      <c r="D379" s="25">
        <f>RANK('Final Sample'!R379,'Final Sample'!$R$2:$R$612,0)+(COUNTIF('Final Sample'!$R$2:$R$612,'Final Sample'!R379)-1)/2</f>
        <v>488</v>
      </c>
      <c r="E379" s="25">
        <f>RANK('Final Sample'!AB379,'Final Sample'!$AB$2:$AB$612,0)+(COUNTIF('Final Sample'!$AB$2:$AB$612,'Final Sample'!AB379)-1)/2</f>
        <v>30</v>
      </c>
      <c r="F379" s="25">
        <f>RANK('Final Sample'!V379,'Final Sample'!$V$2:$V$612,0)+(COUNTIF('Final Sample'!$V$2:$V$612,'Final Sample'!V379)-1)/2</f>
        <v>29.5</v>
      </c>
    </row>
    <row r="380" spans="1:6" ht="15" customHeight="1" x14ac:dyDescent="0.3">
      <c r="A380" s="25">
        <f>RANK('Final Sample'!I380,'Final Sample'!$I$2:$I$612,0)+(COUNTIF('Final Sample'!$I$2:$I$612,'Final Sample'!I380)-1)/2</f>
        <v>112</v>
      </c>
      <c r="B380" s="25">
        <f>RANK('Final Sample'!J380,'Final Sample'!$J$2:$J$612,0)+(COUNTIF('Final Sample'!$J$2:$J$612,'Final Sample'!J380)-1)/2</f>
        <v>98</v>
      </c>
      <c r="C380" s="25">
        <f>RANK('Final Sample'!AA380,'Final Sample'!$AA$2:$AA$612,0)+(COUNTIF('Final Sample'!$AA$2:$AA$612,'Final Sample'!AA380)-1)/2</f>
        <v>237</v>
      </c>
      <c r="D380" s="25">
        <f>RANK('Final Sample'!R380,'Final Sample'!$R$2:$R$612,0)+(COUNTIF('Final Sample'!$R$2:$R$612,'Final Sample'!R380)-1)/2</f>
        <v>509</v>
      </c>
      <c r="E380" s="25">
        <f>RANK('Final Sample'!AB380,'Final Sample'!$AB$2:$AB$612,0)+(COUNTIF('Final Sample'!$AB$2:$AB$612,'Final Sample'!AB380)-1)/2</f>
        <v>239</v>
      </c>
      <c r="F380" s="25">
        <f>RANK('Final Sample'!V380,'Final Sample'!$V$2:$V$612,0)+(COUNTIF('Final Sample'!$V$2:$V$612,'Final Sample'!V380)-1)/2</f>
        <v>97.5</v>
      </c>
    </row>
    <row r="381" spans="1:6" ht="15" customHeight="1" x14ac:dyDescent="0.3">
      <c r="A381" s="25">
        <f>RANK('Final Sample'!I381,'Final Sample'!$I$2:$I$612,0)+(COUNTIF('Final Sample'!$I$2:$I$612,'Final Sample'!I381)-1)/2</f>
        <v>112</v>
      </c>
      <c r="B381" s="25">
        <f>RANK('Final Sample'!J381,'Final Sample'!$J$2:$J$612,0)+(COUNTIF('Final Sample'!$J$2:$J$612,'Final Sample'!J381)-1)/2</f>
        <v>98</v>
      </c>
      <c r="C381" s="25">
        <f>RANK('Final Sample'!AA381,'Final Sample'!$AA$2:$AA$612,0)+(COUNTIF('Final Sample'!$AA$2:$AA$612,'Final Sample'!AA381)-1)/2</f>
        <v>239</v>
      </c>
      <c r="D381" s="25">
        <f>RANK('Final Sample'!R381,'Final Sample'!$R$2:$R$612,0)+(COUNTIF('Final Sample'!$R$2:$R$612,'Final Sample'!R381)-1)/2</f>
        <v>507</v>
      </c>
      <c r="E381" s="25">
        <f>RANK('Final Sample'!AB381,'Final Sample'!$AB$2:$AB$612,0)+(COUNTIF('Final Sample'!$AB$2:$AB$612,'Final Sample'!AB381)-1)/2</f>
        <v>156</v>
      </c>
      <c r="F381" s="25">
        <f>RANK('Final Sample'!V381,'Final Sample'!$V$2:$V$612,0)+(COUNTIF('Final Sample'!$V$2:$V$612,'Final Sample'!V381)-1)/2</f>
        <v>83</v>
      </c>
    </row>
    <row r="382" spans="1:6" ht="15" customHeight="1" x14ac:dyDescent="0.3">
      <c r="A382" s="25">
        <f>RANK('Final Sample'!I382,'Final Sample'!$I$2:$I$612,0)+(COUNTIF('Final Sample'!$I$2:$I$612,'Final Sample'!I382)-1)/2</f>
        <v>112</v>
      </c>
      <c r="B382" s="25">
        <f>RANK('Final Sample'!J382,'Final Sample'!$J$2:$J$612,0)+(COUNTIF('Final Sample'!$J$2:$J$612,'Final Sample'!J382)-1)/2</f>
        <v>98</v>
      </c>
      <c r="C382" s="25">
        <f>RANK('Final Sample'!AA382,'Final Sample'!$AA$2:$AA$612,0)+(COUNTIF('Final Sample'!$AA$2:$AA$612,'Final Sample'!AA382)-1)/2</f>
        <v>180</v>
      </c>
      <c r="D382" s="25">
        <f>RANK('Final Sample'!R382,'Final Sample'!$R$2:$R$612,0)+(COUNTIF('Final Sample'!$R$2:$R$612,'Final Sample'!R382)-1)/2</f>
        <v>470</v>
      </c>
      <c r="E382" s="25">
        <f>RANK('Final Sample'!AB382,'Final Sample'!$AB$2:$AB$612,0)+(COUNTIF('Final Sample'!$AB$2:$AB$612,'Final Sample'!AB382)-1)/2</f>
        <v>256</v>
      </c>
      <c r="F382" s="25">
        <f>RANK('Final Sample'!V382,'Final Sample'!$V$2:$V$612,0)+(COUNTIF('Final Sample'!$V$2:$V$612,'Final Sample'!V382)-1)/2</f>
        <v>71.5</v>
      </c>
    </row>
    <row r="383" spans="1:6" ht="15" customHeight="1" x14ac:dyDescent="0.3">
      <c r="A383" s="25">
        <f>RANK('Final Sample'!I383,'Final Sample'!$I$2:$I$612,0)+(COUNTIF('Final Sample'!$I$2:$I$612,'Final Sample'!I383)-1)/2</f>
        <v>112</v>
      </c>
      <c r="B383" s="25">
        <f>RANK('Final Sample'!J383,'Final Sample'!$J$2:$J$612,0)+(COUNTIF('Final Sample'!$J$2:$J$612,'Final Sample'!J383)-1)/2</f>
        <v>98</v>
      </c>
      <c r="C383" s="25">
        <f>RANK('Final Sample'!AA383,'Final Sample'!$AA$2:$AA$612,0)+(COUNTIF('Final Sample'!$AA$2:$AA$612,'Final Sample'!AA383)-1)/2</f>
        <v>160</v>
      </c>
      <c r="D383" s="25">
        <f>RANK('Final Sample'!R383,'Final Sample'!$R$2:$R$612,0)+(COUNTIF('Final Sample'!$R$2:$R$612,'Final Sample'!R383)-1)/2</f>
        <v>456</v>
      </c>
      <c r="E383" s="25">
        <f>RANK('Final Sample'!AB383,'Final Sample'!$AB$2:$AB$612,0)+(COUNTIF('Final Sample'!$AB$2:$AB$612,'Final Sample'!AB383)-1)/2</f>
        <v>176</v>
      </c>
      <c r="F383" s="25">
        <f>RANK('Final Sample'!V383,'Final Sample'!$V$2:$V$612,0)+(COUNTIF('Final Sample'!$V$2:$V$612,'Final Sample'!V383)-1)/2</f>
        <v>63</v>
      </c>
    </row>
    <row r="384" spans="1:6" ht="15" customHeight="1" x14ac:dyDescent="0.3">
      <c r="A384" s="25">
        <f>RANK('Final Sample'!I384,'Final Sample'!$I$2:$I$612,0)+(COUNTIF('Final Sample'!$I$2:$I$612,'Final Sample'!I384)-1)/2</f>
        <v>112</v>
      </c>
      <c r="B384" s="25">
        <f>RANK('Final Sample'!J384,'Final Sample'!$J$2:$J$612,0)+(COUNTIF('Final Sample'!$J$2:$J$612,'Final Sample'!J384)-1)/2</f>
        <v>98</v>
      </c>
      <c r="C384" s="25">
        <f>RANK('Final Sample'!AA384,'Final Sample'!$AA$2:$AA$612,0)+(COUNTIF('Final Sample'!$AA$2:$AA$612,'Final Sample'!AA384)-1)/2</f>
        <v>72</v>
      </c>
      <c r="D384" s="25">
        <f>RANK('Final Sample'!R384,'Final Sample'!$R$2:$R$612,0)+(COUNTIF('Final Sample'!$R$2:$R$612,'Final Sample'!R384)-1)/2</f>
        <v>434</v>
      </c>
      <c r="E384" s="25">
        <f>RANK('Final Sample'!AB384,'Final Sample'!$AB$2:$AB$612,0)+(COUNTIF('Final Sample'!$AB$2:$AB$612,'Final Sample'!AB384)-1)/2</f>
        <v>210</v>
      </c>
      <c r="F384" s="25">
        <f>RANK('Final Sample'!V384,'Final Sample'!$V$2:$V$612,0)+(COUNTIF('Final Sample'!$V$2:$V$612,'Final Sample'!V384)-1)/2</f>
        <v>57</v>
      </c>
    </row>
    <row r="385" spans="1:6" ht="15" customHeight="1" x14ac:dyDescent="0.3">
      <c r="A385" s="25">
        <f>RANK('Final Sample'!I385,'Final Sample'!$I$2:$I$612,0)+(COUNTIF('Final Sample'!$I$2:$I$612,'Final Sample'!I385)-1)/2</f>
        <v>186.5</v>
      </c>
      <c r="B385" s="25">
        <f>RANK('Final Sample'!J385,'Final Sample'!$J$2:$J$612,0)+(COUNTIF('Final Sample'!$J$2:$J$612,'Final Sample'!J385)-1)/2</f>
        <v>359</v>
      </c>
      <c r="C385" s="25">
        <f>RANK('Final Sample'!AA385,'Final Sample'!$AA$2:$AA$612,0)+(COUNTIF('Final Sample'!$AA$2:$AA$612,'Final Sample'!AA385)-1)/2</f>
        <v>379</v>
      </c>
      <c r="D385" s="25">
        <f>RANK('Final Sample'!R385,'Final Sample'!$R$2:$R$612,0)+(COUNTIF('Final Sample'!$R$2:$R$612,'Final Sample'!R385)-1)/2</f>
        <v>307</v>
      </c>
      <c r="E385" s="25">
        <f>RANK('Final Sample'!AB385,'Final Sample'!$AB$2:$AB$612,0)+(COUNTIF('Final Sample'!$AB$2:$AB$612,'Final Sample'!AB385)-1)/2</f>
        <v>524</v>
      </c>
      <c r="F385" s="25">
        <f>RANK('Final Sample'!V385,'Final Sample'!$V$2:$V$612,0)+(COUNTIF('Final Sample'!$V$2:$V$612,'Final Sample'!V385)-1)/2</f>
        <v>45.5</v>
      </c>
    </row>
    <row r="386" spans="1:6" ht="15" customHeight="1" x14ac:dyDescent="0.3">
      <c r="A386" s="25">
        <f>RANK('Final Sample'!I386,'Final Sample'!$I$2:$I$612,0)+(COUNTIF('Final Sample'!$I$2:$I$612,'Final Sample'!I386)-1)/2</f>
        <v>186.5</v>
      </c>
      <c r="B386" s="25">
        <f>RANK('Final Sample'!J386,'Final Sample'!$J$2:$J$612,0)+(COUNTIF('Final Sample'!$J$2:$J$612,'Final Sample'!J386)-1)/2</f>
        <v>359</v>
      </c>
      <c r="C386" s="25">
        <f>RANK('Final Sample'!AA386,'Final Sample'!$AA$2:$AA$612,0)+(COUNTIF('Final Sample'!$AA$2:$AA$612,'Final Sample'!AA386)-1)/2</f>
        <v>488</v>
      </c>
      <c r="D386" s="25">
        <f>RANK('Final Sample'!R386,'Final Sample'!$R$2:$R$612,0)+(COUNTIF('Final Sample'!$R$2:$R$612,'Final Sample'!R386)-1)/2</f>
        <v>292</v>
      </c>
      <c r="E386" s="25">
        <f>RANK('Final Sample'!AB386,'Final Sample'!$AB$2:$AB$612,0)+(COUNTIF('Final Sample'!$AB$2:$AB$612,'Final Sample'!AB386)-1)/2</f>
        <v>533</v>
      </c>
      <c r="F386" s="25">
        <f>RANK('Final Sample'!V386,'Final Sample'!$V$2:$V$612,0)+(COUNTIF('Final Sample'!$V$2:$V$612,'Final Sample'!V386)-1)/2</f>
        <v>41</v>
      </c>
    </row>
    <row r="387" spans="1:6" ht="15" customHeight="1" x14ac:dyDescent="0.3">
      <c r="A387" s="25">
        <f>RANK('Final Sample'!I387,'Final Sample'!$I$2:$I$612,0)+(COUNTIF('Final Sample'!$I$2:$I$612,'Final Sample'!I387)-1)/2</f>
        <v>186.5</v>
      </c>
      <c r="B387" s="25">
        <f>RANK('Final Sample'!J387,'Final Sample'!$J$2:$J$612,0)+(COUNTIF('Final Sample'!$J$2:$J$612,'Final Sample'!J387)-1)/2</f>
        <v>359</v>
      </c>
      <c r="C387" s="25">
        <f>RANK('Final Sample'!AA387,'Final Sample'!$AA$2:$AA$612,0)+(COUNTIF('Final Sample'!$AA$2:$AA$612,'Final Sample'!AA387)-1)/2</f>
        <v>481</v>
      </c>
      <c r="D387" s="25">
        <f>RANK('Final Sample'!R387,'Final Sample'!$R$2:$R$612,0)+(COUNTIF('Final Sample'!$R$2:$R$612,'Final Sample'!R387)-1)/2</f>
        <v>250</v>
      </c>
      <c r="E387" s="25">
        <f>RANK('Final Sample'!AB387,'Final Sample'!$AB$2:$AB$612,0)+(COUNTIF('Final Sample'!$AB$2:$AB$612,'Final Sample'!AB387)-1)/2</f>
        <v>446</v>
      </c>
      <c r="F387" s="25">
        <f>RANK('Final Sample'!V387,'Final Sample'!$V$2:$V$612,0)+(COUNTIF('Final Sample'!$V$2:$V$612,'Final Sample'!V387)-1)/2</f>
        <v>35.5</v>
      </c>
    </row>
    <row r="388" spans="1:6" ht="15" customHeight="1" x14ac:dyDescent="0.3">
      <c r="A388" s="25">
        <f>RANK('Final Sample'!I388,'Final Sample'!$I$2:$I$612,0)+(COUNTIF('Final Sample'!$I$2:$I$612,'Final Sample'!I388)-1)/2</f>
        <v>186.5</v>
      </c>
      <c r="B388" s="25">
        <f>RANK('Final Sample'!J388,'Final Sample'!$J$2:$J$612,0)+(COUNTIF('Final Sample'!$J$2:$J$612,'Final Sample'!J388)-1)/2</f>
        <v>359</v>
      </c>
      <c r="C388" s="25">
        <f>RANK('Final Sample'!AA388,'Final Sample'!$AA$2:$AA$612,0)+(COUNTIF('Final Sample'!$AA$2:$AA$612,'Final Sample'!AA388)-1)/2</f>
        <v>471</v>
      </c>
      <c r="D388" s="25">
        <f>RANK('Final Sample'!R388,'Final Sample'!$R$2:$R$612,0)+(COUNTIF('Final Sample'!$R$2:$R$612,'Final Sample'!R388)-1)/2</f>
        <v>208</v>
      </c>
      <c r="E388" s="25">
        <f>RANK('Final Sample'!AB388,'Final Sample'!$AB$2:$AB$612,0)+(COUNTIF('Final Sample'!$AB$2:$AB$612,'Final Sample'!AB388)-1)/2</f>
        <v>458</v>
      </c>
      <c r="F388" s="25">
        <f>RANK('Final Sample'!V388,'Final Sample'!$V$2:$V$612,0)+(COUNTIF('Final Sample'!$V$2:$V$612,'Final Sample'!V388)-1)/2</f>
        <v>29.5</v>
      </c>
    </row>
    <row r="389" spans="1:6" ht="15" customHeight="1" x14ac:dyDescent="0.3">
      <c r="A389" s="25">
        <f>RANK('Final Sample'!I389,'Final Sample'!$I$2:$I$612,0)+(COUNTIF('Final Sample'!$I$2:$I$612,'Final Sample'!I389)-1)/2</f>
        <v>186.5</v>
      </c>
      <c r="B389" s="25">
        <f>RANK('Final Sample'!J389,'Final Sample'!$J$2:$J$612,0)+(COUNTIF('Final Sample'!$J$2:$J$612,'Final Sample'!J389)-1)/2</f>
        <v>359</v>
      </c>
      <c r="C389" s="25">
        <f>RANK('Final Sample'!AA389,'Final Sample'!$AA$2:$AA$612,0)+(COUNTIF('Final Sample'!$AA$2:$AA$612,'Final Sample'!AA389)-1)/2</f>
        <v>245</v>
      </c>
      <c r="D389" s="25">
        <f>RANK('Final Sample'!R389,'Final Sample'!$R$2:$R$612,0)+(COUNTIF('Final Sample'!$R$2:$R$612,'Final Sample'!R389)-1)/2</f>
        <v>175</v>
      </c>
      <c r="E389" s="25">
        <f>RANK('Final Sample'!AB389,'Final Sample'!$AB$2:$AB$612,0)+(COUNTIF('Final Sample'!$AB$2:$AB$612,'Final Sample'!AB389)-1)/2</f>
        <v>396</v>
      </c>
      <c r="F389" s="25">
        <f>RANK('Final Sample'!V389,'Final Sample'!$V$2:$V$612,0)+(COUNTIF('Final Sample'!$V$2:$V$612,'Final Sample'!V389)-1)/2</f>
        <v>23.5</v>
      </c>
    </row>
    <row r="390" spans="1:6" ht="15" customHeight="1" x14ac:dyDescent="0.3">
      <c r="A390" s="25">
        <f>RANK('Final Sample'!I390,'Final Sample'!$I$2:$I$612,0)+(COUNTIF('Final Sample'!$I$2:$I$612,'Final Sample'!I390)-1)/2</f>
        <v>112</v>
      </c>
      <c r="B390" s="25">
        <f>RANK('Final Sample'!J390,'Final Sample'!$J$2:$J$612,0)+(COUNTIF('Final Sample'!$J$2:$J$612,'Final Sample'!J390)-1)/2</f>
        <v>359</v>
      </c>
      <c r="C390" s="25">
        <f>RANK('Final Sample'!AA390,'Final Sample'!$AA$2:$AA$612,0)+(COUNTIF('Final Sample'!$AA$2:$AA$612,'Final Sample'!AA390)-1)/2</f>
        <v>20</v>
      </c>
      <c r="D390" s="25">
        <f>RANK('Final Sample'!R390,'Final Sample'!$R$2:$R$612,0)+(COUNTIF('Final Sample'!$R$2:$R$612,'Final Sample'!R390)-1)/2</f>
        <v>156</v>
      </c>
      <c r="E390" s="25">
        <f>RANK('Final Sample'!AB390,'Final Sample'!$AB$2:$AB$612,0)+(COUNTIF('Final Sample'!$AB$2:$AB$612,'Final Sample'!AB390)-1)/2</f>
        <v>92</v>
      </c>
      <c r="F390" s="25">
        <f>RANK('Final Sample'!V390,'Final Sample'!$V$2:$V$612,0)+(COUNTIF('Final Sample'!$V$2:$V$612,'Final Sample'!V390)-1)/2</f>
        <v>154.5</v>
      </c>
    </row>
    <row r="391" spans="1:6" ht="15" customHeight="1" x14ac:dyDescent="0.3">
      <c r="A391" s="25">
        <f>RANK('Final Sample'!I391,'Final Sample'!$I$2:$I$612,0)+(COUNTIF('Final Sample'!$I$2:$I$612,'Final Sample'!I391)-1)/2</f>
        <v>112</v>
      </c>
      <c r="B391" s="25">
        <f>RANK('Final Sample'!J391,'Final Sample'!$J$2:$J$612,0)+(COUNTIF('Final Sample'!$J$2:$J$612,'Final Sample'!J391)-1)/2</f>
        <v>359</v>
      </c>
      <c r="C391" s="25">
        <f>RANK('Final Sample'!AA391,'Final Sample'!$AA$2:$AA$612,0)+(COUNTIF('Final Sample'!$AA$2:$AA$612,'Final Sample'!AA391)-1)/2</f>
        <v>48</v>
      </c>
      <c r="D391" s="25">
        <f>RANK('Final Sample'!R391,'Final Sample'!$R$2:$R$612,0)+(COUNTIF('Final Sample'!$R$2:$R$612,'Final Sample'!R391)-1)/2</f>
        <v>148</v>
      </c>
      <c r="E391" s="25">
        <f>RANK('Final Sample'!AB391,'Final Sample'!$AB$2:$AB$612,0)+(COUNTIF('Final Sample'!$AB$2:$AB$612,'Final Sample'!AB391)-1)/2</f>
        <v>99</v>
      </c>
      <c r="F391" s="25">
        <f>RANK('Final Sample'!V391,'Final Sample'!$V$2:$V$612,0)+(COUNTIF('Final Sample'!$V$2:$V$612,'Final Sample'!V391)-1)/2</f>
        <v>143.5</v>
      </c>
    </row>
    <row r="392" spans="1:6" ht="15" customHeight="1" x14ac:dyDescent="0.3">
      <c r="A392" s="25">
        <f>RANK('Final Sample'!I392,'Final Sample'!$I$2:$I$612,0)+(COUNTIF('Final Sample'!$I$2:$I$612,'Final Sample'!I392)-1)/2</f>
        <v>112</v>
      </c>
      <c r="B392" s="25">
        <f>RANK('Final Sample'!J392,'Final Sample'!$J$2:$J$612,0)+(COUNTIF('Final Sample'!$J$2:$J$612,'Final Sample'!J392)-1)/2</f>
        <v>359</v>
      </c>
      <c r="C392" s="25">
        <f>RANK('Final Sample'!AA392,'Final Sample'!$AA$2:$AA$612,0)+(COUNTIF('Final Sample'!$AA$2:$AA$612,'Final Sample'!AA392)-1)/2</f>
        <v>68</v>
      </c>
      <c r="D392" s="25">
        <f>RANK('Final Sample'!R392,'Final Sample'!$R$2:$R$612,0)+(COUNTIF('Final Sample'!$R$2:$R$612,'Final Sample'!R392)-1)/2</f>
        <v>125</v>
      </c>
      <c r="E392" s="25">
        <f>RANK('Final Sample'!AB392,'Final Sample'!$AB$2:$AB$612,0)+(COUNTIF('Final Sample'!$AB$2:$AB$612,'Final Sample'!AB392)-1)/2</f>
        <v>49</v>
      </c>
      <c r="F392" s="25">
        <f>RANK('Final Sample'!V392,'Final Sample'!$V$2:$V$612,0)+(COUNTIF('Final Sample'!$V$2:$V$612,'Final Sample'!V392)-1)/2</f>
        <v>129.5</v>
      </c>
    </row>
    <row r="393" spans="1:6" ht="15" customHeight="1" x14ac:dyDescent="0.3">
      <c r="A393" s="25">
        <f>RANK('Final Sample'!I393,'Final Sample'!$I$2:$I$612,0)+(COUNTIF('Final Sample'!$I$2:$I$612,'Final Sample'!I393)-1)/2</f>
        <v>112</v>
      </c>
      <c r="B393" s="25">
        <f>RANK('Final Sample'!J393,'Final Sample'!$J$2:$J$612,0)+(COUNTIF('Final Sample'!$J$2:$J$612,'Final Sample'!J393)-1)/2</f>
        <v>359</v>
      </c>
      <c r="C393" s="25">
        <f>RANK('Final Sample'!AA393,'Final Sample'!$AA$2:$AA$612,0)+(COUNTIF('Final Sample'!$AA$2:$AA$612,'Final Sample'!AA393)-1)/2</f>
        <v>113</v>
      </c>
      <c r="D393" s="25">
        <f>RANK('Final Sample'!R393,'Final Sample'!$R$2:$R$612,0)+(COUNTIF('Final Sample'!$R$2:$R$612,'Final Sample'!R393)-1)/2</f>
        <v>106</v>
      </c>
      <c r="E393" s="25">
        <f>RANK('Final Sample'!AB393,'Final Sample'!$AB$2:$AB$612,0)+(COUNTIF('Final Sample'!$AB$2:$AB$612,'Final Sample'!AB393)-1)/2</f>
        <v>53</v>
      </c>
      <c r="F393" s="25">
        <f>RANK('Final Sample'!V393,'Final Sample'!$V$2:$V$612,0)+(COUNTIF('Final Sample'!$V$2:$V$612,'Final Sample'!V393)-1)/2</f>
        <v>113.5</v>
      </c>
    </row>
    <row r="394" spans="1:6" ht="15" customHeight="1" x14ac:dyDescent="0.3">
      <c r="A394" s="25">
        <f>RANK('Final Sample'!I394,'Final Sample'!$I$2:$I$612,0)+(COUNTIF('Final Sample'!$I$2:$I$612,'Final Sample'!I394)-1)/2</f>
        <v>112</v>
      </c>
      <c r="B394" s="25">
        <f>RANK('Final Sample'!J394,'Final Sample'!$J$2:$J$612,0)+(COUNTIF('Final Sample'!$J$2:$J$612,'Final Sample'!J394)-1)/2</f>
        <v>359</v>
      </c>
      <c r="C394" s="25">
        <f>RANK('Final Sample'!AA394,'Final Sample'!$AA$2:$AA$612,0)+(COUNTIF('Final Sample'!$AA$2:$AA$612,'Final Sample'!AA394)-1)/2</f>
        <v>55</v>
      </c>
      <c r="D394" s="25">
        <f>RANK('Final Sample'!R394,'Final Sample'!$R$2:$R$612,0)+(COUNTIF('Final Sample'!$R$2:$R$612,'Final Sample'!R394)-1)/2</f>
        <v>107</v>
      </c>
      <c r="E394" s="25">
        <f>RANK('Final Sample'!AB394,'Final Sample'!$AB$2:$AB$612,0)+(COUNTIF('Final Sample'!$AB$2:$AB$612,'Final Sample'!AB394)-1)/2</f>
        <v>72</v>
      </c>
      <c r="F394" s="25">
        <f>RANK('Final Sample'!V394,'Final Sample'!$V$2:$V$612,0)+(COUNTIF('Final Sample'!$V$2:$V$612,'Final Sample'!V394)-1)/2</f>
        <v>97.5</v>
      </c>
    </row>
    <row r="395" spans="1:6" ht="15" customHeight="1" x14ac:dyDescent="0.3">
      <c r="A395" s="25">
        <f>RANK('Final Sample'!I395,'Final Sample'!$I$2:$I$612,0)+(COUNTIF('Final Sample'!$I$2:$I$612,'Final Sample'!I395)-1)/2</f>
        <v>132</v>
      </c>
      <c r="B395" s="25">
        <f>RANK('Final Sample'!J395,'Final Sample'!$J$2:$J$612,0)+(COUNTIF('Final Sample'!$J$2:$J$612,'Final Sample'!J395)-1)/2</f>
        <v>359</v>
      </c>
      <c r="C395" s="25">
        <f>RANK('Final Sample'!AA395,'Final Sample'!$AA$2:$AA$612,0)+(COUNTIF('Final Sample'!$AA$2:$AA$612,'Final Sample'!AA395)-1)/2</f>
        <v>306</v>
      </c>
      <c r="D395" s="25">
        <f>RANK('Final Sample'!R395,'Final Sample'!$R$2:$R$612,0)+(COUNTIF('Final Sample'!$R$2:$R$612,'Final Sample'!R395)-1)/2</f>
        <v>309</v>
      </c>
      <c r="E395" s="25">
        <f>RANK('Final Sample'!AB395,'Final Sample'!$AB$2:$AB$612,0)+(COUNTIF('Final Sample'!$AB$2:$AB$612,'Final Sample'!AB395)-1)/2</f>
        <v>604</v>
      </c>
      <c r="F395" s="25">
        <f>RANK('Final Sample'!V395,'Final Sample'!$V$2:$V$612,0)+(COUNTIF('Final Sample'!$V$2:$V$612,'Final Sample'!V395)-1)/2</f>
        <v>143.5</v>
      </c>
    </row>
    <row r="396" spans="1:6" ht="15" customHeight="1" x14ac:dyDescent="0.3">
      <c r="A396" s="25">
        <f>RANK('Final Sample'!I396,'Final Sample'!$I$2:$I$612,0)+(COUNTIF('Final Sample'!$I$2:$I$612,'Final Sample'!I396)-1)/2</f>
        <v>132</v>
      </c>
      <c r="B396" s="25">
        <f>RANK('Final Sample'!J396,'Final Sample'!$J$2:$J$612,0)+(COUNTIF('Final Sample'!$J$2:$J$612,'Final Sample'!J396)-1)/2</f>
        <v>359</v>
      </c>
      <c r="C396" s="25">
        <f>RANK('Final Sample'!AA396,'Final Sample'!$AA$2:$AA$612,0)+(COUNTIF('Final Sample'!$AA$2:$AA$612,'Final Sample'!AA396)-1)/2</f>
        <v>264</v>
      </c>
      <c r="D396" s="25">
        <f>RANK('Final Sample'!R396,'Final Sample'!$R$2:$R$612,0)+(COUNTIF('Final Sample'!$R$2:$R$612,'Final Sample'!R396)-1)/2</f>
        <v>274</v>
      </c>
      <c r="E396" s="25">
        <f>RANK('Final Sample'!AB396,'Final Sample'!$AB$2:$AB$612,0)+(COUNTIF('Final Sample'!$AB$2:$AB$612,'Final Sample'!AB396)-1)/2</f>
        <v>548</v>
      </c>
      <c r="F396" s="25">
        <f>RANK('Final Sample'!V396,'Final Sample'!$V$2:$V$612,0)+(COUNTIF('Final Sample'!$V$2:$V$612,'Final Sample'!V396)-1)/2</f>
        <v>129.5</v>
      </c>
    </row>
    <row r="397" spans="1:6" ht="15" customHeight="1" x14ac:dyDescent="0.3">
      <c r="A397" s="25">
        <f>RANK('Final Sample'!I397,'Final Sample'!$I$2:$I$612,0)+(COUNTIF('Final Sample'!$I$2:$I$612,'Final Sample'!I397)-1)/2</f>
        <v>132</v>
      </c>
      <c r="B397" s="25">
        <f>RANK('Final Sample'!J397,'Final Sample'!$J$2:$J$612,0)+(COUNTIF('Final Sample'!$J$2:$J$612,'Final Sample'!J397)-1)/2</f>
        <v>359</v>
      </c>
      <c r="C397" s="25">
        <f>RANK('Final Sample'!AA397,'Final Sample'!$AA$2:$AA$612,0)+(COUNTIF('Final Sample'!$AA$2:$AA$612,'Final Sample'!AA397)-1)/2</f>
        <v>266</v>
      </c>
      <c r="D397" s="25">
        <f>RANK('Final Sample'!R397,'Final Sample'!$R$2:$R$612,0)+(COUNTIF('Final Sample'!$R$2:$R$612,'Final Sample'!R397)-1)/2</f>
        <v>267</v>
      </c>
      <c r="E397" s="25">
        <f>RANK('Final Sample'!AB397,'Final Sample'!$AB$2:$AB$612,0)+(COUNTIF('Final Sample'!$AB$2:$AB$612,'Final Sample'!AB397)-1)/2</f>
        <v>551</v>
      </c>
      <c r="F397" s="25">
        <f>RANK('Final Sample'!V397,'Final Sample'!$V$2:$V$612,0)+(COUNTIF('Final Sample'!$V$2:$V$612,'Final Sample'!V397)-1)/2</f>
        <v>113.5</v>
      </c>
    </row>
    <row r="398" spans="1:6" ht="15" customHeight="1" x14ac:dyDescent="0.3">
      <c r="A398" s="25">
        <f>RANK('Final Sample'!I398,'Final Sample'!$I$2:$I$612,0)+(COUNTIF('Final Sample'!$I$2:$I$612,'Final Sample'!I398)-1)/2</f>
        <v>132</v>
      </c>
      <c r="B398" s="25">
        <f>RANK('Final Sample'!J398,'Final Sample'!$J$2:$J$612,0)+(COUNTIF('Final Sample'!$J$2:$J$612,'Final Sample'!J398)-1)/2</f>
        <v>359</v>
      </c>
      <c r="C398" s="25">
        <f>RANK('Final Sample'!AA398,'Final Sample'!$AA$2:$AA$612,0)+(COUNTIF('Final Sample'!$AA$2:$AA$612,'Final Sample'!AA398)-1)/2</f>
        <v>288</v>
      </c>
      <c r="D398" s="25">
        <f>RANK('Final Sample'!R398,'Final Sample'!$R$2:$R$612,0)+(COUNTIF('Final Sample'!$R$2:$R$612,'Final Sample'!R398)-1)/2</f>
        <v>257</v>
      </c>
      <c r="E398" s="25">
        <f>RANK('Final Sample'!AB398,'Final Sample'!$AB$2:$AB$612,0)+(COUNTIF('Final Sample'!$AB$2:$AB$612,'Final Sample'!AB398)-1)/2</f>
        <v>571</v>
      </c>
      <c r="F398" s="25">
        <f>RANK('Final Sample'!V398,'Final Sample'!$V$2:$V$612,0)+(COUNTIF('Final Sample'!$V$2:$V$612,'Final Sample'!V398)-1)/2</f>
        <v>97.5</v>
      </c>
    </row>
    <row r="399" spans="1:6" ht="15" customHeight="1" x14ac:dyDescent="0.3">
      <c r="A399" s="25">
        <f>RANK('Final Sample'!I399,'Final Sample'!$I$2:$I$612,0)+(COUNTIF('Final Sample'!$I$2:$I$612,'Final Sample'!I399)-1)/2</f>
        <v>95</v>
      </c>
      <c r="B399" s="25">
        <f>RANK('Final Sample'!J399,'Final Sample'!$J$2:$J$612,0)+(COUNTIF('Final Sample'!$J$2:$J$612,'Final Sample'!J399)-1)/2</f>
        <v>98</v>
      </c>
      <c r="C399" s="25">
        <f>RANK('Final Sample'!AA399,'Final Sample'!$AA$2:$AA$612,0)+(COUNTIF('Final Sample'!$AA$2:$AA$612,'Final Sample'!AA399)-1)/2</f>
        <v>80</v>
      </c>
      <c r="D399" s="25">
        <f>RANK('Final Sample'!R399,'Final Sample'!$R$2:$R$612,0)+(COUNTIF('Final Sample'!$R$2:$R$612,'Final Sample'!R399)-1)/2</f>
        <v>255</v>
      </c>
      <c r="E399" s="25">
        <f>RANK('Final Sample'!AB399,'Final Sample'!$AB$2:$AB$612,0)+(COUNTIF('Final Sample'!$AB$2:$AB$612,'Final Sample'!AB399)-1)/2</f>
        <v>591</v>
      </c>
      <c r="F399" s="25">
        <f>RANK('Final Sample'!V399,'Final Sample'!$V$2:$V$612,0)+(COUNTIF('Final Sample'!$V$2:$V$612,'Final Sample'!V399)-1)/2</f>
        <v>83</v>
      </c>
    </row>
    <row r="400" spans="1:6" ht="15" customHeight="1" x14ac:dyDescent="0.3">
      <c r="A400" s="25">
        <f>RANK('Final Sample'!I400,'Final Sample'!$I$2:$I$612,0)+(COUNTIF('Final Sample'!$I$2:$I$612,'Final Sample'!I400)-1)/2</f>
        <v>236</v>
      </c>
      <c r="B400" s="25">
        <f>RANK('Final Sample'!J400,'Final Sample'!$J$2:$J$612,0)+(COUNTIF('Final Sample'!$J$2:$J$612,'Final Sample'!J400)-1)/2</f>
        <v>359</v>
      </c>
      <c r="C400" s="25">
        <f>RANK('Final Sample'!AA400,'Final Sample'!$AA$2:$AA$612,0)+(COUNTIF('Final Sample'!$AA$2:$AA$612,'Final Sample'!AA400)-1)/2</f>
        <v>528</v>
      </c>
      <c r="D400" s="25">
        <f>RANK('Final Sample'!R400,'Final Sample'!$R$2:$R$612,0)+(COUNTIF('Final Sample'!$R$2:$R$612,'Final Sample'!R400)-1)/2</f>
        <v>498</v>
      </c>
      <c r="E400" s="25">
        <f>RANK('Final Sample'!AB400,'Final Sample'!$AB$2:$AB$612,0)+(COUNTIF('Final Sample'!$AB$2:$AB$612,'Final Sample'!AB400)-1)/2</f>
        <v>345</v>
      </c>
      <c r="F400" s="25">
        <f>RANK('Final Sample'!V400,'Final Sample'!$V$2:$V$612,0)+(COUNTIF('Final Sample'!$V$2:$V$612,'Final Sample'!V400)-1)/2</f>
        <v>227.5</v>
      </c>
    </row>
    <row r="401" spans="1:6" ht="15" customHeight="1" x14ac:dyDescent="0.3">
      <c r="A401" s="25">
        <f>RANK('Final Sample'!I401,'Final Sample'!$I$2:$I$612,0)+(COUNTIF('Final Sample'!$I$2:$I$612,'Final Sample'!I401)-1)/2</f>
        <v>236</v>
      </c>
      <c r="B401" s="25">
        <f>RANK('Final Sample'!J401,'Final Sample'!$J$2:$J$612,0)+(COUNTIF('Final Sample'!$J$2:$J$612,'Final Sample'!J401)-1)/2</f>
        <v>359</v>
      </c>
      <c r="C401" s="25">
        <f>RANK('Final Sample'!AA401,'Final Sample'!$AA$2:$AA$612,0)+(COUNTIF('Final Sample'!$AA$2:$AA$612,'Final Sample'!AA401)-1)/2</f>
        <v>491</v>
      </c>
      <c r="D401" s="25">
        <f>RANK('Final Sample'!R401,'Final Sample'!$R$2:$R$612,0)+(COUNTIF('Final Sample'!$R$2:$R$612,'Final Sample'!R401)-1)/2</f>
        <v>440</v>
      </c>
      <c r="E401" s="25">
        <f>RANK('Final Sample'!AB401,'Final Sample'!$AB$2:$AB$612,0)+(COUNTIF('Final Sample'!$AB$2:$AB$612,'Final Sample'!AB401)-1)/2</f>
        <v>229</v>
      </c>
      <c r="F401" s="25">
        <f>RANK('Final Sample'!V401,'Final Sample'!$V$2:$V$612,0)+(COUNTIF('Final Sample'!$V$2:$V$612,'Final Sample'!V401)-1)/2</f>
        <v>218</v>
      </c>
    </row>
    <row r="402" spans="1:6" ht="15" customHeight="1" x14ac:dyDescent="0.3">
      <c r="A402" s="25">
        <f>RANK('Final Sample'!I402,'Final Sample'!$I$2:$I$612,0)+(COUNTIF('Final Sample'!$I$2:$I$612,'Final Sample'!I402)-1)/2</f>
        <v>236</v>
      </c>
      <c r="B402" s="25">
        <f>RANK('Final Sample'!J402,'Final Sample'!$J$2:$J$612,0)+(COUNTIF('Final Sample'!$J$2:$J$612,'Final Sample'!J402)-1)/2</f>
        <v>359</v>
      </c>
      <c r="C402" s="25">
        <f>RANK('Final Sample'!AA402,'Final Sample'!$AA$2:$AA$612,0)+(COUNTIF('Final Sample'!$AA$2:$AA$612,'Final Sample'!AA402)-1)/2</f>
        <v>563</v>
      </c>
      <c r="D402" s="25">
        <f>RANK('Final Sample'!R402,'Final Sample'!$R$2:$R$612,0)+(COUNTIF('Final Sample'!$R$2:$R$612,'Final Sample'!R402)-1)/2</f>
        <v>401</v>
      </c>
      <c r="E402" s="25">
        <f>RANK('Final Sample'!AB402,'Final Sample'!$AB$2:$AB$612,0)+(COUNTIF('Final Sample'!$AB$2:$AB$612,'Final Sample'!AB402)-1)/2</f>
        <v>341</v>
      </c>
      <c r="F402" s="25">
        <f>RANK('Final Sample'!V402,'Final Sample'!$V$2:$V$612,0)+(COUNTIF('Final Sample'!$V$2:$V$612,'Final Sample'!V402)-1)/2</f>
        <v>206.5</v>
      </c>
    </row>
    <row r="403" spans="1:6" ht="15" customHeight="1" x14ac:dyDescent="0.3">
      <c r="A403" s="25">
        <f>RANK('Final Sample'!I403,'Final Sample'!$I$2:$I$612,0)+(COUNTIF('Final Sample'!$I$2:$I$612,'Final Sample'!I403)-1)/2</f>
        <v>236</v>
      </c>
      <c r="B403" s="25">
        <f>RANK('Final Sample'!J403,'Final Sample'!$J$2:$J$612,0)+(COUNTIF('Final Sample'!$J$2:$J$612,'Final Sample'!J403)-1)/2</f>
        <v>359</v>
      </c>
      <c r="C403" s="25">
        <f>RANK('Final Sample'!AA403,'Final Sample'!$AA$2:$AA$612,0)+(COUNTIF('Final Sample'!$AA$2:$AA$612,'Final Sample'!AA403)-1)/2</f>
        <v>370</v>
      </c>
      <c r="D403" s="25">
        <f>RANK('Final Sample'!R403,'Final Sample'!$R$2:$R$612,0)+(COUNTIF('Final Sample'!$R$2:$R$612,'Final Sample'!R403)-1)/2</f>
        <v>399.5</v>
      </c>
      <c r="E403" s="25">
        <f>RANK('Final Sample'!AB403,'Final Sample'!$AB$2:$AB$612,0)+(COUNTIF('Final Sample'!$AB$2:$AB$612,'Final Sample'!AB403)-1)/2</f>
        <v>395</v>
      </c>
      <c r="F403" s="25">
        <f>RANK('Final Sample'!V403,'Final Sample'!$V$2:$V$612,0)+(COUNTIF('Final Sample'!$V$2:$V$612,'Final Sample'!V403)-1)/2</f>
        <v>195.5</v>
      </c>
    </row>
    <row r="404" spans="1:6" ht="15" customHeight="1" x14ac:dyDescent="0.3">
      <c r="A404" s="25">
        <f>RANK('Final Sample'!I404,'Final Sample'!$I$2:$I$612,0)+(COUNTIF('Final Sample'!$I$2:$I$612,'Final Sample'!I404)-1)/2</f>
        <v>236</v>
      </c>
      <c r="B404" s="25">
        <f>RANK('Final Sample'!J404,'Final Sample'!$J$2:$J$612,0)+(COUNTIF('Final Sample'!$J$2:$J$612,'Final Sample'!J404)-1)/2</f>
        <v>359</v>
      </c>
      <c r="C404" s="25">
        <f>RANK('Final Sample'!AA404,'Final Sample'!$AA$2:$AA$612,0)+(COUNTIF('Final Sample'!$AA$2:$AA$612,'Final Sample'!AA404)-1)/2</f>
        <v>445</v>
      </c>
      <c r="D404" s="25">
        <f>RANK('Final Sample'!R404,'Final Sample'!$R$2:$R$612,0)+(COUNTIF('Final Sample'!$R$2:$R$612,'Final Sample'!R404)-1)/2</f>
        <v>330</v>
      </c>
      <c r="E404" s="25">
        <f>RANK('Final Sample'!AB404,'Final Sample'!$AB$2:$AB$612,0)+(COUNTIF('Final Sample'!$AB$2:$AB$612,'Final Sample'!AB404)-1)/2</f>
        <v>298</v>
      </c>
      <c r="F404" s="25">
        <f>RANK('Final Sample'!V404,'Final Sample'!$V$2:$V$612,0)+(COUNTIF('Final Sample'!$V$2:$V$612,'Final Sample'!V404)-1)/2</f>
        <v>186.5</v>
      </c>
    </row>
    <row r="405" spans="1:6" ht="15" customHeight="1" x14ac:dyDescent="0.3">
      <c r="A405" s="25">
        <f>RANK('Final Sample'!I405,'Final Sample'!$I$2:$I$612,0)+(COUNTIF('Final Sample'!$I$2:$I$612,'Final Sample'!I405)-1)/2</f>
        <v>236</v>
      </c>
      <c r="B405" s="25">
        <f>RANK('Final Sample'!J405,'Final Sample'!$J$2:$J$612,0)+(COUNTIF('Final Sample'!$J$2:$J$612,'Final Sample'!J405)-1)/2</f>
        <v>359</v>
      </c>
      <c r="C405" s="25">
        <f>RANK('Final Sample'!AA405,'Final Sample'!$AA$2:$AA$612,0)+(COUNTIF('Final Sample'!$AA$2:$AA$612,'Final Sample'!AA405)-1)/2</f>
        <v>435</v>
      </c>
      <c r="D405" s="25">
        <f>RANK('Final Sample'!R405,'Final Sample'!$R$2:$R$612,0)+(COUNTIF('Final Sample'!$R$2:$R$612,'Final Sample'!R405)-1)/2</f>
        <v>324</v>
      </c>
      <c r="E405" s="25">
        <f>RANK('Final Sample'!AB405,'Final Sample'!$AB$2:$AB$612,0)+(COUNTIF('Final Sample'!$AB$2:$AB$612,'Final Sample'!AB405)-1)/2</f>
        <v>207</v>
      </c>
      <c r="F405" s="25">
        <f>RANK('Final Sample'!V405,'Final Sample'!$V$2:$V$612,0)+(COUNTIF('Final Sample'!$V$2:$V$612,'Final Sample'!V405)-1)/2</f>
        <v>451</v>
      </c>
    </row>
    <row r="406" spans="1:6" ht="15" customHeight="1" x14ac:dyDescent="0.3">
      <c r="A406" s="25">
        <f>RANK('Final Sample'!I406,'Final Sample'!$I$2:$I$612,0)+(COUNTIF('Final Sample'!$I$2:$I$612,'Final Sample'!I406)-1)/2</f>
        <v>236</v>
      </c>
      <c r="B406" s="25">
        <f>RANK('Final Sample'!J406,'Final Sample'!$J$2:$J$612,0)+(COUNTIF('Final Sample'!$J$2:$J$612,'Final Sample'!J406)-1)/2</f>
        <v>359</v>
      </c>
      <c r="C406" s="25">
        <f>RANK('Final Sample'!AA406,'Final Sample'!$AA$2:$AA$612,0)+(COUNTIF('Final Sample'!$AA$2:$AA$612,'Final Sample'!AA406)-1)/2</f>
        <v>382</v>
      </c>
      <c r="D406" s="25">
        <f>RANK('Final Sample'!R406,'Final Sample'!$R$2:$R$612,0)+(COUNTIF('Final Sample'!$R$2:$R$612,'Final Sample'!R406)-1)/2</f>
        <v>316</v>
      </c>
      <c r="E406" s="25">
        <f>RANK('Final Sample'!AB406,'Final Sample'!$AB$2:$AB$612,0)+(COUNTIF('Final Sample'!$AB$2:$AB$612,'Final Sample'!AB406)-1)/2</f>
        <v>287</v>
      </c>
      <c r="F406" s="25">
        <f>RANK('Final Sample'!V406,'Final Sample'!$V$2:$V$612,0)+(COUNTIF('Final Sample'!$V$2:$V$612,'Final Sample'!V406)-1)/2</f>
        <v>440</v>
      </c>
    </row>
    <row r="407" spans="1:6" ht="15" customHeight="1" x14ac:dyDescent="0.3">
      <c r="A407" s="25">
        <f>RANK('Final Sample'!I407,'Final Sample'!$I$2:$I$612,0)+(COUNTIF('Final Sample'!$I$2:$I$612,'Final Sample'!I407)-1)/2</f>
        <v>236</v>
      </c>
      <c r="B407" s="25">
        <f>RANK('Final Sample'!J407,'Final Sample'!$J$2:$J$612,0)+(COUNTIF('Final Sample'!$J$2:$J$612,'Final Sample'!J407)-1)/2</f>
        <v>359</v>
      </c>
      <c r="C407" s="25">
        <f>RANK('Final Sample'!AA407,'Final Sample'!$AA$2:$AA$612,0)+(COUNTIF('Final Sample'!$AA$2:$AA$612,'Final Sample'!AA407)-1)/2</f>
        <v>360</v>
      </c>
      <c r="D407" s="25">
        <f>RANK('Final Sample'!R407,'Final Sample'!$R$2:$R$612,0)+(COUNTIF('Final Sample'!$R$2:$R$612,'Final Sample'!R407)-1)/2</f>
        <v>290</v>
      </c>
      <c r="E407" s="25">
        <f>RANK('Final Sample'!AB407,'Final Sample'!$AB$2:$AB$612,0)+(COUNTIF('Final Sample'!$AB$2:$AB$612,'Final Sample'!AB407)-1)/2</f>
        <v>250</v>
      </c>
      <c r="F407" s="25">
        <f>RANK('Final Sample'!V407,'Final Sample'!$V$2:$V$612,0)+(COUNTIF('Final Sample'!$V$2:$V$612,'Final Sample'!V407)-1)/2</f>
        <v>425.5</v>
      </c>
    </row>
    <row r="408" spans="1:6" ht="15" customHeight="1" x14ac:dyDescent="0.3">
      <c r="A408" s="25">
        <f>RANK('Final Sample'!I408,'Final Sample'!$I$2:$I$612,0)+(COUNTIF('Final Sample'!$I$2:$I$612,'Final Sample'!I408)-1)/2</f>
        <v>236</v>
      </c>
      <c r="B408" s="25">
        <f>RANK('Final Sample'!J408,'Final Sample'!$J$2:$J$612,0)+(COUNTIF('Final Sample'!$J$2:$J$612,'Final Sample'!J408)-1)/2</f>
        <v>359</v>
      </c>
      <c r="C408" s="25">
        <f>RANK('Final Sample'!AA408,'Final Sample'!$AA$2:$AA$612,0)+(COUNTIF('Final Sample'!$AA$2:$AA$612,'Final Sample'!AA408)-1)/2</f>
        <v>394</v>
      </c>
      <c r="D408" s="25">
        <f>RANK('Final Sample'!R408,'Final Sample'!$R$2:$R$612,0)+(COUNTIF('Final Sample'!$R$2:$R$612,'Final Sample'!R408)-1)/2</f>
        <v>256</v>
      </c>
      <c r="E408" s="25">
        <f>RANK('Final Sample'!AB408,'Final Sample'!$AB$2:$AB$612,0)+(COUNTIF('Final Sample'!$AB$2:$AB$612,'Final Sample'!AB408)-1)/2</f>
        <v>203</v>
      </c>
      <c r="F408" s="25">
        <f>RANK('Final Sample'!V408,'Final Sample'!$V$2:$V$612,0)+(COUNTIF('Final Sample'!$V$2:$V$612,'Final Sample'!V408)-1)/2</f>
        <v>408</v>
      </c>
    </row>
    <row r="409" spans="1:6" ht="15" customHeight="1" x14ac:dyDescent="0.3">
      <c r="A409" s="25">
        <f>RANK('Final Sample'!I409,'Final Sample'!$I$2:$I$612,0)+(COUNTIF('Final Sample'!$I$2:$I$612,'Final Sample'!I409)-1)/2</f>
        <v>236</v>
      </c>
      <c r="B409" s="25">
        <f>RANK('Final Sample'!J409,'Final Sample'!$J$2:$J$612,0)+(COUNTIF('Final Sample'!$J$2:$J$612,'Final Sample'!J409)-1)/2</f>
        <v>359</v>
      </c>
      <c r="C409" s="25">
        <f>RANK('Final Sample'!AA409,'Final Sample'!$AA$2:$AA$612,0)+(COUNTIF('Final Sample'!$AA$2:$AA$612,'Final Sample'!AA409)-1)/2</f>
        <v>309</v>
      </c>
      <c r="D409" s="25">
        <f>RANK('Final Sample'!R409,'Final Sample'!$R$2:$R$612,0)+(COUNTIF('Final Sample'!$R$2:$R$612,'Final Sample'!R409)-1)/2</f>
        <v>258</v>
      </c>
      <c r="E409" s="25">
        <f>RANK('Final Sample'!AB409,'Final Sample'!$AB$2:$AB$612,0)+(COUNTIF('Final Sample'!$AB$2:$AB$612,'Final Sample'!AB409)-1)/2</f>
        <v>222</v>
      </c>
      <c r="F409" s="25">
        <f>RANK('Final Sample'!V409,'Final Sample'!$V$2:$V$612,0)+(COUNTIF('Final Sample'!$V$2:$V$612,'Final Sample'!V409)-1)/2</f>
        <v>390.5</v>
      </c>
    </row>
    <row r="410" spans="1:6" ht="15" customHeight="1" x14ac:dyDescent="0.3">
      <c r="A410" s="25">
        <f>RANK('Final Sample'!I410,'Final Sample'!$I$2:$I$612,0)+(COUNTIF('Final Sample'!$I$2:$I$612,'Final Sample'!I410)-1)/2</f>
        <v>441.5</v>
      </c>
      <c r="B410" s="25">
        <f>RANK('Final Sample'!J410,'Final Sample'!$J$2:$J$612,0)+(COUNTIF('Final Sample'!$J$2:$J$612,'Final Sample'!J410)-1)/2</f>
        <v>359</v>
      </c>
      <c r="C410" s="25">
        <f>RANK('Final Sample'!AA410,'Final Sample'!$AA$2:$AA$612,0)+(COUNTIF('Final Sample'!$AA$2:$AA$612,'Final Sample'!AA410)-1)/2</f>
        <v>592</v>
      </c>
      <c r="D410" s="25">
        <f>RANK('Final Sample'!R410,'Final Sample'!$R$2:$R$612,0)+(COUNTIF('Final Sample'!$R$2:$R$612,'Final Sample'!R410)-1)/2</f>
        <v>548</v>
      </c>
      <c r="E410" s="25">
        <f>RANK('Final Sample'!AB410,'Final Sample'!$AB$2:$AB$612,0)+(COUNTIF('Final Sample'!$AB$2:$AB$612,'Final Sample'!AB410)-1)/2</f>
        <v>588</v>
      </c>
      <c r="F410" s="25">
        <f>RANK('Final Sample'!V410,'Final Sample'!$V$2:$V$612,0)+(COUNTIF('Final Sample'!$V$2:$V$612,'Final Sample'!V410)-1)/2</f>
        <v>490.5</v>
      </c>
    </row>
    <row r="411" spans="1:6" ht="15" customHeight="1" x14ac:dyDescent="0.3">
      <c r="A411" s="25">
        <f>RANK('Final Sample'!I411,'Final Sample'!$I$2:$I$612,0)+(COUNTIF('Final Sample'!$I$2:$I$612,'Final Sample'!I411)-1)/2</f>
        <v>441.5</v>
      </c>
      <c r="B411" s="25">
        <f>RANK('Final Sample'!J411,'Final Sample'!$J$2:$J$612,0)+(COUNTIF('Final Sample'!$J$2:$J$612,'Final Sample'!J411)-1)/2</f>
        <v>359</v>
      </c>
      <c r="C411" s="25">
        <f>RANK('Final Sample'!AA411,'Final Sample'!$AA$2:$AA$612,0)+(COUNTIF('Final Sample'!$AA$2:$AA$612,'Final Sample'!AA411)-1)/2</f>
        <v>583</v>
      </c>
      <c r="D411" s="25">
        <f>RANK('Final Sample'!R411,'Final Sample'!$R$2:$R$612,0)+(COUNTIF('Final Sample'!$R$2:$R$612,'Final Sample'!R411)-1)/2</f>
        <v>550</v>
      </c>
      <c r="E411" s="25">
        <f>RANK('Final Sample'!AB411,'Final Sample'!$AB$2:$AB$612,0)+(COUNTIF('Final Sample'!$AB$2:$AB$612,'Final Sample'!AB411)-1)/2</f>
        <v>584</v>
      </c>
      <c r="F411" s="25">
        <f>RANK('Final Sample'!V411,'Final Sample'!$V$2:$V$612,0)+(COUNTIF('Final Sample'!$V$2:$V$612,'Final Sample'!V411)-1)/2</f>
        <v>483.5</v>
      </c>
    </row>
    <row r="412" spans="1:6" ht="15" customHeight="1" x14ac:dyDescent="0.3">
      <c r="A412" s="25">
        <f>RANK('Final Sample'!I412,'Final Sample'!$I$2:$I$612,0)+(COUNTIF('Final Sample'!$I$2:$I$612,'Final Sample'!I412)-1)/2</f>
        <v>441.5</v>
      </c>
      <c r="B412" s="25">
        <f>RANK('Final Sample'!J412,'Final Sample'!$J$2:$J$612,0)+(COUNTIF('Final Sample'!$J$2:$J$612,'Final Sample'!J412)-1)/2</f>
        <v>359</v>
      </c>
      <c r="C412" s="25">
        <f>RANK('Final Sample'!AA412,'Final Sample'!$AA$2:$AA$612,0)+(COUNTIF('Final Sample'!$AA$2:$AA$612,'Final Sample'!AA412)-1)/2</f>
        <v>186</v>
      </c>
      <c r="D412" s="25">
        <f>RANK('Final Sample'!R412,'Final Sample'!$R$2:$R$612,0)+(COUNTIF('Final Sample'!$R$2:$R$612,'Final Sample'!R412)-1)/2</f>
        <v>553</v>
      </c>
      <c r="E412" s="25">
        <f>RANK('Final Sample'!AB412,'Final Sample'!$AB$2:$AB$612,0)+(COUNTIF('Final Sample'!$AB$2:$AB$612,'Final Sample'!AB412)-1)/2</f>
        <v>576</v>
      </c>
      <c r="F412" s="25">
        <f>RANK('Final Sample'!V412,'Final Sample'!$V$2:$V$612,0)+(COUNTIF('Final Sample'!$V$2:$V$612,'Final Sample'!V412)-1)/2</f>
        <v>478.5</v>
      </c>
    </row>
    <row r="413" spans="1:6" ht="15" customHeight="1" x14ac:dyDescent="0.3">
      <c r="A413" s="25">
        <f>RANK('Final Sample'!I413,'Final Sample'!$I$2:$I$612,0)+(COUNTIF('Final Sample'!$I$2:$I$612,'Final Sample'!I413)-1)/2</f>
        <v>441.5</v>
      </c>
      <c r="B413" s="25">
        <f>RANK('Final Sample'!J413,'Final Sample'!$J$2:$J$612,0)+(COUNTIF('Final Sample'!$J$2:$J$612,'Final Sample'!J413)-1)/2</f>
        <v>359</v>
      </c>
      <c r="C413" s="25">
        <f>RANK('Final Sample'!AA413,'Final Sample'!$AA$2:$AA$612,0)+(COUNTIF('Final Sample'!$AA$2:$AA$612,'Final Sample'!AA413)-1)/2</f>
        <v>462</v>
      </c>
      <c r="D413" s="25">
        <f>RANK('Final Sample'!R413,'Final Sample'!$R$2:$R$612,0)+(COUNTIF('Final Sample'!$R$2:$R$612,'Final Sample'!R413)-1)/2</f>
        <v>529</v>
      </c>
      <c r="E413" s="25">
        <f>RANK('Final Sample'!AB413,'Final Sample'!$AB$2:$AB$612,0)+(COUNTIF('Final Sample'!$AB$2:$AB$612,'Final Sample'!AB413)-1)/2</f>
        <v>598</v>
      </c>
      <c r="F413" s="25">
        <f>RANK('Final Sample'!V413,'Final Sample'!$V$2:$V$612,0)+(COUNTIF('Final Sample'!$V$2:$V$612,'Final Sample'!V413)-1)/2</f>
        <v>474.5</v>
      </c>
    </row>
    <row r="414" spans="1:6" ht="15" customHeight="1" x14ac:dyDescent="0.3">
      <c r="A414" s="25">
        <f>RANK('Final Sample'!I414,'Final Sample'!$I$2:$I$612,0)+(COUNTIF('Final Sample'!$I$2:$I$612,'Final Sample'!I414)-1)/2</f>
        <v>441.5</v>
      </c>
      <c r="B414" s="25">
        <f>RANK('Final Sample'!J414,'Final Sample'!$J$2:$J$612,0)+(COUNTIF('Final Sample'!$J$2:$J$612,'Final Sample'!J414)-1)/2</f>
        <v>359</v>
      </c>
      <c r="C414" s="25">
        <f>RANK('Final Sample'!AA414,'Final Sample'!$AA$2:$AA$612,0)+(COUNTIF('Final Sample'!$AA$2:$AA$612,'Final Sample'!AA414)-1)/2</f>
        <v>296</v>
      </c>
      <c r="D414" s="25">
        <f>RANK('Final Sample'!R414,'Final Sample'!$R$2:$R$612,0)+(COUNTIF('Final Sample'!$R$2:$R$612,'Final Sample'!R414)-1)/2</f>
        <v>535</v>
      </c>
      <c r="E414" s="25">
        <f>RANK('Final Sample'!AB414,'Final Sample'!$AB$2:$AB$612,0)+(COUNTIF('Final Sample'!$AB$2:$AB$612,'Final Sample'!AB414)-1)/2</f>
        <v>597</v>
      </c>
      <c r="F414" s="25">
        <f>RANK('Final Sample'!V414,'Final Sample'!$V$2:$V$612,0)+(COUNTIF('Final Sample'!$V$2:$V$612,'Final Sample'!V414)-1)/2</f>
        <v>470.5</v>
      </c>
    </row>
    <row r="415" spans="1:6" ht="15" customHeight="1" x14ac:dyDescent="0.3">
      <c r="A415" s="25">
        <f>RANK('Final Sample'!I415,'Final Sample'!$I$2:$I$612,0)+(COUNTIF('Final Sample'!$I$2:$I$612,'Final Sample'!I415)-1)/2</f>
        <v>162.5</v>
      </c>
      <c r="B415" s="25">
        <f>RANK('Final Sample'!J415,'Final Sample'!$J$2:$J$612,0)+(COUNTIF('Final Sample'!$J$2:$J$612,'Final Sample'!J415)-1)/2</f>
        <v>98</v>
      </c>
      <c r="C415" s="25">
        <f>RANK('Final Sample'!AA415,'Final Sample'!$AA$2:$AA$612,0)+(COUNTIF('Final Sample'!$AA$2:$AA$612,'Final Sample'!AA415)-1)/2</f>
        <v>280</v>
      </c>
      <c r="D415" s="25">
        <f>RANK('Final Sample'!R415,'Final Sample'!$R$2:$R$612,0)+(COUNTIF('Final Sample'!$R$2:$R$612,'Final Sample'!R415)-1)/2</f>
        <v>100</v>
      </c>
      <c r="E415" s="25">
        <f>RANK('Final Sample'!AB415,'Final Sample'!$AB$2:$AB$612,0)+(COUNTIF('Final Sample'!$AB$2:$AB$612,'Final Sample'!AB415)-1)/2</f>
        <v>51</v>
      </c>
      <c r="F415" s="25">
        <f>RANK('Final Sample'!V415,'Final Sample'!$V$2:$V$612,0)+(COUNTIF('Final Sample'!$V$2:$V$612,'Final Sample'!V415)-1)/2</f>
        <v>83</v>
      </c>
    </row>
    <row r="416" spans="1:6" ht="15" customHeight="1" x14ac:dyDescent="0.3">
      <c r="A416" s="25">
        <f>RANK('Final Sample'!I416,'Final Sample'!$I$2:$I$612,0)+(COUNTIF('Final Sample'!$I$2:$I$612,'Final Sample'!I416)-1)/2</f>
        <v>162.5</v>
      </c>
      <c r="B416" s="25">
        <f>RANK('Final Sample'!J416,'Final Sample'!$J$2:$J$612,0)+(COUNTIF('Final Sample'!$J$2:$J$612,'Final Sample'!J416)-1)/2</f>
        <v>98</v>
      </c>
      <c r="C416" s="25">
        <f>RANK('Final Sample'!AA416,'Final Sample'!$AA$2:$AA$612,0)+(COUNTIF('Final Sample'!$AA$2:$AA$612,'Final Sample'!AA416)-1)/2</f>
        <v>270</v>
      </c>
      <c r="D416" s="25">
        <f>RANK('Final Sample'!R416,'Final Sample'!$R$2:$R$612,0)+(COUNTIF('Final Sample'!$R$2:$R$612,'Final Sample'!R416)-1)/2</f>
        <v>86</v>
      </c>
      <c r="E416" s="25">
        <f>RANK('Final Sample'!AB416,'Final Sample'!$AB$2:$AB$612,0)+(COUNTIF('Final Sample'!$AB$2:$AB$612,'Final Sample'!AB416)-1)/2</f>
        <v>47</v>
      </c>
      <c r="F416" s="25">
        <f>RANK('Final Sample'!V416,'Final Sample'!$V$2:$V$612,0)+(COUNTIF('Final Sample'!$V$2:$V$612,'Final Sample'!V416)-1)/2</f>
        <v>71.5</v>
      </c>
    </row>
    <row r="417" spans="1:6" ht="15" customHeight="1" x14ac:dyDescent="0.3">
      <c r="A417" s="25">
        <f>RANK('Final Sample'!I417,'Final Sample'!$I$2:$I$612,0)+(COUNTIF('Final Sample'!$I$2:$I$612,'Final Sample'!I417)-1)/2</f>
        <v>162.5</v>
      </c>
      <c r="B417" s="25">
        <f>RANK('Final Sample'!J417,'Final Sample'!$J$2:$J$612,0)+(COUNTIF('Final Sample'!$J$2:$J$612,'Final Sample'!J417)-1)/2</f>
        <v>98</v>
      </c>
      <c r="C417" s="25">
        <f>RANK('Final Sample'!AA417,'Final Sample'!$AA$2:$AA$612,0)+(COUNTIF('Final Sample'!$AA$2:$AA$612,'Final Sample'!AA417)-1)/2</f>
        <v>298</v>
      </c>
      <c r="D417" s="25">
        <f>RANK('Final Sample'!R417,'Final Sample'!$R$2:$R$612,0)+(COUNTIF('Final Sample'!$R$2:$R$612,'Final Sample'!R417)-1)/2</f>
        <v>66</v>
      </c>
      <c r="E417" s="25">
        <f>RANK('Final Sample'!AB417,'Final Sample'!$AB$2:$AB$612,0)+(COUNTIF('Final Sample'!$AB$2:$AB$612,'Final Sample'!AB417)-1)/2</f>
        <v>56</v>
      </c>
      <c r="F417" s="25">
        <f>RANK('Final Sample'!V417,'Final Sample'!$V$2:$V$612,0)+(COUNTIF('Final Sample'!$V$2:$V$612,'Final Sample'!V417)-1)/2</f>
        <v>63</v>
      </c>
    </row>
    <row r="418" spans="1:6" ht="15" customHeight="1" x14ac:dyDescent="0.3">
      <c r="A418" s="25">
        <f>RANK('Final Sample'!I418,'Final Sample'!$I$2:$I$612,0)+(COUNTIF('Final Sample'!$I$2:$I$612,'Final Sample'!I418)-1)/2</f>
        <v>29.5</v>
      </c>
      <c r="B418" s="25">
        <f>RANK('Final Sample'!J418,'Final Sample'!$J$2:$J$612,0)+(COUNTIF('Final Sample'!$J$2:$J$612,'Final Sample'!J418)-1)/2</f>
        <v>64.5</v>
      </c>
      <c r="C418" s="25">
        <f>RANK('Final Sample'!AA418,'Final Sample'!$AA$2:$AA$612,0)+(COUNTIF('Final Sample'!$AA$2:$AA$612,'Final Sample'!AA418)-1)/2</f>
        <v>279</v>
      </c>
      <c r="D418" s="25">
        <f>RANK('Final Sample'!R418,'Final Sample'!$R$2:$R$612,0)+(COUNTIF('Final Sample'!$R$2:$R$612,'Final Sample'!R418)-1)/2</f>
        <v>42</v>
      </c>
      <c r="E418" s="25">
        <f>RANK('Final Sample'!AB418,'Final Sample'!$AB$2:$AB$612,0)+(COUNTIF('Final Sample'!$AB$2:$AB$612,'Final Sample'!AB418)-1)/2</f>
        <v>61</v>
      </c>
      <c r="F418" s="25">
        <f>RANK('Final Sample'!V418,'Final Sample'!$V$2:$V$612,0)+(COUNTIF('Final Sample'!$V$2:$V$612,'Final Sample'!V418)-1)/2</f>
        <v>57</v>
      </c>
    </row>
    <row r="419" spans="1:6" ht="15" customHeight="1" x14ac:dyDescent="0.3">
      <c r="A419" s="25">
        <f>RANK('Final Sample'!I419,'Final Sample'!$I$2:$I$612,0)+(COUNTIF('Final Sample'!$I$2:$I$612,'Final Sample'!I419)-1)/2</f>
        <v>29.5</v>
      </c>
      <c r="B419" s="25">
        <f>RANK('Final Sample'!J419,'Final Sample'!$J$2:$J$612,0)+(COUNTIF('Final Sample'!$J$2:$J$612,'Final Sample'!J419)-1)/2</f>
        <v>64.5</v>
      </c>
      <c r="C419" s="25">
        <f>RANK('Final Sample'!AA419,'Final Sample'!$AA$2:$AA$612,0)+(COUNTIF('Final Sample'!$AA$2:$AA$612,'Final Sample'!AA419)-1)/2</f>
        <v>287</v>
      </c>
      <c r="D419" s="25">
        <f>RANK('Final Sample'!R419,'Final Sample'!$R$2:$R$612,0)+(COUNTIF('Final Sample'!$R$2:$R$612,'Final Sample'!R419)-1)/2</f>
        <v>40</v>
      </c>
      <c r="E419" s="25">
        <f>RANK('Final Sample'!AB419,'Final Sample'!$AB$2:$AB$612,0)+(COUNTIF('Final Sample'!$AB$2:$AB$612,'Final Sample'!AB419)-1)/2</f>
        <v>57</v>
      </c>
      <c r="F419" s="25">
        <f>RANK('Final Sample'!V419,'Final Sample'!$V$2:$V$612,0)+(COUNTIF('Final Sample'!$V$2:$V$612,'Final Sample'!V419)-1)/2</f>
        <v>53</v>
      </c>
    </row>
    <row r="420" spans="1:6" ht="15" customHeight="1" x14ac:dyDescent="0.3">
      <c r="A420" s="25">
        <f>RANK('Final Sample'!I420,'Final Sample'!$I$2:$I$612,0)+(COUNTIF('Final Sample'!$I$2:$I$612,'Final Sample'!I420)-1)/2</f>
        <v>73.5</v>
      </c>
      <c r="B420" s="25">
        <f>RANK('Final Sample'!J420,'Final Sample'!$J$2:$J$612,0)+(COUNTIF('Final Sample'!$J$2:$J$612,'Final Sample'!J420)-1)/2</f>
        <v>359</v>
      </c>
      <c r="C420" s="25">
        <f>RANK('Final Sample'!AA420,'Final Sample'!$AA$2:$AA$612,0)+(COUNTIF('Final Sample'!$AA$2:$AA$612,'Final Sample'!AA420)-1)/2</f>
        <v>74</v>
      </c>
      <c r="D420" s="25">
        <f>RANK('Final Sample'!R420,'Final Sample'!$R$2:$R$612,0)+(COUNTIF('Final Sample'!$R$2:$R$612,'Final Sample'!R420)-1)/2</f>
        <v>260</v>
      </c>
      <c r="E420" s="25">
        <f>RANK('Final Sample'!AB420,'Final Sample'!$AB$2:$AB$612,0)+(COUNTIF('Final Sample'!$AB$2:$AB$612,'Final Sample'!AB420)-1)/2</f>
        <v>448</v>
      </c>
      <c r="F420" s="25">
        <f>RANK('Final Sample'!V420,'Final Sample'!$V$2:$V$612,0)+(COUNTIF('Final Sample'!$V$2:$V$612,'Final Sample'!V420)-1)/2</f>
        <v>282.5</v>
      </c>
    </row>
    <row r="421" spans="1:6" ht="15" customHeight="1" x14ac:dyDescent="0.3">
      <c r="A421" s="25">
        <f>RANK('Final Sample'!I421,'Final Sample'!$I$2:$I$612,0)+(COUNTIF('Final Sample'!$I$2:$I$612,'Final Sample'!I421)-1)/2</f>
        <v>73.5</v>
      </c>
      <c r="B421" s="25">
        <f>RANK('Final Sample'!J421,'Final Sample'!$J$2:$J$612,0)+(COUNTIF('Final Sample'!$J$2:$J$612,'Final Sample'!J421)-1)/2</f>
        <v>359</v>
      </c>
      <c r="C421" s="25">
        <f>RANK('Final Sample'!AA421,'Final Sample'!$AA$2:$AA$612,0)+(COUNTIF('Final Sample'!$AA$2:$AA$612,'Final Sample'!AA421)-1)/2</f>
        <v>60</v>
      </c>
      <c r="D421" s="25">
        <f>RANK('Final Sample'!R421,'Final Sample'!$R$2:$R$612,0)+(COUNTIF('Final Sample'!$R$2:$R$612,'Final Sample'!R421)-1)/2</f>
        <v>253</v>
      </c>
      <c r="E421" s="25">
        <f>RANK('Final Sample'!AB421,'Final Sample'!$AB$2:$AB$612,0)+(COUNTIF('Final Sample'!$AB$2:$AB$612,'Final Sample'!AB421)-1)/2</f>
        <v>404</v>
      </c>
      <c r="F421" s="25">
        <f>RANK('Final Sample'!V421,'Final Sample'!$V$2:$V$612,0)+(COUNTIF('Final Sample'!$V$2:$V$612,'Final Sample'!V421)-1)/2</f>
        <v>270.5</v>
      </c>
    </row>
    <row r="422" spans="1:6" ht="15" customHeight="1" x14ac:dyDescent="0.3">
      <c r="A422" s="25">
        <f>RANK('Final Sample'!I422,'Final Sample'!$I$2:$I$612,0)+(COUNTIF('Final Sample'!$I$2:$I$612,'Final Sample'!I422)-1)/2</f>
        <v>73.5</v>
      </c>
      <c r="B422" s="25">
        <f>RANK('Final Sample'!J422,'Final Sample'!$J$2:$J$612,0)+(COUNTIF('Final Sample'!$J$2:$J$612,'Final Sample'!J422)-1)/2</f>
        <v>359</v>
      </c>
      <c r="C422" s="25">
        <f>RANK('Final Sample'!AA422,'Final Sample'!$AA$2:$AA$612,0)+(COUNTIF('Final Sample'!$AA$2:$AA$612,'Final Sample'!AA422)-1)/2</f>
        <v>42</v>
      </c>
      <c r="D422" s="25">
        <f>RANK('Final Sample'!R422,'Final Sample'!$R$2:$R$612,0)+(COUNTIF('Final Sample'!$R$2:$R$612,'Final Sample'!R422)-1)/2</f>
        <v>227</v>
      </c>
      <c r="E422" s="25">
        <f>RANK('Final Sample'!AB422,'Final Sample'!$AB$2:$AB$612,0)+(COUNTIF('Final Sample'!$AB$2:$AB$612,'Final Sample'!AB422)-1)/2</f>
        <v>366</v>
      </c>
      <c r="F422" s="25">
        <f>RANK('Final Sample'!V422,'Final Sample'!$V$2:$V$612,0)+(COUNTIF('Final Sample'!$V$2:$V$612,'Final Sample'!V422)-1)/2</f>
        <v>260</v>
      </c>
    </row>
    <row r="423" spans="1:6" ht="15" customHeight="1" x14ac:dyDescent="0.3">
      <c r="A423" s="25">
        <f>RANK('Final Sample'!I423,'Final Sample'!$I$2:$I$612,0)+(COUNTIF('Final Sample'!$I$2:$I$612,'Final Sample'!I423)-1)/2</f>
        <v>73.5</v>
      </c>
      <c r="B423" s="25">
        <f>RANK('Final Sample'!J423,'Final Sample'!$J$2:$J$612,0)+(COUNTIF('Final Sample'!$J$2:$J$612,'Final Sample'!J423)-1)/2</f>
        <v>359</v>
      </c>
      <c r="C423" s="25">
        <f>RANK('Final Sample'!AA423,'Final Sample'!$AA$2:$AA$612,0)+(COUNTIF('Final Sample'!$AA$2:$AA$612,'Final Sample'!AA423)-1)/2</f>
        <v>24</v>
      </c>
      <c r="D423" s="25">
        <f>RANK('Final Sample'!R423,'Final Sample'!$R$2:$R$612,0)+(COUNTIF('Final Sample'!$R$2:$R$612,'Final Sample'!R423)-1)/2</f>
        <v>212</v>
      </c>
      <c r="E423" s="25">
        <f>RANK('Final Sample'!AB423,'Final Sample'!$AB$2:$AB$612,0)+(COUNTIF('Final Sample'!$AB$2:$AB$612,'Final Sample'!AB423)-1)/2</f>
        <v>412</v>
      </c>
      <c r="F423" s="25">
        <f>RANK('Final Sample'!V423,'Final Sample'!$V$2:$V$612,0)+(COUNTIF('Final Sample'!$V$2:$V$612,'Final Sample'!V423)-1)/2</f>
        <v>252</v>
      </c>
    </row>
    <row r="424" spans="1:6" ht="15" customHeight="1" x14ac:dyDescent="0.3">
      <c r="A424" s="25">
        <f>RANK('Final Sample'!I424,'Final Sample'!$I$2:$I$612,0)+(COUNTIF('Final Sample'!$I$2:$I$612,'Final Sample'!I424)-1)/2</f>
        <v>73.5</v>
      </c>
      <c r="B424" s="25">
        <f>RANK('Final Sample'!J424,'Final Sample'!$J$2:$J$612,0)+(COUNTIF('Final Sample'!$J$2:$J$612,'Final Sample'!J424)-1)/2</f>
        <v>359</v>
      </c>
      <c r="C424" s="25">
        <f>RANK('Final Sample'!AA424,'Final Sample'!$AA$2:$AA$612,0)+(COUNTIF('Final Sample'!$AA$2:$AA$612,'Final Sample'!AA424)-1)/2</f>
        <v>13</v>
      </c>
      <c r="D424" s="25">
        <f>RANK('Final Sample'!R424,'Final Sample'!$R$2:$R$612,0)+(COUNTIF('Final Sample'!$R$2:$R$612,'Final Sample'!R424)-1)/2</f>
        <v>200</v>
      </c>
      <c r="E424" s="25">
        <f>RANK('Final Sample'!AB424,'Final Sample'!$AB$2:$AB$612,0)+(COUNTIF('Final Sample'!$AB$2:$AB$612,'Final Sample'!AB424)-1)/2</f>
        <v>324</v>
      </c>
      <c r="F424" s="25">
        <f>RANK('Final Sample'!V424,'Final Sample'!$V$2:$V$612,0)+(COUNTIF('Final Sample'!$V$2:$V$612,'Final Sample'!V424)-1)/2</f>
        <v>246.5</v>
      </c>
    </row>
    <row r="425" spans="1:6" ht="15" customHeight="1" x14ac:dyDescent="0.3">
      <c r="A425" s="25">
        <f>RANK('Final Sample'!I425,'Final Sample'!$I$2:$I$612,0)+(COUNTIF('Final Sample'!$I$2:$I$612,'Final Sample'!I425)-1)/2</f>
        <v>441.5</v>
      </c>
      <c r="B425" s="25">
        <f>RANK('Final Sample'!J425,'Final Sample'!$J$2:$J$612,0)+(COUNTIF('Final Sample'!$J$2:$J$612,'Final Sample'!J425)-1)/2</f>
        <v>359</v>
      </c>
      <c r="C425" s="25">
        <f>RANK('Final Sample'!AA425,'Final Sample'!$AA$2:$AA$612,0)+(COUNTIF('Final Sample'!$AA$2:$AA$612,'Final Sample'!AA425)-1)/2</f>
        <v>36</v>
      </c>
      <c r="D425" s="25">
        <f>RANK('Final Sample'!R425,'Final Sample'!$R$2:$R$612,0)+(COUNTIF('Final Sample'!$R$2:$R$612,'Final Sample'!R425)-1)/2</f>
        <v>531</v>
      </c>
      <c r="E425" s="25">
        <f>RANK('Final Sample'!AB425,'Final Sample'!$AB$2:$AB$612,0)+(COUNTIF('Final Sample'!$AB$2:$AB$612,'Final Sample'!AB425)-1)/2</f>
        <v>2.5</v>
      </c>
      <c r="F425" s="25">
        <f>RANK('Final Sample'!V425,'Final Sample'!$V$2:$V$612,0)+(COUNTIF('Final Sample'!$V$2:$V$612,'Final Sample'!V425)-1)/2</f>
        <v>373</v>
      </c>
    </row>
    <row r="426" spans="1:6" ht="15" customHeight="1" x14ac:dyDescent="0.3">
      <c r="A426" s="25">
        <f>RANK('Final Sample'!I426,'Final Sample'!$I$2:$I$612,0)+(COUNTIF('Final Sample'!$I$2:$I$612,'Final Sample'!I426)-1)/2</f>
        <v>441.5</v>
      </c>
      <c r="B426" s="25">
        <f>RANK('Final Sample'!J426,'Final Sample'!$J$2:$J$612,0)+(COUNTIF('Final Sample'!$J$2:$J$612,'Final Sample'!J426)-1)/2</f>
        <v>359</v>
      </c>
      <c r="C426" s="25">
        <f>RANK('Final Sample'!AA426,'Final Sample'!$AA$2:$AA$612,0)+(COUNTIF('Final Sample'!$AA$2:$AA$612,'Final Sample'!AA426)-1)/2</f>
        <v>28</v>
      </c>
      <c r="D426" s="25">
        <f>RANK('Final Sample'!R426,'Final Sample'!$R$2:$R$612,0)+(COUNTIF('Final Sample'!$R$2:$R$612,'Final Sample'!R426)-1)/2</f>
        <v>532</v>
      </c>
      <c r="E426" s="25">
        <f>RANK('Final Sample'!AB426,'Final Sample'!$AB$2:$AB$612,0)+(COUNTIF('Final Sample'!$AB$2:$AB$612,'Final Sample'!AB426)-1)/2</f>
        <v>2.5</v>
      </c>
      <c r="F426" s="25">
        <f>RANK('Final Sample'!V426,'Final Sample'!$V$2:$V$612,0)+(COUNTIF('Final Sample'!$V$2:$V$612,'Final Sample'!V426)-1)/2</f>
        <v>356.5</v>
      </c>
    </row>
    <row r="427" spans="1:6" ht="15" customHeight="1" x14ac:dyDescent="0.3">
      <c r="A427" s="25">
        <f>RANK('Final Sample'!I427,'Final Sample'!$I$2:$I$612,0)+(COUNTIF('Final Sample'!$I$2:$I$612,'Final Sample'!I427)-1)/2</f>
        <v>441.5</v>
      </c>
      <c r="B427" s="25">
        <f>RANK('Final Sample'!J427,'Final Sample'!$J$2:$J$612,0)+(COUNTIF('Final Sample'!$J$2:$J$612,'Final Sample'!J427)-1)/2</f>
        <v>359</v>
      </c>
      <c r="C427" s="25">
        <f>RANK('Final Sample'!AA427,'Final Sample'!$AA$2:$AA$612,0)+(COUNTIF('Final Sample'!$AA$2:$AA$612,'Final Sample'!AA427)-1)/2</f>
        <v>64</v>
      </c>
      <c r="D427" s="25">
        <f>RANK('Final Sample'!R427,'Final Sample'!$R$2:$R$612,0)+(COUNTIF('Final Sample'!$R$2:$R$612,'Final Sample'!R427)-1)/2</f>
        <v>557</v>
      </c>
      <c r="E427" s="25">
        <f>RANK('Final Sample'!AB427,'Final Sample'!$AB$2:$AB$612,0)+(COUNTIF('Final Sample'!$AB$2:$AB$612,'Final Sample'!AB427)-1)/2</f>
        <v>19</v>
      </c>
      <c r="F427" s="25">
        <f>RANK('Final Sample'!V427,'Final Sample'!$V$2:$V$612,0)+(COUNTIF('Final Sample'!$V$2:$V$612,'Final Sample'!V427)-1)/2</f>
        <v>344</v>
      </c>
    </row>
    <row r="428" spans="1:6" ht="15" customHeight="1" x14ac:dyDescent="0.3">
      <c r="A428" s="25">
        <f>RANK('Final Sample'!I428,'Final Sample'!$I$2:$I$612,0)+(COUNTIF('Final Sample'!$I$2:$I$612,'Final Sample'!I428)-1)/2</f>
        <v>441.5</v>
      </c>
      <c r="B428" s="25">
        <f>RANK('Final Sample'!J428,'Final Sample'!$J$2:$J$612,0)+(COUNTIF('Final Sample'!$J$2:$J$612,'Final Sample'!J428)-1)/2</f>
        <v>359</v>
      </c>
      <c r="C428" s="25">
        <f>RANK('Final Sample'!AA428,'Final Sample'!$AA$2:$AA$612,0)+(COUNTIF('Final Sample'!$AA$2:$AA$612,'Final Sample'!AA428)-1)/2</f>
        <v>63</v>
      </c>
      <c r="D428" s="25">
        <f>RANK('Final Sample'!R428,'Final Sample'!$R$2:$R$612,0)+(COUNTIF('Final Sample'!$R$2:$R$612,'Final Sample'!R428)-1)/2</f>
        <v>558</v>
      </c>
      <c r="E428" s="25">
        <f>RANK('Final Sample'!AB428,'Final Sample'!$AB$2:$AB$612,0)+(COUNTIF('Final Sample'!$AB$2:$AB$612,'Final Sample'!AB428)-1)/2</f>
        <v>18</v>
      </c>
      <c r="F428" s="25">
        <f>RANK('Final Sample'!V428,'Final Sample'!$V$2:$V$612,0)+(COUNTIF('Final Sample'!$V$2:$V$612,'Final Sample'!V428)-1)/2</f>
        <v>335</v>
      </c>
    </row>
    <row r="429" spans="1:6" ht="15" customHeight="1" x14ac:dyDescent="0.3">
      <c r="A429" s="25">
        <f>RANK('Final Sample'!I429,'Final Sample'!$I$2:$I$612,0)+(COUNTIF('Final Sample'!$I$2:$I$612,'Final Sample'!I429)-1)/2</f>
        <v>441.5</v>
      </c>
      <c r="B429" s="25">
        <f>RANK('Final Sample'!J429,'Final Sample'!$J$2:$J$612,0)+(COUNTIF('Final Sample'!$J$2:$J$612,'Final Sample'!J429)-1)/2</f>
        <v>359</v>
      </c>
      <c r="C429" s="25">
        <f>RANK('Final Sample'!AA429,'Final Sample'!$AA$2:$AA$612,0)+(COUNTIF('Final Sample'!$AA$2:$AA$612,'Final Sample'!AA429)-1)/2</f>
        <v>37</v>
      </c>
      <c r="D429" s="25">
        <f>RANK('Final Sample'!R429,'Final Sample'!$R$2:$R$612,0)+(COUNTIF('Final Sample'!$R$2:$R$612,'Final Sample'!R429)-1)/2</f>
        <v>566</v>
      </c>
      <c r="E429" s="25">
        <f>RANK('Final Sample'!AB429,'Final Sample'!$AB$2:$AB$612,0)+(COUNTIF('Final Sample'!$AB$2:$AB$612,'Final Sample'!AB429)-1)/2</f>
        <v>13</v>
      </c>
      <c r="F429" s="25">
        <f>RANK('Final Sample'!V429,'Final Sample'!$V$2:$V$612,0)+(COUNTIF('Final Sample'!$V$2:$V$612,'Final Sample'!V429)-1)/2</f>
        <v>326</v>
      </c>
    </row>
    <row r="430" spans="1:6" ht="15" customHeight="1" x14ac:dyDescent="0.3">
      <c r="A430" s="25">
        <f>RANK('Final Sample'!I430,'Final Sample'!$I$2:$I$612,0)+(COUNTIF('Final Sample'!$I$2:$I$612,'Final Sample'!I430)-1)/2</f>
        <v>441.5</v>
      </c>
      <c r="B430" s="25">
        <f>RANK('Final Sample'!J430,'Final Sample'!$J$2:$J$612,0)+(COUNTIF('Final Sample'!$J$2:$J$612,'Final Sample'!J430)-1)/2</f>
        <v>359</v>
      </c>
      <c r="C430" s="25">
        <f>RANK('Final Sample'!AA430,'Final Sample'!$AA$2:$AA$612,0)+(COUNTIF('Final Sample'!$AA$2:$AA$612,'Final Sample'!AA430)-1)/2</f>
        <v>14</v>
      </c>
      <c r="D430" s="25">
        <f>RANK('Final Sample'!R430,'Final Sample'!$R$2:$R$612,0)+(COUNTIF('Final Sample'!$R$2:$R$612,'Final Sample'!R430)-1)/2</f>
        <v>604</v>
      </c>
      <c r="E430" s="25">
        <f>RANK('Final Sample'!AB430,'Final Sample'!$AB$2:$AB$612,0)+(COUNTIF('Final Sample'!$AB$2:$AB$612,'Final Sample'!AB430)-1)/2</f>
        <v>17</v>
      </c>
      <c r="F430" s="25">
        <f>RANK('Final Sample'!V430,'Final Sample'!$V$2:$V$612,0)+(COUNTIF('Final Sample'!$V$2:$V$612,'Final Sample'!V430)-1)/2</f>
        <v>311.5</v>
      </c>
    </row>
    <row r="431" spans="1:6" ht="15" customHeight="1" x14ac:dyDescent="0.3">
      <c r="A431" s="25">
        <f>RANK('Final Sample'!I431,'Final Sample'!$I$2:$I$612,0)+(COUNTIF('Final Sample'!$I$2:$I$612,'Final Sample'!I431)-1)/2</f>
        <v>441.5</v>
      </c>
      <c r="B431" s="25">
        <f>RANK('Final Sample'!J431,'Final Sample'!$J$2:$J$612,0)+(COUNTIF('Final Sample'!$J$2:$J$612,'Final Sample'!J431)-1)/2</f>
        <v>359</v>
      </c>
      <c r="C431" s="25">
        <f>RANK('Final Sample'!AA431,'Final Sample'!$AA$2:$AA$612,0)+(COUNTIF('Final Sample'!$AA$2:$AA$612,'Final Sample'!AA431)-1)/2</f>
        <v>12</v>
      </c>
      <c r="D431" s="25">
        <f>RANK('Final Sample'!R431,'Final Sample'!$R$2:$R$612,0)+(COUNTIF('Final Sample'!$R$2:$R$612,'Final Sample'!R431)-1)/2</f>
        <v>605</v>
      </c>
      <c r="E431" s="25">
        <f>RANK('Final Sample'!AB431,'Final Sample'!$AB$2:$AB$612,0)+(COUNTIF('Final Sample'!$AB$2:$AB$612,'Final Sample'!AB431)-1)/2</f>
        <v>12</v>
      </c>
      <c r="F431" s="25">
        <f>RANK('Final Sample'!V431,'Final Sample'!$V$2:$V$612,0)+(COUNTIF('Final Sample'!$V$2:$V$612,'Final Sample'!V431)-1)/2</f>
        <v>303</v>
      </c>
    </row>
    <row r="432" spans="1:6" ht="15" customHeight="1" x14ac:dyDescent="0.3">
      <c r="A432" s="25">
        <f>RANK('Final Sample'!I432,'Final Sample'!$I$2:$I$612,0)+(COUNTIF('Final Sample'!$I$2:$I$612,'Final Sample'!I432)-1)/2</f>
        <v>441.5</v>
      </c>
      <c r="B432" s="25">
        <f>RANK('Final Sample'!J432,'Final Sample'!$J$2:$J$612,0)+(COUNTIF('Final Sample'!$J$2:$J$612,'Final Sample'!J432)-1)/2</f>
        <v>359</v>
      </c>
      <c r="C432" s="25">
        <f>RANK('Final Sample'!AA432,'Final Sample'!$AA$2:$AA$612,0)+(COUNTIF('Final Sample'!$AA$2:$AA$612,'Final Sample'!AA432)-1)/2</f>
        <v>11</v>
      </c>
      <c r="D432" s="25">
        <f>RANK('Final Sample'!R432,'Final Sample'!$R$2:$R$612,0)+(COUNTIF('Final Sample'!$R$2:$R$612,'Final Sample'!R432)-1)/2</f>
        <v>606</v>
      </c>
      <c r="E432" s="25">
        <f>RANK('Final Sample'!AB432,'Final Sample'!$AB$2:$AB$612,0)+(COUNTIF('Final Sample'!$AB$2:$AB$612,'Final Sample'!AB432)-1)/2</f>
        <v>11</v>
      </c>
      <c r="F432" s="25">
        <f>RANK('Final Sample'!V432,'Final Sample'!$V$2:$V$612,0)+(COUNTIF('Final Sample'!$V$2:$V$612,'Final Sample'!V432)-1)/2</f>
        <v>293.5</v>
      </c>
    </row>
    <row r="433" spans="1:6" ht="15" customHeight="1" x14ac:dyDescent="0.3">
      <c r="A433" s="25">
        <f>RANK('Final Sample'!I433,'Final Sample'!$I$2:$I$612,0)+(COUNTIF('Final Sample'!$I$2:$I$612,'Final Sample'!I433)-1)/2</f>
        <v>441.5</v>
      </c>
      <c r="B433" s="25">
        <f>RANK('Final Sample'!J433,'Final Sample'!$J$2:$J$612,0)+(COUNTIF('Final Sample'!$J$2:$J$612,'Final Sample'!J433)-1)/2</f>
        <v>359</v>
      </c>
      <c r="C433" s="25">
        <f>RANK('Final Sample'!AA433,'Final Sample'!$AA$2:$AA$612,0)+(COUNTIF('Final Sample'!$AA$2:$AA$612,'Final Sample'!AA433)-1)/2</f>
        <v>9</v>
      </c>
      <c r="D433" s="25">
        <f>RANK('Final Sample'!R433,'Final Sample'!$R$2:$R$612,0)+(COUNTIF('Final Sample'!$R$2:$R$612,'Final Sample'!R433)-1)/2</f>
        <v>607</v>
      </c>
      <c r="E433" s="25">
        <f>RANK('Final Sample'!AB433,'Final Sample'!$AB$2:$AB$612,0)+(COUNTIF('Final Sample'!$AB$2:$AB$612,'Final Sample'!AB433)-1)/2</f>
        <v>10</v>
      </c>
      <c r="F433" s="25">
        <f>RANK('Final Sample'!V433,'Final Sample'!$V$2:$V$612,0)+(COUNTIF('Final Sample'!$V$2:$V$612,'Final Sample'!V433)-1)/2</f>
        <v>282.5</v>
      </c>
    </row>
    <row r="434" spans="1:6" ht="15" customHeight="1" x14ac:dyDescent="0.3">
      <c r="A434" s="25">
        <f>RANK('Final Sample'!I434,'Final Sample'!$I$2:$I$612,0)+(COUNTIF('Final Sample'!$I$2:$I$612,'Final Sample'!I434)-1)/2</f>
        <v>441.5</v>
      </c>
      <c r="B434" s="25">
        <f>RANK('Final Sample'!J434,'Final Sample'!$J$2:$J$612,0)+(COUNTIF('Final Sample'!$J$2:$J$612,'Final Sample'!J434)-1)/2</f>
        <v>359</v>
      </c>
      <c r="C434" s="25">
        <f>RANK('Final Sample'!AA434,'Final Sample'!$AA$2:$AA$612,0)+(COUNTIF('Final Sample'!$AA$2:$AA$612,'Final Sample'!AA434)-1)/2</f>
        <v>8</v>
      </c>
      <c r="D434" s="25">
        <f>RANK('Final Sample'!R434,'Final Sample'!$R$2:$R$612,0)+(COUNTIF('Final Sample'!$R$2:$R$612,'Final Sample'!R434)-1)/2</f>
        <v>609</v>
      </c>
      <c r="E434" s="25">
        <f>RANK('Final Sample'!AB434,'Final Sample'!$AB$2:$AB$612,0)+(COUNTIF('Final Sample'!$AB$2:$AB$612,'Final Sample'!AB434)-1)/2</f>
        <v>8</v>
      </c>
      <c r="F434" s="25">
        <f>RANK('Final Sample'!V434,'Final Sample'!$V$2:$V$612,0)+(COUNTIF('Final Sample'!$V$2:$V$612,'Final Sample'!V434)-1)/2</f>
        <v>270.5</v>
      </c>
    </row>
    <row r="435" spans="1:6" ht="15" customHeight="1" x14ac:dyDescent="0.3">
      <c r="A435" s="25">
        <f>RANK('Final Sample'!I435,'Final Sample'!$I$2:$I$612,0)+(COUNTIF('Final Sample'!$I$2:$I$612,'Final Sample'!I435)-1)/2</f>
        <v>441.5</v>
      </c>
      <c r="B435" s="25">
        <f>RANK('Final Sample'!J435,'Final Sample'!$J$2:$J$612,0)+(COUNTIF('Final Sample'!$J$2:$J$612,'Final Sample'!J435)-1)/2</f>
        <v>359</v>
      </c>
      <c r="C435" s="25">
        <f>RANK('Final Sample'!AA435,'Final Sample'!$AA$2:$AA$612,0)+(COUNTIF('Final Sample'!$AA$2:$AA$612,'Final Sample'!AA435)-1)/2</f>
        <v>209</v>
      </c>
      <c r="D435" s="25">
        <f>RANK('Final Sample'!R435,'Final Sample'!$R$2:$R$612,0)+(COUNTIF('Final Sample'!$R$2:$R$612,'Final Sample'!R435)-1)/2</f>
        <v>198</v>
      </c>
      <c r="E435" s="25">
        <f>RANK('Final Sample'!AB435,'Final Sample'!$AB$2:$AB$612,0)+(COUNTIF('Final Sample'!$AB$2:$AB$612,'Final Sample'!AB435)-1)/2</f>
        <v>228</v>
      </c>
      <c r="F435" s="25">
        <f>RANK('Final Sample'!V435,'Final Sample'!$V$2:$V$612,0)+(COUNTIF('Final Sample'!$V$2:$V$612,'Final Sample'!V435)-1)/2</f>
        <v>425.5</v>
      </c>
    </row>
    <row r="436" spans="1:6" ht="15" customHeight="1" x14ac:dyDescent="0.3">
      <c r="A436" s="25">
        <f>RANK('Final Sample'!I436,'Final Sample'!$I$2:$I$612,0)+(COUNTIF('Final Sample'!$I$2:$I$612,'Final Sample'!I436)-1)/2</f>
        <v>441.5</v>
      </c>
      <c r="B436" s="25">
        <f>RANK('Final Sample'!J436,'Final Sample'!$J$2:$J$612,0)+(COUNTIF('Final Sample'!$J$2:$J$612,'Final Sample'!J436)-1)/2</f>
        <v>359</v>
      </c>
      <c r="C436" s="25">
        <f>RANK('Final Sample'!AA436,'Final Sample'!$AA$2:$AA$612,0)+(COUNTIF('Final Sample'!$AA$2:$AA$612,'Final Sample'!AA436)-1)/2</f>
        <v>138</v>
      </c>
      <c r="D436" s="25">
        <f>RANK('Final Sample'!R436,'Final Sample'!$R$2:$R$612,0)+(COUNTIF('Final Sample'!$R$2:$R$612,'Final Sample'!R436)-1)/2</f>
        <v>205</v>
      </c>
      <c r="E436" s="25">
        <f>RANK('Final Sample'!AB436,'Final Sample'!$AB$2:$AB$612,0)+(COUNTIF('Final Sample'!$AB$2:$AB$612,'Final Sample'!AB436)-1)/2</f>
        <v>259</v>
      </c>
      <c r="F436" s="25">
        <f>RANK('Final Sample'!V436,'Final Sample'!$V$2:$V$612,0)+(COUNTIF('Final Sample'!$V$2:$V$612,'Final Sample'!V436)-1)/2</f>
        <v>408</v>
      </c>
    </row>
    <row r="437" spans="1:6" ht="15" customHeight="1" x14ac:dyDescent="0.3">
      <c r="A437" s="25">
        <f>RANK('Final Sample'!I437,'Final Sample'!$I$2:$I$612,0)+(COUNTIF('Final Sample'!$I$2:$I$612,'Final Sample'!I437)-1)/2</f>
        <v>236</v>
      </c>
      <c r="B437" s="25">
        <f>RANK('Final Sample'!J437,'Final Sample'!$J$2:$J$612,0)+(COUNTIF('Final Sample'!$J$2:$J$612,'Final Sample'!J437)-1)/2</f>
        <v>359</v>
      </c>
      <c r="C437" s="25">
        <f>RANK('Final Sample'!AA437,'Final Sample'!$AA$2:$AA$612,0)+(COUNTIF('Final Sample'!$AA$2:$AA$612,'Final Sample'!AA437)-1)/2</f>
        <v>169</v>
      </c>
      <c r="D437" s="25">
        <f>RANK('Final Sample'!R437,'Final Sample'!$R$2:$R$612,0)+(COUNTIF('Final Sample'!$R$2:$R$612,'Final Sample'!R437)-1)/2</f>
        <v>174</v>
      </c>
      <c r="E437" s="25">
        <f>RANK('Final Sample'!AB437,'Final Sample'!$AB$2:$AB$612,0)+(COUNTIF('Final Sample'!$AB$2:$AB$612,'Final Sample'!AB437)-1)/2</f>
        <v>354</v>
      </c>
      <c r="F437" s="25">
        <f>RANK('Final Sample'!V437,'Final Sample'!$V$2:$V$612,0)+(COUNTIF('Final Sample'!$V$2:$V$612,'Final Sample'!V437)-1)/2</f>
        <v>390.5</v>
      </c>
    </row>
    <row r="438" spans="1:6" ht="15" customHeight="1" x14ac:dyDescent="0.3">
      <c r="A438" s="25">
        <f>RANK('Final Sample'!I438,'Final Sample'!$I$2:$I$612,0)+(COUNTIF('Final Sample'!$I$2:$I$612,'Final Sample'!I438)-1)/2</f>
        <v>186.5</v>
      </c>
      <c r="B438" s="25">
        <f>RANK('Final Sample'!J438,'Final Sample'!$J$2:$J$612,0)+(COUNTIF('Final Sample'!$J$2:$J$612,'Final Sample'!J438)-1)/2</f>
        <v>359</v>
      </c>
      <c r="C438" s="25">
        <f>RANK('Final Sample'!AA438,'Final Sample'!$AA$2:$AA$612,0)+(COUNTIF('Final Sample'!$AA$2:$AA$612,'Final Sample'!AA438)-1)/2</f>
        <v>183</v>
      </c>
      <c r="D438" s="25">
        <f>RANK('Final Sample'!R438,'Final Sample'!$R$2:$R$612,0)+(COUNTIF('Final Sample'!$R$2:$R$612,'Final Sample'!R438)-1)/2</f>
        <v>138</v>
      </c>
      <c r="E438" s="25">
        <f>RANK('Final Sample'!AB438,'Final Sample'!$AB$2:$AB$612,0)+(COUNTIF('Final Sample'!$AB$2:$AB$612,'Final Sample'!AB438)-1)/2</f>
        <v>391</v>
      </c>
      <c r="F438" s="25">
        <f>RANK('Final Sample'!V438,'Final Sample'!$V$2:$V$612,0)+(COUNTIF('Final Sample'!$V$2:$V$612,'Final Sample'!V438)-1)/2</f>
        <v>373</v>
      </c>
    </row>
    <row r="439" spans="1:6" ht="15" customHeight="1" x14ac:dyDescent="0.3">
      <c r="A439" s="25">
        <f>RANK('Final Sample'!I439,'Final Sample'!$I$2:$I$612,0)+(COUNTIF('Final Sample'!$I$2:$I$612,'Final Sample'!I439)-1)/2</f>
        <v>186.5</v>
      </c>
      <c r="B439" s="25">
        <f>RANK('Final Sample'!J439,'Final Sample'!$J$2:$J$612,0)+(COUNTIF('Final Sample'!$J$2:$J$612,'Final Sample'!J439)-1)/2</f>
        <v>359</v>
      </c>
      <c r="C439" s="25">
        <f>RANK('Final Sample'!AA439,'Final Sample'!$AA$2:$AA$612,0)+(COUNTIF('Final Sample'!$AA$2:$AA$612,'Final Sample'!AA439)-1)/2</f>
        <v>101</v>
      </c>
      <c r="D439" s="25">
        <f>RANK('Final Sample'!R439,'Final Sample'!$R$2:$R$612,0)+(COUNTIF('Final Sample'!$R$2:$R$612,'Final Sample'!R439)-1)/2</f>
        <v>104</v>
      </c>
      <c r="E439" s="25">
        <f>RANK('Final Sample'!AB439,'Final Sample'!$AB$2:$AB$612,0)+(COUNTIF('Final Sample'!$AB$2:$AB$612,'Final Sample'!AB439)-1)/2</f>
        <v>414</v>
      </c>
      <c r="F439" s="25">
        <f>RANK('Final Sample'!V439,'Final Sample'!$V$2:$V$612,0)+(COUNTIF('Final Sample'!$V$2:$V$612,'Final Sample'!V439)-1)/2</f>
        <v>356.5</v>
      </c>
    </row>
    <row r="440" spans="1:6" ht="15" customHeight="1" x14ac:dyDescent="0.3">
      <c r="A440" s="25">
        <f>RANK('Final Sample'!I440,'Final Sample'!$I$2:$I$612,0)+(COUNTIF('Final Sample'!$I$2:$I$612,'Final Sample'!I440)-1)/2</f>
        <v>441.5</v>
      </c>
      <c r="B440" s="25">
        <f>RANK('Final Sample'!J440,'Final Sample'!$J$2:$J$612,0)+(COUNTIF('Final Sample'!$J$2:$J$612,'Final Sample'!J440)-1)/2</f>
        <v>359</v>
      </c>
      <c r="C440" s="25">
        <f>RANK('Final Sample'!AA440,'Final Sample'!$AA$2:$AA$612,0)+(COUNTIF('Final Sample'!$AA$2:$AA$612,'Final Sample'!AA440)-1)/2</f>
        <v>560</v>
      </c>
      <c r="D440" s="25">
        <f>RANK('Final Sample'!R440,'Final Sample'!$R$2:$R$612,0)+(COUNTIF('Final Sample'!$R$2:$R$612,'Final Sample'!R440)-1)/2</f>
        <v>376</v>
      </c>
      <c r="E440" s="25">
        <f>RANK('Final Sample'!AB440,'Final Sample'!$AB$2:$AB$612,0)+(COUNTIF('Final Sample'!$AB$2:$AB$612,'Final Sample'!AB440)-1)/2</f>
        <v>528</v>
      </c>
      <c r="F440" s="25">
        <f>RANK('Final Sample'!V440,'Final Sample'!$V$2:$V$612,0)+(COUNTIF('Final Sample'!$V$2:$V$612,'Final Sample'!V440)-1)/2</f>
        <v>218</v>
      </c>
    </row>
    <row r="441" spans="1:6" ht="15" customHeight="1" x14ac:dyDescent="0.3">
      <c r="A441" s="25">
        <f>RANK('Final Sample'!I441,'Final Sample'!$I$2:$I$612,0)+(COUNTIF('Final Sample'!$I$2:$I$612,'Final Sample'!I441)-1)/2</f>
        <v>441.5</v>
      </c>
      <c r="B441" s="25">
        <f>RANK('Final Sample'!J441,'Final Sample'!$J$2:$J$612,0)+(COUNTIF('Final Sample'!$J$2:$J$612,'Final Sample'!J441)-1)/2</f>
        <v>359</v>
      </c>
      <c r="C441" s="25">
        <f>RANK('Final Sample'!AA441,'Final Sample'!$AA$2:$AA$612,0)+(COUNTIF('Final Sample'!$AA$2:$AA$612,'Final Sample'!AA441)-1)/2</f>
        <v>569</v>
      </c>
      <c r="D441" s="25">
        <f>RANK('Final Sample'!R441,'Final Sample'!$R$2:$R$612,0)+(COUNTIF('Final Sample'!$R$2:$R$612,'Final Sample'!R441)-1)/2</f>
        <v>371</v>
      </c>
      <c r="E441" s="25">
        <f>RANK('Final Sample'!AB441,'Final Sample'!$AB$2:$AB$612,0)+(COUNTIF('Final Sample'!$AB$2:$AB$612,'Final Sample'!AB441)-1)/2</f>
        <v>519</v>
      </c>
      <c r="F441" s="25">
        <f>RANK('Final Sample'!V441,'Final Sample'!$V$2:$V$612,0)+(COUNTIF('Final Sample'!$V$2:$V$612,'Final Sample'!V441)-1)/2</f>
        <v>206.5</v>
      </c>
    </row>
    <row r="442" spans="1:6" ht="15" customHeight="1" x14ac:dyDescent="0.3">
      <c r="A442" s="25">
        <f>RANK('Final Sample'!I442,'Final Sample'!$I$2:$I$612,0)+(COUNTIF('Final Sample'!$I$2:$I$612,'Final Sample'!I442)-1)/2</f>
        <v>441.5</v>
      </c>
      <c r="B442" s="25">
        <f>RANK('Final Sample'!J442,'Final Sample'!$J$2:$J$612,0)+(COUNTIF('Final Sample'!$J$2:$J$612,'Final Sample'!J442)-1)/2</f>
        <v>359</v>
      </c>
      <c r="C442" s="25">
        <f>RANK('Final Sample'!AA442,'Final Sample'!$AA$2:$AA$612,0)+(COUNTIF('Final Sample'!$AA$2:$AA$612,'Final Sample'!AA442)-1)/2</f>
        <v>568</v>
      </c>
      <c r="D442" s="25">
        <f>RANK('Final Sample'!R442,'Final Sample'!$R$2:$R$612,0)+(COUNTIF('Final Sample'!$R$2:$R$612,'Final Sample'!R442)-1)/2</f>
        <v>340</v>
      </c>
      <c r="E442" s="25">
        <f>RANK('Final Sample'!AB442,'Final Sample'!$AB$2:$AB$612,0)+(COUNTIF('Final Sample'!$AB$2:$AB$612,'Final Sample'!AB442)-1)/2</f>
        <v>506</v>
      </c>
      <c r="F442" s="25">
        <f>RANK('Final Sample'!V442,'Final Sample'!$V$2:$V$612,0)+(COUNTIF('Final Sample'!$V$2:$V$612,'Final Sample'!V442)-1)/2</f>
        <v>195.5</v>
      </c>
    </row>
    <row r="443" spans="1:6" ht="15" customHeight="1" x14ac:dyDescent="0.3">
      <c r="A443" s="25">
        <f>RANK('Final Sample'!I443,'Final Sample'!$I$2:$I$612,0)+(COUNTIF('Final Sample'!$I$2:$I$612,'Final Sample'!I443)-1)/2</f>
        <v>441.5</v>
      </c>
      <c r="B443" s="25">
        <f>RANK('Final Sample'!J443,'Final Sample'!$J$2:$J$612,0)+(COUNTIF('Final Sample'!$J$2:$J$612,'Final Sample'!J443)-1)/2</f>
        <v>359</v>
      </c>
      <c r="C443" s="25">
        <f>RANK('Final Sample'!AA443,'Final Sample'!$AA$2:$AA$612,0)+(COUNTIF('Final Sample'!$AA$2:$AA$612,'Final Sample'!AA443)-1)/2</f>
        <v>476</v>
      </c>
      <c r="D443" s="25">
        <f>RANK('Final Sample'!R443,'Final Sample'!$R$2:$R$612,0)+(COUNTIF('Final Sample'!$R$2:$R$612,'Final Sample'!R443)-1)/2</f>
        <v>308</v>
      </c>
      <c r="E443" s="25">
        <f>RANK('Final Sample'!AB443,'Final Sample'!$AB$2:$AB$612,0)+(COUNTIF('Final Sample'!$AB$2:$AB$612,'Final Sample'!AB443)-1)/2</f>
        <v>442</v>
      </c>
      <c r="F443" s="25">
        <f>RANK('Final Sample'!V443,'Final Sample'!$V$2:$V$612,0)+(COUNTIF('Final Sample'!$V$2:$V$612,'Final Sample'!V443)-1)/2</f>
        <v>186.5</v>
      </c>
    </row>
    <row r="444" spans="1:6" ht="15" customHeight="1" x14ac:dyDescent="0.3">
      <c r="A444" s="25">
        <f>RANK('Final Sample'!I444,'Final Sample'!$I$2:$I$612,0)+(COUNTIF('Final Sample'!$I$2:$I$612,'Final Sample'!I444)-1)/2</f>
        <v>441.5</v>
      </c>
      <c r="B444" s="25">
        <f>RANK('Final Sample'!J444,'Final Sample'!$J$2:$J$612,0)+(COUNTIF('Final Sample'!$J$2:$J$612,'Final Sample'!J444)-1)/2</f>
        <v>359</v>
      </c>
      <c r="C444" s="25">
        <f>RANK('Final Sample'!AA444,'Final Sample'!$AA$2:$AA$612,0)+(COUNTIF('Final Sample'!$AA$2:$AA$612,'Final Sample'!AA444)-1)/2</f>
        <v>358</v>
      </c>
      <c r="D444" s="25">
        <f>RANK('Final Sample'!R444,'Final Sample'!$R$2:$R$612,0)+(COUNTIF('Final Sample'!$R$2:$R$612,'Final Sample'!R444)-1)/2</f>
        <v>311</v>
      </c>
      <c r="E444" s="25">
        <f>RANK('Final Sample'!AB444,'Final Sample'!$AB$2:$AB$612,0)+(COUNTIF('Final Sample'!$AB$2:$AB$612,'Final Sample'!AB444)-1)/2</f>
        <v>479</v>
      </c>
      <c r="F444" s="25">
        <f>RANK('Final Sample'!V444,'Final Sample'!$V$2:$V$612,0)+(COUNTIF('Final Sample'!$V$2:$V$612,'Final Sample'!V444)-1)/2</f>
        <v>179.5</v>
      </c>
    </row>
    <row r="445" spans="1:6" ht="15" customHeight="1" x14ac:dyDescent="0.3">
      <c r="A445" s="25">
        <f>RANK('Final Sample'!I445,'Final Sample'!$I$2:$I$612,0)+(COUNTIF('Final Sample'!$I$2:$I$612,'Final Sample'!I445)-1)/2</f>
        <v>441.5</v>
      </c>
      <c r="B445" s="25">
        <f>RANK('Final Sample'!J445,'Final Sample'!$J$2:$J$612,0)+(COUNTIF('Final Sample'!$J$2:$J$612,'Final Sample'!J445)-1)/2</f>
        <v>359</v>
      </c>
      <c r="C445" s="25">
        <f>RANK('Final Sample'!AA445,'Final Sample'!$AA$2:$AA$612,0)+(COUNTIF('Final Sample'!$AA$2:$AA$612,'Final Sample'!AA445)-1)/2</f>
        <v>472</v>
      </c>
      <c r="D445" s="25">
        <f>RANK('Final Sample'!R445,'Final Sample'!$R$2:$R$612,0)+(COUNTIF('Final Sample'!$R$2:$R$612,'Final Sample'!R445)-1)/2</f>
        <v>231</v>
      </c>
      <c r="E445" s="25">
        <f>RANK('Final Sample'!AB445,'Final Sample'!$AB$2:$AB$612,0)+(COUNTIF('Final Sample'!$AB$2:$AB$612,'Final Sample'!AB445)-1)/2</f>
        <v>334</v>
      </c>
      <c r="F445" s="25">
        <f>RANK('Final Sample'!V445,'Final Sample'!$V$2:$V$612,0)+(COUNTIF('Final Sample'!$V$2:$V$612,'Final Sample'!V445)-1)/2</f>
        <v>45.5</v>
      </c>
    </row>
    <row r="446" spans="1:6" ht="15" customHeight="1" x14ac:dyDescent="0.3">
      <c r="A446" s="25">
        <f>RANK('Final Sample'!I446,'Final Sample'!$I$2:$I$612,0)+(COUNTIF('Final Sample'!$I$2:$I$612,'Final Sample'!I446)-1)/2</f>
        <v>441.5</v>
      </c>
      <c r="B446" s="25">
        <f>RANK('Final Sample'!J446,'Final Sample'!$J$2:$J$612,0)+(COUNTIF('Final Sample'!$J$2:$J$612,'Final Sample'!J446)-1)/2</f>
        <v>359</v>
      </c>
      <c r="C446" s="25">
        <f>RANK('Final Sample'!AA446,'Final Sample'!$AA$2:$AA$612,0)+(COUNTIF('Final Sample'!$AA$2:$AA$612,'Final Sample'!AA446)-1)/2</f>
        <v>498</v>
      </c>
      <c r="D446" s="25">
        <f>RANK('Final Sample'!R446,'Final Sample'!$R$2:$R$612,0)+(COUNTIF('Final Sample'!$R$2:$R$612,'Final Sample'!R446)-1)/2</f>
        <v>219</v>
      </c>
      <c r="E446" s="25">
        <f>RANK('Final Sample'!AB446,'Final Sample'!$AB$2:$AB$612,0)+(COUNTIF('Final Sample'!$AB$2:$AB$612,'Final Sample'!AB446)-1)/2</f>
        <v>317</v>
      </c>
      <c r="F446" s="25">
        <f>RANK('Final Sample'!V446,'Final Sample'!$V$2:$V$612,0)+(COUNTIF('Final Sample'!$V$2:$V$612,'Final Sample'!V446)-1)/2</f>
        <v>41</v>
      </c>
    </row>
    <row r="447" spans="1:6" ht="15" customHeight="1" x14ac:dyDescent="0.3">
      <c r="A447" s="25">
        <f>RANK('Final Sample'!I447,'Final Sample'!$I$2:$I$612,0)+(COUNTIF('Final Sample'!$I$2:$I$612,'Final Sample'!I447)-1)/2</f>
        <v>441.5</v>
      </c>
      <c r="B447" s="25">
        <f>RANK('Final Sample'!J447,'Final Sample'!$J$2:$J$612,0)+(COUNTIF('Final Sample'!$J$2:$J$612,'Final Sample'!J447)-1)/2</f>
        <v>359</v>
      </c>
      <c r="C447" s="25">
        <f>RANK('Final Sample'!AA447,'Final Sample'!$AA$2:$AA$612,0)+(COUNTIF('Final Sample'!$AA$2:$AA$612,'Final Sample'!AA447)-1)/2</f>
        <v>389</v>
      </c>
      <c r="D447" s="25">
        <f>RANK('Final Sample'!R447,'Final Sample'!$R$2:$R$612,0)+(COUNTIF('Final Sample'!$R$2:$R$612,'Final Sample'!R447)-1)/2</f>
        <v>185</v>
      </c>
      <c r="E447" s="25">
        <f>RANK('Final Sample'!AB447,'Final Sample'!$AB$2:$AB$612,0)+(COUNTIF('Final Sample'!$AB$2:$AB$612,'Final Sample'!AB447)-1)/2</f>
        <v>277</v>
      </c>
      <c r="F447" s="25">
        <f>RANK('Final Sample'!V447,'Final Sample'!$V$2:$V$612,0)+(COUNTIF('Final Sample'!$V$2:$V$612,'Final Sample'!V447)-1)/2</f>
        <v>35.5</v>
      </c>
    </row>
    <row r="448" spans="1:6" ht="15" customHeight="1" x14ac:dyDescent="0.3">
      <c r="A448" s="25">
        <f>RANK('Final Sample'!I448,'Final Sample'!$I$2:$I$612,0)+(COUNTIF('Final Sample'!$I$2:$I$612,'Final Sample'!I448)-1)/2</f>
        <v>236</v>
      </c>
      <c r="B448" s="25">
        <f>RANK('Final Sample'!J448,'Final Sample'!$J$2:$J$612,0)+(COUNTIF('Final Sample'!$J$2:$J$612,'Final Sample'!J448)-1)/2</f>
        <v>359</v>
      </c>
      <c r="C448" s="25">
        <f>RANK('Final Sample'!AA448,'Final Sample'!$AA$2:$AA$612,0)+(COUNTIF('Final Sample'!$AA$2:$AA$612,'Final Sample'!AA448)-1)/2</f>
        <v>126</v>
      </c>
      <c r="D448" s="25">
        <f>RANK('Final Sample'!R448,'Final Sample'!$R$2:$R$612,0)+(COUNTIF('Final Sample'!$R$2:$R$612,'Final Sample'!R448)-1)/2</f>
        <v>190</v>
      </c>
      <c r="E448" s="25">
        <f>RANK('Final Sample'!AB448,'Final Sample'!$AB$2:$AB$612,0)+(COUNTIF('Final Sample'!$AB$2:$AB$612,'Final Sample'!AB448)-1)/2</f>
        <v>44</v>
      </c>
      <c r="F448" s="25">
        <f>RANK('Final Sample'!V448,'Final Sample'!$V$2:$V$612,0)+(COUNTIF('Final Sample'!$V$2:$V$612,'Final Sample'!V448)-1)/2</f>
        <v>29.5</v>
      </c>
    </row>
    <row r="449" spans="1:6" ht="15" customHeight="1" x14ac:dyDescent="0.3">
      <c r="A449" s="25">
        <f>RANK('Final Sample'!I449,'Final Sample'!$I$2:$I$612,0)+(COUNTIF('Final Sample'!$I$2:$I$612,'Final Sample'!I449)-1)/2</f>
        <v>236</v>
      </c>
      <c r="B449" s="25">
        <f>RANK('Final Sample'!J449,'Final Sample'!$J$2:$J$612,0)+(COUNTIF('Final Sample'!$J$2:$J$612,'Final Sample'!J449)-1)/2</f>
        <v>359</v>
      </c>
      <c r="C449" s="25">
        <f>RANK('Final Sample'!AA449,'Final Sample'!$AA$2:$AA$612,0)+(COUNTIF('Final Sample'!$AA$2:$AA$612,'Final Sample'!AA449)-1)/2</f>
        <v>161</v>
      </c>
      <c r="D449" s="25">
        <f>RANK('Final Sample'!R449,'Final Sample'!$R$2:$R$612,0)+(COUNTIF('Final Sample'!$R$2:$R$612,'Final Sample'!R449)-1)/2</f>
        <v>183</v>
      </c>
      <c r="E449" s="25">
        <f>RANK('Final Sample'!AB449,'Final Sample'!$AB$2:$AB$612,0)+(COUNTIF('Final Sample'!$AB$2:$AB$612,'Final Sample'!AB449)-1)/2</f>
        <v>55</v>
      </c>
      <c r="F449" s="25">
        <f>RANK('Final Sample'!V449,'Final Sample'!$V$2:$V$612,0)+(COUNTIF('Final Sample'!$V$2:$V$612,'Final Sample'!V449)-1)/2</f>
        <v>23.5</v>
      </c>
    </row>
    <row r="450" spans="1:6" ht="15" customHeight="1" x14ac:dyDescent="0.3">
      <c r="A450" s="25">
        <f>RANK('Final Sample'!I450,'Final Sample'!$I$2:$I$612,0)+(COUNTIF('Final Sample'!$I$2:$I$612,'Final Sample'!I450)-1)/2</f>
        <v>441.5</v>
      </c>
      <c r="B450" s="25">
        <f>RANK('Final Sample'!J450,'Final Sample'!$J$2:$J$612,0)+(COUNTIF('Final Sample'!$J$2:$J$612,'Final Sample'!J450)-1)/2</f>
        <v>359</v>
      </c>
      <c r="C450" s="25">
        <f>RANK('Final Sample'!AA450,'Final Sample'!$AA$2:$AA$612,0)+(COUNTIF('Final Sample'!$AA$2:$AA$612,'Final Sample'!AA450)-1)/2</f>
        <v>499</v>
      </c>
      <c r="D450" s="25">
        <f>RANK('Final Sample'!R450,'Final Sample'!$R$2:$R$612,0)+(COUNTIF('Final Sample'!$R$2:$R$612,'Final Sample'!R450)-1)/2</f>
        <v>492</v>
      </c>
      <c r="E450" s="25">
        <f>RANK('Final Sample'!AB450,'Final Sample'!$AB$2:$AB$612,0)+(COUNTIF('Final Sample'!$AB$2:$AB$612,'Final Sample'!AB450)-1)/2</f>
        <v>496</v>
      </c>
      <c r="F450" s="25">
        <f>RANK('Final Sample'!V450,'Final Sample'!$V$2:$V$612,0)+(COUNTIF('Final Sample'!$V$2:$V$612,'Final Sample'!V450)-1)/2</f>
        <v>440</v>
      </c>
    </row>
    <row r="451" spans="1:6" ht="15" customHeight="1" x14ac:dyDescent="0.3">
      <c r="A451" s="25">
        <f>RANK('Final Sample'!I451,'Final Sample'!$I$2:$I$612,0)+(COUNTIF('Final Sample'!$I$2:$I$612,'Final Sample'!I451)-1)/2</f>
        <v>441.5</v>
      </c>
      <c r="B451" s="25">
        <f>RANK('Final Sample'!J451,'Final Sample'!$J$2:$J$612,0)+(COUNTIF('Final Sample'!$J$2:$J$612,'Final Sample'!J451)-1)/2</f>
        <v>359</v>
      </c>
      <c r="C451" s="25">
        <f>RANK('Final Sample'!AA451,'Final Sample'!$AA$2:$AA$612,0)+(COUNTIF('Final Sample'!$AA$2:$AA$612,'Final Sample'!AA451)-1)/2</f>
        <v>494</v>
      </c>
      <c r="D451" s="25">
        <f>RANK('Final Sample'!R451,'Final Sample'!$R$2:$R$612,0)+(COUNTIF('Final Sample'!$R$2:$R$612,'Final Sample'!R451)-1)/2</f>
        <v>489</v>
      </c>
      <c r="E451" s="25">
        <f>RANK('Final Sample'!AB451,'Final Sample'!$AB$2:$AB$612,0)+(COUNTIF('Final Sample'!$AB$2:$AB$612,'Final Sample'!AB451)-1)/2</f>
        <v>478</v>
      </c>
      <c r="F451" s="25">
        <f>RANK('Final Sample'!V451,'Final Sample'!$V$2:$V$612,0)+(COUNTIF('Final Sample'!$V$2:$V$612,'Final Sample'!V451)-1)/2</f>
        <v>425.5</v>
      </c>
    </row>
    <row r="452" spans="1:6" ht="15" customHeight="1" x14ac:dyDescent="0.3">
      <c r="A452" s="25">
        <f>RANK('Final Sample'!I452,'Final Sample'!$I$2:$I$612,0)+(COUNTIF('Final Sample'!$I$2:$I$612,'Final Sample'!I452)-1)/2</f>
        <v>441.5</v>
      </c>
      <c r="B452" s="25">
        <f>RANK('Final Sample'!J452,'Final Sample'!$J$2:$J$612,0)+(COUNTIF('Final Sample'!$J$2:$J$612,'Final Sample'!J452)-1)/2</f>
        <v>359</v>
      </c>
      <c r="C452" s="25">
        <f>RANK('Final Sample'!AA452,'Final Sample'!$AA$2:$AA$612,0)+(COUNTIF('Final Sample'!$AA$2:$AA$612,'Final Sample'!AA452)-1)/2</f>
        <v>556</v>
      </c>
      <c r="D452" s="25">
        <f>RANK('Final Sample'!R452,'Final Sample'!$R$2:$R$612,0)+(COUNTIF('Final Sample'!$R$2:$R$612,'Final Sample'!R452)-1)/2</f>
        <v>483</v>
      </c>
      <c r="E452" s="25">
        <f>RANK('Final Sample'!AB452,'Final Sample'!$AB$2:$AB$612,0)+(COUNTIF('Final Sample'!$AB$2:$AB$612,'Final Sample'!AB452)-1)/2</f>
        <v>462</v>
      </c>
      <c r="F452" s="25">
        <f>RANK('Final Sample'!V452,'Final Sample'!$V$2:$V$612,0)+(COUNTIF('Final Sample'!$V$2:$V$612,'Final Sample'!V452)-1)/2</f>
        <v>408</v>
      </c>
    </row>
    <row r="453" spans="1:6" ht="15" customHeight="1" x14ac:dyDescent="0.3">
      <c r="A453" s="25">
        <f>RANK('Final Sample'!I453,'Final Sample'!$I$2:$I$612,0)+(COUNTIF('Final Sample'!$I$2:$I$612,'Final Sample'!I453)-1)/2</f>
        <v>236</v>
      </c>
      <c r="B453" s="25">
        <f>RANK('Final Sample'!J453,'Final Sample'!$J$2:$J$612,0)+(COUNTIF('Final Sample'!$J$2:$J$612,'Final Sample'!J453)-1)/2</f>
        <v>359</v>
      </c>
      <c r="C453" s="25">
        <f>RANK('Final Sample'!AA453,'Final Sample'!$AA$2:$AA$612,0)+(COUNTIF('Final Sample'!$AA$2:$AA$612,'Final Sample'!AA453)-1)/2</f>
        <v>525</v>
      </c>
      <c r="D453" s="25">
        <f>RANK('Final Sample'!R453,'Final Sample'!$R$2:$R$612,0)+(COUNTIF('Final Sample'!$R$2:$R$612,'Final Sample'!R453)-1)/2</f>
        <v>475.5</v>
      </c>
      <c r="E453" s="25">
        <f>RANK('Final Sample'!AB453,'Final Sample'!$AB$2:$AB$612,0)+(COUNTIF('Final Sample'!$AB$2:$AB$612,'Final Sample'!AB453)-1)/2</f>
        <v>434</v>
      </c>
      <c r="F453" s="25">
        <f>RANK('Final Sample'!V453,'Final Sample'!$V$2:$V$612,0)+(COUNTIF('Final Sample'!$V$2:$V$612,'Final Sample'!V453)-1)/2</f>
        <v>390.5</v>
      </c>
    </row>
    <row r="454" spans="1:6" ht="15" customHeight="1" x14ac:dyDescent="0.3">
      <c r="A454" s="25">
        <f>RANK('Final Sample'!I454,'Final Sample'!$I$2:$I$612,0)+(COUNTIF('Final Sample'!$I$2:$I$612,'Final Sample'!I454)-1)/2</f>
        <v>236</v>
      </c>
      <c r="B454" s="25">
        <f>RANK('Final Sample'!J454,'Final Sample'!$J$2:$J$612,0)+(COUNTIF('Final Sample'!$J$2:$J$612,'Final Sample'!J454)-1)/2</f>
        <v>359</v>
      </c>
      <c r="C454" s="25">
        <f>RANK('Final Sample'!AA454,'Final Sample'!$AA$2:$AA$612,0)+(COUNTIF('Final Sample'!$AA$2:$AA$612,'Final Sample'!AA454)-1)/2</f>
        <v>453</v>
      </c>
      <c r="D454" s="25">
        <f>RANK('Final Sample'!R454,'Final Sample'!$R$2:$R$612,0)+(COUNTIF('Final Sample'!$R$2:$R$612,'Final Sample'!R454)-1)/2</f>
        <v>469</v>
      </c>
      <c r="E454" s="25">
        <f>RANK('Final Sample'!AB454,'Final Sample'!$AB$2:$AB$612,0)+(COUNTIF('Final Sample'!$AB$2:$AB$612,'Final Sample'!AB454)-1)/2</f>
        <v>413</v>
      </c>
      <c r="F454" s="25">
        <f>RANK('Final Sample'!V454,'Final Sample'!$V$2:$V$612,0)+(COUNTIF('Final Sample'!$V$2:$V$612,'Final Sample'!V454)-1)/2</f>
        <v>373</v>
      </c>
    </row>
    <row r="455" spans="1:6" ht="15" customHeight="1" x14ac:dyDescent="0.3">
      <c r="A455" s="25">
        <f>RANK('Final Sample'!I455,'Final Sample'!$I$2:$I$612,0)+(COUNTIF('Final Sample'!$I$2:$I$612,'Final Sample'!I455)-1)/2</f>
        <v>441.5</v>
      </c>
      <c r="B455" s="25">
        <f>RANK('Final Sample'!J455,'Final Sample'!$J$2:$J$612,0)+(COUNTIF('Final Sample'!$J$2:$J$612,'Final Sample'!J455)-1)/2</f>
        <v>359</v>
      </c>
      <c r="C455" s="25">
        <f>RANK('Final Sample'!AA455,'Final Sample'!$AA$2:$AA$612,0)+(COUNTIF('Final Sample'!$AA$2:$AA$612,'Final Sample'!AA455)-1)/2</f>
        <v>558</v>
      </c>
      <c r="D455" s="25">
        <f>RANK('Final Sample'!R455,'Final Sample'!$R$2:$R$612,0)+(COUNTIF('Final Sample'!$R$2:$R$612,'Final Sample'!R455)-1)/2</f>
        <v>458</v>
      </c>
      <c r="E455" s="25">
        <f>RANK('Final Sample'!AB455,'Final Sample'!$AB$2:$AB$612,0)+(COUNTIF('Final Sample'!$AB$2:$AB$612,'Final Sample'!AB455)-1)/2</f>
        <v>501</v>
      </c>
      <c r="F455" s="25">
        <f>RANK('Final Sample'!V455,'Final Sample'!$V$2:$V$612,0)+(COUNTIF('Final Sample'!$V$2:$V$612,'Final Sample'!V455)-1)/2</f>
        <v>451</v>
      </c>
    </row>
    <row r="456" spans="1:6" ht="15" customHeight="1" x14ac:dyDescent="0.3">
      <c r="A456" s="25">
        <f>RANK('Final Sample'!I456,'Final Sample'!$I$2:$I$612,0)+(COUNTIF('Final Sample'!$I$2:$I$612,'Final Sample'!I456)-1)/2</f>
        <v>441.5</v>
      </c>
      <c r="B456" s="25">
        <f>RANK('Final Sample'!J456,'Final Sample'!$J$2:$J$612,0)+(COUNTIF('Final Sample'!$J$2:$J$612,'Final Sample'!J456)-1)/2</f>
        <v>359</v>
      </c>
      <c r="C456" s="25">
        <f>RANK('Final Sample'!AA456,'Final Sample'!$AA$2:$AA$612,0)+(COUNTIF('Final Sample'!$AA$2:$AA$612,'Final Sample'!AA456)-1)/2</f>
        <v>590</v>
      </c>
      <c r="D456" s="25">
        <f>RANK('Final Sample'!R456,'Final Sample'!$R$2:$R$612,0)+(COUNTIF('Final Sample'!$R$2:$R$612,'Final Sample'!R456)-1)/2</f>
        <v>449</v>
      </c>
      <c r="E456" s="25">
        <f>RANK('Final Sample'!AB456,'Final Sample'!$AB$2:$AB$612,0)+(COUNTIF('Final Sample'!$AB$2:$AB$612,'Final Sample'!AB456)-1)/2</f>
        <v>502</v>
      </c>
      <c r="F456" s="25">
        <f>RANK('Final Sample'!V456,'Final Sample'!$V$2:$V$612,0)+(COUNTIF('Final Sample'!$V$2:$V$612,'Final Sample'!V456)-1)/2</f>
        <v>440</v>
      </c>
    </row>
    <row r="457" spans="1:6" ht="15" customHeight="1" x14ac:dyDescent="0.3">
      <c r="A457" s="25">
        <f>RANK('Final Sample'!I457,'Final Sample'!$I$2:$I$612,0)+(COUNTIF('Final Sample'!$I$2:$I$612,'Final Sample'!I457)-1)/2</f>
        <v>441.5</v>
      </c>
      <c r="B457" s="25">
        <f>RANK('Final Sample'!J457,'Final Sample'!$J$2:$J$612,0)+(COUNTIF('Final Sample'!$J$2:$J$612,'Final Sample'!J457)-1)/2</f>
        <v>359</v>
      </c>
      <c r="C457" s="25">
        <f>RANK('Final Sample'!AA457,'Final Sample'!$AA$2:$AA$612,0)+(COUNTIF('Final Sample'!$AA$2:$AA$612,'Final Sample'!AA457)-1)/2</f>
        <v>598</v>
      </c>
      <c r="D457" s="25">
        <f>RANK('Final Sample'!R457,'Final Sample'!$R$2:$R$612,0)+(COUNTIF('Final Sample'!$R$2:$R$612,'Final Sample'!R457)-1)/2</f>
        <v>394</v>
      </c>
      <c r="E457" s="25">
        <f>RANK('Final Sample'!AB457,'Final Sample'!$AB$2:$AB$612,0)+(COUNTIF('Final Sample'!$AB$2:$AB$612,'Final Sample'!AB457)-1)/2</f>
        <v>541</v>
      </c>
      <c r="F457" s="25">
        <f>RANK('Final Sample'!V457,'Final Sample'!$V$2:$V$612,0)+(COUNTIF('Final Sample'!$V$2:$V$612,'Final Sample'!V457)-1)/2</f>
        <v>425.5</v>
      </c>
    </row>
    <row r="458" spans="1:6" ht="15" customHeight="1" x14ac:dyDescent="0.3">
      <c r="A458" s="25">
        <f>RANK('Final Sample'!I458,'Final Sample'!$I$2:$I$612,0)+(COUNTIF('Final Sample'!$I$2:$I$612,'Final Sample'!I458)-1)/2</f>
        <v>236</v>
      </c>
      <c r="B458" s="25">
        <f>RANK('Final Sample'!J458,'Final Sample'!$J$2:$J$612,0)+(COUNTIF('Final Sample'!$J$2:$J$612,'Final Sample'!J458)-1)/2</f>
        <v>359</v>
      </c>
      <c r="C458" s="25">
        <f>RANK('Final Sample'!AA458,'Final Sample'!$AA$2:$AA$612,0)+(COUNTIF('Final Sample'!$AA$2:$AA$612,'Final Sample'!AA458)-1)/2</f>
        <v>543</v>
      </c>
      <c r="D458" s="25">
        <f>RANK('Final Sample'!R458,'Final Sample'!$R$2:$R$612,0)+(COUNTIF('Final Sample'!$R$2:$R$612,'Final Sample'!R458)-1)/2</f>
        <v>373</v>
      </c>
      <c r="E458" s="25">
        <f>RANK('Final Sample'!AB458,'Final Sample'!$AB$2:$AB$612,0)+(COUNTIF('Final Sample'!$AB$2:$AB$612,'Final Sample'!AB458)-1)/2</f>
        <v>546</v>
      </c>
      <c r="F458" s="25">
        <f>RANK('Final Sample'!V458,'Final Sample'!$V$2:$V$612,0)+(COUNTIF('Final Sample'!$V$2:$V$612,'Final Sample'!V458)-1)/2</f>
        <v>408</v>
      </c>
    </row>
    <row r="459" spans="1:6" ht="15" customHeight="1" x14ac:dyDescent="0.3">
      <c r="A459" s="25">
        <f>RANK('Final Sample'!I459,'Final Sample'!$I$2:$I$612,0)+(COUNTIF('Final Sample'!$I$2:$I$612,'Final Sample'!I459)-1)/2</f>
        <v>186.5</v>
      </c>
      <c r="B459" s="25">
        <f>RANK('Final Sample'!J459,'Final Sample'!$J$2:$J$612,0)+(COUNTIF('Final Sample'!$J$2:$J$612,'Final Sample'!J459)-1)/2</f>
        <v>359</v>
      </c>
      <c r="C459" s="25">
        <f>RANK('Final Sample'!AA459,'Final Sample'!$AA$2:$AA$612,0)+(COUNTIF('Final Sample'!$AA$2:$AA$612,'Final Sample'!AA459)-1)/2</f>
        <v>310</v>
      </c>
      <c r="D459" s="25">
        <f>RANK('Final Sample'!R459,'Final Sample'!$R$2:$R$612,0)+(COUNTIF('Final Sample'!$R$2:$R$612,'Final Sample'!R459)-1)/2</f>
        <v>368</v>
      </c>
      <c r="E459" s="25">
        <f>RANK('Final Sample'!AB459,'Final Sample'!$AB$2:$AB$612,0)+(COUNTIF('Final Sample'!$AB$2:$AB$612,'Final Sample'!AB459)-1)/2</f>
        <v>550</v>
      </c>
      <c r="F459" s="25">
        <f>RANK('Final Sample'!V459,'Final Sample'!$V$2:$V$612,0)+(COUNTIF('Final Sample'!$V$2:$V$612,'Final Sample'!V459)-1)/2</f>
        <v>390.5</v>
      </c>
    </row>
    <row r="460" spans="1:6" ht="15" customHeight="1" x14ac:dyDescent="0.3">
      <c r="A460" s="25">
        <f>RANK('Final Sample'!I460,'Final Sample'!$I$2:$I$612,0)+(COUNTIF('Final Sample'!$I$2:$I$612,'Final Sample'!I460)-1)/2</f>
        <v>441.5</v>
      </c>
      <c r="B460" s="25">
        <f>RANK('Final Sample'!J460,'Final Sample'!$J$2:$J$612,0)+(COUNTIF('Final Sample'!$J$2:$J$612,'Final Sample'!J460)-1)/2</f>
        <v>359</v>
      </c>
      <c r="C460" s="25">
        <f>RANK('Final Sample'!AA460,'Final Sample'!$AA$2:$AA$612,0)+(COUNTIF('Final Sample'!$AA$2:$AA$612,'Final Sample'!AA460)-1)/2</f>
        <v>573</v>
      </c>
      <c r="D460" s="25">
        <f>RANK('Final Sample'!R460,'Final Sample'!$R$2:$R$612,0)+(COUNTIF('Final Sample'!$R$2:$R$612,'Final Sample'!R460)-1)/2</f>
        <v>396</v>
      </c>
      <c r="E460" s="25">
        <f>RANK('Final Sample'!AB460,'Final Sample'!$AB$2:$AB$612,0)+(COUNTIF('Final Sample'!$AB$2:$AB$612,'Final Sample'!AB460)-1)/2</f>
        <v>587</v>
      </c>
      <c r="F460" s="25">
        <f>RANK('Final Sample'!V460,'Final Sample'!$V$2:$V$612,0)+(COUNTIF('Final Sample'!$V$2:$V$612,'Final Sample'!V460)-1)/2</f>
        <v>561</v>
      </c>
    </row>
    <row r="461" spans="1:6" ht="15" customHeight="1" x14ac:dyDescent="0.3">
      <c r="A461" s="25">
        <f>RANK('Final Sample'!I461,'Final Sample'!$I$2:$I$612,0)+(COUNTIF('Final Sample'!$I$2:$I$612,'Final Sample'!I461)-1)/2</f>
        <v>441.5</v>
      </c>
      <c r="B461" s="25">
        <f>RANK('Final Sample'!J461,'Final Sample'!$J$2:$J$612,0)+(COUNTIF('Final Sample'!$J$2:$J$612,'Final Sample'!J461)-1)/2</f>
        <v>359</v>
      </c>
      <c r="C461" s="25">
        <f>RANK('Final Sample'!AA461,'Final Sample'!$AA$2:$AA$612,0)+(COUNTIF('Final Sample'!$AA$2:$AA$612,'Final Sample'!AA461)-1)/2</f>
        <v>609.5</v>
      </c>
      <c r="D461" s="25">
        <f>RANK('Final Sample'!R461,'Final Sample'!$R$2:$R$612,0)+(COUNTIF('Final Sample'!$R$2:$R$612,'Final Sample'!R461)-1)/2</f>
        <v>379</v>
      </c>
      <c r="E461" s="25">
        <f>RANK('Final Sample'!AB461,'Final Sample'!$AB$2:$AB$612,0)+(COUNTIF('Final Sample'!$AB$2:$AB$612,'Final Sample'!AB461)-1)/2</f>
        <v>605</v>
      </c>
      <c r="F461" s="25">
        <f>RANK('Final Sample'!V461,'Final Sample'!$V$2:$V$612,0)+(COUNTIF('Final Sample'!$V$2:$V$612,'Final Sample'!V461)-1)/2</f>
        <v>553.5</v>
      </c>
    </row>
    <row r="462" spans="1:6" ht="15" customHeight="1" x14ac:dyDescent="0.3">
      <c r="A462" s="25">
        <f>RANK('Final Sample'!I462,'Final Sample'!$I$2:$I$612,0)+(COUNTIF('Final Sample'!$I$2:$I$612,'Final Sample'!I462)-1)/2</f>
        <v>441.5</v>
      </c>
      <c r="B462" s="25">
        <f>RANK('Final Sample'!J462,'Final Sample'!$J$2:$J$612,0)+(COUNTIF('Final Sample'!$J$2:$J$612,'Final Sample'!J462)-1)/2</f>
        <v>359</v>
      </c>
      <c r="C462" s="25">
        <f>RANK('Final Sample'!AA462,'Final Sample'!$AA$2:$AA$612,0)+(COUNTIF('Final Sample'!$AA$2:$AA$612,'Final Sample'!AA462)-1)/2</f>
        <v>609.5</v>
      </c>
      <c r="D462" s="25">
        <f>RANK('Final Sample'!R462,'Final Sample'!$R$2:$R$612,0)+(COUNTIF('Final Sample'!$R$2:$R$612,'Final Sample'!R462)-1)/2</f>
        <v>375</v>
      </c>
      <c r="E462" s="25">
        <f>RANK('Final Sample'!AB462,'Final Sample'!$AB$2:$AB$612,0)+(COUNTIF('Final Sample'!$AB$2:$AB$612,'Final Sample'!AB462)-1)/2</f>
        <v>606</v>
      </c>
      <c r="F462" s="25">
        <f>RANK('Final Sample'!V462,'Final Sample'!$V$2:$V$612,0)+(COUNTIF('Final Sample'!$V$2:$V$612,'Final Sample'!V462)-1)/2</f>
        <v>546.5</v>
      </c>
    </row>
    <row r="463" spans="1:6" ht="15" customHeight="1" x14ac:dyDescent="0.3">
      <c r="A463" s="25">
        <f>RANK('Final Sample'!I463,'Final Sample'!$I$2:$I$612,0)+(COUNTIF('Final Sample'!$I$2:$I$612,'Final Sample'!I463)-1)/2</f>
        <v>441.5</v>
      </c>
      <c r="B463" s="25">
        <f>RANK('Final Sample'!J463,'Final Sample'!$J$2:$J$612,0)+(COUNTIF('Final Sample'!$J$2:$J$612,'Final Sample'!J463)-1)/2</f>
        <v>359</v>
      </c>
      <c r="C463" s="25">
        <f>RANK('Final Sample'!AA463,'Final Sample'!$AA$2:$AA$612,0)+(COUNTIF('Final Sample'!$AA$2:$AA$612,'Final Sample'!AA463)-1)/2</f>
        <v>231</v>
      </c>
      <c r="D463" s="25">
        <f>RANK('Final Sample'!R463,'Final Sample'!$R$2:$R$612,0)+(COUNTIF('Final Sample'!$R$2:$R$612,'Final Sample'!R463)-1)/2</f>
        <v>465</v>
      </c>
      <c r="E463" s="25">
        <f>RANK('Final Sample'!AB463,'Final Sample'!$AB$2:$AB$612,0)+(COUNTIF('Final Sample'!$AB$2:$AB$612,'Final Sample'!AB463)-1)/2</f>
        <v>392</v>
      </c>
      <c r="F463" s="25">
        <f>RANK('Final Sample'!V463,'Final Sample'!$V$2:$V$612,0)+(COUNTIF('Final Sample'!$V$2:$V$612,'Final Sample'!V463)-1)/2</f>
        <v>538.5</v>
      </c>
    </row>
    <row r="464" spans="1:6" ht="15" customHeight="1" x14ac:dyDescent="0.3">
      <c r="A464" s="25">
        <f>RANK('Final Sample'!I464,'Final Sample'!$I$2:$I$612,0)+(COUNTIF('Final Sample'!$I$2:$I$612,'Final Sample'!I464)-1)/2</f>
        <v>441.5</v>
      </c>
      <c r="B464" s="25">
        <f>RANK('Final Sample'!J464,'Final Sample'!$J$2:$J$612,0)+(COUNTIF('Final Sample'!$J$2:$J$612,'Final Sample'!J464)-1)/2</f>
        <v>359</v>
      </c>
      <c r="C464" s="25">
        <f>RANK('Final Sample'!AA464,'Final Sample'!$AA$2:$AA$612,0)+(COUNTIF('Final Sample'!$AA$2:$AA$612,'Final Sample'!AA464)-1)/2</f>
        <v>171</v>
      </c>
      <c r="D464" s="25">
        <f>RANK('Final Sample'!R464,'Final Sample'!$R$2:$R$612,0)+(COUNTIF('Final Sample'!$R$2:$R$612,'Final Sample'!R464)-1)/2</f>
        <v>472</v>
      </c>
      <c r="E464" s="25">
        <f>RANK('Final Sample'!AB464,'Final Sample'!$AB$2:$AB$612,0)+(COUNTIF('Final Sample'!$AB$2:$AB$612,'Final Sample'!AB464)-1)/2</f>
        <v>224</v>
      </c>
      <c r="F464" s="25">
        <f>RANK('Final Sample'!V464,'Final Sample'!$V$2:$V$612,0)+(COUNTIF('Final Sample'!$V$2:$V$612,'Final Sample'!V464)-1)/2</f>
        <v>530</v>
      </c>
    </row>
    <row r="465" spans="1:6" ht="15" customHeight="1" x14ac:dyDescent="0.3">
      <c r="A465" s="25">
        <f>RANK('Final Sample'!I465,'Final Sample'!$I$2:$I$612,0)+(COUNTIF('Final Sample'!$I$2:$I$612,'Final Sample'!I465)-1)/2</f>
        <v>441.5</v>
      </c>
      <c r="B465" s="25">
        <f>RANK('Final Sample'!J465,'Final Sample'!$J$2:$J$612,0)+(COUNTIF('Final Sample'!$J$2:$J$612,'Final Sample'!J465)-1)/2</f>
        <v>359</v>
      </c>
      <c r="C465" s="25">
        <f>RANK('Final Sample'!AA465,'Final Sample'!$AA$2:$AA$612,0)+(COUNTIF('Final Sample'!$AA$2:$AA$612,'Final Sample'!AA465)-1)/2</f>
        <v>282</v>
      </c>
      <c r="D465" s="25">
        <f>RANK('Final Sample'!R465,'Final Sample'!$R$2:$R$612,0)+(COUNTIF('Final Sample'!$R$2:$R$612,'Final Sample'!R465)-1)/2</f>
        <v>432</v>
      </c>
      <c r="E465" s="25">
        <f>RANK('Final Sample'!AB465,'Final Sample'!$AB$2:$AB$612,0)+(COUNTIF('Final Sample'!$AB$2:$AB$612,'Final Sample'!AB465)-1)/2</f>
        <v>177</v>
      </c>
      <c r="F465" s="25">
        <f>RANK('Final Sample'!V465,'Final Sample'!$V$2:$V$612,0)+(COUNTIF('Final Sample'!$V$2:$V$612,'Final Sample'!V465)-1)/2</f>
        <v>206.5</v>
      </c>
    </row>
    <row r="466" spans="1:6" ht="15" customHeight="1" x14ac:dyDescent="0.3">
      <c r="A466" s="25">
        <f>RANK('Final Sample'!I466,'Final Sample'!$I$2:$I$612,0)+(COUNTIF('Final Sample'!$I$2:$I$612,'Final Sample'!I466)-1)/2</f>
        <v>441.5</v>
      </c>
      <c r="B466" s="25">
        <f>RANK('Final Sample'!J466,'Final Sample'!$J$2:$J$612,0)+(COUNTIF('Final Sample'!$J$2:$J$612,'Final Sample'!J466)-1)/2</f>
        <v>359</v>
      </c>
      <c r="C466" s="25">
        <f>RANK('Final Sample'!AA466,'Final Sample'!$AA$2:$AA$612,0)+(COUNTIF('Final Sample'!$AA$2:$AA$612,'Final Sample'!AA466)-1)/2</f>
        <v>205</v>
      </c>
      <c r="D466" s="25">
        <f>RANK('Final Sample'!R466,'Final Sample'!$R$2:$R$612,0)+(COUNTIF('Final Sample'!$R$2:$R$612,'Final Sample'!R466)-1)/2</f>
        <v>491</v>
      </c>
      <c r="E466" s="25">
        <f>RANK('Final Sample'!AB466,'Final Sample'!$AB$2:$AB$612,0)+(COUNTIF('Final Sample'!$AB$2:$AB$612,'Final Sample'!AB466)-1)/2</f>
        <v>268</v>
      </c>
      <c r="F466" s="25">
        <f>RANK('Final Sample'!V466,'Final Sample'!$V$2:$V$612,0)+(COUNTIF('Final Sample'!$V$2:$V$612,'Final Sample'!V466)-1)/2</f>
        <v>195.5</v>
      </c>
    </row>
    <row r="467" spans="1:6" ht="15" customHeight="1" x14ac:dyDescent="0.3">
      <c r="A467" s="25">
        <f>RANK('Final Sample'!I467,'Final Sample'!$I$2:$I$612,0)+(COUNTIF('Final Sample'!$I$2:$I$612,'Final Sample'!I467)-1)/2</f>
        <v>132</v>
      </c>
      <c r="B467" s="25">
        <f>RANK('Final Sample'!J467,'Final Sample'!$J$2:$J$612,0)+(COUNTIF('Final Sample'!$J$2:$J$612,'Final Sample'!J467)-1)/2</f>
        <v>64.5</v>
      </c>
      <c r="C467" s="25">
        <f>RANK('Final Sample'!AA467,'Final Sample'!$AA$2:$AA$612,0)+(COUNTIF('Final Sample'!$AA$2:$AA$612,'Final Sample'!AA467)-1)/2</f>
        <v>455</v>
      </c>
      <c r="D467" s="25">
        <f>RANK('Final Sample'!R467,'Final Sample'!$R$2:$R$612,0)+(COUNTIF('Final Sample'!$R$2:$R$612,'Final Sample'!R467)-1)/2</f>
        <v>486</v>
      </c>
      <c r="E467" s="25">
        <f>RANK('Final Sample'!AB467,'Final Sample'!$AB$2:$AB$612,0)+(COUNTIF('Final Sample'!$AB$2:$AB$612,'Final Sample'!AB467)-1)/2</f>
        <v>405</v>
      </c>
      <c r="F467" s="25">
        <f>RANK('Final Sample'!V467,'Final Sample'!$V$2:$V$612,0)+(COUNTIF('Final Sample'!$V$2:$V$612,'Final Sample'!V467)-1)/2</f>
        <v>186.5</v>
      </c>
    </row>
    <row r="468" spans="1:6" ht="15" customHeight="1" x14ac:dyDescent="0.3">
      <c r="A468" s="25">
        <f>RANK('Final Sample'!I468,'Final Sample'!$I$2:$I$612,0)+(COUNTIF('Final Sample'!$I$2:$I$612,'Final Sample'!I468)-1)/2</f>
        <v>132</v>
      </c>
      <c r="B468" s="25">
        <f>RANK('Final Sample'!J468,'Final Sample'!$J$2:$J$612,0)+(COUNTIF('Final Sample'!$J$2:$J$612,'Final Sample'!J468)-1)/2</f>
        <v>64.5</v>
      </c>
      <c r="C468" s="25">
        <f>RANK('Final Sample'!AA468,'Final Sample'!$AA$2:$AA$612,0)+(COUNTIF('Final Sample'!$AA$2:$AA$612,'Final Sample'!AA468)-1)/2</f>
        <v>263</v>
      </c>
      <c r="D468" s="25">
        <f>RANK('Final Sample'!R468,'Final Sample'!$R$2:$R$612,0)+(COUNTIF('Final Sample'!$R$2:$R$612,'Final Sample'!R468)-1)/2</f>
        <v>477</v>
      </c>
      <c r="E468" s="25">
        <f>RANK('Final Sample'!AB468,'Final Sample'!$AB$2:$AB$612,0)+(COUNTIF('Final Sample'!$AB$2:$AB$612,'Final Sample'!AB468)-1)/2</f>
        <v>560</v>
      </c>
      <c r="F468" s="25">
        <f>RANK('Final Sample'!V468,'Final Sample'!$V$2:$V$612,0)+(COUNTIF('Final Sample'!$V$2:$V$612,'Final Sample'!V468)-1)/2</f>
        <v>179.5</v>
      </c>
    </row>
    <row r="469" spans="1:6" ht="15" customHeight="1" x14ac:dyDescent="0.3">
      <c r="A469" s="25">
        <f>RANK('Final Sample'!I469,'Final Sample'!$I$2:$I$612,0)+(COUNTIF('Final Sample'!$I$2:$I$612,'Final Sample'!I469)-1)/2</f>
        <v>132</v>
      </c>
      <c r="B469" s="25">
        <f>RANK('Final Sample'!J469,'Final Sample'!$J$2:$J$612,0)+(COUNTIF('Final Sample'!$J$2:$J$612,'Final Sample'!J469)-1)/2</f>
        <v>64.5</v>
      </c>
      <c r="C469" s="25">
        <f>RANK('Final Sample'!AA469,'Final Sample'!$AA$2:$AA$612,0)+(COUNTIF('Final Sample'!$AA$2:$AA$612,'Final Sample'!AA469)-1)/2</f>
        <v>157</v>
      </c>
      <c r="D469" s="25">
        <f>RANK('Final Sample'!R469,'Final Sample'!$R$2:$R$612,0)+(COUNTIF('Final Sample'!$R$2:$R$612,'Final Sample'!R469)-1)/2</f>
        <v>454</v>
      </c>
      <c r="E469" s="25">
        <f>RANK('Final Sample'!AB469,'Final Sample'!$AB$2:$AB$612,0)+(COUNTIF('Final Sample'!$AB$2:$AB$612,'Final Sample'!AB469)-1)/2</f>
        <v>517</v>
      </c>
      <c r="F469" s="25">
        <f>RANK('Final Sample'!V469,'Final Sample'!$V$2:$V$612,0)+(COUNTIF('Final Sample'!$V$2:$V$612,'Final Sample'!V469)-1)/2</f>
        <v>174</v>
      </c>
    </row>
    <row r="470" spans="1:6" ht="15" customHeight="1" x14ac:dyDescent="0.3">
      <c r="A470" s="25">
        <f>RANK('Final Sample'!I470,'Final Sample'!$I$2:$I$612,0)+(COUNTIF('Final Sample'!$I$2:$I$612,'Final Sample'!I470)-1)/2</f>
        <v>441.5</v>
      </c>
      <c r="B470" s="25">
        <f>RANK('Final Sample'!J470,'Final Sample'!$J$2:$J$612,0)+(COUNTIF('Final Sample'!$J$2:$J$612,'Final Sample'!J470)-1)/2</f>
        <v>359</v>
      </c>
      <c r="C470" s="25">
        <f>RANK('Final Sample'!AA470,'Final Sample'!$AA$2:$AA$612,0)+(COUNTIF('Final Sample'!$AA$2:$AA$612,'Final Sample'!AA470)-1)/2</f>
        <v>114</v>
      </c>
      <c r="D470" s="25">
        <f>RANK('Final Sample'!R470,'Final Sample'!$R$2:$R$612,0)+(COUNTIF('Final Sample'!$R$2:$R$612,'Final Sample'!R470)-1)/2</f>
        <v>478</v>
      </c>
      <c r="E470" s="25">
        <f>RANK('Final Sample'!AB470,'Final Sample'!$AB$2:$AB$612,0)+(COUNTIF('Final Sample'!$AB$2:$AB$612,'Final Sample'!AB470)-1)/2</f>
        <v>20</v>
      </c>
      <c r="F470" s="25">
        <f>RANK('Final Sample'!V470,'Final Sample'!$V$2:$V$612,0)+(COUNTIF('Final Sample'!$V$2:$V$612,'Final Sample'!V470)-1)/2</f>
        <v>97.5</v>
      </c>
    </row>
    <row r="471" spans="1:6" ht="15" customHeight="1" x14ac:dyDescent="0.3">
      <c r="A471" s="25">
        <f>RANK('Final Sample'!I471,'Final Sample'!$I$2:$I$612,0)+(COUNTIF('Final Sample'!$I$2:$I$612,'Final Sample'!I471)-1)/2</f>
        <v>441.5</v>
      </c>
      <c r="B471" s="25">
        <f>RANK('Final Sample'!J471,'Final Sample'!$J$2:$J$612,0)+(COUNTIF('Final Sample'!$J$2:$J$612,'Final Sample'!J471)-1)/2</f>
        <v>359</v>
      </c>
      <c r="C471" s="25">
        <f>RANK('Final Sample'!AA471,'Final Sample'!$AA$2:$AA$612,0)+(COUNTIF('Final Sample'!$AA$2:$AA$612,'Final Sample'!AA471)-1)/2</f>
        <v>118</v>
      </c>
      <c r="D471" s="25">
        <f>RANK('Final Sample'!R471,'Final Sample'!$R$2:$R$612,0)+(COUNTIF('Final Sample'!$R$2:$R$612,'Final Sample'!R471)-1)/2</f>
        <v>475.5</v>
      </c>
      <c r="E471" s="25">
        <f>RANK('Final Sample'!AB471,'Final Sample'!$AB$2:$AB$612,0)+(COUNTIF('Final Sample'!$AB$2:$AB$612,'Final Sample'!AB471)-1)/2</f>
        <v>22</v>
      </c>
      <c r="F471" s="25">
        <f>RANK('Final Sample'!V471,'Final Sample'!$V$2:$V$612,0)+(COUNTIF('Final Sample'!$V$2:$V$612,'Final Sample'!V471)-1)/2</f>
        <v>83</v>
      </c>
    </row>
    <row r="472" spans="1:6" ht="15" customHeight="1" x14ac:dyDescent="0.3">
      <c r="A472" s="25">
        <f>RANK('Final Sample'!I472,'Final Sample'!$I$2:$I$612,0)+(COUNTIF('Final Sample'!$I$2:$I$612,'Final Sample'!I472)-1)/2</f>
        <v>441.5</v>
      </c>
      <c r="B472" s="25">
        <f>RANK('Final Sample'!J472,'Final Sample'!$J$2:$J$612,0)+(COUNTIF('Final Sample'!$J$2:$J$612,'Final Sample'!J472)-1)/2</f>
        <v>359</v>
      </c>
      <c r="C472" s="25">
        <f>RANK('Final Sample'!AA472,'Final Sample'!$AA$2:$AA$612,0)+(COUNTIF('Final Sample'!$AA$2:$AA$612,'Final Sample'!AA472)-1)/2</f>
        <v>111</v>
      </c>
      <c r="D472" s="25">
        <f>RANK('Final Sample'!R472,'Final Sample'!$R$2:$R$612,0)+(COUNTIF('Final Sample'!$R$2:$R$612,'Final Sample'!R472)-1)/2</f>
        <v>466</v>
      </c>
      <c r="E472" s="25">
        <f>RANK('Final Sample'!AB472,'Final Sample'!$AB$2:$AB$612,0)+(COUNTIF('Final Sample'!$AB$2:$AB$612,'Final Sample'!AB472)-1)/2</f>
        <v>21</v>
      </c>
      <c r="F472" s="25">
        <f>RANK('Final Sample'!V472,'Final Sample'!$V$2:$V$612,0)+(COUNTIF('Final Sample'!$V$2:$V$612,'Final Sample'!V472)-1)/2</f>
        <v>71.5</v>
      </c>
    </row>
    <row r="473" spans="1:6" ht="15" customHeight="1" x14ac:dyDescent="0.3">
      <c r="A473" s="25">
        <f>RANK('Final Sample'!I473,'Final Sample'!$I$2:$I$612,0)+(COUNTIF('Final Sample'!$I$2:$I$612,'Final Sample'!I473)-1)/2</f>
        <v>236</v>
      </c>
      <c r="B473" s="25">
        <f>RANK('Final Sample'!J473,'Final Sample'!$J$2:$J$612,0)+(COUNTIF('Final Sample'!$J$2:$J$612,'Final Sample'!J473)-1)/2</f>
        <v>359</v>
      </c>
      <c r="C473" s="25">
        <f>RANK('Final Sample'!AA473,'Final Sample'!$AA$2:$AA$612,0)+(COUNTIF('Final Sample'!$AA$2:$AA$612,'Final Sample'!AA473)-1)/2</f>
        <v>116</v>
      </c>
      <c r="D473" s="25">
        <f>RANK('Final Sample'!R473,'Final Sample'!$R$2:$R$612,0)+(COUNTIF('Final Sample'!$R$2:$R$612,'Final Sample'!R473)-1)/2</f>
        <v>447</v>
      </c>
      <c r="E473" s="25">
        <f>RANK('Final Sample'!AB473,'Final Sample'!$AB$2:$AB$612,0)+(COUNTIF('Final Sample'!$AB$2:$AB$612,'Final Sample'!AB473)-1)/2</f>
        <v>27</v>
      </c>
      <c r="F473" s="25">
        <f>RANK('Final Sample'!V473,'Final Sample'!$V$2:$V$612,0)+(COUNTIF('Final Sample'!$V$2:$V$612,'Final Sample'!V473)-1)/2</f>
        <v>63</v>
      </c>
    </row>
    <row r="474" spans="1:6" ht="15" customHeight="1" x14ac:dyDescent="0.3">
      <c r="A474" s="25">
        <f>RANK('Final Sample'!I474,'Final Sample'!$I$2:$I$612,0)+(COUNTIF('Final Sample'!$I$2:$I$612,'Final Sample'!I474)-1)/2</f>
        <v>236</v>
      </c>
      <c r="B474" s="25">
        <f>RANK('Final Sample'!J474,'Final Sample'!$J$2:$J$612,0)+(COUNTIF('Final Sample'!$J$2:$J$612,'Final Sample'!J474)-1)/2</f>
        <v>359</v>
      </c>
      <c r="C474" s="25">
        <f>RANK('Final Sample'!AA474,'Final Sample'!$AA$2:$AA$612,0)+(COUNTIF('Final Sample'!$AA$2:$AA$612,'Final Sample'!AA474)-1)/2</f>
        <v>193</v>
      </c>
      <c r="D474" s="25">
        <f>RANK('Final Sample'!R474,'Final Sample'!$R$2:$R$612,0)+(COUNTIF('Final Sample'!$R$2:$R$612,'Final Sample'!R474)-1)/2</f>
        <v>390</v>
      </c>
      <c r="E474" s="25">
        <f>RANK('Final Sample'!AB474,'Final Sample'!$AB$2:$AB$612,0)+(COUNTIF('Final Sample'!$AB$2:$AB$612,'Final Sample'!AB474)-1)/2</f>
        <v>39</v>
      </c>
      <c r="F474" s="25">
        <f>RANK('Final Sample'!V474,'Final Sample'!$V$2:$V$612,0)+(COUNTIF('Final Sample'!$V$2:$V$612,'Final Sample'!V474)-1)/2</f>
        <v>57</v>
      </c>
    </row>
    <row r="475" spans="1:6" ht="15" customHeight="1" x14ac:dyDescent="0.3">
      <c r="A475" s="25">
        <f>RANK('Final Sample'!I475,'Final Sample'!$I$2:$I$612,0)+(COUNTIF('Final Sample'!$I$2:$I$612,'Final Sample'!I475)-1)/2</f>
        <v>441.5</v>
      </c>
      <c r="B475" s="25">
        <f>RANK('Final Sample'!J475,'Final Sample'!$J$2:$J$612,0)+(COUNTIF('Final Sample'!$J$2:$J$612,'Final Sample'!J475)-1)/2</f>
        <v>359</v>
      </c>
      <c r="C475" s="25">
        <f>RANK('Final Sample'!AA475,'Final Sample'!$AA$2:$AA$612,0)+(COUNTIF('Final Sample'!$AA$2:$AA$612,'Final Sample'!AA475)-1)/2</f>
        <v>482</v>
      </c>
      <c r="D475" s="25">
        <f>RANK('Final Sample'!R475,'Final Sample'!$R$2:$R$612,0)+(COUNTIF('Final Sample'!$R$2:$R$612,'Final Sample'!R475)-1)/2</f>
        <v>359</v>
      </c>
      <c r="E475" s="25">
        <f>RANK('Final Sample'!AB475,'Final Sample'!$AB$2:$AB$612,0)+(COUNTIF('Final Sample'!$AB$2:$AB$612,'Final Sample'!AB475)-1)/2</f>
        <v>158</v>
      </c>
      <c r="F475" s="25">
        <f>RANK('Final Sample'!V475,'Final Sample'!$V$2:$V$612,0)+(COUNTIF('Final Sample'!$V$2:$V$612,'Final Sample'!V475)-1)/2</f>
        <v>206.5</v>
      </c>
    </row>
    <row r="476" spans="1:6" ht="15" customHeight="1" x14ac:dyDescent="0.3">
      <c r="A476" s="25">
        <f>RANK('Final Sample'!I476,'Final Sample'!$I$2:$I$612,0)+(COUNTIF('Final Sample'!$I$2:$I$612,'Final Sample'!I476)-1)/2</f>
        <v>441.5</v>
      </c>
      <c r="B476" s="25">
        <f>RANK('Final Sample'!J476,'Final Sample'!$J$2:$J$612,0)+(COUNTIF('Final Sample'!$J$2:$J$612,'Final Sample'!J476)-1)/2</f>
        <v>359</v>
      </c>
      <c r="C476" s="25">
        <f>RANK('Final Sample'!AA476,'Final Sample'!$AA$2:$AA$612,0)+(COUNTIF('Final Sample'!$AA$2:$AA$612,'Final Sample'!AA476)-1)/2</f>
        <v>503</v>
      </c>
      <c r="D476" s="25">
        <f>RANK('Final Sample'!R476,'Final Sample'!$R$2:$R$612,0)+(COUNTIF('Final Sample'!$R$2:$R$612,'Final Sample'!R476)-1)/2</f>
        <v>399.5</v>
      </c>
      <c r="E476" s="25">
        <f>RANK('Final Sample'!AB476,'Final Sample'!$AB$2:$AB$612,0)+(COUNTIF('Final Sample'!$AB$2:$AB$612,'Final Sample'!AB476)-1)/2</f>
        <v>201</v>
      </c>
      <c r="F476" s="25">
        <f>RANK('Final Sample'!V476,'Final Sample'!$V$2:$V$612,0)+(COUNTIF('Final Sample'!$V$2:$V$612,'Final Sample'!V476)-1)/2</f>
        <v>195.5</v>
      </c>
    </row>
    <row r="477" spans="1:6" ht="15" customHeight="1" x14ac:dyDescent="0.3">
      <c r="A477" s="25">
        <f>RANK('Final Sample'!I477,'Final Sample'!$I$2:$I$612,0)+(COUNTIF('Final Sample'!$I$2:$I$612,'Final Sample'!I477)-1)/2</f>
        <v>441.5</v>
      </c>
      <c r="B477" s="25">
        <f>RANK('Final Sample'!J477,'Final Sample'!$J$2:$J$612,0)+(COUNTIF('Final Sample'!$J$2:$J$612,'Final Sample'!J477)-1)/2</f>
        <v>359</v>
      </c>
      <c r="C477" s="25">
        <f>RANK('Final Sample'!AA477,'Final Sample'!$AA$2:$AA$612,0)+(COUNTIF('Final Sample'!$AA$2:$AA$612,'Final Sample'!AA477)-1)/2</f>
        <v>427</v>
      </c>
      <c r="D477" s="25">
        <f>RANK('Final Sample'!R477,'Final Sample'!$R$2:$R$612,0)+(COUNTIF('Final Sample'!$R$2:$R$612,'Final Sample'!R477)-1)/2</f>
        <v>420</v>
      </c>
      <c r="E477" s="25">
        <f>RANK('Final Sample'!AB477,'Final Sample'!$AB$2:$AB$612,0)+(COUNTIF('Final Sample'!$AB$2:$AB$612,'Final Sample'!AB477)-1)/2</f>
        <v>174</v>
      </c>
      <c r="F477" s="25">
        <f>RANK('Final Sample'!V477,'Final Sample'!$V$2:$V$612,0)+(COUNTIF('Final Sample'!$V$2:$V$612,'Final Sample'!V477)-1)/2</f>
        <v>186.5</v>
      </c>
    </row>
    <row r="478" spans="1:6" ht="15" customHeight="1" x14ac:dyDescent="0.3">
      <c r="A478" s="25">
        <f>RANK('Final Sample'!I478,'Final Sample'!$I$2:$I$612,0)+(COUNTIF('Final Sample'!$I$2:$I$612,'Final Sample'!I478)-1)/2</f>
        <v>441.5</v>
      </c>
      <c r="B478" s="25">
        <f>RANK('Final Sample'!J478,'Final Sample'!$J$2:$J$612,0)+(COUNTIF('Final Sample'!$J$2:$J$612,'Final Sample'!J478)-1)/2</f>
        <v>359</v>
      </c>
      <c r="C478" s="25">
        <f>RANK('Final Sample'!AA478,'Final Sample'!$AA$2:$AA$612,0)+(COUNTIF('Final Sample'!$AA$2:$AA$612,'Final Sample'!AA478)-1)/2</f>
        <v>480</v>
      </c>
      <c r="D478" s="25">
        <f>RANK('Final Sample'!R478,'Final Sample'!$R$2:$R$612,0)+(COUNTIF('Final Sample'!$R$2:$R$612,'Final Sample'!R478)-1)/2</f>
        <v>453</v>
      </c>
      <c r="E478" s="25">
        <f>RANK('Final Sample'!AB478,'Final Sample'!$AB$2:$AB$612,0)+(COUNTIF('Final Sample'!$AB$2:$AB$612,'Final Sample'!AB478)-1)/2</f>
        <v>221</v>
      </c>
      <c r="F478" s="25">
        <f>RANK('Final Sample'!V478,'Final Sample'!$V$2:$V$612,0)+(COUNTIF('Final Sample'!$V$2:$V$612,'Final Sample'!V478)-1)/2</f>
        <v>179.5</v>
      </c>
    </row>
    <row r="479" spans="1:6" ht="15" customHeight="1" x14ac:dyDescent="0.3">
      <c r="A479" s="25">
        <f>RANK('Final Sample'!I479,'Final Sample'!$I$2:$I$612,0)+(COUNTIF('Final Sample'!$I$2:$I$612,'Final Sample'!I479)-1)/2</f>
        <v>441.5</v>
      </c>
      <c r="B479" s="25">
        <f>RANK('Final Sample'!J479,'Final Sample'!$J$2:$J$612,0)+(COUNTIF('Final Sample'!$J$2:$J$612,'Final Sample'!J479)-1)/2</f>
        <v>359</v>
      </c>
      <c r="C479" s="25">
        <f>RANK('Final Sample'!AA479,'Final Sample'!$AA$2:$AA$612,0)+(COUNTIF('Final Sample'!$AA$2:$AA$612,'Final Sample'!AA479)-1)/2</f>
        <v>331</v>
      </c>
      <c r="D479" s="25">
        <f>RANK('Final Sample'!R479,'Final Sample'!$R$2:$R$612,0)+(COUNTIF('Final Sample'!$R$2:$R$612,'Final Sample'!R479)-1)/2</f>
        <v>364</v>
      </c>
      <c r="E479" s="25">
        <f>RANK('Final Sample'!AB479,'Final Sample'!$AB$2:$AB$612,0)+(COUNTIF('Final Sample'!$AB$2:$AB$612,'Final Sample'!AB479)-1)/2</f>
        <v>173</v>
      </c>
      <c r="F479" s="25">
        <f>RANK('Final Sample'!V479,'Final Sample'!$V$2:$V$612,0)+(COUNTIF('Final Sample'!$V$2:$V$612,'Final Sample'!V479)-1)/2</f>
        <v>174</v>
      </c>
    </row>
    <row r="480" spans="1:6" ht="15" customHeight="1" x14ac:dyDescent="0.3">
      <c r="A480" s="25">
        <f>RANK('Final Sample'!I480,'Final Sample'!$I$2:$I$612,0)+(COUNTIF('Final Sample'!$I$2:$I$612,'Final Sample'!I480)-1)/2</f>
        <v>21</v>
      </c>
      <c r="B480" s="25">
        <f>RANK('Final Sample'!J480,'Final Sample'!$J$2:$J$612,0)+(COUNTIF('Final Sample'!$J$2:$J$612,'Final Sample'!J480)-1)/2</f>
        <v>18.5</v>
      </c>
      <c r="C480" s="25">
        <f>RANK('Final Sample'!AA480,'Final Sample'!$AA$2:$AA$612,0)+(COUNTIF('Final Sample'!$AA$2:$AA$612,'Final Sample'!AA480)-1)/2</f>
        <v>567</v>
      </c>
      <c r="D480" s="25">
        <f>RANK('Final Sample'!R480,'Final Sample'!$R$2:$R$612,0)+(COUNTIF('Final Sample'!$R$2:$R$612,'Final Sample'!R480)-1)/2</f>
        <v>84</v>
      </c>
      <c r="E480" s="25">
        <f>RANK('Final Sample'!AB480,'Final Sample'!$AB$2:$AB$612,0)+(COUNTIF('Final Sample'!$AB$2:$AB$612,'Final Sample'!AB480)-1)/2</f>
        <v>473</v>
      </c>
      <c r="F480" s="25">
        <f>RANK('Final Sample'!V480,'Final Sample'!$V$2:$V$612,0)+(COUNTIF('Final Sample'!$V$2:$V$612,'Final Sample'!V480)-1)/2</f>
        <v>373</v>
      </c>
    </row>
    <row r="481" spans="1:6" ht="15" customHeight="1" x14ac:dyDescent="0.3">
      <c r="A481" s="25">
        <f>RANK('Final Sample'!I481,'Final Sample'!$I$2:$I$612,0)+(COUNTIF('Final Sample'!$I$2:$I$612,'Final Sample'!I481)-1)/2</f>
        <v>21</v>
      </c>
      <c r="B481" s="25">
        <f>RANK('Final Sample'!J481,'Final Sample'!$J$2:$J$612,0)+(COUNTIF('Final Sample'!$J$2:$J$612,'Final Sample'!J481)-1)/2</f>
        <v>18.5</v>
      </c>
      <c r="C481" s="25">
        <f>RANK('Final Sample'!AA481,'Final Sample'!$AA$2:$AA$612,0)+(COUNTIF('Final Sample'!$AA$2:$AA$612,'Final Sample'!AA481)-1)/2</f>
        <v>564</v>
      </c>
      <c r="D481" s="25">
        <f>RANK('Final Sample'!R481,'Final Sample'!$R$2:$R$612,0)+(COUNTIF('Final Sample'!$R$2:$R$612,'Final Sample'!R481)-1)/2</f>
        <v>81</v>
      </c>
      <c r="E481" s="25">
        <f>RANK('Final Sample'!AB481,'Final Sample'!$AB$2:$AB$612,0)+(COUNTIF('Final Sample'!$AB$2:$AB$612,'Final Sample'!AB481)-1)/2</f>
        <v>460</v>
      </c>
      <c r="F481" s="25">
        <f>RANK('Final Sample'!V481,'Final Sample'!$V$2:$V$612,0)+(COUNTIF('Final Sample'!$V$2:$V$612,'Final Sample'!V481)-1)/2</f>
        <v>356.5</v>
      </c>
    </row>
    <row r="482" spans="1:6" ht="15" customHeight="1" x14ac:dyDescent="0.3">
      <c r="A482" s="25">
        <f>RANK('Final Sample'!I482,'Final Sample'!$I$2:$I$612,0)+(COUNTIF('Final Sample'!$I$2:$I$612,'Final Sample'!I482)-1)/2</f>
        <v>21</v>
      </c>
      <c r="B482" s="25">
        <f>RANK('Final Sample'!J482,'Final Sample'!$J$2:$J$612,0)+(COUNTIF('Final Sample'!$J$2:$J$612,'Final Sample'!J482)-1)/2</f>
        <v>18.5</v>
      </c>
      <c r="C482" s="25">
        <f>RANK('Final Sample'!AA482,'Final Sample'!$AA$2:$AA$612,0)+(COUNTIF('Final Sample'!$AA$2:$AA$612,'Final Sample'!AA482)-1)/2</f>
        <v>552</v>
      </c>
      <c r="D482" s="25">
        <f>RANK('Final Sample'!R482,'Final Sample'!$R$2:$R$612,0)+(COUNTIF('Final Sample'!$R$2:$R$612,'Final Sample'!R482)-1)/2</f>
        <v>62</v>
      </c>
      <c r="E482" s="25">
        <f>RANK('Final Sample'!AB482,'Final Sample'!$AB$2:$AB$612,0)+(COUNTIF('Final Sample'!$AB$2:$AB$612,'Final Sample'!AB482)-1)/2</f>
        <v>459</v>
      </c>
      <c r="F482" s="25">
        <f>RANK('Final Sample'!V482,'Final Sample'!$V$2:$V$612,0)+(COUNTIF('Final Sample'!$V$2:$V$612,'Final Sample'!V482)-1)/2</f>
        <v>344</v>
      </c>
    </row>
    <row r="483" spans="1:6" ht="15" customHeight="1" x14ac:dyDescent="0.3">
      <c r="A483" s="25">
        <f>RANK('Final Sample'!I483,'Final Sample'!$I$2:$I$612,0)+(COUNTIF('Final Sample'!$I$2:$I$612,'Final Sample'!I483)-1)/2</f>
        <v>21</v>
      </c>
      <c r="B483" s="25">
        <f>RANK('Final Sample'!J483,'Final Sample'!$J$2:$J$612,0)+(COUNTIF('Final Sample'!$J$2:$J$612,'Final Sample'!J483)-1)/2</f>
        <v>18.5</v>
      </c>
      <c r="C483" s="25">
        <f>RANK('Final Sample'!AA483,'Final Sample'!$AA$2:$AA$612,0)+(COUNTIF('Final Sample'!$AA$2:$AA$612,'Final Sample'!AA483)-1)/2</f>
        <v>437</v>
      </c>
      <c r="D483" s="25">
        <f>RANK('Final Sample'!R483,'Final Sample'!$R$2:$R$612,0)+(COUNTIF('Final Sample'!$R$2:$R$612,'Final Sample'!R483)-1)/2</f>
        <v>27</v>
      </c>
      <c r="E483" s="25">
        <f>RANK('Final Sample'!AB483,'Final Sample'!$AB$2:$AB$612,0)+(COUNTIF('Final Sample'!$AB$2:$AB$612,'Final Sample'!AB483)-1)/2</f>
        <v>264</v>
      </c>
      <c r="F483" s="25">
        <f>RANK('Final Sample'!V483,'Final Sample'!$V$2:$V$612,0)+(COUNTIF('Final Sample'!$V$2:$V$612,'Final Sample'!V483)-1)/2</f>
        <v>335</v>
      </c>
    </row>
    <row r="484" spans="1:6" ht="15" customHeight="1" x14ac:dyDescent="0.3">
      <c r="A484" s="25">
        <f>RANK('Final Sample'!I484,'Final Sample'!$I$2:$I$612,0)+(COUNTIF('Final Sample'!$I$2:$I$612,'Final Sample'!I484)-1)/2</f>
        <v>21</v>
      </c>
      <c r="B484" s="25">
        <f>RANK('Final Sample'!J484,'Final Sample'!$J$2:$J$612,0)+(COUNTIF('Final Sample'!$J$2:$J$612,'Final Sample'!J484)-1)/2</f>
        <v>18.5</v>
      </c>
      <c r="C484" s="25">
        <f>RANK('Final Sample'!AA484,'Final Sample'!$AA$2:$AA$612,0)+(COUNTIF('Final Sample'!$AA$2:$AA$612,'Final Sample'!AA484)-1)/2</f>
        <v>321</v>
      </c>
      <c r="D484" s="25">
        <f>RANK('Final Sample'!R484,'Final Sample'!$R$2:$R$612,0)+(COUNTIF('Final Sample'!$R$2:$R$612,'Final Sample'!R484)-1)/2</f>
        <v>34</v>
      </c>
      <c r="E484" s="25">
        <f>RANK('Final Sample'!AB484,'Final Sample'!$AB$2:$AB$612,0)+(COUNTIF('Final Sample'!$AB$2:$AB$612,'Final Sample'!AB484)-1)/2</f>
        <v>281</v>
      </c>
      <c r="F484" s="25">
        <f>RANK('Final Sample'!V484,'Final Sample'!$V$2:$V$612,0)+(COUNTIF('Final Sample'!$V$2:$V$612,'Final Sample'!V484)-1)/2</f>
        <v>326</v>
      </c>
    </row>
    <row r="485" spans="1:6" ht="15" customHeight="1" x14ac:dyDescent="0.3">
      <c r="A485" s="25">
        <f>RANK('Final Sample'!I485,'Final Sample'!$I$2:$I$612,0)+(COUNTIF('Final Sample'!$I$2:$I$612,'Final Sample'!I485)-1)/2</f>
        <v>236</v>
      </c>
      <c r="B485" s="25">
        <f>RANK('Final Sample'!J485,'Final Sample'!$J$2:$J$612,0)+(COUNTIF('Final Sample'!$J$2:$J$612,'Final Sample'!J485)-1)/2</f>
        <v>359</v>
      </c>
      <c r="C485" s="25">
        <f>RANK('Final Sample'!AA485,'Final Sample'!$AA$2:$AA$612,0)+(COUNTIF('Final Sample'!$AA$2:$AA$612,'Final Sample'!AA485)-1)/2</f>
        <v>599</v>
      </c>
      <c r="D485" s="25">
        <f>RANK('Final Sample'!R485,'Final Sample'!$R$2:$R$612,0)+(COUNTIF('Final Sample'!$R$2:$R$612,'Final Sample'!R485)-1)/2</f>
        <v>351</v>
      </c>
      <c r="E485" s="25">
        <f>RANK('Final Sample'!AB485,'Final Sample'!$AB$2:$AB$612,0)+(COUNTIF('Final Sample'!$AB$2:$AB$612,'Final Sample'!AB485)-1)/2</f>
        <v>593</v>
      </c>
      <c r="F485" s="25">
        <f>RANK('Final Sample'!V485,'Final Sample'!$V$2:$V$612,0)+(COUNTIF('Final Sample'!$V$2:$V$612,'Final Sample'!V485)-1)/2</f>
        <v>569.5</v>
      </c>
    </row>
    <row r="486" spans="1:6" ht="15" customHeight="1" x14ac:dyDescent="0.3">
      <c r="A486" s="25">
        <f>RANK('Final Sample'!I486,'Final Sample'!$I$2:$I$612,0)+(COUNTIF('Final Sample'!$I$2:$I$612,'Final Sample'!I486)-1)/2</f>
        <v>236</v>
      </c>
      <c r="B486" s="25">
        <f>RANK('Final Sample'!J486,'Final Sample'!$J$2:$J$612,0)+(COUNTIF('Final Sample'!$J$2:$J$612,'Final Sample'!J486)-1)/2</f>
        <v>359</v>
      </c>
      <c r="C486" s="25">
        <f>RANK('Final Sample'!AA486,'Final Sample'!$AA$2:$AA$612,0)+(COUNTIF('Final Sample'!$AA$2:$AA$612,'Final Sample'!AA486)-1)/2</f>
        <v>591</v>
      </c>
      <c r="D486" s="25">
        <f>RANK('Final Sample'!R486,'Final Sample'!$R$2:$R$612,0)+(COUNTIF('Final Sample'!$R$2:$R$612,'Final Sample'!R486)-1)/2</f>
        <v>334</v>
      </c>
      <c r="E486" s="25">
        <f>RANK('Final Sample'!AB486,'Final Sample'!$AB$2:$AB$612,0)+(COUNTIF('Final Sample'!$AB$2:$AB$612,'Final Sample'!AB486)-1)/2</f>
        <v>555</v>
      </c>
      <c r="F486" s="25">
        <f>RANK('Final Sample'!V486,'Final Sample'!$V$2:$V$612,0)+(COUNTIF('Final Sample'!$V$2:$V$612,'Final Sample'!V486)-1)/2</f>
        <v>561</v>
      </c>
    </row>
    <row r="487" spans="1:6" ht="15" customHeight="1" x14ac:dyDescent="0.3">
      <c r="A487" s="25">
        <f>RANK('Final Sample'!I487,'Final Sample'!$I$2:$I$612,0)+(COUNTIF('Final Sample'!$I$2:$I$612,'Final Sample'!I487)-1)/2</f>
        <v>441.5</v>
      </c>
      <c r="B487" s="25">
        <f>RANK('Final Sample'!J487,'Final Sample'!$J$2:$J$612,0)+(COUNTIF('Final Sample'!$J$2:$J$612,'Final Sample'!J487)-1)/2</f>
        <v>359</v>
      </c>
      <c r="C487" s="25">
        <f>RANK('Final Sample'!AA487,'Final Sample'!$AA$2:$AA$612,0)+(COUNTIF('Final Sample'!$AA$2:$AA$612,'Final Sample'!AA487)-1)/2</f>
        <v>224</v>
      </c>
      <c r="D487" s="25">
        <f>RANK('Final Sample'!R487,'Final Sample'!$R$2:$R$612,0)+(COUNTIF('Final Sample'!$R$2:$R$612,'Final Sample'!R487)-1)/2</f>
        <v>319</v>
      </c>
      <c r="E487" s="25">
        <f>RANK('Final Sample'!AB487,'Final Sample'!$AB$2:$AB$612,0)+(COUNTIF('Final Sample'!$AB$2:$AB$612,'Final Sample'!AB487)-1)/2</f>
        <v>556</v>
      </c>
      <c r="F487" s="25">
        <f>RANK('Final Sample'!V487,'Final Sample'!$V$2:$V$612,0)+(COUNTIF('Final Sample'!$V$2:$V$612,'Final Sample'!V487)-1)/2</f>
        <v>553.5</v>
      </c>
    </row>
    <row r="488" spans="1:6" ht="15" customHeight="1" x14ac:dyDescent="0.3">
      <c r="A488" s="25">
        <f>RANK('Final Sample'!I488,'Final Sample'!$I$2:$I$612,0)+(COUNTIF('Final Sample'!$I$2:$I$612,'Final Sample'!I488)-1)/2</f>
        <v>441.5</v>
      </c>
      <c r="B488" s="25">
        <f>RANK('Final Sample'!J488,'Final Sample'!$J$2:$J$612,0)+(COUNTIF('Final Sample'!$J$2:$J$612,'Final Sample'!J488)-1)/2</f>
        <v>359</v>
      </c>
      <c r="C488" s="25">
        <f>RANK('Final Sample'!AA488,'Final Sample'!$AA$2:$AA$612,0)+(COUNTIF('Final Sample'!$AA$2:$AA$612,'Final Sample'!AA488)-1)/2</f>
        <v>213</v>
      </c>
      <c r="D488" s="25">
        <f>RANK('Final Sample'!R488,'Final Sample'!$R$2:$R$612,0)+(COUNTIF('Final Sample'!$R$2:$R$612,'Final Sample'!R488)-1)/2</f>
        <v>297</v>
      </c>
      <c r="E488" s="25">
        <f>RANK('Final Sample'!AB488,'Final Sample'!$AB$2:$AB$612,0)+(COUNTIF('Final Sample'!$AB$2:$AB$612,'Final Sample'!AB488)-1)/2</f>
        <v>565</v>
      </c>
      <c r="F488" s="25">
        <f>RANK('Final Sample'!V488,'Final Sample'!$V$2:$V$612,0)+(COUNTIF('Final Sample'!$V$2:$V$612,'Final Sample'!V488)-1)/2</f>
        <v>546.5</v>
      </c>
    </row>
    <row r="489" spans="1:6" ht="15" customHeight="1" x14ac:dyDescent="0.3">
      <c r="A489" s="25">
        <f>RANK('Final Sample'!I489,'Final Sample'!$I$2:$I$612,0)+(COUNTIF('Final Sample'!$I$2:$I$612,'Final Sample'!I489)-1)/2</f>
        <v>441.5</v>
      </c>
      <c r="B489" s="25">
        <f>RANK('Final Sample'!J489,'Final Sample'!$J$2:$J$612,0)+(COUNTIF('Final Sample'!$J$2:$J$612,'Final Sample'!J489)-1)/2</f>
        <v>359</v>
      </c>
      <c r="C489" s="25">
        <f>RANK('Final Sample'!AA489,'Final Sample'!$AA$2:$AA$612,0)+(COUNTIF('Final Sample'!$AA$2:$AA$612,'Final Sample'!AA489)-1)/2</f>
        <v>156</v>
      </c>
      <c r="D489" s="25">
        <f>RANK('Final Sample'!R489,'Final Sample'!$R$2:$R$612,0)+(COUNTIF('Final Sample'!$R$2:$R$612,'Final Sample'!R489)-1)/2</f>
        <v>235</v>
      </c>
      <c r="E489" s="25">
        <f>RANK('Final Sample'!AB489,'Final Sample'!$AB$2:$AB$612,0)+(COUNTIF('Final Sample'!$AB$2:$AB$612,'Final Sample'!AB489)-1)/2</f>
        <v>583</v>
      </c>
      <c r="F489" s="25">
        <f>RANK('Final Sample'!V489,'Final Sample'!$V$2:$V$612,0)+(COUNTIF('Final Sample'!$V$2:$V$612,'Final Sample'!V489)-1)/2</f>
        <v>538.5</v>
      </c>
    </row>
    <row r="490" spans="1:6" ht="15" customHeight="1" x14ac:dyDescent="0.3">
      <c r="A490" s="25">
        <f>RANK('Final Sample'!I490,'Final Sample'!$I$2:$I$612,0)+(COUNTIF('Final Sample'!$I$2:$I$612,'Final Sample'!I490)-1)/2</f>
        <v>441.5</v>
      </c>
      <c r="B490" s="25">
        <f>RANK('Final Sample'!J490,'Final Sample'!$J$2:$J$612,0)+(COUNTIF('Final Sample'!$J$2:$J$612,'Final Sample'!J490)-1)/2</f>
        <v>359</v>
      </c>
      <c r="C490" s="25">
        <f>RANK('Final Sample'!AA490,'Final Sample'!$AA$2:$AA$612,0)+(COUNTIF('Final Sample'!$AA$2:$AA$612,'Final Sample'!AA490)-1)/2</f>
        <v>576</v>
      </c>
      <c r="D490" s="25">
        <f>RANK('Final Sample'!R490,'Final Sample'!$R$2:$R$612,0)+(COUNTIF('Final Sample'!$R$2:$R$612,'Final Sample'!R490)-1)/2</f>
        <v>414</v>
      </c>
      <c r="E490" s="25">
        <f>RANK('Final Sample'!AB490,'Final Sample'!$AB$2:$AB$612,0)+(COUNTIF('Final Sample'!$AB$2:$AB$612,'Final Sample'!AB490)-1)/2</f>
        <v>514</v>
      </c>
      <c r="F490" s="25">
        <f>RANK('Final Sample'!V490,'Final Sample'!$V$2:$V$612,0)+(COUNTIF('Final Sample'!$V$2:$V$612,'Final Sample'!V490)-1)/2</f>
        <v>293.5</v>
      </c>
    </row>
    <row r="491" spans="1:6" ht="15" customHeight="1" x14ac:dyDescent="0.3">
      <c r="A491" s="25">
        <f>RANK('Final Sample'!I491,'Final Sample'!$I$2:$I$612,0)+(COUNTIF('Final Sample'!$I$2:$I$612,'Final Sample'!I491)-1)/2</f>
        <v>441.5</v>
      </c>
      <c r="B491" s="25">
        <f>RANK('Final Sample'!J491,'Final Sample'!$J$2:$J$612,0)+(COUNTIF('Final Sample'!$J$2:$J$612,'Final Sample'!J491)-1)/2</f>
        <v>359</v>
      </c>
      <c r="C491" s="25">
        <f>RANK('Final Sample'!AA491,'Final Sample'!$AA$2:$AA$612,0)+(COUNTIF('Final Sample'!$AA$2:$AA$612,'Final Sample'!AA491)-1)/2</f>
        <v>589</v>
      </c>
      <c r="D491" s="25">
        <f>RANK('Final Sample'!R491,'Final Sample'!$R$2:$R$612,0)+(COUNTIF('Final Sample'!$R$2:$R$612,'Final Sample'!R491)-1)/2</f>
        <v>407</v>
      </c>
      <c r="E491" s="25">
        <f>RANK('Final Sample'!AB491,'Final Sample'!$AB$2:$AB$612,0)+(COUNTIF('Final Sample'!$AB$2:$AB$612,'Final Sample'!AB491)-1)/2</f>
        <v>530</v>
      </c>
      <c r="F491" s="25">
        <f>RANK('Final Sample'!V491,'Final Sample'!$V$2:$V$612,0)+(COUNTIF('Final Sample'!$V$2:$V$612,'Final Sample'!V491)-1)/2</f>
        <v>282.5</v>
      </c>
    </row>
    <row r="492" spans="1:6" ht="15" customHeight="1" x14ac:dyDescent="0.3">
      <c r="A492" s="25">
        <f>RANK('Final Sample'!I492,'Final Sample'!$I$2:$I$612,0)+(COUNTIF('Final Sample'!$I$2:$I$612,'Final Sample'!I492)-1)/2</f>
        <v>441.5</v>
      </c>
      <c r="B492" s="25">
        <f>RANK('Final Sample'!J492,'Final Sample'!$J$2:$J$612,0)+(COUNTIF('Final Sample'!$J$2:$J$612,'Final Sample'!J492)-1)/2</f>
        <v>359</v>
      </c>
      <c r="C492" s="25">
        <f>RANK('Final Sample'!AA492,'Final Sample'!$AA$2:$AA$612,0)+(COUNTIF('Final Sample'!$AA$2:$AA$612,'Final Sample'!AA492)-1)/2</f>
        <v>578</v>
      </c>
      <c r="D492" s="25">
        <f>RANK('Final Sample'!R492,'Final Sample'!$R$2:$R$612,0)+(COUNTIF('Final Sample'!$R$2:$R$612,'Final Sample'!R492)-1)/2</f>
        <v>366</v>
      </c>
      <c r="E492" s="25">
        <f>RANK('Final Sample'!AB492,'Final Sample'!$AB$2:$AB$612,0)+(COUNTIF('Final Sample'!$AB$2:$AB$612,'Final Sample'!AB492)-1)/2</f>
        <v>523</v>
      </c>
      <c r="F492" s="25">
        <f>RANK('Final Sample'!V492,'Final Sample'!$V$2:$V$612,0)+(COUNTIF('Final Sample'!$V$2:$V$612,'Final Sample'!V492)-1)/2</f>
        <v>270.5</v>
      </c>
    </row>
    <row r="493" spans="1:6" ht="15" customHeight="1" x14ac:dyDescent="0.3">
      <c r="A493" s="25">
        <f>RANK('Final Sample'!I493,'Final Sample'!$I$2:$I$612,0)+(COUNTIF('Final Sample'!$I$2:$I$612,'Final Sample'!I493)-1)/2</f>
        <v>441.5</v>
      </c>
      <c r="B493" s="25">
        <f>RANK('Final Sample'!J493,'Final Sample'!$J$2:$J$612,0)+(COUNTIF('Final Sample'!$J$2:$J$612,'Final Sample'!J493)-1)/2</f>
        <v>359</v>
      </c>
      <c r="C493" s="25">
        <f>RANK('Final Sample'!AA493,'Final Sample'!$AA$2:$AA$612,0)+(COUNTIF('Final Sample'!$AA$2:$AA$612,'Final Sample'!AA493)-1)/2</f>
        <v>367</v>
      </c>
      <c r="D493" s="25">
        <f>RANK('Final Sample'!R493,'Final Sample'!$R$2:$R$612,0)+(COUNTIF('Final Sample'!$R$2:$R$612,'Final Sample'!R493)-1)/2</f>
        <v>336</v>
      </c>
      <c r="E493" s="25">
        <f>RANK('Final Sample'!AB493,'Final Sample'!$AB$2:$AB$612,0)+(COUNTIF('Final Sample'!$AB$2:$AB$612,'Final Sample'!AB493)-1)/2</f>
        <v>494</v>
      </c>
      <c r="F493" s="25">
        <f>RANK('Final Sample'!V493,'Final Sample'!$V$2:$V$612,0)+(COUNTIF('Final Sample'!$V$2:$V$612,'Final Sample'!V493)-1)/2</f>
        <v>260</v>
      </c>
    </row>
    <row r="494" spans="1:6" ht="15" customHeight="1" x14ac:dyDescent="0.3">
      <c r="A494" s="25">
        <f>RANK('Final Sample'!I494,'Final Sample'!$I$2:$I$612,0)+(COUNTIF('Final Sample'!$I$2:$I$612,'Final Sample'!I494)-1)/2</f>
        <v>441.5</v>
      </c>
      <c r="B494" s="25">
        <f>RANK('Final Sample'!J494,'Final Sample'!$J$2:$J$612,0)+(COUNTIF('Final Sample'!$J$2:$J$612,'Final Sample'!J494)-1)/2</f>
        <v>359</v>
      </c>
      <c r="C494" s="25">
        <f>RANK('Final Sample'!AA494,'Final Sample'!$AA$2:$AA$612,0)+(COUNTIF('Final Sample'!$AA$2:$AA$612,'Final Sample'!AA494)-1)/2</f>
        <v>83</v>
      </c>
      <c r="D494" s="25">
        <f>RANK('Final Sample'!R494,'Final Sample'!$R$2:$R$612,0)+(COUNTIF('Final Sample'!$R$2:$R$612,'Final Sample'!R494)-1)/2</f>
        <v>335</v>
      </c>
      <c r="E494" s="25">
        <f>RANK('Final Sample'!AB494,'Final Sample'!$AB$2:$AB$612,0)+(COUNTIF('Final Sample'!$AB$2:$AB$612,'Final Sample'!AB494)-1)/2</f>
        <v>495</v>
      </c>
      <c r="F494" s="25">
        <f>RANK('Final Sample'!V494,'Final Sample'!$V$2:$V$612,0)+(COUNTIF('Final Sample'!$V$2:$V$612,'Final Sample'!V494)-1)/2</f>
        <v>252</v>
      </c>
    </row>
    <row r="495" spans="1:6" ht="15" customHeight="1" x14ac:dyDescent="0.3">
      <c r="A495" s="25">
        <f>RANK('Final Sample'!I495,'Final Sample'!$I$2:$I$612,0)+(COUNTIF('Final Sample'!$I$2:$I$612,'Final Sample'!I495)-1)/2</f>
        <v>441.5</v>
      </c>
      <c r="B495" s="25">
        <f>RANK('Final Sample'!J495,'Final Sample'!$J$2:$J$612,0)+(COUNTIF('Final Sample'!$J$2:$J$612,'Final Sample'!J495)-1)/2</f>
        <v>359</v>
      </c>
      <c r="C495" s="25">
        <f>RANK('Final Sample'!AA495,'Final Sample'!$AA$2:$AA$612,0)+(COUNTIF('Final Sample'!$AA$2:$AA$612,'Final Sample'!AA495)-1)/2</f>
        <v>349</v>
      </c>
      <c r="D495" s="25">
        <f>RANK('Final Sample'!R495,'Final Sample'!$R$2:$R$612,0)+(COUNTIF('Final Sample'!$R$2:$R$612,'Final Sample'!R495)-1)/2</f>
        <v>65</v>
      </c>
      <c r="E495" s="25">
        <f>RANK('Final Sample'!AB495,'Final Sample'!$AB$2:$AB$612,0)+(COUNTIF('Final Sample'!$AB$2:$AB$612,'Final Sample'!AB495)-1)/2</f>
        <v>175</v>
      </c>
      <c r="F495" s="25">
        <f>RANK('Final Sample'!V495,'Final Sample'!$V$2:$V$612,0)+(COUNTIF('Final Sample'!$V$2:$V$612,'Final Sample'!V495)-1)/2</f>
        <v>587</v>
      </c>
    </row>
    <row r="496" spans="1:6" ht="15" customHeight="1" x14ac:dyDescent="0.3">
      <c r="A496" s="25">
        <f>RANK('Final Sample'!I496,'Final Sample'!$I$2:$I$612,0)+(COUNTIF('Final Sample'!$I$2:$I$612,'Final Sample'!I496)-1)/2</f>
        <v>441.5</v>
      </c>
      <c r="B496" s="25">
        <f>RANK('Final Sample'!J496,'Final Sample'!$J$2:$J$612,0)+(COUNTIF('Final Sample'!$J$2:$J$612,'Final Sample'!J496)-1)/2</f>
        <v>359</v>
      </c>
      <c r="C496" s="25">
        <f>RANK('Final Sample'!AA496,'Final Sample'!$AA$2:$AA$612,0)+(COUNTIF('Final Sample'!$AA$2:$AA$612,'Final Sample'!AA496)-1)/2</f>
        <v>366</v>
      </c>
      <c r="D496" s="25">
        <f>RANK('Final Sample'!R496,'Final Sample'!$R$2:$R$612,0)+(COUNTIF('Final Sample'!$R$2:$R$612,'Final Sample'!R496)-1)/2</f>
        <v>63</v>
      </c>
      <c r="E496" s="25">
        <f>RANK('Final Sample'!AB496,'Final Sample'!$AB$2:$AB$612,0)+(COUNTIF('Final Sample'!$AB$2:$AB$612,'Final Sample'!AB496)-1)/2</f>
        <v>171</v>
      </c>
      <c r="F496" s="25">
        <f>RANK('Final Sample'!V496,'Final Sample'!$V$2:$V$612,0)+(COUNTIF('Final Sample'!$V$2:$V$612,'Final Sample'!V496)-1)/2</f>
        <v>582</v>
      </c>
    </row>
    <row r="497" spans="1:6" ht="15" customHeight="1" x14ac:dyDescent="0.3">
      <c r="A497" s="25">
        <f>RANK('Final Sample'!I497,'Final Sample'!$I$2:$I$612,0)+(COUNTIF('Final Sample'!$I$2:$I$612,'Final Sample'!I497)-1)/2</f>
        <v>186.5</v>
      </c>
      <c r="B497" s="25">
        <f>RANK('Final Sample'!J497,'Final Sample'!$J$2:$J$612,0)+(COUNTIF('Final Sample'!$J$2:$J$612,'Final Sample'!J497)-1)/2</f>
        <v>359</v>
      </c>
      <c r="C497" s="25">
        <f>RANK('Final Sample'!AA497,'Final Sample'!$AA$2:$AA$612,0)+(COUNTIF('Final Sample'!$AA$2:$AA$612,'Final Sample'!AA497)-1)/2</f>
        <v>324</v>
      </c>
      <c r="D497" s="25">
        <f>RANK('Final Sample'!R497,'Final Sample'!$R$2:$R$612,0)+(COUNTIF('Final Sample'!$R$2:$R$612,'Final Sample'!R497)-1)/2</f>
        <v>49</v>
      </c>
      <c r="E497" s="25">
        <f>RANK('Final Sample'!AB497,'Final Sample'!$AB$2:$AB$612,0)+(COUNTIF('Final Sample'!$AB$2:$AB$612,'Final Sample'!AB497)-1)/2</f>
        <v>135</v>
      </c>
      <c r="F497" s="25">
        <f>RANK('Final Sample'!V497,'Final Sample'!$V$2:$V$612,0)+(COUNTIF('Final Sample'!$V$2:$V$612,'Final Sample'!V497)-1)/2</f>
        <v>576.5</v>
      </c>
    </row>
    <row r="498" spans="1:6" ht="15" customHeight="1" x14ac:dyDescent="0.3">
      <c r="A498" s="25">
        <f>RANK('Final Sample'!I498,'Final Sample'!$I$2:$I$612,0)+(COUNTIF('Final Sample'!$I$2:$I$612,'Final Sample'!I498)-1)/2</f>
        <v>186.5</v>
      </c>
      <c r="B498" s="25">
        <f>RANK('Final Sample'!J498,'Final Sample'!$J$2:$J$612,0)+(COUNTIF('Final Sample'!$J$2:$J$612,'Final Sample'!J498)-1)/2</f>
        <v>359</v>
      </c>
      <c r="C498" s="25">
        <f>RANK('Final Sample'!AA498,'Final Sample'!$AA$2:$AA$612,0)+(COUNTIF('Final Sample'!$AA$2:$AA$612,'Final Sample'!AA498)-1)/2</f>
        <v>364</v>
      </c>
      <c r="D498" s="25">
        <f>RANK('Final Sample'!R498,'Final Sample'!$R$2:$R$612,0)+(COUNTIF('Final Sample'!$R$2:$R$612,'Final Sample'!R498)-1)/2</f>
        <v>39</v>
      </c>
      <c r="E498" s="25">
        <f>RANK('Final Sample'!AB498,'Final Sample'!$AB$2:$AB$612,0)+(COUNTIF('Final Sample'!$AB$2:$AB$612,'Final Sample'!AB498)-1)/2</f>
        <v>128</v>
      </c>
      <c r="F498" s="25">
        <f>RANK('Final Sample'!V498,'Final Sample'!$V$2:$V$612,0)+(COUNTIF('Final Sample'!$V$2:$V$612,'Final Sample'!V498)-1)/2</f>
        <v>569.5</v>
      </c>
    </row>
    <row r="499" spans="1:6" ht="15" customHeight="1" x14ac:dyDescent="0.3">
      <c r="A499" s="25">
        <f>RANK('Final Sample'!I499,'Final Sample'!$I$2:$I$612,0)+(COUNTIF('Final Sample'!$I$2:$I$612,'Final Sample'!I499)-1)/2</f>
        <v>441.5</v>
      </c>
      <c r="B499" s="25">
        <f>RANK('Final Sample'!J499,'Final Sample'!$J$2:$J$612,0)+(COUNTIF('Final Sample'!$J$2:$J$612,'Final Sample'!J499)-1)/2</f>
        <v>359</v>
      </c>
      <c r="C499" s="25">
        <f>RANK('Final Sample'!AA499,'Final Sample'!$AA$2:$AA$612,0)+(COUNTIF('Final Sample'!$AA$2:$AA$612,'Final Sample'!AA499)-1)/2</f>
        <v>335</v>
      </c>
      <c r="D499" s="25">
        <f>RANK('Final Sample'!R499,'Final Sample'!$R$2:$R$612,0)+(COUNTIF('Final Sample'!$R$2:$R$612,'Final Sample'!R499)-1)/2</f>
        <v>35</v>
      </c>
      <c r="E499" s="25">
        <f>RANK('Final Sample'!AB499,'Final Sample'!$AB$2:$AB$612,0)+(COUNTIF('Final Sample'!$AB$2:$AB$612,'Final Sample'!AB499)-1)/2</f>
        <v>165</v>
      </c>
      <c r="F499" s="25">
        <f>RANK('Final Sample'!V499,'Final Sample'!$V$2:$V$612,0)+(COUNTIF('Final Sample'!$V$2:$V$612,'Final Sample'!V499)-1)/2</f>
        <v>561</v>
      </c>
    </row>
    <row r="500" spans="1:6" ht="15" customHeight="1" x14ac:dyDescent="0.3">
      <c r="A500" s="25">
        <f>RANK('Final Sample'!I500,'Final Sample'!$I$2:$I$612,0)+(COUNTIF('Final Sample'!$I$2:$I$612,'Final Sample'!I500)-1)/2</f>
        <v>441.5</v>
      </c>
      <c r="B500" s="25">
        <f>RANK('Final Sample'!J500,'Final Sample'!$J$2:$J$612,0)+(COUNTIF('Final Sample'!$J$2:$J$612,'Final Sample'!J500)-1)/2</f>
        <v>359</v>
      </c>
      <c r="C500" s="25">
        <f>RANK('Final Sample'!AA500,'Final Sample'!$AA$2:$AA$612,0)+(COUNTIF('Final Sample'!$AA$2:$AA$612,'Final Sample'!AA500)-1)/2</f>
        <v>441</v>
      </c>
      <c r="D500" s="25">
        <f>RANK('Final Sample'!R500,'Final Sample'!$R$2:$R$612,0)+(COUNTIF('Final Sample'!$R$2:$R$612,'Final Sample'!R500)-1)/2</f>
        <v>79</v>
      </c>
      <c r="E500" s="25">
        <f>RANK('Final Sample'!AB500,'Final Sample'!$AB$2:$AB$612,0)+(COUNTIF('Final Sample'!$AB$2:$AB$612,'Final Sample'!AB500)-1)/2</f>
        <v>117</v>
      </c>
      <c r="F500" s="25">
        <f>RANK('Final Sample'!V500,'Final Sample'!$V$2:$V$612,0)+(COUNTIF('Final Sample'!$V$2:$V$612,'Final Sample'!V500)-1)/2</f>
        <v>610.5</v>
      </c>
    </row>
    <row r="501" spans="1:6" ht="15" customHeight="1" x14ac:dyDescent="0.3">
      <c r="A501" s="25">
        <f>RANK('Final Sample'!I501,'Final Sample'!$I$2:$I$612,0)+(COUNTIF('Final Sample'!$I$2:$I$612,'Final Sample'!I501)-1)/2</f>
        <v>441.5</v>
      </c>
      <c r="B501" s="25">
        <f>RANK('Final Sample'!J501,'Final Sample'!$J$2:$J$612,0)+(COUNTIF('Final Sample'!$J$2:$J$612,'Final Sample'!J501)-1)/2</f>
        <v>359</v>
      </c>
      <c r="C501" s="25">
        <f>RANK('Final Sample'!AA501,'Final Sample'!$AA$2:$AA$612,0)+(COUNTIF('Final Sample'!$AA$2:$AA$612,'Final Sample'!AA501)-1)/2</f>
        <v>444</v>
      </c>
      <c r="D501" s="25">
        <f>RANK('Final Sample'!R501,'Final Sample'!$R$2:$R$612,0)+(COUNTIF('Final Sample'!$R$2:$R$612,'Final Sample'!R501)-1)/2</f>
        <v>75</v>
      </c>
      <c r="E501" s="25">
        <f>RANK('Final Sample'!AB501,'Final Sample'!$AB$2:$AB$612,0)+(COUNTIF('Final Sample'!$AB$2:$AB$612,'Final Sample'!AB501)-1)/2</f>
        <v>110</v>
      </c>
      <c r="F501" s="25">
        <f>RANK('Final Sample'!V501,'Final Sample'!$V$2:$V$612,0)+(COUNTIF('Final Sample'!$V$2:$V$612,'Final Sample'!V501)-1)/2</f>
        <v>608</v>
      </c>
    </row>
    <row r="502" spans="1:6" ht="15" customHeight="1" x14ac:dyDescent="0.3">
      <c r="A502" s="25">
        <f>RANK('Final Sample'!I502,'Final Sample'!$I$2:$I$612,0)+(COUNTIF('Final Sample'!$I$2:$I$612,'Final Sample'!I502)-1)/2</f>
        <v>441.5</v>
      </c>
      <c r="B502" s="25">
        <f>RANK('Final Sample'!J502,'Final Sample'!$J$2:$J$612,0)+(COUNTIF('Final Sample'!$J$2:$J$612,'Final Sample'!J502)-1)/2</f>
        <v>359</v>
      </c>
      <c r="C502" s="25">
        <f>RANK('Final Sample'!AA502,'Final Sample'!$AA$2:$AA$612,0)+(COUNTIF('Final Sample'!$AA$2:$AA$612,'Final Sample'!AA502)-1)/2</f>
        <v>395</v>
      </c>
      <c r="D502" s="25">
        <f>RANK('Final Sample'!R502,'Final Sample'!$R$2:$R$612,0)+(COUNTIF('Final Sample'!$R$2:$R$612,'Final Sample'!R502)-1)/2</f>
        <v>69</v>
      </c>
      <c r="E502" s="25">
        <f>RANK('Final Sample'!AB502,'Final Sample'!$AB$2:$AB$612,0)+(COUNTIF('Final Sample'!$AB$2:$AB$612,'Final Sample'!AB502)-1)/2</f>
        <v>98</v>
      </c>
      <c r="F502" s="25">
        <f>RANK('Final Sample'!V502,'Final Sample'!$V$2:$V$612,0)+(COUNTIF('Final Sample'!$V$2:$V$612,'Final Sample'!V502)-1)/2</f>
        <v>605</v>
      </c>
    </row>
    <row r="503" spans="1:6" ht="15" customHeight="1" x14ac:dyDescent="0.3">
      <c r="A503" s="25">
        <f>RANK('Final Sample'!I503,'Final Sample'!$I$2:$I$612,0)+(COUNTIF('Final Sample'!$I$2:$I$612,'Final Sample'!I503)-1)/2</f>
        <v>40</v>
      </c>
      <c r="B503" s="25">
        <f>RANK('Final Sample'!J503,'Final Sample'!$J$2:$J$612,0)+(COUNTIF('Final Sample'!$J$2:$J$612,'Final Sample'!J503)-1)/2</f>
        <v>29</v>
      </c>
      <c r="C503" s="25">
        <f>RANK('Final Sample'!AA503,'Final Sample'!$AA$2:$AA$612,0)+(COUNTIF('Final Sample'!$AA$2:$AA$612,'Final Sample'!AA503)-1)/2</f>
        <v>412</v>
      </c>
      <c r="D503" s="25">
        <f>RANK('Final Sample'!R503,'Final Sample'!$R$2:$R$612,0)+(COUNTIF('Final Sample'!$R$2:$R$612,'Final Sample'!R503)-1)/2</f>
        <v>59</v>
      </c>
      <c r="E503" s="25">
        <f>RANK('Final Sample'!AB503,'Final Sample'!$AB$2:$AB$612,0)+(COUNTIF('Final Sample'!$AB$2:$AB$612,'Final Sample'!AB503)-1)/2</f>
        <v>116</v>
      </c>
      <c r="F503" s="25">
        <f>RANK('Final Sample'!V503,'Final Sample'!$V$2:$V$612,0)+(COUNTIF('Final Sample'!$V$2:$V$612,'Final Sample'!V503)-1)/2</f>
        <v>602</v>
      </c>
    </row>
    <row r="504" spans="1:6" ht="15" customHeight="1" x14ac:dyDescent="0.3">
      <c r="A504" s="25">
        <f>RANK('Final Sample'!I504,'Final Sample'!$I$2:$I$612,0)+(COUNTIF('Final Sample'!$I$2:$I$612,'Final Sample'!I504)-1)/2</f>
        <v>40</v>
      </c>
      <c r="B504" s="25">
        <f>RANK('Final Sample'!J504,'Final Sample'!$J$2:$J$612,0)+(COUNTIF('Final Sample'!$J$2:$J$612,'Final Sample'!J504)-1)/2</f>
        <v>29</v>
      </c>
      <c r="C504" s="25">
        <f>RANK('Final Sample'!AA504,'Final Sample'!$AA$2:$AA$612,0)+(COUNTIF('Final Sample'!$AA$2:$AA$612,'Final Sample'!AA504)-1)/2</f>
        <v>383</v>
      </c>
      <c r="D504" s="25">
        <f>RANK('Final Sample'!R504,'Final Sample'!$R$2:$R$612,0)+(COUNTIF('Final Sample'!$R$2:$R$612,'Final Sample'!R504)-1)/2</f>
        <v>57</v>
      </c>
      <c r="E504" s="25">
        <f>RANK('Final Sample'!AB504,'Final Sample'!$AB$2:$AB$612,0)+(COUNTIF('Final Sample'!$AB$2:$AB$612,'Final Sample'!AB504)-1)/2</f>
        <v>148</v>
      </c>
      <c r="F504" s="25">
        <f>RANK('Final Sample'!V504,'Final Sample'!$V$2:$V$612,0)+(COUNTIF('Final Sample'!$V$2:$V$612,'Final Sample'!V504)-1)/2</f>
        <v>598.5</v>
      </c>
    </row>
    <row r="505" spans="1:6" ht="15" customHeight="1" x14ac:dyDescent="0.3">
      <c r="A505" s="25">
        <f>RANK('Final Sample'!I505,'Final Sample'!$I$2:$I$612,0)+(COUNTIF('Final Sample'!$I$2:$I$612,'Final Sample'!I505)-1)/2</f>
        <v>441.5</v>
      </c>
      <c r="B505" s="25">
        <f>RANK('Final Sample'!J505,'Final Sample'!$J$2:$J$612,0)+(COUNTIF('Final Sample'!$J$2:$J$612,'Final Sample'!J505)-1)/2</f>
        <v>359</v>
      </c>
      <c r="C505" s="25">
        <f>RANK('Final Sample'!AA505,'Final Sample'!$AA$2:$AA$612,0)+(COUNTIF('Final Sample'!$AA$2:$AA$612,'Final Sample'!AA505)-1)/2</f>
        <v>581</v>
      </c>
      <c r="D505" s="25">
        <f>RANK('Final Sample'!R505,'Final Sample'!$R$2:$R$612,0)+(COUNTIF('Final Sample'!$R$2:$R$612,'Final Sample'!R505)-1)/2</f>
        <v>457</v>
      </c>
      <c r="E505" s="25">
        <f>RANK('Final Sample'!AB505,'Final Sample'!$AB$2:$AB$612,0)+(COUNTIF('Final Sample'!$AB$2:$AB$612,'Final Sample'!AB505)-1)/2</f>
        <v>537</v>
      </c>
      <c r="F505" s="25">
        <f>RANK('Final Sample'!V505,'Final Sample'!$V$2:$V$612,0)+(COUNTIF('Final Sample'!$V$2:$V$612,'Final Sample'!V505)-1)/2</f>
        <v>326</v>
      </c>
    </row>
    <row r="506" spans="1:6" ht="15" customHeight="1" x14ac:dyDescent="0.3">
      <c r="A506" s="25">
        <f>RANK('Final Sample'!I506,'Final Sample'!$I$2:$I$612,0)+(COUNTIF('Final Sample'!$I$2:$I$612,'Final Sample'!I506)-1)/2</f>
        <v>441.5</v>
      </c>
      <c r="B506" s="25">
        <f>RANK('Final Sample'!J506,'Final Sample'!$J$2:$J$612,0)+(COUNTIF('Final Sample'!$J$2:$J$612,'Final Sample'!J506)-1)/2</f>
        <v>359</v>
      </c>
      <c r="C506" s="25">
        <f>RANK('Final Sample'!AA506,'Final Sample'!$AA$2:$AA$612,0)+(COUNTIF('Final Sample'!$AA$2:$AA$612,'Final Sample'!AA506)-1)/2</f>
        <v>595</v>
      </c>
      <c r="D506" s="25">
        <f>RANK('Final Sample'!R506,'Final Sample'!$R$2:$R$612,0)+(COUNTIF('Final Sample'!$R$2:$R$612,'Final Sample'!R506)-1)/2</f>
        <v>445</v>
      </c>
      <c r="E506" s="25">
        <f>RANK('Final Sample'!AB506,'Final Sample'!$AB$2:$AB$612,0)+(COUNTIF('Final Sample'!$AB$2:$AB$612,'Final Sample'!AB506)-1)/2</f>
        <v>516</v>
      </c>
      <c r="F506" s="25">
        <f>RANK('Final Sample'!V506,'Final Sample'!$V$2:$V$612,0)+(COUNTIF('Final Sample'!$V$2:$V$612,'Final Sample'!V506)-1)/2</f>
        <v>318.5</v>
      </c>
    </row>
    <row r="507" spans="1:6" ht="15" customHeight="1" x14ac:dyDescent="0.3">
      <c r="A507" s="25">
        <f>RANK('Final Sample'!I507,'Final Sample'!$I$2:$I$612,0)+(COUNTIF('Final Sample'!$I$2:$I$612,'Final Sample'!I507)-1)/2</f>
        <v>441.5</v>
      </c>
      <c r="B507" s="25">
        <f>RANK('Final Sample'!J507,'Final Sample'!$J$2:$J$612,0)+(COUNTIF('Final Sample'!$J$2:$J$612,'Final Sample'!J507)-1)/2</f>
        <v>359</v>
      </c>
      <c r="C507" s="25">
        <f>RANK('Final Sample'!AA507,'Final Sample'!$AA$2:$AA$612,0)+(COUNTIF('Final Sample'!$AA$2:$AA$612,'Final Sample'!AA507)-1)/2</f>
        <v>541</v>
      </c>
      <c r="D507" s="25">
        <f>RANK('Final Sample'!R507,'Final Sample'!$R$2:$R$612,0)+(COUNTIF('Final Sample'!$R$2:$R$612,'Final Sample'!R507)-1)/2</f>
        <v>411</v>
      </c>
      <c r="E507" s="25">
        <f>RANK('Final Sample'!AB507,'Final Sample'!$AB$2:$AB$612,0)+(COUNTIF('Final Sample'!$AB$2:$AB$612,'Final Sample'!AB507)-1)/2</f>
        <v>529</v>
      </c>
      <c r="F507" s="25">
        <f>RANK('Final Sample'!V507,'Final Sample'!$V$2:$V$612,0)+(COUNTIF('Final Sample'!$V$2:$V$612,'Final Sample'!V507)-1)/2</f>
        <v>311.5</v>
      </c>
    </row>
    <row r="508" spans="1:6" ht="15" customHeight="1" x14ac:dyDescent="0.3">
      <c r="A508" s="25">
        <f>RANK('Final Sample'!I508,'Final Sample'!$I$2:$I$612,0)+(COUNTIF('Final Sample'!$I$2:$I$612,'Final Sample'!I508)-1)/2</f>
        <v>441.5</v>
      </c>
      <c r="B508" s="25">
        <f>RANK('Final Sample'!J508,'Final Sample'!$J$2:$J$612,0)+(COUNTIF('Final Sample'!$J$2:$J$612,'Final Sample'!J508)-1)/2</f>
        <v>359</v>
      </c>
      <c r="C508" s="25">
        <f>RANK('Final Sample'!AA508,'Final Sample'!$AA$2:$AA$612,0)+(COUNTIF('Final Sample'!$AA$2:$AA$612,'Final Sample'!AA508)-1)/2</f>
        <v>45</v>
      </c>
      <c r="D508" s="25">
        <f>RANK('Final Sample'!R508,'Final Sample'!$R$2:$R$612,0)+(COUNTIF('Final Sample'!$R$2:$R$612,'Final Sample'!R508)-1)/2</f>
        <v>362</v>
      </c>
      <c r="E508" s="25">
        <f>RANK('Final Sample'!AB508,'Final Sample'!$AB$2:$AB$612,0)+(COUNTIF('Final Sample'!$AB$2:$AB$612,'Final Sample'!AB508)-1)/2</f>
        <v>513</v>
      </c>
      <c r="F508" s="25">
        <f>RANK('Final Sample'!V508,'Final Sample'!$V$2:$V$612,0)+(COUNTIF('Final Sample'!$V$2:$V$612,'Final Sample'!V508)-1)/2</f>
        <v>303</v>
      </c>
    </row>
    <row r="509" spans="1:6" ht="15" customHeight="1" x14ac:dyDescent="0.3">
      <c r="A509" s="25">
        <f>RANK('Final Sample'!I509,'Final Sample'!$I$2:$I$612,0)+(COUNTIF('Final Sample'!$I$2:$I$612,'Final Sample'!I509)-1)/2</f>
        <v>441.5</v>
      </c>
      <c r="B509" s="25">
        <f>RANK('Final Sample'!J509,'Final Sample'!$J$2:$J$612,0)+(COUNTIF('Final Sample'!$J$2:$J$612,'Final Sample'!J509)-1)/2</f>
        <v>359</v>
      </c>
      <c r="C509" s="25">
        <f>RANK('Final Sample'!AA509,'Final Sample'!$AA$2:$AA$612,0)+(COUNTIF('Final Sample'!$AA$2:$AA$612,'Final Sample'!AA509)-1)/2</f>
        <v>151</v>
      </c>
      <c r="D509" s="25">
        <f>RANK('Final Sample'!R509,'Final Sample'!$R$2:$R$612,0)+(COUNTIF('Final Sample'!$R$2:$R$612,'Final Sample'!R509)-1)/2</f>
        <v>354</v>
      </c>
      <c r="E509" s="25">
        <f>RANK('Final Sample'!AB509,'Final Sample'!$AB$2:$AB$612,0)+(COUNTIF('Final Sample'!$AB$2:$AB$612,'Final Sample'!AB509)-1)/2</f>
        <v>518</v>
      </c>
      <c r="F509" s="25">
        <f>RANK('Final Sample'!V509,'Final Sample'!$V$2:$V$612,0)+(COUNTIF('Final Sample'!$V$2:$V$612,'Final Sample'!V509)-1)/2</f>
        <v>293.5</v>
      </c>
    </row>
    <row r="510" spans="1:6" ht="15" customHeight="1" x14ac:dyDescent="0.3">
      <c r="A510" s="25">
        <f>RANK('Final Sample'!I510,'Final Sample'!$I$2:$I$612,0)+(COUNTIF('Final Sample'!$I$2:$I$612,'Final Sample'!I510)-1)/2</f>
        <v>441.5</v>
      </c>
      <c r="B510" s="25">
        <f>RANK('Final Sample'!J510,'Final Sample'!$J$2:$J$612,0)+(COUNTIF('Final Sample'!$J$2:$J$612,'Final Sample'!J510)-1)/2</f>
        <v>359</v>
      </c>
      <c r="C510" s="25">
        <f>RANK('Final Sample'!AA510,'Final Sample'!$AA$2:$AA$612,0)+(COUNTIF('Final Sample'!$AA$2:$AA$612,'Final Sample'!AA510)-1)/2</f>
        <v>269</v>
      </c>
      <c r="D510" s="25">
        <f>RANK('Final Sample'!R510,'Final Sample'!$R$2:$R$612,0)+(COUNTIF('Final Sample'!$R$2:$R$612,'Final Sample'!R510)-1)/2</f>
        <v>570</v>
      </c>
      <c r="E510" s="25">
        <f>RANK('Final Sample'!AB510,'Final Sample'!$AB$2:$AB$612,0)+(COUNTIF('Final Sample'!$AB$2:$AB$612,'Final Sample'!AB510)-1)/2</f>
        <v>121</v>
      </c>
      <c r="F510" s="25">
        <f>RANK('Final Sample'!V510,'Final Sample'!$V$2:$V$612,0)+(COUNTIF('Final Sample'!$V$2:$V$612,'Final Sample'!V510)-1)/2</f>
        <v>474.5</v>
      </c>
    </row>
    <row r="511" spans="1:6" ht="15" customHeight="1" x14ac:dyDescent="0.3">
      <c r="A511" s="25">
        <f>RANK('Final Sample'!I511,'Final Sample'!$I$2:$I$612,0)+(COUNTIF('Final Sample'!$I$2:$I$612,'Final Sample'!I511)-1)/2</f>
        <v>441.5</v>
      </c>
      <c r="B511" s="25">
        <f>RANK('Final Sample'!J511,'Final Sample'!$J$2:$J$612,0)+(COUNTIF('Final Sample'!$J$2:$J$612,'Final Sample'!J511)-1)/2</f>
        <v>359</v>
      </c>
      <c r="C511" s="25">
        <f>RANK('Final Sample'!AA511,'Final Sample'!$AA$2:$AA$612,0)+(COUNTIF('Final Sample'!$AA$2:$AA$612,'Final Sample'!AA511)-1)/2</f>
        <v>372</v>
      </c>
      <c r="D511" s="25">
        <f>RANK('Final Sample'!R511,'Final Sample'!$R$2:$R$612,0)+(COUNTIF('Final Sample'!$R$2:$R$612,'Final Sample'!R511)-1)/2</f>
        <v>563</v>
      </c>
      <c r="E511" s="25">
        <f>RANK('Final Sample'!AB511,'Final Sample'!$AB$2:$AB$612,0)+(COUNTIF('Final Sample'!$AB$2:$AB$612,'Final Sample'!AB511)-1)/2</f>
        <v>258</v>
      </c>
      <c r="F511" s="25">
        <f>RANK('Final Sample'!V511,'Final Sample'!$V$2:$V$612,0)+(COUNTIF('Final Sample'!$V$2:$V$612,'Final Sample'!V511)-1)/2</f>
        <v>470.5</v>
      </c>
    </row>
    <row r="512" spans="1:6" ht="15" customHeight="1" x14ac:dyDescent="0.3">
      <c r="A512" s="25">
        <f>RANK('Final Sample'!I512,'Final Sample'!$I$2:$I$612,0)+(COUNTIF('Final Sample'!$I$2:$I$612,'Final Sample'!I512)-1)/2</f>
        <v>441.5</v>
      </c>
      <c r="B512" s="25">
        <f>RANK('Final Sample'!J512,'Final Sample'!$J$2:$J$612,0)+(COUNTIF('Final Sample'!$J$2:$J$612,'Final Sample'!J512)-1)/2</f>
        <v>359</v>
      </c>
      <c r="C512" s="25">
        <f>RANK('Final Sample'!AA512,'Final Sample'!$AA$2:$AA$612,0)+(COUNTIF('Final Sample'!$AA$2:$AA$612,'Final Sample'!AA512)-1)/2</f>
        <v>192</v>
      </c>
      <c r="D512" s="25">
        <f>RANK('Final Sample'!R512,'Final Sample'!$R$2:$R$612,0)+(COUNTIF('Final Sample'!$R$2:$R$612,'Final Sample'!R512)-1)/2</f>
        <v>569</v>
      </c>
      <c r="E512" s="25">
        <f>RANK('Final Sample'!AB512,'Final Sample'!$AB$2:$AB$612,0)+(COUNTIF('Final Sample'!$AB$2:$AB$612,'Final Sample'!AB512)-1)/2</f>
        <v>192</v>
      </c>
      <c r="F512" s="25">
        <f>RANK('Final Sample'!V512,'Final Sample'!$V$2:$V$612,0)+(COUNTIF('Final Sample'!$V$2:$V$612,'Final Sample'!V512)-1)/2</f>
        <v>466</v>
      </c>
    </row>
    <row r="513" spans="1:6" ht="15" customHeight="1" x14ac:dyDescent="0.3">
      <c r="A513" s="25">
        <f>RANK('Final Sample'!I513,'Final Sample'!$I$2:$I$612,0)+(COUNTIF('Final Sample'!$I$2:$I$612,'Final Sample'!I513)-1)/2</f>
        <v>441.5</v>
      </c>
      <c r="B513" s="25">
        <f>RANK('Final Sample'!J513,'Final Sample'!$J$2:$J$612,0)+(COUNTIF('Final Sample'!$J$2:$J$612,'Final Sample'!J513)-1)/2</f>
        <v>359</v>
      </c>
      <c r="C513" s="25">
        <f>RANK('Final Sample'!AA513,'Final Sample'!$AA$2:$AA$612,0)+(COUNTIF('Final Sample'!$AA$2:$AA$612,'Final Sample'!AA513)-1)/2</f>
        <v>25</v>
      </c>
      <c r="D513" s="25">
        <f>RANK('Final Sample'!R513,'Final Sample'!$R$2:$R$612,0)+(COUNTIF('Final Sample'!$R$2:$R$612,'Final Sample'!R513)-1)/2</f>
        <v>556</v>
      </c>
      <c r="E513" s="25">
        <f>RANK('Final Sample'!AB513,'Final Sample'!$AB$2:$AB$612,0)+(COUNTIF('Final Sample'!$AB$2:$AB$612,'Final Sample'!AB513)-1)/2</f>
        <v>355</v>
      </c>
      <c r="F513" s="25">
        <f>RANK('Final Sample'!V513,'Final Sample'!$V$2:$V$612,0)+(COUNTIF('Final Sample'!$V$2:$V$612,'Final Sample'!V513)-1)/2</f>
        <v>460</v>
      </c>
    </row>
    <row r="514" spans="1:6" ht="15" customHeight="1" x14ac:dyDescent="0.3">
      <c r="A514" s="25">
        <f>RANK('Final Sample'!I514,'Final Sample'!$I$2:$I$612,0)+(COUNTIF('Final Sample'!$I$2:$I$612,'Final Sample'!I514)-1)/2</f>
        <v>441.5</v>
      </c>
      <c r="B514" s="25">
        <f>RANK('Final Sample'!J514,'Final Sample'!$J$2:$J$612,0)+(COUNTIF('Final Sample'!$J$2:$J$612,'Final Sample'!J514)-1)/2</f>
        <v>359</v>
      </c>
      <c r="C514" s="25">
        <f>RANK('Final Sample'!AA514,'Final Sample'!$AA$2:$AA$612,0)+(COUNTIF('Final Sample'!$AA$2:$AA$612,'Final Sample'!AA514)-1)/2</f>
        <v>178</v>
      </c>
      <c r="D514" s="25">
        <f>RANK('Final Sample'!R514,'Final Sample'!$R$2:$R$612,0)+(COUNTIF('Final Sample'!$R$2:$R$612,'Final Sample'!R514)-1)/2</f>
        <v>439</v>
      </c>
      <c r="E514" s="25">
        <f>RANK('Final Sample'!AB514,'Final Sample'!$AB$2:$AB$612,0)+(COUNTIF('Final Sample'!$AB$2:$AB$612,'Final Sample'!AB514)-1)/2</f>
        <v>327</v>
      </c>
      <c r="F514" s="25">
        <f>RANK('Final Sample'!V514,'Final Sample'!$V$2:$V$612,0)+(COUNTIF('Final Sample'!$V$2:$V$612,'Final Sample'!V514)-1)/2</f>
        <v>451</v>
      </c>
    </row>
    <row r="515" spans="1:6" ht="15" customHeight="1" x14ac:dyDescent="0.3">
      <c r="A515" s="25">
        <f>RANK('Final Sample'!I515,'Final Sample'!$I$2:$I$612,0)+(COUNTIF('Final Sample'!$I$2:$I$612,'Final Sample'!I515)-1)/2</f>
        <v>441.5</v>
      </c>
      <c r="B515" s="25">
        <f>RANK('Final Sample'!J515,'Final Sample'!$J$2:$J$612,0)+(COUNTIF('Final Sample'!$J$2:$J$612,'Final Sample'!J515)-1)/2</f>
        <v>359</v>
      </c>
      <c r="C515" s="25">
        <f>RANK('Final Sample'!AA515,'Final Sample'!$AA$2:$AA$612,0)+(COUNTIF('Final Sample'!$AA$2:$AA$612,'Final Sample'!AA515)-1)/2</f>
        <v>547</v>
      </c>
      <c r="D515" s="25">
        <f>RANK('Final Sample'!R515,'Final Sample'!$R$2:$R$612,0)+(COUNTIF('Final Sample'!$R$2:$R$612,'Final Sample'!R515)-1)/2</f>
        <v>576</v>
      </c>
      <c r="E515" s="25">
        <f>RANK('Final Sample'!AB515,'Final Sample'!$AB$2:$AB$612,0)+(COUNTIF('Final Sample'!$AB$2:$AB$612,'Final Sample'!AB515)-1)/2</f>
        <v>382</v>
      </c>
      <c r="F515" s="25">
        <f>RANK('Final Sample'!V515,'Final Sample'!$V$2:$V$612,0)+(COUNTIF('Final Sample'!$V$2:$V$612,'Final Sample'!V515)-1)/2</f>
        <v>466</v>
      </c>
    </row>
    <row r="516" spans="1:6" ht="15" customHeight="1" x14ac:dyDescent="0.3">
      <c r="A516" s="25">
        <f>RANK('Final Sample'!I516,'Final Sample'!$I$2:$I$612,0)+(COUNTIF('Final Sample'!$I$2:$I$612,'Final Sample'!I516)-1)/2</f>
        <v>441.5</v>
      </c>
      <c r="B516" s="25">
        <f>RANK('Final Sample'!J516,'Final Sample'!$J$2:$J$612,0)+(COUNTIF('Final Sample'!$J$2:$J$612,'Final Sample'!J516)-1)/2</f>
        <v>359</v>
      </c>
      <c r="C516" s="25">
        <f>RANK('Final Sample'!AA516,'Final Sample'!$AA$2:$AA$612,0)+(COUNTIF('Final Sample'!$AA$2:$AA$612,'Final Sample'!AA516)-1)/2</f>
        <v>504</v>
      </c>
      <c r="D516" s="25">
        <f>RANK('Final Sample'!R516,'Final Sample'!$R$2:$R$612,0)+(COUNTIF('Final Sample'!$R$2:$R$612,'Final Sample'!R516)-1)/2</f>
        <v>572</v>
      </c>
      <c r="E516" s="25">
        <f>RANK('Final Sample'!AB516,'Final Sample'!$AB$2:$AB$612,0)+(COUNTIF('Final Sample'!$AB$2:$AB$612,'Final Sample'!AB516)-1)/2</f>
        <v>314</v>
      </c>
      <c r="F516" s="25">
        <f>RANK('Final Sample'!V516,'Final Sample'!$V$2:$V$612,0)+(COUNTIF('Final Sample'!$V$2:$V$612,'Final Sample'!V516)-1)/2</f>
        <v>460</v>
      </c>
    </row>
    <row r="517" spans="1:6" ht="15" customHeight="1" x14ac:dyDescent="0.3">
      <c r="A517" s="25">
        <f>RANK('Final Sample'!I517,'Final Sample'!$I$2:$I$612,0)+(COUNTIF('Final Sample'!$I$2:$I$612,'Final Sample'!I517)-1)/2</f>
        <v>236</v>
      </c>
      <c r="B517" s="25">
        <f>RANK('Final Sample'!J517,'Final Sample'!$J$2:$J$612,0)+(COUNTIF('Final Sample'!$J$2:$J$612,'Final Sample'!J517)-1)/2</f>
        <v>359</v>
      </c>
      <c r="C517" s="25">
        <f>RANK('Final Sample'!AA517,'Final Sample'!$AA$2:$AA$612,0)+(COUNTIF('Final Sample'!$AA$2:$AA$612,'Final Sample'!AA517)-1)/2</f>
        <v>447</v>
      </c>
      <c r="D517" s="25">
        <f>RANK('Final Sample'!R517,'Final Sample'!$R$2:$R$612,0)+(COUNTIF('Final Sample'!$R$2:$R$612,'Final Sample'!R517)-1)/2</f>
        <v>562</v>
      </c>
      <c r="E517" s="25">
        <f>RANK('Final Sample'!AB517,'Final Sample'!$AB$2:$AB$612,0)+(COUNTIF('Final Sample'!$AB$2:$AB$612,'Final Sample'!AB517)-1)/2</f>
        <v>398</v>
      </c>
      <c r="F517" s="25">
        <f>RANK('Final Sample'!V517,'Final Sample'!$V$2:$V$612,0)+(COUNTIF('Final Sample'!$V$2:$V$612,'Final Sample'!V517)-1)/2</f>
        <v>451</v>
      </c>
    </row>
    <row r="518" spans="1:6" ht="15" customHeight="1" x14ac:dyDescent="0.3">
      <c r="A518" s="25">
        <f>RANK('Final Sample'!I518,'Final Sample'!$I$2:$I$612,0)+(COUNTIF('Final Sample'!$I$2:$I$612,'Final Sample'!I518)-1)/2</f>
        <v>236</v>
      </c>
      <c r="B518" s="25">
        <f>RANK('Final Sample'!J518,'Final Sample'!$J$2:$J$612,0)+(COUNTIF('Final Sample'!$J$2:$J$612,'Final Sample'!J518)-1)/2</f>
        <v>359</v>
      </c>
      <c r="C518" s="25">
        <f>RANK('Final Sample'!AA518,'Final Sample'!$AA$2:$AA$612,0)+(COUNTIF('Final Sample'!$AA$2:$AA$612,'Final Sample'!AA518)-1)/2</f>
        <v>421</v>
      </c>
      <c r="D518" s="25">
        <f>RANK('Final Sample'!R518,'Final Sample'!$R$2:$R$612,0)+(COUNTIF('Final Sample'!$R$2:$R$612,'Final Sample'!R518)-1)/2</f>
        <v>522</v>
      </c>
      <c r="E518" s="25">
        <f>RANK('Final Sample'!AB518,'Final Sample'!$AB$2:$AB$612,0)+(COUNTIF('Final Sample'!$AB$2:$AB$612,'Final Sample'!AB518)-1)/2</f>
        <v>420</v>
      </c>
      <c r="F518" s="25">
        <f>RANK('Final Sample'!V518,'Final Sample'!$V$2:$V$612,0)+(COUNTIF('Final Sample'!$V$2:$V$612,'Final Sample'!V518)-1)/2</f>
        <v>440</v>
      </c>
    </row>
    <row r="519" spans="1:6" ht="15" customHeight="1" x14ac:dyDescent="0.3">
      <c r="A519" s="25">
        <f>RANK('Final Sample'!I519,'Final Sample'!$I$2:$I$612,0)+(COUNTIF('Final Sample'!$I$2:$I$612,'Final Sample'!I519)-1)/2</f>
        <v>441.5</v>
      </c>
      <c r="B519" s="25">
        <f>RANK('Final Sample'!J519,'Final Sample'!$J$2:$J$612,0)+(COUNTIF('Final Sample'!$J$2:$J$612,'Final Sample'!J519)-1)/2</f>
        <v>359</v>
      </c>
      <c r="C519" s="25">
        <f>RANK('Final Sample'!AA519,'Final Sample'!$AA$2:$AA$612,0)+(COUNTIF('Final Sample'!$AA$2:$AA$612,'Final Sample'!AA519)-1)/2</f>
        <v>188</v>
      </c>
      <c r="D519" s="25">
        <f>RANK('Final Sample'!R519,'Final Sample'!$R$2:$R$612,0)+(COUNTIF('Final Sample'!$R$2:$R$612,'Final Sample'!R519)-1)/2</f>
        <v>460</v>
      </c>
      <c r="E519" s="25">
        <f>RANK('Final Sample'!AB519,'Final Sample'!$AB$2:$AB$612,0)+(COUNTIF('Final Sample'!$AB$2:$AB$612,'Final Sample'!AB519)-1)/2</f>
        <v>425</v>
      </c>
      <c r="F519" s="25">
        <f>RANK('Final Sample'!V519,'Final Sample'!$V$2:$V$612,0)+(COUNTIF('Final Sample'!$V$2:$V$612,'Final Sample'!V519)-1)/2</f>
        <v>425.5</v>
      </c>
    </row>
    <row r="520" spans="1:6" ht="15" customHeight="1" x14ac:dyDescent="0.3">
      <c r="A520" s="25">
        <f>RANK('Final Sample'!I520,'Final Sample'!$I$2:$I$612,0)+(COUNTIF('Final Sample'!$I$2:$I$612,'Final Sample'!I520)-1)/2</f>
        <v>441.5</v>
      </c>
      <c r="B520" s="25">
        <f>RANK('Final Sample'!J520,'Final Sample'!$J$2:$J$612,0)+(COUNTIF('Final Sample'!$J$2:$J$612,'Final Sample'!J520)-1)/2</f>
        <v>359</v>
      </c>
      <c r="C520" s="25">
        <f>RANK('Final Sample'!AA520,'Final Sample'!$AA$2:$AA$612,0)+(COUNTIF('Final Sample'!$AA$2:$AA$612,'Final Sample'!AA520)-1)/2</f>
        <v>292</v>
      </c>
      <c r="D520" s="25">
        <f>RANK('Final Sample'!R520,'Final Sample'!$R$2:$R$612,0)+(COUNTIF('Final Sample'!$R$2:$R$612,'Final Sample'!R520)-1)/2</f>
        <v>172</v>
      </c>
      <c r="E520" s="25">
        <f>RANK('Final Sample'!AB520,'Final Sample'!$AB$2:$AB$612,0)+(COUNTIF('Final Sample'!$AB$2:$AB$612,'Final Sample'!AB520)-1)/2</f>
        <v>217</v>
      </c>
      <c r="F520" s="25">
        <f>RANK('Final Sample'!V520,'Final Sample'!$V$2:$V$612,0)+(COUNTIF('Final Sample'!$V$2:$V$612,'Final Sample'!V520)-1)/2</f>
        <v>83</v>
      </c>
    </row>
    <row r="521" spans="1:6" ht="15" customHeight="1" x14ac:dyDescent="0.3">
      <c r="A521" s="25">
        <f>RANK('Final Sample'!I521,'Final Sample'!$I$2:$I$612,0)+(COUNTIF('Final Sample'!$I$2:$I$612,'Final Sample'!I521)-1)/2</f>
        <v>441.5</v>
      </c>
      <c r="B521" s="25">
        <f>RANK('Final Sample'!J521,'Final Sample'!$J$2:$J$612,0)+(COUNTIF('Final Sample'!$J$2:$J$612,'Final Sample'!J521)-1)/2</f>
        <v>359</v>
      </c>
      <c r="C521" s="25">
        <f>RANK('Final Sample'!AA521,'Final Sample'!$AA$2:$AA$612,0)+(COUNTIF('Final Sample'!$AA$2:$AA$612,'Final Sample'!AA521)-1)/2</f>
        <v>338</v>
      </c>
      <c r="D521" s="25">
        <f>RANK('Final Sample'!R521,'Final Sample'!$R$2:$R$612,0)+(COUNTIF('Final Sample'!$R$2:$R$612,'Final Sample'!R521)-1)/2</f>
        <v>157</v>
      </c>
      <c r="E521" s="25">
        <f>RANK('Final Sample'!AB521,'Final Sample'!$AB$2:$AB$612,0)+(COUNTIF('Final Sample'!$AB$2:$AB$612,'Final Sample'!AB521)-1)/2</f>
        <v>198</v>
      </c>
      <c r="F521" s="25">
        <f>RANK('Final Sample'!V521,'Final Sample'!$V$2:$V$612,0)+(COUNTIF('Final Sample'!$V$2:$V$612,'Final Sample'!V521)-1)/2</f>
        <v>71.5</v>
      </c>
    </row>
    <row r="522" spans="1:6" ht="15" customHeight="1" x14ac:dyDescent="0.3">
      <c r="A522" s="25">
        <f>RANK('Final Sample'!I522,'Final Sample'!$I$2:$I$612,0)+(COUNTIF('Final Sample'!$I$2:$I$612,'Final Sample'!I522)-1)/2</f>
        <v>441.5</v>
      </c>
      <c r="B522" s="25">
        <f>RANK('Final Sample'!J522,'Final Sample'!$J$2:$J$612,0)+(COUNTIF('Final Sample'!$J$2:$J$612,'Final Sample'!J522)-1)/2</f>
        <v>359</v>
      </c>
      <c r="C522" s="25">
        <f>RANK('Final Sample'!AA522,'Final Sample'!$AA$2:$AA$612,0)+(COUNTIF('Final Sample'!$AA$2:$AA$612,'Final Sample'!AA522)-1)/2</f>
        <v>268</v>
      </c>
      <c r="D522" s="25">
        <f>RANK('Final Sample'!R522,'Final Sample'!$R$2:$R$612,0)+(COUNTIF('Final Sample'!$R$2:$R$612,'Final Sample'!R522)-1)/2</f>
        <v>153</v>
      </c>
      <c r="E522" s="25">
        <f>RANK('Final Sample'!AB522,'Final Sample'!$AB$2:$AB$612,0)+(COUNTIF('Final Sample'!$AB$2:$AB$612,'Final Sample'!AB522)-1)/2</f>
        <v>181</v>
      </c>
      <c r="F522" s="25">
        <f>RANK('Final Sample'!V522,'Final Sample'!$V$2:$V$612,0)+(COUNTIF('Final Sample'!$V$2:$V$612,'Final Sample'!V522)-1)/2</f>
        <v>63</v>
      </c>
    </row>
    <row r="523" spans="1:6" ht="15" customHeight="1" x14ac:dyDescent="0.3">
      <c r="A523" s="25">
        <f>RANK('Final Sample'!I523,'Final Sample'!$I$2:$I$612,0)+(COUNTIF('Final Sample'!$I$2:$I$612,'Final Sample'!I523)-1)/2</f>
        <v>146.5</v>
      </c>
      <c r="B523" s="25">
        <f>RANK('Final Sample'!J523,'Final Sample'!$J$2:$J$612,0)+(COUNTIF('Final Sample'!$J$2:$J$612,'Final Sample'!J523)-1)/2</f>
        <v>79.5</v>
      </c>
      <c r="C523" s="25">
        <f>RANK('Final Sample'!AA523,'Final Sample'!$AA$2:$AA$612,0)+(COUNTIF('Final Sample'!$AA$2:$AA$612,'Final Sample'!AA523)-1)/2</f>
        <v>222</v>
      </c>
      <c r="D523" s="25">
        <f>RANK('Final Sample'!R523,'Final Sample'!$R$2:$R$612,0)+(COUNTIF('Final Sample'!$R$2:$R$612,'Final Sample'!R523)-1)/2</f>
        <v>140</v>
      </c>
      <c r="E523" s="25">
        <f>RANK('Final Sample'!AB523,'Final Sample'!$AB$2:$AB$612,0)+(COUNTIF('Final Sample'!$AB$2:$AB$612,'Final Sample'!AB523)-1)/2</f>
        <v>190</v>
      </c>
      <c r="F523" s="25">
        <f>RANK('Final Sample'!V523,'Final Sample'!$V$2:$V$612,0)+(COUNTIF('Final Sample'!$V$2:$V$612,'Final Sample'!V523)-1)/2</f>
        <v>57</v>
      </c>
    </row>
    <row r="524" spans="1:6" ht="15" customHeight="1" x14ac:dyDescent="0.3">
      <c r="A524" s="25">
        <f>RANK('Final Sample'!I524,'Final Sample'!$I$2:$I$612,0)+(COUNTIF('Final Sample'!$I$2:$I$612,'Final Sample'!I524)-1)/2</f>
        <v>441.5</v>
      </c>
      <c r="B524" s="25">
        <f>RANK('Final Sample'!J524,'Final Sample'!$J$2:$J$612,0)+(COUNTIF('Final Sample'!$J$2:$J$612,'Final Sample'!J524)-1)/2</f>
        <v>359</v>
      </c>
      <c r="C524" s="25">
        <f>RANK('Final Sample'!AA524,'Final Sample'!$AA$2:$AA$612,0)+(COUNTIF('Final Sample'!$AA$2:$AA$612,'Final Sample'!AA524)-1)/2</f>
        <v>206</v>
      </c>
      <c r="D524" s="25">
        <f>RANK('Final Sample'!R524,'Final Sample'!$R$2:$R$612,0)+(COUNTIF('Final Sample'!$R$2:$R$612,'Final Sample'!R524)-1)/2</f>
        <v>151</v>
      </c>
      <c r="E524" s="25">
        <f>RANK('Final Sample'!AB524,'Final Sample'!$AB$2:$AB$612,0)+(COUNTIF('Final Sample'!$AB$2:$AB$612,'Final Sample'!AB524)-1)/2</f>
        <v>160</v>
      </c>
      <c r="F524" s="25">
        <f>RANK('Final Sample'!V524,'Final Sample'!$V$2:$V$612,0)+(COUNTIF('Final Sample'!$V$2:$V$612,'Final Sample'!V524)-1)/2</f>
        <v>53</v>
      </c>
    </row>
    <row r="525" spans="1:6" ht="15" customHeight="1" x14ac:dyDescent="0.3">
      <c r="A525" s="25">
        <f>RANK('Final Sample'!I525,'Final Sample'!$I$2:$I$612,0)+(COUNTIF('Final Sample'!$I$2:$I$612,'Final Sample'!I525)-1)/2</f>
        <v>441.5</v>
      </c>
      <c r="B525" s="25">
        <f>RANK('Final Sample'!J525,'Final Sample'!$J$2:$J$612,0)+(COUNTIF('Final Sample'!$J$2:$J$612,'Final Sample'!J525)-1)/2</f>
        <v>359</v>
      </c>
      <c r="C525" s="25">
        <f>RANK('Final Sample'!AA525,'Final Sample'!$AA$2:$AA$612,0)+(COUNTIF('Final Sample'!$AA$2:$AA$612,'Final Sample'!AA525)-1)/2</f>
        <v>446</v>
      </c>
      <c r="D525" s="25">
        <f>RANK('Final Sample'!R525,'Final Sample'!$R$2:$R$612,0)+(COUNTIF('Final Sample'!$R$2:$R$612,'Final Sample'!R525)-1)/2</f>
        <v>215</v>
      </c>
      <c r="E525" s="25">
        <f>RANK('Final Sample'!AB525,'Final Sample'!$AB$2:$AB$612,0)+(COUNTIF('Final Sample'!$AB$2:$AB$612,'Final Sample'!AB525)-1)/2</f>
        <v>471</v>
      </c>
      <c r="F525" s="25">
        <f>RANK('Final Sample'!V525,'Final Sample'!$V$2:$V$612,0)+(COUNTIF('Final Sample'!$V$2:$V$612,'Final Sample'!V525)-1)/2</f>
        <v>460</v>
      </c>
    </row>
    <row r="526" spans="1:6" ht="15" customHeight="1" x14ac:dyDescent="0.3">
      <c r="A526" s="25">
        <f>RANK('Final Sample'!I526,'Final Sample'!$I$2:$I$612,0)+(COUNTIF('Final Sample'!$I$2:$I$612,'Final Sample'!I526)-1)/2</f>
        <v>441.5</v>
      </c>
      <c r="B526" s="25">
        <f>RANK('Final Sample'!J526,'Final Sample'!$J$2:$J$612,0)+(COUNTIF('Final Sample'!$J$2:$J$612,'Final Sample'!J526)-1)/2</f>
        <v>359</v>
      </c>
      <c r="C526" s="25">
        <f>RANK('Final Sample'!AA526,'Final Sample'!$AA$2:$AA$612,0)+(COUNTIF('Final Sample'!$AA$2:$AA$612,'Final Sample'!AA526)-1)/2</f>
        <v>365</v>
      </c>
      <c r="D526" s="25">
        <f>RANK('Final Sample'!R526,'Final Sample'!$R$2:$R$612,0)+(COUNTIF('Final Sample'!$R$2:$R$612,'Final Sample'!R526)-1)/2</f>
        <v>210</v>
      </c>
      <c r="E526" s="25">
        <f>RANK('Final Sample'!AB526,'Final Sample'!$AB$2:$AB$612,0)+(COUNTIF('Final Sample'!$AB$2:$AB$612,'Final Sample'!AB526)-1)/2</f>
        <v>451</v>
      </c>
      <c r="F526" s="25">
        <f>RANK('Final Sample'!V526,'Final Sample'!$V$2:$V$612,0)+(COUNTIF('Final Sample'!$V$2:$V$612,'Final Sample'!V526)-1)/2</f>
        <v>451</v>
      </c>
    </row>
    <row r="527" spans="1:6" ht="15" customHeight="1" x14ac:dyDescent="0.3">
      <c r="A527" s="25">
        <f>RANK('Final Sample'!I527,'Final Sample'!$I$2:$I$612,0)+(COUNTIF('Final Sample'!$I$2:$I$612,'Final Sample'!I527)-1)/2</f>
        <v>441.5</v>
      </c>
      <c r="B527" s="25">
        <f>RANK('Final Sample'!J527,'Final Sample'!$J$2:$J$612,0)+(COUNTIF('Final Sample'!$J$2:$J$612,'Final Sample'!J527)-1)/2</f>
        <v>359</v>
      </c>
      <c r="C527" s="25">
        <f>RANK('Final Sample'!AA527,'Final Sample'!$AA$2:$AA$612,0)+(COUNTIF('Final Sample'!$AA$2:$AA$612,'Final Sample'!AA527)-1)/2</f>
        <v>19</v>
      </c>
      <c r="D527" s="25">
        <f>RANK('Final Sample'!R527,'Final Sample'!$R$2:$R$612,0)+(COUNTIF('Final Sample'!$R$2:$R$612,'Final Sample'!R527)-1)/2</f>
        <v>206</v>
      </c>
      <c r="E527" s="25">
        <f>RANK('Final Sample'!AB527,'Final Sample'!$AB$2:$AB$612,0)+(COUNTIF('Final Sample'!$AB$2:$AB$612,'Final Sample'!AB527)-1)/2</f>
        <v>464</v>
      </c>
      <c r="F527" s="25">
        <f>RANK('Final Sample'!V527,'Final Sample'!$V$2:$V$612,0)+(COUNTIF('Final Sample'!$V$2:$V$612,'Final Sample'!V527)-1)/2</f>
        <v>440</v>
      </c>
    </row>
    <row r="528" spans="1:6" ht="15" customHeight="1" x14ac:dyDescent="0.3">
      <c r="A528" s="25">
        <f>RANK('Final Sample'!I528,'Final Sample'!$I$2:$I$612,0)+(COUNTIF('Final Sample'!$I$2:$I$612,'Final Sample'!I528)-1)/2</f>
        <v>186.5</v>
      </c>
      <c r="B528" s="25">
        <f>RANK('Final Sample'!J528,'Final Sample'!$J$2:$J$612,0)+(COUNTIF('Final Sample'!$J$2:$J$612,'Final Sample'!J528)-1)/2</f>
        <v>79.5</v>
      </c>
      <c r="C528" s="25">
        <f>RANK('Final Sample'!AA528,'Final Sample'!$AA$2:$AA$612,0)+(COUNTIF('Final Sample'!$AA$2:$AA$612,'Final Sample'!AA528)-1)/2</f>
        <v>10</v>
      </c>
      <c r="D528" s="25">
        <f>RANK('Final Sample'!R528,'Final Sample'!$R$2:$R$612,0)+(COUNTIF('Final Sample'!$R$2:$R$612,'Final Sample'!R528)-1)/2</f>
        <v>197</v>
      </c>
      <c r="E528" s="25">
        <f>RANK('Final Sample'!AB528,'Final Sample'!$AB$2:$AB$612,0)+(COUNTIF('Final Sample'!$AB$2:$AB$612,'Final Sample'!AB528)-1)/2</f>
        <v>505</v>
      </c>
      <c r="F528" s="25">
        <f>RANK('Final Sample'!V528,'Final Sample'!$V$2:$V$612,0)+(COUNTIF('Final Sample'!$V$2:$V$612,'Final Sample'!V528)-1)/2</f>
        <v>425.5</v>
      </c>
    </row>
    <row r="529" spans="1:6" ht="15" customHeight="1" x14ac:dyDescent="0.3">
      <c r="A529" s="25">
        <f>RANK('Final Sample'!I529,'Final Sample'!$I$2:$I$612,0)+(COUNTIF('Final Sample'!$I$2:$I$612,'Final Sample'!I529)-1)/2</f>
        <v>441.5</v>
      </c>
      <c r="B529" s="25">
        <f>RANK('Final Sample'!J529,'Final Sample'!$J$2:$J$612,0)+(COUNTIF('Final Sample'!$J$2:$J$612,'Final Sample'!J529)-1)/2</f>
        <v>359</v>
      </c>
      <c r="C529" s="25">
        <f>RANK('Final Sample'!AA529,'Final Sample'!$AA$2:$AA$612,0)+(COUNTIF('Final Sample'!$AA$2:$AA$612,'Final Sample'!AA529)-1)/2</f>
        <v>2.5</v>
      </c>
      <c r="D529" s="25">
        <f>RANK('Final Sample'!R529,'Final Sample'!$R$2:$R$612,0)+(COUNTIF('Final Sample'!$R$2:$R$612,'Final Sample'!R529)-1)/2</f>
        <v>188</v>
      </c>
      <c r="E529" s="25">
        <f>RANK('Final Sample'!AB529,'Final Sample'!$AB$2:$AB$612,0)+(COUNTIF('Final Sample'!$AB$2:$AB$612,'Final Sample'!AB529)-1)/2</f>
        <v>520</v>
      </c>
      <c r="F529" s="25">
        <f>RANK('Final Sample'!V529,'Final Sample'!$V$2:$V$612,0)+(COUNTIF('Final Sample'!$V$2:$V$612,'Final Sample'!V529)-1)/2</f>
        <v>408</v>
      </c>
    </row>
    <row r="530" spans="1:6" ht="15" customHeight="1" x14ac:dyDescent="0.3">
      <c r="A530" s="25">
        <f>RANK('Final Sample'!I530,'Final Sample'!$I$2:$I$612,0)+(COUNTIF('Final Sample'!$I$2:$I$612,'Final Sample'!I530)-1)/2</f>
        <v>441.5</v>
      </c>
      <c r="B530" s="25">
        <f>RANK('Final Sample'!J530,'Final Sample'!$J$2:$J$612,0)+(COUNTIF('Final Sample'!$J$2:$J$612,'Final Sample'!J530)-1)/2</f>
        <v>359</v>
      </c>
      <c r="C530" s="25">
        <f>RANK('Final Sample'!AA530,'Final Sample'!$AA$2:$AA$612,0)+(COUNTIF('Final Sample'!$AA$2:$AA$612,'Final Sample'!AA530)-1)/2</f>
        <v>553</v>
      </c>
      <c r="D530" s="25">
        <f>RANK('Final Sample'!R530,'Final Sample'!$R$2:$R$612,0)+(COUNTIF('Final Sample'!$R$2:$R$612,'Final Sample'!R530)-1)/2</f>
        <v>147</v>
      </c>
      <c r="E530" s="25">
        <f>RANK('Final Sample'!AB530,'Final Sample'!$AB$2:$AB$612,0)+(COUNTIF('Final Sample'!$AB$2:$AB$612,'Final Sample'!AB530)-1)/2</f>
        <v>325</v>
      </c>
      <c r="F530" s="25">
        <f>RANK('Final Sample'!V530,'Final Sample'!$V$2:$V$612,0)+(COUNTIF('Final Sample'!$V$2:$V$612,'Final Sample'!V530)-1)/2</f>
        <v>530</v>
      </c>
    </row>
    <row r="531" spans="1:6" ht="15" customHeight="1" x14ac:dyDescent="0.3">
      <c r="A531" s="25">
        <f>RANK('Final Sample'!I531,'Final Sample'!$I$2:$I$612,0)+(COUNTIF('Final Sample'!$I$2:$I$612,'Final Sample'!I531)-1)/2</f>
        <v>441.5</v>
      </c>
      <c r="B531" s="25">
        <f>RANK('Final Sample'!J531,'Final Sample'!$J$2:$J$612,0)+(COUNTIF('Final Sample'!$J$2:$J$612,'Final Sample'!J531)-1)/2</f>
        <v>359</v>
      </c>
      <c r="C531" s="25">
        <f>RANK('Final Sample'!AA531,'Final Sample'!$AA$2:$AA$612,0)+(COUNTIF('Final Sample'!$AA$2:$AA$612,'Final Sample'!AA531)-1)/2</f>
        <v>548</v>
      </c>
      <c r="D531" s="25">
        <f>RANK('Final Sample'!R531,'Final Sample'!$R$2:$R$612,0)+(COUNTIF('Final Sample'!$R$2:$R$612,'Final Sample'!R531)-1)/2</f>
        <v>144</v>
      </c>
      <c r="E531" s="25">
        <f>RANK('Final Sample'!AB531,'Final Sample'!$AB$2:$AB$612,0)+(COUNTIF('Final Sample'!$AB$2:$AB$612,'Final Sample'!AB531)-1)/2</f>
        <v>320</v>
      </c>
      <c r="F531" s="25">
        <f>RANK('Final Sample'!V531,'Final Sample'!$V$2:$V$612,0)+(COUNTIF('Final Sample'!$V$2:$V$612,'Final Sample'!V531)-1)/2</f>
        <v>520.5</v>
      </c>
    </row>
    <row r="532" spans="1:6" ht="15" customHeight="1" x14ac:dyDescent="0.3">
      <c r="A532" s="25">
        <f>RANK('Final Sample'!I532,'Final Sample'!$I$2:$I$612,0)+(COUNTIF('Final Sample'!$I$2:$I$612,'Final Sample'!I532)-1)/2</f>
        <v>186.5</v>
      </c>
      <c r="B532" s="25">
        <f>RANK('Final Sample'!J532,'Final Sample'!$J$2:$J$612,0)+(COUNTIF('Final Sample'!$J$2:$J$612,'Final Sample'!J532)-1)/2</f>
        <v>359</v>
      </c>
      <c r="C532" s="25">
        <f>RANK('Final Sample'!AA532,'Final Sample'!$AA$2:$AA$612,0)+(COUNTIF('Final Sample'!$AA$2:$AA$612,'Final Sample'!AA532)-1)/2</f>
        <v>235</v>
      </c>
      <c r="D532" s="25">
        <f>RANK('Final Sample'!R532,'Final Sample'!$R$2:$R$612,0)+(COUNTIF('Final Sample'!$R$2:$R$612,'Final Sample'!R532)-1)/2</f>
        <v>130</v>
      </c>
      <c r="E532" s="25">
        <f>RANK('Final Sample'!AB532,'Final Sample'!$AB$2:$AB$612,0)+(COUNTIF('Final Sample'!$AB$2:$AB$612,'Final Sample'!AB532)-1)/2</f>
        <v>329</v>
      </c>
      <c r="F532" s="25">
        <f>RANK('Final Sample'!V532,'Final Sample'!$V$2:$V$612,0)+(COUNTIF('Final Sample'!$V$2:$V$612,'Final Sample'!V532)-1)/2</f>
        <v>509.5</v>
      </c>
    </row>
    <row r="533" spans="1:6" ht="15" customHeight="1" x14ac:dyDescent="0.3">
      <c r="A533" s="25">
        <f>RANK('Final Sample'!I533,'Final Sample'!$I$2:$I$612,0)+(COUNTIF('Final Sample'!$I$2:$I$612,'Final Sample'!I533)-1)/2</f>
        <v>186.5</v>
      </c>
      <c r="B533" s="25">
        <f>RANK('Final Sample'!J533,'Final Sample'!$J$2:$J$612,0)+(COUNTIF('Final Sample'!$J$2:$J$612,'Final Sample'!J533)-1)/2</f>
        <v>359</v>
      </c>
      <c r="C533" s="25">
        <f>RANK('Final Sample'!AA533,'Final Sample'!$AA$2:$AA$612,0)+(COUNTIF('Final Sample'!$AA$2:$AA$612,'Final Sample'!AA533)-1)/2</f>
        <v>246</v>
      </c>
      <c r="D533" s="25">
        <f>RANK('Final Sample'!R533,'Final Sample'!$R$2:$R$612,0)+(COUNTIF('Final Sample'!$R$2:$R$612,'Final Sample'!R533)-1)/2</f>
        <v>112</v>
      </c>
      <c r="E533" s="25">
        <f>RANK('Final Sample'!AB533,'Final Sample'!$AB$2:$AB$612,0)+(COUNTIF('Final Sample'!$AB$2:$AB$612,'Final Sample'!AB533)-1)/2</f>
        <v>300</v>
      </c>
      <c r="F533" s="25">
        <f>RANK('Final Sample'!V533,'Final Sample'!$V$2:$V$612,0)+(COUNTIF('Final Sample'!$V$2:$V$612,'Final Sample'!V533)-1)/2</f>
        <v>499</v>
      </c>
    </row>
    <row r="534" spans="1:6" ht="15" customHeight="1" x14ac:dyDescent="0.3">
      <c r="A534" s="25">
        <f>RANK('Final Sample'!I534,'Final Sample'!$I$2:$I$612,0)+(COUNTIF('Final Sample'!$I$2:$I$612,'Final Sample'!I534)-1)/2</f>
        <v>441.5</v>
      </c>
      <c r="B534" s="25">
        <f>RANK('Final Sample'!J534,'Final Sample'!$J$2:$J$612,0)+(COUNTIF('Final Sample'!$J$2:$J$612,'Final Sample'!J534)-1)/2</f>
        <v>359</v>
      </c>
      <c r="C534" s="25">
        <f>RANK('Final Sample'!AA534,'Final Sample'!$AA$2:$AA$612,0)+(COUNTIF('Final Sample'!$AA$2:$AA$612,'Final Sample'!AA534)-1)/2</f>
        <v>313</v>
      </c>
      <c r="D534" s="25">
        <f>RANK('Final Sample'!R534,'Final Sample'!$R$2:$R$612,0)+(COUNTIF('Final Sample'!$R$2:$R$612,'Final Sample'!R534)-1)/2</f>
        <v>99</v>
      </c>
      <c r="E534" s="25">
        <f>RANK('Final Sample'!AB534,'Final Sample'!$AB$2:$AB$612,0)+(COUNTIF('Final Sample'!$AB$2:$AB$612,'Final Sample'!AB534)-1)/2</f>
        <v>328</v>
      </c>
      <c r="F534" s="25">
        <f>RANK('Final Sample'!V534,'Final Sample'!$V$2:$V$612,0)+(COUNTIF('Final Sample'!$V$2:$V$612,'Final Sample'!V534)-1)/2</f>
        <v>490.5</v>
      </c>
    </row>
    <row r="535" spans="1:6" ht="15" customHeight="1" x14ac:dyDescent="0.3">
      <c r="A535" s="25">
        <f>RANK('Final Sample'!I535,'Final Sample'!$I$2:$I$612,0)+(COUNTIF('Final Sample'!$I$2:$I$612,'Final Sample'!I535)-1)/2</f>
        <v>441.5</v>
      </c>
      <c r="B535" s="25">
        <f>RANK('Final Sample'!J535,'Final Sample'!$J$2:$J$612,0)+(COUNTIF('Final Sample'!$J$2:$J$612,'Final Sample'!J535)-1)/2</f>
        <v>359</v>
      </c>
      <c r="C535" s="25">
        <f>RANK('Final Sample'!AA535,'Final Sample'!$AA$2:$AA$612,0)+(COUNTIF('Final Sample'!$AA$2:$AA$612,'Final Sample'!AA535)-1)/2</f>
        <v>354</v>
      </c>
      <c r="D535" s="25">
        <f>RANK('Final Sample'!R535,'Final Sample'!$R$2:$R$612,0)+(COUNTIF('Final Sample'!$R$2:$R$612,'Final Sample'!R535)-1)/2</f>
        <v>597</v>
      </c>
      <c r="E535" s="25">
        <f>RANK('Final Sample'!AB535,'Final Sample'!$AB$2:$AB$612,0)+(COUNTIF('Final Sample'!$AB$2:$AB$612,'Final Sample'!AB535)-1)/2</f>
        <v>492</v>
      </c>
      <c r="F535" s="25">
        <f>RANK('Final Sample'!V535,'Final Sample'!$V$2:$V$612,0)+(COUNTIF('Final Sample'!$V$2:$V$612,'Final Sample'!V535)-1)/2</f>
        <v>326</v>
      </c>
    </row>
    <row r="536" spans="1:6" ht="15" customHeight="1" x14ac:dyDescent="0.3">
      <c r="A536" s="25">
        <f>RANK('Final Sample'!I536,'Final Sample'!$I$2:$I$612,0)+(COUNTIF('Final Sample'!$I$2:$I$612,'Final Sample'!I536)-1)/2</f>
        <v>441.5</v>
      </c>
      <c r="B536" s="25">
        <f>RANK('Final Sample'!J536,'Final Sample'!$J$2:$J$612,0)+(COUNTIF('Final Sample'!$J$2:$J$612,'Final Sample'!J536)-1)/2</f>
        <v>359</v>
      </c>
      <c r="C536" s="25">
        <f>RANK('Final Sample'!AA536,'Final Sample'!$AA$2:$AA$612,0)+(COUNTIF('Final Sample'!$AA$2:$AA$612,'Final Sample'!AA536)-1)/2</f>
        <v>343</v>
      </c>
      <c r="D536" s="25">
        <f>RANK('Final Sample'!R536,'Final Sample'!$R$2:$R$612,0)+(COUNTIF('Final Sample'!$R$2:$R$612,'Final Sample'!R536)-1)/2</f>
        <v>594</v>
      </c>
      <c r="E536" s="25">
        <f>RANK('Final Sample'!AB536,'Final Sample'!$AB$2:$AB$612,0)+(COUNTIF('Final Sample'!$AB$2:$AB$612,'Final Sample'!AB536)-1)/2</f>
        <v>482</v>
      </c>
      <c r="F536" s="25">
        <f>RANK('Final Sample'!V536,'Final Sample'!$V$2:$V$612,0)+(COUNTIF('Final Sample'!$V$2:$V$612,'Final Sample'!V536)-1)/2</f>
        <v>318.5</v>
      </c>
    </row>
    <row r="537" spans="1:6" ht="15" customHeight="1" x14ac:dyDescent="0.3">
      <c r="A537" s="25">
        <f>RANK('Final Sample'!I537,'Final Sample'!$I$2:$I$612,0)+(COUNTIF('Final Sample'!$I$2:$I$612,'Final Sample'!I537)-1)/2</f>
        <v>236</v>
      </c>
      <c r="B537" s="25">
        <f>RANK('Final Sample'!J537,'Final Sample'!$J$2:$J$612,0)+(COUNTIF('Final Sample'!$J$2:$J$612,'Final Sample'!J537)-1)/2</f>
        <v>359</v>
      </c>
      <c r="C537" s="25">
        <f>RANK('Final Sample'!AA537,'Final Sample'!$AA$2:$AA$612,0)+(COUNTIF('Final Sample'!$AA$2:$AA$612,'Final Sample'!AA537)-1)/2</f>
        <v>250</v>
      </c>
      <c r="D537" s="25">
        <f>RANK('Final Sample'!R537,'Final Sample'!$R$2:$R$612,0)+(COUNTIF('Final Sample'!$R$2:$R$612,'Final Sample'!R537)-1)/2</f>
        <v>593</v>
      </c>
      <c r="E537" s="25">
        <f>RANK('Final Sample'!AB537,'Final Sample'!$AB$2:$AB$612,0)+(COUNTIF('Final Sample'!$AB$2:$AB$612,'Final Sample'!AB537)-1)/2</f>
        <v>470</v>
      </c>
      <c r="F537" s="25">
        <f>RANK('Final Sample'!V537,'Final Sample'!$V$2:$V$612,0)+(COUNTIF('Final Sample'!$V$2:$V$612,'Final Sample'!V537)-1)/2</f>
        <v>311.5</v>
      </c>
    </row>
    <row r="538" spans="1:6" ht="15" customHeight="1" x14ac:dyDescent="0.3">
      <c r="A538" s="25">
        <f>RANK('Final Sample'!I538,'Final Sample'!$I$2:$I$612,0)+(COUNTIF('Final Sample'!$I$2:$I$612,'Final Sample'!I538)-1)/2</f>
        <v>441.5</v>
      </c>
      <c r="B538" s="25">
        <f>RANK('Final Sample'!J538,'Final Sample'!$J$2:$J$612,0)+(COUNTIF('Final Sample'!$J$2:$J$612,'Final Sample'!J538)-1)/2</f>
        <v>359</v>
      </c>
      <c r="C538" s="25">
        <f>RANK('Final Sample'!AA538,'Final Sample'!$AA$2:$AA$612,0)+(COUNTIF('Final Sample'!$AA$2:$AA$612,'Final Sample'!AA538)-1)/2</f>
        <v>139</v>
      </c>
      <c r="D538" s="25">
        <f>RANK('Final Sample'!R538,'Final Sample'!$R$2:$R$612,0)+(COUNTIF('Final Sample'!$R$2:$R$612,'Final Sample'!R538)-1)/2</f>
        <v>599</v>
      </c>
      <c r="E538" s="25">
        <f>RANK('Final Sample'!AB538,'Final Sample'!$AB$2:$AB$612,0)+(COUNTIF('Final Sample'!$AB$2:$AB$612,'Final Sample'!AB538)-1)/2</f>
        <v>330</v>
      </c>
      <c r="F538" s="25">
        <f>RANK('Final Sample'!V538,'Final Sample'!$V$2:$V$612,0)+(COUNTIF('Final Sample'!$V$2:$V$612,'Final Sample'!V538)-1)/2</f>
        <v>303</v>
      </c>
    </row>
    <row r="539" spans="1:6" ht="15" customHeight="1" x14ac:dyDescent="0.3">
      <c r="A539" s="25">
        <f>RANK('Final Sample'!I539,'Final Sample'!$I$2:$I$612,0)+(COUNTIF('Final Sample'!$I$2:$I$612,'Final Sample'!I539)-1)/2</f>
        <v>441.5</v>
      </c>
      <c r="B539" s="25">
        <f>RANK('Final Sample'!J539,'Final Sample'!$J$2:$J$612,0)+(COUNTIF('Final Sample'!$J$2:$J$612,'Final Sample'!J539)-1)/2</f>
        <v>359</v>
      </c>
      <c r="C539" s="25">
        <f>RANK('Final Sample'!AA539,'Final Sample'!$AA$2:$AA$612,0)+(COUNTIF('Final Sample'!$AA$2:$AA$612,'Final Sample'!AA539)-1)/2</f>
        <v>44</v>
      </c>
      <c r="D539" s="25">
        <f>RANK('Final Sample'!R539,'Final Sample'!$R$2:$R$612,0)+(COUNTIF('Final Sample'!$R$2:$R$612,'Final Sample'!R539)-1)/2</f>
        <v>601</v>
      </c>
      <c r="E539" s="25">
        <f>RANK('Final Sample'!AB539,'Final Sample'!$AB$2:$AB$612,0)+(COUNTIF('Final Sample'!$AB$2:$AB$612,'Final Sample'!AB539)-1)/2</f>
        <v>107</v>
      </c>
      <c r="F539" s="25">
        <f>RANK('Final Sample'!V539,'Final Sample'!$V$2:$V$612,0)+(COUNTIF('Final Sample'!$V$2:$V$612,'Final Sample'!V539)-1)/2</f>
        <v>293.5</v>
      </c>
    </row>
    <row r="540" spans="1:6" ht="15" customHeight="1" x14ac:dyDescent="0.3">
      <c r="A540" s="25">
        <f>RANK('Final Sample'!I540,'Final Sample'!$I$2:$I$612,0)+(COUNTIF('Final Sample'!$I$2:$I$612,'Final Sample'!I540)-1)/2</f>
        <v>236</v>
      </c>
      <c r="B540" s="25">
        <f>RANK('Final Sample'!J540,'Final Sample'!$J$2:$J$612,0)+(COUNTIF('Final Sample'!$J$2:$J$612,'Final Sample'!J540)-1)/2</f>
        <v>359</v>
      </c>
      <c r="C540" s="25">
        <f>RANK('Final Sample'!AA540,'Final Sample'!$AA$2:$AA$612,0)+(COUNTIF('Final Sample'!$AA$2:$AA$612,'Final Sample'!AA540)-1)/2</f>
        <v>15</v>
      </c>
      <c r="D540" s="25">
        <f>RANK('Final Sample'!R540,'Final Sample'!$R$2:$R$612,0)+(COUNTIF('Final Sample'!$R$2:$R$612,'Final Sample'!R540)-1)/2</f>
        <v>150</v>
      </c>
      <c r="E540" s="25">
        <f>RANK('Final Sample'!AB540,'Final Sample'!$AB$2:$AB$612,0)+(COUNTIF('Final Sample'!$AB$2:$AB$612,'Final Sample'!AB540)-1)/2</f>
        <v>299</v>
      </c>
      <c r="F540" s="25">
        <f>RANK('Final Sample'!V540,'Final Sample'!$V$2:$V$612,0)+(COUNTIF('Final Sample'!$V$2:$V$612,'Final Sample'!V540)-1)/2</f>
        <v>569.5</v>
      </c>
    </row>
    <row r="541" spans="1:6" ht="15" customHeight="1" x14ac:dyDescent="0.3">
      <c r="A541" s="25">
        <f>RANK('Final Sample'!I541,'Final Sample'!$I$2:$I$612,0)+(COUNTIF('Final Sample'!$I$2:$I$612,'Final Sample'!I541)-1)/2</f>
        <v>236</v>
      </c>
      <c r="B541" s="25">
        <f>RANK('Final Sample'!J541,'Final Sample'!$J$2:$J$612,0)+(COUNTIF('Final Sample'!$J$2:$J$612,'Final Sample'!J541)-1)/2</f>
        <v>359</v>
      </c>
      <c r="C541" s="25">
        <f>RANK('Final Sample'!AA541,'Final Sample'!$AA$2:$AA$612,0)+(COUNTIF('Final Sample'!$AA$2:$AA$612,'Final Sample'!AA541)-1)/2</f>
        <v>21</v>
      </c>
      <c r="D541" s="25">
        <f>RANK('Final Sample'!R541,'Final Sample'!$R$2:$R$612,0)+(COUNTIF('Final Sample'!$R$2:$R$612,'Final Sample'!R541)-1)/2</f>
        <v>128</v>
      </c>
      <c r="E541" s="25">
        <f>RANK('Final Sample'!AB541,'Final Sample'!$AB$2:$AB$612,0)+(COUNTIF('Final Sample'!$AB$2:$AB$612,'Final Sample'!AB541)-1)/2</f>
        <v>301</v>
      </c>
      <c r="F541" s="25">
        <f>RANK('Final Sample'!V541,'Final Sample'!$V$2:$V$612,0)+(COUNTIF('Final Sample'!$V$2:$V$612,'Final Sample'!V541)-1)/2</f>
        <v>561</v>
      </c>
    </row>
    <row r="542" spans="1:6" ht="15" customHeight="1" x14ac:dyDescent="0.3">
      <c r="A542" s="25">
        <f>RANK('Final Sample'!I542,'Final Sample'!$I$2:$I$612,0)+(COUNTIF('Final Sample'!$I$2:$I$612,'Final Sample'!I542)-1)/2</f>
        <v>441.5</v>
      </c>
      <c r="B542" s="25">
        <f>RANK('Final Sample'!J542,'Final Sample'!$J$2:$J$612,0)+(COUNTIF('Final Sample'!$J$2:$J$612,'Final Sample'!J542)-1)/2</f>
        <v>359</v>
      </c>
      <c r="C542" s="25">
        <f>RANK('Final Sample'!AA542,'Final Sample'!$AA$2:$AA$612,0)+(COUNTIF('Final Sample'!$AA$2:$AA$612,'Final Sample'!AA542)-1)/2</f>
        <v>519</v>
      </c>
      <c r="D542" s="25">
        <f>RANK('Final Sample'!R542,'Final Sample'!$R$2:$R$612,0)+(COUNTIF('Final Sample'!$R$2:$R$612,'Final Sample'!R542)-1)/2</f>
        <v>539</v>
      </c>
      <c r="E542" s="25">
        <f>RANK('Final Sample'!AB542,'Final Sample'!$AB$2:$AB$612,0)+(COUNTIF('Final Sample'!$AB$2:$AB$612,'Final Sample'!AB542)-1)/2</f>
        <v>265</v>
      </c>
      <c r="F542" s="25">
        <f>RANK('Final Sample'!V542,'Final Sample'!$V$2:$V$612,0)+(COUNTIF('Final Sample'!$V$2:$V$612,'Final Sample'!V542)-1)/2</f>
        <v>282.5</v>
      </c>
    </row>
    <row r="543" spans="1:6" ht="15" customHeight="1" x14ac:dyDescent="0.3">
      <c r="A543" s="25">
        <f>RANK('Final Sample'!I543,'Final Sample'!$I$2:$I$612,0)+(COUNTIF('Final Sample'!$I$2:$I$612,'Final Sample'!I543)-1)/2</f>
        <v>441.5</v>
      </c>
      <c r="B543" s="25">
        <f>RANK('Final Sample'!J543,'Final Sample'!$J$2:$J$612,0)+(COUNTIF('Final Sample'!$J$2:$J$612,'Final Sample'!J543)-1)/2</f>
        <v>359</v>
      </c>
      <c r="C543" s="25">
        <f>RANK('Final Sample'!AA543,'Final Sample'!$AA$2:$AA$612,0)+(COUNTIF('Final Sample'!$AA$2:$AA$612,'Final Sample'!AA543)-1)/2</f>
        <v>514</v>
      </c>
      <c r="D543" s="25">
        <f>RANK('Final Sample'!R543,'Final Sample'!$R$2:$R$612,0)+(COUNTIF('Final Sample'!$R$2:$R$612,'Final Sample'!R543)-1)/2</f>
        <v>514</v>
      </c>
      <c r="E543" s="25">
        <f>RANK('Final Sample'!AB543,'Final Sample'!$AB$2:$AB$612,0)+(COUNTIF('Final Sample'!$AB$2:$AB$612,'Final Sample'!AB543)-1)/2</f>
        <v>238</v>
      </c>
      <c r="F543" s="25">
        <f>RANK('Final Sample'!V543,'Final Sample'!$V$2:$V$612,0)+(COUNTIF('Final Sample'!$V$2:$V$612,'Final Sample'!V543)-1)/2</f>
        <v>270.5</v>
      </c>
    </row>
    <row r="544" spans="1:6" ht="15" customHeight="1" x14ac:dyDescent="0.3">
      <c r="A544" s="25">
        <f>RANK('Final Sample'!I544,'Final Sample'!$I$2:$I$612,0)+(COUNTIF('Final Sample'!$I$2:$I$612,'Final Sample'!I544)-1)/2</f>
        <v>441.5</v>
      </c>
      <c r="B544" s="25">
        <f>RANK('Final Sample'!J544,'Final Sample'!$J$2:$J$612,0)+(COUNTIF('Final Sample'!$J$2:$J$612,'Final Sample'!J544)-1)/2</f>
        <v>359</v>
      </c>
      <c r="C544" s="25">
        <f>RANK('Final Sample'!AA544,'Final Sample'!$AA$2:$AA$612,0)+(COUNTIF('Final Sample'!$AA$2:$AA$612,'Final Sample'!AA544)-1)/2</f>
        <v>345</v>
      </c>
      <c r="D544" s="25">
        <f>RANK('Final Sample'!R544,'Final Sample'!$R$2:$R$612,0)+(COUNTIF('Final Sample'!$R$2:$R$612,'Final Sample'!R544)-1)/2</f>
        <v>508</v>
      </c>
      <c r="E544" s="25">
        <f>RANK('Final Sample'!AB544,'Final Sample'!$AB$2:$AB$612,0)+(COUNTIF('Final Sample'!$AB$2:$AB$612,'Final Sample'!AB544)-1)/2</f>
        <v>163</v>
      </c>
      <c r="F544" s="25">
        <f>RANK('Final Sample'!V544,'Final Sample'!$V$2:$V$612,0)+(COUNTIF('Final Sample'!$V$2:$V$612,'Final Sample'!V544)-1)/2</f>
        <v>260</v>
      </c>
    </row>
    <row r="545" spans="1:6" ht="15" customHeight="1" x14ac:dyDescent="0.3">
      <c r="A545" s="25">
        <f>RANK('Final Sample'!I545,'Final Sample'!$I$2:$I$612,0)+(COUNTIF('Final Sample'!$I$2:$I$612,'Final Sample'!I545)-1)/2</f>
        <v>441.5</v>
      </c>
      <c r="B545" s="25">
        <f>RANK('Final Sample'!J545,'Final Sample'!$J$2:$J$612,0)+(COUNTIF('Final Sample'!$J$2:$J$612,'Final Sample'!J545)-1)/2</f>
        <v>359</v>
      </c>
      <c r="C545" s="25">
        <f>RANK('Final Sample'!AA545,'Final Sample'!$AA$2:$AA$612,0)+(COUNTIF('Final Sample'!$AA$2:$AA$612,'Final Sample'!AA545)-1)/2</f>
        <v>198</v>
      </c>
      <c r="D545" s="25">
        <f>RANK('Final Sample'!R545,'Final Sample'!$R$2:$R$612,0)+(COUNTIF('Final Sample'!$R$2:$R$612,'Final Sample'!R545)-1)/2</f>
        <v>518</v>
      </c>
      <c r="E545" s="25">
        <f>RANK('Final Sample'!AB545,'Final Sample'!$AB$2:$AB$612,0)+(COUNTIF('Final Sample'!$AB$2:$AB$612,'Final Sample'!AB545)-1)/2</f>
        <v>54</v>
      </c>
      <c r="F545" s="25">
        <f>RANK('Final Sample'!V545,'Final Sample'!$V$2:$V$612,0)+(COUNTIF('Final Sample'!$V$2:$V$612,'Final Sample'!V545)-1)/2</f>
        <v>252</v>
      </c>
    </row>
    <row r="546" spans="1:6" ht="15" customHeight="1" x14ac:dyDescent="0.3">
      <c r="A546" s="25">
        <f>RANK('Final Sample'!I546,'Final Sample'!$I$2:$I$612,0)+(COUNTIF('Final Sample'!$I$2:$I$612,'Final Sample'!I546)-1)/2</f>
        <v>236</v>
      </c>
      <c r="B546" s="25">
        <f>RANK('Final Sample'!J546,'Final Sample'!$J$2:$J$612,0)+(COUNTIF('Final Sample'!$J$2:$J$612,'Final Sample'!J546)-1)/2</f>
        <v>359</v>
      </c>
      <c r="C546" s="25">
        <f>RANK('Final Sample'!AA546,'Final Sample'!$AA$2:$AA$612,0)+(COUNTIF('Final Sample'!$AA$2:$AA$612,'Final Sample'!AA546)-1)/2</f>
        <v>545</v>
      </c>
      <c r="D546" s="25">
        <f>RANK('Final Sample'!R546,'Final Sample'!$R$2:$R$612,0)+(COUNTIF('Final Sample'!$R$2:$R$612,'Final Sample'!R546)-1)/2</f>
        <v>224</v>
      </c>
      <c r="E546" s="25">
        <f>RANK('Final Sample'!AB546,'Final Sample'!$AB$2:$AB$612,0)+(COUNTIF('Final Sample'!$AB$2:$AB$612,'Final Sample'!AB546)-1)/2</f>
        <v>443</v>
      </c>
      <c r="F546" s="25">
        <f>RANK('Final Sample'!V546,'Final Sample'!$V$2:$V$612,0)+(COUNTIF('Final Sample'!$V$2:$V$612,'Final Sample'!V546)-1)/2</f>
        <v>10</v>
      </c>
    </row>
    <row r="547" spans="1:6" ht="15" customHeight="1" x14ac:dyDescent="0.3">
      <c r="A547" s="25">
        <f>RANK('Final Sample'!I547,'Final Sample'!$I$2:$I$612,0)+(COUNTIF('Final Sample'!$I$2:$I$612,'Final Sample'!I547)-1)/2</f>
        <v>236</v>
      </c>
      <c r="B547" s="25">
        <f>RANK('Final Sample'!J547,'Final Sample'!$J$2:$J$612,0)+(COUNTIF('Final Sample'!$J$2:$J$612,'Final Sample'!J547)-1)/2</f>
        <v>359</v>
      </c>
      <c r="C547" s="25">
        <f>RANK('Final Sample'!AA547,'Final Sample'!$AA$2:$AA$612,0)+(COUNTIF('Final Sample'!$AA$2:$AA$612,'Final Sample'!AA547)-1)/2</f>
        <v>521</v>
      </c>
      <c r="D547" s="25">
        <f>RANK('Final Sample'!R547,'Final Sample'!$R$2:$R$612,0)+(COUNTIF('Final Sample'!$R$2:$R$612,'Final Sample'!R547)-1)/2</f>
        <v>228</v>
      </c>
      <c r="E547" s="25">
        <f>RANK('Final Sample'!AB547,'Final Sample'!$AB$2:$AB$612,0)+(COUNTIF('Final Sample'!$AB$2:$AB$612,'Final Sample'!AB547)-1)/2</f>
        <v>419</v>
      </c>
      <c r="F547" s="25">
        <f>RANK('Final Sample'!V547,'Final Sample'!$V$2:$V$612,0)+(COUNTIF('Final Sample'!$V$2:$V$612,'Final Sample'!V547)-1)/2</f>
        <v>9</v>
      </c>
    </row>
    <row r="548" spans="1:6" ht="15" customHeight="1" x14ac:dyDescent="0.3">
      <c r="A548" s="25">
        <f>RANK('Final Sample'!I548,'Final Sample'!$I$2:$I$612,0)+(COUNTIF('Final Sample'!$I$2:$I$612,'Final Sample'!I548)-1)/2</f>
        <v>441.5</v>
      </c>
      <c r="B548" s="25">
        <f>RANK('Final Sample'!J548,'Final Sample'!$J$2:$J$612,0)+(COUNTIF('Final Sample'!$J$2:$J$612,'Final Sample'!J548)-1)/2</f>
        <v>359</v>
      </c>
      <c r="C548" s="25">
        <f>RANK('Final Sample'!AA548,'Final Sample'!$AA$2:$AA$612,0)+(COUNTIF('Final Sample'!$AA$2:$AA$612,'Final Sample'!AA548)-1)/2</f>
        <v>506</v>
      </c>
      <c r="D548" s="25">
        <f>RANK('Final Sample'!R548,'Final Sample'!$R$2:$R$612,0)+(COUNTIF('Final Sample'!$R$2:$R$612,'Final Sample'!R548)-1)/2</f>
        <v>217</v>
      </c>
      <c r="E548" s="25">
        <f>RANK('Final Sample'!AB548,'Final Sample'!$AB$2:$AB$612,0)+(COUNTIF('Final Sample'!$AB$2:$AB$612,'Final Sample'!AB548)-1)/2</f>
        <v>410</v>
      </c>
      <c r="F548" s="25">
        <f>RANK('Final Sample'!V548,'Final Sample'!$V$2:$V$612,0)+(COUNTIF('Final Sample'!$V$2:$V$612,'Final Sample'!V548)-1)/2</f>
        <v>8</v>
      </c>
    </row>
    <row r="549" spans="1:6" ht="15" customHeight="1" x14ac:dyDescent="0.3">
      <c r="A549" s="25">
        <f>RANK('Final Sample'!I549,'Final Sample'!$I$2:$I$612,0)+(COUNTIF('Final Sample'!$I$2:$I$612,'Final Sample'!I549)-1)/2</f>
        <v>441.5</v>
      </c>
      <c r="B549" s="25">
        <f>RANK('Final Sample'!J549,'Final Sample'!$J$2:$J$612,0)+(COUNTIF('Final Sample'!$J$2:$J$612,'Final Sample'!J549)-1)/2</f>
        <v>359</v>
      </c>
      <c r="C549" s="25">
        <f>RANK('Final Sample'!AA549,'Final Sample'!$AA$2:$AA$612,0)+(COUNTIF('Final Sample'!$AA$2:$AA$612,'Final Sample'!AA549)-1)/2</f>
        <v>289</v>
      </c>
      <c r="D549" s="25">
        <f>RANK('Final Sample'!R549,'Final Sample'!$R$2:$R$612,0)+(COUNTIF('Final Sample'!$R$2:$R$612,'Final Sample'!R549)-1)/2</f>
        <v>189</v>
      </c>
      <c r="E549" s="25">
        <f>RANK('Final Sample'!AB549,'Final Sample'!$AB$2:$AB$612,0)+(COUNTIF('Final Sample'!$AB$2:$AB$612,'Final Sample'!AB549)-1)/2</f>
        <v>377</v>
      </c>
      <c r="F549" s="25">
        <f>RANK('Final Sample'!V549,'Final Sample'!$V$2:$V$612,0)+(COUNTIF('Final Sample'!$V$2:$V$612,'Final Sample'!V549)-1)/2</f>
        <v>7</v>
      </c>
    </row>
    <row r="550" spans="1:6" ht="15" customHeight="1" x14ac:dyDescent="0.3">
      <c r="A550" s="25">
        <f>RANK('Final Sample'!I550,'Final Sample'!$I$2:$I$612,0)+(COUNTIF('Final Sample'!$I$2:$I$612,'Final Sample'!I550)-1)/2</f>
        <v>441.5</v>
      </c>
      <c r="B550" s="25">
        <f>RANK('Final Sample'!J550,'Final Sample'!$J$2:$J$612,0)+(COUNTIF('Final Sample'!$J$2:$J$612,'Final Sample'!J550)-1)/2</f>
        <v>359</v>
      </c>
      <c r="C550" s="25">
        <f>RANK('Final Sample'!AA550,'Final Sample'!$AA$2:$AA$612,0)+(COUNTIF('Final Sample'!$AA$2:$AA$612,'Final Sample'!AA550)-1)/2</f>
        <v>226</v>
      </c>
      <c r="D550" s="25">
        <f>RANK('Final Sample'!R550,'Final Sample'!$R$2:$R$612,0)+(COUNTIF('Final Sample'!$R$2:$R$612,'Final Sample'!R550)-1)/2</f>
        <v>124</v>
      </c>
      <c r="E550" s="25">
        <f>RANK('Final Sample'!AB550,'Final Sample'!$AB$2:$AB$612,0)+(COUNTIF('Final Sample'!$AB$2:$AB$612,'Final Sample'!AB550)-1)/2</f>
        <v>154</v>
      </c>
      <c r="F550" s="25">
        <f>RANK('Final Sample'!V550,'Final Sample'!$V$2:$V$612,0)+(COUNTIF('Final Sample'!$V$2:$V$612,'Final Sample'!V550)-1)/2</f>
        <v>6</v>
      </c>
    </row>
    <row r="551" spans="1:6" ht="15" customHeight="1" x14ac:dyDescent="0.3">
      <c r="A551" s="25">
        <f>RANK('Final Sample'!I551,'Final Sample'!$I$2:$I$612,0)+(COUNTIF('Final Sample'!$I$2:$I$612,'Final Sample'!I551)-1)/2</f>
        <v>73.5</v>
      </c>
      <c r="B551" s="25">
        <f>RANK('Final Sample'!J551,'Final Sample'!$J$2:$J$612,0)+(COUNTIF('Final Sample'!$J$2:$J$612,'Final Sample'!J551)-1)/2</f>
        <v>13</v>
      </c>
      <c r="C551" s="25">
        <f>RANK('Final Sample'!AA551,'Final Sample'!$AA$2:$AA$612,0)+(COUNTIF('Final Sample'!$AA$2:$AA$612,'Final Sample'!AA551)-1)/2</f>
        <v>440</v>
      </c>
      <c r="D551" s="25">
        <f>RANK('Final Sample'!R551,'Final Sample'!$R$2:$R$612,0)+(COUNTIF('Final Sample'!$R$2:$R$612,'Final Sample'!R551)-1)/2</f>
        <v>36</v>
      </c>
      <c r="E551" s="25">
        <f>RANK('Final Sample'!AB551,'Final Sample'!$AB$2:$AB$612,0)+(COUNTIF('Final Sample'!$AB$2:$AB$612,'Final Sample'!AB551)-1)/2</f>
        <v>126</v>
      </c>
      <c r="F551" s="25">
        <f>RANK('Final Sample'!V551,'Final Sample'!$V$2:$V$612,0)+(COUNTIF('Final Sample'!$V$2:$V$612,'Final Sample'!V551)-1)/2</f>
        <v>154.5</v>
      </c>
    </row>
    <row r="552" spans="1:6" ht="15" customHeight="1" x14ac:dyDescent="0.3">
      <c r="A552" s="25">
        <f>RANK('Final Sample'!I552,'Final Sample'!$I$2:$I$612,0)+(COUNTIF('Final Sample'!$I$2:$I$612,'Final Sample'!I552)-1)/2</f>
        <v>8</v>
      </c>
      <c r="B552" s="25">
        <f>RANK('Final Sample'!J552,'Final Sample'!$J$2:$J$612,0)+(COUNTIF('Final Sample'!$J$2:$J$612,'Final Sample'!J552)-1)/2</f>
        <v>7</v>
      </c>
      <c r="C552" s="25">
        <f>RANK('Final Sample'!AA552,'Final Sample'!$AA$2:$AA$612,0)+(COUNTIF('Final Sample'!$AA$2:$AA$612,'Final Sample'!AA552)-1)/2</f>
        <v>443</v>
      </c>
      <c r="D552" s="25">
        <f>RANK('Final Sample'!R552,'Final Sample'!$R$2:$R$612,0)+(COUNTIF('Final Sample'!$R$2:$R$612,'Final Sample'!R552)-1)/2</f>
        <v>25</v>
      </c>
      <c r="E552" s="25">
        <f>RANK('Final Sample'!AB552,'Final Sample'!$AB$2:$AB$612,0)+(COUNTIF('Final Sample'!$AB$2:$AB$612,'Final Sample'!AB552)-1)/2</f>
        <v>113</v>
      </c>
      <c r="F552" s="25">
        <f>RANK('Final Sample'!V552,'Final Sample'!$V$2:$V$612,0)+(COUNTIF('Final Sample'!$V$2:$V$612,'Final Sample'!V552)-1)/2</f>
        <v>143.5</v>
      </c>
    </row>
    <row r="553" spans="1:6" ht="15" customHeight="1" x14ac:dyDescent="0.3">
      <c r="A553" s="25">
        <f>RANK('Final Sample'!I553,'Final Sample'!$I$2:$I$612,0)+(COUNTIF('Final Sample'!$I$2:$I$612,'Final Sample'!I553)-1)/2</f>
        <v>8</v>
      </c>
      <c r="B553" s="25">
        <f>RANK('Final Sample'!J553,'Final Sample'!$J$2:$J$612,0)+(COUNTIF('Final Sample'!$J$2:$J$612,'Final Sample'!J553)-1)/2</f>
        <v>2</v>
      </c>
      <c r="C553" s="25">
        <f>RANK('Final Sample'!AA553,'Final Sample'!$AA$2:$AA$612,0)+(COUNTIF('Final Sample'!$AA$2:$AA$612,'Final Sample'!AA553)-1)/2</f>
        <v>431</v>
      </c>
      <c r="D553" s="25">
        <f>RANK('Final Sample'!R553,'Final Sample'!$R$2:$R$612,0)+(COUNTIF('Final Sample'!$R$2:$R$612,'Final Sample'!R553)-1)/2</f>
        <v>13</v>
      </c>
      <c r="E553" s="25">
        <f>RANK('Final Sample'!AB553,'Final Sample'!$AB$2:$AB$612,0)+(COUNTIF('Final Sample'!$AB$2:$AB$612,'Final Sample'!AB553)-1)/2</f>
        <v>132</v>
      </c>
      <c r="F553" s="25">
        <f>RANK('Final Sample'!V553,'Final Sample'!$V$2:$V$612,0)+(COUNTIF('Final Sample'!$V$2:$V$612,'Final Sample'!V553)-1)/2</f>
        <v>129.5</v>
      </c>
    </row>
    <row r="554" spans="1:6" ht="15" customHeight="1" x14ac:dyDescent="0.3">
      <c r="A554" s="25">
        <f>RANK('Final Sample'!I554,'Final Sample'!$I$2:$I$612,0)+(COUNTIF('Final Sample'!$I$2:$I$612,'Final Sample'!I554)-1)/2</f>
        <v>8</v>
      </c>
      <c r="B554" s="25">
        <f>RANK('Final Sample'!J554,'Final Sample'!$J$2:$J$612,0)+(COUNTIF('Final Sample'!$J$2:$J$612,'Final Sample'!J554)-1)/2</f>
        <v>2</v>
      </c>
      <c r="C554" s="25">
        <f>RANK('Final Sample'!AA554,'Final Sample'!$AA$2:$AA$612,0)+(COUNTIF('Final Sample'!$AA$2:$AA$612,'Final Sample'!AA554)-1)/2</f>
        <v>460</v>
      </c>
      <c r="D554" s="25">
        <f>RANK('Final Sample'!R554,'Final Sample'!$R$2:$R$612,0)+(COUNTIF('Final Sample'!$R$2:$R$612,'Final Sample'!R554)-1)/2</f>
        <v>7</v>
      </c>
      <c r="E554" s="25">
        <f>RANK('Final Sample'!AB554,'Final Sample'!$AB$2:$AB$612,0)+(COUNTIF('Final Sample'!$AB$2:$AB$612,'Final Sample'!AB554)-1)/2</f>
        <v>152</v>
      </c>
      <c r="F554" s="25">
        <f>RANK('Final Sample'!V554,'Final Sample'!$V$2:$V$612,0)+(COUNTIF('Final Sample'!$V$2:$V$612,'Final Sample'!V554)-1)/2</f>
        <v>113.5</v>
      </c>
    </row>
    <row r="555" spans="1:6" ht="15" customHeight="1" x14ac:dyDescent="0.3">
      <c r="A555" s="25">
        <f>RANK('Final Sample'!I555,'Final Sample'!$I$2:$I$612,0)+(COUNTIF('Final Sample'!$I$2:$I$612,'Final Sample'!I555)-1)/2</f>
        <v>73.5</v>
      </c>
      <c r="B555" s="25">
        <f>RANK('Final Sample'!J555,'Final Sample'!$J$2:$J$612,0)+(COUNTIF('Final Sample'!$J$2:$J$612,'Final Sample'!J555)-1)/2</f>
        <v>13</v>
      </c>
      <c r="C555" s="25">
        <f>RANK('Final Sample'!AA555,'Final Sample'!$AA$2:$AA$612,0)+(COUNTIF('Final Sample'!$AA$2:$AA$612,'Final Sample'!AA555)-1)/2</f>
        <v>466</v>
      </c>
      <c r="D555" s="25">
        <f>RANK('Final Sample'!R555,'Final Sample'!$R$2:$R$612,0)+(COUNTIF('Final Sample'!$R$2:$R$612,'Final Sample'!R555)-1)/2</f>
        <v>5</v>
      </c>
      <c r="E555" s="25">
        <f>RANK('Final Sample'!AB555,'Final Sample'!$AB$2:$AB$612,0)+(COUNTIF('Final Sample'!$AB$2:$AB$612,'Final Sample'!AB555)-1)/2</f>
        <v>164</v>
      </c>
      <c r="F555" s="25">
        <f>RANK('Final Sample'!V555,'Final Sample'!$V$2:$V$612,0)+(COUNTIF('Final Sample'!$V$2:$V$612,'Final Sample'!V555)-1)/2</f>
        <v>97.5</v>
      </c>
    </row>
    <row r="556" spans="1:6" ht="15" customHeight="1" x14ac:dyDescent="0.3">
      <c r="A556" s="25">
        <f>RANK('Final Sample'!I556,'Final Sample'!$I$2:$I$612,0)+(COUNTIF('Final Sample'!$I$2:$I$612,'Final Sample'!I556)-1)/2</f>
        <v>441.5</v>
      </c>
      <c r="B556" s="25">
        <f>RANK('Final Sample'!J556,'Final Sample'!$J$2:$J$612,0)+(COUNTIF('Final Sample'!$J$2:$J$612,'Final Sample'!J556)-1)/2</f>
        <v>359</v>
      </c>
      <c r="C556" s="25">
        <f>RANK('Final Sample'!AA556,'Final Sample'!$AA$2:$AA$612,0)+(COUNTIF('Final Sample'!$AA$2:$AA$612,'Final Sample'!AA556)-1)/2</f>
        <v>332</v>
      </c>
      <c r="D556" s="25">
        <f>RANK('Final Sample'!R556,'Final Sample'!$R$2:$R$612,0)+(COUNTIF('Final Sample'!$R$2:$R$612,'Final Sample'!R556)-1)/2</f>
        <v>142</v>
      </c>
      <c r="E556" s="25">
        <f>RANK('Final Sample'!AB556,'Final Sample'!$AB$2:$AB$612,0)+(COUNTIF('Final Sample'!$AB$2:$AB$612,'Final Sample'!AB556)-1)/2</f>
        <v>90</v>
      </c>
      <c r="F556" s="25">
        <f>RANK('Final Sample'!V556,'Final Sample'!$V$2:$V$612,0)+(COUNTIF('Final Sample'!$V$2:$V$612,'Final Sample'!V556)-1)/2</f>
        <v>587</v>
      </c>
    </row>
    <row r="557" spans="1:6" ht="15" customHeight="1" x14ac:dyDescent="0.3">
      <c r="A557" s="25">
        <f>RANK('Final Sample'!I557,'Final Sample'!$I$2:$I$612,0)+(COUNTIF('Final Sample'!$I$2:$I$612,'Final Sample'!I557)-1)/2</f>
        <v>441.5</v>
      </c>
      <c r="B557" s="25">
        <f>RANK('Final Sample'!J557,'Final Sample'!$J$2:$J$612,0)+(COUNTIF('Final Sample'!$J$2:$J$612,'Final Sample'!J557)-1)/2</f>
        <v>359</v>
      </c>
      <c r="C557" s="25">
        <f>RANK('Final Sample'!AA557,'Final Sample'!$AA$2:$AA$612,0)+(COUNTIF('Final Sample'!$AA$2:$AA$612,'Final Sample'!AA557)-1)/2</f>
        <v>320</v>
      </c>
      <c r="D557" s="25">
        <f>RANK('Final Sample'!R557,'Final Sample'!$R$2:$R$612,0)+(COUNTIF('Final Sample'!$R$2:$R$612,'Final Sample'!R557)-1)/2</f>
        <v>121</v>
      </c>
      <c r="E557" s="25">
        <f>RANK('Final Sample'!AB557,'Final Sample'!$AB$2:$AB$612,0)+(COUNTIF('Final Sample'!$AB$2:$AB$612,'Final Sample'!AB557)-1)/2</f>
        <v>80</v>
      </c>
      <c r="F557" s="25">
        <f>RANK('Final Sample'!V557,'Final Sample'!$V$2:$V$612,0)+(COUNTIF('Final Sample'!$V$2:$V$612,'Final Sample'!V557)-1)/2</f>
        <v>582</v>
      </c>
    </row>
    <row r="558" spans="1:6" ht="15" customHeight="1" x14ac:dyDescent="0.3">
      <c r="A558" s="25">
        <f>RANK('Final Sample'!I558,'Final Sample'!$I$2:$I$612,0)+(COUNTIF('Final Sample'!$I$2:$I$612,'Final Sample'!I558)-1)/2</f>
        <v>441.5</v>
      </c>
      <c r="B558" s="25">
        <f>RANK('Final Sample'!J558,'Final Sample'!$J$2:$J$612,0)+(COUNTIF('Final Sample'!$J$2:$J$612,'Final Sample'!J558)-1)/2</f>
        <v>359</v>
      </c>
      <c r="C558" s="25">
        <f>RANK('Final Sample'!AA558,'Final Sample'!$AA$2:$AA$612,0)+(COUNTIF('Final Sample'!$AA$2:$AA$612,'Final Sample'!AA558)-1)/2</f>
        <v>336</v>
      </c>
      <c r="D558" s="25">
        <f>RANK('Final Sample'!R558,'Final Sample'!$R$2:$R$612,0)+(COUNTIF('Final Sample'!$R$2:$R$612,'Final Sample'!R558)-1)/2</f>
        <v>103</v>
      </c>
      <c r="E558" s="25">
        <f>RANK('Final Sample'!AB558,'Final Sample'!$AB$2:$AB$612,0)+(COUNTIF('Final Sample'!$AB$2:$AB$612,'Final Sample'!AB558)-1)/2</f>
        <v>129</v>
      </c>
      <c r="F558" s="25">
        <f>RANK('Final Sample'!V558,'Final Sample'!$V$2:$V$612,0)+(COUNTIF('Final Sample'!$V$2:$V$612,'Final Sample'!V558)-1)/2</f>
        <v>576.5</v>
      </c>
    </row>
    <row r="559" spans="1:6" ht="15" customHeight="1" x14ac:dyDescent="0.3">
      <c r="A559" s="25">
        <f>RANK('Final Sample'!I559,'Final Sample'!$I$2:$I$612,0)+(COUNTIF('Final Sample'!$I$2:$I$612,'Final Sample'!I559)-1)/2</f>
        <v>441.5</v>
      </c>
      <c r="B559" s="25">
        <f>RANK('Final Sample'!J559,'Final Sample'!$J$2:$J$612,0)+(COUNTIF('Final Sample'!$J$2:$J$612,'Final Sample'!J559)-1)/2</f>
        <v>359</v>
      </c>
      <c r="C559" s="25">
        <f>RANK('Final Sample'!AA559,'Final Sample'!$AA$2:$AA$612,0)+(COUNTIF('Final Sample'!$AA$2:$AA$612,'Final Sample'!AA559)-1)/2</f>
        <v>301</v>
      </c>
      <c r="D559" s="25">
        <f>RANK('Final Sample'!R559,'Final Sample'!$R$2:$R$612,0)+(COUNTIF('Final Sample'!$R$2:$R$612,'Final Sample'!R559)-1)/2</f>
        <v>78</v>
      </c>
      <c r="E559" s="25">
        <f>RANK('Final Sample'!AB559,'Final Sample'!$AB$2:$AB$612,0)+(COUNTIF('Final Sample'!$AB$2:$AB$612,'Final Sample'!AB559)-1)/2</f>
        <v>101</v>
      </c>
      <c r="F559" s="25">
        <f>RANK('Final Sample'!V559,'Final Sample'!$V$2:$V$612,0)+(COUNTIF('Final Sample'!$V$2:$V$612,'Final Sample'!V559)-1)/2</f>
        <v>569.5</v>
      </c>
    </row>
    <row r="560" spans="1:6" ht="15" customHeight="1" x14ac:dyDescent="0.3">
      <c r="A560" s="25">
        <f>RANK('Final Sample'!I560,'Final Sample'!$I$2:$I$612,0)+(COUNTIF('Final Sample'!$I$2:$I$612,'Final Sample'!I560)-1)/2</f>
        <v>441.5</v>
      </c>
      <c r="B560" s="25">
        <f>RANK('Final Sample'!J560,'Final Sample'!$J$2:$J$612,0)+(COUNTIF('Final Sample'!$J$2:$J$612,'Final Sample'!J560)-1)/2</f>
        <v>359</v>
      </c>
      <c r="C560" s="25">
        <f>RANK('Final Sample'!AA560,'Final Sample'!$AA$2:$AA$612,0)+(COUNTIF('Final Sample'!$AA$2:$AA$612,'Final Sample'!AA560)-1)/2</f>
        <v>315</v>
      </c>
      <c r="D560" s="25">
        <f>RANK('Final Sample'!R560,'Final Sample'!$R$2:$R$612,0)+(COUNTIF('Final Sample'!$R$2:$R$612,'Final Sample'!R560)-1)/2</f>
        <v>76</v>
      </c>
      <c r="E560" s="25">
        <f>RANK('Final Sample'!AB560,'Final Sample'!$AB$2:$AB$612,0)+(COUNTIF('Final Sample'!$AB$2:$AB$612,'Final Sample'!AB560)-1)/2</f>
        <v>115</v>
      </c>
      <c r="F560" s="25">
        <f>RANK('Final Sample'!V560,'Final Sample'!$V$2:$V$612,0)+(COUNTIF('Final Sample'!$V$2:$V$612,'Final Sample'!V560)-1)/2</f>
        <v>561</v>
      </c>
    </row>
    <row r="561" spans="1:6" ht="15" customHeight="1" x14ac:dyDescent="0.3">
      <c r="A561" s="25">
        <f>RANK('Final Sample'!I561,'Final Sample'!$I$2:$I$612,0)+(COUNTIF('Final Sample'!$I$2:$I$612,'Final Sample'!I561)-1)/2</f>
        <v>29.5</v>
      </c>
      <c r="B561" s="25">
        <f>RANK('Final Sample'!J561,'Final Sample'!$J$2:$J$612,0)+(COUNTIF('Final Sample'!$J$2:$J$612,'Final Sample'!J561)-1)/2</f>
        <v>37</v>
      </c>
      <c r="C561" s="25">
        <f>RANK('Final Sample'!AA561,'Final Sample'!$AA$2:$AA$612,0)+(COUNTIF('Final Sample'!$AA$2:$AA$612,'Final Sample'!AA561)-1)/2</f>
        <v>291</v>
      </c>
      <c r="D561" s="25">
        <f>RANK('Final Sample'!R561,'Final Sample'!$R$2:$R$612,0)+(COUNTIF('Final Sample'!$R$2:$R$612,'Final Sample'!R561)-1)/2</f>
        <v>220</v>
      </c>
      <c r="E561" s="25">
        <f>RANK('Final Sample'!AB561,'Final Sample'!$AB$2:$AB$612,0)+(COUNTIF('Final Sample'!$AB$2:$AB$612,'Final Sample'!AB561)-1)/2</f>
        <v>531</v>
      </c>
      <c r="F561" s="25">
        <f>RANK('Final Sample'!V561,'Final Sample'!$V$2:$V$612,0)+(COUNTIF('Final Sample'!$V$2:$V$612,'Final Sample'!V561)-1)/2</f>
        <v>5</v>
      </c>
    </row>
    <row r="562" spans="1:6" ht="15" customHeight="1" x14ac:dyDescent="0.3">
      <c r="A562" s="25">
        <f>RANK('Final Sample'!I562,'Final Sample'!$I$2:$I$612,0)+(COUNTIF('Final Sample'!$I$2:$I$612,'Final Sample'!I562)-1)/2</f>
        <v>29.5</v>
      </c>
      <c r="B562" s="25">
        <f>RANK('Final Sample'!J562,'Final Sample'!$J$2:$J$612,0)+(COUNTIF('Final Sample'!$J$2:$J$612,'Final Sample'!J562)-1)/2</f>
        <v>37</v>
      </c>
      <c r="C562" s="25">
        <f>RANK('Final Sample'!AA562,'Final Sample'!$AA$2:$AA$612,0)+(COUNTIF('Final Sample'!$AA$2:$AA$612,'Final Sample'!AA562)-1)/2</f>
        <v>377</v>
      </c>
      <c r="D562" s="25">
        <f>RANK('Final Sample'!R562,'Final Sample'!$R$2:$R$612,0)+(COUNTIF('Final Sample'!$R$2:$R$612,'Final Sample'!R562)-1)/2</f>
        <v>207</v>
      </c>
      <c r="E562" s="25">
        <f>RANK('Final Sample'!AB562,'Final Sample'!$AB$2:$AB$612,0)+(COUNTIF('Final Sample'!$AB$2:$AB$612,'Final Sample'!AB562)-1)/2</f>
        <v>472</v>
      </c>
      <c r="F562" s="25">
        <f>RANK('Final Sample'!V562,'Final Sample'!$V$2:$V$612,0)+(COUNTIF('Final Sample'!$V$2:$V$612,'Final Sample'!V562)-1)/2</f>
        <v>4</v>
      </c>
    </row>
    <row r="563" spans="1:6" ht="15" customHeight="1" x14ac:dyDescent="0.3">
      <c r="A563" s="25">
        <f>RANK('Final Sample'!I563,'Final Sample'!$I$2:$I$612,0)+(COUNTIF('Final Sample'!$I$2:$I$612,'Final Sample'!I563)-1)/2</f>
        <v>29.5</v>
      </c>
      <c r="B563" s="25">
        <f>RANK('Final Sample'!J563,'Final Sample'!$J$2:$J$612,0)+(COUNTIF('Final Sample'!$J$2:$J$612,'Final Sample'!J563)-1)/2</f>
        <v>37</v>
      </c>
      <c r="C563" s="25">
        <f>RANK('Final Sample'!AA563,'Final Sample'!$AA$2:$AA$612,0)+(COUNTIF('Final Sample'!$AA$2:$AA$612,'Final Sample'!AA563)-1)/2</f>
        <v>318</v>
      </c>
      <c r="D563" s="25">
        <f>RANK('Final Sample'!R563,'Final Sample'!$R$2:$R$612,0)+(COUNTIF('Final Sample'!$R$2:$R$612,'Final Sample'!R563)-1)/2</f>
        <v>213</v>
      </c>
      <c r="E563" s="25">
        <f>RANK('Final Sample'!AB563,'Final Sample'!$AB$2:$AB$612,0)+(COUNTIF('Final Sample'!$AB$2:$AB$612,'Final Sample'!AB563)-1)/2</f>
        <v>545</v>
      </c>
      <c r="F563" s="25">
        <f>RANK('Final Sample'!V563,'Final Sample'!$V$2:$V$612,0)+(COUNTIF('Final Sample'!$V$2:$V$612,'Final Sample'!V563)-1)/2</f>
        <v>3</v>
      </c>
    </row>
    <row r="564" spans="1:6" ht="15" customHeight="1" x14ac:dyDescent="0.3">
      <c r="A564" s="25">
        <f>RANK('Final Sample'!I564,'Final Sample'!$I$2:$I$612,0)+(COUNTIF('Final Sample'!$I$2:$I$612,'Final Sample'!I564)-1)/2</f>
        <v>29.5</v>
      </c>
      <c r="B564" s="25">
        <f>RANK('Final Sample'!J564,'Final Sample'!$J$2:$J$612,0)+(COUNTIF('Final Sample'!$J$2:$J$612,'Final Sample'!J564)-1)/2</f>
        <v>37</v>
      </c>
      <c r="C564" s="25">
        <f>RANK('Final Sample'!AA564,'Final Sample'!$AA$2:$AA$612,0)+(COUNTIF('Final Sample'!$AA$2:$AA$612,'Final Sample'!AA564)-1)/2</f>
        <v>146</v>
      </c>
      <c r="D564" s="25">
        <f>RANK('Final Sample'!R564,'Final Sample'!$R$2:$R$612,0)+(COUNTIF('Final Sample'!$R$2:$R$612,'Final Sample'!R564)-1)/2</f>
        <v>195</v>
      </c>
      <c r="E564" s="25">
        <f>RANK('Final Sample'!AB564,'Final Sample'!$AB$2:$AB$612,0)+(COUNTIF('Final Sample'!$AB$2:$AB$612,'Final Sample'!AB564)-1)/2</f>
        <v>526</v>
      </c>
      <c r="F564" s="25">
        <f>RANK('Final Sample'!V564,'Final Sample'!$V$2:$V$612,0)+(COUNTIF('Final Sample'!$V$2:$V$612,'Final Sample'!V564)-1)/2</f>
        <v>2</v>
      </c>
    </row>
    <row r="565" spans="1:6" ht="15" customHeight="1" x14ac:dyDescent="0.3">
      <c r="A565" s="25">
        <f>RANK('Final Sample'!I565,'Final Sample'!$I$2:$I$612,0)+(COUNTIF('Final Sample'!$I$2:$I$612,'Final Sample'!I565)-1)/2</f>
        <v>29.5</v>
      </c>
      <c r="B565" s="25">
        <f>RANK('Final Sample'!J565,'Final Sample'!$J$2:$J$612,0)+(COUNTIF('Final Sample'!$J$2:$J$612,'Final Sample'!J565)-1)/2</f>
        <v>37</v>
      </c>
      <c r="C565" s="25">
        <f>RANK('Final Sample'!AA565,'Final Sample'!$AA$2:$AA$612,0)+(COUNTIF('Final Sample'!$AA$2:$AA$612,'Final Sample'!AA565)-1)/2</f>
        <v>61</v>
      </c>
      <c r="D565" s="25">
        <f>RANK('Final Sample'!R565,'Final Sample'!$R$2:$R$612,0)+(COUNTIF('Final Sample'!$R$2:$R$612,'Final Sample'!R565)-1)/2</f>
        <v>179</v>
      </c>
      <c r="E565" s="25">
        <f>RANK('Final Sample'!AB565,'Final Sample'!$AB$2:$AB$612,0)+(COUNTIF('Final Sample'!$AB$2:$AB$612,'Final Sample'!AB565)-1)/2</f>
        <v>521</v>
      </c>
      <c r="F565" s="25">
        <f>RANK('Final Sample'!V565,'Final Sample'!$V$2:$V$612,0)+(COUNTIF('Final Sample'!$V$2:$V$612,'Final Sample'!V565)-1)/2</f>
        <v>1</v>
      </c>
    </row>
    <row r="566" spans="1:6" ht="15" customHeight="1" x14ac:dyDescent="0.3">
      <c r="A566" s="25">
        <f>RANK('Final Sample'!I566,'Final Sample'!$I$2:$I$612,0)+(COUNTIF('Final Sample'!$I$2:$I$612,'Final Sample'!I566)-1)/2</f>
        <v>441.5</v>
      </c>
      <c r="B566" s="25">
        <f>RANK('Final Sample'!J566,'Final Sample'!$J$2:$J$612,0)+(COUNTIF('Final Sample'!$J$2:$J$612,'Final Sample'!J566)-1)/2</f>
        <v>359</v>
      </c>
      <c r="C566" s="25">
        <f>RANK('Final Sample'!AA566,'Final Sample'!$AA$2:$AA$612,0)+(COUNTIF('Final Sample'!$AA$2:$AA$612,'Final Sample'!AA566)-1)/2</f>
        <v>187</v>
      </c>
      <c r="D566" s="25">
        <f>RANK('Final Sample'!R566,'Final Sample'!$R$2:$R$612,0)+(COUNTIF('Final Sample'!$R$2:$R$612,'Final Sample'!R566)-1)/2</f>
        <v>129</v>
      </c>
      <c r="E566" s="25">
        <f>RANK('Final Sample'!AB566,'Final Sample'!$AB$2:$AB$612,0)+(COUNTIF('Final Sample'!$AB$2:$AB$612,'Final Sample'!AB566)-1)/2</f>
        <v>32</v>
      </c>
      <c r="F566" s="25">
        <f>RANK('Final Sample'!V566,'Final Sample'!$V$2:$V$612,0)+(COUNTIF('Final Sample'!$V$2:$V$612,'Final Sample'!V566)-1)/2</f>
        <v>356.5</v>
      </c>
    </row>
    <row r="567" spans="1:6" ht="15" customHeight="1" x14ac:dyDescent="0.3">
      <c r="A567" s="25">
        <f>RANK('Final Sample'!I567,'Final Sample'!$I$2:$I$612,0)+(COUNTIF('Final Sample'!$I$2:$I$612,'Final Sample'!I567)-1)/2</f>
        <v>236</v>
      </c>
      <c r="B567" s="25">
        <f>RANK('Final Sample'!J567,'Final Sample'!$J$2:$J$612,0)+(COUNTIF('Final Sample'!$J$2:$J$612,'Final Sample'!J567)-1)/2</f>
        <v>359</v>
      </c>
      <c r="C567" s="25">
        <f>RANK('Final Sample'!AA567,'Final Sample'!$AA$2:$AA$612,0)+(COUNTIF('Final Sample'!$AA$2:$AA$612,'Final Sample'!AA567)-1)/2</f>
        <v>184</v>
      </c>
      <c r="D567" s="25">
        <f>RANK('Final Sample'!R567,'Final Sample'!$R$2:$R$612,0)+(COUNTIF('Final Sample'!$R$2:$R$612,'Final Sample'!R567)-1)/2</f>
        <v>132</v>
      </c>
      <c r="E567" s="25">
        <f>RANK('Final Sample'!AB567,'Final Sample'!$AB$2:$AB$612,0)+(COUNTIF('Final Sample'!$AB$2:$AB$612,'Final Sample'!AB567)-1)/2</f>
        <v>31</v>
      </c>
      <c r="F567" s="25">
        <f>RANK('Final Sample'!V567,'Final Sample'!$V$2:$V$612,0)+(COUNTIF('Final Sample'!$V$2:$V$612,'Final Sample'!V567)-1)/2</f>
        <v>344</v>
      </c>
    </row>
    <row r="568" spans="1:6" ht="15" customHeight="1" x14ac:dyDescent="0.3">
      <c r="A568" s="25">
        <f>RANK('Final Sample'!I568,'Final Sample'!$I$2:$I$612,0)+(COUNTIF('Final Sample'!$I$2:$I$612,'Final Sample'!I568)-1)/2</f>
        <v>236</v>
      </c>
      <c r="B568" s="25">
        <f>RANK('Final Sample'!J568,'Final Sample'!$J$2:$J$612,0)+(COUNTIF('Final Sample'!$J$2:$J$612,'Final Sample'!J568)-1)/2</f>
        <v>359</v>
      </c>
      <c r="C568" s="25">
        <f>RANK('Final Sample'!AA568,'Final Sample'!$AA$2:$AA$612,0)+(COUNTIF('Final Sample'!$AA$2:$AA$612,'Final Sample'!AA568)-1)/2</f>
        <v>148</v>
      </c>
      <c r="D568" s="25">
        <f>RANK('Final Sample'!R568,'Final Sample'!$R$2:$R$612,0)+(COUNTIF('Final Sample'!$R$2:$R$612,'Final Sample'!R568)-1)/2</f>
        <v>139</v>
      </c>
      <c r="E568" s="25">
        <f>RANK('Final Sample'!AB568,'Final Sample'!$AB$2:$AB$612,0)+(COUNTIF('Final Sample'!$AB$2:$AB$612,'Final Sample'!AB568)-1)/2</f>
        <v>26</v>
      </c>
      <c r="F568" s="25">
        <f>RANK('Final Sample'!V568,'Final Sample'!$V$2:$V$612,0)+(COUNTIF('Final Sample'!$V$2:$V$612,'Final Sample'!V568)-1)/2</f>
        <v>335</v>
      </c>
    </row>
    <row r="569" spans="1:6" ht="15" customHeight="1" x14ac:dyDescent="0.3">
      <c r="A569" s="25">
        <f>RANK('Final Sample'!I569,'Final Sample'!$I$2:$I$612,0)+(COUNTIF('Final Sample'!$I$2:$I$612,'Final Sample'!I569)-1)/2</f>
        <v>441.5</v>
      </c>
      <c r="B569" s="25">
        <f>RANK('Final Sample'!J569,'Final Sample'!$J$2:$J$612,0)+(COUNTIF('Final Sample'!$J$2:$J$612,'Final Sample'!J569)-1)/2</f>
        <v>359</v>
      </c>
      <c r="C569" s="25">
        <f>RANK('Final Sample'!AA569,'Final Sample'!$AA$2:$AA$612,0)+(COUNTIF('Final Sample'!$AA$2:$AA$612,'Final Sample'!AA569)-1)/2</f>
        <v>96</v>
      </c>
      <c r="D569" s="25">
        <f>RANK('Final Sample'!R569,'Final Sample'!$R$2:$R$612,0)+(COUNTIF('Final Sample'!$R$2:$R$612,'Final Sample'!R569)-1)/2</f>
        <v>149</v>
      </c>
      <c r="E569" s="25">
        <f>RANK('Final Sample'!AB569,'Final Sample'!$AB$2:$AB$612,0)+(COUNTIF('Final Sample'!$AB$2:$AB$612,'Final Sample'!AB569)-1)/2</f>
        <v>15</v>
      </c>
      <c r="F569" s="25">
        <f>RANK('Final Sample'!V569,'Final Sample'!$V$2:$V$612,0)+(COUNTIF('Final Sample'!$V$2:$V$612,'Final Sample'!V569)-1)/2</f>
        <v>326</v>
      </c>
    </row>
    <row r="570" spans="1:6" ht="15" customHeight="1" x14ac:dyDescent="0.3">
      <c r="A570" s="25">
        <f>RANK('Final Sample'!I570,'Final Sample'!$I$2:$I$612,0)+(COUNTIF('Final Sample'!$I$2:$I$612,'Final Sample'!I570)-1)/2</f>
        <v>441.5</v>
      </c>
      <c r="B570" s="25">
        <f>RANK('Final Sample'!J570,'Final Sample'!$J$2:$J$612,0)+(COUNTIF('Final Sample'!$J$2:$J$612,'Final Sample'!J570)-1)/2</f>
        <v>359</v>
      </c>
      <c r="C570" s="25">
        <f>RANK('Final Sample'!AA570,'Final Sample'!$AA$2:$AA$612,0)+(COUNTIF('Final Sample'!$AA$2:$AA$612,'Final Sample'!AA570)-1)/2</f>
        <v>605</v>
      </c>
      <c r="D570" s="25">
        <f>RANK('Final Sample'!R570,'Final Sample'!$R$2:$R$612,0)+(COUNTIF('Final Sample'!$R$2:$R$612,'Final Sample'!R570)-1)/2</f>
        <v>450</v>
      </c>
      <c r="E570" s="25">
        <f>RANK('Final Sample'!AB570,'Final Sample'!$AB$2:$AB$612,0)+(COUNTIF('Final Sample'!$AB$2:$AB$612,'Final Sample'!AB570)-1)/2</f>
        <v>599</v>
      </c>
      <c r="F570" s="25">
        <f>RANK('Final Sample'!V570,'Final Sample'!$V$2:$V$612,0)+(COUNTIF('Final Sample'!$V$2:$V$612,'Final Sample'!V570)-1)/2</f>
        <v>154.5</v>
      </c>
    </row>
    <row r="571" spans="1:6" ht="15" customHeight="1" x14ac:dyDescent="0.3">
      <c r="A571" s="25">
        <f>RANK('Final Sample'!I571,'Final Sample'!$I$2:$I$612,0)+(COUNTIF('Final Sample'!$I$2:$I$612,'Final Sample'!I571)-1)/2</f>
        <v>441.5</v>
      </c>
      <c r="B571" s="25">
        <f>RANK('Final Sample'!J571,'Final Sample'!$J$2:$J$612,0)+(COUNTIF('Final Sample'!$J$2:$J$612,'Final Sample'!J571)-1)/2</f>
        <v>359</v>
      </c>
      <c r="C571" s="25">
        <f>RANK('Final Sample'!AA571,'Final Sample'!$AA$2:$AA$612,0)+(COUNTIF('Final Sample'!$AA$2:$AA$612,'Final Sample'!AA571)-1)/2</f>
        <v>604</v>
      </c>
      <c r="D571" s="25">
        <f>RANK('Final Sample'!R571,'Final Sample'!$R$2:$R$612,0)+(COUNTIF('Final Sample'!$R$2:$R$612,'Final Sample'!R571)-1)/2</f>
        <v>436</v>
      </c>
      <c r="E571" s="25">
        <f>RANK('Final Sample'!AB571,'Final Sample'!$AB$2:$AB$612,0)+(COUNTIF('Final Sample'!$AB$2:$AB$612,'Final Sample'!AB571)-1)/2</f>
        <v>589</v>
      </c>
      <c r="F571" s="25">
        <f>RANK('Final Sample'!V571,'Final Sample'!$V$2:$V$612,0)+(COUNTIF('Final Sample'!$V$2:$V$612,'Final Sample'!V571)-1)/2</f>
        <v>143.5</v>
      </c>
    </row>
    <row r="572" spans="1:6" ht="15" customHeight="1" x14ac:dyDescent="0.3">
      <c r="A572" s="25">
        <f>RANK('Final Sample'!I572,'Final Sample'!$I$2:$I$612,0)+(COUNTIF('Final Sample'!$I$2:$I$612,'Final Sample'!I572)-1)/2</f>
        <v>441.5</v>
      </c>
      <c r="B572" s="25">
        <f>RANK('Final Sample'!J572,'Final Sample'!$J$2:$J$612,0)+(COUNTIF('Final Sample'!$J$2:$J$612,'Final Sample'!J572)-1)/2</f>
        <v>359</v>
      </c>
      <c r="C572" s="25">
        <f>RANK('Final Sample'!AA572,'Final Sample'!$AA$2:$AA$612,0)+(COUNTIF('Final Sample'!$AA$2:$AA$612,'Final Sample'!AA572)-1)/2</f>
        <v>596</v>
      </c>
      <c r="D572" s="25">
        <f>RANK('Final Sample'!R572,'Final Sample'!$R$2:$R$612,0)+(COUNTIF('Final Sample'!$R$2:$R$612,'Final Sample'!R572)-1)/2</f>
        <v>408</v>
      </c>
      <c r="E572" s="25">
        <f>RANK('Final Sample'!AB572,'Final Sample'!$AB$2:$AB$612,0)+(COUNTIF('Final Sample'!$AB$2:$AB$612,'Final Sample'!AB572)-1)/2</f>
        <v>572</v>
      </c>
      <c r="F572" s="25">
        <f>RANK('Final Sample'!V572,'Final Sample'!$V$2:$V$612,0)+(COUNTIF('Final Sample'!$V$2:$V$612,'Final Sample'!V572)-1)/2</f>
        <v>129.5</v>
      </c>
    </row>
    <row r="573" spans="1:6" ht="15" customHeight="1" x14ac:dyDescent="0.3">
      <c r="A573" s="25">
        <f>RANK('Final Sample'!I573,'Final Sample'!$I$2:$I$612,0)+(COUNTIF('Final Sample'!$I$2:$I$612,'Final Sample'!I573)-1)/2</f>
        <v>441.5</v>
      </c>
      <c r="B573" s="25">
        <f>RANK('Final Sample'!J573,'Final Sample'!$J$2:$J$612,0)+(COUNTIF('Final Sample'!$J$2:$J$612,'Final Sample'!J573)-1)/2</f>
        <v>359</v>
      </c>
      <c r="C573" s="25">
        <f>RANK('Final Sample'!AA573,'Final Sample'!$AA$2:$AA$612,0)+(COUNTIF('Final Sample'!$AA$2:$AA$612,'Final Sample'!AA573)-1)/2</f>
        <v>532</v>
      </c>
      <c r="D573" s="25">
        <f>RANK('Final Sample'!R573,'Final Sample'!$R$2:$R$612,0)+(COUNTIF('Final Sample'!$R$2:$R$612,'Final Sample'!R573)-1)/2</f>
        <v>369</v>
      </c>
      <c r="E573" s="25">
        <f>RANK('Final Sample'!AB573,'Final Sample'!$AB$2:$AB$612,0)+(COUNTIF('Final Sample'!$AB$2:$AB$612,'Final Sample'!AB573)-1)/2</f>
        <v>558</v>
      </c>
      <c r="F573" s="25">
        <f>RANK('Final Sample'!V573,'Final Sample'!$V$2:$V$612,0)+(COUNTIF('Final Sample'!$V$2:$V$612,'Final Sample'!V573)-1)/2</f>
        <v>113.5</v>
      </c>
    </row>
    <row r="574" spans="1:6" ht="15" customHeight="1" x14ac:dyDescent="0.3">
      <c r="A574" s="25">
        <f>RANK('Final Sample'!I574,'Final Sample'!$I$2:$I$612,0)+(COUNTIF('Final Sample'!$I$2:$I$612,'Final Sample'!I574)-1)/2</f>
        <v>236</v>
      </c>
      <c r="B574" s="25">
        <f>RANK('Final Sample'!J574,'Final Sample'!$J$2:$J$612,0)+(COUNTIF('Final Sample'!$J$2:$J$612,'Final Sample'!J574)-1)/2</f>
        <v>359</v>
      </c>
      <c r="C574" s="25">
        <f>RANK('Final Sample'!AA574,'Final Sample'!$AA$2:$AA$612,0)+(COUNTIF('Final Sample'!$AA$2:$AA$612,'Final Sample'!AA574)-1)/2</f>
        <v>363</v>
      </c>
      <c r="D574" s="25">
        <f>RANK('Final Sample'!R574,'Final Sample'!$R$2:$R$612,0)+(COUNTIF('Final Sample'!$R$2:$R$612,'Final Sample'!R574)-1)/2</f>
        <v>337</v>
      </c>
      <c r="E574" s="25">
        <f>RANK('Final Sample'!AB574,'Final Sample'!$AB$2:$AB$612,0)+(COUNTIF('Final Sample'!$AB$2:$AB$612,'Final Sample'!AB574)-1)/2</f>
        <v>557</v>
      </c>
      <c r="F574" s="25">
        <f>RANK('Final Sample'!V574,'Final Sample'!$V$2:$V$612,0)+(COUNTIF('Final Sample'!$V$2:$V$612,'Final Sample'!V574)-1)/2</f>
        <v>97.5</v>
      </c>
    </row>
    <row r="575" spans="1:6" ht="15" customHeight="1" x14ac:dyDescent="0.3">
      <c r="A575" s="25">
        <f>RANK('Final Sample'!I575,'Final Sample'!$I$2:$I$612,0)+(COUNTIF('Final Sample'!$I$2:$I$612,'Final Sample'!I575)-1)/2</f>
        <v>441.5</v>
      </c>
      <c r="B575" s="25">
        <f>RANK('Final Sample'!J575,'Final Sample'!$J$2:$J$612,0)+(COUNTIF('Final Sample'!$J$2:$J$612,'Final Sample'!J575)-1)/2</f>
        <v>359</v>
      </c>
      <c r="C575" s="25">
        <f>RANK('Final Sample'!AA575,'Final Sample'!$AA$2:$AA$612,0)+(COUNTIF('Final Sample'!$AA$2:$AA$612,'Final Sample'!AA575)-1)/2</f>
        <v>152</v>
      </c>
      <c r="D575" s="25">
        <f>RANK('Final Sample'!R575,'Final Sample'!$R$2:$R$612,0)+(COUNTIF('Final Sample'!$R$2:$R$612,'Final Sample'!R575)-1)/2</f>
        <v>388</v>
      </c>
      <c r="E575" s="25">
        <f>RANK('Final Sample'!AB575,'Final Sample'!$AB$2:$AB$612,0)+(COUNTIF('Final Sample'!$AB$2:$AB$612,'Final Sample'!AB575)-1)/2</f>
        <v>371</v>
      </c>
      <c r="F575" s="25">
        <f>RANK('Final Sample'!V575,'Final Sample'!$V$2:$V$612,0)+(COUNTIF('Final Sample'!$V$2:$V$612,'Final Sample'!V575)-1)/2</f>
        <v>474.5</v>
      </c>
    </row>
    <row r="576" spans="1:6" ht="15" customHeight="1" x14ac:dyDescent="0.3">
      <c r="A576" s="25">
        <f>RANK('Final Sample'!I576,'Final Sample'!$I$2:$I$612,0)+(COUNTIF('Final Sample'!$I$2:$I$612,'Final Sample'!I576)-1)/2</f>
        <v>441.5</v>
      </c>
      <c r="B576" s="25">
        <f>RANK('Final Sample'!J576,'Final Sample'!$J$2:$J$612,0)+(COUNTIF('Final Sample'!$J$2:$J$612,'Final Sample'!J576)-1)/2</f>
        <v>359</v>
      </c>
      <c r="C576" s="25">
        <f>RANK('Final Sample'!AA576,'Final Sample'!$AA$2:$AA$612,0)+(COUNTIF('Final Sample'!$AA$2:$AA$612,'Final Sample'!AA576)-1)/2</f>
        <v>203</v>
      </c>
      <c r="D576" s="25">
        <f>RANK('Final Sample'!R576,'Final Sample'!$R$2:$R$612,0)+(COUNTIF('Final Sample'!$R$2:$R$612,'Final Sample'!R576)-1)/2</f>
        <v>389</v>
      </c>
      <c r="E576" s="25">
        <f>RANK('Final Sample'!AB576,'Final Sample'!$AB$2:$AB$612,0)+(COUNTIF('Final Sample'!$AB$2:$AB$612,'Final Sample'!AB576)-1)/2</f>
        <v>378</v>
      </c>
      <c r="F576" s="25">
        <f>RANK('Final Sample'!V576,'Final Sample'!$V$2:$V$612,0)+(COUNTIF('Final Sample'!$V$2:$V$612,'Final Sample'!V576)-1)/2</f>
        <v>470.5</v>
      </c>
    </row>
    <row r="577" spans="1:6" ht="15" customHeight="1" x14ac:dyDescent="0.3">
      <c r="A577" s="25">
        <f>RANK('Final Sample'!I577,'Final Sample'!$I$2:$I$612,0)+(COUNTIF('Final Sample'!$I$2:$I$612,'Final Sample'!I577)-1)/2</f>
        <v>441.5</v>
      </c>
      <c r="B577" s="25">
        <f>RANK('Final Sample'!J577,'Final Sample'!$J$2:$J$612,0)+(COUNTIF('Final Sample'!$J$2:$J$612,'Final Sample'!J577)-1)/2</f>
        <v>359</v>
      </c>
      <c r="C577" s="25">
        <f>RANK('Final Sample'!AA577,'Final Sample'!$AA$2:$AA$612,0)+(COUNTIF('Final Sample'!$AA$2:$AA$612,'Final Sample'!AA577)-1)/2</f>
        <v>143</v>
      </c>
      <c r="D577" s="25">
        <f>RANK('Final Sample'!R577,'Final Sample'!$R$2:$R$612,0)+(COUNTIF('Final Sample'!$R$2:$R$612,'Final Sample'!R577)-1)/2</f>
        <v>387</v>
      </c>
      <c r="E577" s="25">
        <f>RANK('Final Sample'!AB577,'Final Sample'!$AB$2:$AB$612,0)+(COUNTIF('Final Sample'!$AB$2:$AB$612,'Final Sample'!AB577)-1)/2</f>
        <v>393</v>
      </c>
      <c r="F577" s="25">
        <f>RANK('Final Sample'!V577,'Final Sample'!$V$2:$V$612,0)+(COUNTIF('Final Sample'!$V$2:$V$612,'Final Sample'!V577)-1)/2</f>
        <v>466</v>
      </c>
    </row>
    <row r="578" spans="1:6" ht="15" customHeight="1" x14ac:dyDescent="0.3">
      <c r="A578" s="25">
        <f>RANK('Final Sample'!I578,'Final Sample'!$I$2:$I$612,0)+(COUNTIF('Final Sample'!$I$2:$I$612,'Final Sample'!I578)-1)/2</f>
        <v>441.5</v>
      </c>
      <c r="B578" s="25">
        <f>RANK('Final Sample'!J578,'Final Sample'!$J$2:$J$612,0)+(COUNTIF('Final Sample'!$J$2:$J$612,'Final Sample'!J578)-1)/2</f>
        <v>359</v>
      </c>
      <c r="C578" s="25">
        <f>RANK('Final Sample'!AA578,'Final Sample'!$AA$2:$AA$612,0)+(COUNTIF('Final Sample'!$AA$2:$AA$612,'Final Sample'!AA578)-1)/2</f>
        <v>167</v>
      </c>
      <c r="D578" s="25">
        <f>RANK('Final Sample'!R578,'Final Sample'!$R$2:$R$612,0)+(COUNTIF('Final Sample'!$R$2:$R$612,'Final Sample'!R578)-1)/2</f>
        <v>328</v>
      </c>
      <c r="E578" s="25">
        <f>RANK('Final Sample'!AB578,'Final Sample'!$AB$2:$AB$612,0)+(COUNTIF('Final Sample'!$AB$2:$AB$612,'Final Sample'!AB578)-1)/2</f>
        <v>286</v>
      </c>
      <c r="F578" s="25">
        <f>RANK('Final Sample'!V578,'Final Sample'!$V$2:$V$612,0)+(COUNTIF('Final Sample'!$V$2:$V$612,'Final Sample'!V578)-1)/2</f>
        <v>460</v>
      </c>
    </row>
    <row r="579" spans="1:6" ht="15" customHeight="1" x14ac:dyDescent="0.3">
      <c r="A579" s="25">
        <f>RANK('Final Sample'!I579,'Final Sample'!$I$2:$I$612,0)+(COUNTIF('Final Sample'!$I$2:$I$612,'Final Sample'!I579)-1)/2</f>
        <v>441.5</v>
      </c>
      <c r="B579" s="25">
        <f>RANK('Final Sample'!J579,'Final Sample'!$J$2:$J$612,0)+(COUNTIF('Final Sample'!$J$2:$J$612,'Final Sample'!J579)-1)/2</f>
        <v>359</v>
      </c>
      <c r="C579" s="25">
        <f>RANK('Final Sample'!AA579,'Final Sample'!$AA$2:$AA$612,0)+(COUNTIF('Final Sample'!$AA$2:$AA$612,'Final Sample'!AA579)-1)/2</f>
        <v>32</v>
      </c>
      <c r="D579" s="25">
        <f>RANK('Final Sample'!R579,'Final Sample'!$R$2:$R$612,0)+(COUNTIF('Final Sample'!$R$2:$R$612,'Final Sample'!R579)-1)/2</f>
        <v>331</v>
      </c>
      <c r="E579" s="25">
        <f>RANK('Final Sample'!AB579,'Final Sample'!$AB$2:$AB$612,0)+(COUNTIF('Final Sample'!$AB$2:$AB$612,'Final Sample'!AB579)-1)/2</f>
        <v>348</v>
      </c>
      <c r="F579" s="25">
        <f>RANK('Final Sample'!V579,'Final Sample'!$V$2:$V$612,0)+(COUNTIF('Final Sample'!$V$2:$V$612,'Final Sample'!V579)-1)/2</f>
        <v>451</v>
      </c>
    </row>
    <row r="580" spans="1:6" ht="15" customHeight="1" x14ac:dyDescent="0.3">
      <c r="A580" s="25">
        <f>RANK('Final Sample'!I580,'Final Sample'!$I$2:$I$612,0)+(COUNTIF('Final Sample'!$I$2:$I$612,'Final Sample'!I580)-1)/2</f>
        <v>441.5</v>
      </c>
      <c r="B580" s="25">
        <f>RANK('Final Sample'!J580,'Final Sample'!$J$2:$J$612,0)+(COUNTIF('Final Sample'!$J$2:$J$612,'Final Sample'!J580)-1)/2</f>
        <v>359</v>
      </c>
      <c r="C580" s="25">
        <f>RANK('Final Sample'!AA580,'Final Sample'!$AA$2:$AA$612,0)+(COUNTIF('Final Sample'!$AA$2:$AA$612,'Final Sample'!AA580)-1)/2</f>
        <v>574</v>
      </c>
      <c r="D580" s="25">
        <f>RANK('Final Sample'!R580,'Final Sample'!$R$2:$R$612,0)+(COUNTIF('Final Sample'!$R$2:$R$612,'Final Sample'!R580)-1)/2</f>
        <v>547</v>
      </c>
      <c r="E580" s="25">
        <f>RANK('Final Sample'!AB580,'Final Sample'!$AB$2:$AB$612,0)+(COUNTIF('Final Sample'!$AB$2:$AB$612,'Final Sample'!AB580)-1)/2</f>
        <v>566</v>
      </c>
      <c r="F580" s="25">
        <f>RANK('Final Sample'!V580,'Final Sample'!$V$2:$V$612,0)+(COUNTIF('Final Sample'!$V$2:$V$612,'Final Sample'!V580)-1)/2</f>
        <v>270.5</v>
      </c>
    </row>
    <row r="581" spans="1:6" ht="15" customHeight="1" x14ac:dyDescent="0.3">
      <c r="A581" s="25">
        <f>RANK('Final Sample'!I581,'Final Sample'!$I$2:$I$612,0)+(COUNTIF('Final Sample'!$I$2:$I$612,'Final Sample'!I581)-1)/2</f>
        <v>441.5</v>
      </c>
      <c r="B581" s="25">
        <f>RANK('Final Sample'!J581,'Final Sample'!$J$2:$J$612,0)+(COUNTIF('Final Sample'!$J$2:$J$612,'Final Sample'!J581)-1)/2</f>
        <v>359</v>
      </c>
      <c r="C581" s="25">
        <f>RANK('Final Sample'!AA581,'Final Sample'!$AA$2:$AA$612,0)+(COUNTIF('Final Sample'!$AA$2:$AA$612,'Final Sample'!AA581)-1)/2</f>
        <v>593</v>
      </c>
      <c r="D581" s="25">
        <f>RANK('Final Sample'!R581,'Final Sample'!$R$2:$R$612,0)+(COUNTIF('Final Sample'!$R$2:$R$612,'Final Sample'!R581)-1)/2</f>
        <v>542</v>
      </c>
      <c r="E581" s="25">
        <f>RANK('Final Sample'!AB581,'Final Sample'!$AB$2:$AB$612,0)+(COUNTIF('Final Sample'!$AB$2:$AB$612,'Final Sample'!AB581)-1)/2</f>
        <v>579</v>
      </c>
      <c r="F581" s="25">
        <f>RANK('Final Sample'!V581,'Final Sample'!$V$2:$V$612,0)+(COUNTIF('Final Sample'!$V$2:$V$612,'Final Sample'!V581)-1)/2</f>
        <v>260</v>
      </c>
    </row>
    <row r="582" spans="1:6" ht="15" customHeight="1" x14ac:dyDescent="0.3">
      <c r="A582" s="25">
        <f>RANK('Final Sample'!I582,'Final Sample'!$I$2:$I$612,0)+(COUNTIF('Final Sample'!$I$2:$I$612,'Final Sample'!I582)-1)/2</f>
        <v>441.5</v>
      </c>
      <c r="B582" s="25">
        <f>RANK('Final Sample'!J582,'Final Sample'!$J$2:$J$612,0)+(COUNTIF('Final Sample'!$J$2:$J$612,'Final Sample'!J582)-1)/2</f>
        <v>359</v>
      </c>
      <c r="C582" s="25">
        <f>RANK('Final Sample'!AA582,'Final Sample'!$AA$2:$AA$612,0)+(COUNTIF('Final Sample'!$AA$2:$AA$612,'Final Sample'!AA582)-1)/2</f>
        <v>609.5</v>
      </c>
      <c r="D582" s="25">
        <f>RANK('Final Sample'!R582,'Final Sample'!$R$2:$R$612,0)+(COUNTIF('Final Sample'!$R$2:$R$612,'Final Sample'!R582)-1)/2</f>
        <v>544</v>
      </c>
      <c r="E582" s="25">
        <f>RANK('Final Sample'!AB582,'Final Sample'!$AB$2:$AB$612,0)+(COUNTIF('Final Sample'!$AB$2:$AB$612,'Final Sample'!AB582)-1)/2</f>
        <v>590</v>
      </c>
      <c r="F582" s="25">
        <f>RANK('Final Sample'!V582,'Final Sample'!$V$2:$V$612,0)+(COUNTIF('Final Sample'!$V$2:$V$612,'Final Sample'!V582)-1)/2</f>
        <v>252</v>
      </c>
    </row>
    <row r="583" spans="1:6" ht="15" customHeight="1" x14ac:dyDescent="0.3">
      <c r="A583" s="25">
        <f>RANK('Final Sample'!I583,'Final Sample'!$I$2:$I$612,0)+(COUNTIF('Final Sample'!$I$2:$I$612,'Final Sample'!I583)-1)/2</f>
        <v>236</v>
      </c>
      <c r="B583" s="25">
        <f>RANK('Final Sample'!J583,'Final Sample'!$J$2:$J$612,0)+(COUNTIF('Final Sample'!$J$2:$J$612,'Final Sample'!J583)-1)/2</f>
        <v>359</v>
      </c>
      <c r="C583" s="25">
        <f>RANK('Final Sample'!AA583,'Final Sample'!$AA$2:$AA$612,0)+(COUNTIF('Final Sample'!$AA$2:$AA$612,'Final Sample'!AA583)-1)/2</f>
        <v>582</v>
      </c>
      <c r="D583" s="25">
        <f>RANK('Final Sample'!R583,'Final Sample'!$R$2:$R$612,0)+(COUNTIF('Final Sample'!$R$2:$R$612,'Final Sample'!R583)-1)/2</f>
        <v>524</v>
      </c>
      <c r="E583" s="25">
        <f>RANK('Final Sample'!AB583,'Final Sample'!$AB$2:$AB$612,0)+(COUNTIF('Final Sample'!$AB$2:$AB$612,'Final Sample'!AB583)-1)/2</f>
        <v>525</v>
      </c>
      <c r="F583" s="25">
        <f>RANK('Final Sample'!V583,'Final Sample'!$V$2:$V$612,0)+(COUNTIF('Final Sample'!$V$2:$V$612,'Final Sample'!V583)-1)/2</f>
        <v>246.5</v>
      </c>
    </row>
    <row r="584" spans="1:6" ht="15" customHeight="1" x14ac:dyDescent="0.3">
      <c r="A584" s="25">
        <f>RANK('Final Sample'!I584,'Final Sample'!$I$2:$I$612,0)+(COUNTIF('Final Sample'!$I$2:$I$612,'Final Sample'!I584)-1)/2</f>
        <v>236</v>
      </c>
      <c r="B584" s="25">
        <f>RANK('Final Sample'!J584,'Final Sample'!$J$2:$J$612,0)+(COUNTIF('Final Sample'!$J$2:$J$612,'Final Sample'!J584)-1)/2</f>
        <v>359</v>
      </c>
      <c r="C584" s="25">
        <f>RANK('Final Sample'!AA584,'Final Sample'!$AA$2:$AA$612,0)+(COUNTIF('Final Sample'!$AA$2:$AA$612,'Final Sample'!AA584)-1)/2</f>
        <v>577</v>
      </c>
      <c r="D584" s="25">
        <f>RANK('Final Sample'!R584,'Final Sample'!$R$2:$R$612,0)+(COUNTIF('Final Sample'!$R$2:$R$612,'Final Sample'!R584)-1)/2</f>
        <v>533</v>
      </c>
      <c r="E584" s="25">
        <f>RANK('Final Sample'!AB584,'Final Sample'!$AB$2:$AB$612,0)+(COUNTIF('Final Sample'!$AB$2:$AB$612,'Final Sample'!AB584)-1)/2</f>
        <v>585</v>
      </c>
      <c r="F584" s="25">
        <f>RANK('Final Sample'!V584,'Final Sample'!$V$2:$V$612,0)+(COUNTIF('Final Sample'!$V$2:$V$612,'Final Sample'!V584)-1)/2</f>
        <v>243</v>
      </c>
    </row>
    <row r="585" spans="1:6" ht="15" customHeight="1" x14ac:dyDescent="0.3">
      <c r="A585" s="25">
        <f>RANK('Final Sample'!I585,'Final Sample'!$I$2:$I$612,0)+(COUNTIF('Final Sample'!$I$2:$I$612,'Final Sample'!I585)-1)/2</f>
        <v>441.5</v>
      </c>
      <c r="B585" s="25">
        <f>RANK('Final Sample'!J585,'Final Sample'!$J$2:$J$612,0)+(COUNTIF('Final Sample'!$J$2:$J$612,'Final Sample'!J585)-1)/2</f>
        <v>359</v>
      </c>
      <c r="C585" s="25">
        <f>RANK('Final Sample'!AA585,'Final Sample'!$AA$2:$AA$612,0)+(COUNTIF('Final Sample'!$AA$2:$AA$612,'Final Sample'!AA585)-1)/2</f>
        <v>597</v>
      </c>
      <c r="D585" s="25">
        <f>RANK('Final Sample'!R585,'Final Sample'!$R$2:$R$612,0)+(COUNTIF('Final Sample'!$R$2:$R$612,'Final Sample'!R585)-1)/2</f>
        <v>412</v>
      </c>
      <c r="E585" s="25">
        <f>RANK('Final Sample'!AB585,'Final Sample'!$AB$2:$AB$612,0)+(COUNTIF('Final Sample'!$AB$2:$AB$612,'Final Sample'!AB585)-1)/2</f>
        <v>549</v>
      </c>
      <c r="F585" s="25">
        <f>RANK('Final Sample'!V585,'Final Sample'!$V$2:$V$612,0)+(COUNTIF('Final Sample'!$V$2:$V$612,'Final Sample'!V585)-1)/2</f>
        <v>239.5</v>
      </c>
    </row>
    <row r="586" spans="1:6" ht="15" customHeight="1" x14ac:dyDescent="0.3">
      <c r="A586" s="25">
        <f>RANK('Final Sample'!I586,'Final Sample'!$I$2:$I$612,0)+(COUNTIF('Final Sample'!$I$2:$I$612,'Final Sample'!I586)-1)/2</f>
        <v>441.5</v>
      </c>
      <c r="B586" s="25">
        <f>RANK('Final Sample'!J586,'Final Sample'!$J$2:$J$612,0)+(COUNTIF('Final Sample'!$J$2:$J$612,'Final Sample'!J586)-1)/2</f>
        <v>359</v>
      </c>
      <c r="C586" s="25">
        <f>RANK('Final Sample'!AA586,'Final Sample'!$AA$2:$AA$612,0)+(COUNTIF('Final Sample'!$AA$2:$AA$612,'Final Sample'!AA586)-1)/2</f>
        <v>607</v>
      </c>
      <c r="D586" s="25">
        <f>RANK('Final Sample'!R586,'Final Sample'!$R$2:$R$612,0)+(COUNTIF('Final Sample'!$R$2:$R$612,'Final Sample'!R586)-1)/2</f>
        <v>406</v>
      </c>
      <c r="E586" s="25">
        <f>RANK('Final Sample'!AB586,'Final Sample'!$AB$2:$AB$612,0)+(COUNTIF('Final Sample'!$AB$2:$AB$612,'Final Sample'!AB586)-1)/2</f>
        <v>574</v>
      </c>
      <c r="F586" s="25">
        <f>RANK('Final Sample'!V586,'Final Sample'!$V$2:$V$612,0)+(COUNTIF('Final Sample'!$V$2:$V$612,'Final Sample'!V586)-1)/2</f>
        <v>234.5</v>
      </c>
    </row>
    <row r="587" spans="1:6" ht="15" customHeight="1" x14ac:dyDescent="0.3">
      <c r="A587" s="25">
        <f>RANK('Final Sample'!I587,'Final Sample'!$I$2:$I$612,0)+(COUNTIF('Final Sample'!$I$2:$I$612,'Final Sample'!I587)-1)/2</f>
        <v>441.5</v>
      </c>
      <c r="B587" s="25">
        <f>RANK('Final Sample'!J587,'Final Sample'!$J$2:$J$612,0)+(COUNTIF('Final Sample'!$J$2:$J$612,'Final Sample'!J587)-1)/2</f>
        <v>359</v>
      </c>
      <c r="C587" s="25">
        <f>RANK('Final Sample'!AA587,'Final Sample'!$AA$2:$AA$612,0)+(COUNTIF('Final Sample'!$AA$2:$AA$612,'Final Sample'!AA587)-1)/2</f>
        <v>594</v>
      </c>
      <c r="D587" s="25">
        <f>RANK('Final Sample'!R587,'Final Sample'!$R$2:$R$612,0)+(COUNTIF('Final Sample'!$R$2:$R$612,'Final Sample'!R587)-1)/2</f>
        <v>350</v>
      </c>
      <c r="E587" s="25">
        <f>RANK('Final Sample'!AB587,'Final Sample'!$AB$2:$AB$612,0)+(COUNTIF('Final Sample'!$AB$2:$AB$612,'Final Sample'!AB587)-1)/2</f>
        <v>553</v>
      </c>
      <c r="F587" s="25">
        <f>RANK('Final Sample'!V587,'Final Sample'!$V$2:$V$612,0)+(COUNTIF('Final Sample'!$V$2:$V$612,'Final Sample'!V587)-1)/2</f>
        <v>227.5</v>
      </c>
    </row>
    <row r="588" spans="1:6" ht="15" customHeight="1" x14ac:dyDescent="0.3">
      <c r="A588" s="25">
        <f>RANK('Final Sample'!I588,'Final Sample'!$I$2:$I$612,0)+(COUNTIF('Final Sample'!$I$2:$I$612,'Final Sample'!I588)-1)/2</f>
        <v>441.5</v>
      </c>
      <c r="B588" s="25">
        <f>RANK('Final Sample'!J588,'Final Sample'!$J$2:$J$612,0)+(COUNTIF('Final Sample'!$J$2:$J$612,'Final Sample'!J588)-1)/2</f>
        <v>359</v>
      </c>
      <c r="C588" s="25">
        <f>RANK('Final Sample'!AA588,'Final Sample'!$AA$2:$AA$612,0)+(COUNTIF('Final Sample'!$AA$2:$AA$612,'Final Sample'!AA588)-1)/2</f>
        <v>317</v>
      </c>
      <c r="D588" s="25">
        <f>RANK('Final Sample'!R588,'Final Sample'!$R$2:$R$612,0)+(COUNTIF('Final Sample'!$R$2:$R$612,'Final Sample'!R588)-1)/2</f>
        <v>310</v>
      </c>
      <c r="E588" s="25">
        <f>RANK('Final Sample'!AB588,'Final Sample'!$AB$2:$AB$612,0)+(COUNTIF('Final Sample'!$AB$2:$AB$612,'Final Sample'!AB588)-1)/2</f>
        <v>364</v>
      </c>
      <c r="F588" s="25">
        <f>RANK('Final Sample'!V588,'Final Sample'!$V$2:$V$612,0)+(COUNTIF('Final Sample'!$V$2:$V$612,'Final Sample'!V588)-1)/2</f>
        <v>218</v>
      </c>
    </row>
    <row r="589" spans="1:6" ht="15" customHeight="1" x14ac:dyDescent="0.3">
      <c r="A589" s="25">
        <f>RANK('Final Sample'!I589,'Final Sample'!$I$2:$I$612,0)+(COUNTIF('Final Sample'!$I$2:$I$612,'Final Sample'!I589)-1)/2</f>
        <v>236</v>
      </c>
      <c r="B589" s="25">
        <f>RANK('Final Sample'!J589,'Final Sample'!$J$2:$J$612,0)+(COUNTIF('Final Sample'!$J$2:$J$612,'Final Sample'!J589)-1)/2</f>
        <v>359</v>
      </c>
      <c r="C589" s="25">
        <f>RANK('Final Sample'!AA589,'Final Sample'!$AA$2:$AA$612,0)+(COUNTIF('Final Sample'!$AA$2:$AA$612,'Final Sample'!AA589)-1)/2</f>
        <v>307</v>
      </c>
      <c r="D589" s="25">
        <f>RANK('Final Sample'!R589,'Final Sample'!$R$2:$R$612,0)+(COUNTIF('Final Sample'!$R$2:$R$612,'Final Sample'!R589)-1)/2</f>
        <v>313</v>
      </c>
      <c r="E589" s="25">
        <f>RANK('Final Sample'!AB589,'Final Sample'!$AB$2:$AB$612,0)+(COUNTIF('Final Sample'!$AB$2:$AB$612,'Final Sample'!AB589)-1)/2</f>
        <v>474</v>
      </c>
      <c r="F589" s="25">
        <f>RANK('Final Sample'!V589,'Final Sample'!$V$2:$V$612,0)+(COUNTIF('Final Sample'!$V$2:$V$612,'Final Sample'!V589)-1)/2</f>
        <v>206.5</v>
      </c>
    </row>
    <row r="590" spans="1:6" ht="15" customHeight="1" x14ac:dyDescent="0.3">
      <c r="A590" s="25">
        <f>RANK('Final Sample'!I590,'Final Sample'!$I$2:$I$612,0)+(COUNTIF('Final Sample'!$I$2:$I$612,'Final Sample'!I590)-1)/2</f>
        <v>441.5</v>
      </c>
      <c r="B590" s="25">
        <f>RANK('Final Sample'!J590,'Final Sample'!$J$2:$J$612,0)+(COUNTIF('Final Sample'!$J$2:$J$612,'Final Sample'!J590)-1)/2</f>
        <v>359</v>
      </c>
      <c r="C590" s="25">
        <f>RANK('Final Sample'!AA590,'Final Sample'!$AA$2:$AA$612,0)+(COUNTIF('Final Sample'!$AA$2:$AA$612,'Final Sample'!AA590)-1)/2</f>
        <v>355</v>
      </c>
      <c r="D590" s="25">
        <f>RANK('Final Sample'!R590,'Final Sample'!$R$2:$R$612,0)+(COUNTIF('Final Sample'!$R$2:$R$612,'Final Sample'!R590)-1)/2</f>
        <v>169</v>
      </c>
      <c r="E590" s="25">
        <f>RANK('Final Sample'!AB590,'Final Sample'!$AB$2:$AB$612,0)+(COUNTIF('Final Sample'!$AB$2:$AB$612,'Final Sample'!AB590)-1)/2</f>
        <v>179</v>
      </c>
      <c r="F590" s="25">
        <f>RANK('Final Sample'!V590,'Final Sample'!$V$2:$V$612,0)+(COUNTIF('Final Sample'!$V$2:$V$612,'Final Sample'!V590)-1)/2</f>
        <v>553.5</v>
      </c>
    </row>
    <row r="591" spans="1:6" ht="15" customHeight="1" x14ac:dyDescent="0.3">
      <c r="A591" s="25">
        <f>RANK('Final Sample'!I591,'Final Sample'!$I$2:$I$612,0)+(COUNTIF('Final Sample'!$I$2:$I$612,'Final Sample'!I591)-1)/2</f>
        <v>236</v>
      </c>
      <c r="B591" s="25">
        <f>RANK('Final Sample'!J591,'Final Sample'!$J$2:$J$612,0)+(COUNTIF('Final Sample'!$J$2:$J$612,'Final Sample'!J591)-1)/2</f>
        <v>359</v>
      </c>
      <c r="C591" s="25">
        <f>RANK('Final Sample'!AA591,'Final Sample'!$AA$2:$AA$612,0)+(COUNTIF('Final Sample'!$AA$2:$AA$612,'Final Sample'!AA591)-1)/2</f>
        <v>378</v>
      </c>
      <c r="D591" s="25">
        <f>RANK('Final Sample'!R591,'Final Sample'!$R$2:$R$612,0)+(COUNTIF('Final Sample'!$R$2:$R$612,'Final Sample'!R591)-1)/2</f>
        <v>159</v>
      </c>
      <c r="E591" s="25">
        <f>RANK('Final Sample'!AB591,'Final Sample'!$AB$2:$AB$612,0)+(COUNTIF('Final Sample'!$AB$2:$AB$612,'Final Sample'!AB591)-1)/2</f>
        <v>216</v>
      </c>
      <c r="F591" s="25">
        <f>RANK('Final Sample'!V591,'Final Sample'!$V$2:$V$612,0)+(COUNTIF('Final Sample'!$V$2:$V$612,'Final Sample'!V591)-1)/2</f>
        <v>546.5</v>
      </c>
    </row>
    <row r="592" spans="1:6" ht="15" customHeight="1" x14ac:dyDescent="0.3">
      <c r="A592" s="25">
        <f>RANK('Final Sample'!I592,'Final Sample'!$I$2:$I$612,0)+(COUNTIF('Final Sample'!$I$2:$I$612,'Final Sample'!I592)-1)/2</f>
        <v>236</v>
      </c>
      <c r="B592" s="25">
        <f>RANK('Final Sample'!J592,'Final Sample'!$J$2:$J$612,0)+(COUNTIF('Final Sample'!$J$2:$J$612,'Final Sample'!J592)-1)/2</f>
        <v>359</v>
      </c>
      <c r="C592" s="25">
        <f>RANK('Final Sample'!AA592,'Final Sample'!$AA$2:$AA$612,0)+(COUNTIF('Final Sample'!$AA$2:$AA$612,'Final Sample'!AA592)-1)/2</f>
        <v>351</v>
      </c>
      <c r="D592" s="25">
        <f>RANK('Final Sample'!R592,'Final Sample'!$R$2:$R$612,0)+(COUNTIF('Final Sample'!$R$2:$R$612,'Final Sample'!R592)-1)/2</f>
        <v>143</v>
      </c>
      <c r="E592" s="25">
        <f>RANK('Final Sample'!AB592,'Final Sample'!$AB$2:$AB$612,0)+(COUNTIF('Final Sample'!$AB$2:$AB$612,'Final Sample'!AB592)-1)/2</f>
        <v>186</v>
      </c>
      <c r="F592" s="25">
        <f>RANK('Final Sample'!V592,'Final Sample'!$V$2:$V$612,0)+(COUNTIF('Final Sample'!$V$2:$V$612,'Final Sample'!V592)-1)/2</f>
        <v>538.5</v>
      </c>
    </row>
    <row r="593" spans="1:6" ht="15" customHeight="1" x14ac:dyDescent="0.3">
      <c r="A593" s="25">
        <f>RANK('Final Sample'!I593,'Final Sample'!$I$2:$I$612,0)+(COUNTIF('Final Sample'!$I$2:$I$612,'Final Sample'!I593)-1)/2</f>
        <v>441.5</v>
      </c>
      <c r="B593" s="25">
        <f>RANK('Final Sample'!J593,'Final Sample'!$J$2:$J$612,0)+(COUNTIF('Final Sample'!$J$2:$J$612,'Final Sample'!J593)-1)/2</f>
        <v>359</v>
      </c>
      <c r="C593" s="25">
        <f>RANK('Final Sample'!AA593,'Final Sample'!$AA$2:$AA$612,0)+(COUNTIF('Final Sample'!$AA$2:$AA$612,'Final Sample'!AA593)-1)/2</f>
        <v>197</v>
      </c>
      <c r="D593" s="25">
        <f>RANK('Final Sample'!R593,'Final Sample'!$R$2:$R$612,0)+(COUNTIF('Final Sample'!$R$2:$R$612,'Final Sample'!R593)-1)/2</f>
        <v>325</v>
      </c>
      <c r="E593" s="25">
        <f>RANK('Final Sample'!AB593,'Final Sample'!$AB$2:$AB$612,0)+(COUNTIF('Final Sample'!$AB$2:$AB$612,'Final Sample'!AB593)-1)/2</f>
        <v>362</v>
      </c>
      <c r="F593" s="25">
        <f>RANK('Final Sample'!V593,'Final Sample'!$V$2:$V$612,0)+(COUNTIF('Final Sample'!$V$2:$V$612,'Final Sample'!V593)-1)/2</f>
        <v>162</v>
      </c>
    </row>
    <row r="594" spans="1:6" ht="15" customHeight="1" x14ac:dyDescent="0.3">
      <c r="A594" s="25">
        <f>RANK('Final Sample'!I594,'Final Sample'!$I$2:$I$612,0)+(COUNTIF('Final Sample'!$I$2:$I$612,'Final Sample'!I594)-1)/2</f>
        <v>441.5</v>
      </c>
      <c r="B594" s="25">
        <f>RANK('Final Sample'!J594,'Final Sample'!$J$2:$J$612,0)+(COUNTIF('Final Sample'!$J$2:$J$612,'Final Sample'!J594)-1)/2</f>
        <v>359</v>
      </c>
      <c r="C594" s="25">
        <f>RANK('Final Sample'!AA594,'Final Sample'!$AA$2:$AA$612,0)+(COUNTIF('Final Sample'!$AA$2:$AA$612,'Final Sample'!AA594)-1)/2</f>
        <v>253</v>
      </c>
      <c r="D594" s="25">
        <f>RANK('Final Sample'!R594,'Final Sample'!$R$2:$R$612,0)+(COUNTIF('Final Sample'!$R$2:$R$612,'Final Sample'!R594)-1)/2</f>
        <v>306</v>
      </c>
      <c r="E594" s="25">
        <f>RANK('Final Sample'!AB594,'Final Sample'!$AB$2:$AB$612,0)+(COUNTIF('Final Sample'!$AB$2:$AB$612,'Final Sample'!AB594)-1)/2</f>
        <v>358</v>
      </c>
      <c r="F594" s="25">
        <f>RANK('Final Sample'!V594,'Final Sample'!$V$2:$V$612,0)+(COUNTIF('Final Sample'!$V$2:$V$612,'Final Sample'!V594)-1)/2</f>
        <v>154.5</v>
      </c>
    </row>
    <row r="595" spans="1:6" ht="15" customHeight="1" x14ac:dyDescent="0.3">
      <c r="A595" s="25">
        <f>RANK('Final Sample'!I595,'Final Sample'!$I$2:$I$612,0)+(COUNTIF('Final Sample'!$I$2:$I$612,'Final Sample'!I595)-1)/2</f>
        <v>441.5</v>
      </c>
      <c r="B595" s="25">
        <f>RANK('Final Sample'!J595,'Final Sample'!$J$2:$J$612,0)+(COUNTIF('Final Sample'!$J$2:$J$612,'Final Sample'!J595)-1)/2</f>
        <v>359</v>
      </c>
      <c r="C595" s="25">
        <f>RANK('Final Sample'!AA595,'Final Sample'!$AA$2:$AA$612,0)+(COUNTIF('Final Sample'!$AA$2:$AA$612,'Final Sample'!AA595)-1)/2</f>
        <v>267</v>
      </c>
      <c r="D595" s="25">
        <f>RANK('Final Sample'!R595,'Final Sample'!$R$2:$R$612,0)+(COUNTIF('Final Sample'!$R$2:$R$612,'Final Sample'!R595)-1)/2</f>
        <v>283</v>
      </c>
      <c r="E595" s="25">
        <f>RANK('Final Sample'!AB595,'Final Sample'!$AB$2:$AB$612,0)+(COUNTIF('Final Sample'!$AB$2:$AB$612,'Final Sample'!AB595)-1)/2</f>
        <v>321</v>
      </c>
      <c r="F595" s="25">
        <f>RANK('Final Sample'!V595,'Final Sample'!$V$2:$V$612,0)+(COUNTIF('Final Sample'!$V$2:$V$612,'Final Sample'!V595)-1)/2</f>
        <v>143.5</v>
      </c>
    </row>
    <row r="596" spans="1:6" ht="15" customHeight="1" x14ac:dyDescent="0.3">
      <c r="A596" s="25">
        <f>RANK('Final Sample'!I596,'Final Sample'!$I$2:$I$612,0)+(COUNTIF('Final Sample'!$I$2:$I$612,'Final Sample'!I596)-1)/2</f>
        <v>112</v>
      </c>
      <c r="B596" s="25">
        <f>RANK('Final Sample'!J596,'Final Sample'!$J$2:$J$612,0)+(COUNTIF('Final Sample'!$J$2:$J$612,'Final Sample'!J596)-1)/2</f>
        <v>359</v>
      </c>
      <c r="C596" s="25">
        <f>RANK('Final Sample'!AA596,'Final Sample'!$AA$2:$AA$612,0)+(COUNTIF('Final Sample'!$AA$2:$AA$612,'Final Sample'!AA596)-1)/2</f>
        <v>327</v>
      </c>
      <c r="D596" s="25">
        <f>RANK('Final Sample'!R596,'Final Sample'!$R$2:$R$612,0)+(COUNTIF('Final Sample'!$R$2:$R$612,'Final Sample'!R596)-1)/2</f>
        <v>282</v>
      </c>
      <c r="E596" s="25">
        <f>RANK('Final Sample'!AB596,'Final Sample'!$AB$2:$AB$612,0)+(COUNTIF('Final Sample'!$AB$2:$AB$612,'Final Sample'!AB596)-1)/2</f>
        <v>415</v>
      </c>
      <c r="F596" s="25">
        <f>RANK('Final Sample'!V596,'Final Sample'!$V$2:$V$612,0)+(COUNTIF('Final Sample'!$V$2:$V$612,'Final Sample'!V596)-1)/2</f>
        <v>129.5</v>
      </c>
    </row>
    <row r="597" spans="1:6" ht="15" customHeight="1" x14ac:dyDescent="0.3">
      <c r="A597" s="25">
        <f>RANK('Final Sample'!I597,'Final Sample'!$I$2:$I$612,0)+(COUNTIF('Final Sample'!$I$2:$I$612,'Final Sample'!I597)-1)/2</f>
        <v>441.5</v>
      </c>
      <c r="B597" s="25">
        <f>RANK('Final Sample'!J597,'Final Sample'!$J$2:$J$612,0)+(COUNTIF('Final Sample'!$J$2:$J$612,'Final Sample'!J597)-1)/2</f>
        <v>359</v>
      </c>
      <c r="C597" s="25">
        <f>RANK('Final Sample'!AA597,'Final Sample'!$AA$2:$AA$612,0)+(COUNTIF('Final Sample'!$AA$2:$AA$612,'Final Sample'!AA597)-1)/2</f>
        <v>91</v>
      </c>
      <c r="D597" s="25">
        <f>RANK('Final Sample'!R597,'Final Sample'!$R$2:$R$612,0)+(COUNTIF('Final Sample'!$R$2:$R$612,'Final Sample'!R597)-1)/2</f>
        <v>262</v>
      </c>
      <c r="E597" s="25">
        <f>RANK('Final Sample'!AB597,'Final Sample'!$AB$2:$AB$612,0)+(COUNTIF('Final Sample'!$AB$2:$AB$612,'Final Sample'!AB597)-1)/2</f>
        <v>483</v>
      </c>
      <c r="F597" s="25">
        <f>RANK('Final Sample'!V597,'Final Sample'!$V$2:$V$612,0)+(COUNTIF('Final Sample'!$V$2:$V$612,'Final Sample'!V597)-1)/2</f>
        <v>113.5</v>
      </c>
    </row>
    <row r="598" spans="1:6" ht="15" customHeight="1" x14ac:dyDescent="0.3">
      <c r="A598" s="25">
        <f>RANK('Final Sample'!I598,'Final Sample'!$I$2:$I$612,0)+(COUNTIF('Final Sample'!$I$2:$I$612,'Final Sample'!I598)-1)/2</f>
        <v>441.5</v>
      </c>
      <c r="B598" s="25">
        <f>RANK('Final Sample'!J598,'Final Sample'!$J$2:$J$612,0)+(COUNTIF('Final Sample'!$J$2:$J$612,'Final Sample'!J598)-1)/2</f>
        <v>359</v>
      </c>
      <c r="C598" s="25">
        <f>RANK('Final Sample'!AA598,'Final Sample'!$AA$2:$AA$612,0)+(COUNTIF('Final Sample'!$AA$2:$AA$612,'Final Sample'!AA598)-1)/2</f>
        <v>534</v>
      </c>
      <c r="D598" s="25">
        <f>RANK('Final Sample'!R598,'Final Sample'!$R$2:$R$612,0)+(COUNTIF('Final Sample'!$R$2:$R$612,'Final Sample'!R598)-1)/2</f>
        <v>304</v>
      </c>
      <c r="E598" s="25">
        <f>RANK('Final Sample'!AB598,'Final Sample'!$AB$2:$AB$612,0)+(COUNTIF('Final Sample'!$AB$2:$AB$612,'Final Sample'!AB598)-1)/2</f>
        <v>481</v>
      </c>
      <c r="F598" s="25">
        <f>RANK('Final Sample'!V598,'Final Sample'!$V$2:$V$612,0)+(COUNTIF('Final Sample'!$V$2:$V$612,'Final Sample'!V598)-1)/2</f>
        <v>113.5</v>
      </c>
    </row>
    <row r="599" spans="1:6" ht="15" customHeight="1" x14ac:dyDescent="0.3">
      <c r="A599" s="25">
        <f>RANK('Final Sample'!I599,'Final Sample'!$I$2:$I$612,0)+(COUNTIF('Final Sample'!$I$2:$I$612,'Final Sample'!I599)-1)/2</f>
        <v>441.5</v>
      </c>
      <c r="B599" s="25">
        <f>RANK('Final Sample'!J599,'Final Sample'!$J$2:$J$612,0)+(COUNTIF('Final Sample'!$J$2:$J$612,'Final Sample'!J599)-1)/2</f>
        <v>359</v>
      </c>
      <c r="C599" s="25">
        <f>RANK('Final Sample'!AA599,'Final Sample'!$AA$2:$AA$612,0)+(COUNTIF('Final Sample'!$AA$2:$AA$612,'Final Sample'!AA599)-1)/2</f>
        <v>555</v>
      </c>
      <c r="D599" s="25">
        <f>RANK('Final Sample'!R599,'Final Sample'!$R$2:$R$612,0)+(COUNTIF('Final Sample'!$R$2:$R$612,'Final Sample'!R599)-1)/2</f>
        <v>312</v>
      </c>
      <c r="E599" s="25">
        <f>RANK('Final Sample'!AB599,'Final Sample'!$AB$2:$AB$612,0)+(COUNTIF('Final Sample'!$AB$2:$AB$612,'Final Sample'!AB599)-1)/2</f>
        <v>466</v>
      </c>
      <c r="F599" s="25">
        <f>RANK('Final Sample'!V599,'Final Sample'!$V$2:$V$612,0)+(COUNTIF('Final Sample'!$V$2:$V$612,'Final Sample'!V599)-1)/2</f>
        <v>97.5</v>
      </c>
    </row>
    <row r="600" spans="1:6" ht="15" customHeight="1" x14ac:dyDescent="0.3">
      <c r="A600" s="25">
        <f>RANK('Final Sample'!I600,'Final Sample'!$I$2:$I$612,0)+(COUNTIF('Final Sample'!$I$2:$I$612,'Final Sample'!I600)-1)/2</f>
        <v>236</v>
      </c>
      <c r="B600" s="25">
        <f>RANK('Final Sample'!J600,'Final Sample'!$J$2:$J$612,0)+(COUNTIF('Final Sample'!$J$2:$J$612,'Final Sample'!J600)-1)/2</f>
        <v>359</v>
      </c>
      <c r="C600" s="25">
        <f>RANK('Final Sample'!AA600,'Final Sample'!$AA$2:$AA$612,0)+(COUNTIF('Final Sample'!$AA$2:$AA$612,'Final Sample'!AA600)-1)/2</f>
        <v>523</v>
      </c>
      <c r="D600" s="25">
        <f>RANK('Final Sample'!R600,'Final Sample'!$R$2:$R$612,0)+(COUNTIF('Final Sample'!$R$2:$R$612,'Final Sample'!R600)-1)/2</f>
        <v>286</v>
      </c>
      <c r="E600" s="25">
        <f>RANK('Final Sample'!AB600,'Final Sample'!$AB$2:$AB$612,0)+(COUNTIF('Final Sample'!$AB$2:$AB$612,'Final Sample'!AB600)-1)/2</f>
        <v>438</v>
      </c>
      <c r="F600" s="25">
        <f>RANK('Final Sample'!V600,'Final Sample'!$V$2:$V$612,0)+(COUNTIF('Final Sample'!$V$2:$V$612,'Final Sample'!V600)-1)/2</f>
        <v>83</v>
      </c>
    </row>
    <row r="601" spans="1:6" ht="15" customHeight="1" x14ac:dyDescent="0.3">
      <c r="A601" s="25">
        <f>RANK('Final Sample'!I601,'Final Sample'!$I$2:$I$612,0)+(COUNTIF('Final Sample'!$I$2:$I$612,'Final Sample'!I601)-1)/2</f>
        <v>236</v>
      </c>
      <c r="B601" s="25">
        <f>RANK('Final Sample'!J601,'Final Sample'!$J$2:$J$612,0)+(COUNTIF('Final Sample'!$J$2:$J$612,'Final Sample'!J601)-1)/2</f>
        <v>359</v>
      </c>
      <c r="C601" s="25">
        <f>RANK('Final Sample'!AA601,'Final Sample'!$AA$2:$AA$612,0)+(COUNTIF('Final Sample'!$AA$2:$AA$612,'Final Sample'!AA601)-1)/2</f>
        <v>277</v>
      </c>
      <c r="D601" s="25">
        <f>RANK('Final Sample'!R601,'Final Sample'!$R$2:$R$612,0)+(COUNTIF('Final Sample'!$R$2:$R$612,'Final Sample'!R601)-1)/2</f>
        <v>245</v>
      </c>
      <c r="E601" s="25">
        <f>RANK('Final Sample'!AB601,'Final Sample'!$AB$2:$AB$612,0)+(COUNTIF('Final Sample'!$AB$2:$AB$612,'Final Sample'!AB601)-1)/2</f>
        <v>447</v>
      </c>
      <c r="F601" s="25">
        <f>RANK('Final Sample'!V601,'Final Sample'!$V$2:$V$612,0)+(COUNTIF('Final Sample'!$V$2:$V$612,'Final Sample'!V601)-1)/2</f>
        <v>71.5</v>
      </c>
    </row>
    <row r="602" spans="1:6" ht="15" customHeight="1" x14ac:dyDescent="0.3">
      <c r="A602" s="25">
        <f>RANK('Final Sample'!I602,'Final Sample'!$I$2:$I$612,0)+(COUNTIF('Final Sample'!$I$2:$I$612,'Final Sample'!I602)-1)/2</f>
        <v>441.5</v>
      </c>
      <c r="B602" s="25">
        <f>RANK('Final Sample'!J602,'Final Sample'!$J$2:$J$612,0)+(COUNTIF('Final Sample'!$J$2:$J$612,'Final Sample'!J602)-1)/2</f>
        <v>359</v>
      </c>
      <c r="C602" s="25">
        <f>RANK('Final Sample'!AA602,'Final Sample'!$AA$2:$AA$612,0)+(COUNTIF('Final Sample'!$AA$2:$AA$612,'Final Sample'!AA602)-1)/2</f>
        <v>238</v>
      </c>
      <c r="D602" s="25">
        <f>RANK('Final Sample'!R602,'Final Sample'!$R$2:$R$612,0)+(COUNTIF('Final Sample'!$R$2:$R$612,'Final Sample'!R602)-1)/2</f>
        <v>225</v>
      </c>
      <c r="E602" s="25">
        <f>RANK('Final Sample'!AB602,'Final Sample'!$AB$2:$AB$612,0)+(COUNTIF('Final Sample'!$AB$2:$AB$612,'Final Sample'!AB602)-1)/2</f>
        <v>429</v>
      </c>
      <c r="F602" s="25">
        <f>RANK('Final Sample'!V602,'Final Sample'!$V$2:$V$612,0)+(COUNTIF('Final Sample'!$V$2:$V$612,'Final Sample'!V602)-1)/2</f>
        <v>63</v>
      </c>
    </row>
    <row r="603" spans="1:6" ht="15" customHeight="1" x14ac:dyDescent="0.3">
      <c r="A603" s="25">
        <f>RANK('Final Sample'!I603,'Final Sample'!$I$2:$I$612,0)+(COUNTIF('Final Sample'!$I$2:$I$612,'Final Sample'!I603)-1)/2</f>
        <v>441.5</v>
      </c>
      <c r="B603" s="25">
        <f>RANK('Final Sample'!J603,'Final Sample'!$J$2:$J$612,0)+(COUNTIF('Final Sample'!$J$2:$J$612,'Final Sample'!J603)-1)/2</f>
        <v>359</v>
      </c>
      <c r="C603" s="25">
        <f>RANK('Final Sample'!AA603,'Final Sample'!$AA$2:$AA$612,0)+(COUNTIF('Final Sample'!$AA$2:$AA$612,'Final Sample'!AA603)-1)/2</f>
        <v>405</v>
      </c>
      <c r="D603" s="25">
        <f>RANK('Final Sample'!R603,'Final Sample'!$R$2:$R$612,0)+(COUNTIF('Final Sample'!$R$2:$R$612,'Final Sample'!R603)-1)/2</f>
        <v>89</v>
      </c>
      <c r="E603" s="25">
        <f>RANK('Final Sample'!AB603,'Final Sample'!$AB$2:$AB$612,0)+(COUNTIF('Final Sample'!$AB$2:$AB$612,'Final Sample'!AB603)-1)/2</f>
        <v>83</v>
      </c>
      <c r="F603" s="25">
        <f>RANK('Final Sample'!V603,'Final Sample'!$V$2:$V$612,0)+(COUNTIF('Final Sample'!$V$2:$V$612,'Final Sample'!V603)-1)/2</f>
        <v>29.5</v>
      </c>
    </row>
    <row r="604" spans="1:6" ht="15" customHeight="1" x14ac:dyDescent="0.3">
      <c r="A604" s="25">
        <f>RANK('Final Sample'!I604,'Final Sample'!$I$2:$I$612,0)+(COUNTIF('Final Sample'!$I$2:$I$612,'Final Sample'!I604)-1)/2</f>
        <v>441.5</v>
      </c>
      <c r="B604" s="25">
        <f>RANK('Final Sample'!J604,'Final Sample'!$J$2:$J$612,0)+(COUNTIF('Final Sample'!$J$2:$J$612,'Final Sample'!J604)-1)/2</f>
        <v>359</v>
      </c>
      <c r="C604" s="25">
        <f>RANK('Final Sample'!AA604,'Final Sample'!$AA$2:$AA$612,0)+(COUNTIF('Final Sample'!$AA$2:$AA$612,'Final Sample'!AA604)-1)/2</f>
        <v>392</v>
      </c>
      <c r="D604" s="25">
        <f>RANK('Final Sample'!R604,'Final Sample'!$R$2:$R$612,0)+(COUNTIF('Final Sample'!$R$2:$R$612,'Final Sample'!R604)-1)/2</f>
        <v>82</v>
      </c>
      <c r="E604" s="25">
        <f>RANK('Final Sample'!AB604,'Final Sample'!$AB$2:$AB$612,0)+(COUNTIF('Final Sample'!$AB$2:$AB$612,'Final Sample'!AB604)-1)/2</f>
        <v>81</v>
      </c>
      <c r="F604" s="25">
        <f>RANK('Final Sample'!V604,'Final Sample'!$V$2:$V$612,0)+(COUNTIF('Final Sample'!$V$2:$V$612,'Final Sample'!V604)-1)/2</f>
        <v>23.5</v>
      </c>
    </row>
    <row r="605" spans="1:6" ht="15" customHeight="1" x14ac:dyDescent="0.3">
      <c r="A605" s="25">
        <f>RANK('Final Sample'!I605,'Final Sample'!$I$2:$I$612,0)+(COUNTIF('Final Sample'!$I$2:$I$612,'Final Sample'!I605)-1)/2</f>
        <v>441.5</v>
      </c>
      <c r="B605" s="25">
        <f>RANK('Final Sample'!J605,'Final Sample'!$J$2:$J$612,0)+(COUNTIF('Final Sample'!$J$2:$J$612,'Final Sample'!J605)-1)/2</f>
        <v>359</v>
      </c>
      <c r="C605" s="25">
        <f>RANK('Final Sample'!AA605,'Final Sample'!$AA$2:$AA$612,0)+(COUNTIF('Final Sample'!$AA$2:$AA$612,'Final Sample'!AA605)-1)/2</f>
        <v>401</v>
      </c>
      <c r="D605" s="25">
        <f>RANK('Final Sample'!R605,'Final Sample'!$R$2:$R$612,0)+(COUNTIF('Final Sample'!$R$2:$R$612,'Final Sample'!R605)-1)/2</f>
        <v>73</v>
      </c>
      <c r="E605" s="25">
        <f>RANK('Final Sample'!AB605,'Final Sample'!$AB$2:$AB$612,0)+(COUNTIF('Final Sample'!$AB$2:$AB$612,'Final Sample'!AB605)-1)/2</f>
        <v>85</v>
      </c>
      <c r="F605" s="25">
        <f>RANK('Final Sample'!V605,'Final Sample'!$V$2:$V$612,0)+(COUNTIF('Final Sample'!$V$2:$V$612,'Final Sample'!V605)-1)/2</f>
        <v>18.5</v>
      </c>
    </row>
    <row r="606" spans="1:6" ht="15" customHeight="1" x14ac:dyDescent="0.3">
      <c r="A606" s="25">
        <f>RANK('Final Sample'!I606,'Final Sample'!$I$2:$I$612,0)+(COUNTIF('Final Sample'!$I$2:$I$612,'Final Sample'!I606)-1)/2</f>
        <v>441.5</v>
      </c>
      <c r="B606" s="25">
        <f>RANK('Final Sample'!J606,'Final Sample'!$J$2:$J$612,0)+(COUNTIF('Final Sample'!$J$2:$J$612,'Final Sample'!J606)-1)/2</f>
        <v>359</v>
      </c>
      <c r="C606" s="25">
        <f>RANK('Final Sample'!AA606,'Final Sample'!$AA$2:$AA$612,0)+(COUNTIF('Final Sample'!$AA$2:$AA$612,'Final Sample'!AA606)-1)/2</f>
        <v>384</v>
      </c>
      <c r="D606" s="25">
        <f>RANK('Final Sample'!R606,'Final Sample'!$R$2:$R$612,0)+(COUNTIF('Final Sample'!$R$2:$R$612,'Final Sample'!R606)-1)/2</f>
        <v>58</v>
      </c>
      <c r="E606" s="25">
        <f>RANK('Final Sample'!AB606,'Final Sample'!$AB$2:$AB$612,0)+(COUNTIF('Final Sample'!$AB$2:$AB$612,'Final Sample'!AB606)-1)/2</f>
        <v>96</v>
      </c>
      <c r="F606" s="25">
        <f>RANK('Final Sample'!V606,'Final Sample'!$V$2:$V$612,0)+(COUNTIF('Final Sample'!$V$2:$V$612,'Final Sample'!V606)-1)/2</f>
        <v>15</v>
      </c>
    </row>
    <row r="607" spans="1:6" ht="15" customHeight="1" x14ac:dyDescent="0.3">
      <c r="A607" s="25">
        <f>RANK('Final Sample'!I607,'Final Sample'!$I$2:$I$612,0)+(COUNTIF('Final Sample'!$I$2:$I$612,'Final Sample'!I607)-1)/2</f>
        <v>40</v>
      </c>
      <c r="B607" s="25">
        <f>RANK('Final Sample'!J607,'Final Sample'!$J$2:$J$612,0)+(COUNTIF('Final Sample'!$J$2:$J$612,'Final Sample'!J607)-1)/2</f>
        <v>79.5</v>
      </c>
      <c r="C607" s="25">
        <f>RANK('Final Sample'!AA607,'Final Sample'!$AA$2:$AA$612,0)+(COUNTIF('Final Sample'!$AA$2:$AA$612,'Final Sample'!AA607)-1)/2</f>
        <v>346</v>
      </c>
      <c r="D607" s="25">
        <f>RANK('Final Sample'!R607,'Final Sample'!$R$2:$R$612,0)+(COUNTIF('Final Sample'!$R$2:$R$612,'Final Sample'!R607)-1)/2</f>
        <v>50</v>
      </c>
      <c r="E607" s="25">
        <f>RANK('Final Sample'!AB607,'Final Sample'!$AB$2:$AB$612,0)+(COUNTIF('Final Sample'!$AB$2:$AB$612,'Final Sample'!AB607)-1)/2</f>
        <v>159</v>
      </c>
      <c r="F607" s="25">
        <f>RANK('Final Sample'!V607,'Final Sample'!$V$2:$V$612,0)+(COUNTIF('Final Sample'!$V$2:$V$612,'Final Sample'!V607)-1)/2</f>
        <v>12.5</v>
      </c>
    </row>
    <row r="608" spans="1:6" ht="15" customHeight="1" x14ac:dyDescent="0.3">
      <c r="A608" s="25">
        <f>RANK('Final Sample'!I608,'Final Sample'!$I$2:$I$612,0)+(COUNTIF('Final Sample'!$I$2:$I$612,'Final Sample'!I608)-1)/2</f>
        <v>441.5</v>
      </c>
      <c r="B608" s="25">
        <f>RANK('Final Sample'!J608,'Final Sample'!$J$2:$J$612,0)+(COUNTIF('Final Sample'!$J$2:$J$612,'Final Sample'!J608)-1)/2</f>
        <v>359</v>
      </c>
      <c r="C608" s="25">
        <f>RANK('Final Sample'!AA608,'Final Sample'!$AA$2:$AA$612,0)+(COUNTIF('Final Sample'!$AA$2:$AA$612,'Final Sample'!AA608)-1)/2</f>
        <v>424</v>
      </c>
      <c r="D608" s="25">
        <f>RANK('Final Sample'!R608,'Final Sample'!$R$2:$R$612,0)+(COUNTIF('Final Sample'!$R$2:$R$612,'Final Sample'!R608)-1)/2</f>
        <v>31</v>
      </c>
      <c r="E608" s="25">
        <f>RANK('Final Sample'!AB608,'Final Sample'!$AB$2:$AB$612,0)+(COUNTIF('Final Sample'!$AB$2:$AB$612,'Final Sample'!AB608)-1)/2</f>
        <v>172</v>
      </c>
      <c r="F608" s="25">
        <f>RANK('Final Sample'!V608,'Final Sample'!$V$2:$V$612,0)+(COUNTIF('Final Sample'!$V$2:$V$612,'Final Sample'!V608)-1)/2</f>
        <v>408</v>
      </c>
    </row>
    <row r="609" spans="1:6" ht="15" customHeight="1" x14ac:dyDescent="0.3">
      <c r="A609" s="25">
        <f>RANK('Final Sample'!I609,'Final Sample'!$I$2:$I$612,0)+(COUNTIF('Final Sample'!$I$2:$I$612,'Final Sample'!I609)-1)/2</f>
        <v>441.5</v>
      </c>
      <c r="B609" s="25">
        <f>RANK('Final Sample'!J609,'Final Sample'!$J$2:$J$612,0)+(COUNTIF('Final Sample'!$J$2:$J$612,'Final Sample'!J609)-1)/2</f>
        <v>359</v>
      </c>
      <c r="C609" s="25">
        <f>RANK('Final Sample'!AA609,'Final Sample'!$AA$2:$AA$612,0)+(COUNTIF('Final Sample'!$AA$2:$AA$612,'Final Sample'!AA609)-1)/2</f>
        <v>422</v>
      </c>
      <c r="D609" s="25">
        <f>RANK('Final Sample'!R609,'Final Sample'!$R$2:$R$612,0)+(COUNTIF('Final Sample'!$R$2:$R$612,'Final Sample'!R609)-1)/2</f>
        <v>22</v>
      </c>
      <c r="E609" s="25">
        <f>RANK('Final Sample'!AB609,'Final Sample'!$AB$2:$AB$612,0)+(COUNTIF('Final Sample'!$AB$2:$AB$612,'Final Sample'!AB609)-1)/2</f>
        <v>150</v>
      </c>
      <c r="F609" s="25">
        <f>RANK('Final Sample'!V609,'Final Sample'!$V$2:$V$612,0)+(COUNTIF('Final Sample'!$V$2:$V$612,'Final Sample'!V609)-1)/2</f>
        <v>390.5</v>
      </c>
    </row>
    <row r="610" spans="1:6" ht="15" customHeight="1" x14ac:dyDescent="0.3">
      <c r="A610" s="25">
        <f>RANK('Final Sample'!I610,'Final Sample'!$I$2:$I$612,0)+(COUNTIF('Final Sample'!$I$2:$I$612,'Final Sample'!I610)-1)/2</f>
        <v>441.5</v>
      </c>
      <c r="B610" s="25">
        <f>RANK('Final Sample'!J610,'Final Sample'!$J$2:$J$612,0)+(COUNTIF('Final Sample'!$J$2:$J$612,'Final Sample'!J610)-1)/2</f>
        <v>359</v>
      </c>
      <c r="C610" s="25">
        <f>RANK('Final Sample'!AA610,'Final Sample'!$AA$2:$AA$612,0)+(COUNTIF('Final Sample'!$AA$2:$AA$612,'Final Sample'!AA610)-1)/2</f>
        <v>428</v>
      </c>
      <c r="D610" s="25">
        <f>RANK('Final Sample'!R610,'Final Sample'!$R$2:$R$612,0)+(COUNTIF('Final Sample'!$R$2:$R$612,'Final Sample'!R610)-1)/2</f>
        <v>14</v>
      </c>
      <c r="E610" s="25">
        <f>RANK('Final Sample'!AB610,'Final Sample'!$AB$2:$AB$612,0)+(COUNTIF('Final Sample'!$AB$2:$AB$612,'Final Sample'!AB610)-1)/2</f>
        <v>153</v>
      </c>
      <c r="F610" s="25">
        <f>RANK('Final Sample'!V610,'Final Sample'!$V$2:$V$612,0)+(COUNTIF('Final Sample'!$V$2:$V$612,'Final Sample'!V610)-1)/2</f>
        <v>373</v>
      </c>
    </row>
    <row r="611" spans="1:6" ht="15" customHeight="1" x14ac:dyDescent="0.3">
      <c r="A611" s="25">
        <f>RANK('Final Sample'!I611,'Final Sample'!$I$2:$I$612,0)+(COUNTIF('Final Sample'!$I$2:$I$612,'Final Sample'!I611)-1)/2</f>
        <v>236</v>
      </c>
      <c r="B611" s="25">
        <f>RANK('Final Sample'!J611,'Final Sample'!$J$2:$J$612,0)+(COUNTIF('Final Sample'!$J$2:$J$612,'Final Sample'!J611)-1)/2</f>
        <v>359</v>
      </c>
      <c r="C611" s="25">
        <f>RANK('Final Sample'!AA611,'Final Sample'!$AA$2:$AA$612,0)+(COUNTIF('Final Sample'!$AA$2:$AA$612,'Final Sample'!AA611)-1)/2</f>
        <v>474</v>
      </c>
      <c r="D611" s="25">
        <f>RANK('Final Sample'!R611,'Final Sample'!$R$2:$R$612,0)+(COUNTIF('Final Sample'!$R$2:$R$612,'Final Sample'!R611)-1)/2</f>
        <v>8</v>
      </c>
      <c r="E611" s="25">
        <f>RANK('Final Sample'!AB611,'Final Sample'!$AB$2:$AB$612,0)+(COUNTIF('Final Sample'!$AB$2:$AB$612,'Final Sample'!AB611)-1)/2</f>
        <v>170</v>
      </c>
      <c r="F611" s="25">
        <f>RANK('Final Sample'!V611,'Final Sample'!$V$2:$V$612,0)+(COUNTIF('Final Sample'!$V$2:$V$612,'Final Sample'!V611)-1)/2</f>
        <v>356.5</v>
      </c>
    </row>
    <row r="612" spans="1:6" ht="15" customHeight="1" x14ac:dyDescent="0.3">
      <c r="A612" s="25">
        <f>RANK('Final Sample'!I612,'Final Sample'!$I$2:$I$612,0)+(COUNTIF('Final Sample'!$I$2:$I$612,'Final Sample'!I612)-1)/2</f>
        <v>12.5</v>
      </c>
      <c r="B612" s="25">
        <f>RANK('Final Sample'!J612,'Final Sample'!$J$2:$J$612,0)+(COUNTIF('Final Sample'!$J$2:$J$612,'Final Sample'!J612)-1)/2</f>
        <v>22</v>
      </c>
      <c r="C612" s="25">
        <f>RANK('Final Sample'!AA612,'Final Sample'!$AA$2:$AA$612,0)+(COUNTIF('Final Sample'!$AA$2:$AA$612,'Final Sample'!AA612)-1)/2</f>
        <v>465</v>
      </c>
      <c r="D612" s="25">
        <f>RANK('Final Sample'!R612,'Final Sample'!$R$2:$R$612,0)+(COUNTIF('Final Sample'!$R$2:$R$612,'Final Sample'!R612)-1)/2</f>
        <v>6</v>
      </c>
      <c r="E612" s="25">
        <f>RANK('Final Sample'!AB612,'Final Sample'!$AB$2:$AB$612,0)+(COUNTIF('Final Sample'!$AB$2:$AB$612,'Final Sample'!AB612)-1)/2</f>
        <v>187</v>
      </c>
      <c r="F612" s="25">
        <f>RANK('Final Sample'!V612,'Final Sample'!$V$2:$V$612,0)+(COUNTIF('Final Sample'!$V$2:$V$612,'Final Sample'!V612)-1)/2</f>
        <v>344</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6"/>
  <sheetViews>
    <sheetView zoomScaleNormal="100" workbookViewId="0"/>
  </sheetViews>
  <sheetFormatPr defaultColWidth="8.6640625" defaultRowHeight="14.4" x14ac:dyDescent="0.3"/>
  <cols>
    <col min="1" max="1" width="24" customWidth="1"/>
    <col min="2" max="6" width="14" customWidth="1"/>
  </cols>
  <sheetData>
    <row r="1" spans="1:6" ht="16.8" x14ac:dyDescent="0.3">
      <c r="A1" s="34" t="s">
        <v>861</v>
      </c>
    </row>
    <row r="2" spans="1:6" x14ac:dyDescent="0.3">
      <c r="A2" s="35" t="s">
        <v>862</v>
      </c>
    </row>
    <row r="4" spans="1:6" x14ac:dyDescent="0.3">
      <c r="A4" s="36" t="s">
        <v>5</v>
      </c>
      <c r="B4" s="37" t="s">
        <v>863</v>
      </c>
      <c r="C4" s="37" t="s">
        <v>864</v>
      </c>
      <c r="D4" s="37" t="s">
        <v>865</v>
      </c>
      <c r="E4" s="37" t="s">
        <v>866</v>
      </c>
      <c r="F4" s="37" t="s">
        <v>867</v>
      </c>
    </row>
    <row r="5" spans="1:6" x14ac:dyDescent="0.3">
      <c r="A5" s="38" t="s">
        <v>868</v>
      </c>
      <c r="B5" s="39">
        <f>COUNT('Final Sample'!$I$2:$I$612)</f>
        <v>611</v>
      </c>
      <c r="C5" s="39">
        <f>COUNTIF('Final Sample'!$I$2:$I$612,0)</f>
        <v>340</v>
      </c>
      <c r="D5" s="40">
        <f t="shared" ref="D5:D10" si="0">C5/B5</f>
        <v>0.55646481178396068</v>
      </c>
      <c r="E5" s="39">
        <f>COUNTIF('Final Sample'!$J$2:$J$612,0)</f>
        <v>505</v>
      </c>
      <c r="F5" s="40">
        <f t="shared" ref="F5:F10" si="1">E5/B5</f>
        <v>0.82651391162029464</v>
      </c>
    </row>
    <row r="6" spans="1:6" x14ac:dyDescent="0.3">
      <c r="A6" s="41">
        <v>2021</v>
      </c>
      <c r="B6" s="42">
        <f>COUNTIF('Final Sample'!$F$2:$F$612,2021)</f>
        <v>118</v>
      </c>
      <c r="C6" s="42">
        <f>COUNTIFS('Final Sample'!$F$2:$F$612,2021,'Final Sample'!$I$2:$I$612,0)</f>
        <v>73</v>
      </c>
      <c r="D6" s="43">
        <f t="shared" si="0"/>
        <v>0.61864406779661019</v>
      </c>
      <c r="E6" s="42">
        <f>COUNTIFS('Final Sample'!$F$2:$F$612,2021,'Final Sample'!$J$2:$J$612,0)</f>
        <v>104</v>
      </c>
      <c r="F6" s="43">
        <f t="shared" si="1"/>
        <v>0.88135593220338981</v>
      </c>
    </row>
    <row r="7" spans="1:6" x14ac:dyDescent="0.3">
      <c r="A7" s="41">
        <v>2022</v>
      </c>
      <c r="B7" s="42">
        <f>COUNTIF('Final Sample'!$F$2:$F$612,2022)</f>
        <v>122</v>
      </c>
      <c r="C7" s="42">
        <f>COUNTIFS('Final Sample'!$F$2:$F$612,2022,'Final Sample'!$I$2:$I$612,0)</f>
        <v>73</v>
      </c>
      <c r="D7" s="43">
        <f t="shared" si="0"/>
        <v>0.59836065573770492</v>
      </c>
      <c r="E7" s="42">
        <f>COUNTIFS('Final Sample'!$F$2:$F$612,2022,'Final Sample'!$J$2:$J$612,0)</f>
        <v>103</v>
      </c>
      <c r="F7" s="43">
        <f t="shared" si="1"/>
        <v>0.84426229508196726</v>
      </c>
    </row>
    <row r="8" spans="1:6" x14ac:dyDescent="0.3">
      <c r="A8" s="41">
        <v>2023</v>
      </c>
      <c r="B8" s="42">
        <f>COUNTIF('Final Sample'!$F$2:$F$612,2023)</f>
        <v>122</v>
      </c>
      <c r="C8" s="42">
        <f>COUNTIFS('Final Sample'!$F$2:$F$612,2023,'Final Sample'!$I$2:$I$612,0)</f>
        <v>68</v>
      </c>
      <c r="D8" s="43">
        <f t="shared" si="0"/>
        <v>0.55737704918032782</v>
      </c>
      <c r="E8" s="42">
        <f>COUNTIFS('Final Sample'!$F$2:$F$612,2023,'Final Sample'!$J$2:$J$612,0)</f>
        <v>101</v>
      </c>
      <c r="F8" s="43">
        <f t="shared" si="1"/>
        <v>0.82786885245901642</v>
      </c>
    </row>
    <row r="9" spans="1:6" x14ac:dyDescent="0.3">
      <c r="A9" s="41">
        <v>2024</v>
      </c>
      <c r="B9" s="42">
        <f>COUNTIF('Final Sample'!$F$2:$F$612,2024)</f>
        <v>125</v>
      </c>
      <c r="C9" s="42">
        <f>COUNTIFS('Final Sample'!$F$2:$F$612,2024,'Final Sample'!$I$2:$I$612,0)</f>
        <v>59</v>
      </c>
      <c r="D9" s="43">
        <f t="shared" si="0"/>
        <v>0.47199999999999998</v>
      </c>
      <c r="E9" s="42">
        <f>COUNTIFS('Final Sample'!$F$2:$F$612,2024,'Final Sample'!$J$2:$J$612,0)</f>
        <v>101</v>
      </c>
      <c r="F9" s="43">
        <f t="shared" si="1"/>
        <v>0.80800000000000005</v>
      </c>
    </row>
    <row r="10" spans="1:6" x14ac:dyDescent="0.3">
      <c r="A10" s="41">
        <v>2025</v>
      </c>
      <c r="B10" s="42">
        <f>COUNTIF('Final Sample'!$F$2:$F$612,2025)</f>
        <v>124</v>
      </c>
      <c r="C10" s="42">
        <f>COUNTIFS('Final Sample'!$F$2:$F$612,2025,'Final Sample'!$I$2:$I$612,0)</f>
        <v>67</v>
      </c>
      <c r="D10" s="43">
        <f t="shared" si="0"/>
        <v>0.54032258064516125</v>
      </c>
      <c r="E10" s="42">
        <f>COUNTIFS('Final Sample'!$F$2:$F$612,2025,'Final Sample'!$J$2:$J$612,0)</f>
        <v>96</v>
      </c>
      <c r="F10" s="43">
        <f t="shared" si="1"/>
        <v>0.77419354838709675</v>
      </c>
    </row>
    <row r="12" spans="1:6" x14ac:dyDescent="0.3">
      <c r="A12" s="44" t="s">
        <v>869</v>
      </c>
      <c r="B12" s="44"/>
      <c r="C12" s="44"/>
      <c r="D12" s="44"/>
      <c r="E12" s="44"/>
      <c r="F12" s="44"/>
    </row>
    <row r="13" spans="1:6" x14ac:dyDescent="0.3">
      <c r="A13" s="44" t="s">
        <v>870</v>
      </c>
      <c r="B13" s="44"/>
      <c r="C13" s="44"/>
      <c r="D13" s="44"/>
      <c r="E13" s="44"/>
      <c r="F13" s="44"/>
    </row>
    <row r="14" spans="1:6" x14ac:dyDescent="0.3">
      <c r="A14" s="44" t="s">
        <v>871</v>
      </c>
      <c r="B14" s="44"/>
      <c r="C14" s="44"/>
      <c r="D14" s="44"/>
      <c r="E14" s="44"/>
      <c r="F14" s="44"/>
    </row>
    <row r="15" spans="1:6" x14ac:dyDescent="0.3">
      <c r="A15" s="44" t="s">
        <v>872</v>
      </c>
      <c r="B15" s="44"/>
      <c r="C15" s="44"/>
      <c r="D15" s="44"/>
      <c r="E15" s="44"/>
      <c r="F15" s="44"/>
    </row>
    <row r="16" spans="1:6" x14ac:dyDescent="0.3">
      <c r="A16" s="44" t="s">
        <v>873</v>
      </c>
      <c r="B16" s="44"/>
      <c r="C16" s="44"/>
      <c r="D16" s="44"/>
      <c r="E16" s="44"/>
      <c r="F16" s="44"/>
    </row>
  </sheetData>
  <mergeCells count="5">
    <mergeCell ref="A12:F12"/>
    <mergeCell ref="A13:F13"/>
    <mergeCell ref="A14:F14"/>
    <mergeCell ref="A15:F15"/>
    <mergeCell ref="A16:F16"/>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6"/>
  <sheetViews>
    <sheetView tabSelected="1" zoomScaleNormal="100" workbookViewId="0">
      <selection activeCell="F19" sqref="F19"/>
    </sheetView>
  </sheetViews>
  <sheetFormatPr defaultColWidth="8.6640625" defaultRowHeight="14.4" x14ac:dyDescent="0.3"/>
  <cols>
    <col min="1" max="1" width="10" customWidth="1"/>
    <col min="2" max="8" width="15" customWidth="1"/>
  </cols>
  <sheetData>
    <row r="1" spans="1:8" ht="16.8" x14ac:dyDescent="0.3">
      <c r="A1" s="34" t="s">
        <v>874</v>
      </c>
    </row>
    <row r="2" spans="1:8" x14ac:dyDescent="0.3">
      <c r="A2" s="35" t="s">
        <v>875</v>
      </c>
    </row>
    <row r="4" spans="1:8" x14ac:dyDescent="0.3">
      <c r="A4" s="36" t="s">
        <v>5</v>
      </c>
      <c r="B4" s="37" t="s">
        <v>788</v>
      </c>
      <c r="C4" s="37" t="s">
        <v>876</v>
      </c>
      <c r="D4" s="37" t="s">
        <v>877</v>
      </c>
      <c r="E4" s="37" t="s">
        <v>878</v>
      </c>
      <c r="F4" s="37" t="s">
        <v>879</v>
      </c>
      <c r="G4" s="37" t="s">
        <v>880</v>
      </c>
      <c r="H4" s="37" t="s">
        <v>881</v>
      </c>
    </row>
    <row r="5" spans="1:8" x14ac:dyDescent="0.3">
      <c r="A5" s="41">
        <v>2021</v>
      </c>
      <c r="B5" s="42">
        <v>118</v>
      </c>
      <c r="C5" s="42">
        <v>9.6199999999999992</v>
      </c>
      <c r="D5" s="42">
        <v>6.74</v>
      </c>
      <c r="E5" s="42">
        <v>12.71</v>
      </c>
      <c r="F5" s="42">
        <v>3.33</v>
      </c>
      <c r="G5" s="42">
        <v>1.41</v>
      </c>
      <c r="H5" s="42">
        <v>5.76</v>
      </c>
    </row>
    <row r="6" spans="1:8" x14ac:dyDescent="0.3">
      <c r="A6" s="41">
        <v>2022</v>
      </c>
      <c r="B6" s="42">
        <v>122</v>
      </c>
      <c r="C6" s="42">
        <v>12.38</v>
      </c>
      <c r="D6" s="42">
        <v>8.81</v>
      </c>
      <c r="E6" s="42">
        <v>16.11</v>
      </c>
      <c r="F6" s="42">
        <v>5.36</v>
      </c>
      <c r="G6" s="42">
        <v>2.79</v>
      </c>
      <c r="H6" s="42">
        <v>8.42</v>
      </c>
    </row>
    <row r="7" spans="1:8" x14ac:dyDescent="0.3">
      <c r="A7" s="41">
        <v>2023</v>
      </c>
      <c r="B7" s="42">
        <v>122</v>
      </c>
      <c r="C7" s="42">
        <v>12.87</v>
      </c>
      <c r="D7" s="42">
        <v>9.1</v>
      </c>
      <c r="E7" s="42">
        <v>17.010000000000002</v>
      </c>
      <c r="F7" s="42">
        <v>7.16</v>
      </c>
      <c r="G7" s="42">
        <v>3.77</v>
      </c>
      <c r="H7" s="42">
        <v>10.87</v>
      </c>
    </row>
    <row r="8" spans="1:8" x14ac:dyDescent="0.3">
      <c r="A8" s="41">
        <v>2024</v>
      </c>
      <c r="B8" s="42">
        <v>125</v>
      </c>
      <c r="C8" s="42">
        <v>15.83</v>
      </c>
      <c r="D8" s="42">
        <v>11.63</v>
      </c>
      <c r="E8" s="42">
        <v>20.23</v>
      </c>
      <c r="F8" s="42">
        <v>7.93</v>
      </c>
      <c r="G8" s="42">
        <v>4.55</v>
      </c>
      <c r="H8" s="42">
        <v>11.77</v>
      </c>
    </row>
    <row r="9" spans="1:8" x14ac:dyDescent="0.3">
      <c r="A9" s="41">
        <v>2025</v>
      </c>
      <c r="B9" s="42">
        <v>124</v>
      </c>
      <c r="C9" s="42">
        <v>14.86</v>
      </c>
      <c r="D9" s="42">
        <v>10.75</v>
      </c>
      <c r="E9" s="42">
        <v>19.21</v>
      </c>
      <c r="F9" s="42">
        <v>7.91</v>
      </c>
      <c r="G9" s="42">
        <v>4.67</v>
      </c>
      <c r="H9" s="42">
        <v>11.51</v>
      </c>
    </row>
    <row r="11" spans="1:8" x14ac:dyDescent="0.3">
      <c r="A11" s="44" t="s">
        <v>882</v>
      </c>
      <c r="B11" s="44"/>
      <c r="C11" s="44"/>
      <c r="D11" s="44"/>
      <c r="E11" s="44"/>
      <c r="F11" s="44"/>
      <c r="G11" s="44"/>
      <c r="H11" s="44"/>
    </row>
    <row r="12" spans="1:8" x14ac:dyDescent="0.3">
      <c r="A12" s="44" t="s">
        <v>883</v>
      </c>
      <c r="B12" s="44"/>
      <c r="C12" s="44"/>
      <c r="D12" s="44"/>
      <c r="E12" s="44"/>
      <c r="F12" s="44"/>
      <c r="G12" s="44"/>
      <c r="H12" s="44"/>
    </row>
    <row r="13" spans="1:8" x14ac:dyDescent="0.3">
      <c r="A13" s="44" t="s">
        <v>884</v>
      </c>
      <c r="B13" s="44"/>
      <c r="C13" s="44"/>
      <c r="D13" s="44"/>
      <c r="E13" s="44"/>
      <c r="F13" s="44"/>
      <c r="G13" s="44"/>
      <c r="H13" s="44"/>
    </row>
    <row r="14" spans="1:8" x14ac:dyDescent="0.3">
      <c r="A14" s="44" t="s">
        <v>885</v>
      </c>
      <c r="B14" s="44"/>
      <c r="C14" s="44"/>
      <c r="D14" s="44"/>
      <c r="E14" s="44"/>
      <c r="F14" s="44"/>
      <c r="G14" s="44"/>
      <c r="H14" s="44"/>
    </row>
    <row r="15" spans="1:8" x14ac:dyDescent="0.3">
      <c r="A15" s="44" t="s">
        <v>886</v>
      </c>
      <c r="B15" s="44"/>
      <c r="C15" s="44"/>
      <c r="D15" s="44"/>
      <c r="E15" s="44"/>
      <c r="F15" s="44"/>
      <c r="G15" s="44"/>
      <c r="H15" s="44"/>
    </row>
    <row r="16" spans="1:8" x14ac:dyDescent="0.3">
      <c r="A16" s="44" t="s">
        <v>887</v>
      </c>
      <c r="B16" s="44"/>
      <c r="C16" s="44"/>
      <c r="D16" s="44"/>
      <c r="E16" s="44"/>
      <c r="F16" s="44"/>
      <c r="G16" s="44"/>
      <c r="H16" s="44"/>
    </row>
  </sheetData>
  <mergeCells count="6">
    <mergeCell ref="A16:H16"/>
    <mergeCell ref="A11:H11"/>
    <mergeCell ref="A12:H12"/>
    <mergeCell ref="A13:H13"/>
    <mergeCell ref="A14:H14"/>
    <mergeCell ref="A15:H15"/>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Final Sample</vt:lpstr>
      <vt:lpstr>1. Sample Profile</vt:lpstr>
      <vt:lpstr>2. SDQ CDQ Descriptives</vt:lpstr>
      <vt:lpstr>3. Trend by Year</vt:lpstr>
      <vt:lpstr>4. Sector Breakdown</vt:lpstr>
      <vt:lpstr>5. Controls &amp; Correlation</vt:lpstr>
      <vt:lpstr>Rank Helper</vt:lpstr>
      <vt:lpstr>6. Zero-Disclosure Table</vt:lpstr>
      <vt:lpstr>7. Figure Data (Trend 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BERNARD ASANBE</cp:lastModifiedBy>
  <cp:revision>8</cp:revision>
  <dcterms:created xsi:type="dcterms:W3CDTF">2026-08-17T22:39:29Z</dcterms:created>
  <dcterms:modified xsi:type="dcterms:W3CDTF">2026-08-31T01:34:54Z</dcterms:modified>
  <dc:language>en-US</dc:language>
</cp:coreProperties>
</file>